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obyl\Downloads\"/>
    </mc:Choice>
  </mc:AlternateContent>
  <xr:revisionPtr revIDLastSave="0" documentId="13_ncr:1_{F2D0A837-6D93-48ED-A3B6-74A7AB8FCEC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rameters" sheetId="1" r:id="rId1"/>
    <sheet name="H237 Tracker" sheetId="2" r:id="rId2"/>
    <sheet name="Instructions" sheetId="3" r:id="rId3"/>
    <sheet name="Tax Events" sheetId="4" r:id="rId4"/>
    <sheet name="Actual Cal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7" i="5" l="1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I415" i="5"/>
  <c r="A415" i="5"/>
  <c r="AH415" i="5" s="1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I393" i="5"/>
  <c r="AH393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I349" i="5"/>
  <c r="AH349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I327" i="5"/>
  <c r="AH327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I305" i="5"/>
  <c r="AH305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I283" i="5"/>
  <c r="AH283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I261" i="5"/>
  <c r="AH261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I239" i="5"/>
  <c r="AH239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I217" i="5"/>
  <c r="AH217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I195" i="5"/>
  <c r="AH195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I19" i="5"/>
  <c r="G19" i="5" s="1"/>
  <c r="AH19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G4" i="5"/>
  <c r="F4" i="5"/>
  <c r="C4" i="5"/>
  <c r="E4" i="5" s="1"/>
  <c r="I4" i="5" s="1"/>
  <c r="B4" i="5"/>
  <c r="D4" i="5" s="1"/>
  <c r="H4" i="5" s="1"/>
  <c r="A4" i="5"/>
  <c r="N541" i="2"/>
  <c r="O541" i="2" s="1"/>
  <c r="D541" i="2"/>
  <c r="E541" i="2" s="1"/>
  <c r="N540" i="2"/>
  <c r="O540" i="2" s="1"/>
  <c r="D540" i="2"/>
  <c r="E540" i="2" s="1"/>
  <c r="N539" i="2"/>
  <c r="O539" i="2" s="1"/>
  <c r="D539" i="2"/>
  <c r="E539" i="2" s="1"/>
  <c r="N538" i="2"/>
  <c r="O538" i="2" s="1"/>
  <c r="D538" i="2"/>
  <c r="E538" i="2" s="1"/>
  <c r="N537" i="2"/>
  <c r="O537" i="2" s="1"/>
  <c r="D537" i="2"/>
  <c r="E537" i="2" s="1"/>
  <c r="N536" i="2"/>
  <c r="O536" i="2" s="1"/>
  <c r="D536" i="2"/>
  <c r="E536" i="2" s="1"/>
  <c r="N535" i="2"/>
  <c r="O535" i="2" s="1"/>
  <c r="D535" i="2"/>
  <c r="E535" i="2" s="1"/>
  <c r="N534" i="2"/>
  <c r="O534" i="2" s="1"/>
  <c r="D534" i="2"/>
  <c r="E534" i="2" s="1"/>
  <c r="N533" i="2"/>
  <c r="O533" i="2" s="1"/>
  <c r="D533" i="2"/>
  <c r="E533" i="2" s="1"/>
  <c r="N532" i="2"/>
  <c r="O532" i="2" s="1"/>
  <c r="D532" i="2"/>
  <c r="E532" i="2" s="1"/>
  <c r="N531" i="2"/>
  <c r="O531" i="2" s="1"/>
  <c r="D531" i="2"/>
  <c r="E531" i="2" s="1"/>
  <c r="N530" i="2"/>
  <c r="O530" i="2" s="1"/>
  <c r="D530" i="2"/>
  <c r="E530" i="2" s="1"/>
  <c r="N529" i="2"/>
  <c r="O529" i="2" s="1"/>
  <c r="D529" i="2"/>
  <c r="E529" i="2" s="1"/>
  <c r="N528" i="2"/>
  <c r="O528" i="2" s="1"/>
  <c r="D528" i="2"/>
  <c r="E528" i="2" s="1"/>
  <c r="N527" i="2"/>
  <c r="O527" i="2" s="1"/>
  <c r="D527" i="2"/>
  <c r="E527" i="2" s="1"/>
  <c r="N526" i="2"/>
  <c r="O526" i="2" s="1"/>
  <c r="D526" i="2"/>
  <c r="E526" i="2" s="1"/>
  <c r="N525" i="2"/>
  <c r="O525" i="2" s="1"/>
  <c r="D525" i="2"/>
  <c r="E525" i="2" s="1"/>
  <c r="N524" i="2"/>
  <c r="O524" i="2" s="1"/>
  <c r="D524" i="2"/>
  <c r="E524" i="2" s="1"/>
  <c r="N523" i="2"/>
  <c r="O523" i="2" s="1"/>
  <c r="D523" i="2"/>
  <c r="E523" i="2" s="1"/>
  <c r="N522" i="2"/>
  <c r="O522" i="2" s="1"/>
  <c r="D522" i="2"/>
  <c r="E522" i="2" s="1"/>
  <c r="N521" i="2"/>
  <c r="O521" i="2" s="1"/>
  <c r="D521" i="2"/>
  <c r="E521" i="2" s="1"/>
  <c r="N520" i="2"/>
  <c r="O520" i="2" s="1"/>
  <c r="D520" i="2"/>
  <c r="E520" i="2" s="1"/>
  <c r="N519" i="2"/>
  <c r="O519" i="2" s="1"/>
  <c r="D519" i="2"/>
  <c r="E519" i="2" s="1"/>
  <c r="N518" i="2"/>
  <c r="O518" i="2" s="1"/>
  <c r="D518" i="2"/>
  <c r="E518" i="2" s="1"/>
  <c r="N517" i="2"/>
  <c r="O517" i="2" s="1"/>
  <c r="D517" i="2"/>
  <c r="E517" i="2" s="1"/>
  <c r="N516" i="2"/>
  <c r="O516" i="2" s="1"/>
  <c r="D516" i="2"/>
  <c r="E516" i="2" s="1"/>
  <c r="N515" i="2"/>
  <c r="O515" i="2" s="1"/>
  <c r="D515" i="2"/>
  <c r="E515" i="2" s="1"/>
  <c r="N514" i="2"/>
  <c r="O514" i="2" s="1"/>
  <c r="D514" i="2"/>
  <c r="E514" i="2" s="1"/>
  <c r="N513" i="2"/>
  <c r="O513" i="2" s="1"/>
  <c r="D513" i="2"/>
  <c r="E513" i="2" s="1"/>
  <c r="N512" i="2"/>
  <c r="O512" i="2" s="1"/>
  <c r="D512" i="2"/>
  <c r="E512" i="2" s="1"/>
  <c r="N511" i="2"/>
  <c r="O511" i="2" s="1"/>
  <c r="D511" i="2"/>
  <c r="E511" i="2" s="1"/>
  <c r="N510" i="2"/>
  <c r="O510" i="2" s="1"/>
  <c r="D510" i="2"/>
  <c r="E510" i="2" s="1"/>
  <c r="N509" i="2"/>
  <c r="O509" i="2" s="1"/>
  <c r="D509" i="2"/>
  <c r="E509" i="2" s="1"/>
  <c r="N508" i="2"/>
  <c r="O508" i="2" s="1"/>
  <c r="D508" i="2"/>
  <c r="E508" i="2" s="1"/>
  <c r="N507" i="2"/>
  <c r="O507" i="2" s="1"/>
  <c r="D507" i="2"/>
  <c r="E507" i="2" s="1"/>
  <c r="N506" i="2"/>
  <c r="O506" i="2" s="1"/>
  <c r="D506" i="2"/>
  <c r="E506" i="2" s="1"/>
  <c r="N505" i="2"/>
  <c r="O505" i="2" s="1"/>
  <c r="D505" i="2"/>
  <c r="E505" i="2" s="1"/>
  <c r="N504" i="2"/>
  <c r="O504" i="2" s="1"/>
  <c r="D504" i="2"/>
  <c r="E504" i="2" s="1"/>
  <c r="N503" i="2"/>
  <c r="O503" i="2" s="1"/>
  <c r="D503" i="2"/>
  <c r="E503" i="2" s="1"/>
  <c r="N502" i="2"/>
  <c r="O502" i="2" s="1"/>
  <c r="D502" i="2"/>
  <c r="E502" i="2" s="1"/>
  <c r="N501" i="2"/>
  <c r="O501" i="2" s="1"/>
  <c r="D501" i="2"/>
  <c r="E501" i="2" s="1"/>
  <c r="N500" i="2"/>
  <c r="O500" i="2" s="1"/>
  <c r="D500" i="2"/>
  <c r="E500" i="2" s="1"/>
  <c r="N499" i="2"/>
  <c r="O499" i="2" s="1"/>
  <c r="D499" i="2"/>
  <c r="E499" i="2" s="1"/>
  <c r="N498" i="2"/>
  <c r="O498" i="2" s="1"/>
  <c r="D498" i="2"/>
  <c r="E498" i="2" s="1"/>
  <c r="N497" i="2"/>
  <c r="O497" i="2" s="1"/>
  <c r="D497" i="2"/>
  <c r="E497" i="2" s="1"/>
  <c r="N496" i="2"/>
  <c r="O496" i="2" s="1"/>
  <c r="D496" i="2"/>
  <c r="E496" i="2" s="1"/>
  <c r="N495" i="2"/>
  <c r="O495" i="2" s="1"/>
  <c r="D495" i="2"/>
  <c r="E495" i="2" s="1"/>
  <c r="N494" i="2"/>
  <c r="O494" i="2" s="1"/>
  <c r="D494" i="2"/>
  <c r="E494" i="2" s="1"/>
  <c r="N493" i="2"/>
  <c r="O493" i="2" s="1"/>
  <c r="D493" i="2"/>
  <c r="E493" i="2" s="1"/>
  <c r="N492" i="2"/>
  <c r="O492" i="2" s="1"/>
  <c r="D492" i="2"/>
  <c r="E492" i="2" s="1"/>
  <c r="N491" i="2"/>
  <c r="O491" i="2" s="1"/>
  <c r="D491" i="2"/>
  <c r="E491" i="2" s="1"/>
  <c r="N490" i="2"/>
  <c r="O490" i="2" s="1"/>
  <c r="D490" i="2"/>
  <c r="E490" i="2" s="1"/>
  <c r="N489" i="2"/>
  <c r="O489" i="2" s="1"/>
  <c r="D489" i="2"/>
  <c r="E489" i="2" s="1"/>
  <c r="N488" i="2"/>
  <c r="O488" i="2" s="1"/>
  <c r="D488" i="2"/>
  <c r="E488" i="2" s="1"/>
  <c r="N487" i="2"/>
  <c r="O487" i="2" s="1"/>
  <c r="D487" i="2"/>
  <c r="E487" i="2" s="1"/>
  <c r="N486" i="2"/>
  <c r="O486" i="2" s="1"/>
  <c r="D486" i="2"/>
  <c r="E486" i="2" s="1"/>
  <c r="N485" i="2"/>
  <c r="O485" i="2" s="1"/>
  <c r="D485" i="2"/>
  <c r="E485" i="2" s="1"/>
  <c r="N484" i="2"/>
  <c r="O484" i="2" s="1"/>
  <c r="D484" i="2"/>
  <c r="E484" i="2" s="1"/>
  <c r="N483" i="2"/>
  <c r="O483" i="2" s="1"/>
  <c r="D483" i="2"/>
  <c r="E483" i="2" s="1"/>
  <c r="N482" i="2"/>
  <c r="O482" i="2" s="1"/>
  <c r="D482" i="2"/>
  <c r="E482" i="2" s="1"/>
  <c r="N481" i="2"/>
  <c r="O481" i="2" s="1"/>
  <c r="D481" i="2"/>
  <c r="E481" i="2" s="1"/>
  <c r="N480" i="2"/>
  <c r="O480" i="2" s="1"/>
  <c r="D480" i="2"/>
  <c r="E480" i="2" s="1"/>
  <c r="N479" i="2"/>
  <c r="O479" i="2" s="1"/>
  <c r="D479" i="2"/>
  <c r="E479" i="2" s="1"/>
  <c r="N478" i="2"/>
  <c r="O478" i="2" s="1"/>
  <c r="D478" i="2"/>
  <c r="E478" i="2" s="1"/>
  <c r="N477" i="2"/>
  <c r="O477" i="2" s="1"/>
  <c r="D477" i="2"/>
  <c r="E477" i="2" s="1"/>
  <c r="N476" i="2"/>
  <c r="O476" i="2" s="1"/>
  <c r="D476" i="2"/>
  <c r="E476" i="2" s="1"/>
  <c r="N475" i="2"/>
  <c r="O475" i="2" s="1"/>
  <c r="D475" i="2"/>
  <c r="E475" i="2" s="1"/>
  <c r="N474" i="2"/>
  <c r="O474" i="2" s="1"/>
  <c r="D474" i="2"/>
  <c r="E474" i="2" s="1"/>
  <c r="N473" i="2"/>
  <c r="O473" i="2" s="1"/>
  <c r="D473" i="2"/>
  <c r="E473" i="2" s="1"/>
  <c r="N472" i="2"/>
  <c r="O472" i="2" s="1"/>
  <c r="D472" i="2"/>
  <c r="E472" i="2" s="1"/>
  <c r="N471" i="2"/>
  <c r="O471" i="2" s="1"/>
  <c r="D471" i="2"/>
  <c r="E471" i="2" s="1"/>
  <c r="N470" i="2"/>
  <c r="O470" i="2" s="1"/>
  <c r="D470" i="2"/>
  <c r="E470" i="2" s="1"/>
  <c r="N469" i="2"/>
  <c r="O469" i="2" s="1"/>
  <c r="D469" i="2"/>
  <c r="E469" i="2" s="1"/>
  <c r="N468" i="2"/>
  <c r="O468" i="2" s="1"/>
  <c r="D468" i="2"/>
  <c r="E468" i="2" s="1"/>
  <c r="N467" i="2"/>
  <c r="O467" i="2" s="1"/>
  <c r="D467" i="2"/>
  <c r="E467" i="2" s="1"/>
  <c r="N466" i="2"/>
  <c r="O466" i="2" s="1"/>
  <c r="D466" i="2"/>
  <c r="E466" i="2" s="1"/>
  <c r="N465" i="2"/>
  <c r="O465" i="2" s="1"/>
  <c r="D465" i="2"/>
  <c r="E465" i="2" s="1"/>
  <c r="N464" i="2"/>
  <c r="O464" i="2" s="1"/>
  <c r="D464" i="2"/>
  <c r="E464" i="2" s="1"/>
  <c r="N463" i="2"/>
  <c r="O463" i="2" s="1"/>
  <c r="D463" i="2"/>
  <c r="E463" i="2" s="1"/>
  <c r="N462" i="2"/>
  <c r="O462" i="2" s="1"/>
  <c r="D462" i="2"/>
  <c r="E462" i="2" s="1"/>
  <c r="N461" i="2"/>
  <c r="O461" i="2" s="1"/>
  <c r="D461" i="2"/>
  <c r="E461" i="2" s="1"/>
  <c r="N460" i="2"/>
  <c r="O460" i="2" s="1"/>
  <c r="D460" i="2"/>
  <c r="E460" i="2" s="1"/>
  <c r="N459" i="2"/>
  <c r="O459" i="2" s="1"/>
  <c r="D459" i="2"/>
  <c r="E459" i="2" s="1"/>
  <c r="N458" i="2"/>
  <c r="O458" i="2" s="1"/>
  <c r="D458" i="2"/>
  <c r="E458" i="2" s="1"/>
  <c r="N457" i="2"/>
  <c r="O457" i="2" s="1"/>
  <c r="D457" i="2"/>
  <c r="E457" i="2" s="1"/>
  <c r="N456" i="2"/>
  <c r="O456" i="2" s="1"/>
  <c r="D456" i="2"/>
  <c r="E456" i="2" s="1"/>
  <c r="N455" i="2"/>
  <c r="O455" i="2" s="1"/>
  <c r="D455" i="2"/>
  <c r="E455" i="2" s="1"/>
  <c r="N454" i="2"/>
  <c r="O454" i="2" s="1"/>
  <c r="D454" i="2"/>
  <c r="E454" i="2" s="1"/>
  <c r="N453" i="2"/>
  <c r="O453" i="2" s="1"/>
  <c r="D453" i="2"/>
  <c r="E453" i="2" s="1"/>
  <c r="N452" i="2"/>
  <c r="O452" i="2" s="1"/>
  <c r="D452" i="2"/>
  <c r="E452" i="2" s="1"/>
  <c r="N451" i="2"/>
  <c r="O451" i="2" s="1"/>
  <c r="D451" i="2"/>
  <c r="E451" i="2" s="1"/>
  <c r="N450" i="2"/>
  <c r="O450" i="2" s="1"/>
  <c r="D450" i="2"/>
  <c r="E450" i="2" s="1"/>
  <c r="N449" i="2"/>
  <c r="O449" i="2" s="1"/>
  <c r="D449" i="2"/>
  <c r="E449" i="2" s="1"/>
  <c r="N448" i="2"/>
  <c r="O448" i="2" s="1"/>
  <c r="D448" i="2"/>
  <c r="E448" i="2" s="1"/>
  <c r="N447" i="2"/>
  <c r="O447" i="2" s="1"/>
  <c r="D447" i="2"/>
  <c r="E447" i="2" s="1"/>
  <c r="N446" i="2"/>
  <c r="O446" i="2" s="1"/>
  <c r="D446" i="2"/>
  <c r="E446" i="2" s="1"/>
  <c r="N445" i="2"/>
  <c r="O445" i="2" s="1"/>
  <c r="D445" i="2"/>
  <c r="E445" i="2" s="1"/>
  <c r="N444" i="2"/>
  <c r="O444" i="2" s="1"/>
  <c r="D444" i="2"/>
  <c r="E444" i="2" s="1"/>
  <c r="N443" i="2"/>
  <c r="O443" i="2" s="1"/>
  <c r="D443" i="2"/>
  <c r="E443" i="2" s="1"/>
  <c r="N442" i="2"/>
  <c r="O442" i="2" s="1"/>
  <c r="D442" i="2"/>
  <c r="E442" i="2" s="1"/>
  <c r="N441" i="2"/>
  <c r="O441" i="2" s="1"/>
  <c r="D441" i="2"/>
  <c r="E441" i="2" s="1"/>
  <c r="N440" i="2"/>
  <c r="O440" i="2" s="1"/>
  <c r="D440" i="2"/>
  <c r="E440" i="2" s="1"/>
  <c r="N439" i="2"/>
  <c r="O439" i="2" s="1"/>
  <c r="D439" i="2"/>
  <c r="E439" i="2" s="1"/>
  <c r="N438" i="2"/>
  <c r="O438" i="2" s="1"/>
  <c r="D438" i="2"/>
  <c r="E438" i="2" s="1"/>
  <c r="D437" i="2"/>
  <c r="E437" i="2" s="1"/>
  <c r="D436" i="2"/>
  <c r="E436" i="2" s="1"/>
  <c r="D435" i="2"/>
  <c r="E435" i="2" s="1"/>
  <c r="D434" i="2"/>
  <c r="E434" i="2" s="1"/>
  <c r="D433" i="2"/>
  <c r="E433" i="2" s="1"/>
  <c r="D432" i="2"/>
  <c r="E432" i="2" s="1"/>
  <c r="D431" i="2"/>
  <c r="E431" i="2" s="1"/>
  <c r="D430" i="2"/>
  <c r="E430" i="2" s="1"/>
  <c r="D429" i="2"/>
  <c r="E429" i="2" s="1"/>
  <c r="D428" i="2"/>
  <c r="E428" i="2" s="1"/>
  <c r="D427" i="2"/>
  <c r="E427" i="2" s="1"/>
  <c r="D426" i="2"/>
  <c r="E426" i="2" s="1"/>
  <c r="D425" i="2"/>
  <c r="E425" i="2" s="1"/>
  <c r="D424" i="2"/>
  <c r="E424" i="2" s="1"/>
  <c r="D423" i="2"/>
  <c r="E423" i="2" s="1"/>
  <c r="D422" i="2"/>
  <c r="E422" i="2" s="1"/>
  <c r="D421" i="2"/>
  <c r="E421" i="2" s="1"/>
  <c r="D420" i="2"/>
  <c r="E420" i="2" s="1"/>
  <c r="D419" i="2"/>
  <c r="E419" i="2" s="1"/>
  <c r="D418" i="2"/>
  <c r="E418" i="2" s="1"/>
  <c r="D417" i="2"/>
  <c r="E417" i="2" s="1"/>
  <c r="D416" i="2"/>
  <c r="E416" i="2" s="1"/>
  <c r="D415" i="2"/>
  <c r="E415" i="2" s="1"/>
  <c r="D414" i="2"/>
  <c r="E414" i="2" s="1"/>
  <c r="D413" i="2"/>
  <c r="E413" i="2" s="1"/>
  <c r="D412" i="2"/>
  <c r="E412" i="2" s="1"/>
  <c r="D411" i="2"/>
  <c r="E411" i="2" s="1"/>
  <c r="D410" i="2"/>
  <c r="E410" i="2" s="1"/>
  <c r="D409" i="2"/>
  <c r="E409" i="2" s="1"/>
  <c r="D408" i="2"/>
  <c r="E408" i="2" s="1"/>
  <c r="D407" i="2"/>
  <c r="E407" i="2" s="1"/>
  <c r="D406" i="2"/>
  <c r="E406" i="2" s="1"/>
  <c r="D405" i="2"/>
  <c r="E405" i="2" s="1"/>
  <c r="D404" i="2"/>
  <c r="E404" i="2" s="1"/>
  <c r="D403" i="2"/>
  <c r="E403" i="2" s="1"/>
  <c r="D402" i="2"/>
  <c r="E402" i="2" s="1"/>
  <c r="D401" i="2"/>
  <c r="E401" i="2" s="1"/>
  <c r="D400" i="2"/>
  <c r="E400" i="2" s="1"/>
  <c r="D399" i="2"/>
  <c r="E399" i="2" s="1"/>
  <c r="D398" i="2"/>
  <c r="E398" i="2" s="1"/>
  <c r="D397" i="2"/>
  <c r="E397" i="2" s="1"/>
  <c r="D396" i="2"/>
  <c r="E396" i="2" s="1"/>
  <c r="D395" i="2"/>
  <c r="E395" i="2" s="1"/>
  <c r="D394" i="2"/>
  <c r="E394" i="2" s="1"/>
  <c r="D393" i="2"/>
  <c r="E393" i="2" s="1"/>
  <c r="D392" i="2"/>
  <c r="E392" i="2" s="1"/>
  <c r="D391" i="2"/>
  <c r="E391" i="2" s="1"/>
  <c r="D390" i="2"/>
  <c r="E390" i="2" s="1"/>
  <c r="D389" i="2"/>
  <c r="E389" i="2" s="1"/>
  <c r="D388" i="2"/>
  <c r="E388" i="2" s="1"/>
  <c r="D387" i="2"/>
  <c r="E387" i="2" s="1"/>
  <c r="D386" i="2"/>
  <c r="E386" i="2" s="1"/>
  <c r="D385" i="2"/>
  <c r="E385" i="2" s="1"/>
  <c r="D384" i="2"/>
  <c r="E384" i="2" s="1"/>
  <c r="D383" i="2"/>
  <c r="E383" i="2" s="1"/>
  <c r="D382" i="2"/>
  <c r="E382" i="2" s="1"/>
  <c r="D381" i="2"/>
  <c r="E381" i="2" s="1"/>
  <c r="D380" i="2"/>
  <c r="E380" i="2" s="1"/>
  <c r="D379" i="2"/>
  <c r="E379" i="2" s="1"/>
  <c r="D378" i="2"/>
  <c r="E378" i="2" s="1"/>
  <c r="D377" i="2"/>
  <c r="E377" i="2" s="1"/>
  <c r="D376" i="2"/>
  <c r="E376" i="2" s="1"/>
  <c r="D375" i="2"/>
  <c r="E375" i="2" s="1"/>
  <c r="D374" i="2"/>
  <c r="E374" i="2" s="1"/>
  <c r="D373" i="2"/>
  <c r="E373" i="2" s="1"/>
  <c r="D372" i="2"/>
  <c r="E372" i="2" s="1"/>
  <c r="D371" i="2"/>
  <c r="E371" i="2" s="1"/>
  <c r="D370" i="2"/>
  <c r="E370" i="2" s="1"/>
  <c r="D369" i="2"/>
  <c r="E369" i="2" s="1"/>
  <c r="D368" i="2"/>
  <c r="E368" i="2" s="1"/>
  <c r="D367" i="2"/>
  <c r="E367" i="2" s="1"/>
  <c r="D366" i="2"/>
  <c r="E366" i="2" s="1"/>
  <c r="D365" i="2"/>
  <c r="E365" i="2" s="1"/>
  <c r="D364" i="2"/>
  <c r="E364" i="2" s="1"/>
  <c r="D363" i="2"/>
  <c r="E363" i="2" s="1"/>
  <c r="D362" i="2"/>
  <c r="E362" i="2" s="1"/>
  <c r="D361" i="2"/>
  <c r="E361" i="2" s="1"/>
  <c r="D360" i="2"/>
  <c r="E360" i="2" s="1"/>
  <c r="D359" i="2"/>
  <c r="E359" i="2" s="1"/>
  <c r="D358" i="2"/>
  <c r="E358" i="2" s="1"/>
  <c r="D357" i="2"/>
  <c r="E357" i="2" s="1"/>
  <c r="D356" i="2"/>
  <c r="E356" i="2" s="1"/>
  <c r="D355" i="2"/>
  <c r="E355" i="2" s="1"/>
  <c r="D354" i="2"/>
  <c r="E354" i="2" s="1"/>
  <c r="D353" i="2"/>
  <c r="E353" i="2" s="1"/>
  <c r="D352" i="2"/>
  <c r="E352" i="2" s="1"/>
  <c r="D351" i="2"/>
  <c r="E351" i="2" s="1"/>
  <c r="D350" i="2"/>
  <c r="E350" i="2" s="1"/>
  <c r="D349" i="2"/>
  <c r="E349" i="2" s="1"/>
  <c r="D348" i="2"/>
  <c r="E348" i="2" s="1"/>
  <c r="D347" i="2"/>
  <c r="E347" i="2" s="1"/>
  <c r="D346" i="2"/>
  <c r="E346" i="2" s="1"/>
  <c r="D345" i="2"/>
  <c r="E345" i="2" s="1"/>
  <c r="D344" i="2"/>
  <c r="E344" i="2" s="1"/>
  <c r="D343" i="2"/>
  <c r="E343" i="2" s="1"/>
  <c r="D342" i="2"/>
  <c r="E342" i="2" s="1"/>
  <c r="D341" i="2"/>
  <c r="E341" i="2" s="1"/>
  <c r="D340" i="2"/>
  <c r="E340" i="2" s="1"/>
  <c r="D339" i="2"/>
  <c r="E339" i="2" s="1"/>
  <c r="D338" i="2"/>
  <c r="E338" i="2" s="1"/>
  <c r="D337" i="2"/>
  <c r="E337" i="2" s="1"/>
  <c r="D336" i="2"/>
  <c r="E336" i="2" s="1"/>
  <c r="D335" i="2"/>
  <c r="E335" i="2" s="1"/>
  <c r="D334" i="2"/>
  <c r="E334" i="2" s="1"/>
  <c r="D333" i="2"/>
  <c r="E333" i="2" s="1"/>
  <c r="D332" i="2"/>
  <c r="E332" i="2" s="1"/>
  <c r="D331" i="2"/>
  <c r="E331" i="2" s="1"/>
  <c r="D330" i="2"/>
  <c r="E330" i="2" s="1"/>
  <c r="D329" i="2"/>
  <c r="E329" i="2" s="1"/>
  <c r="D328" i="2"/>
  <c r="E328" i="2" s="1"/>
  <c r="D327" i="2"/>
  <c r="E327" i="2" s="1"/>
  <c r="D326" i="2"/>
  <c r="E326" i="2" s="1"/>
  <c r="D325" i="2"/>
  <c r="E325" i="2" s="1"/>
  <c r="D324" i="2"/>
  <c r="E324" i="2" s="1"/>
  <c r="D323" i="2"/>
  <c r="E323" i="2" s="1"/>
  <c r="D322" i="2"/>
  <c r="E322" i="2" s="1"/>
  <c r="D321" i="2"/>
  <c r="E321" i="2" s="1"/>
  <c r="D320" i="2"/>
  <c r="E320" i="2" s="1"/>
  <c r="D319" i="2"/>
  <c r="E319" i="2" s="1"/>
  <c r="D318" i="2"/>
  <c r="E318" i="2" s="1"/>
  <c r="D317" i="2"/>
  <c r="E317" i="2" s="1"/>
  <c r="D316" i="2"/>
  <c r="E316" i="2" s="1"/>
  <c r="D315" i="2"/>
  <c r="E315" i="2" s="1"/>
  <c r="D314" i="2"/>
  <c r="E314" i="2" s="1"/>
  <c r="D313" i="2"/>
  <c r="E313" i="2" s="1"/>
  <c r="D312" i="2"/>
  <c r="E312" i="2" s="1"/>
  <c r="D311" i="2"/>
  <c r="E311" i="2" s="1"/>
  <c r="D310" i="2"/>
  <c r="E310" i="2" s="1"/>
  <c r="D309" i="2"/>
  <c r="E309" i="2" s="1"/>
  <c r="D308" i="2"/>
  <c r="E308" i="2" s="1"/>
  <c r="D307" i="2"/>
  <c r="E307" i="2" s="1"/>
  <c r="D306" i="2"/>
  <c r="E306" i="2" s="1"/>
  <c r="D305" i="2"/>
  <c r="E305" i="2" s="1"/>
  <c r="D304" i="2"/>
  <c r="E304" i="2" s="1"/>
  <c r="D303" i="2"/>
  <c r="E303" i="2" s="1"/>
  <c r="D302" i="2"/>
  <c r="E302" i="2" s="1"/>
  <c r="D301" i="2"/>
  <c r="E301" i="2" s="1"/>
  <c r="D300" i="2"/>
  <c r="E300" i="2" s="1"/>
  <c r="D299" i="2"/>
  <c r="E299" i="2" s="1"/>
  <c r="D298" i="2"/>
  <c r="E298" i="2" s="1"/>
  <c r="D297" i="2"/>
  <c r="E297" i="2" s="1"/>
  <c r="D296" i="2"/>
  <c r="E296" i="2" s="1"/>
  <c r="D295" i="2"/>
  <c r="E295" i="2" s="1"/>
  <c r="D294" i="2"/>
  <c r="E294" i="2" s="1"/>
  <c r="D293" i="2"/>
  <c r="E293" i="2" s="1"/>
  <c r="D292" i="2"/>
  <c r="E292" i="2" s="1"/>
  <c r="D291" i="2"/>
  <c r="E291" i="2" s="1"/>
  <c r="D290" i="2"/>
  <c r="E290" i="2" s="1"/>
  <c r="D289" i="2"/>
  <c r="E289" i="2" s="1"/>
  <c r="D288" i="2"/>
  <c r="E288" i="2" s="1"/>
  <c r="D287" i="2"/>
  <c r="E287" i="2" s="1"/>
  <c r="D286" i="2"/>
  <c r="E286" i="2" s="1"/>
  <c r="D285" i="2"/>
  <c r="E285" i="2" s="1"/>
  <c r="D284" i="2"/>
  <c r="E284" i="2" s="1"/>
  <c r="D283" i="2"/>
  <c r="E283" i="2" s="1"/>
  <c r="D282" i="2"/>
  <c r="E282" i="2" s="1"/>
  <c r="D281" i="2"/>
  <c r="E281" i="2" s="1"/>
  <c r="D280" i="2"/>
  <c r="E280" i="2" s="1"/>
  <c r="D279" i="2"/>
  <c r="E279" i="2" s="1"/>
  <c r="D278" i="2"/>
  <c r="E278" i="2" s="1"/>
  <c r="D277" i="2"/>
  <c r="E277" i="2" s="1"/>
  <c r="D276" i="2"/>
  <c r="E276" i="2" s="1"/>
  <c r="D275" i="2"/>
  <c r="E275" i="2" s="1"/>
  <c r="D274" i="2"/>
  <c r="E274" i="2" s="1"/>
  <c r="D273" i="2"/>
  <c r="E273" i="2" s="1"/>
  <c r="D272" i="2"/>
  <c r="E272" i="2" s="1"/>
  <c r="D271" i="2"/>
  <c r="E271" i="2" s="1"/>
  <c r="D270" i="2"/>
  <c r="E270" i="2" s="1"/>
  <c r="D269" i="2"/>
  <c r="E269" i="2" s="1"/>
  <c r="D268" i="2"/>
  <c r="E268" i="2" s="1"/>
  <c r="D267" i="2"/>
  <c r="E267" i="2" s="1"/>
  <c r="D266" i="2"/>
  <c r="E266" i="2" s="1"/>
  <c r="D265" i="2"/>
  <c r="E265" i="2" s="1"/>
  <c r="D264" i="2"/>
  <c r="E264" i="2" s="1"/>
  <c r="D263" i="2"/>
  <c r="E263" i="2" s="1"/>
  <c r="D262" i="2"/>
  <c r="E262" i="2" s="1"/>
  <c r="D261" i="2"/>
  <c r="E261" i="2" s="1"/>
  <c r="D260" i="2"/>
  <c r="E260" i="2" s="1"/>
  <c r="D259" i="2"/>
  <c r="E259" i="2" s="1"/>
  <c r="D258" i="2"/>
  <c r="E258" i="2" s="1"/>
  <c r="D257" i="2"/>
  <c r="E257" i="2" s="1"/>
  <c r="D256" i="2"/>
  <c r="E256" i="2" s="1"/>
  <c r="D255" i="2"/>
  <c r="E255" i="2" s="1"/>
  <c r="D254" i="2"/>
  <c r="E254" i="2" s="1"/>
  <c r="D253" i="2"/>
  <c r="E253" i="2" s="1"/>
  <c r="D252" i="2"/>
  <c r="E252" i="2" s="1"/>
  <c r="D251" i="2"/>
  <c r="E251" i="2" s="1"/>
  <c r="D250" i="2"/>
  <c r="E250" i="2" s="1"/>
  <c r="D249" i="2"/>
  <c r="E249" i="2" s="1"/>
  <c r="D248" i="2"/>
  <c r="E248" i="2" s="1"/>
  <c r="D247" i="2"/>
  <c r="E247" i="2" s="1"/>
  <c r="D246" i="2"/>
  <c r="E246" i="2" s="1"/>
  <c r="D245" i="2"/>
  <c r="E245" i="2" s="1"/>
  <c r="D244" i="2"/>
  <c r="E244" i="2" s="1"/>
  <c r="D243" i="2"/>
  <c r="E243" i="2" s="1"/>
  <c r="D242" i="2"/>
  <c r="E242" i="2" s="1"/>
  <c r="D241" i="2"/>
  <c r="E241" i="2" s="1"/>
  <c r="D240" i="2"/>
  <c r="E240" i="2" s="1"/>
  <c r="D239" i="2"/>
  <c r="E239" i="2" s="1"/>
  <c r="D238" i="2"/>
  <c r="E238" i="2" s="1"/>
  <c r="D237" i="2"/>
  <c r="E237" i="2" s="1"/>
  <c r="D236" i="2"/>
  <c r="E236" i="2" s="1"/>
  <c r="D235" i="2"/>
  <c r="E235" i="2" s="1"/>
  <c r="D234" i="2"/>
  <c r="E234" i="2" s="1"/>
  <c r="D233" i="2"/>
  <c r="E233" i="2" s="1"/>
  <c r="D232" i="2"/>
  <c r="E232" i="2" s="1"/>
  <c r="D231" i="2"/>
  <c r="E231" i="2" s="1"/>
  <c r="D230" i="2"/>
  <c r="E230" i="2" s="1"/>
  <c r="D229" i="2"/>
  <c r="E229" i="2" s="1"/>
  <c r="D228" i="2"/>
  <c r="E228" i="2" s="1"/>
  <c r="D227" i="2"/>
  <c r="E227" i="2" s="1"/>
  <c r="D226" i="2"/>
  <c r="E226" i="2" s="1"/>
  <c r="D225" i="2"/>
  <c r="E225" i="2" s="1"/>
  <c r="D224" i="2"/>
  <c r="E224" i="2" s="1"/>
  <c r="D223" i="2"/>
  <c r="E223" i="2" s="1"/>
  <c r="D222" i="2"/>
  <c r="E222" i="2" s="1"/>
  <c r="D221" i="2"/>
  <c r="E221" i="2" s="1"/>
  <c r="D220" i="2"/>
  <c r="E220" i="2" s="1"/>
  <c r="D219" i="2"/>
  <c r="E219" i="2" s="1"/>
  <c r="D218" i="2"/>
  <c r="E218" i="2" s="1"/>
  <c r="D217" i="2"/>
  <c r="E217" i="2" s="1"/>
  <c r="D216" i="2"/>
  <c r="E216" i="2" s="1"/>
  <c r="D215" i="2"/>
  <c r="E215" i="2" s="1"/>
  <c r="D214" i="2"/>
  <c r="E214" i="2" s="1"/>
  <c r="D213" i="2"/>
  <c r="E213" i="2" s="1"/>
  <c r="D212" i="2"/>
  <c r="E212" i="2" s="1"/>
  <c r="D211" i="2"/>
  <c r="E211" i="2" s="1"/>
  <c r="D210" i="2"/>
  <c r="E210" i="2" s="1"/>
  <c r="D209" i="2"/>
  <c r="E209" i="2" s="1"/>
  <c r="D208" i="2"/>
  <c r="E208" i="2" s="1"/>
  <c r="D207" i="2"/>
  <c r="E207" i="2" s="1"/>
  <c r="D206" i="2"/>
  <c r="E206" i="2" s="1"/>
  <c r="D205" i="2"/>
  <c r="E205" i="2" s="1"/>
  <c r="D204" i="2"/>
  <c r="E204" i="2" s="1"/>
  <c r="D203" i="2"/>
  <c r="E203" i="2" s="1"/>
  <c r="D202" i="2"/>
  <c r="E202" i="2" s="1"/>
  <c r="D201" i="2"/>
  <c r="E201" i="2" s="1"/>
  <c r="D200" i="2"/>
  <c r="E200" i="2" s="1"/>
  <c r="D199" i="2"/>
  <c r="E199" i="2" s="1"/>
  <c r="D198" i="2"/>
  <c r="E198" i="2" s="1"/>
  <c r="D197" i="2"/>
  <c r="E197" i="2" s="1"/>
  <c r="D196" i="2"/>
  <c r="E196" i="2" s="1"/>
  <c r="D195" i="2"/>
  <c r="E195" i="2" s="1"/>
  <c r="D194" i="2"/>
  <c r="E194" i="2" s="1"/>
  <c r="D193" i="2"/>
  <c r="E193" i="2" s="1"/>
  <c r="D192" i="2"/>
  <c r="E192" i="2" s="1"/>
  <c r="D191" i="2"/>
  <c r="E191" i="2" s="1"/>
  <c r="D190" i="2"/>
  <c r="E190" i="2" s="1"/>
  <c r="D189" i="2"/>
  <c r="E189" i="2" s="1"/>
  <c r="D188" i="2"/>
  <c r="E188" i="2" s="1"/>
  <c r="D187" i="2"/>
  <c r="E187" i="2" s="1"/>
  <c r="D186" i="2"/>
  <c r="E186" i="2" s="1"/>
  <c r="D185" i="2"/>
  <c r="E185" i="2" s="1"/>
  <c r="D184" i="2"/>
  <c r="E184" i="2" s="1"/>
  <c r="D183" i="2"/>
  <c r="E183" i="2" s="1"/>
  <c r="D182" i="2"/>
  <c r="E182" i="2" s="1"/>
  <c r="D181" i="2"/>
  <c r="E181" i="2" s="1"/>
  <c r="D180" i="2"/>
  <c r="E180" i="2" s="1"/>
  <c r="D179" i="2"/>
  <c r="E179" i="2" s="1"/>
  <c r="D178" i="2"/>
  <c r="E178" i="2" s="1"/>
  <c r="D177" i="2"/>
  <c r="E177" i="2" s="1"/>
  <c r="D176" i="2"/>
  <c r="E176" i="2" s="1"/>
  <c r="D175" i="2"/>
  <c r="E175" i="2" s="1"/>
  <c r="D174" i="2"/>
  <c r="E174" i="2" s="1"/>
  <c r="D173" i="2"/>
  <c r="E173" i="2" s="1"/>
  <c r="D172" i="2"/>
  <c r="E172" i="2" s="1"/>
  <c r="D171" i="2"/>
  <c r="E171" i="2" s="1"/>
  <c r="D170" i="2"/>
  <c r="E170" i="2" s="1"/>
  <c r="D169" i="2"/>
  <c r="E169" i="2" s="1"/>
  <c r="D168" i="2"/>
  <c r="E168" i="2" s="1"/>
  <c r="D167" i="2"/>
  <c r="E167" i="2" s="1"/>
  <c r="D166" i="2"/>
  <c r="E166" i="2" s="1"/>
  <c r="D165" i="2"/>
  <c r="E165" i="2" s="1"/>
  <c r="D164" i="2"/>
  <c r="E164" i="2" s="1"/>
  <c r="D163" i="2"/>
  <c r="E163" i="2" s="1"/>
  <c r="D162" i="2"/>
  <c r="E162" i="2" s="1"/>
  <c r="D161" i="2"/>
  <c r="E161" i="2" s="1"/>
  <c r="D160" i="2"/>
  <c r="E160" i="2" s="1"/>
  <c r="D159" i="2"/>
  <c r="E159" i="2" s="1"/>
  <c r="D158" i="2"/>
  <c r="E158" i="2" s="1"/>
  <c r="D157" i="2"/>
  <c r="E157" i="2" s="1"/>
  <c r="D156" i="2"/>
  <c r="E156" i="2" s="1"/>
  <c r="D155" i="2"/>
  <c r="E155" i="2" s="1"/>
  <c r="D154" i="2"/>
  <c r="E154" i="2" s="1"/>
  <c r="D153" i="2"/>
  <c r="E153" i="2" s="1"/>
  <c r="D152" i="2"/>
  <c r="E152" i="2" s="1"/>
  <c r="D151" i="2"/>
  <c r="E151" i="2" s="1"/>
  <c r="D150" i="2"/>
  <c r="E150" i="2" s="1"/>
  <c r="D149" i="2"/>
  <c r="E149" i="2" s="1"/>
  <c r="D148" i="2"/>
  <c r="E148" i="2" s="1"/>
  <c r="D147" i="2"/>
  <c r="E147" i="2" s="1"/>
  <c r="D146" i="2"/>
  <c r="E146" i="2" s="1"/>
  <c r="D145" i="2"/>
  <c r="E145" i="2" s="1"/>
  <c r="D144" i="2"/>
  <c r="E144" i="2" s="1"/>
  <c r="D143" i="2"/>
  <c r="E143" i="2" s="1"/>
  <c r="D142" i="2"/>
  <c r="E142" i="2" s="1"/>
  <c r="D141" i="2"/>
  <c r="E141" i="2" s="1"/>
  <c r="D140" i="2"/>
  <c r="E140" i="2" s="1"/>
  <c r="D139" i="2"/>
  <c r="E139" i="2" s="1"/>
  <c r="D138" i="2"/>
  <c r="E138" i="2" s="1"/>
  <c r="D137" i="2"/>
  <c r="E137" i="2" s="1"/>
  <c r="D136" i="2"/>
  <c r="E136" i="2" s="1"/>
  <c r="D135" i="2"/>
  <c r="E135" i="2" s="1"/>
  <c r="E134" i="2"/>
  <c r="D134" i="2"/>
  <c r="D133" i="2"/>
  <c r="E133" i="2" s="1"/>
  <c r="D132" i="2"/>
  <c r="E132" i="2" s="1"/>
  <c r="D131" i="2"/>
  <c r="E131" i="2" s="1"/>
  <c r="D130" i="2"/>
  <c r="E130" i="2" s="1"/>
  <c r="D129" i="2"/>
  <c r="E129" i="2" s="1"/>
  <c r="D128" i="2"/>
  <c r="E128" i="2" s="1"/>
  <c r="D127" i="2"/>
  <c r="E127" i="2" s="1"/>
  <c r="D126" i="2"/>
  <c r="E126" i="2" s="1"/>
  <c r="D125" i="2"/>
  <c r="E125" i="2" s="1"/>
  <c r="D124" i="2"/>
  <c r="E124" i="2" s="1"/>
  <c r="D123" i="2"/>
  <c r="E123" i="2" s="1"/>
  <c r="D122" i="2"/>
  <c r="E122" i="2" s="1"/>
  <c r="D121" i="2"/>
  <c r="E121" i="2" s="1"/>
  <c r="D120" i="2"/>
  <c r="E120" i="2" s="1"/>
  <c r="D119" i="2"/>
  <c r="E119" i="2" s="1"/>
  <c r="D118" i="2"/>
  <c r="E118" i="2" s="1"/>
  <c r="D117" i="2"/>
  <c r="E117" i="2" s="1"/>
  <c r="D116" i="2"/>
  <c r="E116" i="2" s="1"/>
  <c r="D115" i="2"/>
  <c r="E115" i="2" s="1"/>
  <c r="D114" i="2"/>
  <c r="E114" i="2" s="1"/>
  <c r="D113" i="2"/>
  <c r="E113" i="2" s="1"/>
  <c r="D112" i="2"/>
  <c r="E112" i="2" s="1"/>
  <c r="D111" i="2"/>
  <c r="E111" i="2" s="1"/>
  <c r="D110" i="2"/>
  <c r="E110" i="2" s="1"/>
  <c r="D109" i="2"/>
  <c r="E109" i="2" s="1"/>
  <c r="D108" i="2"/>
  <c r="E108" i="2" s="1"/>
  <c r="D107" i="2"/>
  <c r="E107" i="2" s="1"/>
  <c r="D106" i="2"/>
  <c r="E106" i="2" s="1"/>
  <c r="D105" i="2"/>
  <c r="E105" i="2" s="1"/>
  <c r="D104" i="2"/>
  <c r="E104" i="2" s="1"/>
  <c r="D103" i="2"/>
  <c r="E103" i="2" s="1"/>
  <c r="D102" i="2"/>
  <c r="E102" i="2" s="1"/>
  <c r="D101" i="2"/>
  <c r="E101" i="2" s="1"/>
  <c r="D100" i="2"/>
  <c r="E100" i="2" s="1"/>
  <c r="D99" i="2"/>
  <c r="E99" i="2" s="1"/>
  <c r="D98" i="2"/>
  <c r="E98" i="2" s="1"/>
  <c r="D97" i="2"/>
  <c r="E97" i="2" s="1"/>
  <c r="D96" i="2"/>
  <c r="E96" i="2" s="1"/>
  <c r="D95" i="2"/>
  <c r="E95" i="2" s="1"/>
  <c r="D94" i="2"/>
  <c r="E94" i="2" s="1"/>
  <c r="D93" i="2"/>
  <c r="E93" i="2" s="1"/>
  <c r="D92" i="2"/>
  <c r="E92" i="2" s="1"/>
  <c r="D91" i="2"/>
  <c r="E91" i="2" s="1"/>
  <c r="D90" i="2"/>
  <c r="E90" i="2" s="1"/>
  <c r="D89" i="2"/>
  <c r="E89" i="2" s="1"/>
  <c r="D88" i="2"/>
  <c r="E88" i="2" s="1"/>
  <c r="D87" i="2"/>
  <c r="E87" i="2" s="1"/>
  <c r="D86" i="2"/>
  <c r="E86" i="2" s="1"/>
  <c r="D85" i="2"/>
  <c r="E85" i="2" s="1"/>
  <c r="D84" i="2"/>
  <c r="E84" i="2" s="1"/>
  <c r="D83" i="2"/>
  <c r="E83" i="2" s="1"/>
  <c r="D82" i="2"/>
  <c r="E82" i="2" s="1"/>
  <c r="D81" i="2"/>
  <c r="E81" i="2" s="1"/>
  <c r="D80" i="2"/>
  <c r="E80" i="2" s="1"/>
  <c r="D79" i="2"/>
  <c r="E79" i="2" s="1"/>
  <c r="D78" i="2"/>
  <c r="E78" i="2" s="1"/>
  <c r="D77" i="2"/>
  <c r="E77" i="2" s="1"/>
  <c r="D76" i="2"/>
  <c r="E76" i="2" s="1"/>
  <c r="D75" i="2"/>
  <c r="E75" i="2" s="1"/>
  <c r="D74" i="2"/>
  <c r="E74" i="2" s="1"/>
  <c r="D73" i="2"/>
  <c r="E73" i="2" s="1"/>
  <c r="D72" i="2"/>
  <c r="E72" i="2" s="1"/>
  <c r="D71" i="2"/>
  <c r="E71" i="2" s="1"/>
  <c r="D70" i="2"/>
  <c r="E70" i="2" s="1"/>
  <c r="D69" i="2"/>
  <c r="E69" i="2" s="1"/>
  <c r="D68" i="2"/>
  <c r="E68" i="2" s="1"/>
  <c r="D67" i="2"/>
  <c r="E67" i="2" s="1"/>
  <c r="D66" i="2"/>
  <c r="E66" i="2" s="1"/>
  <c r="D65" i="2"/>
  <c r="E65" i="2" s="1"/>
  <c r="D64" i="2"/>
  <c r="E64" i="2" s="1"/>
  <c r="D63" i="2"/>
  <c r="E63" i="2" s="1"/>
  <c r="D62" i="2"/>
  <c r="E62" i="2" s="1"/>
  <c r="D61" i="2"/>
  <c r="E61" i="2" s="1"/>
  <c r="D60" i="2"/>
  <c r="E60" i="2" s="1"/>
  <c r="D59" i="2"/>
  <c r="E59" i="2" s="1"/>
  <c r="D58" i="2"/>
  <c r="E58" i="2" s="1"/>
  <c r="D57" i="2"/>
  <c r="E57" i="2" s="1"/>
  <c r="D56" i="2"/>
  <c r="E56" i="2" s="1"/>
  <c r="D55" i="2"/>
  <c r="E55" i="2" s="1"/>
  <c r="D54" i="2"/>
  <c r="E54" i="2" s="1"/>
  <c r="D53" i="2"/>
  <c r="E53" i="2" s="1"/>
  <c r="D52" i="2"/>
  <c r="E52" i="2" s="1"/>
  <c r="D51" i="2"/>
  <c r="E51" i="2" s="1"/>
  <c r="D50" i="2"/>
  <c r="E50" i="2" s="1"/>
  <c r="D49" i="2"/>
  <c r="E49" i="2" s="1"/>
  <c r="D48" i="2"/>
  <c r="E48" i="2" s="1"/>
  <c r="D47" i="2"/>
  <c r="E47" i="2" s="1"/>
  <c r="D46" i="2"/>
  <c r="E46" i="2" s="1"/>
  <c r="D45" i="2"/>
  <c r="E45" i="2" s="1"/>
  <c r="D44" i="2"/>
  <c r="E44" i="2" s="1"/>
  <c r="D43" i="2"/>
  <c r="E43" i="2" s="1"/>
  <c r="D42" i="2"/>
  <c r="E42" i="2" s="1"/>
  <c r="D41" i="2"/>
  <c r="E41" i="2" s="1"/>
  <c r="D40" i="2"/>
  <c r="E40" i="2" s="1"/>
  <c r="D39" i="2"/>
  <c r="E39" i="2" s="1"/>
  <c r="D38" i="2"/>
  <c r="E38" i="2" s="1"/>
  <c r="D37" i="2"/>
  <c r="E37" i="2" s="1"/>
  <c r="D36" i="2"/>
  <c r="E36" i="2" s="1"/>
  <c r="D35" i="2"/>
  <c r="E35" i="2" s="1"/>
  <c r="D34" i="2"/>
  <c r="E34" i="2" s="1"/>
  <c r="D33" i="2"/>
  <c r="E33" i="2" s="1"/>
  <c r="D32" i="2"/>
  <c r="E32" i="2" s="1"/>
  <c r="D31" i="2"/>
  <c r="E31" i="2" s="1"/>
  <c r="D30" i="2"/>
  <c r="E30" i="2" s="1"/>
  <c r="D29" i="2"/>
  <c r="E29" i="2" s="1"/>
  <c r="G28" i="2"/>
  <c r="F28" i="2"/>
  <c r="E28" i="2"/>
  <c r="D28" i="2"/>
  <c r="G27" i="2"/>
  <c r="F27" i="2"/>
  <c r="E27" i="2"/>
  <c r="D27" i="2"/>
  <c r="G26" i="2"/>
  <c r="F26" i="2"/>
  <c r="E26" i="2"/>
  <c r="D26" i="2"/>
  <c r="G25" i="2"/>
  <c r="F25" i="2"/>
  <c r="E25" i="2"/>
  <c r="D25" i="2"/>
  <c r="G24" i="2"/>
  <c r="F24" i="2"/>
  <c r="E24" i="2"/>
  <c r="D24" i="2"/>
  <c r="G23" i="2"/>
  <c r="F23" i="2"/>
  <c r="E23" i="2"/>
  <c r="D23" i="2"/>
  <c r="G22" i="2"/>
  <c r="F22" i="2"/>
  <c r="E22" i="2"/>
  <c r="D22" i="2"/>
  <c r="G21" i="2"/>
  <c r="F21" i="2"/>
  <c r="E21" i="2"/>
  <c r="D21" i="2"/>
  <c r="G20" i="2"/>
  <c r="F20" i="2"/>
  <c r="E20" i="2"/>
  <c r="D20" i="2"/>
  <c r="G19" i="2"/>
  <c r="F19" i="2"/>
  <c r="E19" i="2"/>
  <c r="D19" i="2"/>
  <c r="G18" i="2"/>
  <c r="F18" i="2"/>
  <c r="E18" i="2"/>
  <c r="D18" i="2"/>
  <c r="G17" i="2"/>
  <c r="F17" i="2"/>
  <c r="E17" i="2"/>
  <c r="D17" i="2"/>
  <c r="G16" i="2"/>
  <c r="F16" i="2"/>
  <c r="E16" i="2"/>
  <c r="D16" i="2"/>
  <c r="G15" i="2"/>
  <c r="F15" i="2"/>
  <c r="E15" i="2"/>
  <c r="D15" i="2"/>
  <c r="G14" i="2"/>
  <c r="F14" i="2"/>
  <c r="E14" i="2"/>
  <c r="D14" i="2"/>
  <c r="G13" i="2"/>
  <c r="F13" i="2"/>
  <c r="E13" i="2"/>
  <c r="D13" i="2"/>
  <c r="G12" i="2"/>
  <c r="F12" i="2"/>
  <c r="E12" i="2"/>
  <c r="D12" i="2"/>
  <c r="G11" i="2"/>
  <c r="F11" i="2"/>
  <c r="E11" i="2"/>
  <c r="D11" i="2"/>
  <c r="G10" i="2"/>
  <c r="F10" i="2"/>
  <c r="E10" i="2"/>
  <c r="D10" i="2"/>
  <c r="G9" i="2"/>
  <c r="F9" i="2"/>
  <c r="E9" i="2"/>
  <c r="D9" i="2"/>
  <c r="G8" i="2"/>
  <c r="F8" i="2"/>
  <c r="E8" i="2"/>
  <c r="D8" i="2"/>
  <c r="G7" i="2"/>
  <c r="F7" i="2"/>
  <c r="E7" i="2"/>
  <c r="D7" i="2"/>
  <c r="G6" i="2"/>
  <c r="F6" i="2"/>
  <c r="E6" i="2"/>
  <c r="D6" i="2"/>
  <c r="G5" i="2"/>
  <c r="F5" i="2"/>
  <c r="E5" i="2"/>
  <c r="D5" i="2"/>
  <c r="G4" i="2"/>
  <c r="F4" i="2"/>
  <c r="E4" i="2"/>
  <c r="D4" i="2"/>
  <c r="B20" i="1"/>
  <c r="AI437" i="5" l="1"/>
  <c r="AH437" i="5"/>
  <c r="AI436" i="5"/>
  <c r="AH436" i="5"/>
  <c r="AI435" i="5"/>
  <c r="AH435" i="5"/>
  <c r="AI434" i="5"/>
  <c r="AH434" i="5"/>
  <c r="AI433" i="5"/>
  <c r="AH433" i="5"/>
  <c r="AI432" i="5"/>
  <c r="AH432" i="5"/>
  <c r="AI431" i="5"/>
  <c r="AH431" i="5"/>
  <c r="AI430" i="5"/>
  <c r="AH430" i="5"/>
  <c r="AI429" i="5"/>
  <c r="AH429" i="5"/>
  <c r="AI428" i="5"/>
  <c r="AH428" i="5"/>
  <c r="AI427" i="5"/>
  <c r="AH427" i="5"/>
  <c r="AI426" i="5"/>
  <c r="AH426" i="5"/>
  <c r="AI425" i="5"/>
  <c r="AH425" i="5"/>
  <c r="AI424" i="5"/>
  <c r="AH424" i="5"/>
  <c r="AI423" i="5"/>
  <c r="AH423" i="5"/>
  <c r="AI422" i="5"/>
  <c r="AH422" i="5"/>
  <c r="AI421" i="5"/>
  <c r="AH421" i="5"/>
  <c r="AI420" i="5"/>
  <c r="AH420" i="5"/>
  <c r="AI419" i="5"/>
  <c r="AH419" i="5"/>
  <c r="AI418" i="5"/>
  <c r="AH418" i="5"/>
  <c r="AI417" i="5"/>
  <c r="AH417" i="5"/>
  <c r="AI416" i="5"/>
  <c r="AH416" i="5"/>
  <c r="G415" i="5"/>
  <c r="F415" i="5"/>
  <c r="AH414" i="5"/>
  <c r="AI414" i="5"/>
  <c r="AI413" i="5"/>
  <c r="AH413" i="5"/>
  <c r="AH412" i="5"/>
  <c r="AI412" i="5"/>
  <c r="AI411" i="5"/>
  <c r="AH411" i="5"/>
  <c r="AH410" i="5"/>
  <c r="AI410" i="5"/>
  <c r="AH409" i="5"/>
  <c r="AI409" i="5"/>
  <c r="AH408" i="5"/>
  <c r="AI408" i="5"/>
  <c r="AH407" i="5"/>
  <c r="AI407" i="5"/>
  <c r="AH406" i="5"/>
  <c r="AI406" i="5"/>
  <c r="AI405" i="5"/>
  <c r="AH405" i="5"/>
  <c r="AI404" i="5"/>
  <c r="AH404" i="5"/>
  <c r="AI403" i="5"/>
  <c r="AH403" i="5"/>
  <c r="AI402" i="5"/>
  <c r="AH402" i="5"/>
  <c r="AI401" i="5"/>
  <c r="AH401" i="5"/>
  <c r="AH400" i="5"/>
  <c r="AI400" i="5"/>
  <c r="AH399" i="5"/>
  <c r="AI399" i="5"/>
  <c r="AH398" i="5"/>
  <c r="AI398" i="5"/>
  <c r="AH397" i="5"/>
  <c r="AI397" i="5"/>
  <c r="AH396" i="5"/>
  <c r="AI396" i="5"/>
  <c r="AI395" i="5"/>
  <c r="AH395" i="5"/>
  <c r="AI394" i="5"/>
  <c r="AH394" i="5"/>
  <c r="G393" i="5"/>
  <c r="F393" i="5"/>
  <c r="AH392" i="5"/>
  <c r="AI392" i="5"/>
  <c r="AH391" i="5"/>
  <c r="AI391" i="5"/>
  <c r="AH390" i="5"/>
  <c r="AI390" i="5"/>
  <c r="AI389" i="5"/>
  <c r="AH389" i="5"/>
  <c r="AI388" i="5"/>
  <c r="AH388" i="5"/>
  <c r="AI387" i="5"/>
  <c r="AH387" i="5"/>
  <c r="AH386" i="5"/>
  <c r="AI386" i="5"/>
  <c r="AH385" i="5"/>
  <c r="AI385" i="5"/>
  <c r="AI384" i="5"/>
  <c r="AH384" i="5"/>
  <c r="AI383" i="5"/>
  <c r="AH383" i="5"/>
  <c r="AH382" i="5"/>
  <c r="AI382" i="5"/>
  <c r="AH381" i="5"/>
  <c r="AI381" i="5"/>
  <c r="AI380" i="5"/>
  <c r="AH380" i="5"/>
  <c r="AI379" i="5"/>
  <c r="AH379" i="5"/>
  <c r="AH378" i="5"/>
  <c r="AI378" i="5"/>
  <c r="AI377" i="5"/>
  <c r="AH377" i="5"/>
  <c r="AI376" i="5"/>
  <c r="AH376" i="5"/>
  <c r="AI375" i="5"/>
  <c r="AH375" i="5"/>
  <c r="AH374" i="5"/>
  <c r="AI374" i="5"/>
  <c r="AH373" i="5"/>
  <c r="AI373" i="5"/>
  <c r="AI372" i="5"/>
  <c r="AH372" i="5"/>
  <c r="AI371" i="5"/>
  <c r="AH371" i="5"/>
  <c r="AI370" i="5"/>
  <c r="AH370" i="5"/>
  <c r="AH369" i="5"/>
  <c r="AI369" i="5"/>
  <c r="AI368" i="5"/>
  <c r="AH368" i="5"/>
  <c r="AI367" i="5"/>
  <c r="AH367" i="5"/>
  <c r="AI366" i="5"/>
  <c r="AH366" i="5"/>
  <c r="AH365" i="5"/>
  <c r="AI365" i="5"/>
  <c r="AI364" i="5"/>
  <c r="AH364" i="5"/>
  <c r="AI363" i="5"/>
  <c r="AH363" i="5"/>
  <c r="AH362" i="5"/>
  <c r="AI362" i="5"/>
  <c r="AI361" i="5"/>
  <c r="AH361" i="5"/>
  <c r="AH360" i="5"/>
  <c r="AI360" i="5"/>
  <c r="AH359" i="5"/>
  <c r="AI359" i="5"/>
  <c r="AH358" i="5"/>
  <c r="AI358" i="5"/>
  <c r="AI357" i="5"/>
  <c r="AH357" i="5"/>
  <c r="AH356" i="5"/>
  <c r="AI356" i="5"/>
  <c r="AH355" i="5"/>
  <c r="AI355" i="5"/>
  <c r="AI354" i="5"/>
  <c r="AH354" i="5"/>
  <c r="AI353" i="5"/>
  <c r="AH353" i="5"/>
  <c r="AI352" i="5"/>
  <c r="AH352" i="5"/>
  <c r="AH351" i="5"/>
  <c r="AI351" i="5"/>
  <c r="AI350" i="5"/>
  <c r="AH350" i="5"/>
  <c r="G349" i="5"/>
  <c r="F349" i="5"/>
  <c r="AH348" i="5"/>
  <c r="AI348" i="5"/>
  <c r="AH347" i="5"/>
  <c r="AI347" i="5"/>
  <c r="AI346" i="5"/>
  <c r="AH346" i="5"/>
  <c r="AH345" i="5"/>
  <c r="AI345" i="5"/>
  <c r="AH344" i="5"/>
  <c r="AI344" i="5"/>
  <c r="AI343" i="5"/>
  <c r="AH343" i="5"/>
  <c r="AI342" i="5"/>
  <c r="AH342" i="5"/>
  <c r="AI341" i="5"/>
  <c r="AH341" i="5"/>
  <c r="AI340" i="5"/>
  <c r="AH340" i="5"/>
  <c r="AH339" i="5"/>
  <c r="AI339" i="5"/>
  <c r="AH338" i="5"/>
  <c r="AI338" i="5"/>
  <c r="AH337" i="5"/>
  <c r="AI337" i="5"/>
  <c r="AH336" i="5"/>
  <c r="AI336" i="5"/>
  <c r="AI335" i="5"/>
  <c r="AH335" i="5"/>
  <c r="AH334" i="5"/>
  <c r="AI334" i="5"/>
  <c r="AI333" i="5"/>
  <c r="AH333" i="5"/>
  <c r="AI332" i="5"/>
  <c r="AH332" i="5"/>
  <c r="AH331" i="5"/>
  <c r="AI331" i="5"/>
  <c r="AH330" i="5"/>
  <c r="AI330" i="5"/>
  <c r="AH329" i="5"/>
  <c r="AI329" i="5"/>
  <c r="AI328" i="5"/>
  <c r="AH328" i="5"/>
  <c r="G327" i="5"/>
  <c r="F327" i="5"/>
  <c r="AH326" i="5"/>
  <c r="AI326" i="5"/>
  <c r="AI325" i="5"/>
  <c r="AH325" i="5"/>
  <c r="AI324" i="5"/>
  <c r="AH324" i="5"/>
  <c r="AH323" i="5"/>
  <c r="AI323" i="5"/>
  <c r="AH322" i="5"/>
  <c r="AI322" i="5"/>
  <c r="AH321" i="5"/>
  <c r="AI321" i="5"/>
  <c r="AI320" i="5"/>
  <c r="AH320" i="5"/>
  <c r="AH319" i="5"/>
  <c r="AI319" i="5"/>
  <c r="AH318" i="5"/>
  <c r="AI318" i="5"/>
  <c r="AH317" i="5"/>
  <c r="AI317" i="5"/>
  <c r="AI316" i="5"/>
  <c r="AH316" i="5"/>
  <c r="AI315" i="5"/>
  <c r="AH315" i="5"/>
  <c r="AH314" i="5"/>
  <c r="AI314" i="5"/>
  <c r="AI313" i="5"/>
  <c r="AH313" i="5"/>
  <c r="AI312" i="5"/>
  <c r="AH312" i="5"/>
  <c r="AI311" i="5"/>
  <c r="AH311" i="5"/>
  <c r="AI310" i="5"/>
  <c r="AH310" i="5"/>
  <c r="AI309" i="5"/>
  <c r="AH309" i="5"/>
  <c r="AH308" i="5"/>
  <c r="AI308" i="5"/>
  <c r="AH307" i="5"/>
  <c r="AI307" i="5"/>
  <c r="AI306" i="5"/>
  <c r="AH306" i="5"/>
  <c r="G305" i="5"/>
  <c r="F305" i="5"/>
  <c r="AI304" i="5"/>
  <c r="AH304" i="5"/>
  <c r="AH303" i="5"/>
  <c r="AI303" i="5"/>
  <c r="AH302" i="5"/>
  <c r="AI302" i="5"/>
  <c r="AH301" i="5"/>
  <c r="AI301" i="5"/>
  <c r="AI300" i="5"/>
  <c r="AH300" i="5"/>
  <c r="AH299" i="5"/>
  <c r="AI299" i="5"/>
  <c r="AH298" i="5"/>
  <c r="AI298" i="5"/>
  <c r="AI297" i="5"/>
  <c r="AH297" i="5"/>
  <c r="AH296" i="5"/>
  <c r="AI296" i="5"/>
  <c r="AH295" i="5"/>
  <c r="AI295" i="5"/>
  <c r="AI294" i="5"/>
  <c r="AH294" i="5"/>
  <c r="AI293" i="5"/>
  <c r="AH293" i="5"/>
  <c r="AH292" i="5"/>
  <c r="AI292" i="5"/>
  <c r="AH291" i="5"/>
  <c r="AI291" i="5"/>
  <c r="AI290" i="5"/>
  <c r="AH290" i="5"/>
  <c r="AH289" i="5"/>
  <c r="AI289" i="5"/>
  <c r="AH288" i="5"/>
  <c r="AI288" i="5"/>
  <c r="AH287" i="5"/>
  <c r="AI287" i="5"/>
  <c r="AH286" i="5"/>
  <c r="AI286" i="5"/>
  <c r="AI285" i="5"/>
  <c r="AH285" i="5"/>
  <c r="AI284" i="5"/>
  <c r="AH284" i="5"/>
  <c r="G283" i="5"/>
  <c r="F283" i="5"/>
  <c r="AH282" i="5"/>
  <c r="AI282" i="5"/>
  <c r="AH281" i="5"/>
  <c r="AI281" i="5"/>
  <c r="AI280" i="5"/>
  <c r="AH280" i="5"/>
  <c r="AI279" i="5"/>
  <c r="AH279" i="5"/>
  <c r="AI278" i="5"/>
  <c r="AH278" i="5"/>
  <c r="AI277" i="5"/>
  <c r="AH277" i="5"/>
  <c r="AI276" i="5"/>
  <c r="AH276" i="5"/>
  <c r="AI275" i="5"/>
  <c r="AH275" i="5"/>
  <c r="AI274" i="5"/>
  <c r="AH274" i="5"/>
  <c r="AI273" i="5"/>
  <c r="AH273" i="5"/>
  <c r="AH272" i="5"/>
  <c r="AI272" i="5"/>
  <c r="AH271" i="5"/>
  <c r="AI271" i="5"/>
  <c r="AH270" i="5"/>
  <c r="AI270" i="5"/>
  <c r="AI269" i="5"/>
  <c r="AH269" i="5"/>
  <c r="AH268" i="5"/>
  <c r="AI268" i="5"/>
  <c r="AH267" i="5"/>
  <c r="AI267" i="5"/>
  <c r="AH266" i="5"/>
  <c r="AI266" i="5"/>
  <c r="AH265" i="5"/>
  <c r="AI265" i="5"/>
  <c r="AI264" i="5"/>
  <c r="AH264" i="5"/>
  <c r="AH263" i="5"/>
  <c r="AI263" i="5"/>
  <c r="AH262" i="5"/>
  <c r="AI262" i="5"/>
  <c r="G261" i="5"/>
  <c r="F261" i="5"/>
  <c r="AH260" i="5"/>
  <c r="AI260" i="5"/>
  <c r="AH259" i="5"/>
  <c r="AI259" i="5"/>
  <c r="AI258" i="5"/>
  <c r="AH258" i="5"/>
  <c r="AI257" i="5"/>
  <c r="AH257" i="5"/>
  <c r="AI256" i="5"/>
  <c r="AH256" i="5"/>
  <c r="AH255" i="5"/>
  <c r="AI255" i="5"/>
  <c r="AI254" i="5"/>
  <c r="AH254" i="5"/>
  <c r="AI253" i="5"/>
  <c r="AH253" i="5"/>
  <c r="AH252" i="5"/>
  <c r="AI252" i="5"/>
  <c r="AI251" i="5"/>
  <c r="AH251" i="5"/>
  <c r="AI250" i="5"/>
  <c r="AH250" i="5"/>
  <c r="AH249" i="5"/>
  <c r="AI249" i="5"/>
  <c r="AI248" i="5"/>
  <c r="AH248" i="5"/>
  <c r="AH247" i="5"/>
  <c r="AI247" i="5"/>
  <c r="AI246" i="5"/>
  <c r="AH246" i="5"/>
  <c r="AH245" i="5"/>
  <c r="AI245" i="5"/>
  <c r="AI244" i="5"/>
  <c r="AH244" i="5"/>
  <c r="AI243" i="5"/>
  <c r="AH243" i="5"/>
  <c r="AI242" i="5"/>
  <c r="AH242" i="5"/>
  <c r="AI241" i="5"/>
  <c r="AH241" i="5"/>
  <c r="AH240" i="5"/>
  <c r="AI240" i="5"/>
  <c r="G239" i="5"/>
  <c r="F239" i="5"/>
  <c r="AI238" i="5"/>
  <c r="AH238" i="5"/>
  <c r="AI237" i="5"/>
  <c r="AH237" i="5"/>
  <c r="AI236" i="5"/>
  <c r="AH236" i="5"/>
  <c r="AI235" i="5"/>
  <c r="AH235" i="5"/>
  <c r="AI234" i="5"/>
  <c r="AH234" i="5"/>
  <c r="AI233" i="5"/>
  <c r="AH233" i="5"/>
  <c r="AH232" i="5"/>
  <c r="AI232" i="5"/>
  <c r="AI231" i="5"/>
  <c r="AH231" i="5"/>
  <c r="AI230" i="5"/>
  <c r="AH230" i="5"/>
  <c r="AI229" i="5"/>
  <c r="AH229" i="5"/>
  <c r="AI228" i="5"/>
  <c r="AH228" i="5"/>
  <c r="AI227" i="5"/>
  <c r="AH227" i="5"/>
  <c r="AI226" i="5"/>
  <c r="AH226" i="5"/>
  <c r="AI225" i="5"/>
  <c r="AH225" i="5"/>
  <c r="AI224" i="5"/>
  <c r="AH224" i="5"/>
  <c r="AI223" i="5"/>
  <c r="AH223" i="5"/>
  <c r="AI222" i="5"/>
  <c r="AH222" i="5"/>
  <c r="AI221" i="5"/>
  <c r="AH221" i="5"/>
  <c r="AH220" i="5"/>
  <c r="AI220" i="5"/>
  <c r="AH219" i="5"/>
  <c r="AI219" i="5"/>
  <c r="AI218" i="5"/>
  <c r="AH218" i="5"/>
  <c r="G217" i="5"/>
  <c r="F217" i="5"/>
  <c r="AI216" i="5"/>
  <c r="AH216" i="5"/>
  <c r="AH215" i="5"/>
  <c r="AI215" i="5"/>
  <c r="AH214" i="5"/>
  <c r="AI214" i="5"/>
  <c r="AI213" i="5"/>
  <c r="AH213" i="5"/>
  <c r="AH212" i="5"/>
  <c r="AI212" i="5"/>
  <c r="AI211" i="5"/>
  <c r="AH211" i="5"/>
  <c r="AH210" i="5"/>
  <c r="AI210" i="5"/>
  <c r="AI209" i="5"/>
  <c r="AH209" i="5"/>
  <c r="AH208" i="5"/>
  <c r="AI208" i="5"/>
  <c r="AI207" i="5"/>
  <c r="AH207" i="5"/>
  <c r="AI206" i="5"/>
  <c r="AH206" i="5"/>
  <c r="AI205" i="5"/>
  <c r="AH205" i="5"/>
  <c r="AH204" i="5"/>
  <c r="AI204" i="5"/>
  <c r="AI203" i="5"/>
  <c r="AH203" i="5"/>
  <c r="AI202" i="5"/>
  <c r="AH202" i="5"/>
  <c r="AI201" i="5"/>
  <c r="AH201" i="5"/>
  <c r="AI200" i="5"/>
  <c r="AH200" i="5"/>
  <c r="AI199" i="5"/>
  <c r="AH199" i="5"/>
  <c r="AI198" i="5"/>
  <c r="AH198" i="5"/>
  <c r="AI197" i="5"/>
  <c r="AH197" i="5"/>
  <c r="AH196" i="5"/>
  <c r="AI196" i="5"/>
  <c r="G195" i="5"/>
  <c r="F195" i="5"/>
  <c r="AH194" i="5"/>
  <c r="AI194" i="5"/>
  <c r="AH193" i="5"/>
  <c r="AI193" i="5"/>
  <c r="AI192" i="5"/>
  <c r="AH192" i="5"/>
  <c r="AI191" i="5"/>
  <c r="AH191" i="5"/>
  <c r="AI190" i="5"/>
  <c r="AH190" i="5"/>
  <c r="AH189" i="5"/>
  <c r="AI189" i="5"/>
  <c r="AI188" i="5"/>
  <c r="AH188" i="5"/>
  <c r="AI187" i="5"/>
  <c r="AH187" i="5"/>
  <c r="AI186" i="5"/>
  <c r="AH186" i="5"/>
  <c r="AI185" i="5"/>
  <c r="AH185" i="5"/>
  <c r="AI184" i="5"/>
  <c r="AH184" i="5"/>
  <c r="AI183" i="5"/>
  <c r="AH183" i="5"/>
  <c r="AI182" i="5"/>
  <c r="AH182" i="5"/>
  <c r="AI181" i="5"/>
  <c r="AH181" i="5"/>
  <c r="AH180" i="5"/>
  <c r="AI180" i="5"/>
  <c r="AH179" i="5"/>
  <c r="AI179" i="5"/>
  <c r="AH178" i="5"/>
  <c r="AI178" i="5"/>
  <c r="AH177" i="5"/>
  <c r="AI177" i="5"/>
  <c r="AI176" i="5"/>
  <c r="AH176" i="5"/>
  <c r="AH175" i="5"/>
  <c r="AI175" i="5"/>
  <c r="AH174" i="5"/>
  <c r="AI174" i="5"/>
  <c r="AI173" i="5"/>
  <c r="AH173" i="5"/>
  <c r="AI172" i="5"/>
  <c r="AH172" i="5"/>
  <c r="AI171" i="5"/>
  <c r="AH171" i="5"/>
  <c r="AI170" i="5"/>
  <c r="AH170" i="5"/>
  <c r="AI169" i="5"/>
  <c r="AH169" i="5"/>
  <c r="AI168" i="5"/>
  <c r="AH168" i="5"/>
  <c r="AH167" i="5"/>
  <c r="AI167" i="5"/>
  <c r="AH166" i="5"/>
  <c r="AI166" i="5"/>
  <c r="AI165" i="5"/>
  <c r="AH165" i="5"/>
  <c r="AI164" i="5"/>
  <c r="AH164" i="5"/>
  <c r="AH163" i="5"/>
  <c r="AI163" i="5"/>
  <c r="AH162" i="5"/>
  <c r="AI162" i="5"/>
  <c r="AH161" i="5"/>
  <c r="AI161" i="5"/>
  <c r="AI160" i="5"/>
  <c r="AH160" i="5"/>
  <c r="AH159" i="5"/>
  <c r="AI159" i="5"/>
  <c r="AI158" i="5"/>
  <c r="AH158" i="5"/>
  <c r="AI157" i="5"/>
  <c r="AH157" i="5"/>
  <c r="AI156" i="5"/>
  <c r="AH156" i="5"/>
  <c r="AI155" i="5"/>
  <c r="AH155" i="5"/>
  <c r="AH154" i="5"/>
  <c r="AI154" i="5"/>
  <c r="AI153" i="5"/>
  <c r="AH153" i="5"/>
  <c r="AH152" i="5"/>
  <c r="AI152" i="5"/>
  <c r="AH151" i="5"/>
  <c r="AI151" i="5"/>
  <c r="AH150" i="5"/>
  <c r="AI150" i="5"/>
  <c r="AI149" i="5"/>
  <c r="AH149" i="5"/>
  <c r="AH148" i="5"/>
  <c r="AI148" i="5"/>
  <c r="AH147" i="5"/>
  <c r="AI147" i="5"/>
  <c r="AH146" i="5"/>
  <c r="AI146" i="5"/>
  <c r="AH145" i="5"/>
  <c r="AI145" i="5"/>
  <c r="AH144" i="5"/>
  <c r="AI144" i="5"/>
  <c r="AH143" i="5"/>
  <c r="AI143" i="5"/>
  <c r="AI142" i="5"/>
  <c r="AH142" i="5"/>
  <c r="AI141" i="5"/>
  <c r="AH141" i="5"/>
  <c r="AH140" i="5"/>
  <c r="AI140" i="5"/>
  <c r="AH139" i="5"/>
  <c r="AI139" i="5"/>
  <c r="AI138" i="5"/>
  <c r="AH138" i="5"/>
  <c r="AI137" i="5"/>
  <c r="AH137" i="5"/>
  <c r="AH136" i="5"/>
  <c r="AI136" i="5"/>
  <c r="AI135" i="5"/>
  <c r="AH135" i="5"/>
  <c r="AI134" i="5"/>
  <c r="AH134" i="5"/>
  <c r="AH133" i="5"/>
  <c r="AI133" i="5"/>
  <c r="AI132" i="5"/>
  <c r="AH132" i="5"/>
  <c r="AI131" i="5"/>
  <c r="AH131" i="5"/>
  <c r="AH130" i="5"/>
  <c r="AI130" i="5"/>
  <c r="AH129" i="5"/>
  <c r="AI129" i="5"/>
  <c r="AI128" i="5"/>
  <c r="AH128" i="5"/>
  <c r="AI127" i="5"/>
  <c r="AH127" i="5"/>
  <c r="AI126" i="5"/>
  <c r="AH126" i="5"/>
  <c r="AH125" i="5"/>
  <c r="AI125" i="5"/>
  <c r="AH124" i="5"/>
  <c r="AI124" i="5"/>
  <c r="AI123" i="5"/>
  <c r="AH123" i="5"/>
  <c r="AI122" i="5"/>
  <c r="AH122" i="5"/>
  <c r="AI121" i="5"/>
  <c r="AH121" i="5"/>
  <c r="AI120" i="5"/>
  <c r="AH120" i="5"/>
  <c r="AI119" i="5"/>
  <c r="AH119" i="5"/>
  <c r="AH118" i="5"/>
  <c r="AI118" i="5"/>
  <c r="AH117" i="5"/>
  <c r="AI117" i="5"/>
  <c r="AI116" i="5"/>
  <c r="AH116" i="5"/>
  <c r="AI115" i="5"/>
  <c r="AH115" i="5"/>
  <c r="AI114" i="5"/>
  <c r="AH114" i="5"/>
  <c r="AI113" i="5"/>
  <c r="AH113" i="5"/>
  <c r="AI112" i="5"/>
  <c r="AH112" i="5"/>
  <c r="AH111" i="5"/>
  <c r="AI111" i="5"/>
  <c r="AI110" i="5"/>
  <c r="AH110" i="5"/>
  <c r="AI109" i="5"/>
  <c r="AH109" i="5"/>
  <c r="AH108" i="5"/>
  <c r="AI108" i="5"/>
  <c r="AH107" i="5"/>
  <c r="AI107" i="5"/>
  <c r="AH106" i="5"/>
  <c r="AI106" i="5"/>
  <c r="AH105" i="5"/>
  <c r="AI105" i="5"/>
  <c r="AH104" i="5"/>
  <c r="AI104" i="5"/>
  <c r="AH103" i="5"/>
  <c r="AI103" i="5"/>
  <c r="AH102" i="5"/>
  <c r="AI102" i="5"/>
  <c r="AH101" i="5"/>
  <c r="AI101" i="5"/>
  <c r="AI100" i="5"/>
  <c r="AH100" i="5"/>
  <c r="AH99" i="5"/>
  <c r="AI99" i="5"/>
  <c r="AI98" i="5"/>
  <c r="AH98" i="5"/>
  <c r="AI97" i="5"/>
  <c r="AH97" i="5"/>
  <c r="AI96" i="5"/>
  <c r="AH96" i="5"/>
  <c r="AI95" i="5"/>
  <c r="AH95" i="5"/>
  <c r="AH94" i="5"/>
  <c r="AI94" i="5"/>
  <c r="AH93" i="5"/>
  <c r="AI93" i="5"/>
  <c r="AH92" i="5"/>
  <c r="AI92" i="5"/>
  <c r="AH91" i="5"/>
  <c r="AI91" i="5"/>
  <c r="AI90" i="5"/>
  <c r="AH90" i="5"/>
  <c r="AI89" i="5"/>
  <c r="AH89" i="5"/>
  <c r="AI88" i="5"/>
  <c r="AH88" i="5"/>
  <c r="AH87" i="5"/>
  <c r="AI87" i="5"/>
  <c r="AH86" i="5"/>
  <c r="AI86" i="5"/>
  <c r="AH85" i="5"/>
  <c r="AI85" i="5"/>
  <c r="AI84" i="5"/>
  <c r="AH84" i="5"/>
  <c r="AH83" i="5"/>
  <c r="AI83" i="5"/>
  <c r="AI82" i="5"/>
  <c r="AH82" i="5"/>
  <c r="AH81" i="5"/>
  <c r="AI81" i="5"/>
  <c r="AI80" i="5"/>
  <c r="AH80" i="5"/>
  <c r="AH79" i="5"/>
  <c r="AI79" i="5"/>
  <c r="AI78" i="5"/>
  <c r="AH78" i="5"/>
  <c r="AH77" i="5"/>
  <c r="AI77" i="5"/>
  <c r="AI76" i="5"/>
  <c r="AH76" i="5"/>
  <c r="AI75" i="5"/>
  <c r="AH75" i="5"/>
  <c r="AH74" i="5"/>
  <c r="AI74" i="5"/>
  <c r="AH73" i="5"/>
  <c r="AI73" i="5"/>
  <c r="AI72" i="5"/>
  <c r="AH72" i="5"/>
  <c r="AH71" i="5"/>
  <c r="AI71" i="5"/>
  <c r="AH70" i="5"/>
  <c r="AI70" i="5"/>
  <c r="AI69" i="5"/>
  <c r="AH69" i="5"/>
  <c r="AI68" i="5"/>
  <c r="AH68" i="5"/>
  <c r="AH67" i="5"/>
  <c r="AI67" i="5"/>
  <c r="AH66" i="5"/>
  <c r="AI66" i="5"/>
  <c r="AI65" i="5"/>
  <c r="AH65" i="5"/>
  <c r="AH64" i="5"/>
  <c r="AI64" i="5"/>
  <c r="AI63" i="5"/>
  <c r="AH63" i="5"/>
  <c r="AH62" i="5"/>
  <c r="AI62" i="5"/>
  <c r="AI61" i="5"/>
  <c r="AH61" i="5"/>
  <c r="AH60" i="5"/>
  <c r="AI60" i="5"/>
  <c r="AI59" i="5"/>
  <c r="AH59" i="5"/>
  <c r="AI58" i="5"/>
  <c r="AH58" i="5"/>
  <c r="AI57" i="5"/>
  <c r="AH57" i="5"/>
  <c r="AI56" i="5"/>
  <c r="AH56" i="5"/>
  <c r="AH55" i="5"/>
  <c r="AI55" i="5"/>
  <c r="AI54" i="5"/>
  <c r="AH54" i="5"/>
  <c r="AI53" i="5"/>
  <c r="AH53" i="5"/>
  <c r="AI52" i="5"/>
  <c r="AH52" i="5"/>
  <c r="AH51" i="5"/>
  <c r="AI51" i="5"/>
  <c r="AH50" i="5"/>
  <c r="AI50" i="5"/>
  <c r="AI49" i="5"/>
  <c r="AH49" i="5"/>
  <c r="AI48" i="5"/>
  <c r="AH48" i="5"/>
  <c r="AH47" i="5"/>
  <c r="AI47" i="5"/>
  <c r="AH46" i="5"/>
  <c r="AI46" i="5"/>
  <c r="AH45" i="5"/>
  <c r="AI45" i="5"/>
  <c r="AH44" i="5"/>
  <c r="AI44" i="5"/>
  <c r="AI43" i="5"/>
  <c r="AH43" i="5"/>
  <c r="AI42" i="5"/>
  <c r="AH42" i="5"/>
  <c r="AH41" i="5"/>
  <c r="AI41" i="5"/>
  <c r="AI40" i="5"/>
  <c r="AH40" i="5"/>
  <c r="AI39" i="5"/>
  <c r="AH39" i="5"/>
  <c r="AH38" i="5"/>
  <c r="AI38" i="5"/>
  <c r="AH37" i="5"/>
  <c r="AI37" i="5"/>
  <c r="AI36" i="5"/>
  <c r="AH36" i="5"/>
  <c r="AH35" i="5"/>
  <c r="AI35" i="5"/>
  <c r="AI34" i="5"/>
  <c r="AH34" i="5"/>
  <c r="AH33" i="5"/>
  <c r="AI33" i="5"/>
  <c r="AI32" i="5"/>
  <c r="AH32" i="5"/>
  <c r="AI31" i="5"/>
  <c r="AH31" i="5"/>
  <c r="AH30" i="5"/>
  <c r="AI30" i="5"/>
  <c r="AH29" i="5"/>
  <c r="AI29" i="5"/>
  <c r="AI28" i="5"/>
  <c r="AH28" i="5"/>
  <c r="AI27" i="5"/>
  <c r="AH27" i="5"/>
  <c r="AH26" i="5"/>
  <c r="AI26" i="5"/>
  <c r="AI25" i="5"/>
  <c r="AH25" i="5"/>
  <c r="AH24" i="5"/>
  <c r="AI24" i="5"/>
  <c r="AI23" i="5"/>
  <c r="AH23" i="5"/>
  <c r="AI22" i="5"/>
  <c r="AH22" i="5"/>
  <c r="AH21" i="5"/>
  <c r="AI21" i="5"/>
  <c r="AH20" i="5"/>
  <c r="AI20" i="5"/>
  <c r="F19" i="5"/>
  <c r="AH18" i="5"/>
  <c r="AI18" i="5"/>
  <c r="AH17" i="5"/>
  <c r="AI17" i="5"/>
  <c r="AH16" i="5"/>
  <c r="AI16" i="5"/>
  <c r="AI15" i="5"/>
  <c r="AH15" i="5"/>
  <c r="AI14" i="5"/>
  <c r="AH14" i="5"/>
  <c r="AI13" i="5"/>
  <c r="AH13" i="5"/>
  <c r="AI12" i="5"/>
  <c r="AH12" i="5"/>
  <c r="AH11" i="5"/>
  <c r="AI11" i="5"/>
  <c r="AI10" i="5"/>
  <c r="AH10" i="5"/>
  <c r="AI9" i="5"/>
  <c r="AH9" i="5"/>
  <c r="AH8" i="5"/>
  <c r="AI8" i="5"/>
  <c r="AH7" i="5"/>
  <c r="AI7" i="5"/>
  <c r="AH6" i="5"/>
  <c r="AI6" i="5"/>
  <c r="AH5" i="5"/>
  <c r="AI5" i="5"/>
  <c r="K4" i="5"/>
  <c r="M4" i="5"/>
  <c r="J4" i="5"/>
  <c r="L4" i="5"/>
  <c r="AH4" i="5"/>
  <c r="AI4" i="5"/>
  <c r="P541" i="2"/>
  <c r="Q541" i="2"/>
  <c r="R541" i="2"/>
  <c r="S541" i="2"/>
  <c r="U541" i="2"/>
  <c r="F541" i="2"/>
  <c r="G541" i="2"/>
  <c r="P540" i="2"/>
  <c r="Q540" i="2"/>
  <c r="R540" i="2"/>
  <c r="S540" i="2"/>
  <c r="U540" i="2"/>
  <c r="F540" i="2"/>
  <c r="G540" i="2"/>
  <c r="P539" i="2"/>
  <c r="Q539" i="2"/>
  <c r="R539" i="2"/>
  <c r="S539" i="2"/>
  <c r="U539" i="2"/>
  <c r="F539" i="2"/>
  <c r="G539" i="2"/>
  <c r="P538" i="2"/>
  <c r="Q538" i="2"/>
  <c r="R538" i="2"/>
  <c r="S538" i="2"/>
  <c r="U538" i="2"/>
  <c r="F538" i="2"/>
  <c r="G538" i="2"/>
  <c r="P537" i="2"/>
  <c r="Q537" i="2"/>
  <c r="R537" i="2"/>
  <c r="S537" i="2"/>
  <c r="U537" i="2"/>
  <c r="F537" i="2"/>
  <c r="G537" i="2"/>
  <c r="P536" i="2"/>
  <c r="Q536" i="2"/>
  <c r="R536" i="2"/>
  <c r="S536" i="2"/>
  <c r="U536" i="2"/>
  <c r="F536" i="2"/>
  <c r="G536" i="2"/>
  <c r="P535" i="2"/>
  <c r="Q535" i="2"/>
  <c r="R535" i="2"/>
  <c r="S535" i="2"/>
  <c r="U535" i="2"/>
  <c r="F535" i="2"/>
  <c r="G535" i="2"/>
  <c r="P534" i="2"/>
  <c r="Q534" i="2"/>
  <c r="R534" i="2"/>
  <c r="S534" i="2"/>
  <c r="U534" i="2"/>
  <c r="F534" i="2"/>
  <c r="G534" i="2"/>
  <c r="P533" i="2"/>
  <c r="Q533" i="2"/>
  <c r="R533" i="2"/>
  <c r="S533" i="2"/>
  <c r="U533" i="2"/>
  <c r="F533" i="2"/>
  <c r="G533" i="2"/>
  <c r="P532" i="2"/>
  <c r="Q532" i="2"/>
  <c r="R532" i="2"/>
  <c r="S532" i="2"/>
  <c r="U532" i="2"/>
  <c r="F532" i="2"/>
  <c r="G532" i="2"/>
  <c r="P531" i="2"/>
  <c r="Q531" i="2"/>
  <c r="R531" i="2"/>
  <c r="S531" i="2"/>
  <c r="U531" i="2"/>
  <c r="F531" i="2"/>
  <c r="G531" i="2"/>
  <c r="P530" i="2"/>
  <c r="Q530" i="2"/>
  <c r="R530" i="2"/>
  <c r="S530" i="2"/>
  <c r="U530" i="2"/>
  <c r="F530" i="2"/>
  <c r="G530" i="2"/>
  <c r="P529" i="2"/>
  <c r="Q529" i="2"/>
  <c r="R529" i="2"/>
  <c r="S529" i="2"/>
  <c r="U529" i="2"/>
  <c r="F529" i="2"/>
  <c r="G529" i="2"/>
  <c r="P528" i="2"/>
  <c r="Q528" i="2"/>
  <c r="R528" i="2"/>
  <c r="S528" i="2"/>
  <c r="U528" i="2"/>
  <c r="F528" i="2"/>
  <c r="G528" i="2"/>
  <c r="P527" i="2"/>
  <c r="Q527" i="2"/>
  <c r="R527" i="2"/>
  <c r="S527" i="2"/>
  <c r="U527" i="2"/>
  <c r="F527" i="2"/>
  <c r="G527" i="2"/>
  <c r="P526" i="2"/>
  <c r="Q526" i="2"/>
  <c r="R526" i="2"/>
  <c r="S526" i="2"/>
  <c r="U526" i="2"/>
  <c r="F526" i="2"/>
  <c r="G526" i="2"/>
  <c r="P525" i="2"/>
  <c r="Q525" i="2"/>
  <c r="R525" i="2"/>
  <c r="S525" i="2"/>
  <c r="U525" i="2"/>
  <c r="F525" i="2"/>
  <c r="G525" i="2"/>
  <c r="P524" i="2"/>
  <c r="Q524" i="2"/>
  <c r="R524" i="2"/>
  <c r="S524" i="2"/>
  <c r="U524" i="2"/>
  <c r="F524" i="2"/>
  <c r="G524" i="2"/>
  <c r="P523" i="2"/>
  <c r="Q523" i="2"/>
  <c r="R523" i="2"/>
  <c r="S523" i="2"/>
  <c r="U523" i="2"/>
  <c r="F523" i="2"/>
  <c r="G523" i="2"/>
  <c r="P522" i="2"/>
  <c r="Q522" i="2"/>
  <c r="R522" i="2"/>
  <c r="S522" i="2"/>
  <c r="U522" i="2"/>
  <c r="F522" i="2"/>
  <c r="G522" i="2"/>
  <c r="P521" i="2"/>
  <c r="Q521" i="2"/>
  <c r="R521" i="2"/>
  <c r="S521" i="2"/>
  <c r="U521" i="2"/>
  <c r="F521" i="2"/>
  <c r="G521" i="2"/>
  <c r="P520" i="2"/>
  <c r="Q520" i="2"/>
  <c r="R520" i="2"/>
  <c r="S520" i="2"/>
  <c r="U520" i="2"/>
  <c r="F520" i="2"/>
  <c r="G520" i="2"/>
  <c r="P519" i="2"/>
  <c r="Q519" i="2"/>
  <c r="R519" i="2"/>
  <c r="S519" i="2"/>
  <c r="U519" i="2"/>
  <c r="F519" i="2"/>
  <c r="G519" i="2"/>
  <c r="P518" i="2"/>
  <c r="Q518" i="2"/>
  <c r="R518" i="2"/>
  <c r="S518" i="2"/>
  <c r="U518" i="2"/>
  <c r="F518" i="2"/>
  <c r="G518" i="2"/>
  <c r="P517" i="2"/>
  <c r="Q517" i="2"/>
  <c r="R517" i="2"/>
  <c r="S517" i="2"/>
  <c r="U517" i="2"/>
  <c r="F517" i="2"/>
  <c r="G517" i="2"/>
  <c r="P516" i="2"/>
  <c r="Q516" i="2"/>
  <c r="R516" i="2"/>
  <c r="S516" i="2"/>
  <c r="U516" i="2"/>
  <c r="F516" i="2"/>
  <c r="G516" i="2"/>
  <c r="P515" i="2"/>
  <c r="Q515" i="2"/>
  <c r="R515" i="2"/>
  <c r="S515" i="2"/>
  <c r="U515" i="2"/>
  <c r="F515" i="2"/>
  <c r="G515" i="2"/>
  <c r="P514" i="2"/>
  <c r="Q514" i="2"/>
  <c r="R514" i="2"/>
  <c r="S514" i="2"/>
  <c r="U514" i="2"/>
  <c r="F514" i="2"/>
  <c r="G514" i="2"/>
  <c r="P513" i="2"/>
  <c r="Q513" i="2"/>
  <c r="R513" i="2"/>
  <c r="S513" i="2"/>
  <c r="U513" i="2"/>
  <c r="F513" i="2"/>
  <c r="G513" i="2"/>
  <c r="P512" i="2"/>
  <c r="Q512" i="2"/>
  <c r="R512" i="2"/>
  <c r="S512" i="2"/>
  <c r="U512" i="2"/>
  <c r="F512" i="2"/>
  <c r="G512" i="2"/>
  <c r="P511" i="2"/>
  <c r="Q511" i="2"/>
  <c r="R511" i="2"/>
  <c r="S511" i="2"/>
  <c r="U511" i="2"/>
  <c r="F511" i="2"/>
  <c r="G511" i="2"/>
  <c r="P510" i="2"/>
  <c r="Q510" i="2"/>
  <c r="R510" i="2"/>
  <c r="S510" i="2"/>
  <c r="U510" i="2"/>
  <c r="F510" i="2"/>
  <c r="G510" i="2"/>
  <c r="P509" i="2"/>
  <c r="Q509" i="2"/>
  <c r="R509" i="2"/>
  <c r="S509" i="2"/>
  <c r="U509" i="2"/>
  <c r="F509" i="2"/>
  <c r="G509" i="2"/>
  <c r="P508" i="2"/>
  <c r="Q508" i="2"/>
  <c r="R508" i="2"/>
  <c r="S508" i="2"/>
  <c r="U508" i="2"/>
  <c r="F508" i="2"/>
  <c r="G508" i="2"/>
  <c r="P507" i="2"/>
  <c r="Q507" i="2"/>
  <c r="R507" i="2"/>
  <c r="S507" i="2"/>
  <c r="U507" i="2"/>
  <c r="F507" i="2"/>
  <c r="G507" i="2"/>
  <c r="P506" i="2"/>
  <c r="Q506" i="2"/>
  <c r="R506" i="2"/>
  <c r="S506" i="2"/>
  <c r="U506" i="2"/>
  <c r="F506" i="2"/>
  <c r="G506" i="2"/>
  <c r="P505" i="2"/>
  <c r="Q505" i="2"/>
  <c r="R505" i="2"/>
  <c r="S505" i="2"/>
  <c r="U505" i="2"/>
  <c r="F505" i="2"/>
  <c r="G505" i="2"/>
  <c r="P504" i="2"/>
  <c r="Q504" i="2"/>
  <c r="R504" i="2"/>
  <c r="S504" i="2"/>
  <c r="U504" i="2"/>
  <c r="F504" i="2"/>
  <c r="G504" i="2"/>
  <c r="P503" i="2"/>
  <c r="Q503" i="2"/>
  <c r="R503" i="2"/>
  <c r="S503" i="2"/>
  <c r="U503" i="2"/>
  <c r="F503" i="2"/>
  <c r="G503" i="2"/>
  <c r="P502" i="2"/>
  <c r="Q502" i="2"/>
  <c r="R502" i="2"/>
  <c r="S502" i="2"/>
  <c r="U502" i="2"/>
  <c r="F502" i="2"/>
  <c r="G502" i="2"/>
  <c r="P501" i="2"/>
  <c r="Q501" i="2"/>
  <c r="R501" i="2"/>
  <c r="S501" i="2"/>
  <c r="U501" i="2"/>
  <c r="F501" i="2"/>
  <c r="G501" i="2"/>
  <c r="P500" i="2"/>
  <c r="Q500" i="2"/>
  <c r="R500" i="2"/>
  <c r="S500" i="2"/>
  <c r="U500" i="2"/>
  <c r="F500" i="2"/>
  <c r="G500" i="2"/>
  <c r="P499" i="2"/>
  <c r="Q499" i="2"/>
  <c r="R499" i="2"/>
  <c r="S499" i="2"/>
  <c r="U499" i="2"/>
  <c r="F499" i="2"/>
  <c r="G499" i="2"/>
  <c r="P498" i="2"/>
  <c r="Q498" i="2"/>
  <c r="R498" i="2"/>
  <c r="S498" i="2"/>
  <c r="U498" i="2"/>
  <c r="F498" i="2"/>
  <c r="G498" i="2"/>
  <c r="P497" i="2"/>
  <c r="Q497" i="2"/>
  <c r="R497" i="2"/>
  <c r="S497" i="2"/>
  <c r="U497" i="2"/>
  <c r="F497" i="2"/>
  <c r="G497" i="2"/>
  <c r="P496" i="2"/>
  <c r="Q496" i="2"/>
  <c r="R496" i="2"/>
  <c r="S496" i="2"/>
  <c r="U496" i="2"/>
  <c r="F496" i="2"/>
  <c r="G496" i="2"/>
  <c r="P495" i="2"/>
  <c r="Q495" i="2"/>
  <c r="R495" i="2"/>
  <c r="S495" i="2"/>
  <c r="U495" i="2"/>
  <c r="F495" i="2"/>
  <c r="G495" i="2"/>
  <c r="P494" i="2"/>
  <c r="Q494" i="2"/>
  <c r="R494" i="2"/>
  <c r="S494" i="2"/>
  <c r="U494" i="2"/>
  <c r="F494" i="2"/>
  <c r="G494" i="2"/>
  <c r="P493" i="2"/>
  <c r="Q493" i="2"/>
  <c r="R493" i="2"/>
  <c r="S493" i="2"/>
  <c r="U493" i="2"/>
  <c r="F493" i="2"/>
  <c r="G493" i="2"/>
  <c r="P492" i="2"/>
  <c r="Q492" i="2"/>
  <c r="R492" i="2"/>
  <c r="S492" i="2"/>
  <c r="U492" i="2"/>
  <c r="F492" i="2"/>
  <c r="G492" i="2"/>
  <c r="P491" i="2"/>
  <c r="Q491" i="2"/>
  <c r="R491" i="2"/>
  <c r="S491" i="2"/>
  <c r="U491" i="2"/>
  <c r="F491" i="2"/>
  <c r="G491" i="2"/>
  <c r="P490" i="2"/>
  <c r="Q490" i="2"/>
  <c r="R490" i="2"/>
  <c r="S490" i="2"/>
  <c r="U490" i="2"/>
  <c r="F490" i="2"/>
  <c r="G490" i="2"/>
  <c r="P489" i="2"/>
  <c r="Q489" i="2"/>
  <c r="R489" i="2"/>
  <c r="S489" i="2"/>
  <c r="U489" i="2"/>
  <c r="F489" i="2"/>
  <c r="G489" i="2"/>
  <c r="P488" i="2"/>
  <c r="Q488" i="2"/>
  <c r="R488" i="2"/>
  <c r="S488" i="2"/>
  <c r="U488" i="2"/>
  <c r="F488" i="2"/>
  <c r="G488" i="2"/>
  <c r="P487" i="2"/>
  <c r="Q487" i="2"/>
  <c r="R487" i="2"/>
  <c r="S487" i="2"/>
  <c r="U487" i="2"/>
  <c r="F487" i="2"/>
  <c r="G487" i="2"/>
  <c r="P486" i="2"/>
  <c r="Q486" i="2"/>
  <c r="R486" i="2"/>
  <c r="S486" i="2"/>
  <c r="U486" i="2"/>
  <c r="F486" i="2"/>
  <c r="G486" i="2"/>
  <c r="P485" i="2"/>
  <c r="Q485" i="2"/>
  <c r="R485" i="2"/>
  <c r="S485" i="2"/>
  <c r="U485" i="2"/>
  <c r="F485" i="2"/>
  <c r="G485" i="2"/>
  <c r="P484" i="2"/>
  <c r="Q484" i="2"/>
  <c r="R484" i="2"/>
  <c r="S484" i="2"/>
  <c r="U484" i="2"/>
  <c r="F484" i="2"/>
  <c r="G484" i="2"/>
  <c r="P483" i="2"/>
  <c r="Q483" i="2"/>
  <c r="R483" i="2"/>
  <c r="S483" i="2"/>
  <c r="U483" i="2"/>
  <c r="F483" i="2"/>
  <c r="G483" i="2"/>
  <c r="P482" i="2"/>
  <c r="Q482" i="2"/>
  <c r="R482" i="2"/>
  <c r="S482" i="2"/>
  <c r="U482" i="2"/>
  <c r="F482" i="2"/>
  <c r="G482" i="2"/>
  <c r="P481" i="2"/>
  <c r="Q481" i="2"/>
  <c r="R481" i="2"/>
  <c r="S481" i="2"/>
  <c r="U481" i="2"/>
  <c r="F481" i="2"/>
  <c r="G481" i="2"/>
  <c r="P480" i="2"/>
  <c r="Q480" i="2"/>
  <c r="R480" i="2"/>
  <c r="S480" i="2"/>
  <c r="U480" i="2"/>
  <c r="F480" i="2"/>
  <c r="G480" i="2"/>
  <c r="P479" i="2"/>
  <c r="Q479" i="2"/>
  <c r="R479" i="2"/>
  <c r="S479" i="2"/>
  <c r="U479" i="2"/>
  <c r="F479" i="2"/>
  <c r="G479" i="2"/>
  <c r="P478" i="2"/>
  <c r="Q478" i="2"/>
  <c r="R478" i="2"/>
  <c r="S478" i="2"/>
  <c r="U478" i="2"/>
  <c r="F478" i="2"/>
  <c r="G478" i="2"/>
  <c r="P477" i="2"/>
  <c r="Q477" i="2"/>
  <c r="R477" i="2"/>
  <c r="S477" i="2"/>
  <c r="U477" i="2"/>
  <c r="F477" i="2"/>
  <c r="G477" i="2"/>
  <c r="P476" i="2"/>
  <c r="Q476" i="2"/>
  <c r="R476" i="2"/>
  <c r="S476" i="2"/>
  <c r="U476" i="2"/>
  <c r="F476" i="2"/>
  <c r="G476" i="2"/>
  <c r="P475" i="2"/>
  <c r="Q475" i="2"/>
  <c r="R475" i="2"/>
  <c r="S475" i="2"/>
  <c r="U475" i="2"/>
  <c r="F475" i="2"/>
  <c r="G475" i="2"/>
  <c r="P474" i="2"/>
  <c r="Q474" i="2"/>
  <c r="R474" i="2"/>
  <c r="S474" i="2"/>
  <c r="U474" i="2"/>
  <c r="F474" i="2"/>
  <c r="G474" i="2"/>
  <c r="P473" i="2"/>
  <c r="Q473" i="2"/>
  <c r="R473" i="2"/>
  <c r="S473" i="2"/>
  <c r="U473" i="2"/>
  <c r="F473" i="2"/>
  <c r="G473" i="2"/>
  <c r="P472" i="2"/>
  <c r="Q472" i="2"/>
  <c r="R472" i="2"/>
  <c r="S472" i="2"/>
  <c r="U472" i="2"/>
  <c r="F472" i="2"/>
  <c r="G472" i="2"/>
  <c r="P471" i="2"/>
  <c r="Q471" i="2"/>
  <c r="R471" i="2"/>
  <c r="S471" i="2"/>
  <c r="U471" i="2"/>
  <c r="F471" i="2"/>
  <c r="G471" i="2"/>
  <c r="P470" i="2"/>
  <c r="Q470" i="2"/>
  <c r="R470" i="2"/>
  <c r="S470" i="2"/>
  <c r="U470" i="2"/>
  <c r="F470" i="2"/>
  <c r="G470" i="2"/>
  <c r="P469" i="2"/>
  <c r="Q469" i="2"/>
  <c r="R469" i="2"/>
  <c r="S469" i="2"/>
  <c r="U469" i="2"/>
  <c r="F469" i="2"/>
  <c r="G469" i="2"/>
  <c r="P468" i="2"/>
  <c r="Q468" i="2"/>
  <c r="R468" i="2"/>
  <c r="S468" i="2"/>
  <c r="U468" i="2"/>
  <c r="F468" i="2"/>
  <c r="G468" i="2"/>
  <c r="P467" i="2"/>
  <c r="Q467" i="2"/>
  <c r="R467" i="2"/>
  <c r="S467" i="2"/>
  <c r="U467" i="2"/>
  <c r="F467" i="2"/>
  <c r="G467" i="2"/>
  <c r="P466" i="2"/>
  <c r="Q466" i="2"/>
  <c r="R466" i="2"/>
  <c r="S466" i="2"/>
  <c r="U466" i="2"/>
  <c r="F466" i="2"/>
  <c r="G466" i="2"/>
  <c r="P465" i="2"/>
  <c r="Q465" i="2"/>
  <c r="R465" i="2"/>
  <c r="S465" i="2"/>
  <c r="U465" i="2"/>
  <c r="F465" i="2"/>
  <c r="G465" i="2"/>
  <c r="P464" i="2"/>
  <c r="Q464" i="2"/>
  <c r="R464" i="2"/>
  <c r="S464" i="2"/>
  <c r="U464" i="2"/>
  <c r="F464" i="2"/>
  <c r="G464" i="2"/>
  <c r="P463" i="2"/>
  <c r="Q463" i="2"/>
  <c r="R463" i="2"/>
  <c r="S463" i="2"/>
  <c r="U463" i="2"/>
  <c r="F463" i="2"/>
  <c r="G463" i="2"/>
  <c r="P462" i="2"/>
  <c r="Q462" i="2"/>
  <c r="R462" i="2"/>
  <c r="S462" i="2"/>
  <c r="U462" i="2"/>
  <c r="F462" i="2"/>
  <c r="G462" i="2"/>
  <c r="P461" i="2"/>
  <c r="Q461" i="2"/>
  <c r="R461" i="2"/>
  <c r="S461" i="2"/>
  <c r="U461" i="2"/>
  <c r="F461" i="2"/>
  <c r="G461" i="2"/>
  <c r="P460" i="2"/>
  <c r="Q460" i="2"/>
  <c r="R460" i="2"/>
  <c r="S460" i="2"/>
  <c r="U460" i="2"/>
  <c r="F460" i="2"/>
  <c r="G460" i="2"/>
  <c r="P459" i="2"/>
  <c r="Q459" i="2"/>
  <c r="R459" i="2"/>
  <c r="S459" i="2"/>
  <c r="U459" i="2"/>
  <c r="F459" i="2"/>
  <c r="G459" i="2"/>
  <c r="P458" i="2"/>
  <c r="Q458" i="2"/>
  <c r="R458" i="2"/>
  <c r="S458" i="2"/>
  <c r="U458" i="2"/>
  <c r="F458" i="2"/>
  <c r="G458" i="2"/>
  <c r="P457" i="2"/>
  <c r="Q457" i="2"/>
  <c r="R457" i="2"/>
  <c r="S457" i="2"/>
  <c r="U457" i="2"/>
  <c r="F457" i="2"/>
  <c r="G457" i="2"/>
  <c r="P456" i="2"/>
  <c r="Q456" i="2"/>
  <c r="R456" i="2"/>
  <c r="S456" i="2"/>
  <c r="U456" i="2"/>
  <c r="F456" i="2"/>
  <c r="G456" i="2"/>
  <c r="P455" i="2"/>
  <c r="Q455" i="2"/>
  <c r="R455" i="2"/>
  <c r="S455" i="2"/>
  <c r="U455" i="2"/>
  <c r="F455" i="2"/>
  <c r="G455" i="2"/>
  <c r="P454" i="2"/>
  <c r="Q454" i="2"/>
  <c r="R454" i="2"/>
  <c r="S454" i="2"/>
  <c r="U454" i="2"/>
  <c r="F454" i="2"/>
  <c r="G454" i="2"/>
  <c r="P453" i="2"/>
  <c r="Q453" i="2"/>
  <c r="R453" i="2"/>
  <c r="S453" i="2"/>
  <c r="U453" i="2"/>
  <c r="F453" i="2"/>
  <c r="G453" i="2"/>
  <c r="P452" i="2"/>
  <c r="Q452" i="2"/>
  <c r="R452" i="2"/>
  <c r="S452" i="2"/>
  <c r="U452" i="2"/>
  <c r="F452" i="2"/>
  <c r="G452" i="2"/>
  <c r="P451" i="2"/>
  <c r="Q451" i="2"/>
  <c r="R451" i="2"/>
  <c r="S451" i="2"/>
  <c r="U451" i="2"/>
  <c r="F451" i="2"/>
  <c r="G451" i="2"/>
  <c r="P450" i="2"/>
  <c r="Q450" i="2"/>
  <c r="R450" i="2"/>
  <c r="S450" i="2"/>
  <c r="U450" i="2"/>
  <c r="F450" i="2"/>
  <c r="G450" i="2"/>
  <c r="P449" i="2"/>
  <c r="Q449" i="2"/>
  <c r="R449" i="2"/>
  <c r="S449" i="2"/>
  <c r="U449" i="2"/>
  <c r="F449" i="2"/>
  <c r="G449" i="2"/>
  <c r="P448" i="2"/>
  <c r="Q448" i="2"/>
  <c r="R448" i="2"/>
  <c r="S448" i="2"/>
  <c r="U448" i="2"/>
  <c r="F448" i="2"/>
  <c r="G448" i="2"/>
  <c r="P447" i="2"/>
  <c r="Q447" i="2"/>
  <c r="R447" i="2"/>
  <c r="S447" i="2"/>
  <c r="U447" i="2"/>
  <c r="F447" i="2"/>
  <c r="G447" i="2"/>
  <c r="P446" i="2"/>
  <c r="Q446" i="2"/>
  <c r="R446" i="2"/>
  <c r="S446" i="2"/>
  <c r="U446" i="2"/>
  <c r="F446" i="2"/>
  <c r="G446" i="2"/>
  <c r="P445" i="2"/>
  <c r="Q445" i="2"/>
  <c r="R445" i="2"/>
  <c r="S445" i="2"/>
  <c r="U445" i="2"/>
  <c r="F445" i="2"/>
  <c r="G445" i="2"/>
  <c r="P444" i="2"/>
  <c r="Q444" i="2"/>
  <c r="R444" i="2"/>
  <c r="S444" i="2"/>
  <c r="U444" i="2"/>
  <c r="F444" i="2"/>
  <c r="G444" i="2"/>
  <c r="P443" i="2"/>
  <c r="Q443" i="2"/>
  <c r="R443" i="2"/>
  <c r="S443" i="2"/>
  <c r="U443" i="2"/>
  <c r="F443" i="2"/>
  <c r="G443" i="2"/>
  <c r="P442" i="2"/>
  <c r="Q442" i="2"/>
  <c r="R442" i="2"/>
  <c r="S442" i="2"/>
  <c r="U442" i="2"/>
  <c r="F442" i="2"/>
  <c r="G442" i="2"/>
  <c r="P441" i="2"/>
  <c r="Q441" i="2"/>
  <c r="R441" i="2"/>
  <c r="S441" i="2"/>
  <c r="U441" i="2"/>
  <c r="F441" i="2"/>
  <c r="G441" i="2"/>
  <c r="P440" i="2"/>
  <c r="Q440" i="2"/>
  <c r="R440" i="2"/>
  <c r="S440" i="2"/>
  <c r="U440" i="2"/>
  <c r="F440" i="2"/>
  <c r="G440" i="2"/>
  <c r="P439" i="2"/>
  <c r="Q439" i="2"/>
  <c r="R439" i="2"/>
  <c r="S439" i="2"/>
  <c r="U439" i="2"/>
  <c r="F439" i="2"/>
  <c r="G439" i="2"/>
  <c r="P438" i="2"/>
  <c r="Q438" i="2"/>
  <c r="R438" i="2"/>
  <c r="S438" i="2"/>
  <c r="U438" i="2"/>
  <c r="F438" i="2"/>
  <c r="G438" i="2"/>
  <c r="F437" i="2"/>
  <c r="G437" i="2"/>
  <c r="B22" i="1" s="1"/>
  <c r="F436" i="2"/>
  <c r="G436" i="2"/>
  <c r="F435" i="2"/>
  <c r="G435" i="2"/>
  <c r="F434" i="2"/>
  <c r="G434" i="2"/>
  <c r="F433" i="2"/>
  <c r="G433" i="2"/>
  <c r="F432" i="2"/>
  <c r="G432" i="2"/>
  <c r="F431" i="2"/>
  <c r="G431" i="2"/>
  <c r="F430" i="2"/>
  <c r="G430" i="2"/>
  <c r="F429" i="2"/>
  <c r="G429" i="2"/>
  <c r="F428" i="2"/>
  <c r="G428" i="2"/>
  <c r="F427" i="2"/>
  <c r="G427" i="2"/>
  <c r="F426" i="2"/>
  <c r="G426" i="2"/>
  <c r="F425" i="2"/>
  <c r="G425" i="2"/>
  <c r="F424" i="2"/>
  <c r="G424" i="2"/>
  <c r="F423" i="2"/>
  <c r="G423" i="2"/>
  <c r="F422" i="2"/>
  <c r="G422" i="2"/>
  <c r="F421" i="2"/>
  <c r="G421" i="2"/>
  <c r="F420" i="2"/>
  <c r="G420" i="2"/>
  <c r="F419" i="2"/>
  <c r="G419" i="2"/>
  <c r="F418" i="2"/>
  <c r="G418" i="2"/>
  <c r="F417" i="2"/>
  <c r="G417" i="2"/>
  <c r="F416" i="2"/>
  <c r="G416" i="2"/>
  <c r="F415" i="2"/>
  <c r="G415" i="2"/>
  <c r="F414" i="2"/>
  <c r="G414" i="2"/>
  <c r="F413" i="2"/>
  <c r="G413" i="2"/>
  <c r="F412" i="2"/>
  <c r="G412" i="2"/>
  <c r="F411" i="2"/>
  <c r="G411" i="2"/>
  <c r="F410" i="2"/>
  <c r="G410" i="2"/>
  <c r="F409" i="2"/>
  <c r="G409" i="2"/>
  <c r="F408" i="2"/>
  <c r="G408" i="2"/>
  <c r="F407" i="2"/>
  <c r="G407" i="2"/>
  <c r="F406" i="2"/>
  <c r="G406" i="2"/>
  <c r="F405" i="2"/>
  <c r="G405" i="2"/>
  <c r="F404" i="2"/>
  <c r="G404" i="2"/>
  <c r="F403" i="2"/>
  <c r="G403" i="2"/>
  <c r="F402" i="2"/>
  <c r="G402" i="2"/>
  <c r="F401" i="2"/>
  <c r="G401" i="2"/>
  <c r="F400" i="2"/>
  <c r="G400" i="2"/>
  <c r="F399" i="2"/>
  <c r="G399" i="2"/>
  <c r="F398" i="2"/>
  <c r="G398" i="2"/>
  <c r="F397" i="2"/>
  <c r="G397" i="2"/>
  <c r="F396" i="2"/>
  <c r="G396" i="2"/>
  <c r="F395" i="2"/>
  <c r="G395" i="2"/>
  <c r="F394" i="2"/>
  <c r="G394" i="2"/>
  <c r="F393" i="2"/>
  <c r="G393" i="2"/>
  <c r="F392" i="2"/>
  <c r="G392" i="2"/>
  <c r="F391" i="2"/>
  <c r="G391" i="2"/>
  <c r="F390" i="2"/>
  <c r="G390" i="2"/>
  <c r="F389" i="2"/>
  <c r="G389" i="2"/>
  <c r="F388" i="2"/>
  <c r="G388" i="2"/>
  <c r="F387" i="2"/>
  <c r="G387" i="2"/>
  <c r="F386" i="2"/>
  <c r="G386" i="2"/>
  <c r="F385" i="2"/>
  <c r="G385" i="2"/>
  <c r="F384" i="2"/>
  <c r="G384" i="2"/>
  <c r="F383" i="2"/>
  <c r="G383" i="2"/>
  <c r="F382" i="2"/>
  <c r="G382" i="2"/>
  <c r="F381" i="2"/>
  <c r="G381" i="2"/>
  <c r="F380" i="2"/>
  <c r="G380" i="2"/>
  <c r="F379" i="2"/>
  <c r="G379" i="2"/>
  <c r="F378" i="2"/>
  <c r="G378" i="2"/>
  <c r="F377" i="2"/>
  <c r="G377" i="2"/>
  <c r="F376" i="2"/>
  <c r="G376" i="2"/>
  <c r="F375" i="2"/>
  <c r="G375" i="2"/>
  <c r="F374" i="2"/>
  <c r="G374" i="2"/>
  <c r="F373" i="2"/>
  <c r="G373" i="2"/>
  <c r="F372" i="2"/>
  <c r="G372" i="2"/>
  <c r="F371" i="2"/>
  <c r="G371" i="2"/>
  <c r="F370" i="2"/>
  <c r="G370" i="2"/>
  <c r="F369" i="2"/>
  <c r="G369" i="2"/>
  <c r="F368" i="2"/>
  <c r="G368" i="2"/>
  <c r="F367" i="2"/>
  <c r="G367" i="2"/>
  <c r="F366" i="2"/>
  <c r="G366" i="2"/>
  <c r="F365" i="2"/>
  <c r="G365" i="2"/>
  <c r="F364" i="2"/>
  <c r="G364" i="2"/>
  <c r="F363" i="2"/>
  <c r="G363" i="2"/>
  <c r="F362" i="2"/>
  <c r="G362" i="2"/>
  <c r="F361" i="2"/>
  <c r="G361" i="2"/>
  <c r="F360" i="2"/>
  <c r="G360" i="2"/>
  <c r="F359" i="2"/>
  <c r="G359" i="2"/>
  <c r="F358" i="2"/>
  <c r="G358" i="2"/>
  <c r="F357" i="2"/>
  <c r="G357" i="2"/>
  <c r="F356" i="2"/>
  <c r="G356" i="2"/>
  <c r="F355" i="2"/>
  <c r="G355" i="2"/>
  <c r="F354" i="2"/>
  <c r="G354" i="2"/>
  <c r="F353" i="2"/>
  <c r="G353" i="2"/>
  <c r="F352" i="2"/>
  <c r="G352" i="2"/>
  <c r="F351" i="2"/>
  <c r="G351" i="2"/>
  <c r="F350" i="2"/>
  <c r="G350" i="2"/>
  <c r="F349" i="2"/>
  <c r="G349" i="2"/>
  <c r="F348" i="2"/>
  <c r="G348" i="2"/>
  <c r="F347" i="2"/>
  <c r="G347" i="2"/>
  <c r="F346" i="2"/>
  <c r="G346" i="2"/>
  <c r="F345" i="2"/>
  <c r="G345" i="2"/>
  <c r="F344" i="2"/>
  <c r="G344" i="2"/>
  <c r="F343" i="2"/>
  <c r="G343" i="2"/>
  <c r="F342" i="2"/>
  <c r="G342" i="2"/>
  <c r="F341" i="2"/>
  <c r="G341" i="2"/>
  <c r="F340" i="2"/>
  <c r="G340" i="2"/>
  <c r="F339" i="2"/>
  <c r="G339" i="2"/>
  <c r="F338" i="2"/>
  <c r="G338" i="2"/>
  <c r="F337" i="2"/>
  <c r="G337" i="2"/>
  <c r="F336" i="2"/>
  <c r="G336" i="2"/>
  <c r="F335" i="2"/>
  <c r="G335" i="2"/>
  <c r="F334" i="2"/>
  <c r="G334" i="2"/>
  <c r="F333" i="2"/>
  <c r="G333" i="2"/>
  <c r="F332" i="2"/>
  <c r="G332" i="2"/>
  <c r="F331" i="2"/>
  <c r="G331" i="2"/>
  <c r="F330" i="2"/>
  <c r="G330" i="2"/>
  <c r="F329" i="2"/>
  <c r="G329" i="2"/>
  <c r="F328" i="2"/>
  <c r="G328" i="2"/>
  <c r="F327" i="2"/>
  <c r="G327" i="2"/>
  <c r="F326" i="2"/>
  <c r="G326" i="2"/>
  <c r="F325" i="2"/>
  <c r="G325" i="2"/>
  <c r="F324" i="2"/>
  <c r="G324" i="2"/>
  <c r="F323" i="2"/>
  <c r="G323" i="2"/>
  <c r="F322" i="2"/>
  <c r="G322" i="2"/>
  <c r="F321" i="2"/>
  <c r="G321" i="2"/>
  <c r="F320" i="2"/>
  <c r="G320" i="2"/>
  <c r="F319" i="2"/>
  <c r="G319" i="2"/>
  <c r="F318" i="2"/>
  <c r="G318" i="2"/>
  <c r="F317" i="2"/>
  <c r="G317" i="2"/>
  <c r="F316" i="2"/>
  <c r="G316" i="2"/>
  <c r="F315" i="2"/>
  <c r="G315" i="2"/>
  <c r="F314" i="2"/>
  <c r="G314" i="2"/>
  <c r="F313" i="2"/>
  <c r="G313" i="2"/>
  <c r="F312" i="2"/>
  <c r="G312" i="2"/>
  <c r="F311" i="2"/>
  <c r="G311" i="2"/>
  <c r="F310" i="2"/>
  <c r="G310" i="2"/>
  <c r="F309" i="2"/>
  <c r="G309" i="2"/>
  <c r="F308" i="2"/>
  <c r="G308" i="2"/>
  <c r="F307" i="2"/>
  <c r="G307" i="2"/>
  <c r="F306" i="2"/>
  <c r="G306" i="2"/>
  <c r="F305" i="2"/>
  <c r="G305" i="2"/>
  <c r="F304" i="2"/>
  <c r="G304" i="2"/>
  <c r="F303" i="2"/>
  <c r="G303" i="2"/>
  <c r="F302" i="2"/>
  <c r="G302" i="2"/>
  <c r="F301" i="2"/>
  <c r="G301" i="2"/>
  <c r="F300" i="2"/>
  <c r="G300" i="2"/>
  <c r="F299" i="2"/>
  <c r="G299" i="2"/>
  <c r="F298" i="2"/>
  <c r="G298" i="2"/>
  <c r="F297" i="2"/>
  <c r="G297" i="2"/>
  <c r="F296" i="2"/>
  <c r="G296" i="2"/>
  <c r="F295" i="2"/>
  <c r="G295" i="2"/>
  <c r="F294" i="2"/>
  <c r="G294" i="2"/>
  <c r="F293" i="2"/>
  <c r="G293" i="2"/>
  <c r="F292" i="2"/>
  <c r="G292" i="2"/>
  <c r="F291" i="2"/>
  <c r="G291" i="2"/>
  <c r="F290" i="2"/>
  <c r="G290" i="2"/>
  <c r="F289" i="2"/>
  <c r="G289" i="2"/>
  <c r="F288" i="2"/>
  <c r="G288" i="2"/>
  <c r="F287" i="2"/>
  <c r="G287" i="2"/>
  <c r="F286" i="2"/>
  <c r="G286" i="2"/>
  <c r="F285" i="2"/>
  <c r="G285" i="2"/>
  <c r="F284" i="2"/>
  <c r="G284" i="2"/>
  <c r="F283" i="2"/>
  <c r="G283" i="2"/>
  <c r="F282" i="2"/>
  <c r="G282" i="2"/>
  <c r="F281" i="2"/>
  <c r="G281" i="2"/>
  <c r="F280" i="2"/>
  <c r="G280" i="2"/>
  <c r="F279" i="2"/>
  <c r="G279" i="2"/>
  <c r="F278" i="2"/>
  <c r="G278" i="2"/>
  <c r="F277" i="2"/>
  <c r="G277" i="2"/>
  <c r="F276" i="2"/>
  <c r="G276" i="2"/>
  <c r="F275" i="2"/>
  <c r="G275" i="2"/>
  <c r="F274" i="2"/>
  <c r="G274" i="2"/>
  <c r="F273" i="2"/>
  <c r="G273" i="2"/>
  <c r="F272" i="2"/>
  <c r="G272" i="2"/>
  <c r="F271" i="2"/>
  <c r="G271" i="2"/>
  <c r="F270" i="2"/>
  <c r="G270" i="2"/>
  <c r="F269" i="2"/>
  <c r="G269" i="2"/>
  <c r="F268" i="2"/>
  <c r="G268" i="2"/>
  <c r="F267" i="2"/>
  <c r="G267" i="2"/>
  <c r="F266" i="2"/>
  <c r="G266" i="2"/>
  <c r="F265" i="2"/>
  <c r="G265" i="2"/>
  <c r="F264" i="2"/>
  <c r="G264" i="2"/>
  <c r="F263" i="2"/>
  <c r="G263" i="2"/>
  <c r="F262" i="2"/>
  <c r="G262" i="2"/>
  <c r="F261" i="2"/>
  <c r="G261" i="2"/>
  <c r="F260" i="2"/>
  <c r="G260" i="2"/>
  <c r="F259" i="2"/>
  <c r="G259" i="2"/>
  <c r="F258" i="2"/>
  <c r="G258" i="2"/>
  <c r="F257" i="2"/>
  <c r="G257" i="2"/>
  <c r="F256" i="2"/>
  <c r="G256" i="2"/>
  <c r="F255" i="2"/>
  <c r="G255" i="2"/>
  <c r="F254" i="2"/>
  <c r="G254" i="2"/>
  <c r="F253" i="2"/>
  <c r="G253" i="2"/>
  <c r="F252" i="2"/>
  <c r="G252" i="2"/>
  <c r="F251" i="2"/>
  <c r="G251" i="2"/>
  <c r="F250" i="2"/>
  <c r="G250" i="2"/>
  <c r="F249" i="2"/>
  <c r="G249" i="2"/>
  <c r="F248" i="2"/>
  <c r="G248" i="2"/>
  <c r="F247" i="2"/>
  <c r="G247" i="2"/>
  <c r="F246" i="2"/>
  <c r="G246" i="2"/>
  <c r="F245" i="2"/>
  <c r="G245" i="2"/>
  <c r="F244" i="2"/>
  <c r="G244" i="2"/>
  <c r="F243" i="2"/>
  <c r="G243" i="2"/>
  <c r="F242" i="2"/>
  <c r="G242" i="2"/>
  <c r="F241" i="2"/>
  <c r="G241" i="2"/>
  <c r="F240" i="2"/>
  <c r="G240" i="2"/>
  <c r="F239" i="2"/>
  <c r="G239" i="2"/>
  <c r="F238" i="2"/>
  <c r="G238" i="2"/>
  <c r="F237" i="2"/>
  <c r="G237" i="2"/>
  <c r="F236" i="2"/>
  <c r="G236" i="2"/>
  <c r="F235" i="2"/>
  <c r="G235" i="2"/>
  <c r="F234" i="2"/>
  <c r="G234" i="2"/>
  <c r="F233" i="2"/>
  <c r="G233" i="2"/>
  <c r="F232" i="2"/>
  <c r="G232" i="2"/>
  <c r="F231" i="2"/>
  <c r="G231" i="2"/>
  <c r="F230" i="2"/>
  <c r="G230" i="2"/>
  <c r="F229" i="2"/>
  <c r="G229" i="2"/>
  <c r="F228" i="2"/>
  <c r="G228" i="2"/>
  <c r="F227" i="2"/>
  <c r="G227" i="2"/>
  <c r="G226" i="2"/>
  <c r="F226" i="2"/>
  <c r="G225" i="2"/>
  <c r="F225" i="2"/>
  <c r="G224" i="2"/>
  <c r="F224" i="2"/>
  <c r="G223" i="2"/>
  <c r="F223" i="2"/>
  <c r="G222" i="2"/>
  <c r="F222" i="2"/>
  <c r="G221" i="2"/>
  <c r="F221" i="2"/>
  <c r="G220" i="2"/>
  <c r="F220" i="2"/>
  <c r="F219" i="2"/>
  <c r="G219" i="2"/>
  <c r="G218" i="2"/>
  <c r="F218" i="2"/>
  <c r="G217" i="2"/>
  <c r="F217" i="2"/>
  <c r="G216" i="2"/>
  <c r="F216" i="2"/>
  <c r="F215" i="2"/>
  <c r="G215" i="2"/>
  <c r="G214" i="2"/>
  <c r="F214" i="2"/>
  <c r="F213" i="2"/>
  <c r="G213" i="2"/>
  <c r="F212" i="2"/>
  <c r="G212" i="2"/>
  <c r="F211" i="2"/>
  <c r="G211" i="2"/>
  <c r="F210" i="2"/>
  <c r="G210" i="2"/>
  <c r="G209" i="2"/>
  <c r="F209" i="2"/>
  <c r="F208" i="2"/>
  <c r="G208" i="2"/>
  <c r="G207" i="2"/>
  <c r="F207" i="2"/>
  <c r="F206" i="2"/>
  <c r="G206" i="2"/>
  <c r="G205" i="2"/>
  <c r="F205" i="2"/>
  <c r="G204" i="2"/>
  <c r="F204" i="2"/>
  <c r="G203" i="2"/>
  <c r="F203" i="2"/>
  <c r="F202" i="2"/>
  <c r="G202" i="2"/>
  <c r="G201" i="2"/>
  <c r="F201" i="2"/>
  <c r="G200" i="2"/>
  <c r="F200" i="2"/>
  <c r="G199" i="2"/>
  <c r="F199" i="2"/>
  <c r="G198" i="2"/>
  <c r="F198" i="2"/>
  <c r="G197" i="2"/>
  <c r="F197" i="2"/>
  <c r="F196" i="2"/>
  <c r="G196" i="2"/>
  <c r="G195" i="2"/>
  <c r="F195" i="2"/>
  <c r="G194" i="2"/>
  <c r="F194" i="2"/>
  <c r="G193" i="2"/>
  <c r="F193" i="2"/>
  <c r="G192" i="2"/>
  <c r="F192" i="2"/>
  <c r="G191" i="2"/>
  <c r="F191" i="2"/>
  <c r="G190" i="2"/>
  <c r="F190" i="2"/>
  <c r="G189" i="2"/>
  <c r="F189" i="2"/>
  <c r="G188" i="2"/>
  <c r="F188" i="2"/>
  <c r="G187" i="2"/>
  <c r="F187" i="2"/>
  <c r="G186" i="2"/>
  <c r="F186" i="2"/>
  <c r="G185" i="2"/>
  <c r="F185" i="2"/>
  <c r="F184" i="2"/>
  <c r="G184" i="2"/>
  <c r="G183" i="2"/>
  <c r="F183" i="2"/>
  <c r="F182" i="2"/>
  <c r="G182" i="2"/>
  <c r="G181" i="2"/>
  <c r="F181" i="2"/>
  <c r="F180" i="2"/>
  <c r="G180" i="2"/>
  <c r="G179" i="2"/>
  <c r="F179" i="2"/>
  <c r="F178" i="2"/>
  <c r="G178" i="2"/>
  <c r="F177" i="2"/>
  <c r="G177" i="2"/>
  <c r="G176" i="2"/>
  <c r="F176" i="2"/>
  <c r="G175" i="2"/>
  <c r="F175" i="2"/>
  <c r="F174" i="2"/>
  <c r="G174" i="2"/>
  <c r="G173" i="2"/>
  <c r="F173" i="2"/>
  <c r="F172" i="2"/>
  <c r="G172" i="2"/>
  <c r="G171" i="2"/>
  <c r="F171" i="2"/>
  <c r="G170" i="2"/>
  <c r="F170" i="2"/>
  <c r="G169" i="2"/>
  <c r="F169" i="2"/>
  <c r="G168" i="2"/>
  <c r="F168" i="2"/>
  <c r="G167" i="2"/>
  <c r="F167" i="2"/>
  <c r="G166" i="2"/>
  <c r="F166" i="2"/>
  <c r="F165" i="2"/>
  <c r="G165" i="2"/>
  <c r="G164" i="2"/>
  <c r="F164" i="2"/>
  <c r="G163" i="2"/>
  <c r="F163" i="2"/>
  <c r="G162" i="2"/>
  <c r="F162" i="2"/>
  <c r="G161" i="2"/>
  <c r="F161" i="2"/>
  <c r="F160" i="2"/>
  <c r="G160" i="2"/>
  <c r="F159" i="2"/>
  <c r="G159" i="2"/>
  <c r="G158" i="2"/>
  <c r="F158" i="2"/>
  <c r="G157" i="2"/>
  <c r="F157" i="2"/>
  <c r="G156" i="2"/>
  <c r="F156" i="2"/>
  <c r="G155" i="2"/>
  <c r="F155" i="2"/>
  <c r="G154" i="2"/>
  <c r="F154" i="2"/>
  <c r="G153" i="2"/>
  <c r="F153" i="2"/>
  <c r="G152" i="2"/>
  <c r="F152" i="2"/>
  <c r="G151" i="2"/>
  <c r="F151" i="2"/>
  <c r="F150" i="2"/>
  <c r="G150" i="2"/>
  <c r="F149" i="2"/>
  <c r="G149" i="2"/>
  <c r="G148" i="2"/>
  <c r="F148" i="2"/>
  <c r="G147" i="2"/>
  <c r="F147" i="2"/>
  <c r="F146" i="2"/>
  <c r="G146" i="2"/>
  <c r="F145" i="2"/>
  <c r="G145" i="2"/>
  <c r="G144" i="2"/>
  <c r="F144" i="2"/>
  <c r="G143" i="2"/>
  <c r="F143" i="2"/>
  <c r="F142" i="2"/>
  <c r="G142" i="2"/>
  <c r="G141" i="2"/>
  <c r="F141" i="2"/>
  <c r="G140" i="2"/>
  <c r="F140" i="2"/>
  <c r="G139" i="2"/>
  <c r="F139" i="2"/>
  <c r="G138" i="2"/>
  <c r="F138" i="2"/>
  <c r="G137" i="2"/>
  <c r="F137" i="2"/>
  <c r="F136" i="2"/>
  <c r="G136" i="2"/>
  <c r="G135" i="2"/>
  <c r="F135" i="2"/>
  <c r="G134" i="2"/>
  <c r="F134" i="2"/>
  <c r="F133" i="2"/>
  <c r="G133" i="2"/>
  <c r="F132" i="2"/>
  <c r="G132" i="2"/>
  <c r="F131" i="2"/>
  <c r="G131" i="2"/>
  <c r="F130" i="2"/>
  <c r="G130" i="2"/>
  <c r="F129" i="2"/>
  <c r="G129" i="2"/>
  <c r="F128" i="2"/>
  <c r="G128" i="2"/>
  <c r="F127" i="2"/>
  <c r="G127" i="2"/>
  <c r="F126" i="2"/>
  <c r="G126" i="2"/>
  <c r="F125" i="2"/>
  <c r="G125" i="2"/>
  <c r="F124" i="2"/>
  <c r="G124" i="2"/>
  <c r="F123" i="2"/>
  <c r="G123" i="2"/>
  <c r="F122" i="2"/>
  <c r="G122" i="2"/>
  <c r="F121" i="2"/>
  <c r="G121" i="2"/>
  <c r="F120" i="2"/>
  <c r="G120" i="2"/>
  <c r="F119" i="2"/>
  <c r="G119" i="2"/>
  <c r="F118" i="2"/>
  <c r="G118" i="2"/>
  <c r="F117" i="2"/>
  <c r="G117" i="2"/>
  <c r="F116" i="2"/>
  <c r="G116" i="2"/>
  <c r="F115" i="2"/>
  <c r="G115" i="2"/>
  <c r="F114" i="2"/>
  <c r="G114" i="2"/>
  <c r="F113" i="2"/>
  <c r="G113" i="2"/>
  <c r="F112" i="2"/>
  <c r="G112" i="2"/>
  <c r="F111" i="2"/>
  <c r="G111" i="2"/>
  <c r="F110" i="2"/>
  <c r="G110" i="2"/>
  <c r="F109" i="2"/>
  <c r="G109" i="2"/>
  <c r="F108" i="2"/>
  <c r="G108" i="2"/>
  <c r="F107" i="2"/>
  <c r="G107" i="2"/>
  <c r="F106" i="2"/>
  <c r="G106" i="2"/>
  <c r="F105" i="2"/>
  <c r="G105" i="2"/>
  <c r="F104" i="2"/>
  <c r="G104" i="2"/>
  <c r="F103" i="2"/>
  <c r="G103" i="2"/>
  <c r="F102" i="2"/>
  <c r="G102" i="2"/>
  <c r="F101" i="2"/>
  <c r="G101" i="2"/>
  <c r="F100" i="2"/>
  <c r="G100" i="2"/>
  <c r="F99" i="2"/>
  <c r="G99" i="2"/>
  <c r="F98" i="2"/>
  <c r="G98" i="2"/>
  <c r="F97" i="2"/>
  <c r="G97" i="2"/>
  <c r="F96" i="2"/>
  <c r="G96" i="2"/>
  <c r="F95" i="2"/>
  <c r="G95" i="2"/>
  <c r="F94" i="2"/>
  <c r="G94" i="2"/>
  <c r="F93" i="2"/>
  <c r="G93" i="2"/>
  <c r="F92" i="2"/>
  <c r="G92" i="2"/>
  <c r="F91" i="2"/>
  <c r="G91" i="2"/>
  <c r="F90" i="2"/>
  <c r="G90" i="2"/>
  <c r="F89" i="2"/>
  <c r="G89" i="2"/>
  <c r="F88" i="2"/>
  <c r="G88" i="2"/>
  <c r="F87" i="2"/>
  <c r="G87" i="2"/>
  <c r="F86" i="2"/>
  <c r="G86" i="2"/>
  <c r="F85" i="2"/>
  <c r="G85" i="2"/>
  <c r="F84" i="2"/>
  <c r="G84" i="2"/>
  <c r="F83" i="2"/>
  <c r="G83" i="2"/>
  <c r="F82" i="2"/>
  <c r="G82" i="2"/>
  <c r="F81" i="2"/>
  <c r="G81" i="2"/>
  <c r="F80" i="2"/>
  <c r="G80" i="2"/>
  <c r="F79" i="2"/>
  <c r="G79" i="2"/>
  <c r="F78" i="2"/>
  <c r="G78" i="2"/>
  <c r="F77" i="2"/>
  <c r="G77" i="2"/>
  <c r="F76" i="2"/>
  <c r="G76" i="2"/>
  <c r="F75" i="2"/>
  <c r="G75" i="2"/>
  <c r="F74" i="2"/>
  <c r="G74" i="2"/>
  <c r="F73" i="2"/>
  <c r="G73" i="2"/>
  <c r="F72" i="2"/>
  <c r="G72" i="2"/>
  <c r="F71" i="2"/>
  <c r="G71" i="2"/>
  <c r="F70" i="2"/>
  <c r="G70" i="2"/>
  <c r="F69" i="2"/>
  <c r="G69" i="2"/>
  <c r="F68" i="2"/>
  <c r="G68" i="2"/>
  <c r="F67" i="2"/>
  <c r="G67" i="2"/>
  <c r="F66" i="2"/>
  <c r="G66" i="2"/>
  <c r="F65" i="2"/>
  <c r="G65" i="2"/>
  <c r="F64" i="2"/>
  <c r="G64" i="2"/>
  <c r="F63" i="2"/>
  <c r="G63" i="2"/>
  <c r="F62" i="2"/>
  <c r="G62" i="2"/>
  <c r="F61" i="2"/>
  <c r="G61" i="2"/>
  <c r="F60" i="2"/>
  <c r="G60" i="2"/>
  <c r="F59" i="2"/>
  <c r="G59" i="2"/>
  <c r="F58" i="2"/>
  <c r="G58" i="2"/>
  <c r="F57" i="2"/>
  <c r="G57" i="2"/>
  <c r="F56" i="2"/>
  <c r="G56" i="2"/>
  <c r="F55" i="2"/>
  <c r="G55" i="2"/>
  <c r="F54" i="2"/>
  <c r="G54" i="2"/>
  <c r="F53" i="2"/>
  <c r="G53" i="2"/>
  <c r="F52" i="2"/>
  <c r="G52" i="2"/>
  <c r="F51" i="2"/>
  <c r="G51" i="2"/>
  <c r="F50" i="2"/>
  <c r="G50" i="2"/>
  <c r="F49" i="2"/>
  <c r="G49" i="2"/>
  <c r="F48" i="2"/>
  <c r="G48" i="2"/>
  <c r="F47" i="2"/>
  <c r="G47" i="2"/>
  <c r="F46" i="2"/>
  <c r="G46" i="2"/>
  <c r="F45" i="2"/>
  <c r="G45" i="2"/>
  <c r="F44" i="2"/>
  <c r="G44" i="2"/>
  <c r="F43" i="2"/>
  <c r="G43" i="2"/>
  <c r="F42" i="2"/>
  <c r="G42" i="2"/>
  <c r="F41" i="2"/>
  <c r="G41" i="2"/>
  <c r="F40" i="2"/>
  <c r="G40" i="2"/>
  <c r="F39" i="2"/>
  <c r="G39" i="2"/>
  <c r="F38" i="2"/>
  <c r="G38" i="2"/>
  <c r="F37" i="2"/>
  <c r="G37" i="2"/>
  <c r="F36" i="2"/>
  <c r="G36" i="2"/>
  <c r="F35" i="2"/>
  <c r="G35" i="2"/>
  <c r="F34" i="2"/>
  <c r="G34" i="2"/>
  <c r="F33" i="2"/>
  <c r="G33" i="2"/>
  <c r="F32" i="2"/>
  <c r="G32" i="2"/>
  <c r="F31" i="2"/>
  <c r="G31" i="2"/>
  <c r="F30" i="2"/>
  <c r="G30" i="2"/>
  <c r="F29" i="2"/>
  <c r="G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H21" i="2"/>
  <c r="I21" i="2"/>
  <c r="I20" i="2"/>
  <c r="H20" i="2"/>
  <c r="I19" i="2"/>
  <c r="H19" i="2"/>
  <c r="I18" i="2"/>
  <c r="H18" i="2"/>
  <c r="H17" i="2"/>
  <c r="I17" i="2"/>
  <c r="H16" i="2"/>
  <c r="I16" i="2"/>
  <c r="H15" i="2"/>
  <c r="I15" i="2"/>
  <c r="H14" i="2"/>
  <c r="I14" i="2"/>
  <c r="H13" i="2"/>
  <c r="I13" i="2"/>
  <c r="H12" i="2"/>
  <c r="I12" i="2"/>
  <c r="H11" i="2"/>
  <c r="I11" i="2"/>
  <c r="H10" i="2"/>
  <c r="I10" i="2"/>
  <c r="H9" i="2"/>
  <c r="I9" i="2"/>
  <c r="H8" i="2"/>
  <c r="I8" i="2"/>
  <c r="H7" i="2"/>
  <c r="I7" i="2"/>
  <c r="H6" i="2"/>
  <c r="I6" i="2"/>
  <c r="I5" i="2"/>
  <c r="H5" i="2"/>
  <c r="H4" i="2"/>
  <c r="I4" i="2"/>
  <c r="T491" i="2" l="1"/>
  <c r="T457" i="2"/>
  <c r="G437" i="5"/>
  <c r="F437" i="5"/>
  <c r="G436" i="5"/>
  <c r="F436" i="5"/>
  <c r="G435" i="5"/>
  <c r="F435" i="5"/>
  <c r="G434" i="5"/>
  <c r="F434" i="5"/>
  <c r="G433" i="5"/>
  <c r="F433" i="5"/>
  <c r="G432" i="5"/>
  <c r="F432" i="5"/>
  <c r="G431" i="5"/>
  <c r="F431" i="5"/>
  <c r="G430" i="5"/>
  <c r="F430" i="5"/>
  <c r="G429" i="5"/>
  <c r="F429" i="5"/>
  <c r="G428" i="5"/>
  <c r="F428" i="5"/>
  <c r="G427" i="5"/>
  <c r="F427" i="5"/>
  <c r="G426" i="5"/>
  <c r="F426" i="5"/>
  <c r="G425" i="5"/>
  <c r="F425" i="5"/>
  <c r="G424" i="5"/>
  <c r="F424" i="5"/>
  <c r="G423" i="5"/>
  <c r="F423" i="5"/>
  <c r="G422" i="5"/>
  <c r="F422" i="5"/>
  <c r="G421" i="5"/>
  <c r="F421" i="5"/>
  <c r="G420" i="5"/>
  <c r="F420" i="5"/>
  <c r="G419" i="5"/>
  <c r="F419" i="5"/>
  <c r="G418" i="5"/>
  <c r="F418" i="5"/>
  <c r="G417" i="5"/>
  <c r="F417" i="5"/>
  <c r="G416" i="5"/>
  <c r="F416" i="5"/>
  <c r="F414" i="5"/>
  <c r="G414" i="5"/>
  <c r="G413" i="5"/>
  <c r="F413" i="5"/>
  <c r="F412" i="5"/>
  <c r="G412" i="5"/>
  <c r="G411" i="5"/>
  <c r="F411" i="5"/>
  <c r="F410" i="5"/>
  <c r="G410" i="5"/>
  <c r="F409" i="5"/>
  <c r="G409" i="5"/>
  <c r="F408" i="5"/>
  <c r="G408" i="5"/>
  <c r="F406" i="5"/>
  <c r="G406" i="5"/>
  <c r="G405" i="5"/>
  <c r="F405" i="5"/>
  <c r="G404" i="5"/>
  <c r="F404" i="5"/>
  <c r="G403" i="5"/>
  <c r="F403" i="5"/>
  <c r="G402" i="5"/>
  <c r="F402" i="5"/>
  <c r="G401" i="5"/>
  <c r="F401" i="5"/>
  <c r="F400" i="5"/>
  <c r="G400" i="5"/>
  <c r="F399" i="5"/>
  <c r="G399" i="5"/>
  <c r="F398" i="5"/>
  <c r="G398" i="5"/>
  <c r="F397" i="5"/>
  <c r="G397" i="5"/>
  <c r="F396" i="5"/>
  <c r="G396" i="5"/>
  <c r="G395" i="5"/>
  <c r="F395" i="5"/>
  <c r="G394" i="5"/>
  <c r="F394" i="5"/>
  <c r="F392" i="5"/>
  <c r="G392" i="5"/>
  <c r="F391" i="5"/>
  <c r="G391" i="5"/>
  <c r="F390" i="5"/>
  <c r="G390" i="5"/>
  <c r="G389" i="5"/>
  <c r="F389" i="5"/>
  <c r="G388" i="5"/>
  <c r="F388" i="5"/>
  <c r="G387" i="5"/>
  <c r="F387" i="5"/>
  <c r="F386" i="5"/>
  <c r="G386" i="5"/>
  <c r="F385" i="5"/>
  <c r="G385" i="5"/>
  <c r="G384" i="5"/>
  <c r="F384" i="5"/>
  <c r="G383" i="5"/>
  <c r="F383" i="5"/>
  <c r="F382" i="5"/>
  <c r="G382" i="5"/>
  <c r="F381" i="5"/>
  <c r="G381" i="5"/>
  <c r="G380" i="5"/>
  <c r="F380" i="5"/>
  <c r="G379" i="5"/>
  <c r="F379" i="5"/>
  <c r="F378" i="5"/>
  <c r="G378" i="5"/>
  <c r="G377" i="5"/>
  <c r="F377" i="5"/>
  <c r="G376" i="5"/>
  <c r="F376" i="5"/>
  <c r="G375" i="5"/>
  <c r="F375" i="5"/>
  <c r="F374" i="5"/>
  <c r="G374" i="5"/>
  <c r="F373" i="5"/>
  <c r="G373" i="5"/>
  <c r="G372" i="5"/>
  <c r="F372" i="5"/>
  <c r="G371" i="5"/>
  <c r="F371" i="5"/>
  <c r="G370" i="5"/>
  <c r="F370" i="5"/>
  <c r="F369" i="5"/>
  <c r="G369" i="5"/>
  <c r="G368" i="5"/>
  <c r="F368" i="5"/>
  <c r="G367" i="5"/>
  <c r="F367" i="5"/>
  <c r="G366" i="5"/>
  <c r="F366" i="5"/>
  <c r="F365" i="5"/>
  <c r="G365" i="5"/>
  <c r="G364" i="5"/>
  <c r="F364" i="5"/>
  <c r="G363" i="5"/>
  <c r="F363" i="5"/>
  <c r="F362" i="5"/>
  <c r="G362" i="5"/>
  <c r="G361" i="5"/>
  <c r="F361" i="5"/>
  <c r="F360" i="5"/>
  <c r="G360" i="5"/>
  <c r="F359" i="5"/>
  <c r="G359" i="5"/>
  <c r="F358" i="5"/>
  <c r="G358" i="5"/>
  <c r="G357" i="5"/>
  <c r="F357" i="5"/>
  <c r="F356" i="5"/>
  <c r="G355" i="5"/>
  <c r="G354" i="5"/>
  <c r="F354" i="5"/>
  <c r="G353" i="5"/>
  <c r="F353" i="5"/>
  <c r="G352" i="5"/>
  <c r="F352" i="5"/>
  <c r="F351" i="5"/>
  <c r="G351" i="5"/>
  <c r="G350" i="5"/>
  <c r="F350" i="5"/>
  <c r="F348" i="5"/>
  <c r="G348" i="5"/>
  <c r="F347" i="5"/>
  <c r="G347" i="5"/>
  <c r="G346" i="5"/>
  <c r="F346" i="5"/>
  <c r="F345" i="5"/>
  <c r="G345" i="5"/>
  <c r="F344" i="5"/>
  <c r="G344" i="5"/>
  <c r="G343" i="5"/>
  <c r="F343" i="5"/>
  <c r="G342" i="5"/>
  <c r="F342" i="5"/>
  <c r="G341" i="5"/>
  <c r="F341" i="5"/>
  <c r="G340" i="5"/>
  <c r="F340" i="5"/>
  <c r="F339" i="5"/>
  <c r="G339" i="5"/>
  <c r="F338" i="5"/>
  <c r="G338" i="5"/>
  <c r="F337" i="5"/>
  <c r="G337" i="5"/>
  <c r="F336" i="5"/>
  <c r="G336" i="5"/>
  <c r="G335" i="5"/>
  <c r="F335" i="5"/>
  <c r="F334" i="5"/>
  <c r="G334" i="5"/>
  <c r="G333" i="5"/>
  <c r="F333" i="5"/>
  <c r="G332" i="5"/>
  <c r="F332" i="5"/>
  <c r="F331" i="5"/>
  <c r="G331" i="5"/>
  <c r="F330" i="5"/>
  <c r="G330" i="5"/>
  <c r="F329" i="5"/>
  <c r="G329" i="5"/>
  <c r="G328" i="5"/>
  <c r="F328" i="5"/>
  <c r="F326" i="5"/>
  <c r="G326" i="5"/>
  <c r="G325" i="5"/>
  <c r="F325" i="5"/>
  <c r="G324" i="5"/>
  <c r="F324" i="5"/>
  <c r="F323" i="5"/>
  <c r="G323" i="5"/>
  <c r="F322" i="5"/>
  <c r="G322" i="5"/>
  <c r="F321" i="5"/>
  <c r="G321" i="5"/>
  <c r="G320" i="5"/>
  <c r="F320" i="5"/>
  <c r="F319" i="5"/>
  <c r="G319" i="5"/>
  <c r="F318" i="5"/>
  <c r="G318" i="5"/>
  <c r="F317" i="5"/>
  <c r="G317" i="5"/>
  <c r="G316" i="5"/>
  <c r="F316" i="5"/>
  <c r="G315" i="5"/>
  <c r="F315" i="5"/>
  <c r="F314" i="5"/>
  <c r="G314" i="5"/>
  <c r="G313" i="5"/>
  <c r="F313" i="5"/>
  <c r="G312" i="5"/>
  <c r="F312" i="5"/>
  <c r="G311" i="5"/>
  <c r="F311" i="5"/>
  <c r="G310" i="5"/>
  <c r="F310" i="5"/>
  <c r="G309" i="5"/>
  <c r="F309" i="5"/>
  <c r="F308" i="5"/>
  <c r="G308" i="5"/>
  <c r="F307" i="5"/>
  <c r="G307" i="5"/>
  <c r="G306" i="5"/>
  <c r="F306" i="5"/>
  <c r="G304" i="5"/>
  <c r="F304" i="5"/>
  <c r="F303" i="5"/>
  <c r="G303" i="5"/>
  <c r="F301" i="5"/>
  <c r="G301" i="5"/>
  <c r="G300" i="5"/>
  <c r="F300" i="5"/>
  <c r="F299" i="5"/>
  <c r="G299" i="5"/>
  <c r="F298" i="5"/>
  <c r="G298" i="5"/>
  <c r="G297" i="5"/>
  <c r="F297" i="5"/>
  <c r="F296" i="5"/>
  <c r="G296" i="5"/>
  <c r="F295" i="5"/>
  <c r="G295" i="5"/>
  <c r="G294" i="5"/>
  <c r="F294" i="5"/>
  <c r="G293" i="5"/>
  <c r="F293" i="5"/>
  <c r="F292" i="5"/>
  <c r="G292" i="5"/>
  <c r="F291" i="5"/>
  <c r="G291" i="5"/>
  <c r="G290" i="5"/>
  <c r="F290" i="5"/>
  <c r="F289" i="5"/>
  <c r="G289" i="5"/>
  <c r="F288" i="5"/>
  <c r="G288" i="5"/>
  <c r="F287" i="5"/>
  <c r="G287" i="5"/>
  <c r="F286" i="5"/>
  <c r="G286" i="5"/>
  <c r="G285" i="5"/>
  <c r="F285" i="5"/>
  <c r="G284" i="5"/>
  <c r="F284" i="5"/>
  <c r="F282" i="5"/>
  <c r="G282" i="5"/>
  <c r="F281" i="5"/>
  <c r="G281" i="5"/>
  <c r="G280" i="5"/>
  <c r="F280" i="5"/>
  <c r="G279" i="5"/>
  <c r="F279" i="5"/>
  <c r="G278" i="5"/>
  <c r="F278" i="5"/>
  <c r="G277" i="5"/>
  <c r="F277" i="5"/>
  <c r="G276" i="5"/>
  <c r="F276" i="5"/>
  <c r="G275" i="5"/>
  <c r="F275" i="5"/>
  <c r="G274" i="5"/>
  <c r="F274" i="5"/>
  <c r="G273" i="5"/>
  <c r="F273" i="5"/>
  <c r="F272" i="5"/>
  <c r="G272" i="5"/>
  <c r="F271" i="5"/>
  <c r="G271" i="5"/>
  <c r="F270" i="5"/>
  <c r="G270" i="5"/>
  <c r="G269" i="5"/>
  <c r="F269" i="5"/>
  <c r="F268" i="5"/>
  <c r="G268" i="5"/>
  <c r="F267" i="5"/>
  <c r="G267" i="5"/>
  <c r="F266" i="5"/>
  <c r="G266" i="5"/>
  <c r="F265" i="5"/>
  <c r="G265" i="5"/>
  <c r="G264" i="5"/>
  <c r="F264" i="5"/>
  <c r="F263" i="5"/>
  <c r="G263" i="5"/>
  <c r="F262" i="5"/>
  <c r="G262" i="5"/>
  <c r="F260" i="5"/>
  <c r="G260" i="5"/>
  <c r="F259" i="5"/>
  <c r="G259" i="5"/>
  <c r="G258" i="5"/>
  <c r="F258" i="5"/>
  <c r="G257" i="5"/>
  <c r="F257" i="5"/>
  <c r="G256" i="5"/>
  <c r="F256" i="5"/>
  <c r="F255" i="5"/>
  <c r="G255" i="5"/>
  <c r="G254" i="5"/>
  <c r="F254" i="5"/>
  <c r="G253" i="5"/>
  <c r="F253" i="5"/>
  <c r="F252" i="5"/>
  <c r="G252" i="5"/>
  <c r="G251" i="5"/>
  <c r="F251" i="5"/>
  <c r="F249" i="5"/>
  <c r="G249" i="5"/>
  <c r="G248" i="5"/>
  <c r="F248" i="5"/>
  <c r="F247" i="5"/>
  <c r="G247" i="5"/>
  <c r="G246" i="5"/>
  <c r="F246" i="5"/>
  <c r="F245" i="5"/>
  <c r="G245" i="5"/>
  <c r="G244" i="5"/>
  <c r="F244" i="5"/>
  <c r="G243" i="5"/>
  <c r="F243" i="5"/>
  <c r="G242" i="5"/>
  <c r="F242" i="5"/>
  <c r="G241" i="5"/>
  <c r="F241" i="5"/>
  <c r="F240" i="5"/>
  <c r="G240" i="5"/>
  <c r="G238" i="5"/>
  <c r="F238" i="5"/>
  <c r="G237" i="5"/>
  <c r="F237" i="5"/>
  <c r="G236" i="5"/>
  <c r="F236" i="5"/>
  <c r="G235" i="5"/>
  <c r="F235" i="5"/>
  <c r="G234" i="5"/>
  <c r="F234" i="5"/>
  <c r="G233" i="5"/>
  <c r="F233" i="5"/>
  <c r="F232" i="5"/>
  <c r="G232" i="5"/>
  <c r="G231" i="5"/>
  <c r="F231" i="5"/>
  <c r="G230" i="5"/>
  <c r="F230" i="5"/>
  <c r="G229" i="5"/>
  <c r="F229" i="5"/>
  <c r="G228" i="5"/>
  <c r="F228" i="5"/>
  <c r="G227" i="5"/>
  <c r="F227" i="5"/>
  <c r="G226" i="5"/>
  <c r="F226" i="5"/>
  <c r="G225" i="5"/>
  <c r="F225" i="5"/>
  <c r="G224" i="5"/>
  <c r="F224" i="5"/>
  <c r="G223" i="5"/>
  <c r="F223" i="5"/>
  <c r="G222" i="5"/>
  <c r="F222" i="5"/>
  <c r="G221" i="5"/>
  <c r="F221" i="5"/>
  <c r="F220" i="5"/>
  <c r="G220" i="5"/>
  <c r="F219" i="5"/>
  <c r="G219" i="5"/>
  <c r="G218" i="5"/>
  <c r="F218" i="5"/>
  <c r="G216" i="5"/>
  <c r="F216" i="5"/>
  <c r="F215" i="5"/>
  <c r="G215" i="5"/>
  <c r="F214" i="5"/>
  <c r="G214" i="5"/>
  <c r="G213" i="5"/>
  <c r="F213" i="5"/>
  <c r="F212" i="5"/>
  <c r="G212" i="5"/>
  <c r="G211" i="5"/>
  <c r="F211" i="5"/>
  <c r="F210" i="5"/>
  <c r="G210" i="5"/>
  <c r="G209" i="5"/>
  <c r="F209" i="5"/>
  <c r="F208" i="5"/>
  <c r="G208" i="5"/>
  <c r="G207" i="5"/>
  <c r="F207" i="5"/>
  <c r="G206" i="5"/>
  <c r="F206" i="5"/>
  <c r="G205" i="5"/>
  <c r="F205" i="5"/>
  <c r="F204" i="5"/>
  <c r="G204" i="5"/>
  <c r="G203" i="5"/>
  <c r="F203" i="5"/>
  <c r="G202" i="5"/>
  <c r="F202" i="5"/>
  <c r="G201" i="5"/>
  <c r="F201" i="5"/>
  <c r="G200" i="5"/>
  <c r="F200" i="5"/>
  <c r="G199" i="5"/>
  <c r="F199" i="5"/>
  <c r="F198" i="5"/>
  <c r="G197" i="5"/>
  <c r="F197" i="5"/>
  <c r="F196" i="5"/>
  <c r="G196" i="5"/>
  <c r="F194" i="5"/>
  <c r="G194" i="5"/>
  <c r="F193" i="5"/>
  <c r="G193" i="5"/>
  <c r="G192" i="5"/>
  <c r="F192" i="5"/>
  <c r="G191" i="5"/>
  <c r="F191" i="5"/>
  <c r="G190" i="5"/>
  <c r="F190" i="5"/>
  <c r="F189" i="5"/>
  <c r="G189" i="5"/>
  <c r="G188" i="5"/>
  <c r="F188" i="5"/>
  <c r="G187" i="5"/>
  <c r="F187" i="5"/>
  <c r="G186" i="5"/>
  <c r="F186" i="5"/>
  <c r="G185" i="5"/>
  <c r="F185" i="5"/>
  <c r="G184" i="5"/>
  <c r="F184" i="5"/>
  <c r="G183" i="5"/>
  <c r="F183" i="5"/>
  <c r="G182" i="5"/>
  <c r="F182" i="5"/>
  <c r="G181" i="5"/>
  <c r="F181" i="5"/>
  <c r="F180" i="5"/>
  <c r="G180" i="5"/>
  <c r="F179" i="5"/>
  <c r="G179" i="5"/>
  <c r="F178" i="5"/>
  <c r="G178" i="5"/>
  <c r="F177" i="5"/>
  <c r="G177" i="5"/>
  <c r="G176" i="5"/>
  <c r="F176" i="5"/>
  <c r="F175" i="5"/>
  <c r="G175" i="5"/>
  <c r="F174" i="5"/>
  <c r="G174" i="5"/>
  <c r="G173" i="5"/>
  <c r="F173" i="5"/>
  <c r="G172" i="5"/>
  <c r="F172" i="5"/>
  <c r="G171" i="5"/>
  <c r="F171" i="5"/>
  <c r="G170" i="5"/>
  <c r="F170" i="5"/>
  <c r="G169" i="5"/>
  <c r="F169" i="5"/>
  <c r="G168" i="5"/>
  <c r="F168" i="5"/>
  <c r="F167" i="5"/>
  <c r="G167" i="5"/>
  <c r="F166" i="5"/>
  <c r="G166" i="5"/>
  <c r="G165" i="5"/>
  <c r="F165" i="5"/>
  <c r="G164" i="5"/>
  <c r="F164" i="5"/>
  <c r="F163" i="5"/>
  <c r="G163" i="5"/>
  <c r="F162" i="5"/>
  <c r="G162" i="5"/>
  <c r="F161" i="5"/>
  <c r="G161" i="5"/>
  <c r="G160" i="5"/>
  <c r="F160" i="5"/>
  <c r="F159" i="5"/>
  <c r="G159" i="5"/>
  <c r="G158" i="5"/>
  <c r="F158" i="5"/>
  <c r="G157" i="5"/>
  <c r="F157" i="5"/>
  <c r="G156" i="5"/>
  <c r="F156" i="5"/>
  <c r="G155" i="5"/>
  <c r="F155" i="5"/>
  <c r="F154" i="5"/>
  <c r="G154" i="5"/>
  <c r="G153" i="5"/>
  <c r="F153" i="5"/>
  <c r="F152" i="5"/>
  <c r="G152" i="5"/>
  <c r="F151" i="5"/>
  <c r="G151" i="5"/>
  <c r="F150" i="5"/>
  <c r="G150" i="5"/>
  <c r="G149" i="5"/>
  <c r="F149" i="5"/>
  <c r="F148" i="5"/>
  <c r="G148" i="5"/>
  <c r="F147" i="5"/>
  <c r="G147" i="5"/>
  <c r="F145" i="5"/>
  <c r="G145" i="5"/>
  <c r="F144" i="5"/>
  <c r="G144" i="5"/>
  <c r="F143" i="5"/>
  <c r="G143" i="5"/>
  <c r="G142" i="5"/>
  <c r="F142" i="5"/>
  <c r="G141" i="5"/>
  <c r="F141" i="5"/>
  <c r="F140" i="5"/>
  <c r="G140" i="5"/>
  <c r="F139" i="5"/>
  <c r="G139" i="5"/>
  <c r="G138" i="5"/>
  <c r="F138" i="5"/>
  <c r="G137" i="5"/>
  <c r="F137" i="5"/>
  <c r="F136" i="5"/>
  <c r="G136" i="5"/>
  <c r="G135" i="5"/>
  <c r="F135" i="5"/>
  <c r="G134" i="5"/>
  <c r="F134" i="5"/>
  <c r="F133" i="5"/>
  <c r="G133" i="5"/>
  <c r="G132" i="5"/>
  <c r="F132" i="5"/>
  <c r="G131" i="5"/>
  <c r="F131" i="5"/>
  <c r="F130" i="5"/>
  <c r="G130" i="5"/>
  <c r="F129" i="5"/>
  <c r="G129" i="5"/>
  <c r="G128" i="5"/>
  <c r="F128" i="5"/>
  <c r="G127" i="5"/>
  <c r="F127" i="5"/>
  <c r="G126" i="5"/>
  <c r="F126" i="5"/>
  <c r="F125" i="5"/>
  <c r="G125" i="5"/>
  <c r="F124" i="5"/>
  <c r="G124" i="5"/>
  <c r="G123" i="5"/>
  <c r="F123" i="5"/>
  <c r="G122" i="5"/>
  <c r="F122" i="5"/>
  <c r="G121" i="5"/>
  <c r="F121" i="5"/>
  <c r="G120" i="5"/>
  <c r="F120" i="5"/>
  <c r="G119" i="5"/>
  <c r="F119" i="5"/>
  <c r="F118" i="5"/>
  <c r="G118" i="5"/>
  <c r="F117" i="5"/>
  <c r="G117" i="5"/>
  <c r="G116" i="5"/>
  <c r="F116" i="5"/>
  <c r="G115" i="5"/>
  <c r="F115" i="5"/>
  <c r="G114" i="5"/>
  <c r="F114" i="5"/>
  <c r="G113" i="5"/>
  <c r="F113" i="5"/>
  <c r="G112" i="5"/>
  <c r="F112" i="5"/>
  <c r="F111" i="5"/>
  <c r="G111" i="5"/>
  <c r="G110" i="5"/>
  <c r="F110" i="5"/>
  <c r="G109" i="5"/>
  <c r="F109" i="5"/>
  <c r="F108" i="5"/>
  <c r="G108" i="5"/>
  <c r="F107" i="5"/>
  <c r="G107" i="5"/>
  <c r="F106" i="5"/>
  <c r="G106" i="5"/>
  <c r="F105" i="5"/>
  <c r="G105" i="5"/>
  <c r="F104" i="5"/>
  <c r="G104" i="5"/>
  <c r="F103" i="5"/>
  <c r="G103" i="5"/>
  <c r="F102" i="5"/>
  <c r="G102" i="5"/>
  <c r="F101" i="5"/>
  <c r="G101" i="5"/>
  <c r="G100" i="5"/>
  <c r="F100" i="5"/>
  <c r="F99" i="5"/>
  <c r="G99" i="5"/>
  <c r="G98" i="5"/>
  <c r="F98" i="5"/>
  <c r="G97" i="5"/>
  <c r="F97" i="5"/>
  <c r="G96" i="5"/>
  <c r="F96" i="5"/>
  <c r="G95" i="5"/>
  <c r="F95" i="5"/>
  <c r="F94" i="5"/>
  <c r="G94" i="5"/>
  <c r="F93" i="5"/>
  <c r="G93" i="5"/>
  <c r="F92" i="5"/>
  <c r="G92" i="5"/>
  <c r="F91" i="5"/>
  <c r="G91" i="5"/>
  <c r="G90" i="5"/>
  <c r="F90" i="5"/>
  <c r="G89" i="5"/>
  <c r="F89" i="5"/>
  <c r="G88" i="5"/>
  <c r="F88" i="5"/>
  <c r="F87" i="5"/>
  <c r="G87" i="5"/>
  <c r="F86" i="5"/>
  <c r="G86" i="5"/>
  <c r="F85" i="5"/>
  <c r="G85" i="5"/>
  <c r="G84" i="5"/>
  <c r="F84" i="5"/>
  <c r="F83" i="5"/>
  <c r="G83" i="5"/>
  <c r="G82" i="5"/>
  <c r="F82" i="5"/>
  <c r="F81" i="5"/>
  <c r="G81" i="5"/>
  <c r="G80" i="5"/>
  <c r="F80" i="5"/>
  <c r="F79" i="5"/>
  <c r="G79" i="5"/>
  <c r="G78" i="5"/>
  <c r="F78" i="5"/>
  <c r="F77" i="5"/>
  <c r="G77" i="5"/>
  <c r="G76" i="5"/>
  <c r="F76" i="5"/>
  <c r="G75" i="5"/>
  <c r="F75" i="5"/>
  <c r="F74" i="5"/>
  <c r="G74" i="5"/>
  <c r="F73" i="5"/>
  <c r="G73" i="5"/>
  <c r="G72" i="5"/>
  <c r="F72" i="5"/>
  <c r="F71" i="5"/>
  <c r="G71" i="5"/>
  <c r="F70" i="5"/>
  <c r="G70" i="5"/>
  <c r="G69" i="5"/>
  <c r="F69" i="5"/>
  <c r="G68" i="5"/>
  <c r="F68" i="5"/>
  <c r="F67" i="5"/>
  <c r="G67" i="5"/>
  <c r="F66" i="5"/>
  <c r="G66" i="5"/>
  <c r="G65" i="5"/>
  <c r="F65" i="5"/>
  <c r="F64" i="5"/>
  <c r="G64" i="5"/>
  <c r="G63" i="5"/>
  <c r="F63" i="5"/>
  <c r="F62" i="5"/>
  <c r="G62" i="5"/>
  <c r="G61" i="5"/>
  <c r="F61" i="5"/>
  <c r="F60" i="5"/>
  <c r="G60" i="5"/>
  <c r="G59" i="5"/>
  <c r="F59" i="5"/>
  <c r="G58" i="5"/>
  <c r="F58" i="5"/>
  <c r="G57" i="5"/>
  <c r="F57" i="5"/>
  <c r="G56" i="5"/>
  <c r="F56" i="5"/>
  <c r="F55" i="5"/>
  <c r="G55" i="5"/>
  <c r="G54" i="5"/>
  <c r="F54" i="5"/>
  <c r="G53" i="5"/>
  <c r="F53" i="5"/>
  <c r="G52" i="5"/>
  <c r="F52" i="5"/>
  <c r="F51" i="5"/>
  <c r="G51" i="5"/>
  <c r="F50" i="5"/>
  <c r="G50" i="5"/>
  <c r="G49" i="5"/>
  <c r="F49" i="5"/>
  <c r="G48" i="5"/>
  <c r="F48" i="5"/>
  <c r="F47" i="5"/>
  <c r="G47" i="5"/>
  <c r="F46" i="5"/>
  <c r="G46" i="5"/>
  <c r="F45" i="5"/>
  <c r="G45" i="5"/>
  <c r="F44" i="5"/>
  <c r="G44" i="5"/>
  <c r="G43" i="5"/>
  <c r="F43" i="5"/>
  <c r="G42" i="5"/>
  <c r="F42" i="5"/>
  <c r="F41" i="5"/>
  <c r="G41" i="5"/>
  <c r="G40" i="5"/>
  <c r="F40" i="5"/>
  <c r="G39" i="5"/>
  <c r="F39" i="5"/>
  <c r="F38" i="5"/>
  <c r="G38" i="5"/>
  <c r="F37" i="5"/>
  <c r="G37" i="5"/>
  <c r="G36" i="5"/>
  <c r="F36" i="5"/>
  <c r="F35" i="5"/>
  <c r="G35" i="5"/>
  <c r="G34" i="5"/>
  <c r="F34" i="5"/>
  <c r="F33" i="5"/>
  <c r="G33" i="5"/>
  <c r="G32" i="5"/>
  <c r="F32" i="5"/>
  <c r="G31" i="5"/>
  <c r="F31" i="5"/>
  <c r="F30" i="5"/>
  <c r="G30" i="5"/>
  <c r="F29" i="5"/>
  <c r="G29" i="5"/>
  <c r="G28" i="5"/>
  <c r="F28" i="5"/>
  <c r="G27" i="5"/>
  <c r="F27" i="5"/>
  <c r="F26" i="5"/>
  <c r="G26" i="5"/>
  <c r="G25" i="5"/>
  <c r="F25" i="5"/>
  <c r="F24" i="5"/>
  <c r="G24" i="5"/>
  <c r="G23" i="5"/>
  <c r="F23" i="5"/>
  <c r="G22" i="5"/>
  <c r="F22" i="5"/>
  <c r="F21" i="5"/>
  <c r="G21" i="5"/>
  <c r="F20" i="5"/>
  <c r="G20" i="5"/>
  <c r="F18" i="5"/>
  <c r="G18" i="5"/>
  <c r="F17" i="5"/>
  <c r="G17" i="5"/>
  <c r="F16" i="5"/>
  <c r="G16" i="5"/>
  <c r="G15" i="5"/>
  <c r="F15" i="5"/>
  <c r="G14" i="5"/>
  <c r="F14" i="5"/>
  <c r="G13" i="5"/>
  <c r="F13" i="5"/>
  <c r="G12" i="5"/>
  <c r="F12" i="5"/>
  <c r="F11" i="5"/>
  <c r="G11" i="5"/>
  <c r="G10" i="5"/>
  <c r="F10" i="5"/>
  <c r="G9" i="5"/>
  <c r="F9" i="5"/>
  <c r="F8" i="5"/>
  <c r="G8" i="5"/>
  <c r="F7" i="5"/>
  <c r="G7" i="5"/>
  <c r="F6" i="5"/>
  <c r="G6" i="5"/>
  <c r="F5" i="5"/>
  <c r="G5" i="5"/>
  <c r="O4" i="5"/>
  <c r="Q4" i="5" s="1"/>
  <c r="N4" i="5"/>
  <c r="P4" i="5" s="1"/>
  <c r="H541" i="2"/>
  <c r="I541" i="2"/>
  <c r="H540" i="2"/>
  <c r="I540" i="2"/>
  <c r="H539" i="2"/>
  <c r="I539" i="2"/>
  <c r="H538" i="2"/>
  <c r="I538" i="2"/>
  <c r="H537" i="2"/>
  <c r="I537" i="2"/>
  <c r="H536" i="2"/>
  <c r="I536" i="2"/>
  <c r="H535" i="2"/>
  <c r="I535" i="2"/>
  <c r="H534" i="2"/>
  <c r="I534" i="2"/>
  <c r="H533" i="2"/>
  <c r="I533" i="2"/>
  <c r="H532" i="2"/>
  <c r="I532" i="2"/>
  <c r="H531" i="2"/>
  <c r="I531" i="2"/>
  <c r="H530" i="2"/>
  <c r="I530" i="2"/>
  <c r="H529" i="2"/>
  <c r="I529" i="2"/>
  <c r="H528" i="2"/>
  <c r="I528" i="2"/>
  <c r="H527" i="2"/>
  <c r="I527" i="2"/>
  <c r="H526" i="2"/>
  <c r="I526" i="2"/>
  <c r="H525" i="2"/>
  <c r="I525" i="2"/>
  <c r="H524" i="2"/>
  <c r="I524" i="2"/>
  <c r="H523" i="2"/>
  <c r="I523" i="2"/>
  <c r="H522" i="2"/>
  <c r="I522" i="2"/>
  <c r="H521" i="2"/>
  <c r="I521" i="2"/>
  <c r="H520" i="2"/>
  <c r="I520" i="2"/>
  <c r="H519" i="2"/>
  <c r="I519" i="2"/>
  <c r="H518" i="2"/>
  <c r="I518" i="2"/>
  <c r="H517" i="2"/>
  <c r="I517" i="2"/>
  <c r="H516" i="2"/>
  <c r="I516" i="2"/>
  <c r="H515" i="2"/>
  <c r="I515" i="2"/>
  <c r="H514" i="2"/>
  <c r="I514" i="2"/>
  <c r="H513" i="2"/>
  <c r="I513" i="2"/>
  <c r="H512" i="2"/>
  <c r="I512" i="2"/>
  <c r="H511" i="2"/>
  <c r="I511" i="2"/>
  <c r="H510" i="2"/>
  <c r="I510" i="2"/>
  <c r="H509" i="2"/>
  <c r="I509" i="2"/>
  <c r="H508" i="2"/>
  <c r="I508" i="2"/>
  <c r="H507" i="2"/>
  <c r="I507" i="2"/>
  <c r="H506" i="2"/>
  <c r="I506" i="2"/>
  <c r="H505" i="2"/>
  <c r="I505" i="2"/>
  <c r="H504" i="2"/>
  <c r="I504" i="2"/>
  <c r="H503" i="2"/>
  <c r="I503" i="2"/>
  <c r="H502" i="2"/>
  <c r="I502" i="2"/>
  <c r="H501" i="2"/>
  <c r="I501" i="2"/>
  <c r="H500" i="2"/>
  <c r="I500" i="2"/>
  <c r="H499" i="2"/>
  <c r="I499" i="2"/>
  <c r="H498" i="2"/>
  <c r="I498" i="2"/>
  <c r="H497" i="2"/>
  <c r="I497" i="2"/>
  <c r="H496" i="2"/>
  <c r="I496" i="2"/>
  <c r="H495" i="2"/>
  <c r="I495" i="2"/>
  <c r="H494" i="2"/>
  <c r="I494" i="2"/>
  <c r="H493" i="2"/>
  <c r="I493" i="2"/>
  <c r="H492" i="2"/>
  <c r="I492" i="2"/>
  <c r="H491" i="2"/>
  <c r="I491" i="2"/>
  <c r="H490" i="2"/>
  <c r="I490" i="2"/>
  <c r="H489" i="2"/>
  <c r="I489" i="2"/>
  <c r="H488" i="2"/>
  <c r="I488" i="2"/>
  <c r="H487" i="2"/>
  <c r="I487" i="2"/>
  <c r="H486" i="2"/>
  <c r="I486" i="2"/>
  <c r="H485" i="2"/>
  <c r="I485" i="2"/>
  <c r="H484" i="2"/>
  <c r="I484" i="2"/>
  <c r="H483" i="2"/>
  <c r="I483" i="2"/>
  <c r="H482" i="2"/>
  <c r="I482" i="2"/>
  <c r="H481" i="2"/>
  <c r="I481" i="2"/>
  <c r="H480" i="2"/>
  <c r="I480" i="2"/>
  <c r="H479" i="2"/>
  <c r="I479" i="2"/>
  <c r="H478" i="2"/>
  <c r="I478" i="2"/>
  <c r="H477" i="2"/>
  <c r="I477" i="2"/>
  <c r="H476" i="2"/>
  <c r="I476" i="2"/>
  <c r="H475" i="2"/>
  <c r="I475" i="2"/>
  <c r="H474" i="2"/>
  <c r="I474" i="2"/>
  <c r="H473" i="2"/>
  <c r="I473" i="2"/>
  <c r="H472" i="2"/>
  <c r="I472" i="2"/>
  <c r="H471" i="2"/>
  <c r="I471" i="2"/>
  <c r="H470" i="2"/>
  <c r="I470" i="2"/>
  <c r="H469" i="2"/>
  <c r="I469" i="2"/>
  <c r="H468" i="2"/>
  <c r="I468" i="2"/>
  <c r="H467" i="2"/>
  <c r="I467" i="2"/>
  <c r="H466" i="2"/>
  <c r="I466" i="2"/>
  <c r="H465" i="2"/>
  <c r="I465" i="2"/>
  <c r="H464" i="2"/>
  <c r="I464" i="2"/>
  <c r="H463" i="2"/>
  <c r="I463" i="2"/>
  <c r="H462" i="2"/>
  <c r="I462" i="2"/>
  <c r="H461" i="2"/>
  <c r="I461" i="2"/>
  <c r="H460" i="2"/>
  <c r="I460" i="2"/>
  <c r="H459" i="2"/>
  <c r="I459" i="2"/>
  <c r="H458" i="2"/>
  <c r="I458" i="2"/>
  <c r="H457" i="2"/>
  <c r="I457" i="2"/>
  <c r="H456" i="2"/>
  <c r="I456" i="2"/>
  <c r="H455" i="2"/>
  <c r="I455" i="2"/>
  <c r="H454" i="2"/>
  <c r="I454" i="2"/>
  <c r="H453" i="2"/>
  <c r="I453" i="2"/>
  <c r="H452" i="2"/>
  <c r="I452" i="2"/>
  <c r="H451" i="2"/>
  <c r="I451" i="2"/>
  <c r="H450" i="2"/>
  <c r="I450" i="2"/>
  <c r="H449" i="2"/>
  <c r="I449" i="2"/>
  <c r="H448" i="2"/>
  <c r="I448" i="2"/>
  <c r="H447" i="2"/>
  <c r="I447" i="2"/>
  <c r="H446" i="2"/>
  <c r="I446" i="2"/>
  <c r="H445" i="2"/>
  <c r="I445" i="2"/>
  <c r="H444" i="2"/>
  <c r="I444" i="2"/>
  <c r="H443" i="2"/>
  <c r="I443" i="2"/>
  <c r="H442" i="2"/>
  <c r="I442" i="2"/>
  <c r="H441" i="2"/>
  <c r="I441" i="2"/>
  <c r="H440" i="2"/>
  <c r="I440" i="2"/>
  <c r="H439" i="2"/>
  <c r="I439" i="2"/>
  <c r="H438" i="2"/>
  <c r="I438" i="2"/>
  <c r="H437" i="2"/>
  <c r="B23" i="1" s="1"/>
  <c r="I437" i="2"/>
  <c r="B21" i="1"/>
  <c r="H436" i="2"/>
  <c r="I436" i="2"/>
  <c r="H435" i="2"/>
  <c r="I435" i="2"/>
  <c r="H434" i="2"/>
  <c r="I434" i="2"/>
  <c r="H433" i="2"/>
  <c r="I433" i="2"/>
  <c r="H432" i="2"/>
  <c r="I432" i="2"/>
  <c r="H431" i="2"/>
  <c r="I431" i="2"/>
  <c r="H430" i="2"/>
  <c r="I430" i="2"/>
  <c r="H429" i="2"/>
  <c r="I429" i="2"/>
  <c r="H428" i="2"/>
  <c r="I428" i="2"/>
  <c r="H427" i="2"/>
  <c r="I427" i="2"/>
  <c r="H426" i="2"/>
  <c r="I426" i="2"/>
  <c r="H425" i="2"/>
  <c r="I425" i="2"/>
  <c r="H424" i="2"/>
  <c r="I424" i="2"/>
  <c r="H423" i="2"/>
  <c r="I423" i="2"/>
  <c r="H422" i="2"/>
  <c r="I422" i="2"/>
  <c r="H421" i="2"/>
  <c r="I421" i="2"/>
  <c r="H420" i="2"/>
  <c r="I420" i="2"/>
  <c r="H419" i="2"/>
  <c r="I419" i="2"/>
  <c r="H418" i="2"/>
  <c r="I418" i="2"/>
  <c r="H417" i="2"/>
  <c r="I417" i="2"/>
  <c r="H416" i="2"/>
  <c r="I416" i="2"/>
  <c r="H415" i="2"/>
  <c r="I415" i="2"/>
  <c r="H414" i="2"/>
  <c r="I414" i="2"/>
  <c r="H413" i="2"/>
  <c r="I413" i="2"/>
  <c r="H412" i="2"/>
  <c r="I412" i="2"/>
  <c r="H411" i="2"/>
  <c r="I411" i="2"/>
  <c r="H410" i="2"/>
  <c r="I410" i="2"/>
  <c r="H409" i="2"/>
  <c r="I409" i="2"/>
  <c r="H408" i="2"/>
  <c r="I408" i="2"/>
  <c r="H407" i="2"/>
  <c r="I407" i="2"/>
  <c r="H406" i="2"/>
  <c r="I406" i="2"/>
  <c r="H405" i="2"/>
  <c r="I405" i="2"/>
  <c r="H404" i="2"/>
  <c r="I404" i="2"/>
  <c r="H403" i="2"/>
  <c r="I403" i="2"/>
  <c r="H402" i="2"/>
  <c r="I402" i="2"/>
  <c r="H401" i="2"/>
  <c r="I401" i="2"/>
  <c r="H400" i="2"/>
  <c r="I400" i="2"/>
  <c r="H399" i="2"/>
  <c r="I399" i="2"/>
  <c r="H398" i="2"/>
  <c r="I398" i="2"/>
  <c r="H397" i="2"/>
  <c r="I397" i="2"/>
  <c r="H396" i="2"/>
  <c r="I396" i="2"/>
  <c r="H395" i="2"/>
  <c r="I395" i="2"/>
  <c r="H394" i="2"/>
  <c r="I394" i="2"/>
  <c r="H393" i="2"/>
  <c r="I393" i="2"/>
  <c r="H392" i="2"/>
  <c r="I392" i="2"/>
  <c r="H391" i="2"/>
  <c r="I391" i="2"/>
  <c r="H390" i="2"/>
  <c r="I390" i="2"/>
  <c r="H389" i="2"/>
  <c r="I389" i="2"/>
  <c r="H388" i="2"/>
  <c r="I388" i="2"/>
  <c r="H387" i="2"/>
  <c r="I387" i="2"/>
  <c r="H386" i="2"/>
  <c r="I386" i="2"/>
  <c r="H385" i="2"/>
  <c r="I385" i="2"/>
  <c r="H384" i="2"/>
  <c r="I384" i="2"/>
  <c r="H383" i="2"/>
  <c r="I383" i="2"/>
  <c r="H382" i="2"/>
  <c r="I382" i="2"/>
  <c r="H381" i="2"/>
  <c r="I381" i="2"/>
  <c r="H380" i="2"/>
  <c r="I380" i="2"/>
  <c r="H379" i="2"/>
  <c r="I379" i="2"/>
  <c r="H378" i="2"/>
  <c r="I378" i="2"/>
  <c r="H377" i="2"/>
  <c r="I377" i="2"/>
  <c r="H376" i="2"/>
  <c r="I376" i="2"/>
  <c r="H375" i="2"/>
  <c r="I375" i="2"/>
  <c r="H374" i="2"/>
  <c r="I374" i="2"/>
  <c r="H373" i="2"/>
  <c r="I373" i="2"/>
  <c r="H372" i="2"/>
  <c r="I372" i="2"/>
  <c r="H371" i="2"/>
  <c r="I371" i="2"/>
  <c r="H370" i="2"/>
  <c r="I370" i="2"/>
  <c r="H369" i="2"/>
  <c r="I369" i="2"/>
  <c r="H368" i="2"/>
  <c r="I368" i="2"/>
  <c r="H367" i="2"/>
  <c r="I367" i="2"/>
  <c r="H366" i="2"/>
  <c r="I366" i="2"/>
  <c r="H365" i="2"/>
  <c r="I365" i="2"/>
  <c r="H364" i="2"/>
  <c r="I364" i="2"/>
  <c r="H363" i="2"/>
  <c r="I363" i="2"/>
  <c r="H362" i="2"/>
  <c r="I362" i="2"/>
  <c r="H361" i="2"/>
  <c r="I361" i="2"/>
  <c r="H360" i="2"/>
  <c r="I360" i="2"/>
  <c r="H359" i="2"/>
  <c r="I359" i="2"/>
  <c r="H358" i="2"/>
  <c r="I358" i="2"/>
  <c r="H357" i="2"/>
  <c r="I357" i="2"/>
  <c r="H356" i="2"/>
  <c r="I356" i="2"/>
  <c r="H355" i="2"/>
  <c r="I355" i="2"/>
  <c r="H354" i="2"/>
  <c r="I354" i="2"/>
  <c r="H353" i="2"/>
  <c r="I353" i="2"/>
  <c r="H352" i="2"/>
  <c r="I352" i="2"/>
  <c r="H351" i="2"/>
  <c r="I351" i="2"/>
  <c r="H350" i="2"/>
  <c r="I350" i="2"/>
  <c r="H349" i="2"/>
  <c r="I349" i="2"/>
  <c r="H348" i="2"/>
  <c r="I348" i="2"/>
  <c r="H347" i="2"/>
  <c r="I347" i="2"/>
  <c r="H346" i="2"/>
  <c r="I346" i="2"/>
  <c r="H345" i="2"/>
  <c r="I345" i="2"/>
  <c r="H344" i="2"/>
  <c r="I344" i="2"/>
  <c r="H343" i="2"/>
  <c r="I343" i="2"/>
  <c r="H342" i="2"/>
  <c r="I342" i="2"/>
  <c r="H341" i="2"/>
  <c r="I341" i="2"/>
  <c r="H340" i="2"/>
  <c r="I340" i="2"/>
  <c r="H339" i="2"/>
  <c r="I339" i="2"/>
  <c r="H338" i="2"/>
  <c r="I338" i="2"/>
  <c r="H337" i="2"/>
  <c r="I337" i="2"/>
  <c r="H336" i="2"/>
  <c r="I336" i="2"/>
  <c r="H335" i="2"/>
  <c r="I335" i="2"/>
  <c r="H334" i="2"/>
  <c r="I334" i="2"/>
  <c r="H333" i="2"/>
  <c r="I333" i="2"/>
  <c r="H332" i="2"/>
  <c r="I332" i="2"/>
  <c r="H331" i="2"/>
  <c r="I331" i="2"/>
  <c r="H330" i="2"/>
  <c r="I330" i="2"/>
  <c r="H329" i="2"/>
  <c r="I329" i="2"/>
  <c r="H328" i="2"/>
  <c r="I328" i="2"/>
  <c r="H327" i="2"/>
  <c r="I327" i="2"/>
  <c r="H326" i="2"/>
  <c r="I326" i="2"/>
  <c r="H325" i="2"/>
  <c r="I325" i="2"/>
  <c r="H324" i="2"/>
  <c r="I324" i="2"/>
  <c r="H323" i="2"/>
  <c r="I323" i="2"/>
  <c r="H322" i="2"/>
  <c r="I322" i="2"/>
  <c r="H321" i="2"/>
  <c r="I321" i="2"/>
  <c r="H320" i="2"/>
  <c r="I320" i="2"/>
  <c r="H319" i="2"/>
  <c r="I319" i="2"/>
  <c r="H318" i="2"/>
  <c r="I318" i="2"/>
  <c r="H317" i="2"/>
  <c r="I317" i="2"/>
  <c r="H316" i="2"/>
  <c r="I316" i="2"/>
  <c r="H315" i="2"/>
  <c r="I315" i="2"/>
  <c r="H314" i="2"/>
  <c r="I314" i="2"/>
  <c r="H313" i="2"/>
  <c r="I313" i="2"/>
  <c r="H312" i="2"/>
  <c r="I312" i="2"/>
  <c r="H311" i="2"/>
  <c r="I311" i="2"/>
  <c r="H310" i="2"/>
  <c r="I310" i="2"/>
  <c r="H309" i="2"/>
  <c r="I309" i="2"/>
  <c r="H308" i="2"/>
  <c r="I308" i="2"/>
  <c r="H307" i="2"/>
  <c r="I307" i="2"/>
  <c r="H306" i="2"/>
  <c r="I306" i="2"/>
  <c r="H305" i="2"/>
  <c r="I305" i="2"/>
  <c r="H304" i="2"/>
  <c r="I304" i="2"/>
  <c r="H303" i="2"/>
  <c r="I303" i="2"/>
  <c r="H302" i="2"/>
  <c r="I302" i="2"/>
  <c r="H301" i="2"/>
  <c r="I301" i="2"/>
  <c r="H300" i="2"/>
  <c r="I300" i="2"/>
  <c r="H299" i="2"/>
  <c r="I299" i="2"/>
  <c r="H298" i="2"/>
  <c r="I298" i="2"/>
  <c r="H297" i="2"/>
  <c r="I297" i="2"/>
  <c r="H296" i="2"/>
  <c r="I296" i="2"/>
  <c r="H295" i="2"/>
  <c r="I295" i="2"/>
  <c r="H294" i="2"/>
  <c r="I294" i="2"/>
  <c r="H293" i="2"/>
  <c r="I293" i="2"/>
  <c r="H292" i="2"/>
  <c r="I292" i="2"/>
  <c r="H291" i="2"/>
  <c r="I291" i="2"/>
  <c r="H290" i="2"/>
  <c r="I290" i="2"/>
  <c r="H289" i="2"/>
  <c r="I289" i="2"/>
  <c r="H288" i="2"/>
  <c r="I288" i="2"/>
  <c r="H287" i="2"/>
  <c r="I287" i="2"/>
  <c r="H286" i="2"/>
  <c r="I286" i="2"/>
  <c r="H285" i="2"/>
  <c r="I285" i="2"/>
  <c r="H284" i="2"/>
  <c r="I284" i="2"/>
  <c r="H283" i="2"/>
  <c r="I283" i="2"/>
  <c r="H282" i="2"/>
  <c r="I282" i="2"/>
  <c r="H281" i="2"/>
  <c r="I281" i="2"/>
  <c r="H280" i="2"/>
  <c r="I280" i="2"/>
  <c r="H279" i="2"/>
  <c r="I279" i="2"/>
  <c r="H278" i="2"/>
  <c r="I278" i="2"/>
  <c r="H277" i="2"/>
  <c r="I277" i="2"/>
  <c r="H276" i="2"/>
  <c r="I276" i="2"/>
  <c r="H275" i="2"/>
  <c r="I275" i="2"/>
  <c r="H274" i="2"/>
  <c r="I274" i="2"/>
  <c r="H273" i="2"/>
  <c r="I273" i="2"/>
  <c r="H272" i="2"/>
  <c r="I272" i="2"/>
  <c r="H271" i="2"/>
  <c r="I271" i="2"/>
  <c r="H270" i="2"/>
  <c r="I270" i="2"/>
  <c r="H269" i="2"/>
  <c r="I269" i="2"/>
  <c r="H268" i="2"/>
  <c r="I268" i="2"/>
  <c r="H267" i="2"/>
  <c r="I267" i="2"/>
  <c r="H266" i="2"/>
  <c r="I266" i="2"/>
  <c r="H265" i="2"/>
  <c r="I265" i="2"/>
  <c r="H264" i="2"/>
  <c r="I264" i="2"/>
  <c r="H263" i="2"/>
  <c r="I263" i="2"/>
  <c r="H262" i="2"/>
  <c r="I262" i="2"/>
  <c r="H261" i="2"/>
  <c r="I261" i="2"/>
  <c r="H260" i="2"/>
  <c r="I260" i="2"/>
  <c r="H259" i="2"/>
  <c r="I259" i="2"/>
  <c r="H258" i="2"/>
  <c r="I258" i="2"/>
  <c r="H257" i="2"/>
  <c r="I257" i="2"/>
  <c r="H256" i="2"/>
  <c r="I256" i="2"/>
  <c r="H255" i="2"/>
  <c r="I255" i="2"/>
  <c r="H254" i="2"/>
  <c r="I254" i="2"/>
  <c r="H253" i="2"/>
  <c r="I253" i="2"/>
  <c r="H252" i="2"/>
  <c r="I252" i="2"/>
  <c r="H251" i="2"/>
  <c r="I251" i="2"/>
  <c r="H250" i="2"/>
  <c r="I250" i="2"/>
  <c r="H249" i="2"/>
  <c r="I249" i="2"/>
  <c r="H248" i="2"/>
  <c r="I248" i="2"/>
  <c r="H247" i="2"/>
  <c r="I247" i="2"/>
  <c r="H246" i="2"/>
  <c r="I246" i="2"/>
  <c r="H245" i="2"/>
  <c r="I245" i="2"/>
  <c r="H244" i="2"/>
  <c r="I244" i="2"/>
  <c r="H243" i="2"/>
  <c r="I243" i="2"/>
  <c r="H242" i="2"/>
  <c r="I242" i="2"/>
  <c r="H241" i="2"/>
  <c r="I241" i="2"/>
  <c r="H240" i="2"/>
  <c r="I240" i="2"/>
  <c r="H239" i="2"/>
  <c r="I239" i="2"/>
  <c r="H238" i="2"/>
  <c r="I238" i="2"/>
  <c r="H237" i="2"/>
  <c r="I237" i="2"/>
  <c r="H236" i="2"/>
  <c r="I236" i="2"/>
  <c r="H235" i="2"/>
  <c r="I235" i="2"/>
  <c r="H234" i="2"/>
  <c r="I234" i="2"/>
  <c r="H233" i="2"/>
  <c r="I233" i="2"/>
  <c r="H232" i="2"/>
  <c r="I232" i="2"/>
  <c r="H231" i="2"/>
  <c r="I231" i="2"/>
  <c r="H230" i="2"/>
  <c r="I230" i="2"/>
  <c r="H229" i="2"/>
  <c r="I229" i="2"/>
  <c r="H228" i="2"/>
  <c r="I228" i="2"/>
  <c r="H227" i="2"/>
  <c r="I227" i="2"/>
  <c r="H226" i="2"/>
  <c r="I226" i="2"/>
  <c r="H225" i="2"/>
  <c r="I225" i="2"/>
  <c r="I224" i="2"/>
  <c r="H224" i="2"/>
  <c r="H223" i="2"/>
  <c r="I223" i="2"/>
  <c r="H222" i="2"/>
  <c r="I222" i="2"/>
  <c r="H221" i="2"/>
  <c r="I221" i="2"/>
  <c r="H220" i="2"/>
  <c r="I220" i="2"/>
  <c r="H219" i="2"/>
  <c r="I219" i="2"/>
  <c r="H218" i="2"/>
  <c r="I218" i="2"/>
  <c r="I217" i="2"/>
  <c r="H217" i="2"/>
  <c r="H216" i="2"/>
  <c r="I216" i="2"/>
  <c r="I215" i="2"/>
  <c r="H215" i="2"/>
  <c r="I214" i="2"/>
  <c r="H214" i="2"/>
  <c r="I213" i="2"/>
  <c r="H213" i="2"/>
  <c r="I212" i="2"/>
  <c r="H212" i="2"/>
  <c r="H211" i="2"/>
  <c r="I211" i="2"/>
  <c r="H210" i="2"/>
  <c r="I210" i="2"/>
  <c r="H209" i="2"/>
  <c r="I209" i="2"/>
  <c r="H208" i="2"/>
  <c r="I208" i="2"/>
  <c r="H207" i="2"/>
  <c r="I207" i="2"/>
  <c r="I206" i="2"/>
  <c r="H206" i="2"/>
  <c r="H205" i="2"/>
  <c r="I205" i="2"/>
  <c r="H204" i="2"/>
  <c r="I204" i="2"/>
  <c r="I203" i="2"/>
  <c r="H203" i="2"/>
  <c r="I202" i="2"/>
  <c r="H202" i="2"/>
  <c r="H201" i="2"/>
  <c r="I201" i="2"/>
  <c r="I200" i="2"/>
  <c r="H200" i="2"/>
  <c r="I199" i="2"/>
  <c r="H199" i="2"/>
  <c r="H198" i="2"/>
  <c r="I198" i="2"/>
  <c r="H197" i="2"/>
  <c r="I197" i="2"/>
  <c r="H196" i="2"/>
  <c r="I196" i="2"/>
  <c r="I195" i="2"/>
  <c r="H195" i="2"/>
  <c r="H194" i="2"/>
  <c r="I194" i="2"/>
  <c r="H193" i="2"/>
  <c r="I193" i="2"/>
  <c r="I192" i="2"/>
  <c r="H192" i="2"/>
  <c r="I191" i="2"/>
  <c r="H191" i="2"/>
  <c r="H190" i="2"/>
  <c r="I190" i="2"/>
  <c r="H189" i="2"/>
  <c r="I189" i="2"/>
  <c r="H188" i="2"/>
  <c r="I188" i="2"/>
  <c r="I187" i="2"/>
  <c r="H187" i="2"/>
  <c r="H186" i="2"/>
  <c r="I186" i="2"/>
  <c r="H185" i="2"/>
  <c r="I185" i="2"/>
  <c r="H184" i="2"/>
  <c r="I184" i="2"/>
  <c r="H183" i="2"/>
  <c r="I183" i="2"/>
  <c r="I182" i="2"/>
  <c r="H182" i="2"/>
  <c r="H181" i="2"/>
  <c r="I181" i="2"/>
  <c r="H180" i="2"/>
  <c r="I180" i="2"/>
  <c r="H179" i="2"/>
  <c r="I179" i="2"/>
  <c r="I178" i="2"/>
  <c r="H178" i="2"/>
  <c r="H177" i="2"/>
  <c r="I177" i="2"/>
  <c r="H176" i="2"/>
  <c r="I176" i="2"/>
  <c r="I175" i="2"/>
  <c r="H175" i="2"/>
  <c r="H174" i="2"/>
  <c r="I174" i="2"/>
  <c r="H173" i="2"/>
  <c r="I173" i="2"/>
  <c r="I172" i="2"/>
  <c r="H172" i="2"/>
  <c r="I171" i="2"/>
  <c r="H171" i="2"/>
  <c r="H170" i="2"/>
  <c r="I170" i="2"/>
  <c r="I169" i="2"/>
  <c r="H169" i="2"/>
  <c r="H168" i="2"/>
  <c r="I168" i="2"/>
  <c r="H167" i="2"/>
  <c r="I167" i="2"/>
  <c r="H166" i="2"/>
  <c r="I166" i="2"/>
  <c r="H165" i="2"/>
  <c r="I165" i="2"/>
  <c r="H164" i="2"/>
  <c r="I164" i="2"/>
  <c r="H163" i="2"/>
  <c r="I163" i="2"/>
  <c r="H162" i="2"/>
  <c r="I162" i="2"/>
  <c r="H161" i="2"/>
  <c r="I161" i="2"/>
  <c r="I160" i="2"/>
  <c r="H160" i="2"/>
  <c r="I159" i="2"/>
  <c r="H159" i="2"/>
  <c r="H158" i="2"/>
  <c r="I158" i="2"/>
  <c r="H157" i="2"/>
  <c r="I157" i="2"/>
  <c r="I156" i="2"/>
  <c r="H156" i="2"/>
  <c r="I155" i="2"/>
  <c r="H155" i="2"/>
  <c r="H154" i="2"/>
  <c r="I154" i="2"/>
  <c r="H153" i="2"/>
  <c r="I153" i="2"/>
  <c r="H152" i="2"/>
  <c r="I152" i="2"/>
  <c r="H151" i="2"/>
  <c r="I151" i="2"/>
  <c r="I150" i="2"/>
  <c r="H150" i="2"/>
  <c r="H149" i="2"/>
  <c r="I149" i="2"/>
  <c r="H148" i="2"/>
  <c r="I148" i="2"/>
  <c r="I147" i="2"/>
  <c r="H147" i="2"/>
  <c r="I146" i="2"/>
  <c r="H146" i="2"/>
  <c r="H145" i="2"/>
  <c r="I145" i="2"/>
  <c r="H144" i="2"/>
  <c r="I144" i="2"/>
  <c r="I143" i="2"/>
  <c r="H143" i="2"/>
  <c r="H142" i="2"/>
  <c r="I142" i="2"/>
  <c r="H141" i="2"/>
  <c r="I141" i="2"/>
  <c r="H140" i="2"/>
  <c r="I140" i="2"/>
  <c r="H139" i="2"/>
  <c r="I139" i="2"/>
  <c r="H138" i="2"/>
  <c r="I138" i="2"/>
  <c r="I137" i="2"/>
  <c r="H137" i="2"/>
  <c r="I136" i="2"/>
  <c r="H136" i="2"/>
  <c r="I135" i="2"/>
  <c r="H135" i="2"/>
  <c r="H134" i="2"/>
  <c r="I134" i="2"/>
  <c r="H133" i="2"/>
  <c r="I133" i="2"/>
  <c r="H132" i="2"/>
  <c r="I132" i="2"/>
  <c r="H131" i="2"/>
  <c r="I131" i="2"/>
  <c r="H130" i="2"/>
  <c r="I130" i="2"/>
  <c r="H129" i="2"/>
  <c r="I129" i="2"/>
  <c r="H128" i="2"/>
  <c r="I128" i="2"/>
  <c r="H127" i="2"/>
  <c r="I127" i="2"/>
  <c r="H126" i="2"/>
  <c r="I126" i="2"/>
  <c r="H125" i="2"/>
  <c r="I125" i="2"/>
  <c r="H124" i="2"/>
  <c r="I124" i="2"/>
  <c r="H123" i="2"/>
  <c r="I123" i="2"/>
  <c r="H122" i="2"/>
  <c r="I122" i="2"/>
  <c r="H121" i="2"/>
  <c r="I121" i="2"/>
  <c r="H120" i="2"/>
  <c r="I120" i="2"/>
  <c r="H119" i="2"/>
  <c r="I119" i="2"/>
  <c r="H118" i="2"/>
  <c r="I118" i="2"/>
  <c r="H117" i="2"/>
  <c r="I117" i="2"/>
  <c r="H116" i="2"/>
  <c r="I116" i="2"/>
  <c r="H115" i="2"/>
  <c r="I115" i="2"/>
  <c r="H114" i="2"/>
  <c r="I114" i="2"/>
  <c r="H113" i="2"/>
  <c r="I113" i="2"/>
  <c r="H112" i="2"/>
  <c r="I112" i="2"/>
  <c r="H111" i="2"/>
  <c r="I111" i="2"/>
  <c r="H110" i="2"/>
  <c r="I110" i="2"/>
  <c r="H109" i="2"/>
  <c r="I109" i="2"/>
  <c r="H108" i="2"/>
  <c r="I108" i="2"/>
  <c r="H107" i="2"/>
  <c r="I107" i="2"/>
  <c r="H106" i="2"/>
  <c r="I106" i="2"/>
  <c r="H105" i="2"/>
  <c r="I105" i="2"/>
  <c r="H104" i="2"/>
  <c r="I104" i="2"/>
  <c r="H103" i="2"/>
  <c r="I103" i="2"/>
  <c r="H102" i="2"/>
  <c r="I102" i="2"/>
  <c r="H101" i="2"/>
  <c r="I101" i="2"/>
  <c r="H100" i="2"/>
  <c r="I100" i="2"/>
  <c r="H99" i="2"/>
  <c r="I99" i="2"/>
  <c r="H98" i="2"/>
  <c r="I98" i="2"/>
  <c r="H97" i="2"/>
  <c r="I97" i="2"/>
  <c r="H96" i="2"/>
  <c r="I96" i="2"/>
  <c r="H95" i="2"/>
  <c r="I95" i="2"/>
  <c r="H94" i="2"/>
  <c r="I94" i="2"/>
  <c r="H93" i="2"/>
  <c r="I93" i="2"/>
  <c r="H92" i="2"/>
  <c r="I92" i="2"/>
  <c r="H91" i="2"/>
  <c r="I91" i="2"/>
  <c r="H90" i="2"/>
  <c r="I90" i="2"/>
  <c r="H89" i="2"/>
  <c r="I89" i="2"/>
  <c r="H88" i="2"/>
  <c r="I88" i="2"/>
  <c r="H87" i="2"/>
  <c r="I87" i="2"/>
  <c r="H86" i="2"/>
  <c r="I86" i="2"/>
  <c r="H85" i="2"/>
  <c r="I85" i="2"/>
  <c r="H84" i="2"/>
  <c r="I84" i="2"/>
  <c r="H83" i="2"/>
  <c r="I83" i="2"/>
  <c r="H82" i="2"/>
  <c r="I82" i="2"/>
  <c r="H81" i="2"/>
  <c r="I81" i="2"/>
  <c r="H80" i="2"/>
  <c r="I80" i="2"/>
  <c r="H79" i="2"/>
  <c r="I79" i="2"/>
  <c r="H78" i="2"/>
  <c r="I78" i="2"/>
  <c r="H77" i="2"/>
  <c r="I77" i="2"/>
  <c r="H76" i="2"/>
  <c r="I76" i="2"/>
  <c r="H75" i="2"/>
  <c r="I75" i="2"/>
  <c r="H74" i="2"/>
  <c r="I74" i="2"/>
  <c r="H73" i="2"/>
  <c r="I73" i="2"/>
  <c r="H72" i="2"/>
  <c r="I72" i="2"/>
  <c r="H71" i="2"/>
  <c r="I71" i="2"/>
  <c r="H70" i="2"/>
  <c r="I70" i="2"/>
  <c r="H69" i="2"/>
  <c r="I69" i="2"/>
  <c r="H68" i="2"/>
  <c r="I68" i="2"/>
  <c r="H67" i="2"/>
  <c r="I67" i="2"/>
  <c r="H66" i="2"/>
  <c r="I66" i="2"/>
  <c r="H65" i="2"/>
  <c r="I65" i="2"/>
  <c r="H64" i="2"/>
  <c r="I64" i="2"/>
  <c r="H63" i="2"/>
  <c r="I63" i="2"/>
  <c r="H62" i="2"/>
  <c r="I62" i="2"/>
  <c r="H61" i="2"/>
  <c r="I61" i="2"/>
  <c r="H60" i="2"/>
  <c r="I60" i="2"/>
  <c r="H59" i="2"/>
  <c r="I59" i="2"/>
  <c r="H58" i="2"/>
  <c r="I58" i="2"/>
  <c r="H57" i="2"/>
  <c r="I57" i="2"/>
  <c r="H56" i="2"/>
  <c r="I56" i="2"/>
  <c r="H55" i="2"/>
  <c r="I55" i="2"/>
  <c r="H54" i="2"/>
  <c r="I54" i="2"/>
  <c r="H53" i="2"/>
  <c r="I53" i="2"/>
  <c r="H52" i="2"/>
  <c r="I52" i="2"/>
  <c r="H51" i="2"/>
  <c r="I51" i="2"/>
  <c r="H50" i="2"/>
  <c r="I50" i="2"/>
  <c r="H49" i="2"/>
  <c r="I49" i="2"/>
  <c r="H48" i="2"/>
  <c r="I48" i="2"/>
  <c r="H47" i="2"/>
  <c r="I47" i="2"/>
  <c r="H46" i="2"/>
  <c r="I46" i="2"/>
  <c r="H45" i="2"/>
  <c r="I45" i="2"/>
  <c r="H44" i="2"/>
  <c r="I44" i="2"/>
  <c r="H43" i="2"/>
  <c r="I43" i="2"/>
  <c r="H42" i="2"/>
  <c r="I42" i="2"/>
  <c r="H41" i="2"/>
  <c r="I41" i="2"/>
  <c r="H40" i="2"/>
  <c r="I40" i="2"/>
  <c r="H39" i="2"/>
  <c r="I39" i="2"/>
  <c r="H38" i="2"/>
  <c r="I38" i="2"/>
  <c r="H37" i="2"/>
  <c r="I37" i="2"/>
  <c r="H36" i="2"/>
  <c r="I36" i="2"/>
  <c r="H35" i="2"/>
  <c r="I35" i="2"/>
  <c r="H34" i="2"/>
  <c r="I34" i="2"/>
  <c r="H33" i="2"/>
  <c r="I33" i="2"/>
  <c r="H32" i="2"/>
  <c r="I32" i="2"/>
  <c r="H31" i="2"/>
  <c r="I31" i="2"/>
  <c r="H30" i="2"/>
  <c r="I30" i="2"/>
  <c r="H29" i="2"/>
  <c r="I29" i="2"/>
  <c r="J28" i="2"/>
  <c r="X28" i="5" s="1"/>
  <c r="K28" i="2"/>
  <c r="Y28" i="5" s="1"/>
  <c r="W28" i="5"/>
  <c r="J27" i="2"/>
  <c r="X27" i="5" s="1"/>
  <c r="K27" i="2"/>
  <c r="Y27" i="5" s="1"/>
  <c r="W27" i="5"/>
  <c r="J26" i="2"/>
  <c r="X26" i="5" s="1"/>
  <c r="K26" i="2"/>
  <c r="Y26" i="5" s="1"/>
  <c r="W26" i="5"/>
  <c r="J25" i="2"/>
  <c r="X25" i="5" s="1"/>
  <c r="K25" i="2"/>
  <c r="Y25" i="5" s="1"/>
  <c r="W25" i="5"/>
  <c r="J24" i="2"/>
  <c r="X24" i="5" s="1"/>
  <c r="K24" i="2"/>
  <c r="Y24" i="5" s="1"/>
  <c r="W24" i="5"/>
  <c r="J23" i="2"/>
  <c r="X23" i="5" s="1"/>
  <c r="K23" i="2"/>
  <c r="Y23" i="5" s="1"/>
  <c r="W23" i="5"/>
  <c r="J22" i="2"/>
  <c r="X22" i="5" s="1"/>
  <c r="K22" i="2"/>
  <c r="Y22" i="5" s="1"/>
  <c r="W22" i="5"/>
  <c r="J21" i="2"/>
  <c r="X21" i="5" s="1"/>
  <c r="K21" i="2"/>
  <c r="Y21" i="5" s="1"/>
  <c r="W21" i="5"/>
  <c r="J20" i="2"/>
  <c r="X20" i="5" s="1"/>
  <c r="K20" i="2"/>
  <c r="Y20" i="5" s="1"/>
  <c r="W20" i="5"/>
  <c r="J19" i="2"/>
  <c r="X19" i="5" s="1"/>
  <c r="K19" i="2"/>
  <c r="Y19" i="5" s="1"/>
  <c r="W19" i="5"/>
  <c r="J18" i="2"/>
  <c r="X18" i="5" s="1"/>
  <c r="K18" i="2"/>
  <c r="Y18" i="5" s="1"/>
  <c r="W18" i="5"/>
  <c r="J17" i="2"/>
  <c r="X17" i="5" s="1"/>
  <c r="K17" i="2"/>
  <c r="Y17" i="5" s="1"/>
  <c r="W17" i="5"/>
  <c r="J16" i="2"/>
  <c r="X16" i="5" s="1"/>
  <c r="K16" i="2"/>
  <c r="Y16" i="5" s="1"/>
  <c r="W16" i="5"/>
  <c r="J15" i="2"/>
  <c r="X15" i="5" s="1"/>
  <c r="K15" i="2"/>
  <c r="Y15" i="5" s="1"/>
  <c r="W15" i="5"/>
  <c r="J14" i="2"/>
  <c r="X14" i="5" s="1"/>
  <c r="K14" i="2"/>
  <c r="Y14" i="5" s="1"/>
  <c r="W14" i="5"/>
  <c r="J13" i="2"/>
  <c r="X13" i="5" s="1"/>
  <c r="K13" i="2"/>
  <c r="Y13" i="5" s="1"/>
  <c r="W13" i="5"/>
  <c r="J12" i="2"/>
  <c r="X12" i="5" s="1"/>
  <c r="K12" i="2"/>
  <c r="Y12" i="5" s="1"/>
  <c r="W12" i="5"/>
  <c r="J11" i="2"/>
  <c r="X11" i="5" s="1"/>
  <c r="K11" i="2"/>
  <c r="Y11" i="5" s="1"/>
  <c r="W11" i="5"/>
  <c r="J10" i="2"/>
  <c r="X10" i="5" s="1"/>
  <c r="K10" i="2"/>
  <c r="Y10" i="5" s="1"/>
  <c r="W10" i="5"/>
  <c r="J9" i="2"/>
  <c r="X9" i="5" s="1"/>
  <c r="K9" i="2"/>
  <c r="Y9" i="5" s="1"/>
  <c r="W9" i="5"/>
  <c r="J8" i="2"/>
  <c r="X8" i="5" s="1"/>
  <c r="K8" i="2"/>
  <c r="Y8" i="5" s="1"/>
  <c r="W8" i="5"/>
  <c r="J7" i="2"/>
  <c r="X7" i="5" s="1"/>
  <c r="K7" i="2"/>
  <c r="Y7" i="5" s="1"/>
  <c r="W7" i="5"/>
  <c r="J6" i="2"/>
  <c r="X6" i="5" s="1"/>
  <c r="K6" i="2"/>
  <c r="Y6" i="5" s="1"/>
  <c r="W6" i="5"/>
  <c r="J5" i="2"/>
  <c r="X5" i="5" s="1"/>
  <c r="K5" i="2"/>
  <c r="Y5" i="5" s="1"/>
  <c r="W5" i="5"/>
  <c r="J4" i="2"/>
  <c r="X4" i="5" s="1"/>
  <c r="K4" i="2"/>
  <c r="Y4" i="5" s="1"/>
  <c r="W4" i="5"/>
  <c r="T541" i="2"/>
  <c r="T540" i="2"/>
  <c r="T539" i="2"/>
  <c r="T538" i="2"/>
  <c r="T537" i="2"/>
  <c r="T536" i="2"/>
  <c r="T535" i="2"/>
  <c r="T534" i="2"/>
  <c r="T533" i="2"/>
  <c r="T532" i="2"/>
  <c r="T531" i="2"/>
  <c r="T530" i="2"/>
  <c r="T529" i="2"/>
  <c r="T528" i="2"/>
  <c r="T527" i="2"/>
  <c r="T526" i="2"/>
  <c r="T525" i="2"/>
  <c r="T524" i="2"/>
  <c r="T523" i="2"/>
  <c r="T522" i="2"/>
  <c r="T521" i="2"/>
  <c r="T520" i="2"/>
  <c r="T519" i="2"/>
  <c r="T518" i="2"/>
  <c r="T517" i="2"/>
  <c r="T516" i="2"/>
  <c r="T515" i="2"/>
  <c r="T514" i="2"/>
  <c r="T513" i="2"/>
  <c r="T512" i="2"/>
  <c r="T511" i="2"/>
  <c r="T510" i="2"/>
  <c r="T509" i="2"/>
  <c r="T508" i="2"/>
  <c r="T507" i="2"/>
  <c r="T506" i="2"/>
  <c r="T505" i="2"/>
  <c r="T504" i="2"/>
  <c r="T503" i="2"/>
  <c r="T502" i="2"/>
  <c r="T501" i="2"/>
  <c r="T500" i="2"/>
  <c r="T499" i="2"/>
  <c r="T498" i="2"/>
  <c r="T497" i="2"/>
  <c r="T496" i="2"/>
  <c r="T495" i="2"/>
  <c r="T494" i="2"/>
  <c r="T493" i="2"/>
  <c r="T492" i="2"/>
  <c r="T490" i="2"/>
  <c r="T489" i="2"/>
  <c r="T488" i="2"/>
  <c r="T487" i="2"/>
  <c r="T486" i="2"/>
  <c r="T485" i="2"/>
  <c r="T484" i="2"/>
  <c r="T483" i="2"/>
  <c r="T482" i="2"/>
  <c r="T481" i="2"/>
  <c r="T480" i="2"/>
  <c r="T479" i="2"/>
  <c r="T478" i="2"/>
  <c r="T477" i="2"/>
  <c r="T476" i="2"/>
  <c r="T475" i="2"/>
  <c r="T474" i="2"/>
  <c r="T473" i="2"/>
  <c r="T472" i="2"/>
  <c r="T471" i="2"/>
  <c r="T470" i="2"/>
  <c r="T469" i="2"/>
  <c r="T468" i="2"/>
  <c r="T467" i="2"/>
  <c r="T466" i="2"/>
  <c r="T465" i="2"/>
  <c r="T464" i="2"/>
  <c r="T463" i="2"/>
  <c r="T462" i="2"/>
  <c r="T461" i="2"/>
  <c r="T460" i="2"/>
  <c r="T459" i="2"/>
  <c r="T458" i="2"/>
  <c r="T456" i="2"/>
  <c r="T455" i="2"/>
  <c r="T454" i="2"/>
  <c r="T453" i="2"/>
  <c r="T452" i="2"/>
  <c r="T451" i="2"/>
  <c r="T450" i="2"/>
  <c r="T449" i="2"/>
  <c r="T448" i="2"/>
  <c r="T447" i="2"/>
  <c r="T446" i="2"/>
  <c r="T445" i="2"/>
  <c r="T444" i="2"/>
  <c r="T443" i="2"/>
  <c r="T442" i="2"/>
  <c r="T441" i="2"/>
  <c r="T440" i="2"/>
  <c r="T439" i="2"/>
  <c r="T438" i="2"/>
  <c r="J541" i="2" l="1"/>
  <c r="K541" i="2"/>
  <c r="J540" i="2"/>
  <c r="K540" i="2"/>
  <c r="J539" i="2"/>
  <c r="K539" i="2"/>
  <c r="J538" i="2"/>
  <c r="K538" i="2"/>
  <c r="J537" i="2"/>
  <c r="K537" i="2"/>
  <c r="J536" i="2"/>
  <c r="K536" i="2"/>
  <c r="J535" i="2"/>
  <c r="K535" i="2"/>
  <c r="J534" i="2"/>
  <c r="K534" i="2"/>
  <c r="J533" i="2"/>
  <c r="K533" i="2"/>
  <c r="J532" i="2"/>
  <c r="K532" i="2"/>
  <c r="J531" i="2"/>
  <c r="K531" i="2"/>
  <c r="J530" i="2"/>
  <c r="K530" i="2"/>
  <c r="J529" i="2"/>
  <c r="K529" i="2"/>
  <c r="J528" i="2"/>
  <c r="K528" i="2"/>
  <c r="J527" i="2"/>
  <c r="K527" i="2"/>
  <c r="J526" i="2"/>
  <c r="K526" i="2"/>
  <c r="J525" i="2"/>
  <c r="K525" i="2"/>
  <c r="J524" i="2"/>
  <c r="K524" i="2"/>
  <c r="J523" i="2"/>
  <c r="K523" i="2"/>
  <c r="J522" i="2"/>
  <c r="K522" i="2"/>
  <c r="J521" i="2"/>
  <c r="K521" i="2"/>
  <c r="J520" i="2"/>
  <c r="K520" i="2"/>
  <c r="J519" i="2"/>
  <c r="K519" i="2"/>
  <c r="J518" i="2"/>
  <c r="K518" i="2"/>
  <c r="J517" i="2"/>
  <c r="K517" i="2"/>
  <c r="J516" i="2"/>
  <c r="K516" i="2"/>
  <c r="J515" i="2"/>
  <c r="K515" i="2"/>
  <c r="J514" i="2"/>
  <c r="K514" i="2"/>
  <c r="J513" i="2"/>
  <c r="K513" i="2"/>
  <c r="J512" i="2"/>
  <c r="K512" i="2"/>
  <c r="J511" i="2"/>
  <c r="K511" i="2"/>
  <c r="J510" i="2"/>
  <c r="K510" i="2"/>
  <c r="J509" i="2"/>
  <c r="K509" i="2"/>
  <c r="J508" i="2"/>
  <c r="K508" i="2"/>
  <c r="J507" i="2"/>
  <c r="K507" i="2"/>
  <c r="J506" i="2"/>
  <c r="K506" i="2"/>
  <c r="J505" i="2"/>
  <c r="K505" i="2"/>
  <c r="J504" i="2"/>
  <c r="K504" i="2"/>
  <c r="J503" i="2"/>
  <c r="K503" i="2"/>
  <c r="J502" i="2"/>
  <c r="K502" i="2"/>
  <c r="J501" i="2"/>
  <c r="K501" i="2"/>
  <c r="J500" i="2"/>
  <c r="K500" i="2"/>
  <c r="J499" i="2"/>
  <c r="K499" i="2"/>
  <c r="J498" i="2"/>
  <c r="K498" i="2"/>
  <c r="J497" i="2"/>
  <c r="K497" i="2"/>
  <c r="J496" i="2"/>
  <c r="K496" i="2"/>
  <c r="J495" i="2"/>
  <c r="K495" i="2"/>
  <c r="J494" i="2"/>
  <c r="K494" i="2"/>
  <c r="J493" i="2"/>
  <c r="K493" i="2"/>
  <c r="J492" i="2"/>
  <c r="K492" i="2"/>
  <c r="J491" i="2"/>
  <c r="K491" i="2"/>
  <c r="J490" i="2"/>
  <c r="K490" i="2"/>
  <c r="J489" i="2"/>
  <c r="K489" i="2"/>
  <c r="J488" i="2"/>
  <c r="K488" i="2"/>
  <c r="J487" i="2"/>
  <c r="K487" i="2"/>
  <c r="J486" i="2"/>
  <c r="K486" i="2"/>
  <c r="J485" i="2"/>
  <c r="K485" i="2"/>
  <c r="J484" i="2"/>
  <c r="K484" i="2"/>
  <c r="J483" i="2"/>
  <c r="K483" i="2"/>
  <c r="J482" i="2"/>
  <c r="K482" i="2"/>
  <c r="J481" i="2"/>
  <c r="K481" i="2"/>
  <c r="J480" i="2"/>
  <c r="K480" i="2"/>
  <c r="J479" i="2"/>
  <c r="K479" i="2"/>
  <c r="J478" i="2"/>
  <c r="K478" i="2"/>
  <c r="J477" i="2"/>
  <c r="K477" i="2"/>
  <c r="J476" i="2"/>
  <c r="K476" i="2"/>
  <c r="J475" i="2"/>
  <c r="K475" i="2"/>
  <c r="J474" i="2"/>
  <c r="K474" i="2"/>
  <c r="J473" i="2"/>
  <c r="K473" i="2"/>
  <c r="J472" i="2"/>
  <c r="K472" i="2"/>
  <c r="J471" i="2"/>
  <c r="K471" i="2"/>
  <c r="J470" i="2"/>
  <c r="K470" i="2"/>
  <c r="J469" i="2"/>
  <c r="K469" i="2"/>
  <c r="J468" i="2"/>
  <c r="K468" i="2"/>
  <c r="J467" i="2"/>
  <c r="K467" i="2"/>
  <c r="J466" i="2"/>
  <c r="K466" i="2"/>
  <c r="J465" i="2"/>
  <c r="K465" i="2"/>
  <c r="J464" i="2"/>
  <c r="K464" i="2"/>
  <c r="J463" i="2"/>
  <c r="K463" i="2"/>
  <c r="J462" i="2"/>
  <c r="K462" i="2"/>
  <c r="J461" i="2"/>
  <c r="K461" i="2"/>
  <c r="J460" i="2"/>
  <c r="K460" i="2"/>
  <c r="J459" i="2"/>
  <c r="K459" i="2"/>
  <c r="J458" i="2"/>
  <c r="K458" i="2"/>
  <c r="J457" i="2"/>
  <c r="K457" i="2"/>
  <c r="J456" i="2"/>
  <c r="K456" i="2"/>
  <c r="J455" i="2"/>
  <c r="K455" i="2"/>
  <c r="J454" i="2"/>
  <c r="K454" i="2"/>
  <c r="J453" i="2"/>
  <c r="K453" i="2"/>
  <c r="J452" i="2"/>
  <c r="K452" i="2"/>
  <c r="J451" i="2"/>
  <c r="K451" i="2"/>
  <c r="J450" i="2"/>
  <c r="K450" i="2"/>
  <c r="J449" i="2"/>
  <c r="K449" i="2"/>
  <c r="J448" i="2"/>
  <c r="K448" i="2"/>
  <c r="J447" i="2"/>
  <c r="K447" i="2"/>
  <c r="J446" i="2"/>
  <c r="K446" i="2"/>
  <c r="J445" i="2"/>
  <c r="K445" i="2"/>
  <c r="J444" i="2"/>
  <c r="K444" i="2"/>
  <c r="J443" i="2"/>
  <c r="K443" i="2"/>
  <c r="J442" i="2"/>
  <c r="K442" i="2"/>
  <c r="J441" i="2"/>
  <c r="K441" i="2"/>
  <c r="J440" i="2"/>
  <c r="K440" i="2"/>
  <c r="J439" i="2"/>
  <c r="K439" i="2"/>
  <c r="J438" i="2"/>
  <c r="K438" i="2"/>
  <c r="J437" i="2"/>
  <c r="K437" i="2"/>
  <c r="W437" i="5"/>
  <c r="B24" i="1"/>
  <c r="J436" i="2"/>
  <c r="X436" i="5" s="1"/>
  <c r="K436" i="2"/>
  <c r="Y436" i="5" s="1"/>
  <c r="W436" i="5"/>
  <c r="J435" i="2"/>
  <c r="X435" i="5" s="1"/>
  <c r="K435" i="2"/>
  <c r="Y435" i="5" s="1"/>
  <c r="W435" i="5"/>
  <c r="J434" i="2"/>
  <c r="X434" i="5" s="1"/>
  <c r="K434" i="2"/>
  <c r="Y434" i="5" s="1"/>
  <c r="W434" i="5"/>
  <c r="J433" i="2"/>
  <c r="X433" i="5" s="1"/>
  <c r="K433" i="2"/>
  <c r="Y433" i="5" s="1"/>
  <c r="W433" i="5"/>
  <c r="J432" i="2"/>
  <c r="W432" i="5"/>
  <c r="J431" i="2"/>
  <c r="X431" i="5" s="1"/>
  <c r="K431" i="2"/>
  <c r="Y431" i="5" s="1"/>
  <c r="W431" i="5"/>
  <c r="J430" i="2"/>
  <c r="X430" i="5" s="1"/>
  <c r="K430" i="2"/>
  <c r="Y430" i="5" s="1"/>
  <c r="W430" i="5"/>
  <c r="J429" i="2"/>
  <c r="X429" i="5" s="1"/>
  <c r="K429" i="2"/>
  <c r="Y429" i="5" s="1"/>
  <c r="W429" i="5"/>
  <c r="J428" i="2"/>
  <c r="X428" i="5" s="1"/>
  <c r="K428" i="2"/>
  <c r="Y428" i="5" s="1"/>
  <c r="W428" i="5"/>
  <c r="J427" i="2"/>
  <c r="X427" i="5" s="1"/>
  <c r="K427" i="2"/>
  <c r="Y427" i="5" s="1"/>
  <c r="W427" i="5"/>
  <c r="J426" i="2"/>
  <c r="W426" i="5"/>
  <c r="J425" i="2"/>
  <c r="X425" i="5" s="1"/>
  <c r="K425" i="2"/>
  <c r="Y425" i="5" s="1"/>
  <c r="W425" i="5"/>
  <c r="J424" i="2"/>
  <c r="X424" i="5" s="1"/>
  <c r="K424" i="2"/>
  <c r="Y424" i="5" s="1"/>
  <c r="W424" i="5"/>
  <c r="J423" i="2"/>
  <c r="X423" i="5" s="1"/>
  <c r="K423" i="2"/>
  <c r="Y423" i="5" s="1"/>
  <c r="W423" i="5"/>
  <c r="J422" i="2"/>
  <c r="X422" i="5" s="1"/>
  <c r="K422" i="2"/>
  <c r="Y422" i="5" s="1"/>
  <c r="W422" i="5"/>
  <c r="J421" i="2"/>
  <c r="X421" i="5" s="1"/>
  <c r="K421" i="2"/>
  <c r="Y421" i="5" s="1"/>
  <c r="W421" i="5"/>
  <c r="J420" i="2"/>
  <c r="X420" i="5" s="1"/>
  <c r="K420" i="2"/>
  <c r="Y420" i="5" s="1"/>
  <c r="W420" i="5"/>
  <c r="J419" i="2"/>
  <c r="X419" i="5" s="1"/>
  <c r="K419" i="2"/>
  <c r="Y419" i="5" s="1"/>
  <c r="W419" i="5"/>
  <c r="J418" i="2"/>
  <c r="X418" i="5" s="1"/>
  <c r="K418" i="2"/>
  <c r="Y418" i="5" s="1"/>
  <c r="W418" i="5"/>
  <c r="J417" i="2"/>
  <c r="X417" i="5" s="1"/>
  <c r="K417" i="2"/>
  <c r="Y417" i="5" s="1"/>
  <c r="W417" i="5"/>
  <c r="J416" i="2"/>
  <c r="X416" i="5" s="1"/>
  <c r="K416" i="2"/>
  <c r="Y416" i="5" s="1"/>
  <c r="W416" i="5"/>
  <c r="J415" i="2"/>
  <c r="X415" i="5" s="1"/>
  <c r="K415" i="2"/>
  <c r="Y415" i="5" s="1"/>
  <c r="W415" i="5"/>
  <c r="W414" i="5"/>
  <c r="W413" i="5"/>
  <c r="W412" i="5"/>
  <c r="W411" i="5"/>
  <c r="W410" i="5"/>
  <c r="W409" i="5"/>
  <c r="W408" i="5"/>
  <c r="W407" i="5"/>
  <c r="W406" i="5"/>
  <c r="W405" i="5"/>
  <c r="W404" i="5"/>
  <c r="W403" i="5"/>
  <c r="W402" i="5"/>
  <c r="W401" i="5"/>
  <c r="W400" i="5"/>
  <c r="W399" i="5"/>
  <c r="W398" i="5"/>
  <c r="W397" i="5"/>
  <c r="W396" i="5"/>
  <c r="W395" i="5"/>
  <c r="W394" i="5"/>
  <c r="W393" i="5"/>
  <c r="W392" i="5"/>
  <c r="W391" i="5"/>
  <c r="W390" i="5"/>
  <c r="J389" i="2"/>
  <c r="W389" i="5"/>
  <c r="J388" i="2"/>
  <c r="X388" i="5" s="1"/>
  <c r="K388" i="2"/>
  <c r="Y388" i="5" s="1"/>
  <c r="W388" i="5"/>
  <c r="J387" i="2"/>
  <c r="X387" i="5" s="1"/>
  <c r="K387" i="2"/>
  <c r="Y387" i="5" s="1"/>
  <c r="W387" i="5"/>
  <c r="J386" i="2"/>
  <c r="X386" i="5" s="1"/>
  <c r="K386" i="2"/>
  <c r="Y386" i="5" s="1"/>
  <c r="W386" i="5"/>
  <c r="J385" i="2"/>
  <c r="X385" i="5" s="1"/>
  <c r="K385" i="2"/>
  <c r="Y385" i="5" s="1"/>
  <c r="W385" i="5"/>
  <c r="J384" i="2"/>
  <c r="W384" i="5"/>
  <c r="J383" i="2"/>
  <c r="X383" i="5" s="1"/>
  <c r="K383" i="2"/>
  <c r="Y383" i="5" s="1"/>
  <c r="W383" i="5"/>
  <c r="J382" i="2"/>
  <c r="X382" i="5" s="1"/>
  <c r="K382" i="2"/>
  <c r="Y382" i="5" s="1"/>
  <c r="W382" i="5"/>
  <c r="J381" i="2"/>
  <c r="X381" i="5" s="1"/>
  <c r="K381" i="2"/>
  <c r="Y381" i="5" s="1"/>
  <c r="W381" i="5"/>
  <c r="J380" i="2"/>
  <c r="X380" i="5" s="1"/>
  <c r="K380" i="2"/>
  <c r="Y380" i="5" s="1"/>
  <c r="W380" i="5"/>
  <c r="J379" i="2"/>
  <c r="W379" i="5"/>
  <c r="J378" i="2"/>
  <c r="X378" i="5" s="1"/>
  <c r="K378" i="2"/>
  <c r="Y378" i="5" s="1"/>
  <c r="W378" i="5"/>
  <c r="J377" i="2"/>
  <c r="X377" i="5" s="1"/>
  <c r="K377" i="2"/>
  <c r="Y377" i="5" s="1"/>
  <c r="W377" i="5"/>
  <c r="J376" i="2"/>
  <c r="X376" i="5" s="1"/>
  <c r="K376" i="2"/>
  <c r="Y376" i="5" s="1"/>
  <c r="W376" i="5"/>
  <c r="J375" i="2"/>
  <c r="X375" i="5" s="1"/>
  <c r="K375" i="2"/>
  <c r="Y375" i="5" s="1"/>
  <c r="W375" i="5"/>
  <c r="J374" i="2"/>
  <c r="W374" i="5"/>
  <c r="J373" i="2"/>
  <c r="X373" i="5" s="1"/>
  <c r="K373" i="2"/>
  <c r="Y373" i="5" s="1"/>
  <c r="W373" i="5"/>
  <c r="J372" i="2"/>
  <c r="X372" i="5" s="1"/>
  <c r="K372" i="2"/>
  <c r="Y372" i="5" s="1"/>
  <c r="W372" i="5"/>
  <c r="J371" i="2"/>
  <c r="X371" i="5" s="1"/>
  <c r="K371" i="2"/>
  <c r="Y371" i="5" s="1"/>
  <c r="W371" i="5"/>
  <c r="J370" i="2"/>
  <c r="X370" i="5" s="1"/>
  <c r="K370" i="2"/>
  <c r="Y370" i="5" s="1"/>
  <c r="W370" i="5"/>
  <c r="J369" i="2"/>
  <c r="X369" i="5" s="1"/>
  <c r="K369" i="2"/>
  <c r="Y369" i="5" s="1"/>
  <c r="W369" i="5"/>
  <c r="J368" i="2"/>
  <c r="X368" i="5" s="1"/>
  <c r="K368" i="2"/>
  <c r="Y368" i="5" s="1"/>
  <c r="W368" i="5"/>
  <c r="J367" i="2"/>
  <c r="W367" i="5"/>
  <c r="J366" i="2"/>
  <c r="X366" i="5" s="1"/>
  <c r="K366" i="2"/>
  <c r="Y366" i="5" s="1"/>
  <c r="W366" i="5"/>
  <c r="J365" i="2"/>
  <c r="W365" i="5"/>
  <c r="J364" i="2"/>
  <c r="W364" i="5"/>
  <c r="J363" i="2"/>
  <c r="X363" i="5" s="1"/>
  <c r="K363" i="2"/>
  <c r="Y363" i="5" s="1"/>
  <c r="W363" i="5"/>
  <c r="J362" i="2"/>
  <c r="X362" i="5" s="1"/>
  <c r="K362" i="2"/>
  <c r="Y362" i="5" s="1"/>
  <c r="W362" i="5"/>
  <c r="J361" i="2"/>
  <c r="X361" i="5" s="1"/>
  <c r="K361" i="2"/>
  <c r="Y361" i="5" s="1"/>
  <c r="W361" i="5"/>
  <c r="J360" i="2"/>
  <c r="W360" i="5"/>
  <c r="J359" i="2"/>
  <c r="X359" i="5" s="1"/>
  <c r="K359" i="2"/>
  <c r="Y359" i="5" s="1"/>
  <c r="W359" i="5"/>
  <c r="J358" i="2"/>
  <c r="X358" i="5" s="1"/>
  <c r="K358" i="2"/>
  <c r="Y358" i="5" s="1"/>
  <c r="W358" i="5"/>
  <c r="J357" i="2"/>
  <c r="X357" i="5" s="1"/>
  <c r="K357" i="2"/>
  <c r="Y357" i="5" s="1"/>
  <c r="W357" i="5"/>
  <c r="J356" i="2"/>
  <c r="X356" i="5" s="1"/>
  <c r="K356" i="2"/>
  <c r="Y356" i="5" s="1"/>
  <c r="W356" i="5"/>
  <c r="J355" i="2"/>
  <c r="X355" i="5" s="1"/>
  <c r="K355" i="2"/>
  <c r="Y355" i="5" s="1"/>
  <c r="W355" i="5"/>
  <c r="J354" i="2"/>
  <c r="W354" i="5"/>
  <c r="J353" i="2"/>
  <c r="X353" i="5" s="1"/>
  <c r="K353" i="2"/>
  <c r="Y353" i="5" s="1"/>
  <c r="W353" i="5"/>
  <c r="J352" i="2"/>
  <c r="X352" i="5" s="1"/>
  <c r="K352" i="2"/>
  <c r="Y352" i="5" s="1"/>
  <c r="W352" i="5"/>
  <c r="J351" i="2"/>
  <c r="X351" i="5" s="1"/>
  <c r="K351" i="2"/>
  <c r="Y351" i="5" s="1"/>
  <c r="W351" i="5"/>
  <c r="J350" i="2"/>
  <c r="X350" i="5" s="1"/>
  <c r="K350" i="2"/>
  <c r="Y350" i="5" s="1"/>
  <c r="W350" i="5"/>
  <c r="J349" i="2"/>
  <c r="X349" i="5" s="1"/>
  <c r="K349" i="2"/>
  <c r="Y349" i="5" s="1"/>
  <c r="W349" i="5"/>
  <c r="J348" i="2"/>
  <c r="X348" i="5" s="1"/>
  <c r="K348" i="2"/>
  <c r="Y348" i="5" s="1"/>
  <c r="W348" i="5"/>
  <c r="J347" i="2"/>
  <c r="X347" i="5" s="1"/>
  <c r="K347" i="2"/>
  <c r="Y347" i="5" s="1"/>
  <c r="W347" i="5"/>
  <c r="J346" i="2"/>
  <c r="X346" i="5" s="1"/>
  <c r="K346" i="2"/>
  <c r="Y346" i="5" s="1"/>
  <c r="W346" i="5"/>
  <c r="J345" i="2"/>
  <c r="W345" i="5"/>
  <c r="J344" i="2"/>
  <c r="X344" i="5" s="1"/>
  <c r="K344" i="2"/>
  <c r="Y344" i="5" s="1"/>
  <c r="W344" i="5"/>
  <c r="J343" i="2"/>
  <c r="W343" i="5"/>
  <c r="J342" i="2"/>
  <c r="W342" i="5"/>
  <c r="J341" i="2"/>
  <c r="X341" i="5" s="1"/>
  <c r="K341" i="2"/>
  <c r="Y341" i="5" s="1"/>
  <c r="W341" i="5"/>
  <c r="J340" i="2"/>
  <c r="X340" i="5" s="1"/>
  <c r="K340" i="2"/>
  <c r="Y340" i="5" s="1"/>
  <c r="W340" i="5"/>
  <c r="J339" i="2"/>
  <c r="X339" i="5" s="1"/>
  <c r="K339" i="2"/>
  <c r="Y339" i="5" s="1"/>
  <c r="W339" i="5"/>
  <c r="J338" i="2"/>
  <c r="W338" i="5"/>
  <c r="J337" i="2"/>
  <c r="X337" i="5" s="1"/>
  <c r="K337" i="2"/>
  <c r="Y337" i="5" s="1"/>
  <c r="W337" i="5"/>
  <c r="J336" i="2"/>
  <c r="X336" i="5" s="1"/>
  <c r="K336" i="2"/>
  <c r="Y336" i="5" s="1"/>
  <c r="W336" i="5"/>
  <c r="J335" i="2"/>
  <c r="X335" i="5" s="1"/>
  <c r="K335" i="2"/>
  <c r="Y335" i="5" s="1"/>
  <c r="W335" i="5"/>
  <c r="J334" i="2"/>
  <c r="W334" i="5"/>
  <c r="J333" i="2"/>
  <c r="X333" i="5" s="1"/>
  <c r="K333" i="2"/>
  <c r="Y333" i="5" s="1"/>
  <c r="W333" i="5"/>
  <c r="J332" i="2"/>
  <c r="X332" i="5" s="1"/>
  <c r="K332" i="2"/>
  <c r="Y332" i="5" s="1"/>
  <c r="W332" i="5"/>
  <c r="J331" i="2"/>
  <c r="W331" i="5"/>
  <c r="J330" i="2"/>
  <c r="W330" i="5"/>
  <c r="J329" i="2"/>
  <c r="X329" i="5" s="1"/>
  <c r="K329" i="2"/>
  <c r="Y329" i="5" s="1"/>
  <c r="W329" i="5"/>
  <c r="J328" i="2"/>
  <c r="X328" i="5" s="1"/>
  <c r="K328" i="2"/>
  <c r="Y328" i="5" s="1"/>
  <c r="W328" i="5"/>
  <c r="J327" i="2"/>
  <c r="X327" i="5" s="1"/>
  <c r="K327" i="2"/>
  <c r="Y327" i="5" s="1"/>
  <c r="W327" i="5"/>
  <c r="J326" i="2"/>
  <c r="X326" i="5" s="1"/>
  <c r="K326" i="2"/>
  <c r="Y326" i="5" s="1"/>
  <c r="W326" i="5"/>
  <c r="J325" i="2"/>
  <c r="X325" i="5" s="1"/>
  <c r="K325" i="2"/>
  <c r="Y325" i="5" s="1"/>
  <c r="W325" i="5"/>
  <c r="J324" i="2"/>
  <c r="X324" i="5" s="1"/>
  <c r="K324" i="2"/>
  <c r="Y324" i="5" s="1"/>
  <c r="W324" i="5"/>
  <c r="W323" i="5"/>
  <c r="W322" i="5"/>
  <c r="W321" i="5"/>
  <c r="W320" i="5"/>
  <c r="W319" i="5"/>
  <c r="W318" i="5"/>
  <c r="W317" i="5"/>
  <c r="W316" i="5"/>
  <c r="W315" i="5"/>
  <c r="W314" i="5"/>
  <c r="W313" i="5"/>
  <c r="W312" i="5"/>
  <c r="W311" i="5"/>
  <c r="W310" i="5"/>
  <c r="W309" i="5"/>
  <c r="W308" i="5"/>
  <c r="W307" i="5"/>
  <c r="W306" i="5"/>
  <c r="W305" i="5"/>
  <c r="W304" i="5"/>
  <c r="W303" i="5"/>
  <c r="W302" i="5"/>
  <c r="W301" i="5"/>
  <c r="W300" i="5"/>
  <c r="W299" i="5"/>
  <c r="J298" i="2"/>
  <c r="K298" i="2"/>
  <c r="Y298" i="5" s="1"/>
  <c r="W298" i="5"/>
  <c r="J297" i="2"/>
  <c r="W297" i="5"/>
  <c r="J296" i="2"/>
  <c r="W296" i="5"/>
  <c r="J295" i="2"/>
  <c r="W295" i="5"/>
  <c r="J294" i="2"/>
  <c r="X294" i="5" s="1"/>
  <c r="K294" i="2"/>
  <c r="Y294" i="5" s="1"/>
  <c r="W294" i="5"/>
  <c r="J293" i="2"/>
  <c r="X293" i="5" s="1"/>
  <c r="K293" i="2"/>
  <c r="Y293" i="5" s="1"/>
  <c r="W293" i="5"/>
  <c r="J292" i="2"/>
  <c r="W292" i="5"/>
  <c r="J291" i="2"/>
  <c r="X291" i="5" s="1"/>
  <c r="K291" i="2"/>
  <c r="Y291" i="5" s="1"/>
  <c r="W291" i="5"/>
  <c r="J290" i="2"/>
  <c r="X290" i="5" s="1"/>
  <c r="K290" i="2"/>
  <c r="Y290" i="5" s="1"/>
  <c r="W290" i="5"/>
  <c r="W289" i="5"/>
  <c r="W288" i="5"/>
  <c r="W287" i="5"/>
  <c r="W286" i="5"/>
  <c r="W285" i="5"/>
  <c r="W284" i="5"/>
  <c r="W283" i="5"/>
  <c r="W282" i="5"/>
  <c r="W281" i="5"/>
  <c r="W280" i="5"/>
  <c r="W279" i="5"/>
  <c r="W278" i="5"/>
  <c r="W277" i="5"/>
  <c r="W276" i="5"/>
  <c r="W275" i="5"/>
  <c r="W274" i="5"/>
  <c r="W273" i="5"/>
  <c r="W272" i="5"/>
  <c r="W271" i="5"/>
  <c r="W270" i="5"/>
  <c r="W269" i="5"/>
  <c r="W268" i="5"/>
  <c r="W267" i="5"/>
  <c r="W266" i="5"/>
  <c r="W265" i="5"/>
  <c r="W264" i="5"/>
  <c r="W263" i="5"/>
  <c r="W262" i="5"/>
  <c r="W261" i="5"/>
  <c r="W260" i="5"/>
  <c r="W259" i="5"/>
  <c r="W258" i="5"/>
  <c r="W257" i="5"/>
  <c r="W256" i="5"/>
  <c r="W255" i="5"/>
  <c r="W254" i="5"/>
  <c r="W253" i="5"/>
  <c r="W252" i="5"/>
  <c r="W251" i="5"/>
  <c r="W250" i="5"/>
  <c r="W249" i="5"/>
  <c r="W248" i="5"/>
  <c r="W247" i="5"/>
  <c r="W246" i="5"/>
  <c r="W245" i="5"/>
  <c r="W244" i="5"/>
  <c r="W243" i="5"/>
  <c r="W242" i="5"/>
  <c r="W241" i="5"/>
  <c r="W240" i="5"/>
  <c r="W239" i="5"/>
  <c r="W238" i="5"/>
  <c r="W237" i="5"/>
  <c r="W236" i="5"/>
  <c r="W235" i="5"/>
  <c r="J234" i="2"/>
  <c r="K234" i="2"/>
  <c r="Y234" i="5" s="1"/>
  <c r="W234" i="5"/>
  <c r="W233" i="5"/>
  <c r="W232" i="5"/>
  <c r="W231" i="5"/>
  <c r="W230" i="5"/>
  <c r="W229" i="5"/>
  <c r="W228" i="5"/>
  <c r="J227" i="2"/>
  <c r="K227" i="2"/>
  <c r="Y227" i="5" s="1"/>
  <c r="W227" i="5"/>
  <c r="W226" i="5"/>
  <c r="J226" i="2"/>
  <c r="X226" i="5" s="1"/>
  <c r="K226" i="2"/>
  <c r="Y226" i="5" s="1"/>
  <c r="W225" i="5"/>
  <c r="W224" i="5"/>
  <c r="W223" i="5"/>
  <c r="W222" i="5"/>
  <c r="W221" i="5"/>
  <c r="W220" i="5"/>
  <c r="W219" i="5"/>
  <c r="W218" i="5"/>
  <c r="W217" i="5"/>
  <c r="W216" i="5"/>
  <c r="W215" i="5"/>
  <c r="W214" i="5"/>
  <c r="W213" i="5"/>
  <c r="W212" i="5"/>
  <c r="W211" i="5"/>
  <c r="W210" i="5"/>
  <c r="W209" i="5"/>
  <c r="J208" i="2"/>
  <c r="W208" i="5"/>
  <c r="W207" i="5"/>
  <c r="W206" i="5"/>
  <c r="W205" i="5"/>
  <c r="W204" i="5"/>
  <c r="W203" i="5"/>
  <c r="W202" i="5"/>
  <c r="W201" i="5"/>
  <c r="W200" i="5"/>
  <c r="J200" i="2"/>
  <c r="K200" i="2"/>
  <c r="Y200" i="5" s="1"/>
  <c r="W199" i="5"/>
  <c r="W198" i="5"/>
  <c r="W197" i="5"/>
  <c r="W196" i="5"/>
  <c r="W195" i="5"/>
  <c r="W194" i="5"/>
  <c r="W193" i="5"/>
  <c r="W192" i="5"/>
  <c r="W191" i="5"/>
  <c r="W190" i="5"/>
  <c r="W189" i="5"/>
  <c r="W188" i="5"/>
  <c r="W187" i="5"/>
  <c r="W186" i="5"/>
  <c r="W185" i="5"/>
  <c r="W184" i="5"/>
  <c r="W183" i="5"/>
  <c r="W182" i="5"/>
  <c r="W181" i="5"/>
  <c r="W180" i="5"/>
  <c r="W179" i="5"/>
  <c r="W178" i="5"/>
  <c r="J177" i="2"/>
  <c r="W177" i="5"/>
  <c r="W176" i="5"/>
  <c r="W175" i="5"/>
  <c r="W174" i="5"/>
  <c r="W173" i="5"/>
  <c r="W172" i="5"/>
  <c r="W171" i="5"/>
  <c r="W170" i="5"/>
  <c r="W169" i="5"/>
  <c r="W168" i="5"/>
  <c r="W167" i="5"/>
  <c r="W166" i="5"/>
  <c r="W165" i="5"/>
  <c r="W164" i="5"/>
  <c r="W163" i="5"/>
  <c r="W162" i="5"/>
  <c r="W161" i="5"/>
  <c r="W160" i="5"/>
  <c r="W159" i="5"/>
  <c r="W158" i="5"/>
  <c r="W157" i="5"/>
  <c r="W156" i="5"/>
  <c r="W155" i="5"/>
  <c r="W154" i="5"/>
  <c r="W153" i="5"/>
  <c r="W152" i="5"/>
  <c r="W151" i="5"/>
  <c r="W150" i="5"/>
  <c r="W149" i="5"/>
  <c r="W148" i="5"/>
  <c r="W147" i="5"/>
  <c r="W146" i="5"/>
  <c r="W145" i="5"/>
  <c r="W144" i="5"/>
  <c r="W143" i="5"/>
  <c r="W142" i="5"/>
  <c r="W141" i="5"/>
  <c r="W140" i="5"/>
  <c r="W139" i="5"/>
  <c r="W138" i="5"/>
  <c r="W137" i="5"/>
  <c r="W136" i="5"/>
  <c r="W135" i="5"/>
  <c r="W134" i="5"/>
  <c r="W133" i="5"/>
  <c r="W132" i="5"/>
  <c r="W131" i="5"/>
  <c r="W130" i="5"/>
  <c r="W129" i="5"/>
  <c r="W128" i="5"/>
  <c r="W127" i="5"/>
  <c r="J126" i="2"/>
  <c r="K126" i="2"/>
  <c r="Y126" i="5" s="1"/>
  <c r="W126" i="5"/>
  <c r="W125" i="5"/>
  <c r="W124" i="5"/>
  <c r="W123" i="5"/>
  <c r="W122" i="5"/>
  <c r="W121" i="5"/>
  <c r="W120" i="5"/>
  <c r="W119" i="5"/>
  <c r="W118" i="5"/>
  <c r="W117" i="5"/>
  <c r="W116" i="5"/>
  <c r="W115" i="5"/>
  <c r="W114" i="5"/>
  <c r="W113" i="5"/>
  <c r="W112" i="5"/>
  <c r="W111" i="5"/>
  <c r="W110" i="5"/>
  <c r="W109" i="5"/>
  <c r="W108" i="5"/>
  <c r="W107" i="5"/>
  <c r="W106" i="5"/>
  <c r="W105" i="5"/>
  <c r="W104" i="5"/>
  <c r="W103" i="5"/>
  <c r="J102" i="2"/>
  <c r="K102" i="2"/>
  <c r="Y102" i="5" s="1"/>
  <c r="W102" i="5"/>
  <c r="W101" i="5"/>
  <c r="W100" i="5"/>
  <c r="W99" i="5"/>
  <c r="W98" i="5"/>
  <c r="W97" i="5"/>
  <c r="W96" i="5"/>
  <c r="W95" i="5"/>
  <c r="W94" i="5"/>
  <c r="W93" i="5"/>
  <c r="W92" i="5"/>
  <c r="W91" i="5"/>
  <c r="W90" i="5"/>
  <c r="W89" i="5"/>
  <c r="W88" i="5"/>
  <c r="W87" i="5"/>
  <c r="W86" i="5"/>
  <c r="W85" i="5"/>
  <c r="W84" i="5"/>
  <c r="W83" i="5"/>
  <c r="W82" i="5"/>
  <c r="W81" i="5"/>
  <c r="W80" i="5"/>
  <c r="W79" i="5"/>
  <c r="W78" i="5"/>
  <c r="W77" i="5"/>
  <c r="W76" i="5"/>
  <c r="W75" i="5"/>
  <c r="W74" i="5"/>
  <c r="W73" i="5"/>
  <c r="W72" i="5"/>
  <c r="W71" i="5"/>
  <c r="W70" i="5"/>
  <c r="W69" i="5"/>
  <c r="W68" i="5"/>
  <c r="W67" i="5"/>
  <c r="J66" i="2"/>
  <c r="K66" i="2"/>
  <c r="Y66" i="5" s="1"/>
  <c r="W66" i="5"/>
  <c r="W65" i="5"/>
  <c r="J64" i="2"/>
  <c r="K64" i="2"/>
  <c r="Y64" i="5" s="1"/>
  <c r="W64" i="5"/>
  <c r="J63" i="2"/>
  <c r="W63" i="5"/>
  <c r="W62" i="5"/>
  <c r="W61" i="5"/>
  <c r="W60" i="5"/>
  <c r="W59" i="5"/>
  <c r="W58" i="5"/>
  <c r="W57" i="5"/>
  <c r="W56" i="5"/>
  <c r="J55" i="2"/>
  <c r="W55" i="5"/>
  <c r="J54" i="2"/>
  <c r="W54" i="5"/>
  <c r="W53" i="5"/>
  <c r="J52" i="2"/>
  <c r="K52" i="2"/>
  <c r="Y52" i="5" s="1"/>
  <c r="W52" i="5"/>
  <c r="J51" i="2"/>
  <c r="W51" i="5"/>
  <c r="J50" i="2"/>
  <c r="W50" i="5"/>
  <c r="J49" i="2"/>
  <c r="X49" i="5" s="1"/>
  <c r="K49" i="2"/>
  <c r="Y49" i="5" s="1"/>
  <c r="W49" i="5"/>
  <c r="W48" i="5"/>
  <c r="J47" i="2"/>
  <c r="K47" i="2"/>
  <c r="Y47" i="5" s="1"/>
  <c r="W47" i="5"/>
  <c r="W46" i="5"/>
  <c r="W45" i="5"/>
  <c r="W44" i="5"/>
  <c r="W43" i="5"/>
  <c r="W42" i="5"/>
  <c r="W41" i="5"/>
  <c r="J40" i="2"/>
  <c r="K40" i="2"/>
  <c r="Y40" i="5" s="1"/>
  <c r="W40" i="5"/>
  <c r="W39" i="5"/>
  <c r="W38" i="5"/>
  <c r="W37" i="5"/>
  <c r="W36" i="5"/>
  <c r="W35" i="5"/>
  <c r="W34" i="5"/>
  <c r="W33" i="5"/>
  <c r="W32" i="5"/>
  <c r="W31" i="5"/>
  <c r="W30" i="5"/>
  <c r="J29" i="2"/>
  <c r="K29" i="2"/>
  <c r="Y29" i="5" s="1"/>
  <c r="W29" i="5"/>
  <c r="S4" i="5"/>
  <c r="U4" i="5"/>
  <c r="R4" i="5"/>
  <c r="T4" i="5"/>
  <c r="X437" i="5" l="1"/>
  <c r="B25" i="1"/>
  <c r="Y437" i="5"/>
  <c r="B26" i="1"/>
  <c r="M4" i="2"/>
  <c r="L4" i="2"/>
  <c r="N4" i="2" s="1"/>
  <c r="O4" i="2" s="1"/>
  <c r="V4" i="5"/>
  <c r="X432" i="5"/>
  <c r="K432" i="2"/>
  <c r="Y432" i="5" s="1"/>
  <c r="X426" i="5"/>
  <c r="K426" i="2"/>
  <c r="Y426" i="5" s="1"/>
  <c r="X389" i="5"/>
  <c r="J390" i="2"/>
  <c r="K389" i="2"/>
  <c r="Y389" i="5" s="1"/>
  <c r="X384" i="5"/>
  <c r="K384" i="2"/>
  <c r="Y384" i="5" s="1"/>
  <c r="X379" i="5"/>
  <c r="K379" i="2"/>
  <c r="Y379" i="5" s="1"/>
  <c r="X374" i="5"/>
  <c r="K374" i="2"/>
  <c r="Y374" i="5" s="1"/>
  <c r="X367" i="5"/>
  <c r="K367" i="2"/>
  <c r="Y367" i="5" s="1"/>
  <c r="X365" i="5"/>
  <c r="K365" i="2"/>
  <c r="Y365" i="5" s="1"/>
  <c r="X364" i="5"/>
  <c r="K364" i="2"/>
  <c r="Y364" i="5" s="1"/>
  <c r="X360" i="5"/>
  <c r="K360" i="2"/>
  <c r="Y360" i="5" s="1"/>
  <c r="X354" i="5"/>
  <c r="K354" i="2"/>
  <c r="Y354" i="5" s="1"/>
  <c r="X345" i="5"/>
  <c r="K345" i="2"/>
  <c r="Y345" i="5" s="1"/>
  <c r="X343" i="5"/>
  <c r="K343" i="2"/>
  <c r="Y343" i="5" s="1"/>
  <c r="X342" i="5"/>
  <c r="K342" i="2"/>
  <c r="Y342" i="5" s="1"/>
  <c r="X338" i="5"/>
  <c r="K338" i="2"/>
  <c r="Y338" i="5" s="1"/>
  <c r="X334" i="5"/>
  <c r="K334" i="2"/>
  <c r="Y334" i="5" s="1"/>
  <c r="X331" i="5"/>
  <c r="K331" i="2"/>
  <c r="Y331" i="5" s="1"/>
  <c r="X330" i="5"/>
  <c r="K330" i="2"/>
  <c r="Y330" i="5" s="1"/>
  <c r="X298" i="5"/>
  <c r="J299" i="2"/>
  <c r="X297" i="5"/>
  <c r="K297" i="2"/>
  <c r="Y297" i="5" s="1"/>
  <c r="X296" i="5"/>
  <c r="K296" i="2"/>
  <c r="Y296" i="5" s="1"/>
  <c r="X295" i="5"/>
  <c r="K295" i="2"/>
  <c r="Y295" i="5" s="1"/>
  <c r="X292" i="5"/>
  <c r="K292" i="2"/>
  <c r="Y292" i="5" s="1"/>
  <c r="X234" i="5"/>
  <c r="J235" i="2"/>
  <c r="X227" i="5"/>
  <c r="J228" i="2"/>
  <c r="X208" i="5"/>
  <c r="K208" i="2"/>
  <c r="Y208" i="5" s="1"/>
  <c r="J209" i="2"/>
  <c r="X200" i="5"/>
  <c r="J201" i="2"/>
  <c r="X177" i="5"/>
  <c r="J178" i="2"/>
  <c r="K177" i="2"/>
  <c r="Y177" i="5" s="1"/>
  <c r="X126" i="5"/>
  <c r="J127" i="2"/>
  <c r="X102" i="5"/>
  <c r="J103" i="2"/>
  <c r="X66" i="5"/>
  <c r="J67" i="2"/>
  <c r="X64" i="5"/>
  <c r="J65" i="2"/>
  <c r="X63" i="5"/>
  <c r="K63" i="2"/>
  <c r="Y63" i="5" s="1"/>
  <c r="X55" i="5"/>
  <c r="J56" i="2"/>
  <c r="K55" i="2"/>
  <c r="Y55" i="5" s="1"/>
  <c r="X54" i="5"/>
  <c r="K54" i="2"/>
  <c r="Y54" i="5" s="1"/>
  <c r="X52" i="5"/>
  <c r="J53" i="2"/>
  <c r="X51" i="5"/>
  <c r="K51" i="2"/>
  <c r="Y51" i="5" s="1"/>
  <c r="X50" i="5"/>
  <c r="K50" i="2"/>
  <c r="Y50" i="5" s="1"/>
  <c r="X47" i="5"/>
  <c r="J48" i="2"/>
  <c r="X40" i="5"/>
  <c r="J41" i="2"/>
  <c r="X29" i="5"/>
  <c r="J30" i="2"/>
  <c r="P4" i="2" l="1"/>
  <c r="AA4" i="5" s="1"/>
  <c r="Q4" i="2"/>
  <c r="U4" i="2"/>
  <c r="Z4" i="5"/>
  <c r="K390" i="2"/>
  <c r="Y390" i="5" s="1"/>
  <c r="J391" i="2"/>
  <c r="X390" i="5"/>
  <c r="J300" i="2"/>
  <c r="K299" i="2"/>
  <c r="Y299" i="5" s="1"/>
  <c r="X299" i="5"/>
  <c r="J236" i="2"/>
  <c r="K235" i="2"/>
  <c r="Y235" i="5" s="1"/>
  <c r="X235" i="5"/>
  <c r="K228" i="2"/>
  <c r="Y228" i="5" s="1"/>
  <c r="J229" i="2"/>
  <c r="X228" i="5"/>
  <c r="K209" i="2"/>
  <c r="Y209" i="5" s="1"/>
  <c r="J210" i="2"/>
  <c r="X209" i="5"/>
  <c r="K201" i="2"/>
  <c r="Y201" i="5" s="1"/>
  <c r="J202" i="2"/>
  <c r="X201" i="5"/>
  <c r="K178" i="2"/>
  <c r="Y178" i="5" s="1"/>
  <c r="J179" i="2"/>
  <c r="X178" i="5"/>
  <c r="J128" i="2"/>
  <c r="K127" i="2"/>
  <c r="Y127" i="5" s="1"/>
  <c r="X127" i="5"/>
  <c r="J104" i="2"/>
  <c r="K103" i="2"/>
  <c r="Y103" i="5" s="1"/>
  <c r="X103" i="5"/>
  <c r="K67" i="2"/>
  <c r="Y67" i="5" s="1"/>
  <c r="J68" i="2"/>
  <c r="X67" i="5"/>
  <c r="K65" i="2"/>
  <c r="Y65" i="5" s="1"/>
  <c r="X65" i="5"/>
  <c r="J57" i="2"/>
  <c r="K56" i="2"/>
  <c r="Y56" i="5" s="1"/>
  <c r="X56" i="5"/>
  <c r="K53" i="2"/>
  <c r="Y53" i="5" s="1"/>
  <c r="X53" i="5"/>
  <c r="K48" i="2"/>
  <c r="Y48" i="5" s="1"/>
  <c r="X48" i="5"/>
  <c r="J42" i="2"/>
  <c r="K41" i="2"/>
  <c r="Y41" i="5" s="1"/>
  <c r="X41" i="5"/>
  <c r="J31" i="2"/>
  <c r="K30" i="2"/>
  <c r="Y30" i="5" s="1"/>
  <c r="X30" i="5"/>
  <c r="AC4" i="5" l="1"/>
  <c r="AD4" i="5"/>
  <c r="C5" i="5" s="1"/>
  <c r="E5" i="5" s="1"/>
  <c r="I5" i="5" s="1"/>
  <c r="J392" i="2"/>
  <c r="K391" i="2"/>
  <c r="Y391" i="5" s="1"/>
  <c r="X391" i="5"/>
  <c r="J301" i="2"/>
  <c r="K300" i="2"/>
  <c r="Y300" i="5" s="1"/>
  <c r="X300" i="5"/>
  <c r="J237" i="2"/>
  <c r="K236" i="2"/>
  <c r="Y236" i="5" s="1"/>
  <c r="X236" i="5"/>
  <c r="J230" i="2"/>
  <c r="K229" i="2"/>
  <c r="Y229" i="5" s="1"/>
  <c r="X229" i="5"/>
  <c r="J211" i="2"/>
  <c r="K210" i="2"/>
  <c r="Y210" i="5" s="1"/>
  <c r="X210" i="5"/>
  <c r="J203" i="2"/>
  <c r="K202" i="2"/>
  <c r="Y202" i="5" s="1"/>
  <c r="X202" i="5"/>
  <c r="J180" i="2"/>
  <c r="K179" i="2"/>
  <c r="Y179" i="5" s="1"/>
  <c r="X179" i="5"/>
  <c r="J129" i="2"/>
  <c r="K128" i="2"/>
  <c r="Y128" i="5" s="1"/>
  <c r="X128" i="5"/>
  <c r="J105" i="2"/>
  <c r="K104" i="2"/>
  <c r="Y104" i="5" s="1"/>
  <c r="X104" i="5"/>
  <c r="K68" i="2"/>
  <c r="Y68" i="5" s="1"/>
  <c r="J69" i="2"/>
  <c r="X68" i="5"/>
  <c r="J58" i="2"/>
  <c r="K57" i="2"/>
  <c r="Y57" i="5" s="1"/>
  <c r="X57" i="5"/>
  <c r="J43" i="2"/>
  <c r="K42" i="2"/>
  <c r="Y42" i="5" s="1"/>
  <c r="X42" i="5"/>
  <c r="J32" i="2"/>
  <c r="K31" i="2"/>
  <c r="Y31" i="5" s="1"/>
  <c r="X31" i="5"/>
  <c r="AB4" i="5"/>
  <c r="R4" i="2"/>
  <c r="S4" i="2"/>
  <c r="B5" i="5" l="1"/>
  <c r="D5" i="5" s="1"/>
  <c r="H5" i="5" s="1"/>
  <c r="AE4" i="5"/>
  <c r="AF4" i="5" s="1"/>
  <c r="M5" i="5"/>
  <c r="K5" i="5"/>
  <c r="J393" i="2"/>
  <c r="K392" i="2"/>
  <c r="Y392" i="5" s="1"/>
  <c r="X392" i="5"/>
  <c r="J302" i="2"/>
  <c r="K301" i="2"/>
  <c r="Y301" i="5" s="1"/>
  <c r="X301" i="5"/>
  <c r="J238" i="2"/>
  <c r="K237" i="2"/>
  <c r="Y237" i="5" s="1"/>
  <c r="X237" i="5"/>
  <c r="J231" i="2"/>
  <c r="K230" i="2"/>
  <c r="Y230" i="5" s="1"/>
  <c r="X230" i="5"/>
  <c r="J212" i="2"/>
  <c r="K211" i="2"/>
  <c r="Y211" i="5" s="1"/>
  <c r="X211" i="5"/>
  <c r="J204" i="2"/>
  <c r="K203" i="2"/>
  <c r="Y203" i="5" s="1"/>
  <c r="X203" i="5"/>
  <c r="J181" i="2"/>
  <c r="K180" i="2"/>
  <c r="Y180" i="5" s="1"/>
  <c r="X180" i="5"/>
  <c r="J130" i="2"/>
  <c r="K129" i="2"/>
  <c r="Y129" i="5" s="1"/>
  <c r="X129" i="5"/>
  <c r="J106" i="2"/>
  <c r="K105" i="2"/>
  <c r="Y105" i="5" s="1"/>
  <c r="X105" i="5"/>
  <c r="K69" i="2"/>
  <c r="Y69" i="5" s="1"/>
  <c r="J70" i="2"/>
  <c r="X69" i="5"/>
  <c r="J59" i="2"/>
  <c r="K58" i="2"/>
  <c r="Y58" i="5" s="1"/>
  <c r="X58" i="5"/>
  <c r="J44" i="2"/>
  <c r="K43" i="2"/>
  <c r="Y43" i="5" s="1"/>
  <c r="X43" i="5"/>
  <c r="J33" i="2"/>
  <c r="K32" i="2"/>
  <c r="Y32" i="5" s="1"/>
  <c r="X32" i="5"/>
  <c r="T4" i="2"/>
  <c r="J5" i="5" l="1"/>
  <c r="L5" i="5"/>
  <c r="AG4" i="5"/>
  <c r="O5" i="5"/>
  <c r="Q5" i="5" s="1"/>
  <c r="K393" i="2"/>
  <c r="Y393" i="5" s="1"/>
  <c r="J394" i="2"/>
  <c r="X393" i="5"/>
  <c r="J303" i="2"/>
  <c r="K302" i="2"/>
  <c r="Y302" i="5" s="1"/>
  <c r="X302" i="5"/>
  <c r="J239" i="2"/>
  <c r="K238" i="2"/>
  <c r="Y238" i="5" s="1"/>
  <c r="X238" i="5"/>
  <c r="J232" i="2"/>
  <c r="K231" i="2"/>
  <c r="Y231" i="5" s="1"/>
  <c r="X231" i="5"/>
  <c r="J213" i="2"/>
  <c r="K212" i="2"/>
  <c r="Y212" i="5" s="1"/>
  <c r="X212" i="5"/>
  <c r="J205" i="2"/>
  <c r="K204" i="2"/>
  <c r="Y204" i="5" s="1"/>
  <c r="X204" i="5"/>
  <c r="K181" i="2"/>
  <c r="Y181" i="5" s="1"/>
  <c r="J182" i="2"/>
  <c r="X181" i="5"/>
  <c r="J131" i="2"/>
  <c r="K130" i="2"/>
  <c r="Y130" i="5" s="1"/>
  <c r="X130" i="5"/>
  <c r="K106" i="2"/>
  <c r="Y106" i="5" s="1"/>
  <c r="J107" i="2"/>
  <c r="X106" i="5"/>
  <c r="K70" i="2"/>
  <c r="Y70" i="5" s="1"/>
  <c r="J71" i="2"/>
  <c r="X70" i="5"/>
  <c r="J60" i="2"/>
  <c r="K59" i="2"/>
  <c r="Y59" i="5" s="1"/>
  <c r="X59" i="5"/>
  <c r="J45" i="2"/>
  <c r="K44" i="2"/>
  <c r="Y44" i="5" s="1"/>
  <c r="X44" i="5"/>
  <c r="J34" i="2"/>
  <c r="K33" i="2"/>
  <c r="Y33" i="5" s="1"/>
  <c r="X33" i="5"/>
  <c r="N5" i="5" l="1"/>
  <c r="P5" i="5" s="1"/>
  <c r="J395" i="2"/>
  <c r="K394" i="2"/>
  <c r="Y394" i="5" s="1"/>
  <c r="X394" i="5"/>
  <c r="J304" i="2"/>
  <c r="K303" i="2"/>
  <c r="Y303" i="5" s="1"/>
  <c r="X303" i="5"/>
  <c r="J240" i="2"/>
  <c r="K239" i="2"/>
  <c r="Y239" i="5" s="1"/>
  <c r="X239" i="5"/>
  <c r="J233" i="2"/>
  <c r="K232" i="2"/>
  <c r="Y232" i="5" s="1"/>
  <c r="X232" i="5"/>
  <c r="J214" i="2"/>
  <c r="K213" i="2"/>
  <c r="Y213" i="5" s="1"/>
  <c r="X213" i="5"/>
  <c r="J206" i="2"/>
  <c r="K205" i="2"/>
  <c r="Y205" i="5" s="1"/>
  <c r="X205" i="5"/>
  <c r="K182" i="2"/>
  <c r="Y182" i="5" s="1"/>
  <c r="J183" i="2"/>
  <c r="X182" i="5"/>
  <c r="J132" i="2"/>
  <c r="K131" i="2"/>
  <c r="Y131" i="5" s="1"/>
  <c r="X131" i="5"/>
  <c r="J108" i="2"/>
  <c r="K107" i="2"/>
  <c r="Y107" i="5" s="1"/>
  <c r="X107" i="5"/>
  <c r="J72" i="2"/>
  <c r="K71" i="2"/>
  <c r="Y71" i="5" s="1"/>
  <c r="X71" i="5"/>
  <c r="K60" i="2"/>
  <c r="Y60" i="5" s="1"/>
  <c r="J61" i="2"/>
  <c r="X60" i="5"/>
  <c r="J46" i="2"/>
  <c r="K45" i="2"/>
  <c r="Y45" i="5" s="1"/>
  <c r="X45" i="5"/>
  <c r="J35" i="2"/>
  <c r="K34" i="2"/>
  <c r="Y34" i="5" s="1"/>
  <c r="X34" i="5"/>
  <c r="S5" i="5"/>
  <c r="U5" i="5"/>
  <c r="K395" i="2" l="1"/>
  <c r="Y395" i="5" s="1"/>
  <c r="J396" i="2"/>
  <c r="X395" i="5"/>
  <c r="J305" i="2"/>
  <c r="K304" i="2"/>
  <c r="Y304" i="5" s="1"/>
  <c r="X304" i="5"/>
  <c r="J241" i="2"/>
  <c r="K240" i="2"/>
  <c r="Y240" i="5" s="1"/>
  <c r="X240" i="5"/>
  <c r="K233" i="2"/>
  <c r="Y233" i="5" s="1"/>
  <c r="X233" i="5"/>
  <c r="J215" i="2"/>
  <c r="K214" i="2"/>
  <c r="Y214" i="5" s="1"/>
  <c r="X214" i="5"/>
  <c r="J207" i="2"/>
  <c r="K206" i="2"/>
  <c r="Y206" i="5" s="1"/>
  <c r="X206" i="5"/>
  <c r="K183" i="2"/>
  <c r="Y183" i="5" s="1"/>
  <c r="J184" i="2"/>
  <c r="X183" i="5"/>
  <c r="J133" i="2"/>
  <c r="K132" i="2"/>
  <c r="Y132" i="5" s="1"/>
  <c r="X132" i="5"/>
  <c r="J109" i="2"/>
  <c r="K108" i="2"/>
  <c r="Y108" i="5" s="1"/>
  <c r="X108" i="5"/>
  <c r="J73" i="2"/>
  <c r="K72" i="2"/>
  <c r="Y72" i="5" s="1"/>
  <c r="X72" i="5"/>
  <c r="K61" i="2"/>
  <c r="Y61" i="5" s="1"/>
  <c r="J62" i="2"/>
  <c r="X61" i="5"/>
  <c r="K46" i="2"/>
  <c r="Y46" i="5" s="1"/>
  <c r="X46" i="5"/>
  <c r="J36" i="2"/>
  <c r="K35" i="2"/>
  <c r="Y35" i="5" s="1"/>
  <c r="X35" i="5"/>
  <c r="M5" i="2"/>
  <c r="R5" i="5"/>
  <c r="T5" i="5"/>
  <c r="K396" i="2" l="1"/>
  <c r="Y396" i="5" s="1"/>
  <c r="J397" i="2"/>
  <c r="X396" i="5"/>
  <c r="J306" i="2"/>
  <c r="K305" i="2"/>
  <c r="Y305" i="5" s="1"/>
  <c r="X305" i="5"/>
  <c r="J242" i="2"/>
  <c r="K241" i="2"/>
  <c r="Y241" i="5" s="1"/>
  <c r="X241" i="5"/>
  <c r="J216" i="2"/>
  <c r="K215" i="2"/>
  <c r="Y215" i="5" s="1"/>
  <c r="X215" i="5"/>
  <c r="K207" i="2"/>
  <c r="Y207" i="5" s="1"/>
  <c r="X207" i="5"/>
  <c r="J185" i="2"/>
  <c r="K184" i="2"/>
  <c r="Y184" i="5" s="1"/>
  <c r="X184" i="5"/>
  <c r="J134" i="2"/>
  <c r="K133" i="2"/>
  <c r="Y133" i="5" s="1"/>
  <c r="X133" i="5"/>
  <c r="J110" i="2"/>
  <c r="K109" i="2"/>
  <c r="Y109" i="5" s="1"/>
  <c r="X109" i="5"/>
  <c r="J74" i="2"/>
  <c r="K73" i="2"/>
  <c r="Y73" i="5" s="1"/>
  <c r="X73" i="5"/>
  <c r="K62" i="2"/>
  <c r="Y62" i="5" s="1"/>
  <c r="X62" i="5"/>
  <c r="J37" i="2"/>
  <c r="K36" i="2"/>
  <c r="Y36" i="5" s="1"/>
  <c r="X36" i="5"/>
  <c r="L5" i="2"/>
  <c r="N5" i="2" s="1"/>
  <c r="O5" i="2" s="1"/>
  <c r="V5" i="5"/>
  <c r="K397" i="2" l="1"/>
  <c r="Y397" i="5" s="1"/>
  <c r="J398" i="2"/>
  <c r="X397" i="5"/>
  <c r="J307" i="2"/>
  <c r="K306" i="2"/>
  <c r="Y306" i="5" s="1"/>
  <c r="X306" i="5"/>
  <c r="J243" i="2"/>
  <c r="K242" i="2"/>
  <c r="Y242" i="5" s="1"/>
  <c r="X242" i="5"/>
  <c r="J217" i="2"/>
  <c r="K216" i="2"/>
  <c r="Y216" i="5" s="1"/>
  <c r="X216" i="5"/>
  <c r="K185" i="2"/>
  <c r="Y185" i="5" s="1"/>
  <c r="J186" i="2"/>
  <c r="X185" i="5"/>
  <c r="J135" i="2"/>
  <c r="K134" i="2"/>
  <c r="Y134" i="5" s="1"/>
  <c r="X134" i="5"/>
  <c r="J111" i="2"/>
  <c r="K110" i="2"/>
  <c r="Y110" i="5" s="1"/>
  <c r="X110" i="5"/>
  <c r="J75" i="2"/>
  <c r="K74" i="2"/>
  <c r="Y74" i="5" s="1"/>
  <c r="X74" i="5"/>
  <c r="J38" i="2"/>
  <c r="K37" i="2"/>
  <c r="Y37" i="5" s="1"/>
  <c r="X37" i="5"/>
  <c r="P5" i="2"/>
  <c r="Q5" i="2"/>
  <c r="Z5" i="5"/>
  <c r="J399" i="2" l="1"/>
  <c r="K398" i="2"/>
  <c r="Y398" i="5" s="1"/>
  <c r="X398" i="5"/>
  <c r="J308" i="2"/>
  <c r="K307" i="2"/>
  <c r="Y307" i="5" s="1"/>
  <c r="X307" i="5"/>
  <c r="J244" i="2"/>
  <c r="K243" i="2"/>
  <c r="Y243" i="5" s="1"/>
  <c r="X243" i="5"/>
  <c r="J218" i="2"/>
  <c r="K217" i="2"/>
  <c r="Y217" i="5" s="1"/>
  <c r="X217" i="5"/>
  <c r="K186" i="2"/>
  <c r="Y186" i="5" s="1"/>
  <c r="J187" i="2"/>
  <c r="X186" i="5"/>
  <c r="K135" i="2"/>
  <c r="Y135" i="5" s="1"/>
  <c r="J136" i="2"/>
  <c r="X135" i="5"/>
  <c r="J112" i="2"/>
  <c r="K111" i="2"/>
  <c r="Y111" i="5" s="1"/>
  <c r="X111" i="5"/>
  <c r="J76" i="2"/>
  <c r="K75" i="2"/>
  <c r="Y75" i="5" s="1"/>
  <c r="X75" i="5"/>
  <c r="J39" i="2"/>
  <c r="K38" i="2"/>
  <c r="Y38" i="5" s="1"/>
  <c r="X38" i="5"/>
  <c r="AA5" i="5"/>
  <c r="S5" i="2"/>
  <c r="U5" i="2"/>
  <c r="AB5" i="5"/>
  <c r="R5" i="2"/>
  <c r="T5" i="2" s="1"/>
  <c r="J400" i="2" l="1"/>
  <c r="K399" i="2"/>
  <c r="Y399" i="5" s="1"/>
  <c r="X399" i="5"/>
  <c r="J309" i="2"/>
  <c r="K308" i="2"/>
  <c r="Y308" i="5" s="1"/>
  <c r="X308" i="5"/>
  <c r="J245" i="2"/>
  <c r="K244" i="2"/>
  <c r="Y244" i="5" s="1"/>
  <c r="X244" i="5"/>
  <c r="K218" i="2"/>
  <c r="Y218" i="5" s="1"/>
  <c r="J219" i="2"/>
  <c r="X218" i="5"/>
  <c r="J188" i="2"/>
  <c r="K187" i="2"/>
  <c r="Y187" i="5" s="1"/>
  <c r="X187" i="5"/>
  <c r="J137" i="2"/>
  <c r="K136" i="2"/>
  <c r="Y136" i="5" s="1"/>
  <c r="X136" i="5"/>
  <c r="J113" i="2"/>
  <c r="K112" i="2"/>
  <c r="Y112" i="5" s="1"/>
  <c r="X112" i="5"/>
  <c r="J77" i="2"/>
  <c r="K76" i="2"/>
  <c r="Y76" i="5" s="1"/>
  <c r="X76" i="5"/>
  <c r="K39" i="2"/>
  <c r="Y39" i="5" s="1"/>
  <c r="X39" i="5"/>
  <c r="AD5" i="5"/>
  <c r="C6" i="5" s="1"/>
  <c r="E6" i="5" s="1"/>
  <c r="I6" i="5" s="1"/>
  <c r="AC5" i="5"/>
  <c r="J401" i="2" l="1"/>
  <c r="K400" i="2"/>
  <c r="Y400" i="5" s="1"/>
  <c r="X400" i="5"/>
  <c r="J310" i="2"/>
  <c r="K309" i="2"/>
  <c r="Y309" i="5" s="1"/>
  <c r="X309" i="5"/>
  <c r="J246" i="2"/>
  <c r="K245" i="2"/>
  <c r="Y245" i="5" s="1"/>
  <c r="X245" i="5"/>
  <c r="K219" i="2"/>
  <c r="Y219" i="5" s="1"/>
  <c r="J220" i="2"/>
  <c r="X219" i="5"/>
  <c r="K188" i="2"/>
  <c r="Y188" i="5" s="1"/>
  <c r="J189" i="2"/>
  <c r="X188" i="5"/>
  <c r="J138" i="2"/>
  <c r="K137" i="2"/>
  <c r="Y137" i="5" s="1"/>
  <c r="X137" i="5"/>
  <c r="J114" i="2"/>
  <c r="K113" i="2"/>
  <c r="Y113" i="5" s="1"/>
  <c r="X113" i="5"/>
  <c r="J78" i="2"/>
  <c r="K77" i="2"/>
  <c r="Y77" i="5" s="1"/>
  <c r="X77" i="5"/>
  <c r="K6" i="5"/>
  <c r="B6" i="5"/>
  <c r="D6" i="5" s="1"/>
  <c r="H6" i="5" s="1"/>
  <c r="M6" i="5" s="1"/>
  <c r="AE5" i="5"/>
  <c r="AF5" i="5" s="1"/>
  <c r="J402" i="2" l="1"/>
  <c r="K401" i="2"/>
  <c r="Y401" i="5" s="1"/>
  <c r="X401" i="5"/>
  <c r="J311" i="2"/>
  <c r="K310" i="2"/>
  <c r="Y310" i="5" s="1"/>
  <c r="X310" i="5"/>
  <c r="J247" i="2"/>
  <c r="K246" i="2"/>
  <c r="Y246" i="5" s="1"/>
  <c r="X246" i="5"/>
  <c r="K220" i="2"/>
  <c r="Y220" i="5" s="1"/>
  <c r="J221" i="2"/>
  <c r="X220" i="5"/>
  <c r="K189" i="2"/>
  <c r="Y189" i="5" s="1"/>
  <c r="J190" i="2"/>
  <c r="X189" i="5"/>
  <c r="K138" i="2"/>
  <c r="Y138" i="5" s="1"/>
  <c r="J139" i="2"/>
  <c r="X138" i="5"/>
  <c r="J115" i="2"/>
  <c r="K114" i="2"/>
  <c r="Y114" i="5" s="1"/>
  <c r="X114" i="5"/>
  <c r="J79" i="2"/>
  <c r="K78" i="2"/>
  <c r="Y78" i="5" s="1"/>
  <c r="X78" i="5"/>
  <c r="O6" i="5"/>
  <c r="Q6" i="5" s="1"/>
  <c r="J6" i="5"/>
  <c r="L6" i="5"/>
  <c r="AG5" i="5"/>
  <c r="J403" i="2" l="1"/>
  <c r="K402" i="2"/>
  <c r="Y402" i="5" s="1"/>
  <c r="X402" i="5"/>
  <c r="J312" i="2"/>
  <c r="K311" i="2"/>
  <c r="Y311" i="5" s="1"/>
  <c r="X311" i="5"/>
  <c r="J248" i="2"/>
  <c r="K247" i="2"/>
  <c r="Y247" i="5" s="1"/>
  <c r="X247" i="5"/>
  <c r="K221" i="2"/>
  <c r="Y221" i="5" s="1"/>
  <c r="J222" i="2"/>
  <c r="X221" i="5"/>
  <c r="K190" i="2"/>
  <c r="Y190" i="5" s="1"/>
  <c r="J191" i="2"/>
  <c r="X190" i="5"/>
  <c r="K139" i="2"/>
  <c r="Y139" i="5" s="1"/>
  <c r="J140" i="2"/>
  <c r="X139" i="5"/>
  <c r="J116" i="2"/>
  <c r="K115" i="2"/>
  <c r="Y115" i="5" s="1"/>
  <c r="X115" i="5"/>
  <c r="J80" i="2"/>
  <c r="K79" i="2"/>
  <c r="Y79" i="5" s="1"/>
  <c r="X79" i="5"/>
  <c r="N6" i="5"/>
  <c r="P6" i="5" s="1"/>
  <c r="S6" i="5"/>
  <c r="U6" i="5"/>
  <c r="J404" i="2" l="1"/>
  <c r="K403" i="2"/>
  <c r="Y403" i="5" s="1"/>
  <c r="X403" i="5"/>
  <c r="J313" i="2"/>
  <c r="K312" i="2"/>
  <c r="Y312" i="5" s="1"/>
  <c r="X312" i="5"/>
  <c r="J249" i="2"/>
  <c r="K248" i="2"/>
  <c r="Y248" i="5" s="1"/>
  <c r="X248" i="5"/>
  <c r="K222" i="2"/>
  <c r="Y222" i="5" s="1"/>
  <c r="J223" i="2"/>
  <c r="X222" i="5"/>
  <c r="J192" i="2"/>
  <c r="K191" i="2"/>
  <c r="Y191" i="5" s="1"/>
  <c r="X191" i="5"/>
  <c r="J141" i="2"/>
  <c r="K140" i="2"/>
  <c r="Y140" i="5" s="1"/>
  <c r="X140" i="5"/>
  <c r="J117" i="2"/>
  <c r="K116" i="2"/>
  <c r="Y116" i="5" s="1"/>
  <c r="X116" i="5"/>
  <c r="J81" i="2"/>
  <c r="K80" i="2"/>
  <c r="Y80" i="5" s="1"/>
  <c r="X80" i="5"/>
  <c r="M6" i="2"/>
  <c r="R6" i="5"/>
  <c r="T6" i="5"/>
  <c r="J405" i="2" l="1"/>
  <c r="K404" i="2"/>
  <c r="Y404" i="5" s="1"/>
  <c r="X404" i="5"/>
  <c r="J314" i="2"/>
  <c r="K313" i="2"/>
  <c r="Y313" i="5" s="1"/>
  <c r="X313" i="5"/>
  <c r="J250" i="2"/>
  <c r="K249" i="2"/>
  <c r="Y249" i="5" s="1"/>
  <c r="X249" i="5"/>
  <c r="J224" i="2"/>
  <c r="K223" i="2"/>
  <c r="Y223" i="5" s="1"/>
  <c r="X223" i="5"/>
  <c r="J193" i="2"/>
  <c r="K192" i="2"/>
  <c r="Y192" i="5" s="1"/>
  <c r="X192" i="5"/>
  <c r="K141" i="2"/>
  <c r="Y141" i="5" s="1"/>
  <c r="J142" i="2"/>
  <c r="X141" i="5"/>
  <c r="J118" i="2"/>
  <c r="K117" i="2"/>
  <c r="Y117" i="5" s="1"/>
  <c r="X117" i="5"/>
  <c r="J82" i="2"/>
  <c r="K81" i="2"/>
  <c r="Y81" i="5" s="1"/>
  <c r="X81" i="5"/>
  <c r="L6" i="2"/>
  <c r="N6" i="2" s="1"/>
  <c r="O6" i="2" s="1"/>
  <c r="V6" i="5"/>
  <c r="J406" i="2" l="1"/>
  <c r="K405" i="2"/>
  <c r="Y405" i="5" s="1"/>
  <c r="X405" i="5"/>
  <c r="J315" i="2"/>
  <c r="K314" i="2"/>
  <c r="Y314" i="5" s="1"/>
  <c r="X314" i="5"/>
  <c r="J251" i="2"/>
  <c r="K250" i="2"/>
  <c r="Y250" i="5" s="1"/>
  <c r="X250" i="5"/>
  <c r="J225" i="2"/>
  <c r="K224" i="2"/>
  <c r="Y224" i="5" s="1"/>
  <c r="X224" i="5"/>
  <c r="K193" i="2"/>
  <c r="Y193" i="5" s="1"/>
  <c r="J194" i="2"/>
  <c r="X193" i="5"/>
  <c r="K142" i="2"/>
  <c r="Y142" i="5" s="1"/>
  <c r="J143" i="2"/>
  <c r="X142" i="5"/>
  <c r="J119" i="2"/>
  <c r="K118" i="2"/>
  <c r="Y118" i="5" s="1"/>
  <c r="X118" i="5"/>
  <c r="J83" i="2"/>
  <c r="K82" i="2"/>
  <c r="Y82" i="5" s="1"/>
  <c r="X82" i="5"/>
  <c r="P6" i="2"/>
  <c r="AA6" i="5" s="1"/>
  <c r="Q6" i="2"/>
  <c r="AB6" i="5" s="1"/>
  <c r="R6" i="2"/>
  <c r="S6" i="2"/>
  <c r="U6" i="2"/>
  <c r="Z6" i="5"/>
  <c r="K406" i="2" l="1"/>
  <c r="Y406" i="5" s="1"/>
  <c r="J407" i="2"/>
  <c r="X406" i="5"/>
  <c r="J316" i="2"/>
  <c r="K315" i="2"/>
  <c r="Y315" i="5" s="1"/>
  <c r="X315" i="5"/>
  <c r="J252" i="2"/>
  <c r="K251" i="2"/>
  <c r="Y251" i="5" s="1"/>
  <c r="X251" i="5"/>
  <c r="K225" i="2"/>
  <c r="Y225" i="5" s="1"/>
  <c r="X225" i="5"/>
  <c r="K194" i="2"/>
  <c r="Y194" i="5" s="1"/>
  <c r="J195" i="2"/>
  <c r="X194" i="5"/>
  <c r="J144" i="2"/>
  <c r="K143" i="2"/>
  <c r="Y143" i="5" s="1"/>
  <c r="X143" i="5"/>
  <c r="J120" i="2"/>
  <c r="K119" i="2"/>
  <c r="Y119" i="5" s="1"/>
  <c r="X119" i="5"/>
  <c r="J84" i="2"/>
  <c r="K83" i="2"/>
  <c r="Y83" i="5" s="1"/>
  <c r="X83" i="5"/>
  <c r="AC6" i="5"/>
  <c r="AD6" i="5"/>
  <c r="C7" i="5" s="1"/>
  <c r="E7" i="5" s="1"/>
  <c r="I7" i="5" s="1"/>
  <c r="T6" i="2"/>
  <c r="K407" i="2" l="1"/>
  <c r="Y407" i="5" s="1"/>
  <c r="J408" i="2"/>
  <c r="X407" i="5"/>
  <c r="J317" i="2"/>
  <c r="K316" i="2"/>
  <c r="Y316" i="5" s="1"/>
  <c r="X316" i="5"/>
  <c r="J253" i="2"/>
  <c r="K252" i="2"/>
  <c r="Y252" i="5" s="1"/>
  <c r="X252" i="5"/>
  <c r="J196" i="2"/>
  <c r="K195" i="2"/>
  <c r="Y195" i="5" s="1"/>
  <c r="X195" i="5"/>
  <c r="J145" i="2"/>
  <c r="K144" i="2"/>
  <c r="Y144" i="5" s="1"/>
  <c r="X144" i="5"/>
  <c r="J121" i="2"/>
  <c r="K120" i="2"/>
  <c r="Y120" i="5" s="1"/>
  <c r="X120" i="5"/>
  <c r="J85" i="2"/>
  <c r="K84" i="2"/>
  <c r="Y84" i="5" s="1"/>
  <c r="X84" i="5"/>
  <c r="B7" i="5"/>
  <c r="D7" i="5" s="1"/>
  <c r="H7" i="5" s="1"/>
  <c r="AE6" i="5"/>
  <c r="AF6" i="5" s="1"/>
  <c r="M7" i="5"/>
  <c r="K7" i="5"/>
  <c r="K408" i="2" l="1"/>
  <c r="Y408" i="5" s="1"/>
  <c r="J409" i="2"/>
  <c r="X408" i="5"/>
  <c r="J318" i="2"/>
  <c r="K317" i="2"/>
  <c r="Y317" i="5" s="1"/>
  <c r="X317" i="5"/>
  <c r="J254" i="2"/>
  <c r="K253" i="2"/>
  <c r="Y253" i="5" s="1"/>
  <c r="X253" i="5"/>
  <c r="J197" i="2"/>
  <c r="K196" i="2"/>
  <c r="Y196" i="5" s="1"/>
  <c r="X196" i="5"/>
  <c r="K145" i="2"/>
  <c r="Y145" i="5" s="1"/>
  <c r="J146" i="2"/>
  <c r="X145" i="5"/>
  <c r="J122" i="2"/>
  <c r="K121" i="2"/>
  <c r="Y121" i="5" s="1"/>
  <c r="X121" i="5"/>
  <c r="J86" i="2"/>
  <c r="K85" i="2"/>
  <c r="Y85" i="5" s="1"/>
  <c r="X85" i="5"/>
  <c r="J7" i="5"/>
  <c r="L7" i="5"/>
  <c r="AG6" i="5"/>
  <c r="O7" i="5"/>
  <c r="Q7" i="5" s="1"/>
  <c r="K409" i="2" l="1"/>
  <c r="Y409" i="5" s="1"/>
  <c r="J410" i="2"/>
  <c r="X409" i="5"/>
  <c r="J319" i="2"/>
  <c r="K318" i="2"/>
  <c r="Y318" i="5" s="1"/>
  <c r="X318" i="5"/>
  <c r="J255" i="2"/>
  <c r="K254" i="2"/>
  <c r="Y254" i="5" s="1"/>
  <c r="X254" i="5"/>
  <c r="J198" i="2"/>
  <c r="K197" i="2"/>
  <c r="Y197" i="5" s="1"/>
  <c r="X197" i="5"/>
  <c r="J147" i="2"/>
  <c r="K146" i="2"/>
  <c r="Y146" i="5" s="1"/>
  <c r="X146" i="5"/>
  <c r="J123" i="2"/>
  <c r="K122" i="2"/>
  <c r="Y122" i="5" s="1"/>
  <c r="X122" i="5"/>
  <c r="J87" i="2"/>
  <c r="K86" i="2"/>
  <c r="Y86" i="5" s="1"/>
  <c r="X86" i="5"/>
  <c r="N7" i="5"/>
  <c r="P7" i="5" s="1"/>
  <c r="S7" i="5"/>
  <c r="U7" i="5"/>
  <c r="K410" i="2" l="1"/>
  <c r="Y410" i="5" s="1"/>
  <c r="J411" i="2"/>
  <c r="X410" i="5"/>
  <c r="J320" i="2"/>
  <c r="K319" i="2"/>
  <c r="Y319" i="5" s="1"/>
  <c r="X319" i="5"/>
  <c r="J256" i="2"/>
  <c r="K255" i="2"/>
  <c r="Y255" i="5" s="1"/>
  <c r="X255" i="5"/>
  <c r="J199" i="2"/>
  <c r="K198" i="2"/>
  <c r="Y198" i="5" s="1"/>
  <c r="X198" i="5"/>
  <c r="J148" i="2"/>
  <c r="K147" i="2"/>
  <c r="Y147" i="5" s="1"/>
  <c r="X147" i="5"/>
  <c r="J124" i="2"/>
  <c r="K123" i="2"/>
  <c r="Y123" i="5" s="1"/>
  <c r="X123" i="5"/>
  <c r="J88" i="2"/>
  <c r="K87" i="2"/>
  <c r="Y87" i="5" s="1"/>
  <c r="X87" i="5"/>
  <c r="M7" i="2"/>
  <c r="R7" i="5"/>
  <c r="T7" i="5"/>
  <c r="K411" i="2" l="1"/>
  <c r="Y411" i="5" s="1"/>
  <c r="J412" i="2"/>
  <c r="X411" i="5"/>
  <c r="K320" i="2"/>
  <c r="Y320" i="5" s="1"/>
  <c r="J321" i="2"/>
  <c r="X320" i="5"/>
  <c r="J257" i="2"/>
  <c r="K256" i="2"/>
  <c r="Y256" i="5" s="1"/>
  <c r="X256" i="5"/>
  <c r="K199" i="2"/>
  <c r="Y199" i="5" s="1"/>
  <c r="X199" i="5"/>
  <c r="K148" i="2"/>
  <c r="Y148" i="5" s="1"/>
  <c r="J149" i="2"/>
  <c r="X148" i="5"/>
  <c r="K124" i="2"/>
  <c r="Y124" i="5" s="1"/>
  <c r="J125" i="2"/>
  <c r="X124" i="5"/>
  <c r="J89" i="2"/>
  <c r="K88" i="2"/>
  <c r="Y88" i="5" s="1"/>
  <c r="X88" i="5"/>
  <c r="L7" i="2"/>
  <c r="N7" i="2" s="1"/>
  <c r="O7" i="2" s="1"/>
  <c r="V7" i="5"/>
  <c r="J413" i="2" l="1"/>
  <c r="K412" i="2"/>
  <c r="Y412" i="5" s="1"/>
  <c r="X412" i="5"/>
  <c r="J322" i="2"/>
  <c r="K321" i="2"/>
  <c r="Y321" i="5" s="1"/>
  <c r="X321" i="5"/>
  <c r="J258" i="2"/>
  <c r="K257" i="2"/>
  <c r="Y257" i="5" s="1"/>
  <c r="X257" i="5"/>
  <c r="J150" i="2"/>
  <c r="K149" i="2"/>
  <c r="Y149" i="5" s="1"/>
  <c r="X149" i="5"/>
  <c r="K125" i="2"/>
  <c r="Y125" i="5" s="1"/>
  <c r="X125" i="5"/>
  <c r="J90" i="2"/>
  <c r="K89" i="2"/>
  <c r="Y89" i="5" s="1"/>
  <c r="X89" i="5"/>
  <c r="P7" i="2"/>
  <c r="AA7" i="5" s="1"/>
  <c r="Q7" i="2"/>
  <c r="AB7" i="5" s="1"/>
  <c r="R7" i="2"/>
  <c r="S7" i="2"/>
  <c r="U7" i="2"/>
  <c r="Z7" i="5"/>
  <c r="J414" i="2" l="1"/>
  <c r="K413" i="2"/>
  <c r="Y413" i="5" s="1"/>
  <c r="X413" i="5"/>
  <c r="K322" i="2"/>
  <c r="Y322" i="5" s="1"/>
  <c r="J323" i="2"/>
  <c r="X322" i="5"/>
  <c r="J259" i="2"/>
  <c r="K258" i="2"/>
  <c r="Y258" i="5" s="1"/>
  <c r="X258" i="5"/>
  <c r="J151" i="2"/>
  <c r="K150" i="2"/>
  <c r="Y150" i="5" s="1"/>
  <c r="X150" i="5"/>
  <c r="J91" i="2"/>
  <c r="K90" i="2"/>
  <c r="Y90" i="5" s="1"/>
  <c r="X90" i="5"/>
  <c r="AC7" i="5"/>
  <c r="AD7" i="5"/>
  <c r="C8" i="5" s="1"/>
  <c r="E8" i="5" s="1"/>
  <c r="I8" i="5" s="1"/>
  <c r="T7" i="2"/>
  <c r="K414" i="2" l="1"/>
  <c r="Y414" i="5" s="1"/>
  <c r="X414" i="5"/>
  <c r="K323" i="2"/>
  <c r="Y323" i="5" s="1"/>
  <c r="X323" i="5"/>
  <c r="J260" i="2"/>
  <c r="K259" i="2"/>
  <c r="Y259" i="5" s="1"/>
  <c r="X259" i="5"/>
  <c r="K151" i="2"/>
  <c r="Y151" i="5" s="1"/>
  <c r="J152" i="2"/>
  <c r="X151" i="5"/>
  <c r="J92" i="2"/>
  <c r="K91" i="2"/>
  <c r="Y91" i="5" s="1"/>
  <c r="X91" i="5"/>
  <c r="B8" i="5"/>
  <c r="D8" i="5" s="1"/>
  <c r="H8" i="5" s="1"/>
  <c r="AE7" i="5"/>
  <c r="AF7" i="5" s="1"/>
  <c r="M8" i="5"/>
  <c r="K8" i="5"/>
  <c r="J261" i="2" l="1"/>
  <c r="K260" i="2"/>
  <c r="Y260" i="5" s="1"/>
  <c r="X260" i="5"/>
  <c r="J153" i="2"/>
  <c r="K152" i="2"/>
  <c r="Y152" i="5" s="1"/>
  <c r="X152" i="5"/>
  <c r="J93" i="2"/>
  <c r="K92" i="2"/>
  <c r="Y92" i="5" s="1"/>
  <c r="X92" i="5"/>
  <c r="J8" i="5"/>
  <c r="L8" i="5"/>
  <c r="AG7" i="5"/>
  <c r="O8" i="5"/>
  <c r="Q8" i="5" s="1"/>
  <c r="J262" i="2" l="1"/>
  <c r="K261" i="2"/>
  <c r="Y261" i="5" s="1"/>
  <c r="X261" i="5"/>
  <c r="K153" i="2"/>
  <c r="Y153" i="5" s="1"/>
  <c r="J154" i="2"/>
  <c r="X153" i="5"/>
  <c r="J94" i="2"/>
  <c r="K93" i="2"/>
  <c r="Y93" i="5" s="1"/>
  <c r="X93" i="5"/>
  <c r="N8" i="5"/>
  <c r="P8" i="5" s="1"/>
  <c r="S8" i="5"/>
  <c r="U8" i="5"/>
  <c r="J263" i="2" l="1"/>
  <c r="K262" i="2"/>
  <c r="Y262" i="5" s="1"/>
  <c r="X262" i="5"/>
  <c r="J155" i="2"/>
  <c r="K154" i="2"/>
  <c r="Y154" i="5" s="1"/>
  <c r="X154" i="5"/>
  <c r="J95" i="2"/>
  <c r="K94" i="2"/>
  <c r="Y94" i="5" s="1"/>
  <c r="X94" i="5"/>
  <c r="M8" i="2"/>
  <c r="R8" i="5"/>
  <c r="T8" i="5"/>
  <c r="J264" i="2" l="1"/>
  <c r="K263" i="2"/>
  <c r="Y263" i="5" s="1"/>
  <c r="X263" i="5"/>
  <c r="J156" i="2"/>
  <c r="K155" i="2"/>
  <c r="Y155" i="5" s="1"/>
  <c r="X155" i="5"/>
  <c r="J96" i="2"/>
  <c r="K95" i="2"/>
  <c r="Y95" i="5" s="1"/>
  <c r="X95" i="5"/>
  <c r="L8" i="2"/>
  <c r="N8" i="2" s="1"/>
  <c r="O8" i="2" s="1"/>
  <c r="V8" i="5"/>
  <c r="J265" i="2" l="1"/>
  <c r="K264" i="2"/>
  <c r="Y264" i="5" s="1"/>
  <c r="X264" i="5"/>
  <c r="J157" i="2"/>
  <c r="K156" i="2"/>
  <c r="Y156" i="5" s="1"/>
  <c r="X156" i="5"/>
  <c r="J97" i="2"/>
  <c r="K96" i="2"/>
  <c r="Y96" i="5" s="1"/>
  <c r="X96" i="5"/>
  <c r="P8" i="2"/>
  <c r="AA8" i="5" s="1"/>
  <c r="Q8" i="2"/>
  <c r="AB8" i="5" s="1"/>
  <c r="R8" i="2"/>
  <c r="S8" i="2"/>
  <c r="U8" i="2"/>
  <c r="Z8" i="5"/>
  <c r="J266" i="2" l="1"/>
  <c r="K265" i="2"/>
  <c r="Y265" i="5" s="1"/>
  <c r="X265" i="5"/>
  <c r="K157" i="2"/>
  <c r="Y157" i="5" s="1"/>
  <c r="J158" i="2"/>
  <c r="X157" i="5"/>
  <c r="J98" i="2"/>
  <c r="K97" i="2"/>
  <c r="Y97" i="5" s="1"/>
  <c r="X97" i="5"/>
  <c r="AC8" i="5"/>
  <c r="AD8" i="5"/>
  <c r="C9" i="5" s="1"/>
  <c r="E9" i="5" s="1"/>
  <c r="I9" i="5" s="1"/>
  <c r="T8" i="2"/>
  <c r="J267" i="2" l="1"/>
  <c r="K266" i="2"/>
  <c r="Y266" i="5" s="1"/>
  <c r="X266" i="5"/>
  <c r="J159" i="2"/>
  <c r="K158" i="2"/>
  <c r="Y158" i="5" s="1"/>
  <c r="X158" i="5"/>
  <c r="J99" i="2"/>
  <c r="K98" i="2"/>
  <c r="Y98" i="5" s="1"/>
  <c r="X98" i="5"/>
  <c r="B9" i="5"/>
  <c r="D9" i="5" s="1"/>
  <c r="H9" i="5" s="1"/>
  <c r="AE8" i="5"/>
  <c r="AF8" i="5" s="1"/>
  <c r="M9" i="5"/>
  <c r="K9" i="5"/>
  <c r="J268" i="2" l="1"/>
  <c r="K267" i="2"/>
  <c r="Y267" i="5" s="1"/>
  <c r="X267" i="5"/>
  <c r="J160" i="2"/>
  <c r="K159" i="2"/>
  <c r="Y159" i="5" s="1"/>
  <c r="X159" i="5"/>
  <c r="J100" i="2"/>
  <c r="K99" i="2"/>
  <c r="Y99" i="5" s="1"/>
  <c r="X99" i="5"/>
  <c r="J9" i="5"/>
  <c r="L9" i="5"/>
  <c r="AG8" i="5"/>
  <c r="O9" i="5"/>
  <c r="Q9" i="5" s="1"/>
  <c r="J269" i="2" l="1"/>
  <c r="K268" i="2"/>
  <c r="Y268" i="5" s="1"/>
  <c r="X268" i="5"/>
  <c r="J161" i="2"/>
  <c r="K160" i="2"/>
  <c r="Y160" i="5" s="1"/>
  <c r="X160" i="5"/>
  <c r="K100" i="2"/>
  <c r="Y100" i="5" s="1"/>
  <c r="J101" i="2"/>
  <c r="X100" i="5"/>
  <c r="N9" i="5"/>
  <c r="P9" i="5" s="1"/>
  <c r="S9" i="5"/>
  <c r="U9" i="5"/>
  <c r="J270" i="2" l="1"/>
  <c r="K269" i="2"/>
  <c r="Y269" i="5" s="1"/>
  <c r="X269" i="5"/>
  <c r="K161" i="2"/>
  <c r="Y161" i="5" s="1"/>
  <c r="J162" i="2"/>
  <c r="X161" i="5"/>
  <c r="K101" i="2"/>
  <c r="Y101" i="5" s="1"/>
  <c r="X101" i="5"/>
  <c r="M9" i="2"/>
  <c r="R9" i="5"/>
  <c r="T9" i="5"/>
  <c r="J271" i="2" l="1"/>
  <c r="K270" i="2"/>
  <c r="Y270" i="5" s="1"/>
  <c r="X270" i="5"/>
  <c r="J163" i="2"/>
  <c r="K162" i="2"/>
  <c r="Y162" i="5" s="1"/>
  <c r="X162" i="5"/>
  <c r="L9" i="2"/>
  <c r="N9" i="2" s="1"/>
  <c r="O9" i="2" s="1"/>
  <c r="V9" i="5"/>
  <c r="J272" i="2" l="1"/>
  <c r="K271" i="2"/>
  <c r="Y271" i="5" s="1"/>
  <c r="X271" i="5"/>
  <c r="K163" i="2"/>
  <c r="Y163" i="5" s="1"/>
  <c r="J164" i="2"/>
  <c r="X163" i="5"/>
  <c r="P9" i="2"/>
  <c r="AA9" i="5" s="1"/>
  <c r="Q9" i="2"/>
  <c r="AB9" i="5" s="1"/>
  <c r="R9" i="2"/>
  <c r="S9" i="2"/>
  <c r="U9" i="2"/>
  <c r="Z9" i="5"/>
  <c r="J273" i="2" l="1"/>
  <c r="K272" i="2"/>
  <c r="Y272" i="5" s="1"/>
  <c r="X272" i="5"/>
  <c r="J165" i="2"/>
  <c r="K164" i="2"/>
  <c r="Y164" i="5" s="1"/>
  <c r="X164" i="5"/>
  <c r="AC9" i="5"/>
  <c r="AD9" i="5"/>
  <c r="C10" i="5" s="1"/>
  <c r="E10" i="5" s="1"/>
  <c r="I10" i="5" s="1"/>
  <c r="T9" i="2"/>
  <c r="J274" i="2" l="1"/>
  <c r="K273" i="2"/>
  <c r="Y273" i="5" s="1"/>
  <c r="X273" i="5"/>
  <c r="J166" i="2"/>
  <c r="K165" i="2"/>
  <c r="Y165" i="5" s="1"/>
  <c r="X165" i="5"/>
  <c r="B10" i="5"/>
  <c r="D10" i="5" s="1"/>
  <c r="H10" i="5" s="1"/>
  <c r="AE9" i="5"/>
  <c r="AF9" i="5" s="1"/>
  <c r="M10" i="5"/>
  <c r="K10" i="5"/>
  <c r="K274" i="2" l="1"/>
  <c r="Y274" i="5" s="1"/>
  <c r="J275" i="2"/>
  <c r="X274" i="5"/>
  <c r="K166" i="2"/>
  <c r="Y166" i="5" s="1"/>
  <c r="J167" i="2"/>
  <c r="X166" i="5"/>
  <c r="J10" i="5"/>
  <c r="L10" i="5"/>
  <c r="AG9" i="5"/>
  <c r="O10" i="5"/>
  <c r="Q10" i="5" s="1"/>
  <c r="J276" i="2" l="1"/>
  <c r="K275" i="2"/>
  <c r="Y275" i="5" s="1"/>
  <c r="X275" i="5"/>
  <c r="J168" i="2"/>
  <c r="K167" i="2"/>
  <c r="Y167" i="5" s="1"/>
  <c r="X167" i="5"/>
  <c r="N10" i="5"/>
  <c r="P10" i="5" s="1"/>
  <c r="S10" i="5"/>
  <c r="U10" i="5"/>
  <c r="K276" i="2" l="1"/>
  <c r="Y276" i="5" s="1"/>
  <c r="J277" i="2"/>
  <c r="X276" i="5"/>
  <c r="J169" i="2"/>
  <c r="K168" i="2"/>
  <c r="Y168" i="5" s="1"/>
  <c r="X168" i="5"/>
  <c r="M10" i="2"/>
  <c r="R10" i="5"/>
  <c r="T10" i="5"/>
  <c r="K277" i="2" l="1"/>
  <c r="Y277" i="5" s="1"/>
  <c r="J278" i="2"/>
  <c r="X277" i="5"/>
  <c r="J170" i="2"/>
  <c r="K169" i="2"/>
  <c r="Y169" i="5" s="1"/>
  <c r="X169" i="5"/>
  <c r="L10" i="2"/>
  <c r="N10" i="2" s="1"/>
  <c r="O10" i="2" s="1"/>
  <c r="V10" i="5"/>
  <c r="K278" i="2" l="1"/>
  <c r="Y278" i="5" s="1"/>
  <c r="J279" i="2"/>
  <c r="X278" i="5"/>
  <c r="J171" i="2"/>
  <c r="K170" i="2"/>
  <c r="Y170" i="5" s="1"/>
  <c r="X170" i="5"/>
  <c r="P10" i="2"/>
  <c r="AA10" i="5" s="1"/>
  <c r="Q10" i="2"/>
  <c r="Z10" i="5"/>
  <c r="J280" i="2" l="1"/>
  <c r="K279" i="2"/>
  <c r="Y279" i="5" s="1"/>
  <c r="X279" i="5"/>
  <c r="J172" i="2"/>
  <c r="K171" i="2"/>
  <c r="Y171" i="5" s="1"/>
  <c r="X171" i="5"/>
  <c r="AC10" i="5"/>
  <c r="AD10" i="5"/>
  <c r="C11" i="5" s="1"/>
  <c r="E11" i="5" s="1"/>
  <c r="I11" i="5" s="1"/>
  <c r="AB10" i="5"/>
  <c r="R10" i="2"/>
  <c r="S10" i="2"/>
  <c r="U10" i="2"/>
  <c r="K280" i="2" l="1"/>
  <c r="Y280" i="5" s="1"/>
  <c r="J281" i="2"/>
  <c r="X280" i="5"/>
  <c r="K172" i="2"/>
  <c r="Y172" i="5" s="1"/>
  <c r="J173" i="2"/>
  <c r="X172" i="5"/>
  <c r="B11" i="5"/>
  <c r="D11" i="5" s="1"/>
  <c r="H11" i="5" s="1"/>
  <c r="AE10" i="5"/>
  <c r="AF10" i="5" s="1"/>
  <c r="M11" i="5"/>
  <c r="K11" i="5"/>
  <c r="T10" i="2"/>
  <c r="K281" i="2" l="1"/>
  <c r="Y281" i="5" s="1"/>
  <c r="J282" i="2"/>
  <c r="X281" i="5"/>
  <c r="K173" i="2"/>
  <c r="Y173" i="5" s="1"/>
  <c r="J174" i="2"/>
  <c r="X173" i="5"/>
  <c r="J11" i="5"/>
  <c r="L11" i="5"/>
  <c r="AG10" i="5"/>
  <c r="O11" i="5"/>
  <c r="Q11" i="5" s="1"/>
  <c r="K282" i="2" l="1"/>
  <c r="Y282" i="5" s="1"/>
  <c r="J283" i="2"/>
  <c r="X282" i="5"/>
  <c r="K174" i="2"/>
  <c r="Y174" i="5" s="1"/>
  <c r="J175" i="2"/>
  <c r="X174" i="5"/>
  <c r="N11" i="5"/>
  <c r="P11" i="5" s="1"/>
  <c r="S11" i="5"/>
  <c r="U11" i="5"/>
  <c r="J284" i="2" l="1"/>
  <c r="K283" i="2"/>
  <c r="Y283" i="5" s="1"/>
  <c r="X283" i="5"/>
  <c r="J176" i="2"/>
  <c r="K175" i="2"/>
  <c r="Y175" i="5" s="1"/>
  <c r="X175" i="5"/>
  <c r="M11" i="2"/>
  <c r="R11" i="5"/>
  <c r="T11" i="5"/>
  <c r="K284" i="2" l="1"/>
  <c r="Y284" i="5" s="1"/>
  <c r="J285" i="2"/>
  <c r="X284" i="5"/>
  <c r="K176" i="2"/>
  <c r="Y176" i="5" s="1"/>
  <c r="X176" i="5"/>
  <c r="L11" i="2"/>
  <c r="N11" i="2" s="1"/>
  <c r="O11" i="2" s="1"/>
  <c r="V11" i="5"/>
  <c r="J286" i="2" l="1"/>
  <c r="K285" i="2"/>
  <c r="Y285" i="5" s="1"/>
  <c r="X285" i="5"/>
  <c r="P11" i="2"/>
  <c r="Q11" i="2"/>
  <c r="AB11" i="5" s="1"/>
  <c r="R11" i="2"/>
  <c r="Z11" i="5"/>
  <c r="J287" i="2" l="1"/>
  <c r="K286" i="2"/>
  <c r="Y286" i="5" s="1"/>
  <c r="X286" i="5"/>
  <c r="AA11" i="5"/>
  <c r="S11" i="2"/>
  <c r="T11" i="2" s="1"/>
  <c r="U11" i="2"/>
  <c r="K287" i="2" l="1"/>
  <c r="Y287" i="5" s="1"/>
  <c r="J288" i="2"/>
  <c r="X287" i="5"/>
  <c r="AD11" i="5"/>
  <c r="C12" i="5" s="1"/>
  <c r="E12" i="5" s="1"/>
  <c r="I12" i="5" s="1"/>
  <c r="AC11" i="5"/>
  <c r="K288" i="2" l="1"/>
  <c r="Y288" i="5" s="1"/>
  <c r="J289" i="2"/>
  <c r="X288" i="5"/>
  <c r="M12" i="5"/>
  <c r="K12" i="5"/>
  <c r="B12" i="5"/>
  <c r="D12" i="5" s="1"/>
  <c r="H12" i="5" s="1"/>
  <c r="AE11" i="5"/>
  <c r="AF11" i="5" s="1"/>
  <c r="K289" i="2" l="1"/>
  <c r="Y289" i="5" s="1"/>
  <c r="X289" i="5"/>
  <c r="O12" i="5"/>
  <c r="Q12" i="5" s="1"/>
  <c r="J12" i="5"/>
  <c r="L12" i="5"/>
  <c r="AG11" i="5"/>
  <c r="N12" i="5" l="1"/>
  <c r="P12" i="5" s="1"/>
  <c r="S12" i="5"/>
  <c r="U12" i="5"/>
  <c r="M12" i="2" l="1"/>
  <c r="R12" i="5"/>
  <c r="T12" i="5"/>
  <c r="L12" i="2" l="1"/>
  <c r="N12" i="2" s="1"/>
  <c r="O12" i="2" s="1"/>
  <c r="V12" i="5"/>
  <c r="P12" i="2" l="1"/>
  <c r="Q12" i="2"/>
  <c r="AB12" i="5" s="1"/>
  <c r="Z12" i="5"/>
  <c r="AA12" i="5" l="1"/>
  <c r="R12" i="2"/>
  <c r="S12" i="2"/>
  <c r="U12" i="2"/>
  <c r="AD12" i="5" l="1"/>
  <c r="C13" i="5" s="1"/>
  <c r="E13" i="5" s="1"/>
  <c r="I13" i="5" s="1"/>
  <c r="AC12" i="5"/>
  <c r="T12" i="2"/>
  <c r="M13" i="5" l="1"/>
  <c r="K13" i="5"/>
  <c r="B13" i="5"/>
  <c r="D13" i="5" s="1"/>
  <c r="H13" i="5" s="1"/>
  <c r="AE12" i="5"/>
  <c r="AF12" i="5" s="1"/>
  <c r="O13" i="5" l="1"/>
  <c r="Q13" i="5" s="1"/>
  <c r="J13" i="5"/>
  <c r="L13" i="5"/>
  <c r="AG12" i="5"/>
  <c r="N13" i="5" l="1"/>
  <c r="P13" i="5" s="1"/>
  <c r="S13" i="5"/>
  <c r="U13" i="5"/>
  <c r="M13" i="2" l="1"/>
  <c r="R13" i="5"/>
  <c r="T13" i="5"/>
  <c r="L13" i="2" l="1"/>
  <c r="N13" i="2" s="1"/>
  <c r="O13" i="2" s="1"/>
  <c r="V13" i="5"/>
  <c r="P13" i="2" l="1"/>
  <c r="Q13" i="2"/>
  <c r="AB13" i="5" s="1"/>
  <c r="Z13" i="5"/>
  <c r="AA13" i="5" l="1"/>
  <c r="R13" i="2"/>
  <c r="S13" i="2"/>
  <c r="U13" i="2"/>
  <c r="AD13" i="5" l="1"/>
  <c r="C14" i="5" s="1"/>
  <c r="E14" i="5" s="1"/>
  <c r="I14" i="5" s="1"/>
  <c r="AC13" i="5"/>
  <c r="T13" i="2"/>
  <c r="K14" i="5" l="1"/>
  <c r="B14" i="5"/>
  <c r="D14" i="5" s="1"/>
  <c r="H14" i="5" s="1"/>
  <c r="M14" i="5" s="1"/>
  <c r="AE13" i="5"/>
  <c r="AF13" i="5" s="1"/>
  <c r="O14" i="5" l="1"/>
  <c r="Q14" i="5" s="1"/>
  <c r="J14" i="5"/>
  <c r="L14" i="5"/>
  <c r="AG13" i="5"/>
  <c r="N14" i="5" l="1"/>
  <c r="P14" i="5" s="1"/>
  <c r="S14" i="5"/>
  <c r="U14" i="5"/>
  <c r="M14" i="2" l="1"/>
  <c r="R14" i="5"/>
  <c r="T14" i="5"/>
  <c r="L14" i="2" l="1"/>
  <c r="N14" i="2" s="1"/>
  <c r="O14" i="2" s="1"/>
  <c r="V14" i="5"/>
  <c r="P14" i="2" l="1"/>
  <c r="Q14" i="2"/>
  <c r="AB14" i="5" s="1"/>
  <c r="Z14" i="5"/>
  <c r="AA14" i="5" l="1"/>
  <c r="R14" i="2"/>
  <c r="T14" i="2" s="1"/>
  <c r="S14" i="2"/>
  <c r="U14" i="2"/>
  <c r="AD14" i="5" l="1"/>
  <c r="C15" i="5" s="1"/>
  <c r="E15" i="5" s="1"/>
  <c r="I15" i="5" s="1"/>
  <c r="AC14" i="5"/>
  <c r="K15" i="5" l="1"/>
  <c r="B15" i="5"/>
  <c r="D15" i="5" s="1"/>
  <c r="H15" i="5" s="1"/>
  <c r="M15" i="5" s="1"/>
  <c r="AE14" i="5"/>
  <c r="AF14" i="5" s="1"/>
  <c r="O15" i="5" l="1"/>
  <c r="Q15" i="5" s="1"/>
  <c r="J15" i="5"/>
  <c r="L15" i="5"/>
  <c r="AG14" i="5"/>
  <c r="N15" i="5" l="1"/>
  <c r="P15" i="5" s="1"/>
  <c r="S15" i="5"/>
  <c r="U15" i="5"/>
  <c r="M15" i="2" l="1"/>
  <c r="R15" i="5"/>
  <c r="T15" i="5"/>
  <c r="L15" i="2" l="1"/>
  <c r="N15" i="2" s="1"/>
  <c r="O15" i="2" s="1"/>
  <c r="V15" i="5"/>
  <c r="P15" i="2" l="1"/>
  <c r="Q15" i="2"/>
  <c r="AB15" i="5" s="1"/>
  <c r="R15" i="2"/>
  <c r="Z15" i="5"/>
  <c r="AA15" i="5" l="1"/>
  <c r="S15" i="2"/>
  <c r="T15" i="2" s="1"/>
  <c r="U15" i="2"/>
  <c r="AD15" i="5" l="1"/>
  <c r="C16" i="5" s="1"/>
  <c r="E16" i="5" s="1"/>
  <c r="I16" i="5" s="1"/>
  <c r="AC15" i="5"/>
  <c r="K16" i="5" l="1"/>
  <c r="B16" i="5"/>
  <c r="D16" i="5" s="1"/>
  <c r="H16" i="5" s="1"/>
  <c r="M16" i="5" s="1"/>
  <c r="AE15" i="5"/>
  <c r="AF15" i="5" s="1"/>
  <c r="O16" i="5" l="1"/>
  <c r="Q16" i="5" s="1"/>
  <c r="J16" i="5"/>
  <c r="L16" i="5"/>
  <c r="AG15" i="5"/>
  <c r="N16" i="5" l="1"/>
  <c r="P16" i="5" s="1"/>
  <c r="S16" i="5"/>
  <c r="U16" i="5"/>
  <c r="M16" i="2" l="1"/>
  <c r="R16" i="5"/>
  <c r="T16" i="5"/>
  <c r="L16" i="2" l="1"/>
  <c r="N16" i="2" s="1"/>
  <c r="O16" i="2" s="1"/>
  <c r="V16" i="5"/>
  <c r="P16" i="2" l="1"/>
  <c r="Q16" i="2"/>
  <c r="AB16" i="5" s="1"/>
  <c r="Z16" i="5"/>
  <c r="AA16" i="5" l="1"/>
  <c r="R16" i="2"/>
  <c r="S16" i="2"/>
  <c r="U16" i="2"/>
  <c r="AD16" i="5" l="1"/>
  <c r="C17" i="5" s="1"/>
  <c r="E17" i="5" s="1"/>
  <c r="I17" i="5" s="1"/>
  <c r="AC16" i="5"/>
  <c r="T16" i="2"/>
  <c r="K17" i="5" l="1"/>
  <c r="B17" i="5"/>
  <c r="D17" i="5" s="1"/>
  <c r="H17" i="5" s="1"/>
  <c r="M17" i="5" s="1"/>
  <c r="AE16" i="5"/>
  <c r="AF16" i="5" s="1"/>
  <c r="O17" i="5" l="1"/>
  <c r="Q17" i="5" s="1"/>
  <c r="J17" i="5"/>
  <c r="L17" i="5"/>
  <c r="AG16" i="5"/>
  <c r="N17" i="5" l="1"/>
  <c r="P17" i="5" s="1"/>
  <c r="S17" i="5"/>
  <c r="U17" i="5"/>
  <c r="M17" i="2" l="1"/>
  <c r="R17" i="5"/>
  <c r="T17" i="5"/>
  <c r="L17" i="2" l="1"/>
  <c r="N17" i="2" s="1"/>
  <c r="O17" i="2" s="1"/>
  <c r="V17" i="5"/>
  <c r="P17" i="2" l="1"/>
  <c r="Q17" i="2"/>
  <c r="AB17" i="5" s="1"/>
  <c r="Z17" i="5"/>
  <c r="AA17" i="5" l="1"/>
  <c r="R17" i="2"/>
  <c r="T17" i="2" s="1"/>
  <c r="S17" i="2"/>
  <c r="U17" i="2"/>
  <c r="AD17" i="5" l="1"/>
  <c r="C18" i="5" s="1"/>
  <c r="E18" i="5" s="1"/>
  <c r="I18" i="5" s="1"/>
  <c r="AC17" i="5"/>
  <c r="K18" i="5" l="1"/>
  <c r="B18" i="5"/>
  <c r="D18" i="5" s="1"/>
  <c r="H18" i="5" s="1"/>
  <c r="M18" i="5" s="1"/>
  <c r="AE17" i="5"/>
  <c r="AF17" i="5" s="1"/>
  <c r="O18" i="5" l="1"/>
  <c r="Q18" i="5" s="1"/>
  <c r="J18" i="5"/>
  <c r="L18" i="5"/>
  <c r="AG17" i="5"/>
  <c r="N18" i="5" l="1"/>
  <c r="P18" i="5" s="1"/>
  <c r="S18" i="5"/>
  <c r="U18" i="5"/>
  <c r="M18" i="2" l="1"/>
  <c r="R18" i="5"/>
  <c r="T18" i="5"/>
  <c r="L18" i="2" l="1"/>
  <c r="N18" i="2" s="1"/>
  <c r="O18" i="2" s="1"/>
  <c r="V18" i="5"/>
  <c r="P18" i="2" l="1"/>
  <c r="Q18" i="2"/>
  <c r="AB18" i="5" s="1"/>
  <c r="Z18" i="5"/>
  <c r="AA18" i="5" l="1"/>
  <c r="R18" i="2"/>
  <c r="T18" i="2" s="1"/>
  <c r="S18" i="2"/>
  <c r="U18" i="2"/>
  <c r="AD18" i="5" l="1"/>
  <c r="C19" i="5" s="1"/>
  <c r="E19" i="5" s="1"/>
  <c r="I19" i="5" s="1"/>
  <c r="AC18" i="5"/>
  <c r="K19" i="5" l="1"/>
  <c r="B19" i="5"/>
  <c r="D19" i="5" s="1"/>
  <c r="H19" i="5" s="1"/>
  <c r="M19" i="5" s="1"/>
  <c r="AE18" i="5"/>
  <c r="AF18" i="5" s="1"/>
  <c r="O19" i="5" l="1"/>
  <c r="Q19" i="5" s="1"/>
  <c r="J19" i="5"/>
  <c r="L19" i="5"/>
  <c r="AG18" i="5"/>
  <c r="N19" i="5" l="1"/>
  <c r="P19" i="5" s="1"/>
  <c r="S19" i="5"/>
  <c r="U19" i="5"/>
  <c r="M19" i="2" l="1"/>
  <c r="R19" i="5"/>
  <c r="T19" i="5"/>
  <c r="V19" i="5" l="1"/>
  <c r="L19" i="2"/>
  <c r="N19" i="2" s="1"/>
  <c r="O19" i="2" s="1"/>
  <c r="P19" i="2" l="1"/>
  <c r="Q19" i="2"/>
  <c r="AB19" i="5" s="1"/>
  <c r="Z19" i="5"/>
  <c r="AA19" i="5" l="1"/>
  <c r="R19" i="2"/>
  <c r="S19" i="2"/>
  <c r="U19" i="2"/>
  <c r="AD19" i="5" l="1"/>
  <c r="C20" i="5" s="1"/>
  <c r="E20" i="5" s="1"/>
  <c r="I20" i="5" s="1"/>
  <c r="AC19" i="5"/>
  <c r="T19" i="2"/>
  <c r="K20" i="5" l="1"/>
  <c r="AE19" i="5"/>
  <c r="AF19" i="5" s="1"/>
  <c r="B20" i="5"/>
  <c r="D20" i="5" s="1"/>
  <c r="H20" i="5" s="1"/>
  <c r="M20" i="5" s="1"/>
  <c r="O20" i="5" l="1"/>
  <c r="Q20" i="5" s="1"/>
  <c r="AG19" i="5"/>
  <c r="J20" i="5"/>
  <c r="L20" i="5"/>
  <c r="N20" i="5" l="1"/>
  <c r="P20" i="5" s="1"/>
  <c r="S20" i="5"/>
  <c r="U20" i="5"/>
  <c r="M20" i="2" l="1"/>
  <c r="R20" i="5"/>
  <c r="T20" i="5"/>
  <c r="V20" i="5" l="1"/>
  <c r="L20" i="2"/>
  <c r="N20" i="2" s="1"/>
  <c r="O20" i="2" s="1"/>
  <c r="P20" i="2" l="1"/>
  <c r="Q20" i="2"/>
  <c r="AB20" i="5" s="1"/>
  <c r="Z20" i="5"/>
  <c r="AA20" i="5" l="1"/>
  <c r="R20" i="2"/>
  <c r="S20" i="2"/>
  <c r="U20" i="2"/>
  <c r="AD20" i="5" l="1"/>
  <c r="C21" i="5" s="1"/>
  <c r="E21" i="5" s="1"/>
  <c r="I21" i="5" s="1"/>
  <c r="AC20" i="5"/>
  <c r="T20" i="2"/>
  <c r="M21" i="5" l="1"/>
  <c r="K21" i="5"/>
  <c r="B21" i="5"/>
  <c r="D21" i="5" s="1"/>
  <c r="H21" i="5" s="1"/>
  <c r="AE20" i="5"/>
  <c r="AF20" i="5" s="1"/>
  <c r="O21" i="5" l="1"/>
  <c r="Q21" i="5" s="1"/>
  <c r="L21" i="5"/>
  <c r="J21" i="5"/>
  <c r="AG20" i="5"/>
  <c r="N21" i="5" l="1"/>
  <c r="P21" i="5" s="1"/>
  <c r="S21" i="5"/>
  <c r="U21" i="5"/>
  <c r="M21" i="2" l="1"/>
  <c r="R21" i="5"/>
  <c r="T21" i="5"/>
  <c r="L21" i="2" l="1"/>
  <c r="N21" i="2" s="1"/>
  <c r="O21" i="2" s="1"/>
  <c r="V21" i="5"/>
  <c r="P21" i="2" l="1"/>
  <c r="Q21" i="2"/>
  <c r="AB21" i="5" s="1"/>
  <c r="S21" i="2"/>
  <c r="Z21" i="5"/>
  <c r="AA21" i="5" l="1"/>
  <c r="R21" i="2"/>
  <c r="T21" i="2" s="1"/>
  <c r="U21" i="2"/>
  <c r="AD21" i="5" l="1"/>
  <c r="C22" i="5" s="1"/>
  <c r="E22" i="5" s="1"/>
  <c r="I22" i="5" s="1"/>
  <c r="AC21" i="5"/>
  <c r="K22" i="5" l="1"/>
  <c r="M22" i="5"/>
  <c r="B22" i="5"/>
  <c r="D22" i="5" s="1"/>
  <c r="H22" i="5" s="1"/>
  <c r="AE21" i="5"/>
  <c r="AF21" i="5" s="1"/>
  <c r="O22" i="5" l="1"/>
  <c r="Q22" i="5" s="1"/>
  <c r="L22" i="5"/>
  <c r="J22" i="5"/>
  <c r="AG21" i="5"/>
  <c r="N22" i="5" l="1"/>
  <c r="P22" i="5" s="1"/>
  <c r="S22" i="5"/>
  <c r="U22" i="5"/>
  <c r="M22" i="2" l="1"/>
  <c r="R22" i="5"/>
  <c r="T22" i="5"/>
  <c r="L22" i="2" l="1"/>
  <c r="N22" i="2" s="1"/>
  <c r="O22" i="2" s="1"/>
  <c r="V22" i="5"/>
  <c r="P22" i="2" l="1"/>
  <c r="Q22" i="2"/>
  <c r="AB22" i="5" s="1"/>
  <c r="Z22" i="5"/>
  <c r="AA22" i="5" l="1"/>
  <c r="R22" i="2"/>
  <c r="T22" i="2" s="1"/>
  <c r="S22" i="2"/>
  <c r="U22" i="2"/>
  <c r="AD22" i="5" l="1"/>
  <c r="C23" i="5" s="1"/>
  <c r="E23" i="5" s="1"/>
  <c r="I23" i="5" s="1"/>
  <c r="AC22" i="5"/>
  <c r="K23" i="5" l="1"/>
  <c r="AE22" i="5"/>
  <c r="AF22" i="5" s="1"/>
  <c r="B23" i="5"/>
  <c r="D23" i="5" s="1"/>
  <c r="H23" i="5" s="1"/>
  <c r="M23" i="5" s="1"/>
  <c r="O23" i="5" l="1"/>
  <c r="Q23" i="5" s="1"/>
  <c r="AG22" i="5"/>
  <c r="J23" i="5"/>
  <c r="L23" i="5"/>
  <c r="N23" i="5" l="1"/>
  <c r="P23" i="5" s="1"/>
  <c r="S23" i="5"/>
  <c r="U23" i="5"/>
  <c r="M23" i="2" l="1"/>
  <c r="R23" i="5"/>
  <c r="T23" i="5"/>
  <c r="V23" i="5" l="1"/>
  <c r="L23" i="2"/>
  <c r="N23" i="2" s="1"/>
  <c r="O23" i="2" s="1"/>
  <c r="P23" i="2" l="1"/>
  <c r="Q23" i="2"/>
  <c r="AB23" i="5" s="1"/>
  <c r="Z23" i="5"/>
  <c r="AA23" i="5" l="1"/>
  <c r="S23" i="2"/>
  <c r="U23" i="2"/>
  <c r="R23" i="2"/>
  <c r="T23" i="2" s="1"/>
  <c r="AD23" i="5" l="1"/>
  <c r="C24" i="5" s="1"/>
  <c r="E24" i="5" s="1"/>
  <c r="I24" i="5" s="1"/>
  <c r="AC23" i="5"/>
  <c r="K24" i="5" l="1"/>
  <c r="AE23" i="5"/>
  <c r="AF23" i="5" s="1"/>
  <c r="B24" i="5"/>
  <c r="D24" i="5" s="1"/>
  <c r="H24" i="5" s="1"/>
  <c r="M24" i="5" s="1"/>
  <c r="O24" i="5" l="1"/>
  <c r="Q24" i="5" s="1"/>
  <c r="AG23" i="5"/>
  <c r="L24" i="5"/>
  <c r="J24" i="5"/>
  <c r="N24" i="5" l="1"/>
  <c r="P24" i="5" s="1"/>
  <c r="S24" i="5"/>
  <c r="U24" i="5"/>
  <c r="M24" i="2" l="1"/>
  <c r="R24" i="5"/>
  <c r="T24" i="5"/>
  <c r="V24" i="5" l="1"/>
  <c r="L24" i="2"/>
  <c r="N24" i="2" s="1"/>
  <c r="O24" i="2" s="1"/>
  <c r="P24" i="2" l="1"/>
  <c r="AA24" i="5" s="1"/>
  <c r="Q24" i="2"/>
  <c r="AB24" i="5" s="1"/>
  <c r="R24" i="2"/>
  <c r="S24" i="2"/>
  <c r="U24" i="2"/>
  <c r="Z24" i="5"/>
  <c r="AC24" i="5" l="1"/>
  <c r="AD24" i="5"/>
  <c r="C25" i="5" s="1"/>
  <c r="E25" i="5" s="1"/>
  <c r="I25" i="5" s="1"/>
  <c r="T24" i="2"/>
  <c r="B25" i="5" l="1"/>
  <c r="D25" i="5" s="1"/>
  <c r="H25" i="5" s="1"/>
  <c r="M25" i="5" s="1"/>
  <c r="AE24" i="5"/>
  <c r="AF24" i="5" s="1"/>
  <c r="K25" i="5"/>
  <c r="L25" i="5" l="1"/>
  <c r="J25" i="5"/>
  <c r="AG24" i="5"/>
  <c r="O25" i="5"/>
  <c r="Q25" i="5" s="1"/>
  <c r="N25" i="5" l="1"/>
  <c r="P25" i="5" s="1"/>
  <c r="S25" i="5"/>
  <c r="U25" i="5"/>
  <c r="M25" i="2" l="1"/>
  <c r="R25" i="5"/>
  <c r="T25" i="5"/>
  <c r="L25" i="2" l="1"/>
  <c r="N25" i="2" s="1"/>
  <c r="O25" i="2" s="1"/>
  <c r="V25" i="5"/>
  <c r="P25" i="2" l="1"/>
  <c r="Q25" i="2"/>
  <c r="AB25" i="5" s="1"/>
  <c r="Z25" i="5"/>
  <c r="AA25" i="5" l="1"/>
  <c r="R25" i="2"/>
  <c r="T25" i="2" s="1"/>
  <c r="S25" i="2"/>
  <c r="U25" i="2"/>
  <c r="AD25" i="5" l="1"/>
  <c r="C26" i="5" s="1"/>
  <c r="E26" i="5" s="1"/>
  <c r="I26" i="5" s="1"/>
  <c r="AC25" i="5"/>
  <c r="K26" i="5" l="1"/>
  <c r="AE25" i="5"/>
  <c r="AF25" i="5" s="1"/>
  <c r="B26" i="5"/>
  <c r="D26" i="5" s="1"/>
  <c r="H26" i="5" s="1"/>
  <c r="M26" i="5" s="1"/>
  <c r="O26" i="5" l="1"/>
  <c r="Q26" i="5" s="1"/>
  <c r="AG25" i="5"/>
  <c r="J26" i="5"/>
  <c r="L26" i="5"/>
  <c r="N26" i="5" l="1"/>
  <c r="P26" i="5" s="1"/>
  <c r="S26" i="5"/>
  <c r="U26" i="5"/>
  <c r="M26" i="2" l="1"/>
  <c r="R26" i="5"/>
  <c r="T26" i="5"/>
  <c r="V26" i="5" l="1"/>
  <c r="L26" i="2"/>
  <c r="N26" i="2" s="1"/>
  <c r="O26" i="2" s="1"/>
  <c r="P26" i="2" l="1"/>
  <c r="Q26" i="2"/>
  <c r="AB26" i="5" s="1"/>
  <c r="R26" i="2"/>
  <c r="Z26" i="5"/>
  <c r="AA26" i="5" l="1"/>
  <c r="S26" i="2"/>
  <c r="T26" i="2" s="1"/>
  <c r="U26" i="2"/>
  <c r="AD26" i="5" l="1"/>
  <c r="C27" i="5" s="1"/>
  <c r="E27" i="5" s="1"/>
  <c r="I27" i="5" s="1"/>
  <c r="AC26" i="5"/>
  <c r="K27" i="5" l="1"/>
  <c r="AE26" i="5"/>
  <c r="AF26" i="5" s="1"/>
  <c r="B27" i="5"/>
  <c r="D27" i="5" s="1"/>
  <c r="H27" i="5" s="1"/>
  <c r="M27" i="5" s="1"/>
  <c r="O27" i="5" l="1"/>
  <c r="Q27" i="5" s="1"/>
  <c r="AG26" i="5"/>
  <c r="J27" i="5"/>
  <c r="L27" i="5"/>
  <c r="N27" i="5" l="1"/>
  <c r="P27" i="5" s="1"/>
  <c r="S27" i="5"/>
  <c r="U27" i="5"/>
  <c r="M27" i="2" l="1"/>
  <c r="R27" i="5"/>
  <c r="T27" i="5"/>
  <c r="L27" i="2" l="1"/>
  <c r="N27" i="2" s="1"/>
  <c r="O27" i="2" s="1"/>
  <c r="V27" i="5"/>
  <c r="P27" i="2" l="1"/>
  <c r="AA27" i="5" s="1"/>
  <c r="Q27" i="2"/>
  <c r="U27" i="2"/>
  <c r="Z27" i="5"/>
  <c r="AC27" i="5" l="1"/>
  <c r="AD27" i="5"/>
  <c r="C28" i="5" s="1"/>
  <c r="E28" i="5" s="1"/>
  <c r="I28" i="5" s="1"/>
  <c r="AB27" i="5"/>
  <c r="R27" i="2"/>
  <c r="S27" i="2"/>
  <c r="AE27" i="5" l="1"/>
  <c r="AF27" i="5" s="1"/>
  <c r="B28" i="5"/>
  <c r="D28" i="5" s="1"/>
  <c r="H28" i="5" s="1"/>
  <c r="M28" i="5" s="1"/>
  <c r="K28" i="5"/>
  <c r="T27" i="2"/>
  <c r="AG27" i="5" l="1"/>
  <c r="J28" i="5"/>
  <c r="L28" i="5"/>
  <c r="O28" i="5"/>
  <c r="Q28" i="5" s="1"/>
  <c r="N28" i="5" l="1"/>
  <c r="P28" i="5" s="1"/>
  <c r="S28" i="5"/>
  <c r="U28" i="5"/>
  <c r="M28" i="2" l="1"/>
  <c r="R28" i="5"/>
  <c r="T28" i="5"/>
  <c r="V28" i="5" l="1"/>
  <c r="L28" i="2"/>
  <c r="N28" i="2" s="1"/>
  <c r="O28" i="2" s="1"/>
  <c r="P28" i="2" l="1"/>
  <c r="Q28" i="2"/>
  <c r="AB28" i="5" s="1"/>
  <c r="Z28" i="5"/>
  <c r="AA28" i="5" l="1"/>
  <c r="R28" i="2"/>
  <c r="T28" i="2" s="1"/>
  <c r="S28" i="2"/>
  <c r="U28" i="2"/>
  <c r="AD28" i="5" l="1"/>
  <c r="C29" i="5" s="1"/>
  <c r="E29" i="5" s="1"/>
  <c r="I29" i="5" s="1"/>
  <c r="AC28" i="5"/>
  <c r="K29" i="5" l="1"/>
  <c r="M29" i="5"/>
  <c r="AE28" i="5"/>
  <c r="AF28" i="5" s="1"/>
  <c r="B29" i="5"/>
  <c r="D29" i="5" s="1"/>
  <c r="H29" i="5" s="1"/>
  <c r="O29" i="5" l="1"/>
  <c r="Q29" i="5" s="1"/>
  <c r="AG28" i="5"/>
  <c r="L29" i="5"/>
  <c r="J29" i="5"/>
  <c r="N29" i="5" l="1"/>
  <c r="P29" i="5" s="1"/>
  <c r="S29" i="5"/>
  <c r="U29" i="5"/>
  <c r="M29" i="2" l="1"/>
  <c r="R29" i="5"/>
  <c r="T29" i="5"/>
  <c r="V29" i="5" l="1"/>
  <c r="L29" i="2"/>
  <c r="N29" i="2" s="1"/>
  <c r="O29" i="2" s="1"/>
  <c r="P29" i="2" l="1"/>
  <c r="Q29" i="2"/>
  <c r="AB29" i="5" s="1"/>
  <c r="R29" i="2"/>
  <c r="Z29" i="5"/>
  <c r="AA29" i="5" l="1"/>
  <c r="S29" i="2"/>
  <c r="T29" i="2" s="1"/>
  <c r="U29" i="2"/>
  <c r="AD29" i="5" l="1"/>
  <c r="C30" i="5" s="1"/>
  <c r="E30" i="5" s="1"/>
  <c r="I30" i="5" s="1"/>
  <c r="AC29" i="5"/>
  <c r="K30" i="5" l="1"/>
  <c r="AE29" i="5"/>
  <c r="AF29" i="5" s="1"/>
  <c r="B30" i="5"/>
  <c r="D30" i="5" s="1"/>
  <c r="H30" i="5" s="1"/>
  <c r="M30" i="5" s="1"/>
  <c r="O30" i="5" l="1"/>
  <c r="Q30" i="5" s="1"/>
  <c r="AG29" i="5"/>
  <c r="J30" i="5"/>
  <c r="L30" i="5"/>
  <c r="N30" i="5" l="1"/>
  <c r="P30" i="5" s="1"/>
  <c r="S30" i="5"/>
  <c r="U30" i="5"/>
  <c r="M30" i="2" l="1"/>
  <c r="R30" i="5"/>
  <c r="T30" i="5"/>
  <c r="L30" i="2" l="1"/>
  <c r="N30" i="2" s="1"/>
  <c r="O30" i="2" s="1"/>
  <c r="V30" i="5"/>
  <c r="P30" i="2" l="1"/>
  <c r="Q30" i="2"/>
  <c r="AB30" i="5" s="1"/>
  <c r="Z30" i="5"/>
  <c r="AA30" i="5" l="1"/>
  <c r="R30" i="2"/>
  <c r="S30" i="2"/>
  <c r="U30" i="2"/>
  <c r="AD30" i="5" l="1"/>
  <c r="C31" i="5" s="1"/>
  <c r="E31" i="5" s="1"/>
  <c r="I31" i="5" s="1"/>
  <c r="AC30" i="5"/>
  <c r="T30" i="2"/>
  <c r="K31" i="5" l="1"/>
  <c r="AE30" i="5"/>
  <c r="AF30" i="5" s="1"/>
  <c r="B31" i="5"/>
  <c r="D31" i="5" s="1"/>
  <c r="H31" i="5" s="1"/>
  <c r="M31" i="5" s="1"/>
  <c r="O31" i="5" l="1"/>
  <c r="Q31" i="5" s="1"/>
  <c r="AG30" i="5"/>
  <c r="L31" i="5"/>
  <c r="J31" i="5"/>
  <c r="N31" i="5" l="1"/>
  <c r="P31" i="5" s="1"/>
  <c r="S31" i="5"/>
  <c r="U31" i="5"/>
  <c r="M31" i="2" l="1"/>
  <c r="R31" i="5"/>
  <c r="T31" i="5"/>
  <c r="L31" i="2" l="1"/>
  <c r="N31" i="2" s="1"/>
  <c r="O31" i="2" s="1"/>
  <c r="V31" i="5"/>
  <c r="P31" i="2" l="1"/>
  <c r="AA31" i="5" s="1"/>
  <c r="Q31" i="2"/>
  <c r="S31" i="2"/>
  <c r="U31" i="2"/>
  <c r="Z31" i="5"/>
  <c r="AC31" i="5" l="1"/>
  <c r="AD31" i="5"/>
  <c r="C32" i="5" s="1"/>
  <c r="E32" i="5" s="1"/>
  <c r="I32" i="5" s="1"/>
  <c r="AB31" i="5"/>
  <c r="R31" i="2"/>
  <c r="T31" i="2" s="1"/>
  <c r="B32" i="5" l="1"/>
  <c r="D32" i="5" s="1"/>
  <c r="H32" i="5" s="1"/>
  <c r="M32" i="5" s="1"/>
  <c r="AE31" i="5"/>
  <c r="AF31" i="5" s="1"/>
  <c r="K32" i="5"/>
  <c r="J32" i="5" l="1"/>
  <c r="L32" i="5"/>
  <c r="AG31" i="5"/>
  <c r="O32" i="5"/>
  <c r="Q32" i="5" s="1"/>
  <c r="N32" i="5" l="1"/>
  <c r="P32" i="5" s="1"/>
  <c r="S32" i="5"/>
  <c r="U32" i="5"/>
  <c r="M32" i="2" l="1"/>
  <c r="R32" i="5"/>
  <c r="T32" i="5"/>
  <c r="V32" i="5" l="1"/>
  <c r="L32" i="2"/>
  <c r="N32" i="2" s="1"/>
  <c r="O32" i="2" s="1"/>
  <c r="P32" i="2" l="1"/>
  <c r="Q32" i="2"/>
  <c r="AB32" i="5" s="1"/>
  <c r="Z32" i="5"/>
  <c r="AA32" i="5" l="1"/>
  <c r="R32" i="2"/>
  <c r="T32" i="2" s="1"/>
  <c r="S32" i="2"/>
  <c r="U32" i="2"/>
  <c r="AD32" i="5" l="1"/>
  <c r="C33" i="5" s="1"/>
  <c r="E33" i="5" s="1"/>
  <c r="I33" i="5" s="1"/>
  <c r="AC32" i="5"/>
  <c r="M33" i="5" l="1"/>
  <c r="K33" i="5"/>
  <c r="AE32" i="5"/>
  <c r="AF32" i="5" s="1"/>
  <c r="B33" i="5"/>
  <c r="D33" i="5" s="1"/>
  <c r="H33" i="5" s="1"/>
  <c r="O33" i="5" l="1"/>
  <c r="Q33" i="5" s="1"/>
  <c r="AG32" i="5"/>
  <c r="L33" i="5"/>
  <c r="J33" i="5"/>
  <c r="N33" i="5" l="1"/>
  <c r="P33" i="5" s="1"/>
  <c r="S33" i="5"/>
  <c r="U33" i="5"/>
  <c r="M33" i="2" l="1"/>
  <c r="R33" i="5"/>
  <c r="T33" i="5"/>
  <c r="L33" i="2" l="1"/>
  <c r="N33" i="2" s="1"/>
  <c r="O33" i="2" s="1"/>
  <c r="V33" i="5"/>
  <c r="P33" i="2" l="1"/>
  <c r="Q33" i="2"/>
  <c r="Z33" i="5"/>
  <c r="AA33" i="5" l="1"/>
  <c r="S33" i="2"/>
  <c r="U33" i="2"/>
  <c r="AB33" i="5"/>
  <c r="R33" i="2"/>
  <c r="AD33" i="5" l="1"/>
  <c r="C34" i="5" s="1"/>
  <c r="E34" i="5" s="1"/>
  <c r="I34" i="5" s="1"/>
  <c r="AC33" i="5"/>
  <c r="T33" i="2"/>
  <c r="K34" i="5" l="1"/>
  <c r="B34" i="5"/>
  <c r="D34" i="5" s="1"/>
  <c r="H34" i="5" s="1"/>
  <c r="M34" i="5" s="1"/>
  <c r="AE33" i="5"/>
  <c r="AF33" i="5" s="1"/>
  <c r="O34" i="5" l="1"/>
  <c r="Q34" i="5" s="1"/>
  <c r="L34" i="5"/>
  <c r="J34" i="5"/>
  <c r="AG33" i="5"/>
  <c r="N34" i="5" l="1"/>
  <c r="P34" i="5" s="1"/>
  <c r="S34" i="5"/>
  <c r="U34" i="5"/>
  <c r="M34" i="2" l="1"/>
  <c r="R34" i="5"/>
  <c r="T34" i="5"/>
  <c r="L34" i="2" l="1"/>
  <c r="N34" i="2" s="1"/>
  <c r="O34" i="2" s="1"/>
  <c r="V34" i="5"/>
  <c r="P34" i="2" l="1"/>
  <c r="Q34" i="2"/>
  <c r="AB34" i="5" s="1"/>
  <c r="Z34" i="5"/>
  <c r="AA34" i="5" l="1"/>
  <c r="R34" i="2"/>
  <c r="T34" i="2" s="1"/>
  <c r="S34" i="2"/>
  <c r="U34" i="2"/>
  <c r="AD34" i="5" l="1"/>
  <c r="C35" i="5" s="1"/>
  <c r="E35" i="5" s="1"/>
  <c r="I35" i="5" s="1"/>
  <c r="AC34" i="5"/>
  <c r="K35" i="5" l="1"/>
  <c r="B35" i="5"/>
  <c r="D35" i="5" s="1"/>
  <c r="H35" i="5" s="1"/>
  <c r="M35" i="5" s="1"/>
  <c r="AE34" i="5"/>
  <c r="AF34" i="5" s="1"/>
  <c r="O35" i="5" l="1"/>
  <c r="Q35" i="5" s="1"/>
  <c r="J35" i="5"/>
  <c r="L35" i="5"/>
  <c r="AG34" i="5"/>
  <c r="N35" i="5" l="1"/>
  <c r="P35" i="5" s="1"/>
  <c r="S35" i="5"/>
  <c r="U35" i="5"/>
  <c r="M35" i="2" l="1"/>
  <c r="R35" i="5"/>
  <c r="T35" i="5"/>
  <c r="L35" i="2" l="1"/>
  <c r="N35" i="2" s="1"/>
  <c r="O35" i="2" s="1"/>
  <c r="V35" i="5"/>
  <c r="P35" i="2" l="1"/>
  <c r="Q35" i="2"/>
  <c r="AB35" i="5" s="1"/>
  <c r="Z35" i="5"/>
  <c r="AA35" i="5" l="1"/>
  <c r="R35" i="2"/>
  <c r="S35" i="2"/>
  <c r="U35" i="2"/>
  <c r="AD35" i="5" l="1"/>
  <c r="C36" i="5" s="1"/>
  <c r="E36" i="5" s="1"/>
  <c r="I36" i="5" s="1"/>
  <c r="AC35" i="5"/>
  <c r="T35" i="2"/>
  <c r="K36" i="5" l="1"/>
  <c r="B36" i="5"/>
  <c r="D36" i="5" s="1"/>
  <c r="H36" i="5" s="1"/>
  <c r="M36" i="5" s="1"/>
  <c r="AE35" i="5"/>
  <c r="AF35" i="5" s="1"/>
  <c r="O36" i="5" l="1"/>
  <c r="Q36" i="5" s="1"/>
  <c r="L36" i="5"/>
  <c r="J36" i="5"/>
  <c r="AG35" i="5"/>
  <c r="N36" i="5" l="1"/>
  <c r="P36" i="5" s="1"/>
  <c r="S36" i="5"/>
  <c r="U36" i="5"/>
  <c r="M36" i="2" l="1"/>
  <c r="R36" i="5"/>
  <c r="T36" i="5"/>
  <c r="V36" i="5" l="1"/>
  <c r="L36" i="2"/>
  <c r="N36" i="2" s="1"/>
  <c r="O36" i="2" s="1"/>
  <c r="P36" i="2" l="1"/>
  <c r="Q36" i="2"/>
  <c r="AB36" i="5" s="1"/>
  <c r="R36" i="2"/>
  <c r="Z36" i="5"/>
  <c r="AA36" i="5" l="1"/>
  <c r="S36" i="2"/>
  <c r="T36" i="2" s="1"/>
  <c r="U36" i="2"/>
  <c r="AD36" i="5" l="1"/>
  <c r="C37" i="5" s="1"/>
  <c r="E37" i="5" s="1"/>
  <c r="I37" i="5" s="1"/>
  <c r="AC36" i="5"/>
  <c r="K37" i="5" l="1"/>
  <c r="B37" i="5"/>
  <c r="D37" i="5" s="1"/>
  <c r="H37" i="5" s="1"/>
  <c r="M37" i="5" s="1"/>
  <c r="AE36" i="5"/>
  <c r="AF36" i="5" s="1"/>
  <c r="O37" i="5" l="1"/>
  <c r="Q37" i="5" s="1"/>
  <c r="J37" i="5"/>
  <c r="L37" i="5"/>
  <c r="AG36" i="5"/>
  <c r="N37" i="5" l="1"/>
  <c r="P37" i="5" s="1"/>
  <c r="S37" i="5"/>
  <c r="U37" i="5"/>
  <c r="M37" i="2" l="1"/>
  <c r="R37" i="5"/>
  <c r="T37" i="5"/>
  <c r="L37" i="2" l="1"/>
  <c r="N37" i="2" s="1"/>
  <c r="O37" i="2" s="1"/>
  <c r="V37" i="5"/>
  <c r="P37" i="2" l="1"/>
  <c r="Q37" i="2"/>
  <c r="AB37" i="5" s="1"/>
  <c r="Z37" i="5"/>
  <c r="AA37" i="5" l="1"/>
  <c r="R37" i="2"/>
  <c r="S37" i="2"/>
  <c r="U37" i="2"/>
  <c r="AD37" i="5" l="1"/>
  <c r="C38" i="5" s="1"/>
  <c r="E38" i="5" s="1"/>
  <c r="I38" i="5" s="1"/>
  <c r="AC37" i="5"/>
  <c r="T37" i="2"/>
  <c r="M38" i="5" l="1"/>
  <c r="K38" i="5"/>
  <c r="AE37" i="5"/>
  <c r="AF37" i="5" s="1"/>
  <c r="B38" i="5"/>
  <c r="D38" i="5" s="1"/>
  <c r="H38" i="5" s="1"/>
  <c r="O38" i="5" l="1"/>
  <c r="Q38" i="5" s="1"/>
  <c r="AG37" i="5"/>
  <c r="L38" i="5"/>
  <c r="J38" i="5"/>
  <c r="N38" i="5" l="1"/>
  <c r="P38" i="5" s="1"/>
  <c r="S38" i="5"/>
  <c r="U38" i="5"/>
  <c r="M38" i="2" l="1"/>
  <c r="R38" i="5"/>
  <c r="T38" i="5"/>
  <c r="V38" i="5" l="1"/>
  <c r="L38" i="2"/>
  <c r="N38" i="2" s="1"/>
  <c r="O38" i="2" s="1"/>
  <c r="P38" i="2" l="1"/>
  <c r="Q38" i="2"/>
  <c r="AB38" i="5" s="1"/>
  <c r="R38" i="2"/>
  <c r="Z38" i="5"/>
  <c r="AA38" i="5" l="1"/>
  <c r="S38" i="2"/>
  <c r="T38" i="2" s="1"/>
  <c r="U38" i="2"/>
  <c r="AD38" i="5" l="1"/>
  <c r="C39" i="5" s="1"/>
  <c r="E39" i="5" s="1"/>
  <c r="I39" i="5" s="1"/>
  <c r="AC38" i="5"/>
  <c r="K39" i="5" l="1"/>
  <c r="B39" i="5"/>
  <c r="D39" i="5" s="1"/>
  <c r="H39" i="5" s="1"/>
  <c r="M39" i="5" s="1"/>
  <c r="AE38" i="5"/>
  <c r="AF38" i="5" s="1"/>
  <c r="O39" i="5" l="1"/>
  <c r="Q39" i="5" s="1"/>
  <c r="L39" i="5"/>
  <c r="J39" i="5"/>
  <c r="AG38" i="5"/>
  <c r="N39" i="5" l="1"/>
  <c r="P39" i="5" s="1"/>
  <c r="S39" i="5"/>
  <c r="U39" i="5"/>
  <c r="M39" i="2" l="1"/>
  <c r="R39" i="5"/>
  <c r="T39" i="5"/>
  <c r="V39" i="5" l="1"/>
  <c r="L39" i="2"/>
  <c r="N39" i="2" s="1"/>
  <c r="O39" i="2" s="1"/>
  <c r="P39" i="2" l="1"/>
  <c r="Q39" i="2"/>
  <c r="AB39" i="5" s="1"/>
  <c r="R39" i="2"/>
  <c r="Z39" i="5"/>
  <c r="AA39" i="5" l="1"/>
  <c r="S39" i="2"/>
  <c r="T39" i="2" s="1"/>
  <c r="U39" i="2"/>
  <c r="AD39" i="5" l="1"/>
  <c r="C40" i="5" s="1"/>
  <c r="E40" i="5" s="1"/>
  <c r="I40" i="5" s="1"/>
  <c r="AC39" i="5"/>
  <c r="K40" i="5" l="1"/>
  <c r="B40" i="5"/>
  <c r="D40" i="5" s="1"/>
  <c r="H40" i="5" s="1"/>
  <c r="M40" i="5" s="1"/>
  <c r="AE39" i="5"/>
  <c r="AF39" i="5" s="1"/>
  <c r="O40" i="5" l="1"/>
  <c r="Q40" i="5" s="1"/>
  <c r="J40" i="5"/>
  <c r="L40" i="5"/>
  <c r="AG39" i="5"/>
  <c r="N40" i="5" l="1"/>
  <c r="P40" i="5" s="1"/>
  <c r="S40" i="5"/>
  <c r="U40" i="5"/>
  <c r="M40" i="2" l="1"/>
  <c r="R40" i="5"/>
  <c r="T40" i="5"/>
  <c r="V40" i="5" l="1"/>
  <c r="L40" i="2"/>
  <c r="N40" i="2" s="1"/>
  <c r="O40" i="2" s="1"/>
  <c r="P40" i="2" l="1"/>
  <c r="Q40" i="2"/>
  <c r="AB40" i="5" s="1"/>
  <c r="R40" i="2"/>
  <c r="T40" i="2" s="1"/>
  <c r="S40" i="2"/>
  <c r="Z40" i="5"/>
  <c r="AA40" i="5" l="1"/>
  <c r="U40" i="2"/>
  <c r="AD40" i="5" l="1"/>
  <c r="C41" i="5" s="1"/>
  <c r="E41" i="5" s="1"/>
  <c r="I41" i="5" s="1"/>
  <c r="AC40" i="5"/>
  <c r="K41" i="5" l="1"/>
  <c r="AE40" i="5"/>
  <c r="AF40" i="5" s="1"/>
  <c r="B41" i="5"/>
  <c r="D41" i="5" s="1"/>
  <c r="H41" i="5" s="1"/>
  <c r="M41" i="5" s="1"/>
  <c r="O41" i="5" l="1"/>
  <c r="Q41" i="5" s="1"/>
  <c r="AG40" i="5"/>
  <c r="L41" i="5"/>
  <c r="J41" i="5"/>
  <c r="N41" i="5" l="1"/>
  <c r="P41" i="5" s="1"/>
  <c r="S41" i="5"/>
  <c r="U41" i="5"/>
  <c r="M41" i="2" l="1"/>
  <c r="R41" i="5"/>
  <c r="T41" i="5"/>
  <c r="V41" i="5" l="1"/>
  <c r="L41" i="2"/>
  <c r="N41" i="2" s="1"/>
  <c r="O41" i="2" s="1"/>
  <c r="P41" i="2" l="1"/>
  <c r="Q41" i="2"/>
  <c r="AB41" i="5" s="1"/>
  <c r="R41" i="2"/>
  <c r="Z41" i="5"/>
  <c r="AA41" i="5" l="1"/>
  <c r="S41" i="2"/>
  <c r="T41" i="2" s="1"/>
  <c r="U41" i="2"/>
  <c r="AD41" i="5" l="1"/>
  <c r="C42" i="5" s="1"/>
  <c r="E42" i="5" s="1"/>
  <c r="I42" i="5" s="1"/>
  <c r="AC41" i="5"/>
  <c r="M42" i="5" l="1"/>
  <c r="K42" i="5"/>
  <c r="B42" i="5"/>
  <c r="D42" i="5" s="1"/>
  <c r="H42" i="5" s="1"/>
  <c r="AE41" i="5"/>
  <c r="AF41" i="5" s="1"/>
  <c r="O42" i="5" l="1"/>
  <c r="Q42" i="5" s="1"/>
  <c r="J42" i="5"/>
  <c r="L42" i="5"/>
  <c r="AG41" i="5"/>
  <c r="N42" i="5" l="1"/>
  <c r="P42" i="5" s="1"/>
  <c r="S42" i="5"/>
  <c r="U42" i="5"/>
  <c r="M42" i="2" l="1"/>
  <c r="R42" i="5"/>
  <c r="T42" i="5"/>
  <c r="L42" i="2" l="1"/>
  <c r="N42" i="2" s="1"/>
  <c r="O42" i="2" s="1"/>
  <c r="V42" i="5"/>
  <c r="P42" i="2" l="1"/>
  <c r="Q42" i="2"/>
  <c r="AB42" i="5" s="1"/>
  <c r="Z42" i="5"/>
  <c r="AA42" i="5" l="1"/>
  <c r="R42" i="2"/>
  <c r="S42" i="2"/>
  <c r="U42" i="2"/>
  <c r="AD42" i="5" l="1"/>
  <c r="C43" i="5" s="1"/>
  <c r="E43" i="5" s="1"/>
  <c r="I43" i="5" s="1"/>
  <c r="AC42" i="5"/>
  <c r="T42" i="2"/>
  <c r="K43" i="5" l="1"/>
  <c r="AE42" i="5"/>
  <c r="AF42" i="5" s="1"/>
  <c r="B43" i="5"/>
  <c r="D43" i="5" s="1"/>
  <c r="H43" i="5" s="1"/>
  <c r="M43" i="5" s="1"/>
  <c r="O43" i="5" l="1"/>
  <c r="Q43" i="5" s="1"/>
  <c r="AG42" i="5"/>
  <c r="J43" i="5"/>
  <c r="L43" i="5"/>
  <c r="N43" i="5" l="1"/>
  <c r="P43" i="5" s="1"/>
  <c r="S43" i="5"/>
  <c r="U43" i="5"/>
  <c r="M43" i="2" l="1"/>
  <c r="R43" i="5"/>
  <c r="T43" i="5"/>
  <c r="V43" i="5" l="1"/>
  <c r="L43" i="2"/>
  <c r="N43" i="2" s="1"/>
  <c r="O43" i="2" s="1"/>
  <c r="P43" i="2" l="1"/>
  <c r="AA43" i="5" s="1"/>
  <c r="Q43" i="2"/>
  <c r="AB43" i="5" s="1"/>
  <c r="R43" i="2"/>
  <c r="S43" i="2"/>
  <c r="U43" i="2"/>
  <c r="Z43" i="5"/>
  <c r="AC43" i="5" l="1"/>
  <c r="AD43" i="5"/>
  <c r="C44" i="5" s="1"/>
  <c r="E44" i="5" s="1"/>
  <c r="I44" i="5" s="1"/>
  <c r="T43" i="2"/>
  <c r="B44" i="5" l="1"/>
  <c r="D44" i="5" s="1"/>
  <c r="H44" i="5" s="1"/>
  <c r="AE43" i="5"/>
  <c r="AF43" i="5" s="1"/>
  <c r="K44" i="5"/>
  <c r="M44" i="5"/>
  <c r="J44" i="5" l="1"/>
  <c r="L44" i="5"/>
  <c r="AG43" i="5"/>
  <c r="O44" i="5"/>
  <c r="Q44" i="5" s="1"/>
  <c r="N44" i="5" l="1"/>
  <c r="P44" i="5" s="1"/>
  <c r="S44" i="5"/>
  <c r="U44" i="5"/>
  <c r="M44" i="2" l="1"/>
  <c r="R44" i="5"/>
  <c r="T44" i="5"/>
  <c r="V44" i="5" l="1"/>
  <c r="L44" i="2"/>
  <c r="N44" i="2" s="1"/>
  <c r="O44" i="2" s="1"/>
  <c r="P44" i="2" l="1"/>
  <c r="Q44" i="2"/>
  <c r="Z44" i="5"/>
  <c r="AA44" i="5" l="1"/>
  <c r="S44" i="2"/>
  <c r="U44" i="2"/>
  <c r="AB44" i="5"/>
  <c r="R44" i="2"/>
  <c r="T44" i="2" s="1"/>
  <c r="AD44" i="5" l="1"/>
  <c r="C45" i="5" s="1"/>
  <c r="E45" i="5" s="1"/>
  <c r="I45" i="5" s="1"/>
  <c r="AC44" i="5"/>
  <c r="K45" i="5" l="1"/>
  <c r="B45" i="5"/>
  <c r="D45" i="5" s="1"/>
  <c r="H45" i="5" s="1"/>
  <c r="M45" i="5" s="1"/>
  <c r="AE44" i="5"/>
  <c r="AF44" i="5" s="1"/>
  <c r="O45" i="5" l="1"/>
  <c r="Q45" i="5" s="1"/>
  <c r="L45" i="5"/>
  <c r="J45" i="5"/>
  <c r="AG44" i="5"/>
  <c r="N45" i="5" l="1"/>
  <c r="P45" i="5" s="1"/>
  <c r="S45" i="5"/>
  <c r="U45" i="5"/>
  <c r="M45" i="2" l="1"/>
  <c r="R45" i="5"/>
  <c r="T45" i="5"/>
  <c r="V45" i="5" l="1"/>
  <c r="L45" i="2"/>
  <c r="N45" i="2" s="1"/>
  <c r="O45" i="2" s="1"/>
  <c r="P45" i="2" l="1"/>
  <c r="Q45" i="2"/>
  <c r="AB45" i="5" s="1"/>
  <c r="R45" i="2"/>
  <c r="T45" i="2" s="1"/>
  <c r="S45" i="2"/>
  <c r="Z45" i="5"/>
  <c r="AA45" i="5" l="1"/>
  <c r="U45" i="2"/>
  <c r="AD45" i="5" l="1"/>
  <c r="C46" i="5" s="1"/>
  <c r="E46" i="5" s="1"/>
  <c r="I46" i="5" s="1"/>
  <c r="AC45" i="5"/>
  <c r="K46" i="5" l="1"/>
  <c r="AE45" i="5"/>
  <c r="AF45" i="5" s="1"/>
  <c r="B46" i="5"/>
  <c r="D46" i="5" s="1"/>
  <c r="H46" i="5" s="1"/>
  <c r="M46" i="5" s="1"/>
  <c r="O46" i="5" l="1"/>
  <c r="Q46" i="5" s="1"/>
  <c r="AG45" i="5"/>
  <c r="L46" i="5"/>
  <c r="J46" i="5"/>
  <c r="N46" i="5" l="1"/>
  <c r="P46" i="5" s="1"/>
  <c r="S46" i="5"/>
  <c r="U46" i="5"/>
  <c r="M46" i="2" l="1"/>
  <c r="R46" i="5"/>
  <c r="T46" i="5"/>
  <c r="V46" i="5" l="1"/>
  <c r="L46" i="2"/>
  <c r="N46" i="2" s="1"/>
  <c r="O46" i="2" s="1"/>
  <c r="P46" i="2" l="1"/>
  <c r="Q46" i="2"/>
  <c r="AB46" i="5" s="1"/>
  <c r="Z46" i="5"/>
  <c r="AA46" i="5" l="1"/>
  <c r="R46" i="2"/>
  <c r="U46" i="2"/>
  <c r="S46" i="2"/>
  <c r="AD46" i="5" l="1"/>
  <c r="C47" i="5" s="1"/>
  <c r="E47" i="5" s="1"/>
  <c r="I47" i="5" s="1"/>
  <c r="AC46" i="5"/>
  <c r="T46" i="2"/>
  <c r="K47" i="5" l="1"/>
  <c r="B47" i="5"/>
  <c r="D47" i="5" s="1"/>
  <c r="H47" i="5" s="1"/>
  <c r="M47" i="5" s="1"/>
  <c r="AE46" i="5"/>
  <c r="AF46" i="5" s="1"/>
  <c r="O47" i="5" l="1"/>
  <c r="Q47" i="5" s="1"/>
  <c r="J47" i="5"/>
  <c r="L47" i="5"/>
  <c r="AG46" i="5"/>
  <c r="N47" i="5" l="1"/>
  <c r="P47" i="5" s="1"/>
  <c r="S47" i="5"/>
  <c r="U47" i="5"/>
  <c r="M47" i="2" l="1"/>
  <c r="R47" i="5"/>
  <c r="T47" i="5"/>
  <c r="L47" i="2" l="1"/>
  <c r="N47" i="2" s="1"/>
  <c r="O47" i="2" s="1"/>
  <c r="V47" i="5"/>
  <c r="P47" i="2" l="1"/>
  <c r="Q47" i="2"/>
  <c r="AB47" i="5" s="1"/>
  <c r="Z47" i="5"/>
  <c r="AA47" i="5" l="1"/>
  <c r="R47" i="2"/>
  <c r="T47" i="2" s="1"/>
  <c r="S47" i="2"/>
  <c r="U47" i="2"/>
  <c r="AD47" i="5" l="1"/>
  <c r="C48" i="5" s="1"/>
  <c r="E48" i="5" s="1"/>
  <c r="I48" i="5" s="1"/>
  <c r="AC47" i="5"/>
  <c r="K48" i="5" l="1"/>
  <c r="AE47" i="5"/>
  <c r="AF47" i="5" s="1"/>
  <c r="B48" i="5"/>
  <c r="D48" i="5" s="1"/>
  <c r="H48" i="5" s="1"/>
  <c r="M48" i="5" s="1"/>
  <c r="O48" i="5" l="1"/>
  <c r="Q48" i="5" s="1"/>
  <c r="AG47" i="5"/>
  <c r="L48" i="5"/>
  <c r="J48" i="5"/>
  <c r="N48" i="5" l="1"/>
  <c r="P48" i="5" s="1"/>
  <c r="S48" i="5"/>
  <c r="U48" i="5"/>
  <c r="M48" i="2" l="1"/>
  <c r="R48" i="5"/>
  <c r="T48" i="5"/>
  <c r="L48" i="2" l="1"/>
  <c r="N48" i="2" s="1"/>
  <c r="O48" i="2" s="1"/>
  <c r="V48" i="5"/>
  <c r="P48" i="2" l="1"/>
  <c r="AA48" i="5" s="1"/>
  <c r="Q48" i="2"/>
  <c r="S48" i="2"/>
  <c r="Z48" i="5"/>
  <c r="AC48" i="5" l="1"/>
  <c r="AD48" i="5"/>
  <c r="C49" i="5" s="1"/>
  <c r="E49" i="5" s="1"/>
  <c r="I49" i="5" s="1"/>
  <c r="AB48" i="5"/>
  <c r="R48" i="2"/>
  <c r="T48" i="2" s="1"/>
  <c r="U48" i="2"/>
  <c r="B49" i="5" l="1"/>
  <c r="D49" i="5" s="1"/>
  <c r="H49" i="5" s="1"/>
  <c r="M49" i="5" s="1"/>
  <c r="AE48" i="5"/>
  <c r="AF48" i="5" s="1"/>
  <c r="K49" i="5"/>
  <c r="J49" i="5" l="1"/>
  <c r="L49" i="5"/>
  <c r="AG48" i="5"/>
  <c r="O49" i="5"/>
  <c r="Q49" i="5" s="1"/>
  <c r="N49" i="5" l="1"/>
  <c r="P49" i="5" s="1"/>
  <c r="S49" i="5"/>
  <c r="U49" i="5"/>
  <c r="M49" i="2" l="1"/>
  <c r="R49" i="5"/>
  <c r="T49" i="5"/>
  <c r="V49" i="5" l="1"/>
  <c r="L49" i="2"/>
  <c r="N49" i="2" s="1"/>
  <c r="O49" i="2" s="1"/>
  <c r="P49" i="2" l="1"/>
  <c r="Q49" i="2"/>
  <c r="AB49" i="5" s="1"/>
  <c r="Z49" i="5"/>
  <c r="AA49" i="5" l="1"/>
  <c r="R49" i="2"/>
  <c r="S49" i="2"/>
  <c r="U49" i="2"/>
  <c r="AD49" i="5" l="1"/>
  <c r="C50" i="5" s="1"/>
  <c r="E50" i="5" s="1"/>
  <c r="I50" i="5" s="1"/>
  <c r="AC49" i="5"/>
  <c r="T49" i="2"/>
  <c r="M50" i="5" l="1"/>
  <c r="K50" i="5"/>
  <c r="AE49" i="5"/>
  <c r="AF49" i="5" s="1"/>
  <c r="B50" i="5"/>
  <c r="D50" i="5" s="1"/>
  <c r="H50" i="5" s="1"/>
  <c r="O50" i="5" l="1"/>
  <c r="Q50" i="5" s="1"/>
  <c r="AG49" i="5"/>
  <c r="L50" i="5"/>
  <c r="J50" i="5"/>
  <c r="N50" i="5" l="1"/>
  <c r="P50" i="5" s="1"/>
  <c r="S50" i="5"/>
  <c r="U50" i="5"/>
  <c r="M50" i="2" l="1"/>
  <c r="R50" i="5"/>
  <c r="T50" i="5"/>
  <c r="L50" i="2" l="1"/>
  <c r="N50" i="2" s="1"/>
  <c r="O50" i="2" s="1"/>
  <c r="V50" i="5"/>
  <c r="P50" i="2" l="1"/>
  <c r="Q50" i="2"/>
  <c r="Z50" i="5"/>
  <c r="AA50" i="5" l="1"/>
  <c r="S50" i="2"/>
  <c r="U50" i="2"/>
  <c r="AB50" i="5"/>
  <c r="R50" i="2"/>
  <c r="AD50" i="5" l="1"/>
  <c r="C51" i="5" s="1"/>
  <c r="E51" i="5" s="1"/>
  <c r="I51" i="5" s="1"/>
  <c r="AC50" i="5"/>
  <c r="T50" i="2"/>
  <c r="K51" i="5" l="1"/>
  <c r="B51" i="5"/>
  <c r="D51" i="5" s="1"/>
  <c r="H51" i="5" s="1"/>
  <c r="M51" i="5" s="1"/>
  <c r="AE50" i="5"/>
  <c r="AF50" i="5" s="1"/>
  <c r="O51" i="5" l="1"/>
  <c r="Q51" i="5" s="1"/>
  <c r="L51" i="5"/>
  <c r="J51" i="5"/>
  <c r="AG50" i="5"/>
  <c r="N51" i="5" l="1"/>
  <c r="P51" i="5" s="1"/>
  <c r="S51" i="5"/>
  <c r="U51" i="5"/>
  <c r="M51" i="2" l="1"/>
  <c r="R51" i="5"/>
  <c r="T51" i="5"/>
  <c r="L51" i="2" l="1"/>
  <c r="N51" i="2" s="1"/>
  <c r="O51" i="2" s="1"/>
  <c r="V51" i="5"/>
  <c r="P51" i="2" l="1"/>
  <c r="AA51" i="5" s="1"/>
  <c r="Q51" i="2"/>
  <c r="Z51" i="5"/>
  <c r="AC51" i="5" l="1"/>
  <c r="AD51" i="5"/>
  <c r="C52" i="5" s="1"/>
  <c r="E52" i="5" s="1"/>
  <c r="I52" i="5" s="1"/>
  <c r="AB51" i="5"/>
  <c r="R51" i="2"/>
  <c r="S51" i="2"/>
  <c r="U51" i="2"/>
  <c r="AE51" i="5" l="1"/>
  <c r="AF51" i="5" s="1"/>
  <c r="B52" i="5"/>
  <c r="D52" i="5" s="1"/>
  <c r="H52" i="5" s="1"/>
  <c r="M52" i="5" s="1"/>
  <c r="K52" i="5"/>
  <c r="T51" i="2"/>
  <c r="AG51" i="5" l="1"/>
  <c r="L52" i="5"/>
  <c r="J52" i="5"/>
  <c r="O52" i="5"/>
  <c r="Q52" i="5" s="1"/>
  <c r="N52" i="5" l="1"/>
  <c r="P52" i="5" s="1"/>
  <c r="S52" i="5"/>
  <c r="U52" i="5"/>
  <c r="M52" i="2" l="1"/>
  <c r="R52" i="5"/>
  <c r="T52" i="5"/>
  <c r="V52" i="5" l="1"/>
  <c r="L52" i="2"/>
  <c r="N52" i="2" s="1"/>
  <c r="O52" i="2" s="1"/>
  <c r="P52" i="2" l="1"/>
  <c r="Q52" i="2"/>
  <c r="AB52" i="5" s="1"/>
  <c r="Z52" i="5"/>
  <c r="AA52" i="5" l="1"/>
  <c r="S52" i="2"/>
  <c r="R52" i="2"/>
  <c r="U52" i="2"/>
  <c r="AD52" i="5" l="1"/>
  <c r="C53" i="5" s="1"/>
  <c r="E53" i="5" s="1"/>
  <c r="I53" i="5" s="1"/>
  <c r="AC52" i="5"/>
  <c r="T52" i="2"/>
  <c r="K53" i="5" l="1"/>
  <c r="B53" i="5"/>
  <c r="D53" i="5" s="1"/>
  <c r="H53" i="5" s="1"/>
  <c r="M53" i="5" s="1"/>
  <c r="AE52" i="5"/>
  <c r="AF52" i="5" s="1"/>
  <c r="O53" i="5" l="1"/>
  <c r="Q53" i="5" s="1"/>
  <c r="J53" i="5"/>
  <c r="L53" i="5"/>
  <c r="AG52" i="5"/>
  <c r="N53" i="5" l="1"/>
  <c r="P53" i="5" s="1"/>
  <c r="S53" i="5"/>
  <c r="U53" i="5"/>
  <c r="M53" i="2" l="1"/>
  <c r="R53" i="5"/>
  <c r="T53" i="5"/>
  <c r="L53" i="2" l="1"/>
  <c r="N53" i="2" s="1"/>
  <c r="O53" i="2" s="1"/>
  <c r="V53" i="5"/>
  <c r="P53" i="2" l="1"/>
  <c r="AA53" i="5" s="1"/>
  <c r="Q53" i="2"/>
  <c r="AB53" i="5" s="1"/>
  <c r="R53" i="2"/>
  <c r="S53" i="2"/>
  <c r="U53" i="2"/>
  <c r="Z53" i="5"/>
  <c r="AC53" i="5" l="1"/>
  <c r="AD53" i="5"/>
  <c r="C54" i="5" s="1"/>
  <c r="E54" i="5" s="1"/>
  <c r="I54" i="5" s="1"/>
  <c r="T53" i="2"/>
  <c r="AE53" i="5" l="1"/>
  <c r="AF53" i="5" s="1"/>
  <c r="B54" i="5"/>
  <c r="D54" i="5" s="1"/>
  <c r="H54" i="5" s="1"/>
  <c r="M54" i="5" s="1"/>
  <c r="K54" i="5"/>
  <c r="AG53" i="5" l="1"/>
  <c r="L54" i="5"/>
  <c r="J54" i="5"/>
  <c r="O54" i="5"/>
  <c r="Q54" i="5" s="1"/>
  <c r="N54" i="5" l="1"/>
  <c r="P54" i="5" s="1"/>
  <c r="S54" i="5"/>
  <c r="U54" i="5"/>
  <c r="M54" i="2" l="1"/>
  <c r="R54" i="5"/>
  <c r="T54" i="5"/>
  <c r="V54" i="5" l="1"/>
  <c r="L54" i="2"/>
  <c r="N54" i="2" s="1"/>
  <c r="O54" i="2" s="1"/>
  <c r="P54" i="2" l="1"/>
  <c r="Q54" i="2"/>
  <c r="AB54" i="5" s="1"/>
  <c r="Z54" i="5"/>
  <c r="AA54" i="5" l="1"/>
  <c r="R54" i="2"/>
  <c r="S54" i="2"/>
  <c r="U54" i="2"/>
  <c r="AD54" i="5" l="1"/>
  <c r="C55" i="5" s="1"/>
  <c r="E55" i="5" s="1"/>
  <c r="I55" i="5" s="1"/>
  <c r="AC54" i="5"/>
  <c r="T54" i="2"/>
  <c r="K55" i="5" l="1"/>
  <c r="B55" i="5"/>
  <c r="D55" i="5" s="1"/>
  <c r="H55" i="5" s="1"/>
  <c r="M55" i="5" s="1"/>
  <c r="AE54" i="5"/>
  <c r="AF54" i="5" s="1"/>
  <c r="O55" i="5" l="1"/>
  <c r="Q55" i="5" s="1"/>
  <c r="J55" i="5"/>
  <c r="L55" i="5"/>
  <c r="AG54" i="5"/>
  <c r="N55" i="5" l="1"/>
  <c r="P55" i="5" s="1"/>
  <c r="S55" i="5"/>
  <c r="U55" i="5"/>
  <c r="M55" i="2" l="1"/>
  <c r="R55" i="5"/>
  <c r="T55" i="5"/>
  <c r="L55" i="2" l="1"/>
  <c r="N55" i="2" s="1"/>
  <c r="O55" i="2" s="1"/>
  <c r="V55" i="5"/>
  <c r="P55" i="2" l="1"/>
  <c r="Q55" i="2"/>
  <c r="AB55" i="5" s="1"/>
  <c r="Z55" i="5"/>
  <c r="AA55" i="5" l="1"/>
  <c r="R55" i="2"/>
  <c r="S55" i="2"/>
  <c r="U55" i="2"/>
  <c r="AD55" i="5" l="1"/>
  <c r="C56" i="5" s="1"/>
  <c r="E56" i="5" s="1"/>
  <c r="I56" i="5" s="1"/>
  <c r="AC55" i="5"/>
  <c r="T55" i="2"/>
  <c r="K56" i="5" l="1"/>
  <c r="AE55" i="5"/>
  <c r="AF55" i="5" s="1"/>
  <c r="B56" i="5"/>
  <c r="D56" i="5" s="1"/>
  <c r="H56" i="5" s="1"/>
  <c r="M56" i="5" s="1"/>
  <c r="O56" i="5" l="1"/>
  <c r="Q56" i="5" s="1"/>
  <c r="AG55" i="5"/>
  <c r="L56" i="5"/>
  <c r="J56" i="5"/>
  <c r="N56" i="5" l="1"/>
  <c r="P56" i="5" s="1"/>
  <c r="S56" i="5"/>
  <c r="U56" i="5"/>
  <c r="M56" i="2" l="1"/>
  <c r="R56" i="5"/>
  <c r="T56" i="5"/>
  <c r="V56" i="5" l="1"/>
  <c r="L56" i="2"/>
  <c r="N56" i="2" s="1"/>
  <c r="O56" i="2" s="1"/>
  <c r="P56" i="2" l="1"/>
  <c r="Q56" i="2"/>
  <c r="AB56" i="5" s="1"/>
  <c r="Z56" i="5"/>
  <c r="AA56" i="5" l="1"/>
  <c r="R56" i="2"/>
  <c r="S56" i="2"/>
  <c r="U56" i="2"/>
  <c r="AD56" i="5" l="1"/>
  <c r="C57" i="5" s="1"/>
  <c r="E57" i="5" s="1"/>
  <c r="I57" i="5" s="1"/>
  <c r="AC56" i="5"/>
  <c r="T56" i="2"/>
  <c r="K57" i="5" l="1"/>
  <c r="M57" i="5"/>
  <c r="AE56" i="5"/>
  <c r="AF56" i="5" s="1"/>
  <c r="B57" i="5"/>
  <c r="D57" i="5" s="1"/>
  <c r="H57" i="5" s="1"/>
  <c r="O57" i="5" l="1"/>
  <c r="Q57" i="5" s="1"/>
  <c r="AG56" i="5"/>
  <c r="J57" i="5"/>
  <c r="L57" i="5"/>
  <c r="N57" i="5" l="1"/>
  <c r="P57" i="5" s="1"/>
  <c r="S57" i="5"/>
  <c r="U57" i="5"/>
  <c r="M57" i="2" l="1"/>
  <c r="R57" i="5"/>
  <c r="T57" i="5"/>
  <c r="V57" i="5" l="1"/>
  <c r="L57" i="2"/>
  <c r="N57" i="2" s="1"/>
  <c r="O57" i="2" s="1"/>
  <c r="P57" i="2" l="1"/>
  <c r="Q57" i="2"/>
  <c r="Z57" i="5"/>
  <c r="AA57" i="5" l="1"/>
  <c r="U57" i="2"/>
  <c r="S57" i="2"/>
  <c r="AB57" i="5"/>
  <c r="R57" i="2"/>
  <c r="T57" i="2" s="1"/>
  <c r="AD57" i="5" l="1"/>
  <c r="C58" i="5" s="1"/>
  <c r="E58" i="5" s="1"/>
  <c r="I58" i="5" s="1"/>
  <c r="AC57" i="5"/>
  <c r="K58" i="5" l="1"/>
  <c r="B58" i="5"/>
  <c r="D58" i="5" s="1"/>
  <c r="H58" i="5" s="1"/>
  <c r="M58" i="5" s="1"/>
  <c r="AE57" i="5"/>
  <c r="AF57" i="5" s="1"/>
  <c r="O58" i="5" l="1"/>
  <c r="Q58" i="5" s="1"/>
  <c r="L58" i="5"/>
  <c r="J58" i="5"/>
  <c r="AG57" i="5"/>
  <c r="N58" i="5" l="1"/>
  <c r="P58" i="5" s="1"/>
  <c r="S58" i="5"/>
  <c r="U58" i="5"/>
  <c r="M58" i="2" l="1"/>
  <c r="R58" i="5"/>
  <c r="T58" i="5"/>
  <c r="V58" i="5" l="1"/>
  <c r="L58" i="2"/>
  <c r="N58" i="2" s="1"/>
  <c r="O58" i="2" s="1"/>
  <c r="P58" i="2" l="1"/>
  <c r="Q58" i="2"/>
  <c r="AB58" i="5" s="1"/>
  <c r="Z58" i="5"/>
  <c r="AA58" i="5" l="1"/>
  <c r="R58" i="2"/>
  <c r="S58" i="2"/>
  <c r="U58" i="2"/>
  <c r="AD58" i="5" l="1"/>
  <c r="C59" i="5" s="1"/>
  <c r="E59" i="5" s="1"/>
  <c r="I59" i="5" s="1"/>
  <c r="AC58" i="5"/>
  <c r="T58" i="2"/>
  <c r="K59" i="5" l="1"/>
  <c r="AE58" i="5"/>
  <c r="AF58" i="5" s="1"/>
  <c r="B59" i="5"/>
  <c r="D59" i="5" s="1"/>
  <c r="H59" i="5" s="1"/>
  <c r="M59" i="5" s="1"/>
  <c r="O59" i="5" l="1"/>
  <c r="Q59" i="5" s="1"/>
  <c r="AG58" i="5"/>
  <c r="J59" i="5"/>
  <c r="L59" i="5"/>
  <c r="N59" i="5" l="1"/>
  <c r="P59" i="5" s="1"/>
  <c r="S59" i="5"/>
  <c r="U59" i="5"/>
  <c r="M59" i="2" l="1"/>
  <c r="R59" i="5"/>
  <c r="T59" i="5"/>
  <c r="V59" i="5" l="1"/>
  <c r="L59" i="2"/>
  <c r="N59" i="2" s="1"/>
  <c r="O59" i="2" s="1"/>
  <c r="P59" i="2" l="1"/>
  <c r="AA59" i="5" s="1"/>
  <c r="Q59" i="2"/>
  <c r="AB59" i="5" s="1"/>
  <c r="R59" i="2"/>
  <c r="S59" i="2"/>
  <c r="U59" i="2"/>
  <c r="Z59" i="5"/>
  <c r="AC59" i="5" l="1"/>
  <c r="AD59" i="5"/>
  <c r="C60" i="5" s="1"/>
  <c r="E60" i="5" s="1"/>
  <c r="I60" i="5" s="1"/>
  <c r="T59" i="2"/>
  <c r="B60" i="5" l="1"/>
  <c r="D60" i="5" s="1"/>
  <c r="H60" i="5" s="1"/>
  <c r="M60" i="5" s="1"/>
  <c r="AE59" i="5"/>
  <c r="AF59" i="5" s="1"/>
  <c r="K60" i="5"/>
  <c r="L60" i="5" l="1"/>
  <c r="J60" i="5"/>
  <c r="AG59" i="5"/>
  <c r="O60" i="5"/>
  <c r="Q60" i="5" s="1"/>
  <c r="N60" i="5" l="1"/>
  <c r="P60" i="5" s="1"/>
  <c r="S60" i="5"/>
  <c r="U60" i="5"/>
  <c r="M60" i="2" l="1"/>
  <c r="R60" i="5"/>
  <c r="T60" i="5"/>
  <c r="L60" i="2" l="1"/>
  <c r="N60" i="2" s="1"/>
  <c r="O60" i="2" s="1"/>
  <c r="V60" i="5"/>
  <c r="P60" i="2" l="1"/>
  <c r="AA60" i="5" s="1"/>
  <c r="Q60" i="2"/>
  <c r="AB60" i="5" s="1"/>
  <c r="R60" i="2"/>
  <c r="S60" i="2"/>
  <c r="U60" i="2"/>
  <c r="Z60" i="5"/>
  <c r="AC60" i="5" l="1"/>
  <c r="AD60" i="5"/>
  <c r="C61" i="5" s="1"/>
  <c r="E61" i="5" s="1"/>
  <c r="I61" i="5" s="1"/>
  <c r="T60" i="2"/>
  <c r="B61" i="5" l="1"/>
  <c r="D61" i="5" s="1"/>
  <c r="H61" i="5" s="1"/>
  <c r="M61" i="5" s="1"/>
  <c r="AE60" i="5"/>
  <c r="AF60" i="5" s="1"/>
  <c r="K61" i="5"/>
  <c r="L61" i="5" l="1"/>
  <c r="J61" i="5"/>
  <c r="AG60" i="5"/>
  <c r="O61" i="5"/>
  <c r="Q61" i="5" s="1"/>
  <c r="N61" i="5" l="1"/>
  <c r="P61" i="5" s="1"/>
  <c r="S61" i="5"/>
  <c r="U61" i="5"/>
  <c r="M61" i="2" l="1"/>
  <c r="R61" i="5"/>
  <c r="T61" i="5"/>
  <c r="L61" i="2" l="1"/>
  <c r="N61" i="2" s="1"/>
  <c r="O61" i="2" s="1"/>
  <c r="V61" i="5"/>
  <c r="P61" i="2" l="1"/>
  <c r="Q61" i="2"/>
  <c r="AB61" i="5" s="1"/>
  <c r="Z61" i="5"/>
  <c r="AA61" i="5" l="1"/>
  <c r="R61" i="2"/>
  <c r="T61" i="2" s="1"/>
  <c r="S61" i="2"/>
  <c r="U61" i="2"/>
  <c r="AD61" i="5" l="1"/>
  <c r="C62" i="5" s="1"/>
  <c r="E62" i="5" s="1"/>
  <c r="I62" i="5" s="1"/>
  <c r="AC61" i="5"/>
  <c r="K62" i="5" l="1"/>
  <c r="B62" i="5"/>
  <c r="D62" i="5" s="1"/>
  <c r="H62" i="5" s="1"/>
  <c r="M62" i="5" s="1"/>
  <c r="AE61" i="5"/>
  <c r="AF61" i="5" s="1"/>
  <c r="O62" i="5" l="1"/>
  <c r="Q62" i="5" s="1"/>
  <c r="J62" i="5"/>
  <c r="L62" i="5"/>
  <c r="AG61" i="5"/>
  <c r="N62" i="5" l="1"/>
  <c r="P62" i="5" s="1"/>
  <c r="S62" i="5"/>
  <c r="U62" i="5"/>
  <c r="M62" i="2" l="1"/>
  <c r="R62" i="5"/>
  <c r="T62" i="5"/>
  <c r="L62" i="2" l="1"/>
  <c r="N62" i="2" s="1"/>
  <c r="O62" i="2" s="1"/>
  <c r="V62" i="5"/>
  <c r="P62" i="2" l="1"/>
  <c r="Q62" i="2"/>
  <c r="AB62" i="5" s="1"/>
  <c r="Z62" i="5"/>
  <c r="AA62" i="5" l="1"/>
  <c r="S62" i="2"/>
  <c r="U62" i="2"/>
  <c r="R62" i="2"/>
  <c r="AD62" i="5" l="1"/>
  <c r="C63" i="5" s="1"/>
  <c r="E63" i="5" s="1"/>
  <c r="I63" i="5" s="1"/>
  <c r="AC62" i="5"/>
  <c r="T62" i="2"/>
  <c r="K63" i="5" l="1"/>
  <c r="AE62" i="5"/>
  <c r="AF62" i="5" s="1"/>
  <c r="B63" i="5"/>
  <c r="D63" i="5" s="1"/>
  <c r="H63" i="5" s="1"/>
  <c r="M63" i="5" s="1"/>
  <c r="O63" i="5" l="1"/>
  <c r="Q63" i="5" s="1"/>
  <c r="AG62" i="5"/>
  <c r="L63" i="5"/>
  <c r="J63" i="5"/>
  <c r="N63" i="5" l="1"/>
  <c r="P63" i="5" s="1"/>
  <c r="S63" i="5"/>
  <c r="U63" i="5"/>
  <c r="M63" i="2" l="1"/>
  <c r="R63" i="5"/>
  <c r="T63" i="5"/>
  <c r="L63" i="2" l="1"/>
  <c r="N63" i="2" s="1"/>
  <c r="O63" i="2" s="1"/>
  <c r="V63" i="5"/>
  <c r="P63" i="2" l="1"/>
  <c r="AA63" i="5" s="1"/>
  <c r="Q63" i="2"/>
  <c r="Z63" i="5"/>
  <c r="AC63" i="5" l="1"/>
  <c r="AD63" i="5"/>
  <c r="C64" i="5" s="1"/>
  <c r="E64" i="5" s="1"/>
  <c r="I64" i="5" s="1"/>
  <c r="AB63" i="5"/>
  <c r="R63" i="2"/>
  <c r="T63" i="2" s="1"/>
  <c r="S63" i="2"/>
  <c r="U63" i="2"/>
  <c r="B64" i="5" l="1"/>
  <c r="D64" i="5" s="1"/>
  <c r="H64" i="5" s="1"/>
  <c r="M64" i="5" s="1"/>
  <c r="AE63" i="5"/>
  <c r="AF63" i="5" s="1"/>
  <c r="K64" i="5"/>
  <c r="L64" i="5" l="1"/>
  <c r="J64" i="5"/>
  <c r="AG63" i="5"/>
  <c r="O64" i="5"/>
  <c r="Q64" i="5" s="1"/>
  <c r="N64" i="5" l="1"/>
  <c r="P64" i="5" s="1"/>
  <c r="S64" i="5"/>
  <c r="U64" i="5"/>
  <c r="M64" i="2" l="1"/>
  <c r="R64" i="5"/>
  <c r="T64" i="5"/>
  <c r="L64" i="2" l="1"/>
  <c r="N64" i="2" s="1"/>
  <c r="O64" i="2" s="1"/>
  <c r="V64" i="5"/>
  <c r="P64" i="2" l="1"/>
  <c r="Q64" i="2"/>
  <c r="Z64" i="5"/>
  <c r="AA64" i="5" l="1"/>
  <c r="S64" i="2"/>
  <c r="U64" i="2"/>
  <c r="AB64" i="5"/>
  <c r="R64" i="2"/>
  <c r="T64" i="2" s="1"/>
  <c r="AD64" i="5" l="1"/>
  <c r="C65" i="5" s="1"/>
  <c r="E65" i="5" s="1"/>
  <c r="I65" i="5" s="1"/>
  <c r="AC64" i="5"/>
  <c r="K65" i="5" l="1"/>
  <c r="AE64" i="5"/>
  <c r="AF64" i="5" s="1"/>
  <c r="B65" i="5"/>
  <c r="D65" i="5" s="1"/>
  <c r="H65" i="5" s="1"/>
  <c r="M65" i="5" s="1"/>
  <c r="O65" i="5" l="1"/>
  <c r="Q65" i="5" s="1"/>
  <c r="AG64" i="5"/>
  <c r="J65" i="5"/>
  <c r="L65" i="5"/>
  <c r="N65" i="5" l="1"/>
  <c r="P65" i="5" s="1"/>
  <c r="S65" i="5"/>
  <c r="U65" i="5"/>
  <c r="M65" i="2" l="1"/>
  <c r="R65" i="5"/>
  <c r="T65" i="5"/>
  <c r="V65" i="5" l="1"/>
  <c r="L65" i="2"/>
  <c r="N65" i="2" s="1"/>
  <c r="O65" i="2" s="1"/>
  <c r="P65" i="2" l="1"/>
  <c r="Q65" i="2"/>
  <c r="AB65" i="5" s="1"/>
  <c r="Z65" i="5"/>
  <c r="AA65" i="5" l="1"/>
  <c r="R65" i="2"/>
  <c r="S65" i="2"/>
  <c r="U65" i="2"/>
  <c r="AD65" i="5" l="1"/>
  <c r="C66" i="5" s="1"/>
  <c r="E66" i="5" s="1"/>
  <c r="I66" i="5" s="1"/>
  <c r="AC65" i="5"/>
  <c r="T65" i="2"/>
  <c r="K66" i="5" l="1"/>
  <c r="AE65" i="5"/>
  <c r="AF65" i="5" s="1"/>
  <c r="B66" i="5"/>
  <c r="D66" i="5" s="1"/>
  <c r="H66" i="5" s="1"/>
  <c r="M66" i="5" s="1"/>
  <c r="O66" i="5" l="1"/>
  <c r="Q66" i="5" s="1"/>
  <c r="AG65" i="5"/>
  <c r="J66" i="5"/>
  <c r="L66" i="5"/>
  <c r="N66" i="5" l="1"/>
  <c r="P66" i="5" s="1"/>
  <c r="S66" i="5"/>
  <c r="U66" i="5"/>
  <c r="M66" i="2" l="1"/>
  <c r="R66" i="5"/>
  <c r="T66" i="5"/>
  <c r="V66" i="5" l="1"/>
  <c r="L66" i="2"/>
  <c r="N66" i="2" s="1"/>
  <c r="O66" i="2" s="1"/>
  <c r="P66" i="2" l="1"/>
  <c r="Q66" i="2"/>
  <c r="AB66" i="5" s="1"/>
  <c r="Z66" i="5"/>
  <c r="AA66" i="5" l="1"/>
  <c r="R66" i="2"/>
  <c r="T66" i="2" s="1"/>
  <c r="S66" i="2"/>
  <c r="U66" i="2"/>
  <c r="AD66" i="5" l="1"/>
  <c r="C67" i="5" s="1"/>
  <c r="E67" i="5" s="1"/>
  <c r="I67" i="5" s="1"/>
  <c r="AC66" i="5"/>
  <c r="K67" i="5" l="1"/>
  <c r="AE66" i="5"/>
  <c r="AF66" i="5" s="1"/>
  <c r="B67" i="5"/>
  <c r="D67" i="5" s="1"/>
  <c r="H67" i="5" s="1"/>
  <c r="M67" i="5" s="1"/>
  <c r="O67" i="5" l="1"/>
  <c r="Q67" i="5" s="1"/>
  <c r="AG66" i="5"/>
  <c r="L67" i="5"/>
  <c r="J67" i="5"/>
  <c r="N67" i="5" l="1"/>
  <c r="P67" i="5" s="1"/>
  <c r="S67" i="5"/>
  <c r="U67" i="5"/>
  <c r="M67" i="2" l="1"/>
  <c r="R67" i="5"/>
  <c r="T67" i="5"/>
  <c r="V67" i="5" l="1"/>
  <c r="L67" i="2"/>
  <c r="N67" i="2" s="1"/>
  <c r="O67" i="2" s="1"/>
  <c r="P67" i="2" l="1"/>
  <c r="Q67" i="2"/>
  <c r="AB67" i="5" s="1"/>
  <c r="Z67" i="5"/>
  <c r="AA67" i="5" l="1"/>
  <c r="R67" i="2"/>
  <c r="T67" i="2" s="1"/>
  <c r="S67" i="2"/>
  <c r="U67" i="2"/>
  <c r="AD67" i="5" l="1"/>
  <c r="C68" i="5" s="1"/>
  <c r="E68" i="5" s="1"/>
  <c r="I68" i="5" s="1"/>
  <c r="AC67" i="5"/>
  <c r="M68" i="5" l="1"/>
  <c r="K68" i="5"/>
  <c r="AE67" i="5"/>
  <c r="AF67" i="5" s="1"/>
  <c r="B68" i="5"/>
  <c r="D68" i="5" s="1"/>
  <c r="H68" i="5" s="1"/>
  <c r="O68" i="5" l="1"/>
  <c r="Q68" i="5" s="1"/>
  <c r="AG67" i="5"/>
  <c r="L68" i="5"/>
  <c r="J68" i="5"/>
  <c r="N68" i="5" l="1"/>
  <c r="P68" i="5" s="1"/>
  <c r="S68" i="5"/>
  <c r="U68" i="5"/>
  <c r="M68" i="2" l="1"/>
  <c r="R68" i="5"/>
  <c r="T68" i="5"/>
  <c r="L68" i="2" l="1"/>
  <c r="N68" i="2" s="1"/>
  <c r="O68" i="2" s="1"/>
  <c r="V68" i="5"/>
  <c r="P68" i="2" l="1"/>
  <c r="Q68" i="2"/>
  <c r="AB68" i="5" s="1"/>
  <c r="Z68" i="5"/>
  <c r="AA68" i="5" l="1"/>
  <c r="R68" i="2"/>
  <c r="S68" i="2"/>
  <c r="U68" i="2"/>
  <c r="AD68" i="5" l="1"/>
  <c r="C69" i="5" s="1"/>
  <c r="E69" i="5" s="1"/>
  <c r="I69" i="5" s="1"/>
  <c r="AC68" i="5"/>
  <c r="T68" i="2"/>
  <c r="M69" i="5" l="1"/>
  <c r="K69" i="5"/>
  <c r="AE68" i="5"/>
  <c r="AF68" i="5" s="1"/>
  <c r="B69" i="5"/>
  <c r="D69" i="5" s="1"/>
  <c r="H69" i="5" s="1"/>
  <c r="O69" i="5" l="1"/>
  <c r="Q69" i="5" s="1"/>
  <c r="AG68" i="5"/>
  <c r="J69" i="5"/>
  <c r="L69" i="5"/>
  <c r="N69" i="5" l="1"/>
  <c r="P69" i="5" s="1"/>
  <c r="S69" i="5"/>
  <c r="U69" i="5"/>
  <c r="M69" i="2" l="1"/>
  <c r="R69" i="5"/>
  <c r="T69" i="5"/>
  <c r="L69" i="2" l="1"/>
  <c r="N69" i="2" s="1"/>
  <c r="O69" i="2" s="1"/>
  <c r="V69" i="5"/>
  <c r="P69" i="2" l="1"/>
  <c r="Q69" i="2"/>
  <c r="AB69" i="5" s="1"/>
  <c r="R69" i="2"/>
  <c r="Z69" i="5"/>
  <c r="AA69" i="5" l="1"/>
  <c r="S69" i="2"/>
  <c r="T69" i="2" s="1"/>
  <c r="U69" i="2"/>
  <c r="AD69" i="5" l="1"/>
  <c r="C70" i="5" s="1"/>
  <c r="E70" i="5" s="1"/>
  <c r="I70" i="5" s="1"/>
  <c r="AC69" i="5"/>
  <c r="K70" i="5" l="1"/>
  <c r="AE69" i="5"/>
  <c r="AF69" i="5" s="1"/>
  <c r="B70" i="5"/>
  <c r="D70" i="5" s="1"/>
  <c r="H70" i="5" s="1"/>
  <c r="M70" i="5" s="1"/>
  <c r="O70" i="5" l="1"/>
  <c r="Q70" i="5" s="1"/>
  <c r="AG69" i="5"/>
  <c r="L70" i="5"/>
  <c r="J70" i="5"/>
  <c r="N70" i="5" l="1"/>
  <c r="P70" i="5" s="1"/>
  <c r="S70" i="5"/>
  <c r="U70" i="5"/>
  <c r="M70" i="2" l="1"/>
  <c r="R70" i="5"/>
  <c r="T70" i="5"/>
  <c r="V70" i="5" l="1"/>
  <c r="L70" i="2"/>
  <c r="N70" i="2" s="1"/>
  <c r="O70" i="2" s="1"/>
  <c r="P70" i="2" l="1"/>
  <c r="AA70" i="5" s="1"/>
  <c r="Q70" i="2"/>
  <c r="AB70" i="5" s="1"/>
  <c r="R70" i="2"/>
  <c r="S70" i="2"/>
  <c r="U70" i="2"/>
  <c r="Z70" i="5"/>
  <c r="AC70" i="5" l="1"/>
  <c r="AD70" i="5"/>
  <c r="C71" i="5" s="1"/>
  <c r="E71" i="5" s="1"/>
  <c r="I71" i="5" s="1"/>
  <c r="T70" i="2"/>
  <c r="AE70" i="5" l="1"/>
  <c r="AF70" i="5" s="1"/>
  <c r="B71" i="5"/>
  <c r="D71" i="5" s="1"/>
  <c r="H71" i="5" s="1"/>
  <c r="K71" i="5"/>
  <c r="M71" i="5"/>
  <c r="AG70" i="5" l="1"/>
  <c r="J71" i="5"/>
  <c r="L71" i="5"/>
  <c r="O71" i="5"/>
  <c r="Q71" i="5" s="1"/>
  <c r="N71" i="5" l="1"/>
  <c r="P71" i="5" s="1"/>
  <c r="S71" i="5"/>
  <c r="U71" i="5"/>
  <c r="M71" i="2" l="1"/>
  <c r="R71" i="5"/>
  <c r="T71" i="5"/>
  <c r="V71" i="5" l="1"/>
  <c r="L71" i="2"/>
  <c r="N71" i="2" s="1"/>
  <c r="O71" i="2" s="1"/>
  <c r="P71" i="2" l="1"/>
  <c r="AA71" i="5" s="1"/>
  <c r="Q71" i="2"/>
  <c r="AB71" i="5" s="1"/>
  <c r="R71" i="2"/>
  <c r="S71" i="2"/>
  <c r="U71" i="2"/>
  <c r="Z71" i="5"/>
  <c r="AC71" i="5" l="1"/>
  <c r="AD71" i="5"/>
  <c r="C72" i="5" s="1"/>
  <c r="E72" i="5" s="1"/>
  <c r="I72" i="5" s="1"/>
  <c r="T71" i="2"/>
  <c r="B72" i="5" l="1"/>
  <c r="D72" i="5" s="1"/>
  <c r="H72" i="5" s="1"/>
  <c r="M72" i="5" s="1"/>
  <c r="AE71" i="5"/>
  <c r="AF71" i="5" s="1"/>
  <c r="K72" i="5"/>
  <c r="L72" i="5" l="1"/>
  <c r="J72" i="5"/>
  <c r="AG71" i="5"/>
  <c r="O72" i="5"/>
  <c r="Q72" i="5" s="1"/>
  <c r="N72" i="5" l="1"/>
  <c r="P72" i="5" s="1"/>
  <c r="S72" i="5"/>
  <c r="U72" i="5"/>
  <c r="M72" i="2" l="1"/>
  <c r="R72" i="5"/>
  <c r="T72" i="5"/>
  <c r="V72" i="5" l="1"/>
  <c r="L72" i="2"/>
  <c r="N72" i="2" s="1"/>
  <c r="O72" i="2" s="1"/>
  <c r="P72" i="2" l="1"/>
  <c r="Q72" i="2"/>
  <c r="AB72" i="5" s="1"/>
  <c r="Z72" i="5"/>
  <c r="AA72" i="5" l="1"/>
  <c r="S72" i="2"/>
  <c r="R72" i="2"/>
  <c r="T72" i="2" s="1"/>
  <c r="U72" i="2"/>
  <c r="AD72" i="5" l="1"/>
  <c r="C73" i="5" s="1"/>
  <c r="E73" i="5" s="1"/>
  <c r="I73" i="5" s="1"/>
  <c r="AC72" i="5"/>
  <c r="M73" i="5" l="1"/>
  <c r="K73" i="5"/>
  <c r="AE72" i="5"/>
  <c r="AF72" i="5" s="1"/>
  <c r="B73" i="5"/>
  <c r="D73" i="5" s="1"/>
  <c r="H73" i="5" s="1"/>
  <c r="O73" i="5" l="1"/>
  <c r="Q73" i="5" s="1"/>
  <c r="AG72" i="5"/>
  <c r="J73" i="5"/>
  <c r="L73" i="5"/>
  <c r="N73" i="5" l="1"/>
  <c r="P73" i="5" s="1"/>
  <c r="S73" i="5"/>
  <c r="U73" i="5"/>
  <c r="M73" i="2" l="1"/>
  <c r="R73" i="5"/>
  <c r="T73" i="5"/>
  <c r="V73" i="5" l="1"/>
  <c r="L73" i="2"/>
  <c r="N73" i="2" s="1"/>
  <c r="O73" i="2" s="1"/>
  <c r="P73" i="2" l="1"/>
  <c r="Q73" i="2"/>
  <c r="AB73" i="5" s="1"/>
  <c r="Z73" i="5"/>
  <c r="AA73" i="5" l="1"/>
  <c r="R73" i="2"/>
  <c r="S73" i="2"/>
  <c r="U73" i="2"/>
  <c r="AD73" i="5" l="1"/>
  <c r="C74" i="5" s="1"/>
  <c r="E74" i="5" s="1"/>
  <c r="I74" i="5" s="1"/>
  <c r="AC73" i="5"/>
  <c r="T73" i="2"/>
  <c r="K74" i="5" l="1"/>
  <c r="AE73" i="5"/>
  <c r="AF73" i="5" s="1"/>
  <c r="B74" i="5"/>
  <c r="D74" i="5" s="1"/>
  <c r="H74" i="5" s="1"/>
  <c r="M74" i="5" s="1"/>
  <c r="O74" i="5" l="1"/>
  <c r="Q74" i="5" s="1"/>
  <c r="AG73" i="5"/>
  <c r="L74" i="5"/>
  <c r="J74" i="5"/>
  <c r="N74" i="5" l="1"/>
  <c r="P74" i="5" s="1"/>
  <c r="S74" i="5"/>
  <c r="U74" i="5"/>
  <c r="M74" i="2" l="1"/>
  <c r="R74" i="5"/>
  <c r="T74" i="5"/>
  <c r="V74" i="5" l="1"/>
  <c r="L74" i="2"/>
  <c r="N74" i="2" s="1"/>
  <c r="O74" i="2" s="1"/>
  <c r="P74" i="2" l="1"/>
  <c r="Q74" i="2"/>
  <c r="AB74" i="5" s="1"/>
  <c r="Z74" i="5"/>
  <c r="AA74" i="5" l="1"/>
  <c r="R74" i="2"/>
  <c r="T74" i="2" s="1"/>
  <c r="S74" i="2"/>
  <c r="U74" i="2"/>
  <c r="AD74" i="5" l="1"/>
  <c r="C75" i="5" s="1"/>
  <c r="E75" i="5" s="1"/>
  <c r="I75" i="5" s="1"/>
  <c r="AC74" i="5"/>
  <c r="K75" i="5" l="1"/>
  <c r="B75" i="5"/>
  <c r="D75" i="5" s="1"/>
  <c r="H75" i="5" s="1"/>
  <c r="M75" i="5" s="1"/>
  <c r="AE74" i="5"/>
  <c r="AF74" i="5" s="1"/>
  <c r="O75" i="5" l="1"/>
  <c r="Q75" i="5" s="1"/>
  <c r="L75" i="5"/>
  <c r="J75" i="5"/>
  <c r="AG74" i="5"/>
  <c r="N75" i="5" l="1"/>
  <c r="P75" i="5" s="1"/>
  <c r="S75" i="5"/>
  <c r="U75" i="5"/>
  <c r="M75" i="2" l="1"/>
  <c r="R75" i="5"/>
  <c r="T75" i="5"/>
  <c r="V75" i="5" l="1"/>
  <c r="L75" i="2"/>
  <c r="N75" i="2" s="1"/>
  <c r="O75" i="2" s="1"/>
  <c r="P75" i="2" l="1"/>
  <c r="Q75" i="2"/>
  <c r="AB75" i="5" s="1"/>
  <c r="Z75" i="5"/>
  <c r="AA75" i="5" l="1"/>
  <c r="R75" i="2"/>
  <c r="S75" i="2"/>
  <c r="U75" i="2"/>
  <c r="AD75" i="5" l="1"/>
  <c r="C76" i="5" s="1"/>
  <c r="E76" i="5" s="1"/>
  <c r="I76" i="5" s="1"/>
  <c r="AC75" i="5"/>
  <c r="T75" i="2"/>
  <c r="K76" i="5" l="1"/>
  <c r="M76" i="5"/>
  <c r="AE75" i="5"/>
  <c r="AF75" i="5" s="1"/>
  <c r="B76" i="5"/>
  <c r="D76" i="5" s="1"/>
  <c r="H76" i="5" s="1"/>
  <c r="O76" i="5" l="1"/>
  <c r="Q76" i="5" s="1"/>
  <c r="AG75" i="5"/>
  <c r="L76" i="5"/>
  <c r="J76" i="5"/>
  <c r="N76" i="5" l="1"/>
  <c r="P76" i="5" s="1"/>
  <c r="S76" i="5"/>
  <c r="U76" i="5"/>
  <c r="M76" i="2" l="1"/>
  <c r="R76" i="5"/>
  <c r="T76" i="5"/>
  <c r="L76" i="2" l="1"/>
  <c r="N76" i="2" s="1"/>
  <c r="O76" i="2" s="1"/>
  <c r="V76" i="5"/>
  <c r="P76" i="2" l="1"/>
  <c r="Q76" i="2"/>
  <c r="AB76" i="5" s="1"/>
  <c r="Z76" i="5"/>
  <c r="AA76" i="5" l="1"/>
  <c r="R76" i="2"/>
  <c r="T76" i="2" s="1"/>
  <c r="S76" i="2"/>
  <c r="U76" i="2"/>
  <c r="AD76" i="5" l="1"/>
  <c r="C77" i="5" s="1"/>
  <c r="E77" i="5" s="1"/>
  <c r="I77" i="5" s="1"/>
  <c r="AC76" i="5"/>
  <c r="K77" i="5" l="1"/>
  <c r="M77" i="5"/>
  <c r="AE76" i="5"/>
  <c r="AF76" i="5" s="1"/>
  <c r="B77" i="5"/>
  <c r="D77" i="5" s="1"/>
  <c r="H77" i="5" s="1"/>
  <c r="O77" i="5" l="1"/>
  <c r="Q77" i="5" s="1"/>
  <c r="AG76" i="5"/>
  <c r="J77" i="5"/>
  <c r="L77" i="5"/>
  <c r="N77" i="5" l="1"/>
  <c r="P77" i="5" s="1"/>
  <c r="S77" i="5"/>
  <c r="U77" i="5"/>
  <c r="M77" i="2" l="1"/>
  <c r="R77" i="5"/>
  <c r="T77" i="5"/>
  <c r="V77" i="5" l="1"/>
  <c r="L77" i="2"/>
  <c r="N77" i="2" s="1"/>
  <c r="O77" i="2" s="1"/>
  <c r="P77" i="2" l="1"/>
  <c r="AA77" i="5" s="1"/>
  <c r="Q77" i="2"/>
  <c r="AB77" i="5" s="1"/>
  <c r="R77" i="2"/>
  <c r="S77" i="2"/>
  <c r="U77" i="2"/>
  <c r="Z77" i="5"/>
  <c r="AC77" i="5" l="1"/>
  <c r="AD77" i="5"/>
  <c r="C78" i="5" s="1"/>
  <c r="E78" i="5" s="1"/>
  <c r="I78" i="5" s="1"/>
  <c r="T77" i="2"/>
  <c r="B78" i="5" l="1"/>
  <c r="D78" i="5" s="1"/>
  <c r="H78" i="5" s="1"/>
  <c r="M78" i="5" s="1"/>
  <c r="AE77" i="5"/>
  <c r="AF77" i="5" s="1"/>
  <c r="K78" i="5"/>
  <c r="L78" i="5" l="1"/>
  <c r="J78" i="5"/>
  <c r="AG77" i="5"/>
  <c r="O78" i="5"/>
  <c r="Q78" i="5" s="1"/>
  <c r="N78" i="5" l="1"/>
  <c r="P78" i="5" s="1"/>
  <c r="S78" i="5"/>
  <c r="U78" i="5"/>
  <c r="M78" i="2" l="1"/>
  <c r="R78" i="5"/>
  <c r="T78" i="5"/>
  <c r="V78" i="5" l="1"/>
  <c r="L78" i="2"/>
  <c r="N78" i="2" s="1"/>
  <c r="O78" i="2" s="1"/>
  <c r="P78" i="2" l="1"/>
  <c r="Q78" i="2"/>
  <c r="AB78" i="5" s="1"/>
  <c r="Z78" i="5"/>
  <c r="AA78" i="5" l="1"/>
  <c r="S78" i="2"/>
  <c r="R78" i="2"/>
  <c r="T78" i="2" s="1"/>
  <c r="U78" i="2"/>
  <c r="AD78" i="5" l="1"/>
  <c r="C79" i="5" s="1"/>
  <c r="E79" i="5" s="1"/>
  <c r="I79" i="5" s="1"/>
  <c r="AC78" i="5"/>
  <c r="K79" i="5" l="1"/>
  <c r="AE78" i="5"/>
  <c r="AF78" i="5" s="1"/>
  <c r="B79" i="5"/>
  <c r="D79" i="5" s="1"/>
  <c r="H79" i="5" s="1"/>
  <c r="M79" i="5" s="1"/>
  <c r="O79" i="5" l="1"/>
  <c r="Q79" i="5" s="1"/>
  <c r="AG78" i="5"/>
  <c r="J79" i="5"/>
  <c r="L79" i="5"/>
  <c r="N79" i="5" l="1"/>
  <c r="P79" i="5" s="1"/>
  <c r="S79" i="5"/>
  <c r="U79" i="5"/>
  <c r="M79" i="2" l="1"/>
  <c r="R79" i="5"/>
  <c r="T79" i="5"/>
  <c r="V79" i="5" l="1"/>
  <c r="L79" i="2"/>
  <c r="N79" i="2" s="1"/>
  <c r="O79" i="2" s="1"/>
  <c r="P79" i="2" l="1"/>
  <c r="AA79" i="5" s="1"/>
  <c r="Q79" i="2"/>
  <c r="AB79" i="5" s="1"/>
  <c r="R79" i="2"/>
  <c r="T79" i="2" s="1"/>
  <c r="S79" i="2"/>
  <c r="U79" i="2"/>
  <c r="Z79" i="5"/>
  <c r="AC79" i="5" l="1"/>
  <c r="AD79" i="5"/>
  <c r="C80" i="5" s="1"/>
  <c r="E80" i="5" s="1"/>
  <c r="I80" i="5" s="1"/>
  <c r="AE79" i="5" l="1"/>
  <c r="AF79" i="5" s="1"/>
  <c r="B80" i="5"/>
  <c r="D80" i="5" s="1"/>
  <c r="H80" i="5" s="1"/>
  <c r="K80" i="5"/>
  <c r="M80" i="5"/>
  <c r="AG79" i="5" l="1"/>
  <c r="J80" i="5"/>
  <c r="L80" i="5"/>
  <c r="O80" i="5"/>
  <c r="Q80" i="5" s="1"/>
  <c r="N80" i="5" l="1"/>
  <c r="P80" i="5" s="1"/>
  <c r="S80" i="5"/>
  <c r="U80" i="5"/>
  <c r="M80" i="2" l="1"/>
  <c r="R80" i="5"/>
  <c r="T80" i="5"/>
  <c r="L80" i="2" l="1"/>
  <c r="N80" i="2" s="1"/>
  <c r="O80" i="2" s="1"/>
  <c r="V80" i="5"/>
  <c r="P80" i="2" l="1"/>
  <c r="Q80" i="2"/>
  <c r="AB80" i="5" s="1"/>
  <c r="R80" i="2"/>
  <c r="T80" i="2" s="1"/>
  <c r="S80" i="2"/>
  <c r="Z80" i="5"/>
  <c r="AA80" i="5" l="1"/>
  <c r="U80" i="2"/>
  <c r="AD80" i="5" l="1"/>
  <c r="C81" i="5" s="1"/>
  <c r="E81" i="5" s="1"/>
  <c r="I81" i="5" s="1"/>
  <c r="AC80" i="5"/>
  <c r="K81" i="5" l="1"/>
  <c r="B81" i="5"/>
  <c r="D81" i="5" s="1"/>
  <c r="H81" i="5" s="1"/>
  <c r="M81" i="5" s="1"/>
  <c r="AE80" i="5"/>
  <c r="AF80" i="5" s="1"/>
  <c r="O81" i="5" l="1"/>
  <c r="Q81" i="5" s="1"/>
  <c r="L81" i="5"/>
  <c r="J81" i="5"/>
  <c r="AG80" i="5"/>
  <c r="N81" i="5" l="1"/>
  <c r="P81" i="5" s="1"/>
  <c r="S81" i="5"/>
  <c r="U81" i="5"/>
  <c r="M81" i="2" l="1"/>
  <c r="R81" i="5"/>
  <c r="T81" i="5"/>
  <c r="L81" i="2" l="1"/>
  <c r="N81" i="2" s="1"/>
  <c r="O81" i="2" s="1"/>
  <c r="V81" i="5"/>
  <c r="P81" i="2" l="1"/>
  <c r="AA81" i="5" s="1"/>
  <c r="Q81" i="2"/>
  <c r="AB81" i="5" s="1"/>
  <c r="R81" i="2"/>
  <c r="S81" i="2"/>
  <c r="U81" i="2"/>
  <c r="Z81" i="5"/>
  <c r="AC81" i="5" l="1"/>
  <c r="AD81" i="5"/>
  <c r="C82" i="5" s="1"/>
  <c r="E82" i="5" s="1"/>
  <c r="I82" i="5" s="1"/>
  <c r="T81" i="2"/>
  <c r="B82" i="5" l="1"/>
  <c r="D82" i="5" s="1"/>
  <c r="H82" i="5" s="1"/>
  <c r="M82" i="5" s="1"/>
  <c r="AE81" i="5"/>
  <c r="AF81" i="5" s="1"/>
  <c r="K82" i="5"/>
  <c r="J82" i="5" l="1"/>
  <c r="L82" i="5"/>
  <c r="AG81" i="5"/>
  <c r="O82" i="5"/>
  <c r="Q82" i="5" s="1"/>
  <c r="N82" i="5" l="1"/>
  <c r="P82" i="5" s="1"/>
  <c r="S82" i="5"/>
  <c r="U82" i="5"/>
  <c r="M82" i="2" l="1"/>
  <c r="R82" i="5"/>
  <c r="T82" i="5"/>
  <c r="V82" i="5" l="1"/>
  <c r="L82" i="2"/>
  <c r="N82" i="2" s="1"/>
  <c r="O82" i="2" s="1"/>
  <c r="P82" i="2" l="1"/>
  <c r="Q82" i="2"/>
  <c r="AB82" i="5" s="1"/>
  <c r="Z82" i="5"/>
  <c r="AA82" i="5" l="1"/>
  <c r="R82" i="2"/>
  <c r="T82" i="2" s="1"/>
  <c r="S82" i="2"/>
  <c r="U82" i="2"/>
  <c r="AD82" i="5" l="1"/>
  <c r="C83" i="5" s="1"/>
  <c r="E83" i="5" s="1"/>
  <c r="I83" i="5" s="1"/>
  <c r="AC82" i="5"/>
  <c r="M83" i="5" l="1"/>
  <c r="K83" i="5"/>
  <c r="B83" i="5"/>
  <c r="D83" i="5" s="1"/>
  <c r="H83" i="5" s="1"/>
  <c r="AE82" i="5"/>
  <c r="AF82" i="5" s="1"/>
  <c r="O83" i="5" l="1"/>
  <c r="Q83" i="5" s="1"/>
  <c r="J83" i="5"/>
  <c r="L83" i="5"/>
  <c r="AG82" i="5"/>
  <c r="N83" i="5" l="1"/>
  <c r="P83" i="5" s="1"/>
  <c r="S83" i="5"/>
  <c r="U83" i="5"/>
  <c r="M83" i="2" l="1"/>
  <c r="R83" i="5"/>
  <c r="T83" i="5"/>
  <c r="V83" i="5" l="1"/>
  <c r="L83" i="2"/>
  <c r="N83" i="2" s="1"/>
  <c r="O83" i="2" s="1"/>
  <c r="P83" i="2" l="1"/>
  <c r="Q83" i="2"/>
  <c r="AB83" i="5" s="1"/>
  <c r="R83" i="2"/>
  <c r="S83" i="2"/>
  <c r="Z83" i="5"/>
  <c r="T83" i="2" l="1"/>
  <c r="AA83" i="5"/>
  <c r="U83" i="2"/>
  <c r="AD83" i="5" l="1"/>
  <c r="C84" i="5" s="1"/>
  <c r="E84" i="5" s="1"/>
  <c r="I84" i="5" s="1"/>
  <c r="AC83" i="5"/>
  <c r="K84" i="5" l="1"/>
  <c r="AE83" i="5"/>
  <c r="AF83" i="5" s="1"/>
  <c r="B84" i="5"/>
  <c r="D84" i="5" s="1"/>
  <c r="H84" i="5" s="1"/>
  <c r="M84" i="5" s="1"/>
  <c r="O84" i="5" l="1"/>
  <c r="Q84" i="5" s="1"/>
  <c r="AG83" i="5"/>
  <c r="L84" i="5"/>
  <c r="J84" i="5"/>
  <c r="N84" i="5" l="1"/>
  <c r="P84" i="5" s="1"/>
  <c r="S84" i="5"/>
  <c r="U84" i="5"/>
  <c r="M84" i="2" l="1"/>
  <c r="R84" i="5"/>
  <c r="T84" i="5"/>
  <c r="V84" i="5" l="1"/>
  <c r="L84" i="2"/>
  <c r="N84" i="2" s="1"/>
  <c r="O84" i="2" s="1"/>
  <c r="P84" i="2" l="1"/>
  <c r="Q84" i="2"/>
  <c r="AB84" i="5" s="1"/>
  <c r="Z84" i="5"/>
  <c r="AA84" i="5" l="1"/>
  <c r="S84" i="2"/>
  <c r="U84" i="2"/>
  <c r="R84" i="2"/>
  <c r="T84" i="2" s="1"/>
  <c r="AD84" i="5" l="1"/>
  <c r="C85" i="5" s="1"/>
  <c r="E85" i="5" s="1"/>
  <c r="I85" i="5" s="1"/>
  <c r="AC84" i="5"/>
  <c r="K85" i="5" l="1"/>
  <c r="B85" i="5"/>
  <c r="D85" i="5" s="1"/>
  <c r="H85" i="5" s="1"/>
  <c r="M85" i="5" s="1"/>
  <c r="AE84" i="5"/>
  <c r="AF84" i="5" s="1"/>
  <c r="O85" i="5" l="1"/>
  <c r="Q85" i="5" s="1"/>
  <c r="J85" i="5"/>
  <c r="L85" i="5"/>
  <c r="AG84" i="5"/>
  <c r="N85" i="5" l="1"/>
  <c r="P85" i="5" s="1"/>
  <c r="S85" i="5"/>
  <c r="U85" i="5"/>
  <c r="M85" i="2" l="1"/>
  <c r="R85" i="5"/>
  <c r="T85" i="5"/>
  <c r="V85" i="5" l="1"/>
  <c r="L85" i="2"/>
  <c r="N85" i="2" s="1"/>
  <c r="O85" i="2" s="1"/>
  <c r="P85" i="2" l="1"/>
  <c r="Q85" i="2"/>
  <c r="AB85" i="5" s="1"/>
  <c r="Z85" i="5"/>
  <c r="AA85" i="5" l="1"/>
  <c r="R85" i="2"/>
  <c r="T85" i="2" s="1"/>
  <c r="S85" i="2"/>
  <c r="U85" i="2"/>
  <c r="AD85" i="5" l="1"/>
  <c r="C86" i="5" s="1"/>
  <c r="E86" i="5" s="1"/>
  <c r="I86" i="5" s="1"/>
  <c r="AC85" i="5"/>
  <c r="K86" i="5" l="1"/>
  <c r="B86" i="5"/>
  <c r="D86" i="5" s="1"/>
  <c r="H86" i="5" s="1"/>
  <c r="M86" i="5" s="1"/>
  <c r="AE85" i="5"/>
  <c r="AF85" i="5" s="1"/>
  <c r="O86" i="5" l="1"/>
  <c r="Q86" i="5" s="1"/>
  <c r="J86" i="5"/>
  <c r="L86" i="5"/>
  <c r="AG85" i="5"/>
  <c r="N86" i="5" l="1"/>
  <c r="P86" i="5" s="1"/>
  <c r="S86" i="5"/>
  <c r="U86" i="5"/>
  <c r="M86" i="2" l="1"/>
  <c r="R86" i="5"/>
  <c r="T86" i="5"/>
  <c r="V86" i="5" l="1"/>
  <c r="L86" i="2"/>
  <c r="N86" i="2" s="1"/>
  <c r="O86" i="2" s="1"/>
  <c r="P86" i="2" l="1"/>
  <c r="Q86" i="2"/>
  <c r="Z86" i="5"/>
  <c r="AA86" i="5" l="1"/>
  <c r="S86" i="2"/>
  <c r="AB86" i="5"/>
  <c r="U86" i="2"/>
  <c r="R86" i="2"/>
  <c r="AD86" i="5" l="1"/>
  <c r="C87" i="5" s="1"/>
  <c r="E87" i="5" s="1"/>
  <c r="I87" i="5" s="1"/>
  <c r="AC86" i="5"/>
  <c r="T86" i="2"/>
  <c r="K87" i="5" l="1"/>
  <c r="B87" i="5"/>
  <c r="D87" i="5" s="1"/>
  <c r="H87" i="5" s="1"/>
  <c r="M87" i="5" s="1"/>
  <c r="AE86" i="5"/>
  <c r="AF86" i="5" s="1"/>
  <c r="O87" i="5" l="1"/>
  <c r="Q87" i="5" s="1"/>
  <c r="J87" i="5"/>
  <c r="L87" i="5"/>
  <c r="AG86" i="5"/>
  <c r="N87" i="5" l="1"/>
  <c r="P87" i="5" s="1"/>
  <c r="S87" i="5"/>
  <c r="U87" i="5"/>
  <c r="M87" i="2" l="1"/>
  <c r="R87" i="5"/>
  <c r="T87" i="5"/>
  <c r="L87" i="2" l="1"/>
  <c r="N87" i="2" s="1"/>
  <c r="O87" i="2" s="1"/>
  <c r="V87" i="5"/>
  <c r="P87" i="2" l="1"/>
  <c r="AA87" i="5" s="1"/>
  <c r="Q87" i="2"/>
  <c r="AB87" i="5" s="1"/>
  <c r="R87" i="2"/>
  <c r="T87" i="2" s="1"/>
  <c r="S87" i="2"/>
  <c r="U87" i="2"/>
  <c r="Z87" i="5"/>
  <c r="AC87" i="5" l="1"/>
  <c r="AD87" i="5"/>
  <c r="C88" i="5" s="1"/>
  <c r="E88" i="5" s="1"/>
  <c r="I88" i="5" s="1"/>
  <c r="AE87" i="5" l="1"/>
  <c r="AF87" i="5" s="1"/>
  <c r="B88" i="5"/>
  <c r="D88" i="5" s="1"/>
  <c r="H88" i="5" s="1"/>
  <c r="M88" i="5" s="1"/>
  <c r="K88" i="5"/>
  <c r="AG87" i="5" l="1"/>
  <c r="J88" i="5"/>
  <c r="L88" i="5"/>
  <c r="O88" i="5"/>
  <c r="Q88" i="5" s="1"/>
  <c r="N88" i="5" l="1"/>
  <c r="P88" i="5" s="1"/>
  <c r="S88" i="5"/>
  <c r="U88" i="5"/>
  <c r="M88" i="2" l="1"/>
  <c r="R88" i="5"/>
  <c r="T88" i="5"/>
  <c r="V88" i="5" l="1"/>
  <c r="L88" i="2"/>
  <c r="N88" i="2" s="1"/>
  <c r="O88" i="2" s="1"/>
  <c r="P88" i="2" l="1"/>
  <c r="AA88" i="5" s="1"/>
  <c r="Q88" i="2"/>
  <c r="AB88" i="5" s="1"/>
  <c r="R88" i="2"/>
  <c r="S88" i="2"/>
  <c r="U88" i="2"/>
  <c r="Z88" i="5"/>
  <c r="AC88" i="5" l="1"/>
  <c r="AD88" i="5"/>
  <c r="C89" i="5" s="1"/>
  <c r="E89" i="5" s="1"/>
  <c r="I89" i="5" s="1"/>
  <c r="T88" i="2"/>
  <c r="B89" i="5" l="1"/>
  <c r="D89" i="5" s="1"/>
  <c r="H89" i="5" s="1"/>
  <c r="M89" i="5" s="1"/>
  <c r="AE88" i="5"/>
  <c r="AF88" i="5" s="1"/>
  <c r="K89" i="5"/>
  <c r="L89" i="5" l="1"/>
  <c r="J89" i="5"/>
  <c r="AG88" i="5"/>
  <c r="O89" i="5"/>
  <c r="Q89" i="5" s="1"/>
  <c r="N89" i="5" l="1"/>
  <c r="P89" i="5" s="1"/>
  <c r="S89" i="5"/>
  <c r="U89" i="5"/>
  <c r="M89" i="2" l="1"/>
  <c r="R89" i="5"/>
  <c r="T89" i="5"/>
  <c r="L89" i="2" l="1"/>
  <c r="N89" i="2" s="1"/>
  <c r="O89" i="2" s="1"/>
  <c r="V89" i="5"/>
  <c r="P89" i="2" l="1"/>
  <c r="Q89" i="2"/>
  <c r="AB89" i="5" s="1"/>
  <c r="Z89" i="5"/>
  <c r="AA89" i="5" l="1"/>
  <c r="S89" i="2"/>
  <c r="U89" i="2"/>
  <c r="R89" i="2"/>
  <c r="T89" i="2" s="1"/>
  <c r="AD89" i="5" l="1"/>
  <c r="C90" i="5" s="1"/>
  <c r="E90" i="5" s="1"/>
  <c r="I90" i="5" s="1"/>
  <c r="AC89" i="5"/>
  <c r="K90" i="5" l="1"/>
  <c r="M90" i="5"/>
  <c r="B90" i="5"/>
  <c r="D90" i="5" s="1"/>
  <c r="H90" i="5" s="1"/>
  <c r="AE89" i="5"/>
  <c r="AF89" i="5" s="1"/>
  <c r="O90" i="5" l="1"/>
  <c r="Q90" i="5" s="1"/>
  <c r="L90" i="5"/>
  <c r="J90" i="5"/>
  <c r="AG89" i="5"/>
  <c r="N90" i="5" l="1"/>
  <c r="P90" i="5" s="1"/>
  <c r="S90" i="5"/>
  <c r="U90" i="5"/>
  <c r="M90" i="2" l="1"/>
  <c r="R90" i="5"/>
  <c r="T90" i="5"/>
  <c r="L90" i="2" l="1"/>
  <c r="N90" i="2" s="1"/>
  <c r="O90" i="2" s="1"/>
  <c r="V90" i="5"/>
  <c r="P90" i="2" l="1"/>
  <c r="Q90" i="2"/>
  <c r="AB90" i="5" s="1"/>
  <c r="Z90" i="5"/>
  <c r="AA90" i="5" l="1"/>
  <c r="R90" i="2"/>
  <c r="S90" i="2"/>
  <c r="U90" i="2"/>
  <c r="AD90" i="5" l="1"/>
  <c r="C91" i="5" s="1"/>
  <c r="E91" i="5" s="1"/>
  <c r="I91" i="5" s="1"/>
  <c r="AC90" i="5"/>
  <c r="T90" i="2"/>
  <c r="K91" i="5" l="1"/>
  <c r="B91" i="5"/>
  <c r="D91" i="5" s="1"/>
  <c r="H91" i="5" s="1"/>
  <c r="M91" i="5" s="1"/>
  <c r="AE90" i="5"/>
  <c r="AF90" i="5" s="1"/>
  <c r="O91" i="5" l="1"/>
  <c r="Q91" i="5" s="1"/>
  <c r="L91" i="5"/>
  <c r="J91" i="5"/>
  <c r="AG90" i="5"/>
  <c r="N91" i="5" l="1"/>
  <c r="P91" i="5" s="1"/>
  <c r="S91" i="5"/>
  <c r="U91" i="5"/>
  <c r="M91" i="2" l="1"/>
  <c r="R91" i="5"/>
  <c r="T91" i="5"/>
  <c r="L91" i="2" l="1"/>
  <c r="N91" i="2" s="1"/>
  <c r="O91" i="2" s="1"/>
  <c r="V91" i="5"/>
  <c r="P91" i="2" l="1"/>
  <c r="Q91" i="2"/>
  <c r="Z91" i="5"/>
  <c r="AA91" i="5" l="1"/>
  <c r="S91" i="2"/>
  <c r="U91" i="2"/>
  <c r="AB91" i="5"/>
  <c r="R91" i="2"/>
  <c r="AD91" i="5" l="1"/>
  <c r="C92" i="5" s="1"/>
  <c r="E92" i="5" s="1"/>
  <c r="I92" i="5" s="1"/>
  <c r="AC91" i="5"/>
  <c r="T91" i="2"/>
  <c r="K92" i="5" l="1"/>
  <c r="B92" i="5"/>
  <c r="D92" i="5" s="1"/>
  <c r="H92" i="5" s="1"/>
  <c r="M92" i="5" s="1"/>
  <c r="AE91" i="5"/>
  <c r="AF91" i="5" s="1"/>
  <c r="O92" i="5" l="1"/>
  <c r="Q92" i="5" s="1"/>
  <c r="L92" i="5"/>
  <c r="J92" i="5"/>
  <c r="AG91" i="5"/>
  <c r="N92" i="5" l="1"/>
  <c r="P92" i="5" s="1"/>
  <c r="S92" i="5"/>
  <c r="U92" i="5"/>
  <c r="M92" i="2" l="1"/>
  <c r="R92" i="5"/>
  <c r="T92" i="5"/>
  <c r="V92" i="5" l="1"/>
  <c r="L92" i="2"/>
  <c r="N92" i="2" s="1"/>
  <c r="O92" i="2" s="1"/>
  <c r="P92" i="2" l="1"/>
  <c r="Q92" i="2"/>
  <c r="AB92" i="5" s="1"/>
  <c r="R92" i="2"/>
  <c r="S92" i="2"/>
  <c r="Z92" i="5"/>
  <c r="T92" i="2" l="1"/>
  <c r="AA92" i="5"/>
  <c r="U92" i="2"/>
  <c r="AD92" i="5" l="1"/>
  <c r="C93" i="5" s="1"/>
  <c r="E93" i="5" s="1"/>
  <c r="I93" i="5" s="1"/>
  <c r="AC92" i="5"/>
  <c r="K93" i="5" l="1"/>
  <c r="AE92" i="5"/>
  <c r="AF92" i="5" s="1"/>
  <c r="B93" i="5"/>
  <c r="D93" i="5" s="1"/>
  <c r="H93" i="5" s="1"/>
  <c r="M93" i="5" s="1"/>
  <c r="O93" i="5" l="1"/>
  <c r="Q93" i="5" s="1"/>
  <c r="AG92" i="5"/>
  <c r="J93" i="5"/>
  <c r="L93" i="5"/>
  <c r="N93" i="5" l="1"/>
  <c r="P93" i="5" s="1"/>
  <c r="S93" i="5"/>
  <c r="U93" i="5"/>
  <c r="M93" i="2" l="1"/>
  <c r="R93" i="5"/>
  <c r="T93" i="5"/>
  <c r="L93" i="2" l="1"/>
  <c r="N93" i="2" s="1"/>
  <c r="O93" i="2" s="1"/>
  <c r="V93" i="5"/>
  <c r="P93" i="2" l="1"/>
  <c r="AA93" i="5" s="1"/>
  <c r="Q93" i="2"/>
  <c r="U93" i="2"/>
  <c r="Z93" i="5"/>
  <c r="AC93" i="5" l="1"/>
  <c r="AD93" i="5"/>
  <c r="C94" i="5" s="1"/>
  <c r="E94" i="5" s="1"/>
  <c r="I94" i="5" s="1"/>
  <c r="AB93" i="5"/>
  <c r="R93" i="2"/>
  <c r="S93" i="2"/>
  <c r="B94" i="5" l="1"/>
  <c r="D94" i="5" s="1"/>
  <c r="H94" i="5" s="1"/>
  <c r="M94" i="5" s="1"/>
  <c r="AE93" i="5"/>
  <c r="AF93" i="5" s="1"/>
  <c r="K94" i="5"/>
  <c r="T93" i="2"/>
  <c r="J94" i="5" l="1"/>
  <c r="L94" i="5"/>
  <c r="AG93" i="5"/>
  <c r="O94" i="5"/>
  <c r="Q94" i="5" s="1"/>
  <c r="N94" i="5" l="1"/>
  <c r="P94" i="5" s="1"/>
  <c r="S94" i="5"/>
  <c r="U94" i="5"/>
  <c r="M94" i="2" l="1"/>
  <c r="R94" i="5"/>
  <c r="T94" i="5"/>
  <c r="L94" i="2" l="1"/>
  <c r="N94" i="2" s="1"/>
  <c r="O94" i="2" s="1"/>
  <c r="V94" i="5"/>
  <c r="P94" i="2" l="1"/>
  <c r="AA94" i="5" s="1"/>
  <c r="Q94" i="2"/>
  <c r="AB94" i="5" s="1"/>
  <c r="R94" i="2"/>
  <c r="S94" i="2"/>
  <c r="U94" i="2"/>
  <c r="Z94" i="5"/>
  <c r="AC94" i="5" l="1"/>
  <c r="AD94" i="5"/>
  <c r="C95" i="5" s="1"/>
  <c r="E95" i="5" s="1"/>
  <c r="I95" i="5" s="1"/>
  <c r="T94" i="2"/>
  <c r="B95" i="5" l="1"/>
  <c r="D95" i="5" s="1"/>
  <c r="H95" i="5" s="1"/>
  <c r="M95" i="5" s="1"/>
  <c r="AE94" i="5"/>
  <c r="AF94" i="5" s="1"/>
  <c r="K95" i="5"/>
  <c r="J95" i="5" l="1"/>
  <c r="L95" i="5"/>
  <c r="AG94" i="5"/>
  <c r="O95" i="5"/>
  <c r="Q95" i="5" s="1"/>
  <c r="N95" i="5" l="1"/>
  <c r="P95" i="5" s="1"/>
  <c r="S95" i="5"/>
  <c r="U95" i="5"/>
  <c r="M95" i="2" l="1"/>
  <c r="R95" i="5"/>
  <c r="T95" i="5"/>
  <c r="L95" i="2" l="1"/>
  <c r="N95" i="2" s="1"/>
  <c r="O95" i="2" s="1"/>
  <c r="V95" i="5"/>
  <c r="P95" i="2" l="1"/>
  <c r="Q95" i="2"/>
  <c r="AB95" i="5" s="1"/>
  <c r="R95" i="2"/>
  <c r="S95" i="2"/>
  <c r="Z95" i="5"/>
  <c r="T95" i="2" l="1"/>
  <c r="AA95" i="5"/>
  <c r="U95" i="2"/>
  <c r="AD95" i="5" l="1"/>
  <c r="C96" i="5" s="1"/>
  <c r="E96" i="5" s="1"/>
  <c r="I96" i="5" s="1"/>
  <c r="AC95" i="5"/>
  <c r="M96" i="5" l="1"/>
  <c r="K96" i="5"/>
  <c r="AE95" i="5"/>
  <c r="AF95" i="5" s="1"/>
  <c r="B96" i="5"/>
  <c r="D96" i="5" s="1"/>
  <c r="H96" i="5" s="1"/>
  <c r="O96" i="5" l="1"/>
  <c r="Q96" i="5" s="1"/>
  <c r="AG95" i="5"/>
  <c r="L96" i="5"/>
  <c r="J96" i="5"/>
  <c r="N96" i="5" l="1"/>
  <c r="P96" i="5" s="1"/>
  <c r="S96" i="5"/>
  <c r="U96" i="5"/>
  <c r="M96" i="2" l="1"/>
  <c r="R96" i="5"/>
  <c r="T96" i="5"/>
  <c r="V96" i="5" l="1"/>
  <c r="L96" i="2"/>
  <c r="N96" i="2" s="1"/>
  <c r="O96" i="2" s="1"/>
  <c r="P96" i="2" l="1"/>
  <c r="Q96" i="2"/>
  <c r="AB96" i="5" s="1"/>
  <c r="R96" i="2"/>
  <c r="S96" i="2"/>
  <c r="Z96" i="5"/>
  <c r="T96" i="2" l="1"/>
  <c r="AA96" i="5"/>
  <c r="U96" i="2"/>
  <c r="AD96" i="5" l="1"/>
  <c r="C97" i="5" s="1"/>
  <c r="E97" i="5" s="1"/>
  <c r="I97" i="5" s="1"/>
  <c r="AC96" i="5"/>
  <c r="K97" i="5" l="1"/>
  <c r="AE96" i="5"/>
  <c r="AF96" i="5" s="1"/>
  <c r="B97" i="5"/>
  <c r="D97" i="5" s="1"/>
  <c r="H97" i="5" s="1"/>
  <c r="M97" i="5" s="1"/>
  <c r="O97" i="5" l="1"/>
  <c r="Q97" i="5" s="1"/>
  <c r="AG96" i="5"/>
  <c r="J97" i="5"/>
  <c r="L97" i="5"/>
  <c r="N97" i="5" l="1"/>
  <c r="P97" i="5" s="1"/>
  <c r="S97" i="5"/>
  <c r="U97" i="5"/>
  <c r="M97" i="2" l="1"/>
  <c r="R97" i="5"/>
  <c r="T97" i="5"/>
  <c r="V97" i="5" l="1"/>
  <c r="L97" i="2"/>
  <c r="N97" i="2" s="1"/>
  <c r="O97" i="2" s="1"/>
  <c r="P97" i="2" l="1"/>
  <c r="Q97" i="2"/>
  <c r="AB97" i="5" s="1"/>
  <c r="Z97" i="5"/>
  <c r="AA97" i="5" l="1"/>
  <c r="R97" i="2"/>
  <c r="S97" i="2"/>
  <c r="U97" i="2"/>
  <c r="AD97" i="5" l="1"/>
  <c r="C98" i="5" s="1"/>
  <c r="E98" i="5" s="1"/>
  <c r="I98" i="5" s="1"/>
  <c r="AC97" i="5"/>
  <c r="T97" i="2"/>
  <c r="M98" i="5" l="1"/>
  <c r="K98" i="5"/>
  <c r="AE97" i="5"/>
  <c r="AF97" i="5" s="1"/>
  <c r="B98" i="5"/>
  <c r="D98" i="5" s="1"/>
  <c r="H98" i="5" s="1"/>
  <c r="O98" i="5" l="1"/>
  <c r="Q98" i="5" s="1"/>
  <c r="AG97" i="5"/>
  <c r="L98" i="5"/>
  <c r="J98" i="5"/>
  <c r="N98" i="5" l="1"/>
  <c r="P98" i="5" s="1"/>
  <c r="S98" i="5"/>
  <c r="U98" i="5"/>
  <c r="M98" i="2" l="1"/>
  <c r="R98" i="5"/>
  <c r="T98" i="5"/>
  <c r="L98" i="2" l="1"/>
  <c r="N98" i="2" s="1"/>
  <c r="O98" i="2" s="1"/>
  <c r="V98" i="5"/>
  <c r="P98" i="2" l="1"/>
  <c r="Q98" i="2"/>
  <c r="AB98" i="5" s="1"/>
  <c r="Z98" i="5"/>
  <c r="AA98" i="5" l="1"/>
  <c r="R98" i="2"/>
  <c r="T98" i="2" s="1"/>
  <c r="U98" i="2"/>
  <c r="S98" i="2"/>
  <c r="AD98" i="5" l="1"/>
  <c r="C99" i="5" s="1"/>
  <c r="E99" i="5" s="1"/>
  <c r="I99" i="5" s="1"/>
  <c r="AC98" i="5"/>
  <c r="M99" i="5" l="1"/>
  <c r="K99" i="5"/>
  <c r="B99" i="5"/>
  <c r="D99" i="5" s="1"/>
  <c r="H99" i="5" s="1"/>
  <c r="AE98" i="5"/>
  <c r="AF98" i="5" s="1"/>
  <c r="O99" i="5" l="1"/>
  <c r="Q99" i="5" s="1"/>
  <c r="L99" i="5"/>
  <c r="J99" i="5"/>
  <c r="AG98" i="5"/>
  <c r="N99" i="5" l="1"/>
  <c r="P99" i="5" s="1"/>
  <c r="S99" i="5"/>
  <c r="U99" i="5"/>
  <c r="M99" i="2" l="1"/>
  <c r="R99" i="5"/>
  <c r="T99" i="5"/>
  <c r="V99" i="5" l="1"/>
  <c r="L99" i="2"/>
  <c r="N99" i="2" s="1"/>
  <c r="O99" i="2" s="1"/>
  <c r="P99" i="2" l="1"/>
  <c r="Q99" i="2"/>
  <c r="Z99" i="5"/>
  <c r="AA99" i="5" l="1"/>
  <c r="U99" i="2"/>
  <c r="S99" i="2"/>
  <c r="AB99" i="5"/>
  <c r="R99" i="2"/>
  <c r="T99" i="2" s="1"/>
  <c r="AD99" i="5" l="1"/>
  <c r="C100" i="5" s="1"/>
  <c r="E100" i="5" s="1"/>
  <c r="I100" i="5" s="1"/>
  <c r="AC99" i="5"/>
  <c r="K100" i="5" l="1"/>
  <c r="AE99" i="5"/>
  <c r="AF99" i="5" s="1"/>
  <c r="B100" i="5"/>
  <c r="D100" i="5" s="1"/>
  <c r="H100" i="5" s="1"/>
  <c r="M100" i="5" s="1"/>
  <c r="O100" i="5" l="1"/>
  <c r="Q100" i="5" s="1"/>
  <c r="AG99" i="5"/>
  <c r="L100" i="5"/>
  <c r="J100" i="5"/>
  <c r="N100" i="5" l="1"/>
  <c r="P100" i="5" s="1"/>
  <c r="S100" i="5"/>
  <c r="U100" i="5"/>
  <c r="M100" i="2" l="1"/>
  <c r="R100" i="5"/>
  <c r="T100" i="5"/>
  <c r="L100" i="2" l="1"/>
  <c r="N100" i="2" s="1"/>
  <c r="O100" i="2" s="1"/>
  <c r="V100" i="5"/>
  <c r="P100" i="2" l="1"/>
  <c r="AA100" i="5" s="1"/>
  <c r="Q100" i="2"/>
  <c r="AB100" i="5" s="1"/>
  <c r="R100" i="2"/>
  <c r="S100" i="2"/>
  <c r="U100" i="2"/>
  <c r="Z100" i="5"/>
  <c r="AC100" i="5" l="1"/>
  <c r="AD100" i="5"/>
  <c r="C101" i="5" s="1"/>
  <c r="E101" i="5" s="1"/>
  <c r="I101" i="5" s="1"/>
  <c r="T100" i="2"/>
  <c r="B101" i="5" l="1"/>
  <c r="D101" i="5" s="1"/>
  <c r="H101" i="5" s="1"/>
  <c r="M101" i="5" s="1"/>
  <c r="AE100" i="5"/>
  <c r="AF100" i="5" s="1"/>
  <c r="K101" i="5"/>
  <c r="J101" i="5" l="1"/>
  <c r="L101" i="5"/>
  <c r="AG100" i="5"/>
  <c r="O101" i="5"/>
  <c r="Q101" i="5" s="1"/>
  <c r="N101" i="5" l="1"/>
  <c r="P101" i="5" s="1"/>
  <c r="S101" i="5"/>
  <c r="U101" i="5"/>
  <c r="M101" i="2" l="1"/>
  <c r="R101" i="5"/>
  <c r="T101" i="5"/>
  <c r="V101" i="5" l="1"/>
  <c r="L101" i="2"/>
  <c r="N101" i="2" s="1"/>
  <c r="O101" i="2" s="1"/>
  <c r="P101" i="2" l="1"/>
  <c r="Q101" i="2"/>
  <c r="AB101" i="5" s="1"/>
  <c r="R101" i="2"/>
  <c r="Z101" i="5"/>
  <c r="AA101" i="5" l="1"/>
  <c r="S101" i="2"/>
  <c r="T101" i="2" s="1"/>
  <c r="U101" i="2"/>
  <c r="AD101" i="5" l="1"/>
  <c r="C102" i="5" s="1"/>
  <c r="E102" i="5" s="1"/>
  <c r="I102" i="5" s="1"/>
  <c r="AC101" i="5"/>
  <c r="K102" i="5" l="1"/>
  <c r="B102" i="5"/>
  <c r="D102" i="5" s="1"/>
  <c r="H102" i="5" s="1"/>
  <c r="M102" i="5" s="1"/>
  <c r="AE101" i="5"/>
  <c r="AF101" i="5" s="1"/>
  <c r="O102" i="5" l="1"/>
  <c r="Q102" i="5" s="1"/>
  <c r="L102" i="5"/>
  <c r="J102" i="5"/>
  <c r="AG101" i="5"/>
  <c r="N102" i="5" l="1"/>
  <c r="P102" i="5" s="1"/>
  <c r="S102" i="5"/>
  <c r="U102" i="5"/>
  <c r="M102" i="2" l="1"/>
  <c r="R102" i="5"/>
  <c r="T102" i="5"/>
  <c r="L102" i="2" l="1"/>
  <c r="N102" i="2" s="1"/>
  <c r="O102" i="2" s="1"/>
  <c r="V102" i="5"/>
  <c r="P102" i="2" l="1"/>
  <c r="Q102" i="2"/>
  <c r="AB102" i="5" s="1"/>
  <c r="S102" i="2"/>
  <c r="Z102" i="5"/>
  <c r="AA102" i="5" l="1"/>
  <c r="R102" i="2"/>
  <c r="T102" i="2" s="1"/>
  <c r="U102" i="2"/>
  <c r="AD102" i="5" l="1"/>
  <c r="C103" i="5" s="1"/>
  <c r="E103" i="5" s="1"/>
  <c r="I103" i="5" s="1"/>
  <c r="AC102" i="5"/>
  <c r="K103" i="5" l="1"/>
  <c r="M103" i="5"/>
  <c r="AE102" i="5"/>
  <c r="AF102" i="5" s="1"/>
  <c r="B103" i="5"/>
  <c r="D103" i="5" s="1"/>
  <c r="H103" i="5" s="1"/>
  <c r="O103" i="5" l="1"/>
  <c r="Q103" i="5" s="1"/>
  <c r="AG102" i="5"/>
  <c r="J103" i="5"/>
  <c r="L103" i="5"/>
  <c r="N103" i="5" l="1"/>
  <c r="P103" i="5" s="1"/>
  <c r="S103" i="5"/>
  <c r="U103" i="5"/>
  <c r="M103" i="2" l="1"/>
  <c r="R103" i="5"/>
  <c r="T103" i="5"/>
  <c r="L103" i="2" l="1"/>
  <c r="N103" i="2" s="1"/>
  <c r="O103" i="2" s="1"/>
  <c r="V103" i="5"/>
  <c r="P103" i="2" l="1"/>
  <c r="AA103" i="5" s="1"/>
  <c r="Q103" i="2"/>
  <c r="AB103" i="5" s="1"/>
  <c r="R103" i="2"/>
  <c r="T103" i="2" s="1"/>
  <c r="S103" i="2"/>
  <c r="U103" i="2"/>
  <c r="Z103" i="5"/>
  <c r="AC103" i="5" l="1"/>
  <c r="AD103" i="5"/>
  <c r="C104" i="5" s="1"/>
  <c r="E104" i="5" s="1"/>
  <c r="I104" i="5" s="1"/>
  <c r="B104" i="5" l="1"/>
  <c r="D104" i="5" s="1"/>
  <c r="H104" i="5" s="1"/>
  <c r="M104" i="5" s="1"/>
  <c r="AE103" i="5"/>
  <c r="AF103" i="5" s="1"/>
  <c r="K104" i="5"/>
  <c r="J104" i="5" l="1"/>
  <c r="L104" i="5"/>
  <c r="AG103" i="5"/>
  <c r="O104" i="5"/>
  <c r="Q104" i="5" s="1"/>
  <c r="N104" i="5" l="1"/>
  <c r="P104" i="5" s="1"/>
  <c r="S104" i="5"/>
  <c r="U104" i="5"/>
  <c r="M104" i="2" l="1"/>
  <c r="R104" i="5"/>
  <c r="T104" i="5"/>
  <c r="L104" i="2" l="1"/>
  <c r="N104" i="2" s="1"/>
  <c r="O104" i="2" s="1"/>
  <c r="V104" i="5"/>
  <c r="P104" i="2" l="1"/>
  <c r="Q104" i="2"/>
  <c r="AB104" i="5" s="1"/>
  <c r="Z104" i="5"/>
  <c r="AA104" i="5" l="1"/>
  <c r="R104" i="2"/>
  <c r="S104" i="2"/>
  <c r="U104" i="2"/>
  <c r="AD104" i="5" l="1"/>
  <c r="C105" i="5" s="1"/>
  <c r="E105" i="5" s="1"/>
  <c r="I105" i="5" s="1"/>
  <c r="AC104" i="5"/>
  <c r="T104" i="2"/>
  <c r="M105" i="5" l="1"/>
  <c r="K105" i="5"/>
  <c r="AE104" i="5"/>
  <c r="AF104" i="5" s="1"/>
  <c r="B105" i="5"/>
  <c r="D105" i="5" s="1"/>
  <c r="H105" i="5" s="1"/>
  <c r="O105" i="5" l="1"/>
  <c r="Q105" i="5" s="1"/>
  <c r="AG104" i="5"/>
  <c r="J105" i="5"/>
  <c r="L105" i="5"/>
  <c r="N105" i="5" l="1"/>
  <c r="P105" i="5" s="1"/>
  <c r="S105" i="5"/>
  <c r="U105" i="5"/>
  <c r="M105" i="2" l="1"/>
  <c r="R105" i="5"/>
  <c r="T105" i="5"/>
  <c r="L105" i="2" l="1"/>
  <c r="N105" i="2" s="1"/>
  <c r="O105" i="2" s="1"/>
  <c r="V105" i="5"/>
  <c r="P105" i="2" l="1"/>
  <c r="AA105" i="5" s="1"/>
  <c r="Q105" i="2"/>
  <c r="AB105" i="5" s="1"/>
  <c r="R105" i="2"/>
  <c r="S105" i="2"/>
  <c r="U105" i="2"/>
  <c r="Z105" i="5"/>
  <c r="AC105" i="5" l="1"/>
  <c r="AD105" i="5"/>
  <c r="C106" i="5" s="1"/>
  <c r="E106" i="5" s="1"/>
  <c r="I106" i="5" s="1"/>
  <c r="T105" i="2"/>
  <c r="B106" i="5" l="1"/>
  <c r="D106" i="5" s="1"/>
  <c r="H106" i="5" s="1"/>
  <c r="AE105" i="5"/>
  <c r="AF105" i="5" s="1"/>
  <c r="K106" i="5"/>
  <c r="M106" i="5"/>
  <c r="L106" i="5" l="1"/>
  <c r="J106" i="5"/>
  <c r="AG105" i="5"/>
  <c r="O106" i="5"/>
  <c r="Q106" i="5" s="1"/>
  <c r="N106" i="5" l="1"/>
  <c r="P106" i="5" s="1"/>
  <c r="S106" i="5"/>
  <c r="U106" i="5"/>
  <c r="M106" i="2" l="1"/>
  <c r="R106" i="5"/>
  <c r="T106" i="5"/>
  <c r="L106" i="2" l="1"/>
  <c r="N106" i="2" s="1"/>
  <c r="O106" i="2" s="1"/>
  <c r="V106" i="5"/>
  <c r="P106" i="2" l="1"/>
  <c r="Q106" i="2"/>
  <c r="AB106" i="5" s="1"/>
  <c r="R106" i="2"/>
  <c r="Z106" i="5"/>
  <c r="AA106" i="5" l="1"/>
  <c r="S106" i="2"/>
  <c r="T106" i="2" s="1"/>
  <c r="U106" i="2"/>
  <c r="AD106" i="5" l="1"/>
  <c r="C107" i="5" s="1"/>
  <c r="E107" i="5" s="1"/>
  <c r="I107" i="5" s="1"/>
  <c r="AC106" i="5"/>
  <c r="M107" i="5" l="1"/>
  <c r="K107" i="5"/>
  <c r="B107" i="5"/>
  <c r="D107" i="5" s="1"/>
  <c r="H107" i="5" s="1"/>
  <c r="AE106" i="5"/>
  <c r="AF106" i="5" s="1"/>
  <c r="O107" i="5" l="1"/>
  <c r="Q107" i="5" s="1"/>
  <c r="L107" i="5"/>
  <c r="J107" i="5"/>
  <c r="AG106" i="5"/>
  <c r="N107" i="5" l="1"/>
  <c r="P107" i="5" s="1"/>
  <c r="S107" i="5"/>
  <c r="U107" i="5"/>
  <c r="M107" i="2" l="1"/>
  <c r="R107" i="5"/>
  <c r="T107" i="5"/>
  <c r="L107" i="2" l="1"/>
  <c r="N107" i="2" s="1"/>
  <c r="O107" i="2" s="1"/>
  <c r="V107" i="5"/>
  <c r="P107" i="2" l="1"/>
  <c r="Q107" i="2"/>
  <c r="AB107" i="5" s="1"/>
  <c r="Z107" i="5"/>
  <c r="AA107" i="5" l="1"/>
  <c r="R107" i="2"/>
  <c r="T107" i="2" s="1"/>
  <c r="S107" i="2"/>
  <c r="U107" i="2"/>
  <c r="AD107" i="5" l="1"/>
  <c r="C108" i="5" s="1"/>
  <c r="E108" i="5" s="1"/>
  <c r="I108" i="5" s="1"/>
  <c r="AC107" i="5"/>
  <c r="K108" i="5" l="1"/>
  <c r="B108" i="5"/>
  <c r="D108" i="5" s="1"/>
  <c r="H108" i="5" s="1"/>
  <c r="M108" i="5" s="1"/>
  <c r="AE107" i="5"/>
  <c r="AF107" i="5" s="1"/>
  <c r="O108" i="5" l="1"/>
  <c r="Q108" i="5" s="1"/>
  <c r="J108" i="5"/>
  <c r="L108" i="5"/>
  <c r="AG107" i="5"/>
  <c r="N108" i="5" l="1"/>
  <c r="P108" i="5" s="1"/>
  <c r="S108" i="5"/>
  <c r="U108" i="5"/>
  <c r="M108" i="2" l="1"/>
  <c r="R108" i="5"/>
  <c r="T108" i="5"/>
  <c r="V108" i="5" l="1"/>
  <c r="L108" i="2"/>
  <c r="N108" i="2" s="1"/>
  <c r="O108" i="2" s="1"/>
  <c r="P108" i="2" l="1"/>
  <c r="Q108" i="2"/>
  <c r="AB108" i="5" s="1"/>
  <c r="R108" i="2"/>
  <c r="Z108" i="5"/>
  <c r="AA108" i="5" l="1"/>
  <c r="S108" i="2"/>
  <c r="T108" i="2" s="1"/>
  <c r="U108" i="2"/>
  <c r="AD108" i="5" l="1"/>
  <c r="C109" i="5" s="1"/>
  <c r="E109" i="5" s="1"/>
  <c r="I109" i="5" s="1"/>
  <c r="AC108" i="5"/>
  <c r="K109" i="5" l="1"/>
  <c r="B109" i="5"/>
  <c r="D109" i="5" s="1"/>
  <c r="H109" i="5" s="1"/>
  <c r="M109" i="5" s="1"/>
  <c r="AE108" i="5"/>
  <c r="AF108" i="5" s="1"/>
  <c r="O109" i="5" l="1"/>
  <c r="Q109" i="5" s="1"/>
  <c r="J109" i="5"/>
  <c r="L109" i="5"/>
  <c r="AG108" i="5"/>
  <c r="N109" i="5" l="1"/>
  <c r="P109" i="5" s="1"/>
  <c r="S109" i="5"/>
  <c r="U109" i="5"/>
  <c r="M109" i="2" l="1"/>
  <c r="R109" i="5"/>
  <c r="T109" i="5"/>
  <c r="L109" i="2" l="1"/>
  <c r="N109" i="2" s="1"/>
  <c r="O109" i="2" s="1"/>
  <c r="V109" i="5"/>
  <c r="P109" i="2" l="1"/>
  <c r="Q109" i="2"/>
  <c r="AB109" i="5" s="1"/>
  <c r="Z109" i="5"/>
  <c r="AA109" i="5" l="1"/>
  <c r="R109" i="2"/>
  <c r="S109" i="2"/>
  <c r="U109" i="2"/>
  <c r="AD109" i="5" l="1"/>
  <c r="C110" i="5" s="1"/>
  <c r="E110" i="5" s="1"/>
  <c r="I110" i="5" s="1"/>
  <c r="AC109" i="5"/>
  <c r="T109" i="2"/>
  <c r="K110" i="5" l="1"/>
  <c r="AE109" i="5"/>
  <c r="AF109" i="5" s="1"/>
  <c r="B110" i="5"/>
  <c r="D110" i="5" s="1"/>
  <c r="H110" i="5" s="1"/>
  <c r="M110" i="5" s="1"/>
  <c r="O110" i="5" l="1"/>
  <c r="Q110" i="5" s="1"/>
  <c r="AG109" i="5"/>
  <c r="J110" i="5"/>
  <c r="L110" i="5"/>
  <c r="N110" i="5" l="1"/>
  <c r="P110" i="5" s="1"/>
  <c r="S110" i="5"/>
  <c r="U110" i="5"/>
  <c r="M110" i="2" l="1"/>
  <c r="R110" i="5"/>
  <c r="T110" i="5"/>
  <c r="V110" i="5" l="1"/>
  <c r="L110" i="2"/>
  <c r="N110" i="2" s="1"/>
  <c r="O110" i="2" s="1"/>
  <c r="P110" i="2" l="1"/>
  <c r="AA110" i="5" s="1"/>
  <c r="Q110" i="2"/>
  <c r="AB110" i="5" s="1"/>
  <c r="R110" i="2"/>
  <c r="T110" i="2" s="1"/>
  <c r="S110" i="2"/>
  <c r="U110" i="2"/>
  <c r="Z110" i="5"/>
  <c r="AC110" i="5" l="1"/>
  <c r="AD110" i="5"/>
  <c r="C111" i="5" s="1"/>
  <c r="E111" i="5" s="1"/>
  <c r="I111" i="5" s="1"/>
  <c r="B111" i="5" l="1"/>
  <c r="D111" i="5" s="1"/>
  <c r="H111" i="5" s="1"/>
  <c r="M111" i="5" s="1"/>
  <c r="AE110" i="5"/>
  <c r="AF110" i="5" s="1"/>
  <c r="K111" i="5"/>
  <c r="J111" i="5" l="1"/>
  <c r="L111" i="5"/>
  <c r="AG110" i="5"/>
  <c r="O111" i="5"/>
  <c r="Q111" i="5" s="1"/>
  <c r="N111" i="5" l="1"/>
  <c r="P111" i="5" s="1"/>
  <c r="S111" i="5"/>
  <c r="U111" i="5"/>
  <c r="M111" i="2" l="1"/>
  <c r="R111" i="5"/>
  <c r="T111" i="5"/>
  <c r="L111" i="2" l="1"/>
  <c r="N111" i="2" s="1"/>
  <c r="O111" i="2" s="1"/>
  <c r="V111" i="5"/>
  <c r="P111" i="2" l="1"/>
  <c r="Q111" i="2"/>
  <c r="AB111" i="5" s="1"/>
  <c r="Z111" i="5"/>
  <c r="AA111" i="5" l="1"/>
  <c r="R111" i="2"/>
  <c r="T111" i="2" s="1"/>
  <c r="S111" i="2"/>
  <c r="U111" i="2"/>
  <c r="AD111" i="5" l="1"/>
  <c r="C112" i="5" s="1"/>
  <c r="E112" i="5" s="1"/>
  <c r="I112" i="5" s="1"/>
  <c r="AC111" i="5"/>
  <c r="K112" i="5" l="1"/>
  <c r="B112" i="5"/>
  <c r="D112" i="5" s="1"/>
  <c r="H112" i="5" s="1"/>
  <c r="M112" i="5" s="1"/>
  <c r="AE111" i="5"/>
  <c r="AF111" i="5" s="1"/>
  <c r="O112" i="5" l="1"/>
  <c r="Q112" i="5" s="1"/>
  <c r="J112" i="5"/>
  <c r="L112" i="5"/>
  <c r="AG111" i="5"/>
  <c r="N112" i="5" l="1"/>
  <c r="P112" i="5" s="1"/>
  <c r="S112" i="5"/>
  <c r="U112" i="5"/>
  <c r="M112" i="2" l="1"/>
  <c r="R112" i="5"/>
  <c r="T112" i="5"/>
  <c r="V112" i="5" l="1"/>
  <c r="L112" i="2"/>
  <c r="N112" i="2" s="1"/>
  <c r="O112" i="2" s="1"/>
  <c r="P112" i="2" l="1"/>
  <c r="AA112" i="5" s="1"/>
  <c r="Q112" i="2"/>
  <c r="AB112" i="5" s="1"/>
  <c r="R112" i="2"/>
  <c r="S112" i="2"/>
  <c r="U112" i="2"/>
  <c r="Z112" i="5"/>
  <c r="AC112" i="5" l="1"/>
  <c r="AD112" i="5"/>
  <c r="C113" i="5" s="1"/>
  <c r="E113" i="5" s="1"/>
  <c r="I113" i="5" s="1"/>
  <c r="T112" i="2"/>
  <c r="AE112" i="5" l="1"/>
  <c r="AF112" i="5" s="1"/>
  <c r="B113" i="5"/>
  <c r="D113" i="5" s="1"/>
  <c r="H113" i="5" s="1"/>
  <c r="M113" i="5" s="1"/>
  <c r="K113" i="5"/>
  <c r="AG112" i="5" l="1"/>
  <c r="L113" i="5"/>
  <c r="J113" i="5"/>
  <c r="O113" i="5"/>
  <c r="Q113" i="5" s="1"/>
  <c r="N113" i="5" l="1"/>
  <c r="P113" i="5" s="1"/>
  <c r="S113" i="5"/>
  <c r="U113" i="5"/>
  <c r="M113" i="2" l="1"/>
  <c r="R113" i="5"/>
  <c r="T113" i="5"/>
  <c r="V113" i="5" l="1"/>
  <c r="L113" i="2"/>
  <c r="N113" i="2" s="1"/>
  <c r="O113" i="2" s="1"/>
  <c r="P113" i="2" l="1"/>
  <c r="AA113" i="5" s="1"/>
  <c r="Q113" i="2"/>
  <c r="AB113" i="5" s="1"/>
  <c r="R113" i="2"/>
  <c r="S113" i="2"/>
  <c r="U113" i="2"/>
  <c r="Z113" i="5"/>
  <c r="AC113" i="5" l="1"/>
  <c r="AD113" i="5"/>
  <c r="C114" i="5" s="1"/>
  <c r="E114" i="5" s="1"/>
  <c r="I114" i="5" s="1"/>
  <c r="T113" i="2"/>
  <c r="B114" i="5" l="1"/>
  <c r="D114" i="5" s="1"/>
  <c r="H114" i="5" s="1"/>
  <c r="AE113" i="5"/>
  <c r="AF113" i="5" s="1"/>
  <c r="M114" i="5"/>
  <c r="K114" i="5"/>
  <c r="J114" i="5" l="1"/>
  <c r="L114" i="5"/>
  <c r="AG113" i="5"/>
  <c r="O114" i="5"/>
  <c r="Q114" i="5" s="1"/>
  <c r="N114" i="5" l="1"/>
  <c r="P114" i="5" s="1"/>
  <c r="S114" i="5"/>
  <c r="U114" i="5"/>
  <c r="M114" i="2" l="1"/>
  <c r="R114" i="5"/>
  <c r="T114" i="5"/>
  <c r="L114" i="2" l="1"/>
  <c r="N114" i="2" s="1"/>
  <c r="O114" i="2" s="1"/>
  <c r="V114" i="5"/>
  <c r="P114" i="2" l="1"/>
  <c r="Q114" i="2"/>
  <c r="AB114" i="5" s="1"/>
  <c r="Z114" i="5"/>
  <c r="AA114" i="5" l="1"/>
  <c r="R114" i="2"/>
  <c r="T114" i="2" s="1"/>
  <c r="S114" i="2"/>
  <c r="U114" i="2"/>
  <c r="AD114" i="5" l="1"/>
  <c r="C115" i="5" s="1"/>
  <c r="E115" i="5" s="1"/>
  <c r="I115" i="5" s="1"/>
  <c r="AC114" i="5"/>
  <c r="K115" i="5" l="1"/>
  <c r="M115" i="5"/>
  <c r="AE114" i="5"/>
  <c r="AF114" i="5" s="1"/>
  <c r="B115" i="5"/>
  <c r="D115" i="5" s="1"/>
  <c r="H115" i="5" s="1"/>
  <c r="O115" i="5" l="1"/>
  <c r="Q115" i="5" s="1"/>
  <c r="AG114" i="5"/>
  <c r="L115" i="5"/>
  <c r="J115" i="5"/>
  <c r="N115" i="5" l="1"/>
  <c r="P115" i="5" s="1"/>
  <c r="S115" i="5"/>
  <c r="U115" i="5"/>
  <c r="M115" i="2" l="1"/>
  <c r="R115" i="5"/>
  <c r="T115" i="5"/>
  <c r="L115" i="2" l="1"/>
  <c r="N115" i="2" s="1"/>
  <c r="O115" i="2" s="1"/>
  <c r="V115" i="5"/>
  <c r="P115" i="2" l="1"/>
  <c r="Q115" i="2"/>
  <c r="Z115" i="5"/>
  <c r="AA115" i="5" l="1"/>
  <c r="S115" i="2"/>
  <c r="U115" i="2"/>
  <c r="AB115" i="5"/>
  <c r="R115" i="2"/>
  <c r="T115" i="2" s="1"/>
  <c r="AD115" i="5" l="1"/>
  <c r="C116" i="5" s="1"/>
  <c r="E116" i="5" s="1"/>
  <c r="I116" i="5" s="1"/>
  <c r="AC115" i="5"/>
  <c r="K116" i="5" l="1"/>
  <c r="B116" i="5"/>
  <c r="D116" i="5" s="1"/>
  <c r="H116" i="5" s="1"/>
  <c r="M116" i="5" s="1"/>
  <c r="AE115" i="5"/>
  <c r="AF115" i="5" s="1"/>
  <c r="O116" i="5" l="1"/>
  <c r="Q116" i="5" s="1"/>
  <c r="L116" i="5"/>
  <c r="J116" i="5"/>
  <c r="AG115" i="5"/>
  <c r="N116" i="5" l="1"/>
  <c r="P116" i="5" s="1"/>
  <c r="S116" i="5"/>
  <c r="U116" i="5"/>
  <c r="M116" i="2" l="1"/>
  <c r="R116" i="5"/>
  <c r="T116" i="5"/>
  <c r="V116" i="5" l="1"/>
  <c r="L116" i="2"/>
  <c r="N116" i="2" s="1"/>
  <c r="O116" i="2" s="1"/>
  <c r="P116" i="2" l="1"/>
  <c r="Q116" i="2"/>
  <c r="AB116" i="5" s="1"/>
  <c r="Z116" i="5"/>
  <c r="AA116" i="5" l="1"/>
  <c r="R116" i="2"/>
  <c r="S116" i="2"/>
  <c r="U116" i="2"/>
  <c r="AD116" i="5" l="1"/>
  <c r="C117" i="5" s="1"/>
  <c r="E117" i="5" s="1"/>
  <c r="I117" i="5" s="1"/>
  <c r="AC116" i="5"/>
  <c r="T116" i="2"/>
  <c r="K117" i="5" l="1"/>
  <c r="B117" i="5"/>
  <c r="D117" i="5" s="1"/>
  <c r="H117" i="5" s="1"/>
  <c r="M117" i="5" s="1"/>
  <c r="AE116" i="5"/>
  <c r="AF116" i="5" s="1"/>
  <c r="O117" i="5" l="1"/>
  <c r="Q117" i="5" s="1"/>
  <c r="J117" i="5"/>
  <c r="L117" i="5"/>
  <c r="AG116" i="5"/>
  <c r="N117" i="5" l="1"/>
  <c r="P117" i="5" s="1"/>
  <c r="S117" i="5"/>
  <c r="U117" i="5"/>
  <c r="M117" i="2" l="1"/>
  <c r="R117" i="5"/>
  <c r="T117" i="5"/>
  <c r="V117" i="5" l="1"/>
  <c r="L117" i="2"/>
  <c r="N117" i="2" s="1"/>
  <c r="O117" i="2" s="1"/>
  <c r="P117" i="2" l="1"/>
  <c r="AA117" i="5" s="1"/>
  <c r="Q117" i="2"/>
  <c r="AB117" i="5" s="1"/>
  <c r="R117" i="2"/>
  <c r="S117" i="2"/>
  <c r="U117" i="2"/>
  <c r="Z117" i="5"/>
  <c r="AC117" i="5" l="1"/>
  <c r="AD117" i="5"/>
  <c r="C118" i="5" s="1"/>
  <c r="E118" i="5" s="1"/>
  <c r="I118" i="5" s="1"/>
  <c r="T117" i="2"/>
  <c r="B118" i="5" l="1"/>
  <c r="D118" i="5" s="1"/>
  <c r="H118" i="5" s="1"/>
  <c r="M118" i="5" s="1"/>
  <c r="AE117" i="5"/>
  <c r="AF117" i="5" s="1"/>
  <c r="K118" i="5"/>
  <c r="J118" i="5" l="1"/>
  <c r="L118" i="5"/>
  <c r="AG117" i="5"/>
  <c r="O118" i="5"/>
  <c r="Q118" i="5" s="1"/>
  <c r="N118" i="5" l="1"/>
  <c r="P118" i="5" s="1"/>
  <c r="S118" i="5"/>
  <c r="U118" i="5"/>
  <c r="M118" i="2" l="1"/>
  <c r="R118" i="5"/>
  <c r="T118" i="5"/>
  <c r="V118" i="5" l="1"/>
  <c r="L118" i="2"/>
  <c r="N118" i="2" s="1"/>
  <c r="O118" i="2" s="1"/>
  <c r="P118" i="2" l="1"/>
  <c r="Q118" i="2"/>
  <c r="AB118" i="5" s="1"/>
  <c r="Z118" i="5"/>
  <c r="AA118" i="5" l="1"/>
  <c r="R118" i="2"/>
  <c r="S118" i="2"/>
  <c r="U118" i="2"/>
  <c r="AD118" i="5" l="1"/>
  <c r="C119" i="5" s="1"/>
  <c r="E119" i="5" s="1"/>
  <c r="I119" i="5" s="1"/>
  <c r="AC118" i="5"/>
  <c r="T118" i="2"/>
  <c r="K119" i="5" l="1"/>
  <c r="AE118" i="5"/>
  <c r="AF118" i="5" s="1"/>
  <c r="B119" i="5"/>
  <c r="D119" i="5" s="1"/>
  <c r="H119" i="5" s="1"/>
  <c r="M119" i="5" s="1"/>
  <c r="O119" i="5" l="1"/>
  <c r="Q119" i="5" s="1"/>
  <c r="S119" i="5" s="1"/>
  <c r="U119" i="5"/>
  <c r="AG118" i="5"/>
  <c r="L119" i="5"/>
  <c r="J119" i="5"/>
  <c r="M119" i="2" l="1"/>
  <c r="N119" i="5"/>
  <c r="P119" i="5" s="1"/>
  <c r="R119" i="5" l="1"/>
  <c r="T119" i="5"/>
  <c r="L119" i="2" l="1"/>
  <c r="N119" i="2" s="1"/>
  <c r="O119" i="2" s="1"/>
  <c r="V119" i="5"/>
  <c r="P119" i="2" l="1"/>
  <c r="Q119" i="2"/>
  <c r="AB119" i="5" s="1"/>
  <c r="R119" i="2"/>
  <c r="Z119" i="5"/>
  <c r="AA119" i="5" l="1"/>
  <c r="S119" i="2"/>
  <c r="T119" i="2" s="1"/>
  <c r="U119" i="2"/>
  <c r="AD119" i="5" l="1"/>
  <c r="C120" i="5" s="1"/>
  <c r="E120" i="5" s="1"/>
  <c r="I120" i="5" s="1"/>
  <c r="AC119" i="5"/>
  <c r="K120" i="5" l="1"/>
  <c r="AE119" i="5"/>
  <c r="AF119" i="5" s="1"/>
  <c r="B120" i="5"/>
  <c r="D120" i="5" s="1"/>
  <c r="H120" i="5" s="1"/>
  <c r="M120" i="5" s="1"/>
  <c r="O120" i="5" l="1"/>
  <c r="Q120" i="5" s="1"/>
  <c r="AG119" i="5"/>
  <c r="L120" i="5"/>
  <c r="J120" i="5"/>
  <c r="N120" i="5" l="1"/>
  <c r="P120" i="5" s="1"/>
  <c r="S120" i="5"/>
  <c r="U120" i="5"/>
  <c r="M120" i="2" l="1"/>
  <c r="R120" i="5"/>
  <c r="T120" i="5"/>
  <c r="V120" i="5" l="1"/>
  <c r="L120" i="2"/>
  <c r="N120" i="2" s="1"/>
  <c r="O120" i="2" s="1"/>
  <c r="P120" i="2" l="1"/>
  <c r="Q120" i="2"/>
  <c r="AB120" i="5" s="1"/>
  <c r="Z120" i="5"/>
  <c r="AA120" i="5" l="1"/>
  <c r="R120" i="2"/>
  <c r="T120" i="2" s="1"/>
  <c r="S120" i="2"/>
  <c r="U120" i="2"/>
  <c r="AD120" i="5" l="1"/>
  <c r="C121" i="5" s="1"/>
  <c r="E121" i="5" s="1"/>
  <c r="I121" i="5" s="1"/>
  <c r="AC120" i="5"/>
  <c r="K121" i="5" l="1"/>
  <c r="AE120" i="5"/>
  <c r="AF120" i="5" s="1"/>
  <c r="B121" i="5"/>
  <c r="D121" i="5" s="1"/>
  <c r="H121" i="5" s="1"/>
  <c r="M121" i="5" s="1"/>
  <c r="O121" i="5" l="1"/>
  <c r="Q121" i="5" s="1"/>
  <c r="AG120" i="5"/>
  <c r="J121" i="5"/>
  <c r="L121" i="5"/>
  <c r="N121" i="5" l="1"/>
  <c r="P121" i="5" s="1"/>
  <c r="S121" i="5"/>
  <c r="U121" i="5"/>
  <c r="M121" i="2" l="1"/>
  <c r="R121" i="5"/>
  <c r="T121" i="5"/>
  <c r="V121" i="5" l="1"/>
  <c r="L121" i="2"/>
  <c r="N121" i="2" s="1"/>
  <c r="O121" i="2" s="1"/>
  <c r="P121" i="2" l="1"/>
  <c r="Q121" i="2"/>
  <c r="AB121" i="5" s="1"/>
  <c r="Z121" i="5"/>
  <c r="AA121" i="5" l="1"/>
  <c r="R121" i="2"/>
  <c r="T121" i="2" s="1"/>
  <c r="S121" i="2"/>
  <c r="U121" i="2"/>
  <c r="AD121" i="5" l="1"/>
  <c r="C122" i="5" s="1"/>
  <c r="E122" i="5" s="1"/>
  <c r="I122" i="5" s="1"/>
  <c r="AC121" i="5"/>
  <c r="K122" i="5" l="1"/>
  <c r="B122" i="5"/>
  <c r="D122" i="5" s="1"/>
  <c r="H122" i="5" s="1"/>
  <c r="M122" i="5" s="1"/>
  <c r="AE121" i="5"/>
  <c r="AF121" i="5" s="1"/>
  <c r="O122" i="5" l="1"/>
  <c r="Q122" i="5" s="1"/>
  <c r="L122" i="5"/>
  <c r="J122" i="5"/>
  <c r="AG121" i="5"/>
  <c r="N122" i="5" l="1"/>
  <c r="P122" i="5" s="1"/>
  <c r="S122" i="5"/>
  <c r="U122" i="5"/>
  <c r="M122" i="2" l="1"/>
  <c r="R122" i="5"/>
  <c r="T122" i="5"/>
  <c r="V122" i="5" l="1"/>
  <c r="L122" i="2"/>
  <c r="N122" i="2" s="1"/>
  <c r="O122" i="2" s="1"/>
  <c r="P122" i="2" l="1"/>
  <c r="Q122" i="2"/>
  <c r="AB122" i="5" s="1"/>
  <c r="R122" i="2"/>
  <c r="Z122" i="5"/>
  <c r="AA122" i="5" l="1"/>
  <c r="S122" i="2"/>
  <c r="T122" i="2" s="1"/>
  <c r="U122" i="2"/>
  <c r="AD122" i="5" l="1"/>
  <c r="C123" i="5" s="1"/>
  <c r="E123" i="5" s="1"/>
  <c r="I123" i="5" s="1"/>
  <c r="AC122" i="5"/>
  <c r="K123" i="5" l="1"/>
  <c r="B123" i="5"/>
  <c r="D123" i="5" s="1"/>
  <c r="H123" i="5" s="1"/>
  <c r="M123" i="5" s="1"/>
  <c r="AE122" i="5"/>
  <c r="AF122" i="5" s="1"/>
  <c r="O123" i="5" l="1"/>
  <c r="Q123" i="5" s="1"/>
  <c r="J123" i="5"/>
  <c r="L123" i="5"/>
  <c r="AG122" i="5"/>
  <c r="N123" i="5" l="1"/>
  <c r="P123" i="5" s="1"/>
  <c r="S123" i="5"/>
  <c r="U123" i="5"/>
  <c r="M123" i="2" l="1"/>
  <c r="R123" i="5"/>
  <c r="T123" i="5"/>
  <c r="V123" i="5" l="1"/>
  <c r="L123" i="2"/>
  <c r="N123" i="2" s="1"/>
  <c r="O123" i="2" s="1"/>
  <c r="P123" i="2" l="1"/>
  <c r="AA123" i="5" s="1"/>
  <c r="Q123" i="2"/>
  <c r="AB123" i="5" s="1"/>
  <c r="R123" i="2"/>
  <c r="S123" i="2"/>
  <c r="U123" i="2"/>
  <c r="Z123" i="5"/>
  <c r="AC123" i="5" l="1"/>
  <c r="AD123" i="5"/>
  <c r="C124" i="5" s="1"/>
  <c r="E124" i="5" s="1"/>
  <c r="I124" i="5" s="1"/>
  <c r="T123" i="2"/>
  <c r="B124" i="5" l="1"/>
  <c r="D124" i="5" s="1"/>
  <c r="H124" i="5" s="1"/>
  <c r="M124" i="5" s="1"/>
  <c r="AE123" i="5"/>
  <c r="AF123" i="5" s="1"/>
  <c r="K124" i="5"/>
  <c r="L124" i="5" l="1"/>
  <c r="J124" i="5"/>
  <c r="AG123" i="5"/>
  <c r="O124" i="5"/>
  <c r="Q124" i="5" s="1"/>
  <c r="N124" i="5" l="1"/>
  <c r="P124" i="5" s="1"/>
  <c r="S124" i="5"/>
  <c r="U124" i="5"/>
  <c r="M124" i="2" l="1"/>
  <c r="R124" i="5"/>
  <c r="T124" i="5"/>
  <c r="L124" i="2" l="1"/>
  <c r="N124" i="2" s="1"/>
  <c r="O124" i="2" s="1"/>
  <c r="V124" i="5"/>
  <c r="P124" i="2" l="1"/>
  <c r="Q124" i="2"/>
  <c r="AB124" i="5" s="1"/>
  <c r="R124" i="2"/>
  <c r="S124" i="2"/>
  <c r="Z124" i="5"/>
  <c r="T124" i="2" l="1"/>
  <c r="AA124" i="5"/>
  <c r="U124" i="2"/>
  <c r="AD124" i="5" l="1"/>
  <c r="C125" i="5" s="1"/>
  <c r="E125" i="5" s="1"/>
  <c r="I125" i="5" s="1"/>
  <c r="AC124" i="5"/>
  <c r="K125" i="5" l="1"/>
  <c r="AE124" i="5"/>
  <c r="AF124" i="5" s="1"/>
  <c r="B125" i="5"/>
  <c r="D125" i="5" s="1"/>
  <c r="H125" i="5" s="1"/>
  <c r="M125" i="5" s="1"/>
  <c r="O125" i="5" l="1"/>
  <c r="Q125" i="5" s="1"/>
  <c r="AG124" i="5"/>
  <c r="L125" i="5"/>
  <c r="J125" i="5"/>
  <c r="N125" i="5" l="1"/>
  <c r="P125" i="5" s="1"/>
  <c r="S125" i="5"/>
  <c r="U125" i="5"/>
  <c r="M125" i="2" l="1"/>
  <c r="R125" i="5"/>
  <c r="T125" i="5"/>
  <c r="L125" i="2" l="1"/>
  <c r="N125" i="2" s="1"/>
  <c r="O125" i="2" s="1"/>
  <c r="V125" i="5"/>
  <c r="P125" i="2" l="1"/>
  <c r="Q125" i="2"/>
  <c r="Z125" i="5"/>
  <c r="AA125" i="5" l="1"/>
  <c r="S125" i="2"/>
  <c r="U125" i="2"/>
  <c r="AB125" i="5"/>
  <c r="R125" i="2"/>
  <c r="T125" i="2" s="1"/>
  <c r="AD125" i="5" l="1"/>
  <c r="C126" i="5" s="1"/>
  <c r="E126" i="5" s="1"/>
  <c r="I126" i="5" s="1"/>
  <c r="AC125" i="5"/>
  <c r="K126" i="5" l="1"/>
  <c r="AE125" i="5"/>
  <c r="AF125" i="5" s="1"/>
  <c r="B126" i="5"/>
  <c r="D126" i="5" s="1"/>
  <c r="H126" i="5" s="1"/>
  <c r="M126" i="5" s="1"/>
  <c r="O126" i="5" l="1"/>
  <c r="Q126" i="5" s="1"/>
  <c r="AG125" i="5"/>
  <c r="J126" i="5"/>
  <c r="L126" i="5"/>
  <c r="N126" i="5" l="1"/>
  <c r="P126" i="5" s="1"/>
  <c r="S126" i="5"/>
  <c r="U126" i="5"/>
  <c r="M126" i="2" l="1"/>
  <c r="R126" i="5"/>
  <c r="T126" i="5"/>
  <c r="L126" i="2" l="1"/>
  <c r="N126" i="2" s="1"/>
  <c r="O126" i="2" s="1"/>
  <c r="V126" i="5"/>
  <c r="P126" i="2" l="1"/>
  <c r="Q126" i="2"/>
  <c r="Z126" i="5"/>
  <c r="AA126" i="5" l="1"/>
  <c r="S126" i="2"/>
  <c r="U126" i="2"/>
  <c r="AB126" i="5"/>
  <c r="R126" i="2"/>
  <c r="AD126" i="5" l="1"/>
  <c r="C127" i="5" s="1"/>
  <c r="E127" i="5" s="1"/>
  <c r="I127" i="5" s="1"/>
  <c r="AC126" i="5"/>
  <c r="T126" i="2"/>
  <c r="K127" i="5" l="1"/>
  <c r="AE126" i="5"/>
  <c r="AF126" i="5" s="1"/>
  <c r="B127" i="5"/>
  <c r="D127" i="5" s="1"/>
  <c r="H127" i="5" s="1"/>
  <c r="M127" i="5" s="1"/>
  <c r="O127" i="5" l="1"/>
  <c r="Q127" i="5" s="1"/>
  <c r="AG126" i="5"/>
  <c r="L127" i="5"/>
  <c r="J127" i="5"/>
  <c r="N127" i="5" l="1"/>
  <c r="P127" i="5" s="1"/>
  <c r="S127" i="5"/>
  <c r="U127" i="5"/>
  <c r="M127" i="2" l="1"/>
  <c r="R127" i="5"/>
  <c r="T127" i="5"/>
  <c r="L127" i="2" l="1"/>
  <c r="N127" i="2" s="1"/>
  <c r="O127" i="2" s="1"/>
  <c r="V127" i="5"/>
  <c r="P127" i="2" l="1"/>
  <c r="Q127" i="2"/>
  <c r="AB127" i="5" s="1"/>
  <c r="Z127" i="5"/>
  <c r="AA127" i="5" l="1"/>
  <c r="R127" i="2"/>
  <c r="T127" i="2" s="1"/>
  <c r="S127" i="2"/>
  <c r="U127" i="2"/>
  <c r="AD127" i="5" l="1"/>
  <c r="C128" i="5" s="1"/>
  <c r="E128" i="5" s="1"/>
  <c r="I128" i="5" s="1"/>
  <c r="AC127" i="5"/>
  <c r="K128" i="5" l="1"/>
  <c r="B128" i="5"/>
  <c r="D128" i="5" s="1"/>
  <c r="H128" i="5" s="1"/>
  <c r="M128" i="5" s="1"/>
  <c r="AE127" i="5"/>
  <c r="AF127" i="5" s="1"/>
  <c r="O128" i="5" l="1"/>
  <c r="Q128" i="5" s="1"/>
  <c r="J128" i="5"/>
  <c r="L128" i="5"/>
  <c r="AG127" i="5"/>
  <c r="N128" i="5" l="1"/>
  <c r="P128" i="5" s="1"/>
  <c r="S128" i="5"/>
  <c r="U128" i="5"/>
  <c r="M128" i="2" l="1"/>
  <c r="R128" i="5"/>
  <c r="T128" i="5"/>
  <c r="L128" i="2" l="1"/>
  <c r="N128" i="2" s="1"/>
  <c r="O128" i="2" s="1"/>
  <c r="V128" i="5"/>
  <c r="P128" i="2" l="1"/>
  <c r="AA128" i="5" s="1"/>
  <c r="Q128" i="2"/>
  <c r="R128" i="2"/>
  <c r="U128" i="2"/>
  <c r="Z128" i="5"/>
  <c r="AC128" i="5" l="1"/>
  <c r="AD128" i="5"/>
  <c r="C129" i="5" s="1"/>
  <c r="E129" i="5" s="1"/>
  <c r="I129" i="5" s="1"/>
  <c r="AB128" i="5"/>
  <c r="S128" i="2"/>
  <c r="T128" i="2" s="1"/>
  <c r="B129" i="5" l="1"/>
  <c r="D129" i="5" s="1"/>
  <c r="H129" i="5" s="1"/>
  <c r="AE128" i="5"/>
  <c r="AF128" i="5" s="1"/>
  <c r="M129" i="5"/>
  <c r="K129" i="5"/>
  <c r="J129" i="5" l="1"/>
  <c r="L129" i="5"/>
  <c r="AG128" i="5"/>
  <c r="O129" i="5"/>
  <c r="Q129" i="5" s="1"/>
  <c r="N129" i="5" l="1"/>
  <c r="P129" i="5" s="1"/>
  <c r="S129" i="5"/>
  <c r="U129" i="5"/>
  <c r="M129" i="2" l="1"/>
  <c r="R129" i="5"/>
  <c r="T129" i="5"/>
  <c r="L129" i="2" l="1"/>
  <c r="N129" i="2" s="1"/>
  <c r="O129" i="2" s="1"/>
  <c r="V129" i="5"/>
  <c r="P129" i="2" l="1"/>
  <c r="Q129" i="2"/>
  <c r="AB129" i="5" s="1"/>
  <c r="Z129" i="5"/>
  <c r="AA129" i="5" l="1"/>
  <c r="R129" i="2"/>
  <c r="S129" i="2"/>
  <c r="U129" i="2"/>
  <c r="AD129" i="5" l="1"/>
  <c r="C130" i="5" s="1"/>
  <c r="E130" i="5" s="1"/>
  <c r="I130" i="5" s="1"/>
  <c r="AC129" i="5"/>
  <c r="T129" i="2"/>
  <c r="K130" i="5" l="1"/>
  <c r="AE129" i="5"/>
  <c r="AF129" i="5" s="1"/>
  <c r="B130" i="5"/>
  <c r="D130" i="5" s="1"/>
  <c r="H130" i="5" s="1"/>
  <c r="M130" i="5" s="1"/>
  <c r="O130" i="5" l="1"/>
  <c r="Q130" i="5" s="1"/>
  <c r="AG129" i="5"/>
  <c r="L130" i="5"/>
  <c r="J130" i="5"/>
  <c r="N130" i="5" l="1"/>
  <c r="P130" i="5" s="1"/>
  <c r="S130" i="5"/>
  <c r="U130" i="5"/>
  <c r="M130" i="2" l="1"/>
  <c r="R130" i="5"/>
  <c r="T130" i="5"/>
  <c r="L130" i="2" l="1"/>
  <c r="N130" i="2" s="1"/>
  <c r="O130" i="2" s="1"/>
  <c r="V130" i="5"/>
  <c r="P130" i="2" l="1"/>
  <c r="Q130" i="2"/>
  <c r="AB130" i="5" s="1"/>
  <c r="Z130" i="5"/>
  <c r="AA130" i="5" l="1"/>
  <c r="R130" i="2"/>
  <c r="S130" i="2"/>
  <c r="U130" i="2"/>
  <c r="AD130" i="5" l="1"/>
  <c r="C131" i="5" s="1"/>
  <c r="E131" i="5" s="1"/>
  <c r="I131" i="5" s="1"/>
  <c r="AC130" i="5"/>
  <c r="T130" i="2"/>
  <c r="K131" i="5" l="1"/>
  <c r="B131" i="5"/>
  <c r="D131" i="5" s="1"/>
  <c r="H131" i="5" s="1"/>
  <c r="M131" i="5" s="1"/>
  <c r="AE130" i="5"/>
  <c r="AF130" i="5" s="1"/>
  <c r="O131" i="5" l="1"/>
  <c r="Q131" i="5" s="1"/>
  <c r="L131" i="5"/>
  <c r="J131" i="5"/>
  <c r="AG130" i="5"/>
  <c r="N131" i="5" l="1"/>
  <c r="P131" i="5" s="1"/>
  <c r="S131" i="5"/>
  <c r="U131" i="5"/>
  <c r="M131" i="2" l="1"/>
  <c r="R131" i="5"/>
  <c r="T131" i="5"/>
  <c r="V131" i="5" l="1"/>
  <c r="L131" i="2"/>
  <c r="N131" i="2" s="1"/>
  <c r="O131" i="2" s="1"/>
  <c r="P131" i="2" l="1"/>
  <c r="Q131" i="2"/>
  <c r="S131" i="2"/>
  <c r="Z131" i="5"/>
  <c r="AA131" i="5" l="1"/>
  <c r="U131" i="2"/>
  <c r="AB131" i="5"/>
  <c r="R131" i="2"/>
  <c r="T131" i="2" s="1"/>
  <c r="AD131" i="5" l="1"/>
  <c r="C132" i="5" s="1"/>
  <c r="E132" i="5" s="1"/>
  <c r="I132" i="5" s="1"/>
  <c r="AC131" i="5"/>
  <c r="M132" i="5" l="1"/>
  <c r="K132" i="5"/>
  <c r="AE131" i="5"/>
  <c r="AF131" i="5" s="1"/>
  <c r="B132" i="5"/>
  <c r="D132" i="5" s="1"/>
  <c r="H132" i="5" s="1"/>
  <c r="O132" i="5" l="1"/>
  <c r="Q132" i="5" s="1"/>
  <c r="AG131" i="5"/>
  <c r="L132" i="5"/>
  <c r="J132" i="5"/>
  <c r="N132" i="5" l="1"/>
  <c r="P132" i="5" s="1"/>
  <c r="S132" i="5"/>
  <c r="U132" i="5"/>
  <c r="M132" i="2" l="1"/>
  <c r="R132" i="5"/>
  <c r="T132" i="5"/>
  <c r="L132" i="2" l="1"/>
  <c r="N132" i="2" s="1"/>
  <c r="O132" i="2" s="1"/>
  <c r="V132" i="5"/>
  <c r="P132" i="2" l="1"/>
  <c r="AA132" i="5" s="1"/>
  <c r="Q132" i="2"/>
  <c r="AB132" i="5" s="1"/>
  <c r="R132" i="2"/>
  <c r="S132" i="2"/>
  <c r="U132" i="2"/>
  <c r="Z132" i="5"/>
  <c r="AC132" i="5" l="1"/>
  <c r="AD132" i="5"/>
  <c r="C133" i="5" s="1"/>
  <c r="E133" i="5" s="1"/>
  <c r="I133" i="5" s="1"/>
  <c r="T132" i="2"/>
  <c r="B133" i="5" l="1"/>
  <c r="D133" i="5" s="1"/>
  <c r="H133" i="5" s="1"/>
  <c r="M133" i="5" s="1"/>
  <c r="AE132" i="5"/>
  <c r="AF132" i="5" s="1"/>
  <c r="K133" i="5"/>
  <c r="L133" i="5" l="1"/>
  <c r="J133" i="5"/>
  <c r="AG132" i="5"/>
  <c r="O133" i="5"/>
  <c r="Q133" i="5" s="1"/>
  <c r="N133" i="5" l="1"/>
  <c r="P133" i="5" s="1"/>
  <c r="S133" i="5"/>
  <c r="U133" i="5"/>
  <c r="M133" i="2" l="1"/>
  <c r="R133" i="5"/>
  <c r="T133" i="5"/>
  <c r="V133" i="5" l="1"/>
  <c r="L133" i="2"/>
  <c r="N133" i="2" s="1"/>
  <c r="O133" i="2" s="1"/>
  <c r="P133" i="2" l="1"/>
  <c r="Q133" i="2"/>
  <c r="AB133" i="5" s="1"/>
  <c r="Z133" i="5"/>
  <c r="AA133" i="5" l="1"/>
  <c r="S133" i="2"/>
  <c r="U133" i="2"/>
  <c r="R133" i="2"/>
  <c r="T133" i="2" s="1"/>
  <c r="AD133" i="5" l="1"/>
  <c r="C134" i="5" s="1"/>
  <c r="E134" i="5" s="1"/>
  <c r="I134" i="5" s="1"/>
  <c r="AC133" i="5"/>
  <c r="K134" i="5" l="1"/>
  <c r="AE133" i="5"/>
  <c r="AF133" i="5" s="1"/>
  <c r="B134" i="5"/>
  <c r="D134" i="5" s="1"/>
  <c r="H134" i="5" s="1"/>
  <c r="M134" i="5" s="1"/>
  <c r="O134" i="5" l="1"/>
  <c r="Q134" i="5" s="1"/>
  <c r="AG133" i="5"/>
  <c r="J134" i="5"/>
  <c r="L134" i="5"/>
  <c r="N134" i="5" l="1"/>
  <c r="P134" i="5" s="1"/>
  <c r="S134" i="5"/>
  <c r="U134" i="5"/>
  <c r="M134" i="2" l="1"/>
  <c r="R134" i="5"/>
  <c r="T134" i="5"/>
  <c r="V134" i="5" l="1"/>
  <c r="L134" i="2"/>
  <c r="N134" i="2" s="1"/>
  <c r="O134" i="2" s="1"/>
  <c r="Q134" i="2" l="1"/>
  <c r="AB134" i="5" s="1"/>
  <c r="P134" i="2"/>
  <c r="R134" i="2"/>
  <c r="Z134" i="5"/>
  <c r="AA134" i="5" l="1"/>
  <c r="S134" i="2"/>
  <c r="T134" i="2" s="1"/>
  <c r="U134" i="2"/>
  <c r="AD134" i="5" l="1"/>
  <c r="C135" i="5" s="1"/>
  <c r="E135" i="5" s="1"/>
  <c r="I135" i="5" s="1"/>
  <c r="AC134" i="5"/>
  <c r="K135" i="5" l="1"/>
  <c r="M135" i="5"/>
  <c r="B135" i="5"/>
  <c r="D135" i="5" s="1"/>
  <c r="H135" i="5" s="1"/>
  <c r="AE134" i="5"/>
  <c r="AF134" i="5" s="1"/>
  <c r="O135" i="5" l="1"/>
  <c r="Q135" i="5" s="1"/>
  <c r="J135" i="5"/>
  <c r="L135" i="5"/>
  <c r="AG134" i="5"/>
  <c r="N135" i="5" l="1"/>
  <c r="P135" i="5" s="1"/>
  <c r="S135" i="5"/>
  <c r="U135" i="5"/>
  <c r="M135" i="2" l="1"/>
  <c r="R135" i="5"/>
  <c r="T135" i="5"/>
  <c r="V135" i="5" l="1"/>
  <c r="L135" i="2"/>
  <c r="N135" i="2" s="1"/>
  <c r="O135" i="2" s="1"/>
  <c r="Q135" i="2" l="1"/>
  <c r="AB135" i="5" s="1"/>
  <c r="P135" i="2"/>
  <c r="Z135" i="5"/>
  <c r="AA135" i="5" l="1"/>
  <c r="U135" i="2"/>
  <c r="S135" i="2"/>
  <c r="R135" i="2"/>
  <c r="AD135" i="5" l="1"/>
  <c r="C136" i="5" s="1"/>
  <c r="E136" i="5" s="1"/>
  <c r="I136" i="5" s="1"/>
  <c r="AC135" i="5"/>
  <c r="T135" i="2"/>
  <c r="K136" i="5" l="1"/>
  <c r="B136" i="5"/>
  <c r="D136" i="5" s="1"/>
  <c r="H136" i="5" s="1"/>
  <c r="M136" i="5" s="1"/>
  <c r="AE135" i="5"/>
  <c r="AF135" i="5" s="1"/>
  <c r="O136" i="5" l="1"/>
  <c r="Q136" i="5" s="1"/>
  <c r="L136" i="5"/>
  <c r="J136" i="5"/>
  <c r="AG135" i="5"/>
  <c r="N136" i="5" l="1"/>
  <c r="P136" i="5" s="1"/>
  <c r="S136" i="5"/>
  <c r="U136" i="5"/>
  <c r="M136" i="2" l="1"/>
  <c r="R136" i="5"/>
  <c r="T136" i="5"/>
  <c r="L136" i="2" l="1"/>
  <c r="N136" i="2" s="1"/>
  <c r="O136" i="2" s="1"/>
  <c r="V136" i="5"/>
  <c r="Q136" i="2" l="1"/>
  <c r="AB136" i="5" s="1"/>
  <c r="P136" i="2"/>
  <c r="Z136" i="5"/>
  <c r="AA136" i="5" l="1"/>
  <c r="R136" i="2"/>
  <c r="T136" i="2" s="1"/>
  <c r="S136" i="2"/>
  <c r="U136" i="2"/>
  <c r="AD136" i="5" l="1"/>
  <c r="C137" i="5" s="1"/>
  <c r="E137" i="5" s="1"/>
  <c r="I137" i="5" s="1"/>
  <c r="AC136" i="5"/>
  <c r="K137" i="5" l="1"/>
  <c r="AE136" i="5"/>
  <c r="AF136" i="5" s="1"/>
  <c r="B137" i="5"/>
  <c r="D137" i="5" s="1"/>
  <c r="H137" i="5" s="1"/>
  <c r="M137" i="5" s="1"/>
  <c r="O137" i="5" l="1"/>
  <c r="Q137" i="5" s="1"/>
  <c r="AG136" i="5"/>
  <c r="J137" i="5"/>
  <c r="L137" i="5"/>
  <c r="N137" i="5" l="1"/>
  <c r="P137" i="5" s="1"/>
  <c r="S137" i="5"/>
  <c r="U137" i="5"/>
  <c r="M137" i="2" l="1"/>
  <c r="R137" i="5"/>
  <c r="T137" i="5"/>
  <c r="L137" i="2" l="1"/>
  <c r="N137" i="2" s="1"/>
  <c r="O137" i="2" s="1"/>
  <c r="V137" i="5"/>
  <c r="Q137" i="2" l="1"/>
  <c r="P137" i="2"/>
  <c r="Z137" i="5"/>
  <c r="AB137" i="5" l="1"/>
  <c r="S137" i="2"/>
  <c r="AA137" i="5"/>
  <c r="U137" i="2"/>
  <c r="R137" i="2"/>
  <c r="T137" i="2" s="1"/>
  <c r="AD137" i="5" l="1"/>
  <c r="C138" i="5" s="1"/>
  <c r="E138" i="5" s="1"/>
  <c r="I138" i="5" s="1"/>
  <c r="AC137" i="5"/>
  <c r="K138" i="5" l="1"/>
  <c r="M138" i="5"/>
  <c r="AE137" i="5"/>
  <c r="AF137" i="5" s="1"/>
  <c r="B138" i="5"/>
  <c r="D138" i="5" s="1"/>
  <c r="H138" i="5" s="1"/>
  <c r="O138" i="5" l="1"/>
  <c r="Q138" i="5" s="1"/>
  <c r="AG137" i="5"/>
  <c r="J138" i="5"/>
  <c r="L138" i="5"/>
  <c r="N138" i="5" l="1"/>
  <c r="P138" i="5" s="1"/>
  <c r="S138" i="5"/>
  <c r="U138" i="5"/>
  <c r="M138" i="2" l="1"/>
  <c r="R138" i="5"/>
  <c r="T138" i="5"/>
  <c r="L138" i="2" l="1"/>
  <c r="N138" i="2" s="1"/>
  <c r="O138" i="2" s="1"/>
  <c r="V138" i="5"/>
  <c r="Z138" i="5" l="1"/>
  <c r="P138" i="2"/>
  <c r="Q138" i="2"/>
  <c r="AB138" i="5" s="1"/>
  <c r="AA138" i="5" l="1"/>
  <c r="U138" i="2"/>
  <c r="S138" i="2"/>
  <c r="R138" i="2"/>
  <c r="T138" i="2" s="1"/>
  <c r="AD138" i="5" l="1"/>
  <c r="C139" i="5" s="1"/>
  <c r="E139" i="5" s="1"/>
  <c r="I139" i="5" s="1"/>
  <c r="AC138" i="5"/>
  <c r="K139" i="5" l="1"/>
  <c r="M139" i="5"/>
  <c r="B139" i="5"/>
  <c r="D139" i="5" s="1"/>
  <c r="H139" i="5" s="1"/>
  <c r="AE138" i="5"/>
  <c r="AF138" i="5" s="1"/>
  <c r="O139" i="5" l="1"/>
  <c r="Q139" i="5" s="1"/>
  <c r="J139" i="5"/>
  <c r="L139" i="5"/>
  <c r="AG138" i="5"/>
  <c r="N139" i="5" l="1"/>
  <c r="P139" i="5" s="1"/>
  <c r="S139" i="5"/>
  <c r="U139" i="5"/>
  <c r="M139" i="2" l="1"/>
  <c r="R139" i="5"/>
  <c r="T139" i="5"/>
  <c r="V139" i="5" l="1"/>
  <c r="L139" i="2"/>
  <c r="N139" i="2" s="1"/>
  <c r="O139" i="2" s="1"/>
  <c r="Q139" i="2" l="1"/>
  <c r="AB139" i="5" s="1"/>
  <c r="P139" i="2"/>
  <c r="R139" i="2"/>
  <c r="U139" i="2"/>
  <c r="Z139" i="5"/>
  <c r="AA139" i="5" l="1"/>
  <c r="S139" i="2"/>
  <c r="T139" i="2" s="1"/>
  <c r="AD139" i="5" l="1"/>
  <c r="C140" i="5" s="1"/>
  <c r="E140" i="5" s="1"/>
  <c r="I140" i="5" s="1"/>
  <c r="AC139" i="5"/>
  <c r="K140" i="5" l="1"/>
  <c r="B140" i="5"/>
  <c r="D140" i="5" s="1"/>
  <c r="H140" i="5" s="1"/>
  <c r="M140" i="5" s="1"/>
  <c r="AE139" i="5"/>
  <c r="AF139" i="5" s="1"/>
  <c r="O140" i="5" l="1"/>
  <c r="Q140" i="5" s="1"/>
  <c r="L140" i="5"/>
  <c r="J140" i="5"/>
  <c r="AG139" i="5"/>
  <c r="N140" i="5" l="1"/>
  <c r="P140" i="5" s="1"/>
  <c r="S140" i="5"/>
  <c r="U140" i="5"/>
  <c r="M140" i="2" l="1"/>
  <c r="R140" i="5"/>
  <c r="T140" i="5"/>
  <c r="L140" i="2" l="1"/>
  <c r="N140" i="2" s="1"/>
  <c r="O140" i="2" s="1"/>
  <c r="V140" i="5"/>
  <c r="Q140" i="2" l="1"/>
  <c r="P140" i="2"/>
  <c r="Z140" i="5"/>
  <c r="AB140" i="5" l="1"/>
  <c r="R140" i="2"/>
  <c r="AA140" i="5"/>
  <c r="S140" i="2"/>
  <c r="U140" i="2"/>
  <c r="AD140" i="5" l="1"/>
  <c r="C141" i="5" s="1"/>
  <c r="E141" i="5" s="1"/>
  <c r="I141" i="5" s="1"/>
  <c r="AC140" i="5"/>
  <c r="T140" i="2"/>
  <c r="K141" i="5" l="1"/>
  <c r="B141" i="5"/>
  <c r="D141" i="5" s="1"/>
  <c r="H141" i="5" s="1"/>
  <c r="M141" i="5" s="1"/>
  <c r="AE140" i="5"/>
  <c r="AF140" i="5" s="1"/>
  <c r="O141" i="5" l="1"/>
  <c r="Q141" i="5" s="1"/>
  <c r="L141" i="5"/>
  <c r="J141" i="5"/>
  <c r="AG140" i="5"/>
  <c r="N141" i="5" l="1"/>
  <c r="P141" i="5" s="1"/>
  <c r="S141" i="5"/>
  <c r="U141" i="5"/>
  <c r="M141" i="2" l="1"/>
  <c r="R141" i="5"/>
  <c r="T141" i="5"/>
  <c r="V141" i="5" l="1"/>
  <c r="L141" i="2"/>
  <c r="N141" i="2" s="1"/>
  <c r="O141" i="2" s="1"/>
  <c r="Z141" i="5" l="1"/>
  <c r="P141" i="2"/>
  <c r="Q141" i="2"/>
  <c r="AB141" i="5" s="1"/>
  <c r="AA141" i="5" l="1"/>
  <c r="S141" i="2"/>
  <c r="U141" i="2"/>
  <c r="R141" i="2"/>
  <c r="T141" i="2" s="1"/>
  <c r="AD141" i="5" l="1"/>
  <c r="C142" i="5" s="1"/>
  <c r="E142" i="5" s="1"/>
  <c r="I142" i="5" s="1"/>
  <c r="AC141" i="5"/>
  <c r="K142" i="5" l="1"/>
  <c r="AE141" i="5"/>
  <c r="AF141" i="5" s="1"/>
  <c r="B142" i="5"/>
  <c r="D142" i="5" s="1"/>
  <c r="H142" i="5" s="1"/>
  <c r="M142" i="5" s="1"/>
  <c r="O142" i="5" l="1"/>
  <c r="Q142" i="5" s="1"/>
  <c r="AG141" i="5"/>
  <c r="J142" i="5"/>
  <c r="L142" i="5"/>
  <c r="N142" i="5" l="1"/>
  <c r="P142" i="5" s="1"/>
  <c r="S142" i="5"/>
  <c r="U142" i="5"/>
  <c r="M142" i="2" l="1"/>
  <c r="R142" i="5"/>
  <c r="T142" i="5"/>
  <c r="L142" i="2" l="1"/>
  <c r="N142" i="2" s="1"/>
  <c r="O142" i="2" s="1"/>
  <c r="V142" i="5"/>
  <c r="Q142" i="2" l="1"/>
  <c r="AB142" i="5" s="1"/>
  <c r="U142" i="2"/>
  <c r="P142" i="2"/>
  <c r="Z142" i="5"/>
  <c r="AA142" i="5" l="1"/>
  <c r="R142" i="2"/>
  <c r="T142" i="2" s="1"/>
  <c r="S142" i="2"/>
  <c r="AD142" i="5" l="1"/>
  <c r="C143" i="5" s="1"/>
  <c r="E143" i="5" s="1"/>
  <c r="I143" i="5" s="1"/>
  <c r="AC142" i="5"/>
  <c r="K143" i="5" l="1"/>
  <c r="B143" i="5"/>
  <c r="D143" i="5" s="1"/>
  <c r="H143" i="5" s="1"/>
  <c r="M143" i="5" s="1"/>
  <c r="AE142" i="5"/>
  <c r="AF142" i="5" s="1"/>
  <c r="O143" i="5" l="1"/>
  <c r="Q143" i="5" s="1"/>
  <c r="J143" i="5"/>
  <c r="L143" i="5"/>
  <c r="AG142" i="5"/>
  <c r="N143" i="5" l="1"/>
  <c r="P143" i="5" s="1"/>
  <c r="S143" i="5"/>
  <c r="U143" i="5"/>
  <c r="M143" i="2" l="1"/>
  <c r="R143" i="5"/>
  <c r="T143" i="5"/>
  <c r="L143" i="2" l="1"/>
  <c r="N143" i="2" s="1"/>
  <c r="O143" i="2" s="1"/>
  <c r="V143" i="5"/>
  <c r="Q143" i="2" l="1"/>
  <c r="AB143" i="5" s="1"/>
  <c r="P143" i="2"/>
  <c r="R143" i="2"/>
  <c r="Z143" i="5"/>
  <c r="AA143" i="5" l="1"/>
  <c r="U143" i="2"/>
  <c r="S143" i="2"/>
  <c r="T143" i="2" s="1"/>
  <c r="AD143" i="5" l="1"/>
  <c r="C144" i="5" s="1"/>
  <c r="E144" i="5" s="1"/>
  <c r="I144" i="5" s="1"/>
  <c r="AC143" i="5"/>
  <c r="K144" i="5" l="1"/>
  <c r="B144" i="5"/>
  <c r="D144" i="5" s="1"/>
  <c r="H144" i="5" s="1"/>
  <c r="M144" i="5" s="1"/>
  <c r="AE143" i="5"/>
  <c r="AF143" i="5" s="1"/>
  <c r="O144" i="5" l="1"/>
  <c r="Q144" i="5" s="1"/>
  <c r="J144" i="5"/>
  <c r="L144" i="5"/>
  <c r="AG143" i="5"/>
  <c r="N144" i="5" l="1"/>
  <c r="P144" i="5" s="1"/>
  <c r="S144" i="5"/>
  <c r="U144" i="5"/>
  <c r="M144" i="2" l="1"/>
  <c r="R144" i="5"/>
  <c r="T144" i="5"/>
  <c r="V144" i="5" l="1"/>
  <c r="L144" i="2"/>
  <c r="N144" i="2" s="1"/>
  <c r="O144" i="2" s="1"/>
  <c r="Q144" i="2" l="1"/>
  <c r="AB144" i="5" s="1"/>
  <c r="P144" i="2"/>
  <c r="Z144" i="5"/>
  <c r="AA144" i="5" l="1"/>
  <c r="R144" i="2"/>
  <c r="T144" i="2" s="1"/>
  <c r="S144" i="2"/>
  <c r="U144" i="2"/>
  <c r="AD144" i="5" l="1"/>
  <c r="C145" i="5" s="1"/>
  <c r="E145" i="5" s="1"/>
  <c r="I145" i="5" s="1"/>
  <c r="AC144" i="5"/>
  <c r="K145" i="5" l="1"/>
  <c r="B145" i="5"/>
  <c r="D145" i="5" s="1"/>
  <c r="H145" i="5" s="1"/>
  <c r="M145" i="5" s="1"/>
  <c r="AE144" i="5"/>
  <c r="AF144" i="5" s="1"/>
  <c r="O145" i="5" l="1"/>
  <c r="Q145" i="5" s="1"/>
  <c r="L145" i="5"/>
  <c r="J145" i="5"/>
  <c r="AG144" i="5"/>
  <c r="N145" i="5" l="1"/>
  <c r="P145" i="5" s="1"/>
  <c r="S145" i="5"/>
  <c r="G146" i="5" s="1"/>
  <c r="U145" i="5"/>
  <c r="M145" i="2" l="1"/>
  <c r="R145" i="5"/>
  <c r="F146" i="5" s="1"/>
  <c r="T145" i="5"/>
  <c r="V145" i="5" l="1"/>
  <c r="L145" i="2"/>
  <c r="N145" i="2" s="1"/>
  <c r="O145" i="2" s="1"/>
  <c r="P145" i="2" l="1"/>
  <c r="Q145" i="2"/>
  <c r="AB145" i="5" s="1"/>
  <c r="Z145" i="5"/>
  <c r="AA145" i="5" l="1"/>
  <c r="R145" i="2"/>
  <c r="T145" i="2" s="1"/>
  <c r="S145" i="2"/>
  <c r="U145" i="2"/>
  <c r="AD145" i="5" l="1"/>
  <c r="C146" i="5" s="1"/>
  <c r="E146" i="5" s="1"/>
  <c r="I146" i="5" s="1"/>
  <c r="AC145" i="5"/>
  <c r="K146" i="5" l="1"/>
  <c r="B146" i="5"/>
  <c r="D146" i="5" s="1"/>
  <c r="H146" i="5" s="1"/>
  <c r="M146" i="5" s="1"/>
  <c r="AE145" i="5"/>
  <c r="AF145" i="5" s="1"/>
  <c r="O146" i="5" l="1"/>
  <c r="Q146" i="5" s="1"/>
  <c r="J146" i="5"/>
  <c r="L146" i="5"/>
  <c r="AG145" i="5"/>
  <c r="N146" i="5" l="1"/>
  <c r="P146" i="5" s="1"/>
  <c r="S146" i="5"/>
  <c r="U146" i="5"/>
  <c r="M146" i="2" l="1"/>
  <c r="R146" i="5"/>
  <c r="T146" i="5"/>
  <c r="L146" i="2" l="1"/>
  <c r="N146" i="2" s="1"/>
  <c r="O146" i="2" s="1"/>
  <c r="V146" i="5"/>
  <c r="P146" i="2" l="1"/>
  <c r="Z146" i="5"/>
  <c r="Q146" i="2"/>
  <c r="AB146" i="5" s="1"/>
  <c r="R146" i="2"/>
  <c r="S146" i="2"/>
  <c r="T146" i="2" l="1"/>
  <c r="AA146" i="5"/>
  <c r="U146" i="2"/>
  <c r="AD146" i="5" l="1"/>
  <c r="C147" i="5" s="1"/>
  <c r="E147" i="5" s="1"/>
  <c r="I147" i="5" s="1"/>
  <c r="AC146" i="5"/>
  <c r="K147" i="5" l="1"/>
  <c r="B147" i="5"/>
  <c r="D147" i="5" s="1"/>
  <c r="H147" i="5" s="1"/>
  <c r="M147" i="5" s="1"/>
  <c r="AE146" i="5"/>
  <c r="AF146" i="5" s="1"/>
  <c r="O147" i="5" l="1"/>
  <c r="Q147" i="5" s="1"/>
  <c r="L147" i="5"/>
  <c r="J147" i="5"/>
  <c r="AG146" i="5"/>
  <c r="N147" i="5" l="1"/>
  <c r="P147" i="5" s="1"/>
  <c r="S147" i="5"/>
  <c r="U147" i="5"/>
  <c r="M147" i="2" l="1"/>
  <c r="R147" i="5"/>
  <c r="T147" i="5"/>
  <c r="V147" i="5" l="1"/>
  <c r="L147" i="2"/>
  <c r="N147" i="2" s="1"/>
  <c r="O147" i="2" s="1"/>
  <c r="Q147" i="2" l="1"/>
  <c r="AB147" i="5" s="1"/>
  <c r="Z147" i="5"/>
  <c r="P147" i="2"/>
  <c r="AA147" i="5" l="1"/>
  <c r="R147" i="2"/>
  <c r="T147" i="2" s="1"/>
  <c r="S147" i="2"/>
  <c r="U147" i="2"/>
  <c r="AD147" i="5" l="1"/>
  <c r="C148" i="5" s="1"/>
  <c r="E148" i="5" s="1"/>
  <c r="I148" i="5" s="1"/>
  <c r="AC147" i="5"/>
  <c r="K148" i="5" l="1"/>
  <c r="AE147" i="5"/>
  <c r="AF147" i="5" s="1"/>
  <c r="B148" i="5"/>
  <c r="D148" i="5" s="1"/>
  <c r="H148" i="5" s="1"/>
  <c r="M148" i="5" s="1"/>
  <c r="O148" i="5" l="1"/>
  <c r="Q148" i="5" s="1"/>
  <c r="S148" i="5" s="1"/>
  <c r="U148" i="5"/>
  <c r="AG147" i="5"/>
  <c r="J148" i="5"/>
  <c r="L148" i="5"/>
  <c r="M148" i="2" l="1"/>
  <c r="N148" i="5"/>
  <c r="P148" i="5" s="1"/>
  <c r="R148" i="5" l="1"/>
  <c r="T148" i="5"/>
  <c r="L148" i="2" l="1"/>
  <c r="N148" i="2" s="1"/>
  <c r="O148" i="2" s="1"/>
  <c r="V148" i="5"/>
  <c r="Q148" i="2" l="1"/>
  <c r="AB148" i="5" s="1"/>
  <c r="P148" i="2"/>
  <c r="Z148" i="5"/>
  <c r="AA148" i="5" l="1"/>
  <c r="U148" i="2"/>
  <c r="S148" i="2"/>
  <c r="R148" i="2"/>
  <c r="AD148" i="5" l="1"/>
  <c r="C149" i="5" s="1"/>
  <c r="E149" i="5" s="1"/>
  <c r="I149" i="5" s="1"/>
  <c r="AC148" i="5"/>
  <c r="T148" i="2"/>
  <c r="K149" i="5" l="1"/>
  <c r="B149" i="5"/>
  <c r="D149" i="5" s="1"/>
  <c r="H149" i="5" s="1"/>
  <c r="M149" i="5" s="1"/>
  <c r="AE148" i="5"/>
  <c r="AF148" i="5" s="1"/>
  <c r="O149" i="5" l="1"/>
  <c r="Q149" i="5" s="1"/>
  <c r="J149" i="5"/>
  <c r="L149" i="5"/>
  <c r="AG148" i="5"/>
  <c r="N149" i="5" l="1"/>
  <c r="P149" i="5" s="1"/>
  <c r="S149" i="5"/>
  <c r="U149" i="5"/>
  <c r="M149" i="2" l="1"/>
  <c r="R149" i="5"/>
  <c r="T149" i="5"/>
  <c r="L149" i="2" l="1"/>
  <c r="N149" i="2" s="1"/>
  <c r="O149" i="2" s="1"/>
  <c r="V149" i="5"/>
  <c r="Q149" i="2" l="1"/>
  <c r="S149" i="2"/>
  <c r="U149" i="2"/>
  <c r="Z149" i="5"/>
  <c r="P149" i="2"/>
  <c r="AA149" i="5" s="1"/>
  <c r="AC149" i="5" l="1"/>
  <c r="AD149" i="5"/>
  <c r="C150" i="5" s="1"/>
  <c r="E150" i="5" s="1"/>
  <c r="I150" i="5" s="1"/>
  <c r="AB149" i="5"/>
  <c r="R149" i="2"/>
  <c r="T149" i="2" s="1"/>
  <c r="B150" i="5" l="1"/>
  <c r="D150" i="5" s="1"/>
  <c r="H150" i="5" s="1"/>
  <c r="AE149" i="5"/>
  <c r="AF149" i="5" s="1"/>
  <c r="M150" i="5"/>
  <c r="K150" i="5"/>
  <c r="L150" i="5" l="1"/>
  <c r="J150" i="5"/>
  <c r="AG149" i="5"/>
  <c r="O150" i="5"/>
  <c r="Q150" i="5" s="1"/>
  <c r="N150" i="5" l="1"/>
  <c r="P150" i="5" s="1"/>
  <c r="S150" i="5"/>
  <c r="U150" i="5"/>
  <c r="M150" i="2" l="1"/>
  <c r="R150" i="5"/>
  <c r="T150" i="5"/>
  <c r="L150" i="2" l="1"/>
  <c r="N150" i="2" s="1"/>
  <c r="O150" i="2" s="1"/>
  <c r="V150" i="5"/>
  <c r="Q150" i="2" l="1"/>
  <c r="Z150" i="5"/>
  <c r="P150" i="2"/>
  <c r="AB150" i="5" l="1"/>
  <c r="R150" i="2"/>
  <c r="AA150" i="5"/>
  <c r="S150" i="2"/>
  <c r="U150" i="2"/>
  <c r="AD150" i="5" l="1"/>
  <c r="C151" i="5" s="1"/>
  <c r="E151" i="5" s="1"/>
  <c r="I151" i="5" s="1"/>
  <c r="AC150" i="5"/>
  <c r="T150" i="2"/>
  <c r="K151" i="5" l="1"/>
  <c r="AE150" i="5"/>
  <c r="AF150" i="5" s="1"/>
  <c r="B151" i="5"/>
  <c r="D151" i="5" s="1"/>
  <c r="H151" i="5" s="1"/>
  <c r="M151" i="5" s="1"/>
  <c r="O151" i="5" l="1"/>
  <c r="Q151" i="5" s="1"/>
  <c r="AG150" i="5"/>
  <c r="L151" i="5"/>
  <c r="J151" i="5"/>
  <c r="N151" i="5" l="1"/>
  <c r="P151" i="5" s="1"/>
  <c r="S151" i="5"/>
  <c r="U151" i="5"/>
  <c r="M151" i="2" l="1"/>
  <c r="R151" i="5"/>
  <c r="T151" i="5"/>
  <c r="V151" i="5" l="1"/>
  <c r="L151" i="2"/>
  <c r="N151" i="2" s="1"/>
  <c r="O151" i="2" s="1"/>
  <c r="Q151" i="2" l="1"/>
  <c r="AB151" i="5" s="1"/>
  <c r="Z151" i="5"/>
  <c r="P151" i="2"/>
  <c r="AA151" i="5" l="1"/>
  <c r="R151" i="2"/>
  <c r="T151" i="2" s="1"/>
  <c r="S151" i="2"/>
  <c r="U151" i="2"/>
  <c r="AD151" i="5" l="1"/>
  <c r="C152" i="5" s="1"/>
  <c r="E152" i="5" s="1"/>
  <c r="I152" i="5" s="1"/>
  <c r="AC151" i="5"/>
  <c r="K152" i="5" l="1"/>
  <c r="B152" i="5"/>
  <c r="D152" i="5" s="1"/>
  <c r="H152" i="5" s="1"/>
  <c r="M152" i="5" s="1"/>
  <c r="AE151" i="5"/>
  <c r="AF151" i="5" s="1"/>
  <c r="O152" i="5" l="1"/>
  <c r="Q152" i="5" s="1"/>
  <c r="L152" i="5"/>
  <c r="J152" i="5"/>
  <c r="AG151" i="5"/>
  <c r="N152" i="5" l="1"/>
  <c r="P152" i="5" s="1"/>
  <c r="S152" i="5"/>
  <c r="U152" i="5"/>
  <c r="M152" i="2" l="1"/>
  <c r="R152" i="5"/>
  <c r="T152" i="5"/>
  <c r="V152" i="5" l="1"/>
  <c r="L152" i="2"/>
  <c r="N152" i="2" s="1"/>
  <c r="O152" i="2" s="1"/>
  <c r="Q152" i="2" l="1"/>
  <c r="AB152" i="5" s="1"/>
  <c r="P152" i="2"/>
  <c r="Z152" i="5"/>
  <c r="AA152" i="5" l="1"/>
  <c r="S152" i="2"/>
  <c r="U152" i="2"/>
  <c r="R152" i="2"/>
  <c r="AD152" i="5" l="1"/>
  <c r="C153" i="5" s="1"/>
  <c r="E153" i="5" s="1"/>
  <c r="I153" i="5" s="1"/>
  <c r="AC152" i="5"/>
  <c r="T152" i="2"/>
  <c r="K153" i="5" l="1"/>
  <c r="AE152" i="5"/>
  <c r="AF152" i="5" s="1"/>
  <c r="B153" i="5"/>
  <c r="D153" i="5" s="1"/>
  <c r="H153" i="5" s="1"/>
  <c r="M153" i="5" s="1"/>
  <c r="O153" i="5" l="1"/>
  <c r="Q153" i="5" s="1"/>
  <c r="AG152" i="5"/>
  <c r="L153" i="5"/>
  <c r="J153" i="5"/>
  <c r="N153" i="5" l="1"/>
  <c r="P153" i="5" s="1"/>
  <c r="S153" i="5"/>
  <c r="U153" i="5"/>
  <c r="M153" i="2" l="1"/>
  <c r="R153" i="5"/>
  <c r="T153" i="5"/>
  <c r="V153" i="5" l="1"/>
  <c r="L153" i="2"/>
  <c r="N153" i="2" s="1"/>
  <c r="O153" i="2" s="1"/>
  <c r="Q153" i="2" l="1"/>
  <c r="P153" i="2"/>
  <c r="Z153" i="5"/>
  <c r="AB153" i="5" l="1"/>
  <c r="R153" i="2"/>
  <c r="U153" i="2"/>
  <c r="AA153" i="5"/>
  <c r="S153" i="2"/>
  <c r="AD153" i="5" l="1"/>
  <c r="C154" i="5" s="1"/>
  <c r="E154" i="5" s="1"/>
  <c r="I154" i="5" s="1"/>
  <c r="AC153" i="5"/>
  <c r="T153" i="2"/>
  <c r="K154" i="5" l="1"/>
  <c r="M154" i="5"/>
  <c r="AE153" i="5"/>
  <c r="AF153" i="5" s="1"/>
  <c r="B154" i="5"/>
  <c r="D154" i="5" s="1"/>
  <c r="H154" i="5" s="1"/>
  <c r="O154" i="5" l="1"/>
  <c r="Q154" i="5" s="1"/>
  <c r="AG153" i="5"/>
  <c r="L154" i="5"/>
  <c r="J154" i="5"/>
  <c r="N154" i="5" l="1"/>
  <c r="P154" i="5" s="1"/>
  <c r="S154" i="5"/>
  <c r="U154" i="5"/>
  <c r="M154" i="2" l="1"/>
  <c r="R154" i="5"/>
  <c r="T154" i="5"/>
  <c r="V154" i="5" l="1"/>
  <c r="L154" i="2"/>
  <c r="N154" i="2" s="1"/>
  <c r="O154" i="2" s="1"/>
  <c r="Q154" i="2" l="1"/>
  <c r="AB154" i="5" s="1"/>
  <c r="P154" i="2"/>
  <c r="Z154" i="5"/>
  <c r="AA154" i="5" l="1"/>
  <c r="R154" i="2"/>
  <c r="U154" i="2"/>
  <c r="S154" i="2"/>
  <c r="AD154" i="5" l="1"/>
  <c r="C155" i="5" s="1"/>
  <c r="E155" i="5" s="1"/>
  <c r="I155" i="5" s="1"/>
  <c r="AC154" i="5"/>
  <c r="T154" i="2"/>
  <c r="K155" i="5" l="1"/>
  <c r="AE154" i="5"/>
  <c r="AF154" i="5" s="1"/>
  <c r="B155" i="5"/>
  <c r="D155" i="5" s="1"/>
  <c r="H155" i="5" s="1"/>
  <c r="M155" i="5" s="1"/>
  <c r="O155" i="5" l="1"/>
  <c r="Q155" i="5" s="1"/>
  <c r="AG154" i="5"/>
  <c r="J155" i="5"/>
  <c r="L155" i="5"/>
  <c r="N155" i="5" l="1"/>
  <c r="P155" i="5" s="1"/>
  <c r="S155" i="5"/>
  <c r="U155" i="5"/>
  <c r="M155" i="2" l="1"/>
  <c r="R155" i="5"/>
  <c r="T155" i="5"/>
  <c r="L155" i="2" l="1"/>
  <c r="N155" i="2" s="1"/>
  <c r="O155" i="2" s="1"/>
  <c r="V155" i="5"/>
  <c r="Q155" i="2" l="1"/>
  <c r="AB155" i="5" s="1"/>
  <c r="P155" i="2"/>
  <c r="Z155" i="5"/>
  <c r="AA155" i="5" l="1"/>
  <c r="R155" i="2"/>
  <c r="S155" i="2"/>
  <c r="U155" i="2"/>
  <c r="AD155" i="5" l="1"/>
  <c r="C156" i="5" s="1"/>
  <c r="E156" i="5" s="1"/>
  <c r="I156" i="5" s="1"/>
  <c r="AC155" i="5"/>
  <c r="T155" i="2"/>
  <c r="K156" i="5" l="1"/>
  <c r="B156" i="5"/>
  <c r="D156" i="5" s="1"/>
  <c r="H156" i="5" s="1"/>
  <c r="M156" i="5" s="1"/>
  <c r="AE155" i="5"/>
  <c r="AF155" i="5" s="1"/>
  <c r="O156" i="5" l="1"/>
  <c r="Q156" i="5" s="1"/>
  <c r="L156" i="5"/>
  <c r="J156" i="5"/>
  <c r="AG155" i="5"/>
  <c r="N156" i="5" l="1"/>
  <c r="P156" i="5" s="1"/>
  <c r="S156" i="5"/>
  <c r="U156" i="5"/>
  <c r="M156" i="2" l="1"/>
  <c r="R156" i="5"/>
  <c r="T156" i="5"/>
  <c r="L156" i="2" l="1"/>
  <c r="N156" i="2" s="1"/>
  <c r="O156" i="2" s="1"/>
  <c r="V156" i="5"/>
  <c r="Q156" i="2" l="1"/>
  <c r="Z156" i="5"/>
  <c r="P156" i="2"/>
  <c r="AA156" i="5" s="1"/>
  <c r="AC156" i="5" l="1"/>
  <c r="AD156" i="5"/>
  <c r="C157" i="5" s="1"/>
  <c r="E157" i="5" s="1"/>
  <c r="I157" i="5" s="1"/>
  <c r="AB156" i="5"/>
  <c r="S156" i="2"/>
  <c r="R156" i="2"/>
  <c r="T156" i="2" s="1"/>
  <c r="U156" i="2"/>
  <c r="B157" i="5" l="1"/>
  <c r="D157" i="5" s="1"/>
  <c r="H157" i="5" s="1"/>
  <c r="M157" i="5" s="1"/>
  <c r="AE156" i="5"/>
  <c r="AF156" i="5" s="1"/>
  <c r="K157" i="5"/>
  <c r="L157" i="5" l="1"/>
  <c r="J157" i="5"/>
  <c r="AG156" i="5"/>
  <c r="O157" i="5"/>
  <c r="Q157" i="5" s="1"/>
  <c r="N157" i="5" l="1"/>
  <c r="P157" i="5" s="1"/>
  <c r="S157" i="5"/>
  <c r="U157" i="5"/>
  <c r="M157" i="2" l="1"/>
  <c r="R157" i="5"/>
  <c r="T157" i="5"/>
  <c r="V157" i="5" l="1"/>
  <c r="L157" i="2"/>
  <c r="N157" i="2" s="1"/>
  <c r="O157" i="2" s="1"/>
  <c r="Q157" i="2" l="1"/>
  <c r="Z157" i="5"/>
  <c r="P157" i="2"/>
  <c r="AA157" i="5" s="1"/>
  <c r="AC157" i="5" l="1"/>
  <c r="AD157" i="5"/>
  <c r="C158" i="5" s="1"/>
  <c r="E158" i="5" s="1"/>
  <c r="I158" i="5" s="1"/>
  <c r="AB157" i="5"/>
  <c r="R157" i="2"/>
  <c r="U157" i="2"/>
  <c r="S157" i="2"/>
  <c r="B158" i="5" l="1"/>
  <c r="D158" i="5" s="1"/>
  <c r="H158" i="5" s="1"/>
  <c r="M158" i="5" s="1"/>
  <c r="AE157" i="5"/>
  <c r="AF157" i="5" s="1"/>
  <c r="K158" i="5"/>
  <c r="T157" i="2"/>
  <c r="J158" i="5" l="1"/>
  <c r="L158" i="5"/>
  <c r="AG157" i="5"/>
  <c r="O158" i="5"/>
  <c r="Q158" i="5" s="1"/>
  <c r="N158" i="5" l="1"/>
  <c r="P158" i="5" s="1"/>
  <c r="S158" i="5"/>
  <c r="U158" i="5"/>
  <c r="M158" i="2" l="1"/>
  <c r="R158" i="5"/>
  <c r="T158" i="5"/>
  <c r="L158" i="2" l="1"/>
  <c r="N158" i="2" s="1"/>
  <c r="O158" i="2" s="1"/>
  <c r="V158" i="5"/>
  <c r="P158" i="2" l="1"/>
  <c r="Q158" i="2"/>
  <c r="R158" i="2"/>
  <c r="Z158" i="5"/>
  <c r="AA158" i="5" l="1"/>
  <c r="U158" i="2"/>
  <c r="AB158" i="5"/>
  <c r="S158" i="2"/>
  <c r="T158" i="2" s="1"/>
  <c r="AD158" i="5" l="1"/>
  <c r="C159" i="5" s="1"/>
  <c r="E159" i="5" s="1"/>
  <c r="I159" i="5" s="1"/>
  <c r="AC158" i="5"/>
  <c r="M159" i="5" l="1"/>
  <c r="K159" i="5"/>
  <c r="B159" i="5"/>
  <c r="D159" i="5" s="1"/>
  <c r="H159" i="5" s="1"/>
  <c r="AE158" i="5"/>
  <c r="AF158" i="5" s="1"/>
  <c r="O159" i="5" l="1"/>
  <c r="Q159" i="5" s="1"/>
  <c r="J159" i="5"/>
  <c r="L159" i="5"/>
  <c r="AG158" i="5"/>
  <c r="N159" i="5" l="1"/>
  <c r="P159" i="5" s="1"/>
  <c r="S159" i="5"/>
  <c r="U159" i="5"/>
  <c r="M159" i="2" l="1"/>
  <c r="R159" i="5"/>
  <c r="T159" i="5"/>
  <c r="L159" i="2" l="1"/>
  <c r="N159" i="2" s="1"/>
  <c r="O159" i="2" s="1"/>
  <c r="V159" i="5"/>
  <c r="Q159" i="2" l="1"/>
  <c r="AB159" i="5" s="1"/>
  <c r="P159" i="2"/>
  <c r="R159" i="2"/>
  <c r="U159" i="2"/>
  <c r="Z159" i="5"/>
  <c r="AA159" i="5" l="1"/>
  <c r="S159" i="2"/>
  <c r="T159" i="2" s="1"/>
  <c r="AD159" i="5" l="1"/>
  <c r="C160" i="5" s="1"/>
  <c r="E160" i="5" s="1"/>
  <c r="I160" i="5" s="1"/>
  <c r="AC159" i="5"/>
  <c r="K160" i="5" l="1"/>
  <c r="B160" i="5"/>
  <c r="D160" i="5" s="1"/>
  <c r="H160" i="5" s="1"/>
  <c r="M160" i="5" s="1"/>
  <c r="AE159" i="5"/>
  <c r="AF159" i="5" s="1"/>
  <c r="O160" i="5" l="1"/>
  <c r="Q160" i="5" s="1"/>
  <c r="J160" i="5"/>
  <c r="L160" i="5"/>
  <c r="AG159" i="5"/>
  <c r="N160" i="5" l="1"/>
  <c r="P160" i="5" s="1"/>
  <c r="S160" i="5"/>
  <c r="U160" i="5"/>
  <c r="M160" i="2" l="1"/>
  <c r="R160" i="5"/>
  <c r="T160" i="5"/>
  <c r="L160" i="2" l="1"/>
  <c r="N160" i="2" s="1"/>
  <c r="O160" i="2" s="1"/>
  <c r="V160" i="5"/>
  <c r="Q160" i="2" l="1"/>
  <c r="Z160" i="5"/>
  <c r="P160" i="2"/>
  <c r="AA160" i="5" s="1"/>
  <c r="AC160" i="5" l="1"/>
  <c r="AD160" i="5"/>
  <c r="C161" i="5" s="1"/>
  <c r="E161" i="5" s="1"/>
  <c r="I161" i="5" s="1"/>
  <c r="AB160" i="5"/>
  <c r="R160" i="2"/>
  <c r="S160" i="2"/>
  <c r="U160" i="2"/>
  <c r="B161" i="5" l="1"/>
  <c r="D161" i="5" s="1"/>
  <c r="H161" i="5" s="1"/>
  <c r="AE160" i="5"/>
  <c r="AF160" i="5" s="1"/>
  <c r="M161" i="5"/>
  <c r="K161" i="5"/>
  <c r="T160" i="2"/>
  <c r="J161" i="5" l="1"/>
  <c r="L161" i="5"/>
  <c r="AG160" i="5"/>
  <c r="O161" i="5"/>
  <c r="Q161" i="5" s="1"/>
  <c r="N161" i="5" l="1"/>
  <c r="P161" i="5" s="1"/>
  <c r="R161" i="5" s="1"/>
  <c r="T161" i="5"/>
  <c r="S161" i="5"/>
  <c r="U161" i="5"/>
  <c r="V161" i="5" l="1"/>
  <c r="L161" i="2"/>
  <c r="N161" i="2" s="1"/>
  <c r="O161" i="2" s="1"/>
  <c r="M161" i="2"/>
  <c r="Q161" i="2" l="1"/>
  <c r="AB161" i="5" s="1"/>
  <c r="Z161" i="5"/>
  <c r="P161" i="2"/>
  <c r="S161" i="2"/>
  <c r="AA161" i="5" l="1"/>
  <c r="U161" i="2"/>
  <c r="R161" i="2"/>
  <c r="T161" i="2" s="1"/>
  <c r="AD161" i="5" l="1"/>
  <c r="C162" i="5" s="1"/>
  <c r="E162" i="5" s="1"/>
  <c r="I162" i="5" s="1"/>
  <c r="AC161" i="5"/>
  <c r="M162" i="5" l="1"/>
  <c r="K162" i="5"/>
  <c r="B162" i="5"/>
  <c r="D162" i="5" s="1"/>
  <c r="H162" i="5" s="1"/>
  <c r="AE161" i="5"/>
  <c r="AF161" i="5" s="1"/>
  <c r="O162" i="5" l="1"/>
  <c r="Q162" i="5" s="1"/>
  <c r="J162" i="5"/>
  <c r="L162" i="5"/>
  <c r="AG161" i="5"/>
  <c r="N162" i="5" l="1"/>
  <c r="P162" i="5" s="1"/>
  <c r="S162" i="5"/>
  <c r="U162" i="5"/>
  <c r="M162" i="2" l="1"/>
  <c r="R162" i="5"/>
  <c r="T162" i="5"/>
  <c r="L162" i="2" l="1"/>
  <c r="N162" i="2" s="1"/>
  <c r="O162" i="2" s="1"/>
  <c r="V162" i="5"/>
  <c r="Q162" i="2" l="1"/>
  <c r="AB162" i="5" s="1"/>
  <c r="P162" i="2"/>
  <c r="R162" i="2"/>
  <c r="Z162" i="5"/>
  <c r="AA162" i="5" l="1"/>
  <c r="S162" i="2"/>
  <c r="T162" i="2" s="1"/>
  <c r="U162" i="2"/>
  <c r="AD162" i="5" l="1"/>
  <c r="C163" i="5" s="1"/>
  <c r="E163" i="5" s="1"/>
  <c r="I163" i="5" s="1"/>
  <c r="AC162" i="5"/>
  <c r="M163" i="5" l="1"/>
  <c r="K163" i="5"/>
  <c r="B163" i="5"/>
  <c r="D163" i="5" s="1"/>
  <c r="H163" i="5" s="1"/>
  <c r="AE162" i="5"/>
  <c r="AF162" i="5" s="1"/>
  <c r="O163" i="5" l="1"/>
  <c r="Q163" i="5" s="1"/>
  <c r="J163" i="5"/>
  <c r="L163" i="5"/>
  <c r="AG162" i="5"/>
  <c r="N163" i="5" l="1"/>
  <c r="P163" i="5" s="1"/>
  <c r="S163" i="5"/>
  <c r="U163" i="5"/>
  <c r="M163" i="2" l="1"/>
  <c r="R163" i="5"/>
  <c r="T163" i="5"/>
  <c r="L163" i="2" l="1"/>
  <c r="N163" i="2" s="1"/>
  <c r="O163" i="2" s="1"/>
  <c r="V163" i="5"/>
  <c r="P163" i="2" l="1"/>
  <c r="Q163" i="2"/>
  <c r="Z163" i="5"/>
  <c r="AA163" i="5" l="1"/>
  <c r="U163" i="2"/>
  <c r="S163" i="2"/>
  <c r="AB163" i="5"/>
  <c r="R163" i="2"/>
  <c r="AD163" i="5" l="1"/>
  <c r="C164" i="5" s="1"/>
  <c r="E164" i="5" s="1"/>
  <c r="I164" i="5" s="1"/>
  <c r="AC163" i="5"/>
  <c r="T163" i="2"/>
  <c r="K164" i="5" l="1"/>
  <c r="B164" i="5"/>
  <c r="D164" i="5" s="1"/>
  <c r="H164" i="5" s="1"/>
  <c r="M164" i="5" s="1"/>
  <c r="AE163" i="5"/>
  <c r="AF163" i="5" s="1"/>
  <c r="O164" i="5" l="1"/>
  <c r="Q164" i="5" s="1"/>
  <c r="J164" i="5"/>
  <c r="L164" i="5"/>
  <c r="AG163" i="5"/>
  <c r="N164" i="5" l="1"/>
  <c r="P164" i="5" s="1"/>
  <c r="S164" i="5"/>
  <c r="U164" i="5"/>
  <c r="M164" i="2" l="1"/>
  <c r="R164" i="5"/>
  <c r="T164" i="5"/>
  <c r="L164" i="2" l="1"/>
  <c r="N164" i="2" s="1"/>
  <c r="O164" i="2" s="1"/>
  <c r="V164" i="5"/>
  <c r="Q164" i="2" l="1"/>
  <c r="AB164" i="5" s="1"/>
  <c r="Z164" i="5"/>
  <c r="P164" i="2"/>
  <c r="AA164" i="5" l="1"/>
  <c r="R164" i="2"/>
  <c r="S164" i="2"/>
  <c r="U164" i="2"/>
  <c r="AD164" i="5" l="1"/>
  <c r="C165" i="5" s="1"/>
  <c r="E165" i="5" s="1"/>
  <c r="I165" i="5" s="1"/>
  <c r="AC164" i="5"/>
  <c r="T164" i="2"/>
  <c r="K165" i="5" l="1"/>
  <c r="B165" i="5"/>
  <c r="D165" i="5" s="1"/>
  <c r="H165" i="5" s="1"/>
  <c r="M165" i="5" s="1"/>
  <c r="AE164" i="5"/>
  <c r="AF164" i="5" s="1"/>
  <c r="O165" i="5" l="1"/>
  <c r="Q165" i="5" s="1"/>
  <c r="J165" i="5"/>
  <c r="L165" i="5"/>
  <c r="AG164" i="5"/>
  <c r="N165" i="5" l="1"/>
  <c r="P165" i="5" s="1"/>
  <c r="S165" i="5"/>
  <c r="U165" i="5"/>
  <c r="M165" i="2" l="1"/>
  <c r="R165" i="5"/>
  <c r="T165" i="5"/>
  <c r="L165" i="2" l="1"/>
  <c r="N165" i="2" s="1"/>
  <c r="O165" i="2" s="1"/>
  <c r="V165" i="5"/>
  <c r="P165" i="2" l="1"/>
  <c r="Q165" i="2"/>
  <c r="AB165" i="5" s="1"/>
  <c r="Z165" i="5"/>
  <c r="AA165" i="5" l="1"/>
  <c r="R165" i="2"/>
  <c r="S165" i="2"/>
  <c r="U165" i="2"/>
  <c r="AD165" i="5" l="1"/>
  <c r="C166" i="5" s="1"/>
  <c r="E166" i="5" s="1"/>
  <c r="I166" i="5" s="1"/>
  <c r="AC165" i="5"/>
  <c r="T165" i="2"/>
  <c r="K166" i="5" l="1"/>
  <c r="B166" i="5"/>
  <c r="D166" i="5" s="1"/>
  <c r="H166" i="5" s="1"/>
  <c r="M166" i="5" s="1"/>
  <c r="AE165" i="5"/>
  <c r="AF165" i="5" s="1"/>
  <c r="O166" i="5" l="1"/>
  <c r="Q166" i="5" s="1"/>
  <c r="J166" i="5"/>
  <c r="L166" i="5"/>
  <c r="AG165" i="5"/>
  <c r="N166" i="5" l="1"/>
  <c r="P166" i="5" s="1"/>
  <c r="S166" i="5"/>
  <c r="U166" i="5"/>
  <c r="M166" i="2" l="1"/>
  <c r="R166" i="5"/>
  <c r="T166" i="5"/>
  <c r="L166" i="2" l="1"/>
  <c r="N166" i="2" s="1"/>
  <c r="O166" i="2" s="1"/>
  <c r="V166" i="5"/>
  <c r="Q166" i="2" l="1"/>
  <c r="AB166" i="5" s="1"/>
  <c r="P166" i="2"/>
  <c r="R166" i="2"/>
  <c r="U166" i="2"/>
  <c r="Z166" i="5"/>
  <c r="AA166" i="5" l="1"/>
  <c r="S166" i="2"/>
  <c r="T166" i="2" s="1"/>
  <c r="AD166" i="5" l="1"/>
  <c r="C167" i="5" s="1"/>
  <c r="E167" i="5" s="1"/>
  <c r="I167" i="5" s="1"/>
  <c r="AC166" i="5"/>
  <c r="K167" i="5" l="1"/>
  <c r="B167" i="5"/>
  <c r="D167" i="5" s="1"/>
  <c r="H167" i="5" s="1"/>
  <c r="M167" i="5" s="1"/>
  <c r="AE166" i="5"/>
  <c r="AF166" i="5" s="1"/>
  <c r="O167" i="5" l="1"/>
  <c r="Q167" i="5" s="1"/>
  <c r="J167" i="5"/>
  <c r="L167" i="5"/>
  <c r="AG166" i="5"/>
  <c r="N167" i="5" l="1"/>
  <c r="P167" i="5" s="1"/>
  <c r="S167" i="5"/>
  <c r="U167" i="5"/>
  <c r="M167" i="2" l="1"/>
  <c r="R167" i="5"/>
  <c r="T167" i="5"/>
  <c r="L167" i="2" l="1"/>
  <c r="N167" i="2" s="1"/>
  <c r="O167" i="2" s="1"/>
  <c r="V167" i="5"/>
  <c r="Q167" i="2" l="1"/>
  <c r="AB167" i="5" s="1"/>
  <c r="Z167" i="5"/>
  <c r="P167" i="2"/>
  <c r="R167" i="2"/>
  <c r="T167" i="2" s="1"/>
  <c r="S167" i="2"/>
  <c r="AA167" i="5" l="1"/>
  <c r="U167" i="2"/>
  <c r="AD167" i="5" l="1"/>
  <c r="C168" i="5" s="1"/>
  <c r="E168" i="5" s="1"/>
  <c r="I168" i="5" s="1"/>
  <c r="AC167" i="5"/>
  <c r="K168" i="5" l="1"/>
  <c r="B168" i="5"/>
  <c r="D168" i="5" s="1"/>
  <c r="H168" i="5" s="1"/>
  <c r="M168" i="5" s="1"/>
  <c r="AE167" i="5"/>
  <c r="AF167" i="5" s="1"/>
  <c r="O168" i="5" l="1"/>
  <c r="Q168" i="5" s="1"/>
  <c r="J168" i="5"/>
  <c r="L168" i="5"/>
  <c r="AG167" i="5"/>
  <c r="N168" i="5" l="1"/>
  <c r="P168" i="5" s="1"/>
  <c r="S168" i="5"/>
  <c r="U168" i="5"/>
  <c r="M168" i="2" l="1"/>
  <c r="R168" i="5"/>
  <c r="T168" i="5"/>
  <c r="L168" i="2" l="1"/>
  <c r="N168" i="2" s="1"/>
  <c r="O168" i="2" s="1"/>
  <c r="V168" i="5"/>
  <c r="Q168" i="2" l="1"/>
  <c r="AB168" i="5" s="1"/>
  <c r="P168" i="2"/>
  <c r="Z168" i="5"/>
  <c r="AA168" i="5" l="1"/>
  <c r="S168" i="2"/>
  <c r="R168" i="2"/>
  <c r="T168" i="2" s="1"/>
  <c r="U168" i="2"/>
  <c r="AD168" i="5" l="1"/>
  <c r="C169" i="5" s="1"/>
  <c r="E169" i="5" s="1"/>
  <c r="I169" i="5" s="1"/>
  <c r="AC168" i="5"/>
  <c r="M169" i="5" l="1"/>
  <c r="K169" i="5"/>
  <c r="B169" i="5"/>
  <c r="D169" i="5" s="1"/>
  <c r="H169" i="5" s="1"/>
  <c r="AE168" i="5"/>
  <c r="AF168" i="5" s="1"/>
  <c r="O169" i="5" l="1"/>
  <c r="Q169" i="5" s="1"/>
  <c r="J169" i="5"/>
  <c r="L169" i="5"/>
  <c r="AG168" i="5"/>
  <c r="N169" i="5" l="1"/>
  <c r="P169" i="5" s="1"/>
  <c r="S169" i="5"/>
  <c r="U169" i="5"/>
  <c r="M169" i="2" l="1"/>
  <c r="R169" i="5"/>
  <c r="T169" i="5"/>
  <c r="L169" i="2" l="1"/>
  <c r="N169" i="2" s="1"/>
  <c r="O169" i="2" s="1"/>
  <c r="V169" i="5"/>
  <c r="Q169" i="2" l="1"/>
  <c r="AB169" i="5" s="1"/>
  <c r="P169" i="2"/>
  <c r="Z169" i="5"/>
  <c r="AA169" i="5" l="1"/>
  <c r="R169" i="2"/>
  <c r="S169" i="2"/>
  <c r="U169" i="2"/>
  <c r="AD169" i="5" l="1"/>
  <c r="C170" i="5" s="1"/>
  <c r="E170" i="5" s="1"/>
  <c r="I170" i="5" s="1"/>
  <c r="AC169" i="5"/>
  <c r="T169" i="2"/>
  <c r="K170" i="5" l="1"/>
  <c r="B170" i="5"/>
  <c r="D170" i="5" s="1"/>
  <c r="H170" i="5" s="1"/>
  <c r="M170" i="5" s="1"/>
  <c r="AE169" i="5"/>
  <c r="AF169" i="5" s="1"/>
  <c r="O170" i="5" l="1"/>
  <c r="Q170" i="5" s="1"/>
  <c r="J170" i="5"/>
  <c r="L170" i="5"/>
  <c r="AG169" i="5"/>
  <c r="N170" i="5" l="1"/>
  <c r="P170" i="5" s="1"/>
  <c r="S170" i="5"/>
  <c r="U170" i="5"/>
  <c r="M170" i="2" l="1"/>
  <c r="R170" i="5"/>
  <c r="T170" i="5"/>
  <c r="L170" i="2" l="1"/>
  <c r="N170" i="2" s="1"/>
  <c r="O170" i="2" s="1"/>
  <c r="V170" i="5"/>
  <c r="P170" i="2" l="1"/>
  <c r="AA170" i="5" s="1"/>
  <c r="Q170" i="2"/>
  <c r="U170" i="2"/>
  <c r="Z170" i="5"/>
  <c r="AC170" i="5" l="1"/>
  <c r="AD170" i="5"/>
  <c r="C171" i="5" s="1"/>
  <c r="E171" i="5" s="1"/>
  <c r="I171" i="5" s="1"/>
  <c r="AB170" i="5"/>
  <c r="R170" i="2"/>
  <c r="S170" i="2"/>
  <c r="B171" i="5" l="1"/>
  <c r="D171" i="5" s="1"/>
  <c r="H171" i="5" s="1"/>
  <c r="M171" i="5" s="1"/>
  <c r="AE170" i="5"/>
  <c r="AF170" i="5" s="1"/>
  <c r="K171" i="5"/>
  <c r="T170" i="2"/>
  <c r="J171" i="5" l="1"/>
  <c r="L171" i="5"/>
  <c r="AG170" i="5"/>
  <c r="O171" i="5"/>
  <c r="Q171" i="5" s="1"/>
  <c r="N171" i="5" l="1"/>
  <c r="P171" i="5" s="1"/>
  <c r="S171" i="5"/>
  <c r="U171" i="5"/>
  <c r="M171" i="2" l="1"/>
  <c r="R171" i="5"/>
  <c r="T171" i="5"/>
  <c r="L171" i="2" l="1"/>
  <c r="N171" i="2" s="1"/>
  <c r="O171" i="2" s="1"/>
  <c r="V171" i="5"/>
  <c r="Q171" i="2" l="1"/>
  <c r="AB171" i="5" s="1"/>
  <c r="P171" i="2"/>
  <c r="Z171" i="5"/>
  <c r="AA171" i="5" l="1"/>
  <c r="S171" i="2"/>
  <c r="R171" i="2"/>
  <c r="U171" i="2"/>
  <c r="AD171" i="5" l="1"/>
  <c r="C172" i="5" s="1"/>
  <c r="E172" i="5" s="1"/>
  <c r="I172" i="5" s="1"/>
  <c r="AC171" i="5"/>
  <c r="T171" i="2"/>
  <c r="M172" i="5" l="1"/>
  <c r="K172" i="5"/>
  <c r="B172" i="5"/>
  <c r="D172" i="5" s="1"/>
  <c r="H172" i="5" s="1"/>
  <c r="AE171" i="5"/>
  <c r="AF171" i="5" s="1"/>
  <c r="O172" i="5" l="1"/>
  <c r="Q172" i="5" s="1"/>
  <c r="J172" i="5"/>
  <c r="L172" i="5"/>
  <c r="AG171" i="5"/>
  <c r="N172" i="5" l="1"/>
  <c r="P172" i="5" s="1"/>
  <c r="S172" i="5"/>
  <c r="U172" i="5"/>
  <c r="M172" i="2" l="1"/>
  <c r="R172" i="5"/>
  <c r="T172" i="5"/>
  <c r="L172" i="2" l="1"/>
  <c r="N172" i="2" s="1"/>
  <c r="O172" i="2" s="1"/>
  <c r="V172" i="5"/>
  <c r="Q172" i="2" l="1"/>
  <c r="Z172" i="5"/>
  <c r="P172" i="2"/>
  <c r="AB172" i="5" l="1"/>
  <c r="R172" i="2"/>
  <c r="S172" i="2"/>
  <c r="AA172" i="5"/>
  <c r="U172" i="2"/>
  <c r="AD172" i="5" l="1"/>
  <c r="C173" i="5" s="1"/>
  <c r="E173" i="5" s="1"/>
  <c r="I173" i="5" s="1"/>
  <c r="AC172" i="5"/>
  <c r="T172" i="2"/>
  <c r="K173" i="5" l="1"/>
  <c r="B173" i="5"/>
  <c r="D173" i="5" s="1"/>
  <c r="H173" i="5" s="1"/>
  <c r="M173" i="5" s="1"/>
  <c r="AE172" i="5"/>
  <c r="AF172" i="5" s="1"/>
  <c r="O173" i="5" l="1"/>
  <c r="Q173" i="5" s="1"/>
  <c r="S173" i="5" s="1"/>
  <c r="U173" i="5"/>
  <c r="J173" i="5"/>
  <c r="L173" i="5"/>
  <c r="AG172" i="5"/>
  <c r="M173" i="2" l="1"/>
  <c r="N173" i="5"/>
  <c r="P173" i="5" s="1"/>
  <c r="R173" i="5" l="1"/>
  <c r="T173" i="5"/>
  <c r="L173" i="2" l="1"/>
  <c r="N173" i="2" s="1"/>
  <c r="O173" i="2" s="1"/>
  <c r="V173" i="5"/>
  <c r="Z173" i="5" l="1"/>
  <c r="P173" i="2"/>
  <c r="Q173" i="2"/>
  <c r="AA173" i="5" l="1"/>
  <c r="R173" i="2"/>
  <c r="T173" i="2" s="1"/>
  <c r="AB173" i="5"/>
  <c r="S173" i="2"/>
  <c r="U173" i="2"/>
  <c r="AD173" i="5" l="1"/>
  <c r="C174" i="5" s="1"/>
  <c r="E174" i="5" s="1"/>
  <c r="I174" i="5" s="1"/>
  <c r="AC173" i="5"/>
  <c r="M174" i="5" l="1"/>
  <c r="K174" i="5"/>
  <c r="B174" i="5"/>
  <c r="D174" i="5" s="1"/>
  <c r="H174" i="5" s="1"/>
  <c r="AE173" i="5"/>
  <c r="AF173" i="5" s="1"/>
  <c r="O174" i="5" l="1"/>
  <c r="Q174" i="5" s="1"/>
  <c r="J174" i="5"/>
  <c r="L174" i="5"/>
  <c r="AG173" i="5"/>
  <c r="N174" i="5" l="1"/>
  <c r="P174" i="5" s="1"/>
  <c r="S174" i="5"/>
  <c r="U174" i="5"/>
  <c r="M174" i="2" l="1"/>
  <c r="R174" i="5"/>
  <c r="T174" i="5"/>
  <c r="L174" i="2" l="1"/>
  <c r="N174" i="2" s="1"/>
  <c r="O174" i="2" s="1"/>
  <c r="V174" i="5"/>
  <c r="Z174" i="5" l="1"/>
  <c r="P174" i="2"/>
  <c r="Q174" i="2"/>
  <c r="AB174" i="5" s="1"/>
  <c r="AA174" i="5" l="1"/>
  <c r="S174" i="2"/>
  <c r="U174" i="2"/>
  <c r="R174" i="2"/>
  <c r="T174" i="2" s="1"/>
  <c r="AD174" i="5" l="1"/>
  <c r="C175" i="5" s="1"/>
  <c r="E175" i="5" s="1"/>
  <c r="I175" i="5" s="1"/>
  <c r="AC174" i="5"/>
  <c r="K175" i="5" l="1"/>
  <c r="B175" i="5"/>
  <c r="D175" i="5" s="1"/>
  <c r="H175" i="5" s="1"/>
  <c r="M175" i="5" s="1"/>
  <c r="AE174" i="5"/>
  <c r="AF174" i="5" s="1"/>
  <c r="O175" i="5" l="1"/>
  <c r="Q175" i="5" s="1"/>
  <c r="J175" i="5"/>
  <c r="L175" i="5"/>
  <c r="AG174" i="5"/>
  <c r="N175" i="5" l="1"/>
  <c r="P175" i="5" s="1"/>
  <c r="S175" i="5"/>
  <c r="U175" i="5"/>
  <c r="M175" i="2" l="1"/>
  <c r="R175" i="5"/>
  <c r="T175" i="5"/>
  <c r="L175" i="2" l="1"/>
  <c r="N175" i="2" s="1"/>
  <c r="O175" i="2" s="1"/>
  <c r="V175" i="5"/>
  <c r="Q175" i="2" l="1"/>
  <c r="AB175" i="5" s="1"/>
  <c r="P175" i="2"/>
  <c r="Z175" i="5"/>
  <c r="AA175" i="5" l="1"/>
  <c r="U175" i="2"/>
  <c r="R175" i="2"/>
  <c r="T175" i="2" s="1"/>
  <c r="S175" i="2"/>
  <c r="AD175" i="5" l="1"/>
  <c r="C176" i="5" s="1"/>
  <c r="E176" i="5" s="1"/>
  <c r="I176" i="5" s="1"/>
  <c r="AC175" i="5"/>
  <c r="K176" i="5" l="1"/>
  <c r="B176" i="5"/>
  <c r="D176" i="5" s="1"/>
  <c r="H176" i="5" s="1"/>
  <c r="M176" i="5" s="1"/>
  <c r="AE175" i="5"/>
  <c r="AF175" i="5" s="1"/>
  <c r="O176" i="5" l="1"/>
  <c r="Q176" i="5" s="1"/>
  <c r="J176" i="5"/>
  <c r="L176" i="5"/>
  <c r="AG175" i="5"/>
  <c r="N176" i="5" l="1"/>
  <c r="P176" i="5" s="1"/>
  <c r="S176" i="5"/>
  <c r="U176" i="5"/>
  <c r="M176" i="2" l="1"/>
  <c r="R176" i="5"/>
  <c r="T176" i="5"/>
  <c r="L176" i="2" l="1"/>
  <c r="N176" i="2" s="1"/>
  <c r="O176" i="2" s="1"/>
  <c r="V176" i="5"/>
  <c r="Z176" i="5" l="1"/>
  <c r="P176" i="2"/>
  <c r="Q176" i="2"/>
  <c r="AB176" i="5" s="1"/>
  <c r="AA176" i="5" l="1"/>
  <c r="S176" i="2"/>
  <c r="U176" i="2"/>
  <c r="R176" i="2"/>
  <c r="T176" i="2" s="1"/>
  <c r="AD176" i="5" l="1"/>
  <c r="C177" i="5" s="1"/>
  <c r="E177" i="5" s="1"/>
  <c r="I177" i="5" s="1"/>
  <c r="AC176" i="5"/>
  <c r="K177" i="5" l="1"/>
  <c r="B177" i="5"/>
  <c r="D177" i="5" s="1"/>
  <c r="H177" i="5" s="1"/>
  <c r="M177" i="5" s="1"/>
  <c r="AE176" i="5"/>
  <c r="AF176" i="5" s="1"/>
  <c r="O177" i="5" l="1"/>
  <c r="Q177" i="5" s="1"/>
  <c r="J177" i="5"/>
  <c r="L177" i="5"/>
  <c r="AG176" i="5"/>
  <c r="N177" i="5" l="1"/>
  <c r="P177" i="5" s="1"/>
  <c r="R177" i="5" s="1"/>
  <c r="T177" i="5"/>
  <c r="S177" i="5"/>
  <c r="U177" i="5"/>
  <c r="V177" i="5" l="1"/>
  <c r="L177" i="2"/>
  <c r="M177" i="2"/>
  <c r="N177" i="2" l="1"/>
  <c r="O177" i="2" s="1"/>
  <c r="Z177" i="5" l="1"/>
  <c r="P177" i="2"/>
  <c r="Q177" i="2"/>
  <c r="AA177" i="5" l="1"/>
  <c r="R177" i="2"/>
  <c r="S177" i="2"/>
  <c r="AB177" i="5"/>
  <c r="U177" i="2"/>
  <c r="AC177" i="5" l="1"/>
  <c r="AD177" i="5"/>
  <c r="C178" i="5" s="1"/>
  <c r="E178" i="5" s="1"/>
  <c r="I178" i="5" s="1"/>
  <c r="T177" i="2"/>
  <c r="B178" i="5" l="1"/>
  <c r="D178" i="5" s="1"/>
  <c r="H178" i="5" s="1"/>
  <c r="M178" i="5" s="1"/>
  <c r="AE177" i="5"/>
  <c r="AF177" i="5" s="1"/>
  <c r="K178" i="5"/>
  <c r="J178" i="5" l="1"/>
  <c r="L178" i="5"/>
  <c r="AG177" i="5"/>
  <c r="O178" i="5"/>
  <c r="Q178" i="5" s="1"/>
  <c r="N178" i="5" l="1"/>
  <c r="P178" i="5" s="1"/>
  <c r="S178" i="5"/>
  <c r="U178" i="5"/>
  <c r="M178" i="2" l="1"/>
  <c r="R178" i="5"/>
  <c r="T178" i="5"/>
  <c r="L178" i="2" l="1"/>
  <c r="N178" i="2" s="1"/>
  <c r="O178" i="2" s="1"/>
  <c r="V178" i="5"/>
  <c r="Q178" i="2" l="1"/>
  <c r="AB178" i="5" s="1"/>
  <c r="P178" i="2"/>
  <c r="R178" i="2"/>
  <c r="Z178" i="5"/>
  <c r="AA178" i="5" l="1"/>
  <c r="S178" i="2"/>
  <c r="T178" i="2" s="1"/>
  <c r="U178" i="2"/>
  <c r="AD178" i="5" l="1"/>
  <c r="C179" i="5" s="1"/>
  <c r="E179" i="5" s="1"/>
  <c r="I179" i="5" s="1"/>
  <c r="AC178" i="5"/>
  <c r="M179" i="5" l="1"/>
  <c r="K179" i="5"/>
  <c r="B179" i="5"/>
  <c r="D179" i="5" s="1"/>
  <c r="H179" i="5" s="1"/>
  <c r="AE178" i="5"/>
  <c r="AF178" i="5" s="1"/>
  <c r="O179" i="5" l="1"/>
  <c r="Q179" i="5" s="1"/>
  <c r="J179" i="5"/>
  <c r="L179" i="5"/>
  <c r="AG178" i="5"/>
  <c r="N179" i="5" l="1"/>
  <c r="P179" i="5" s="1"/>
  <c r="S179" i="5"/>
  <c r="U179" i="5"/>
  <c r="M179" i="2" l="1"/>
  <c r="R179" i="5"/>
  <c r="T179" i="5"/>
  <c r="L179" i="2" l="1"/>
  <c r="N179" i="2" s="1"/>
  <c r="O179" i="2" s="1"/>
  <c r="V179" i="5"/>
  <c r="P179" i="2" l="1"/>
  <c r="Q179" i="2"/>
  <c r="AB179" i="5" s="1"/>
  <c r="Z179" i="5"/>
  <c r="AA179" i="5" l="1"/>
  <c r="U179" i="2"/>
  <c r="R179" i="2"/>
  <c r="S179" i="2"/>
  <c r="AD179" i="5" l="1"/>
  <c r="C180" i="5" s="1"/>
  <c r="E180" i="5" s="1"/>
  <c r="I180" i="5" s="1"/>
  <c r="AC179" i="5"/>
  <c r="T179" i="2"/>
  <c r="M180" i="5" l="1"/>
  <c r="K180" i="5"/>
  <c r="B180" i="5"/>
  <c r="D180" i="5" s="1"/>
  <c r="H180" i="5" s="1"/>
  <c r="AE179" i="5"/>
  <c r="AF179" i="5" s="1"/>
  <c r="O180" i="5" l="1"/>
  <c r="Q180" i="5" s="1"/>
  <c r="J180" i="5"/>
  <c r="L180" i="5"/>
  <c r="AG179" i="5"/>
  <c r="N180" i="5" l="1"/>
  <c r="P180" i="5" s="1"/>
  <c r="S180" i="5"/>
  <c r="U180" i="5"/>
  <c r="M180" i="2" l="1"/>
  <c r="R180" i="5"/>
  <c r="T180" i="5"/>
  <c r="L180" i="2" l="1"/>
  <c r="N180" i="2" s="1"/>
  <c r="O180" i="2" s="1"/>
  <c r="V180" i="5"/>
  <c r="Q180" i="2" l="1"/>
  <c r="AB180" i="5" s="1"/>
  <c r="P180" i="2"/>
  <c r="Z180" i="5"/>
  <c r="AA180" i="5" l="1"/>
  <c r="R180" i="2"/>
  <c r="T180" i="2" s="1"/>
  <c r="U180" i="2"/>
  <c r="S180" i="2"/>
  <c r="AD180" i="5" l="1"/>
  <c r="C181" i="5" s="1"/>
  <c r="E181" i="5" s="1"/>
  <c r="I181" i="5" s="1"/>
  <c r="AC180" i="5"/>
  <c r="M181" i="5" l="1"/>
  <c r="K181" i="5"/>
  <c r="B181" i="5"/>
  <c r="D181" i="5" s="1"/>
  <c r="H181" i="5" s="1"/>
  <c r="AE180" i="5"/>
  <c r="AF180" i="5" s="1"/>
  <c r="O181" i="5" l="1"/>
  <c r="Q181" i="5" s="1"/>
  <c r="S181" i="5" s="1"/>
  <c r="U181" i="5"/>
  <c r="J181" i="5"/>
  <c r="L181" i="5"/>
  <c r="AG180" i="5"/>
  <c r="M181" i="2" l="1"/>
  <c r="N181" i="5"/>
  <c r="P181" i="5" s="1"/>
  <c r="R181" i="5" s="1"/>
  <c r="T181" i="5"/>
  <c r="V181" i="5" l="1"/>
  <c r="L181" i="2"/>
  <c r="N181" i="2" s="1"/>
  <c r="O181" i="2" s="1"/>
  <c r="P181" i="2" l="1"/>
  <c r="R181" i="2"/>
  <c r="Q181" i="2"/>
  <c r="AB181" i="5" s="1"/>
  <c r="Z181" i="5"/>
  <c r="AA181" i="5" l="1"/>
  <c r="S181" i="2"/>
  <c r="T181" i="2" s="1"/>
  <c r="U181" i="2"/>
  <c r="AD181" i="5" l="1"/>
  <c r="C182" i="5" s="1"/>
  <c r="E182" i="5" s="1"/>
  <c r="I182" i="5" s="1"/>
  <c r="AC181" i="5"/>
  <c r="K182" i="5" l="1"/>
  <c r="B182" i="5"/>
  <c r="D182" i="5" s="1"/>
  <c r="H182" i="5" s="1"/>
  <c r="M182" i="5" s="1"/>
  <c r="AE181" i="5"/>
  <c r="AF181" i="5" s="1"/>
  <c r="O182" i="5" l="1"/>
  <c r="Q182" i="5" s="1"/>
  <c r="J182" i="5"/>
  <c r="L182" i="5"/>
  <c r="AG181" i="5"/>
  <c r="N182" i="5" l="1"/>
  <c r="P182" i="5" s="1"/>
  <c r="S182" i="5"/>
  <c r="U182" i="5"/>
  <c r="M182" i="2" l="1"/>
  <c r="R182" i="5"/>
  <c r="T182" i="5"/>
  <c r="L182" i="2" l="1"/>
  <c r="N182" i="2" s="1"/>
  <c r="O182" i="2" s="1"/>
  <c r="V182" i="5"/>
  <c r="Q182" i="2" l="1"/>
  <c r="AB182" i="5" s="1"/>
  <c r="S182" i="2"/>
  <c r="P182" i="2"/>
  <c r="AA182" i="5" s="1"/>
  <c r="R182" i="2"/>
  <c r="T182" i="2" s="1"/>
  <c r="U182" i="2"/>
  <c r="Z182" i="5"/>
  <c r="AC182" i="5" l="1"/>
  <c r="AD182" i="5"/>
  <c r="C183" i="5" s="1"/>
  <c r="E183" i="5" s="1"/>
  <c r="I183" i="5" s="1"/>
  <c r="B183" i="5" l="1"/>
  <c r="D183" i="5" s="1"/>
  <c r="H183" i="5" s="1"/>
  <c r="M183" i="5" s="1"/>
  <c r="AE182" i="5"/>
  <c r="AF182" i="5" s="1"/>
  <c r="K183" i="5"/>
  <c r="J183" i="5" l="1"/>
  <c r="L183" i="5"/>
  <c r="AG182" i="5"/>
  <c r="O183" i="5"/>
  <c r="Q183" i="5" s="1"/>
  <c r="N183" i="5" l="1"/>
  <c r="P183" i="5" s="1"/>
  <c r="S183" i="5"/>
  <c r="U183" i="5"/>
  <c r="M183" i="2" l="1"/>
  <c r="R183" i="5"/>
  <c r="T183" i="5"/>
  <c r="L183" i="2" l="1"/>
  <c r="N183" i="2" s="1"/>
  <c r="O183" i="2" s="1"/>
  <c r="V183" i="5"/>
  <c r="Q183" i="2" l="1"/>
  <c r="AB183" i="5" s="1"/>
  <c r="P183" i="2"/>
  <c r="Z183" i="5"/>
  <c r="AA183" i="5" l="1"/>
  <c r="S183" i="2"/>
  <c r="U183" i="2"/>
  <c r="R183" i="2"/>
  <c r="T183" i="2" s="1"/>
  <c r="AD183" i="5" l="1"/>
  <c r="C184" i="5" s="1"/>
  <c r="E184" i="5" s="1"/>
  <c r="I184" i="5" s="1"/>
  <c r="AC183" i="5"/>
  <c r="K184" i="5" l="1"/>
  <c r="B184" i="5"/>
  <c r="D184" i="5" s="1"/>
  <c r="H184" i="5" s="1"/>
  <c r="M184" i="5" s="1"/>
  <c r="AE183" i="5"/>
  <c r="AF183" i="5" s="1"/>
  <c r="O184" i="5" l="1"/>
  <c r="Q184" i="5" s="1"/>
  <c r="J184" i="5"/>
  <c r="L184" i="5"/>
  <c r="AG183" i="5"/>
  <c r="N184" i="5" l="1"/>
  <c r="P184" i="5" s="1"/>
  <c r="S184" i="5"/>
  <c r="U184" i="5"/>
  <c r="M184" i="2" l="1"/>
  <c r="R184" i="5"/>
  <c r="T184" i="5"/>
  <c r="L184" i="2" l="1"/>
  <c r="N184" i="2" s="1"/>
  <c r="O184" i="2" s="1"/>
  <c r="V184" i="5"/>
  <c r="P184" i="2" l="1"/>
  <c r="Q184" i="2"/>
  <c r="Z184" i="5"/>
  <c r="AA184" i="5" l="1"/>
  <c r="S184" i="2"/>
  <c r="U184" i="2"/>
  <c r="AB184" i="5"/>
  <c r="R184" i="2"/>
  <c r="T184" i="2" s="1"/>
  <c r="AD184" i="5" l="1"/>
  <c r="C185" i="5" s="1"/>
  <c r="E185" i="5" s="1"/>
  <c r="I185" i="5" s="1"/>
  <c r="AC184" i="5"/>
  <c r="K185" i="5" l="1"/>
  <c r="B185" i="5"/>
  <c r="D185" i="5" s="1"/>
  <c r="H185" i="5" s="1"/>
  <c r="M185" i="5" s="1"/>
  <c r="AE184" i="5"/>
  <c r="AF184" i="5" s="1"/>
  <c r="O185" i="5" l="1"/>
  <c r="Q185" i="5" s="1"/>
  <c r="S185" i="5" s="1"/>
  <c r="U185" i="5"/>
  <c r="J185" i="5"/>
  <c r="L185" i="5"/>
  <c r="AG184" i="5"/>
  <c r="M185" i="2" l="1"/>
  <c r="N185" i="5"/>
  <c r="P185" i="5" s="1"/>
  <c r="R185" i="5" l="1"/>
  <c r="T185" i="5"/>
  <c r="L185" i="2" l="1"/>
  <c r="N185" i="2" s="1"/>
  <c r="O185" i="2" s="1"/>
  <c r="V185" i="5"/>
  <c r="Q185" i="2" l="1"/>
  <c r="AB185" i="5" s="1"/>
  <c r="Z185" i="5"/>
  <c r="P185" i="2"/>
  <c r="R185" i="2"/>
  <c r="AA185" i="5" l="1"/>
  <c r="S185" i="2"/>
  <c r="T185" i="2" s="1"/>
  <c r="U185" i="2"/>
  <c r="AD185" i="5" l="1"/>
  <c r="C186" i="5" s="1"/>
  <c r="E186" i="5" s="1"/>
  <c r="I186" i="5" s="1"/>
  <c r="AC185" i="5"/>
  <c r="K186" i="5" l="1"/>
  <c r="B186" i="5"/>
  <c r="D186" i="5" s="1"/>
  <c r="H186" i="5" s="1"/>
  <c r="M186" i="5" s="1"/>
  <c r="AE185" i="5"/>
  <c r="AF185" i="5" s="1"/>
  <c r="O186" i="5" l="1"/>
  <c r="Q186" i="5" s="1"/>
  <c r="J186" i="5"/>
  <c r="L186" i="5"/>
  <c r="AG185" i="5"/>
  <c r="N186" i="5" l="1"/>
  <c r="P186" i="5" s="1"/>
  <c r="S186" i="5"/>
  <c r="U186" i="5"/>
  <c r="M186" i="2" l="1"/>
  <c r="R186" i="5"/>
  <c r="T186" i="5"/>
  <c r="L186" i="2" l="1"/>
  <c r="N186" i="2" s="1"/>
  <c r="O186" i="2" s="1"/>
  <c r="V186" i="5"/>
  <c r="Q186" i="2" l="1"/>
  <c r="AB186" i="5" s="1"/>
  <c r="Z186" i="5"/>
  <c r="P186" i="2"/>
  <c r="AA186" i="5" l="1"/>
  <c r="R186" i="2"/>
  <c r="T186" i="2" s="1"/>
  <c r="S186" i="2"/>
  <c r="U186" i="2"/>
  <c r="AD186" i="5" l="1"/>
  <c r="C187" i="5" s="1"/>
  <c r="E187" i="5" s="1"/>
  <c r="I187" i="5" s="1"/>
  <c r="AC186" i="5"/>
  <c r="K187" i="5" l="1"/>
  <c r="B187" i="5"/>
  <c r="D187" i="5" s="1"/>
  <c r="H187" i="5" s="1"/>
  <c r="M187" i="5" s="1"/>
  <c r="AE186" i="5"/>
  <c r="AF186" i="5" s="1"/>
  <c r="O187" i="5" l="1"/>
  <c r="Q187" i="5" s="1"/>
  <c r="S187" i="5" s="1"/>
  <c r="U187" i="5"/>
  <c r="J187" i="5"/>
  <c r="L187" i="5"/>
  <c r="AG186" i="5"/>
  <c r="M187" i="2" l="1"/>
  <c r="N187" i="5"/>
  <c r="P187" i="5" s="1"/>
  <c r="R187" i="5" l="1"/>
  <c r="T187" i="5"/>
  <c r="L187" i="2" l="1"/>
  <c r="N187" i="2" s="1"/>
  <c r="O187" i="2" s="1"/>
  <c r="V187" i="5"/>
  <c r="Z187" i="5" l="1"/>
  <c r="P187" i="2"/>
  <c r="Q187" i="2"/>
  <c r="AB187" i="5" s="1"/>
  <c r="AA187" i="5" l="1"/>
  <c r="S187" i="2"/>
  <c r="U187" i="2"/>
  <c r="R187" i="2"/>
  <c r="AD187" i="5" l="1"/>
  <c r="C188" i="5" s="1"/>
  <c r="E188" i="5" s="1"/>
  <c r="I188" i="5" s="1"/>
  <c r="AC187" i="5"/>
  <c r="T187" i="2"/>
  <c r="M188" i="5" l="1"/>
  <c r="K188" i="5"/>
  <c r="B188" i="5"/>
  <c r="D188" i="5" s="1"/>
  <c r="H188" i="5" s="1"/>
  <c r="AE187" i="5"/>
  <c r="AF187" i="5" s="1"/>
  <c r="O188" i="5" l="1"/>
  <c r="Q188" i="5" s="1"/>
  <c r="J188" i="5"/>
  <c r="L188" i="5"/>
  <c r="AG187" i="5"/>
  <c r="N188" i="5" l="1"/>
  <c r="P188" i="5" s="1"/>
  <c r="S188" i="5"/>
  <c r="U188" i="5"/>
  <c r="M188" i="2" l="1"/>
  <c r="R188" i="5"/>
  <c r="T188" i="5"/>
  <c r="L188" i="2" l="1"/>
  <c r="N188" i="2" s="1"/>
  <c r="O188" i="2" s="1"/>
  <c r="V188" i="5"/>
  <c r="Q188" i="2" l="1"/>
  <c r="Z188" i="5"/>
  <c r="P188" i="2"/>
  <c r="AA188" i="5" s="1"/>
  <c r="AC188" i="5" l="1"/>
  <c r="AD188" i="5"/>
  <c r="C189" i="5" s="1"/>
  <c r="E189" i="5" s="1"/>
  <c r="I189" i="5" s="1"/>
  <c r="AB188" i="5"/>
  <c r="R188" i="2"/>
  <c r="S188" i="2"/>
  <c r="U188" i="2"/>
  <c r="B189" i="5" l="1"/>
  <c r="D189" i="5" s="1"/>
  <c r="H189" i="5" s="1"/>
  <c r="M189" i="5" s="1"/>
  <c r="AE188" i="5"/>
  <c r="AF188" i="5" s="1"/>
  <c r="K189" i="5"/>
  <c r="T188" i="2"/>
  <c r="J189" i="5" l="1"/>
  <c r="L189" i="5"/>
  <c r="AG188" i="5"/>
  <c r="O189" i="5"/>
  <c r="Q189" i="5" s="1"/>
  <c r="S189" i="5" s="1"/>
  <c r="U189" i="5"/>
  <c r="N189" i="5" l="1"/>
  <c r="P189" i="5" s="1"/>
  <c r="M189" i="2"/>
  <c r="R189" i="5" l="1"/>
  <c r="T189" i="5"/>
  <c r="L189" i="2" l="1"/>
  <c r="N189" i="2" s="1"/>
  <c r="O189" i="2" s="1"/>
  <c r="V189" i="5"/>
  <c r="Q189" i="2" l="1"/>
  <c r="P189" i="2"/>
  <c r="AA189" i="5" s="1"/>
  <c r="Z189" i="5"/>
  <c r="AC189" i="5" l="1"/>
  <c r="AD189" i="5"/>
  <c r="C190" i="5" s="1"/>
  <c r="E190" i="5" s="1"/>
  <c r="I190" i="5" s="1"/>
  <c r="AB189" i="5"/>
  <c r="R189" i="2"/>
  <c r="S189" i="2"/>
  <c r="U189" i="2"/>
  <c r="B190" i="5" l="1"/>
  <c r="D190" i="5" s="1"/>
  <c r="H190" i="5" s="1"/>
  <c r="M190" i="5" s="1"/>
  <c r="AE189" i="5"/>
  <c r="AF189" i="5" s="1"/>
  <c r="K190" i="5"/>
  <c r="T189" i="2"/>
  <c r="J190" i="5" l="1"/>
  <c r="L190" i="5"/>
  <c r="AG189" i="5"/>
  <c r="O190" i="5"/>
  <c r="Q190" i="5" s="1"/>
  <c r="N190" i="5" l="1"/>
  <c r="P190" i="5" s="1"/>
  <c r="S190" i="5"/>
  <c r="U190" i="5"/>
  <c r="M190" i="2" l="1"/>
  <c r="R190" i="5"/>
  <c r="T190" i="5"/>
  <c r="L190" i="2" l="1"/>
  <c r="N190" i="2" s="1"/>
  <c r="O190" i="2" s="1"/>
  <c r="V190" i="5"/>
  <c r="Q190" i="2" l="1"/>
  <c r="P190" i="2"/>
  <c r="Z190" i="5"/>
  <c r="AB190" i="5" l="1"/>
  <c r="R190" i="2"/>
  <c r="T190" i="2" s="1"/>
  <c r="AA190" i="5"/>
  <c r="S190" i="2"/>
  <c r="U190" i="2"/>
  <c r="AD190" i="5" l="1"/>
  <c r="C191" i="5" s="1"/>
  <c r="E191" i="5" s="1"/>
  <c r="I191" i="5" s="1"/>
  <c r="AC190" i="5"/>
  <c r="K191" i="5" l="1"/>
  <c r="B191" i="5"/>
  <c r="D191" i="5" s="1"/>
  <c r="H191" i="5" s="1"/>
  <c r="M191" i="5" s="1"/>
  <c r="AE190" i="5"/>
  <c r="AF190" i="5" s="1"/>
  <c r="O191" i="5" l="1"/>
  <c r="Q191" i="5" s="1"/>
  <c r="J191" i="5"/>
  <c r="L191" i="5"/>
  <c r="AG190" i="5"/>
  <c r="N191" i="5" l="1"/>
  <c r="P191" i="5" s="1"/>
  <c r="S191" i="5"/>
  <c r="U191" i="5"/>
  <c r="M191" i="2" l="1"/>
  <c r="R191" i="5"/>
  <c r="T191" i="5"/>
  <c r="L191" i="2" l="1"/>
  <c r="N191" i="2" s="1"/>
  <c r="O191" i="2" s="1"/>
  <c r="V191" i="5"/>
  <c r="P191" i="2" l="1"/>
  <c r="AA191" i="5" s="1"/>
  <c r="Q191" i="2"/>
  <c r="Z191" i="5"/>
  <c r="AC191" i="5" l="1"/>
  <c r="AD191" i="5"/>
  <c r="C192" i="5" s="1"/>
  <c r="E192" i="5" s="1"/>
  <c r="I192" i="5" s="1"/>
  <c r="AB191" i="5"/>
  <c r="R191" i="2"/>
  <c r="T191" i="2" s="1"/>
  <c r="S191" i="2"/>
  <c r="U191" i="2"/>
  <c r="B192" i="5" l="1"/>
  <c r="D192" i="5" s="1"/>
  <c r="H192" i="5" s="1"/>
  <c r="M192" i="5" s="1"/>
  <c r="AE191" i="5"/>
  <c r="AF191" i="5" s="1"/>
  <c r="K192" i="5"/>
  <c r="J192" i="5" l="1"/>
  <c r="L192" i="5"/>
  <c r="AG191" i="5"/>
  <c r="O192" i="5"/>
  <c r="Q192" i="5" s="1"/>
  <c r="N192" i="5" l="1"/>
  <c r="P192" i="5" s="1"/>
  <c r="S192" i="5"/>
  <c r="U192" i="5"/>
  <c r="M192" i="2" l="1"/>
  <c r="R192" i="5"/>
  <c r="T192" i="5"/>
  <c r="L192" i="2" l="1"/>
  <c r="N192" i="2" s="1"/>
  <c r="O192" i="2" s="1"/>
  <c r="V192" i="5"/>
  <c r="Q192" i="2" l="1"/>
  <c r="Z192" i="5"/>
  <c r="P192" i="2"/>
  <c r="AA192" i="5" s="1"/>
  <c r="AC192" i="5" l="1"/>
  <c r="AD192" i="5"/>
  <c r="C193" i="5" s="1"/>
  <c r="E193" i="5" s="1"/>
  <c r="I193" i="5" s="1"/>
  <c r="AB192" i="5"/>
  <c r="R192" i="2"/>
  <c r="S192" i="2"/>
  <c r="U192" i="2"/>
  <c r="B193" i="5" l="1"/>
  <c r="D193" i="5" s="1"/>
  <c r="H193" i="5" s="1"/>
  <c r="M193" i="5" s="1"/>
  <c r="AE192" i="5"/>
  <c r="AF192" i="5" s="1"/>
  <c r="K193" i="5"/>
  <c r="T192" i="2"/>
  <c r="J193" i="5" l="1"/>
  <c r="L193" i="5"/>
  <c r="AG192" i="5"/>
  <c r="O193" i="5"/>
  <c r="Q193" i="5" s="1"/>
  <c r="N193" i="5" l="1"/>
  <c r="P193" i="5" s="1"/>
  <c r="S193" i="5"/>
  <c r="U193" i="5"/>
  <c r="M193" i="2" l="1"/>
  <c r="R193" i="5"/>
  <c r="T193" i="5"/>
  <c r="L193" i="2" l="1"/>
  <c r="N193" i="2" s="1"/>
  <c r="O193" i="2" s="1"/>
  <c r="V193" i="5"/>
  <c r="P193" i="2" l="1"/>
  <c r="Q193" i="2"/>
  <c r="AB193" i="5" s="1"/>
  <c r="Z193" i="5"/>
  <c r="AA193" i="5" l="1"/>
  <c r="R193" i="2"/>
  <c r="S193" i="2"/>
  <c r="U193" i="2"/>
  <c r="AD193" i="5" l="1"/>
  <c r="C194" i="5" s="1"/>
  <c r="E194" i="5" s="1"/>
  <c r="I194" i="5" s="1"/>
  <c r="AC193" i="5"/>
  <c r="T193" i="2"/>
  <c r="K194" i="5" l="1"/>
  <c r="B194" i="5"/>
  <c r="D194" i="5" s="1"/>
  <c r="H194" i="5" s="1"/>
  <c r="M194" i="5" s="1"/>
  <c r="AE193" i="5"/>
  <c r="AF193" i="5" s="1"/>
  <c r="O194" i="5" l="1"/>
  <c r="Q194" i="5" s="1"/>
  <c r="J194" i="5"/>
  <c r="L194" i="5"/>
  <c r="AG193" i="5"/>
  <c r="N194" i="5" l="1"/>
  <c r="P194" i="5" s="1"/>
  <c r="S194" i="5"/>
  <c r="U194" i="5"/>
  <c r="M194" i="2" l="1"/>
  <c r="R194" i="5"/>
  <c r="T194" i="5"/>
  <c r="L194" i="2" l="1"/>
  <c r="N194" i="2" s="1"/>
  <c r="O194" i="2" s="1"/>
  <c r="V194" i="5"/>
  <c r="Q194" i="2" l="1"/>
  <c r="AB194" i="5" s="1"/>
  <c r="P194" i="2"/>
  <c r="Z194" i="5"/>
  <c r="AA194" i="5" l="1"/>
  <c r="S194" i="2"/>
  <c r="R194" i="2"/>
  <c r="U194" i="2"/>
  <c r="AD194" i="5" l="1"/>
  <c r="C195" i="5" s="1"/>
  <c r="E195" i="5" s="1"/>
  <c r="I195" i="5" s="1"/>
  <c r="AC194" i="5"/>
  <c r="T194" i="2"/>
  <c r="K195" i="5" l="1"/>
  <c r="B195" i="5"/>
  <c r="D195" i="5" s="1"/>
  <c r="H195" i="5" s="1"/>
  <c r="M195" i="5" s="1"/>
  <c r="AE194" i="5"/>
  <c r="AF194" i="5" s="1"/>
  <c r="O195" i="5" l="1"/>
  <c r="Q195" i="5" s="1"/>
  <c r="J195" i="5"/>
  <c r="L195" i="5"/>
  <c r="AG194" i="5"/>
  <c r="N195" i="5" l="1"/>
  <c r="P195" i="5" s="1"/>
  <c r="S195" i="5"/>
  <c r="U195" i="5"/>
  <c r="M195" i="2" l="1"/>
  <c r="R195" i="5"/>
  <c r="T195" i="5"/>
  <c r="L195" i="2" l="1"/>
  <c r="N195" i="2" s="1"/>
  <c r="O195" i="2" s="1"/>
  <c r="V195" i="5"/>
  <c r="P195" i="2" l="1"/>
  <c r="R195" i="2"/>
  <c r="S195" i="2"/>
  <c r="Q195" i="2"/>
  <c r="AB195" i="5" s="1"/>
  <c r="Z195" i="5"/>
  <c r="T195" i="2" l="1"/>
  <c r="AA195" i="5"/>
  <c r="U195" i="2"/>
  <c r="AD195" i="5" l="1"/>
  <c r="C196" i="5" s="1"/>
  <c r="E196" i="5" s="1"/>
  <c r="I196" i="5" s="1"/>
  <c r="AC195" i="5"/>
  <c r="K196" i="5" l="1"/>
  <c r="B196" i="5"/>
  <c r="D196" i="5" s="1"/>
  <c r="H196" i="5" s="1"/>
  <c r="M196" i="5" s="1"/>
  <c r="AE195" i="5"/>
  <c r="AF195" i="5" s="1"/>
  <c r="O196" i="5" l="1"/>
  <c r="Q196" i="5" s="1"/>
  <c r="J196" i="5"/>
  <c r="L196" i="5"/>
  <c r="AG195" i="5"/>
  <c r="N196" i="5" l="1"/>
  <c r="P196" i="5" s="1"/>
  <c r="S196" i="5"/>
  <c r="U196" i="5"/>
  <c r="M196" i="2" l="1"/>
  <c r="R196" i="5"/>
  <c r="T196" i="5"/>
  <c r="L196" i="2" l="1"/>
  <c r="N196" i="2" s="1"/>
  <c r="O196" i="2" s="1"/>
  <c r="V196" i="5"/>
  <c r="Q196" i="2" l="1"/>
  <c r="AB196" i="5" s="1"/>
  <c r="P196" i="2"/>
  <c r="Z196" i="5"/>
  <c r="AA196" i="5" l="1"/>
  <c r="S196" i="2"/>
  <c r="U196" i="2"/>
  <c r="R196" i="2"/>
  <c r="T196" i="2" s="1"/>
  <c r="AD196" i="5" l="1"/>
  <c r="C197" i="5" s="1"/>
  <c r="E197" i="5" s="1"/>
  <c r="I197" i="5" s="1"/>
  <c r="AC196" i="5"/>
  <c r="K197" i="5" l="1"/>
  <c r="B197" i="5"/>
  <c r="D197" i="5" s="1"/>
  <c r="H197" i="5" s="1"/>
  <c r="M197" i="5" s="1"/>
  <c r="AE196" i="5"/>
  <c r="AF196" i="5" s="1"/>
  <c r="O197" i="5" l="1"/>
  <c r="Q197" i="5" s="1"/>
  <c r="L197" i="5"/>
  <c r="J197" i="5"/>
  <c r="AG196" i="5"/>
  <c r="N197" i="5" l="1"/>
  <c r="P197" i="5" s="1"/>
  <c r="S197" i="5"/>
  <c r="G198" i="5" s="1"/>
  <c r="U197" i="5"/>
  <c r="M197" i="2" l="1"/>
  <c r="R197" i="5"/>
  <c r="T197" i="5"/>
  <c r="L197" i="2" l="1"/>
  <c r="N197" i="2" s="1"/>
  <c r="O197" i="2" s="1"/>
  <c r="V197" i="5"/>
  <c r="Q197" i="2" l="1"/>
  <c r="AB197" i="5" s="1"/>
  <c r="Z197" i="5"/>
  <c r="P197" i="2"/>
  <c r="AA197" i="5" l="1"/>
  <c r="R197" i="2"/>
  <c r="T197" i="2" s="1"/>
  <c r="S197" i="2"/>
  <c r="U197" i="2"/>
  <c r="AD197" i="5" l="1"/>
  <c r="C198" i="5" s="1"/>
  <c r="E198" i="5" s="1"/>
  <c r="I198" i="5" s="1"/>
  <c r="AC197" i="5"/>
  <c r="M198" i="5" l="1"/>
  <c r="B198" i="5"/>
  <c r="D198" i="5" s="1"/>
  <c r="H198" i="5" s="1"/>
  <c r="K198" i="5" s="1"/>
  <c r="AE197" i="5"/>
  <c r="AF197" i="5" s="1"/>
  <c r="O198" i="5" l="1"/>
  <c r="Q198" i="5" s="1"/>
  <c r="S198" i="5" s="1"/>
  <c r="U198" i="5"/>
  <c r="J198" i="5"/>
  <c r="L198" i="5"/>
  <c r="AG197" i="5"/>
  <c r="M198" i="2" l="1"/>
  <c r="N198" i="5"/>
  <c r="P198" i="5" s="1"/>
  <c r="R198" i="5" l="1"/>
  <c r="T198" i="5"/>
  <c r="L198" i="2" l="1"/>
  <c r="N198" i="2" s="1"/>
  <c r="O198" i="2" s="1"/>
  <c r="V198" i="5"/>
  <c r="Q198" i="2" l="1"/>
  <c r="AB198" i="5" s="1"/>
  <c r="P198" i="2"/>
  <c r="R198" i="2"/>
  <c r="U198" i="2"/>
  <c r="Z198" i="5"/>
  <c r="AA198" i="5" l="1"/>
  <c r="S198" i="2"/>
  <c r="T198" i="2" s="1"/>
  <c r="AD198" i="5" l="1"/>
  <c r="C199" i="5" s="1"/>
  <c r="E199" i="5" s="1"/>
  <c r="I199" i="5" s="1"/>
  <c r="AC198" i="5"/>
  <c r="K199" i="5" l="1"/>
  <c r="B199" i="5"/>
  <c r="D199" i="5" s="1"/>
  <c r="H199" i="5" s="1"/>
  <c r="M199" i="5" s="1"/>
  <c r="AE198" i="5"/>
  <c r="AF198" i="5" s="1"/>
  <c r="O199" i="5" l="1"/>
  <c r="Q199" i="5" s="1"/>
  <c r="J199" i="5"/>
  <c r="L199" i="5"/>
  <c r="AG198" i="5"/>
  <c r="N199" i="5" l="1"/>
  <c r="P199" i="5" s="1"/>
  <c r="S199" i="5"/>
  <c r="U199" i="5"/>
  <c r="M199" i="2" l="1"/>
  <c r="R199" i="5"/>
  <c r="T199" i="5"/>
  <c r="L199" i="2" l="1"/>
  <c r="N199" i="2" s="1"/>
  <c r="O199" i="2" s="1"/>
  <c r="V199" i="5"/>
  <c r="Q199" i="2" l="1"/>
  <c r="Z199" i="5"/>
  <c r="P199" i="2"/>
  <c r="AA199" i="5" s="1"/>
  <c r="AC199" i="5" l="1"/>
  <c r="AD199" i="5"/>
  <c r="C200" i="5" s="1"/>
  <c r="E200" i="5" s="1"/>
  <c r="I200" i="5" s="1"/>
  <c r="AB199" i="5"/>
  <c r="R199" i="2"/>
  <c r="S199" i="2"/>
  <c r="U199" i="2"/>
  <c r="B200" i="5" l="1"/>
  <c r="D200" i="5" s="1"/>
  <c r="H200" i="5" s="1"/>
  <c r="M200" i="5" s="1"/>
  <c r="AE199" i="5"/>
  <c r="AF199" i="5" s="1"/>
  <c r="K200" i="5"/>
  <c r="T199" i="2"/>
  <c r="J200" i="5" l="1"/>
  <c r="L200" i="5"/>
  <c r="AG199" i="5"/>
  <c r="O200" i="5"/>
  <c r="Q200" i="5" s="1"/>
  <c r="N200" i="5" l="1"/>
  <c r="P200" i="5" s="1"/>
  <c r="S200" i="5"/>
  <c r="U200" i="5"/>
  <c r="M200" i="2" l="1"/>
  <c r="R200" i="5"/>
  <c r="T200" i="5"/>
  <c r="L200" i="2" l="1"/>
  <c r="N200" i="2" s="1"/>
  <c r="O200" i="2" s="1"/>
  <c r="V200" i="5"/>
  <c r="Q200" i="2" l="1"/>
  <c r="AB200" i="5" s="1"/>
  <c r="P200" i="2"/>
  <c r="R200" i="2"/>
  <c r="Z200" i="5"/>
  <c r="AA200" i="5" l="1"/>
  <c r="S200" i="2"/>
  <c r="T200" i="2" s="1"/>
  <c r="U200" i="2"/>
  <c r="AD200" i="5" l="1"/>
  <c r="C201" i="5" s="1"/>
  <c r="E201" i="5" s="1"/>
  <c r="I201" i="5" s="1"/>
  <c r="AC200" i="5"/>
  <c r="M201" i="5" l="1"/>
  <c r="K201" i="5"/>
  <c r="B201" i="5"/>
  <c r="D201" i="5" s="1"/>
  <c r="H201" i="5" s="1"/>
  <c r="AE200" i="5"/>
  <c r="AF200" i="5" s="1"/>
  <c r="O201" i="5" l="1"/>
  <c r="Q201" i="5" s="1"/>
  <c r="J201" i="5"/>
  <c r="L201" i="5"/>
  <c r="AG200" i="5"/>
  <c r="N201" i="5" l="1"/>
  <c r="P201" i="5" s="1"/>
  <c r="S201" i="5"/>
  <c r="U201" i="5"/>
  <c r="M201" i="2" l="1"/>
  <c r="R201" i="5"/>
  <c r="T201" i="5"/>
  <c r="L201" i="2" l="1"/>
  <c r="N201" i="2" s="1"/>
  <c r="O201" i="2" s="1"/>
  <c r="V201" i="5"/>
  <c r="Q201" i="2" l="1"/>
  <c r="AB201" i="5" s="1"/>
  <c r="Z201" i="5"/>
  <c r="P201" i="2"/>
  <c r="AA201" i="5" l="1"/>
  <c r="R201" i="2"/>
  <c r="U201" i="2"/>
  <c r="S201" i="2"/>
  <c r="AD201" i="5" l="1"/>
  <c r="C202" i="5" s="1"/>
  <c r="E202" i="5" s="1"/>
  <c r="I202" i="5" s="1"/>
  <c r="AC201" i="5"/>
  <c r="T201" i="2"/>
  <c r="K202" i="5" l="1"/>
  <c r="B202" i="5"/>
  <c r="D202" i="5" s="1"/>
  <c r="H202" i="5" s="1"/>
  <c r="M202" i="5" s="1"/>
  <c r="AE201" i="5"/>
  <c r="AF201" i="5" s="1"/>
  <c r="O202" i="5" l="1"/>
  <c r="Q202" i="5" s="1"/>
  <c r="J202" i="5"/>
  <c r="L202" i="5"/>
  <c r="AG201" i="5"/>
  <c r="N202" i="5" l="1"/>
  <c r="P202" i="5" s="1"/>
  <c r="S202" i="5"/>
  <c r="U202" i="5"/>
  <c r="M202" i="2" l="1"/>
  <c r="R202" i="5"/>
  <c r="T202" i="5"/>
  <c r="L202" i="2" l="1"/>
  <c r="N202" i="2" s="1"/>
  <c r="O202" i="2" s="1"/>
  <c r="V202" i="5"/>
  <c r="P202" i="2" l="1"/>
  <c r="Q202" i="2"/>
  <c r="Z202" i="5"/>
  <c r="AA202" i="5" l="1"/>
  <c r="U202" i="2"/>
  <c r="AB202" i="5"/>
  <c r="R202" i="2"/>
  <c r="S202" i="2"/>
  <c r="AD202" i="5" l="1"/>
  <c r="C203" i="5" s="1"/>
  <c r="E203" i="5" s="1"/>
  <c r="I203" i="5" s="1"/>
  <c r="AC202" i="5"/>
  <c r="T202" i="2"/>
  <c r="K203" i="5" l="1"/>
  <c r="B203" i="5"/>
  <c r="D203" i="5" s="1"/>
  <c r="H203" i="5" s="1"/>
  <c r="M203" i="5" s="1"/>
  <c r="AE202" i="5"/>
  <c r="AF202" i="5" s="1"/>
  <c r="O203" i="5" l="1"/>
  <c r="Q203" i="5" s="1"/>
  <c r="S203" i="5" s="1"/>
  <c r="U203" i="5"/>
  <c r="J203" i="5"/>
  <c r="L203" i="5"/>
  <c r="AG202" i="5"/>
  <c r="M203" i="2" l="1"/>
  <c r="N203" i="5"/>
  <c r="P203" i="5" s="1"/>
  <c r="R203" i="5" l="1"/>
  <c r="T203" i="5"/>
  <c r="L203" i="2" l="1"/>
  <c r="N203" i="2" s="1"/>
  <c r="O203" i="2" s="1"/>
  <c r="V203" i="5"/>
  <c r="Q203" i="2" l="1"/>
  <c r="AB203" i="5" s="1"/>
  <c r="S203" i="2"/>
  <c r="P203" i="2"/>
  <c r="R203" i="2"/>
  <c r="T203" i="2" s="1"/>
  <c r="Z203" i="5"/>
  <c r="AA203" i="5" l="1"/>
  <c r="U203" i="2"/>
  <c r="AD203" i="5" l="1"/>
  <c r="C204" i="5" s="1"/>
  <c r="E204" i="5" s="1"/>
  <c r="I204" i="5" s="1"/>
  <c r="AC203" i="5"/>
  <c r="K204" i="5" l="1"/>
  <c r="B204" i="5"/>
  <c r="D204" i="5" s="1"/>
  <c r="H204" i="5" s="1"/>
  <c r="M204" i="5" s="1"/>
  <c r="AE203" i="5"/>
  <c r="AF203" i="5" s="1"/>
  <c r="O204" i="5" l="1"/>
  <c r="Q204" i="5" s="1"/>
  <c r="J204" i="5"/>
  <c r="L204" i="5"/>
  <c r="AG203" i="5"/>
  <c r="N204" i="5" l="1"/>
  <c r="P204" i="5" s="1"/>
  <c r="S204" i="5"/>
  <c r="U204" i="5"/>
  <c r="M204" i="2" l="1"/>
  <c r="R204" i="5"/>
  <c r="T204" i="5"/>
  <c r="L204" i="2" l="1"/>
  <c r="N204" i="2" s="1"/>
  <c r="O204" i="2" s="1"/>
  <c r="V204" i="5"/>
  <c r="Q204" i="2" l="1"/>
  <c r="AB204" i="5" s="1"/>
  <c r="P204" i="2"/>
  <c r="R204" i="2"/>
  <c r="U204" i="2"/>
  <c r="Z204" i="5"/>
  <c r="AA204" i="5" l="1"/>
  <c r="S204" i="2"/>
  <c r="T204" i="2" s="1"/>
  <c r="AD204" i="5" l="1"/>
  <c r="C205" i="5" s="1"/>
  <c r="E205" i="5" s="1"/>
  <c r="I205" i="5" s="1"/>
  <c r="AC204" i="5"/>
  <c r="K205" i="5" l="1"/>
  <c r="B205" i="5"/>
  <c r="D205" i="5" s="1"/>
  <c r="H205" i="5" s="1"/>
  <c r="M205" i="5" s="1"/>
  <c r="AE204" i="5"/>
  <c r="AF204" i="5" s="1"/>
  <c r="O205" i="5" l="1"/>
  <c r="Q205" i="5" s="1"/>
  <c r="S205" i="5" s="1"/>
  <c r="U205" i="5"/>
  <c r="J205" i="5"/>
  <c r="L205" i="5"/>
  <c r="AG204" i="5"/>
  <c r="M205" i="2" l="1"/>
  <c r="N205" i="5"/>
  <c r="P205" i="5" s="1"/>
  <c r="R205" i="5" s="1"/>
  <c r="T205" i="5"/>
  <c r="V205" i="5" l="1"/>
  <c r="L205" i="2"/>
  <c r="N205" i="2" s="1"/>
  <c r="O205" i="2" s="1"/>
  <c r="Q205" i="2" l="1"/>
  <c r="AB205" i="5" s="1"/>
  <c r="P205" i="2"/>
  <c r="R205" i="2"/>
  <c r="U205" i="2"/>
  <c r="Z205" i="5"/>
  <c r="AA205" i="5" l="1"/>
  <c r="S205" i="2"/>
  <c r="T205" i="2" s="1"/>
  <c r="AD205" i="5" l="1"/>
  <c r="C206" i="5" s="1"/>
  <c r="E206" i="5" s="1"/>
  <c r="I206" i="5" s="1"/>
  <c r="AC205" i="5"/>
  <c r="K206" i="5" l="1"/>
  <c r="B206" i="5"/>
  <c r="D206" i="5" s="1"/>
  <c r="H206" i="5" s="1"/>
  <c r="M206" i="5" s="1"/>
  <c r="AE205" i="5"/>
  <c r="AF205" i="5" s="1"/>
  <c r="O206" i="5" l="1"/>
  <c r="Q206" i="5" s="1"/>
  <c r="J206" i="5"/>
  <c r="L206" i="5"/>
  <c r="AG205" i="5"/>
  <c r="N206" i="5" l="1"/>
  <c r="P206" i="5" s="1"/>
  <c r="S206" i="5"/>
  <c r="U206" i="5"/>
  <c r="M206" i="2" l="1"/>
  <c r="R206" i="5"/>
  <c r="T206" i="5"/>
  <c r="L206" i="2" l="1"/>
  <c r="N206" i="2" s="1"/>
  <c r="O206" i="2" s="1"/>
  <c r="V206" i="5"/>
  <c r="Z206" i="5" l="1"/>
  <c r="P206" i="2"/>
  <c r="Q206" i="2"/>
  <c r="AB206" i="5" s="1"/>
  <c r="AA206" i="5" l="1"/>
  <c r="S206" i="2"/>
  <c r="U206" i="2"/>
  <c r="R206" i="2"/>
  <c r="T206" i="2" s="1"/>
  <c r="AD206" i="5" l="1"/>
  <c r="C207" i="5" s="1"/>
  <c r="E207" i="5" s="1"/>
  <c r="I207" i="5" s="1"/>
  <c r="AC206" i="5"/>
  <c r="M207" i="5" l="1"/>
  <c r="K207" i="5"/>
  <c r="B207" i="5"/>
  <c r="D207" i="5" s="1"/>
  <c r="H207" i="5" s="1"/>
  <c r="AE206" i="5"/>
  <c r="AF206" i="5" s="1"/>
  <c r="O207" i="5" l="1"/>
  <c r="Q207" i="5" s="1"/>
  <c r="J207" i="5"/>
  <c r="L207" i="5"/>
  <c r="AG206" i="5"/>
  <c r="N207" i="5" l="1"/>
  <c r="P207" i="5" s="1"/>
  <c r="S207" i="5"/>
  <c r="U207" i="5"/>
  <c r="M207" i="2" l="1"/>
  <c r="R207" i="5"/>
  <c r="T207" i="5"/>
  <c r="L207" i="2" l="1"/>
  <c r="N207" i="2" s="1"/>
  <c r="O207" i="2" s="1"/>
  <c r="V207" i="5"/>
  <c r="Q207" i="2" l="1"/>
  <c r="AB207" i="5" s="1"/>
  <c r="Z207" i="5"/>
  <c r="P207" i="2"/>
  <c r="AA207" i="5" l="1"/>
  <c r="S207" i="2"/>
  <c r="U207" i="2"/>
  <c r="R207" i="2"/>
  <c r="T207" i="2" s="1"/>
  <c r="AD207" i="5" l="1"/>
  <c r="C208" i="5" s="1"/>
  <c r="E208" i="5" s="1"/>
  <c r="I208" i="5" s="1"/>
  <c r="AC207" i="5"/>
  <c r="M208" i="5" l="1"/>
  <c r="K208" i="5"/>
  <c r="B208" i="5"/>
  <c r="D208" i="5" s="1"/>
  <c r="H208" i="5" s="1"/>
  <c r="AE207" i="5"/>
  <c r="AF207" i="5" s="1"/>
  <c r="O208" i="5" l="1"/>
  <c r="Q208" i="5" s="1"/>
  <c r="J208" i="5"/>
  <c r="L208" i="5"/>
  <c r="AG207" i="5"/>
  <c r="N208" i="5" l="1"/>
  <c r="P208" i="5" s="1"/>
  <c r="S208" i="5"/>
  <c r="U208" i="5"/>
  <c r="M208" i="2" l="1"/>
  <c r="R208" i="5"/>
  <c r="T208" i="5"/>
  <c r="L208" i="2" l="1"/>
  <c r="N208" i="2" s="1"/>
  <c r="O208" i="2" s="1"/>
  <c r="V208" i="5"/>
  <c r="Q208" i="2" l="1"/>
  <c r="P208" i="2"/>
  <c r="Z208" i="5"/>
  <c r="AB208" i="5" l="1"/>
  <c r="R208" i="2"/>
  <c r="T208" i="2" s="1"/>
  <c r="U208" i="2"/>
  <c r="AA208" i="5"/>
  <c r="S208" i="2"/>
  <c r="AD208" i="5" l="1"/>
  <c r="C209" i="5" s="1"/>
  <c r="E209" i="5" s="1"/>
  <c r="I209" i="5" s="1"/>
  <c r="AC208" i="5"/>
  <c r="K209" i="5" l="1"/>
  <c r="B209" i="5"/>
  <c r="D209" i="5" s="1"/>
  <c r="H209" i="5" s="1"/>
  <c r="M209" i="5" s="1"/>
  <c r="AE208" i="5"/>
  <c r="AF208" i="5" s="1"/>
  <c r="O209" i="5" l="1"/>
  <c r="Q209" i="5" s="1"/>
  <c r="J209" i="5"/>
  <c r="L209" i="5"/>
  <c r="AG208" i="5"/>
  <c r="N209" i="5" l="1"/>
  <c r="P209" i="5" s="1"/>
  <c r="S209" i="5"/>
  <c r="U209" i="5"/>
  <c r="M209" i="2" l="1"/>
  <c r="R209" i="5"/>
  <c r="T209" i="5"/>
  <c r="L209" i="2" l="1"/>
  <c r="N209" i="2" s="1"/>
  <c r="O209" i="2" s="1"/>
  <c r="V209" i="5"/>
  <c r="P209" i="2" l="1"/>
  <c r="Q209" i="2"/>
  <c r="AB209" i="5" s="1"/>
  <c r="Z209" i="5"/>
  <c r="AA209" i="5" l="1"/>
  <c r="R209" i="2"/>
  <c r="S209" i="2"/>
  <c r="U209" i="2"/>
  <c r="AD209" i="5" l="1"/>
  <c r="C210" i="5" s="1"/>
  <c r="E210" i="5" s="1"/>
  <c r="I210" i="5" s="1"/>
  <c r="AC209" i="5"/>
  <c r="T209" i="2"/>
  <c r="K210" i="5" l="1"/>
  <c r="B210" i="5"/>
  <c r="D210" i="5" s="1"/>
  <c r="H210" i="5" s="1"/>
  <c r="M210" i="5" s="1"/>
  <c r="AE209" i="5"/>
  <c r="AF209" i="5" s="1"/>
  <c r="O210" i="5" l="1"/>
  <c r="Q210" i="5" s="1"/>
  <c r="J210" i="5"/>
  <c r="L210" i="5"/>
  <c r="AG209" i="5"/>
  <c r="N210" i="5" l="1"/>
  <c r="P210" i="5" s="1"/>
  <c r="S210" i="5"/>
  <c r="U210" i="5"/>
  <c r="M210" i="2" l="1"/>
  <c r="R210" i="5"/>
  <c r="T210" i="5"/>
  <c r="L210" i="2" l="1"/>
  <c r="N210" i="2" s="1"/>
  <c r="O210" i="2" s="1"/>
  <c r="V210" i="5"/>
  <c r="Q210" i="2" l="1"/>
  <c r="AB210" i="5" s="1"/>
  <c r="Z210" i="5"/>
  <c r="P210" i="2"/>
  <c r="AA210" i="5" l="1"/>
  <c r="R210" i="2"/>
  <c r="T210" i="2" s="1"/>
  <c r="S210" i="2"/>
  <c r="U210" i="2"/>
  <c r="AD210" i="5" l="1"/>
  <c r="C211" i="5" s="1"/>
  <c r="E211" i="5" s="1"/>
  <c r="I211" i="5" s="1"/>
  <c r="AC210" i="5"/>
  <c r="K211" i="5" l="1"/>
  <c r="B211" i="5"/>
  <c r="D211" i="5" s="1"/>
  <c r="H211" i="5" s="1"/>
  <c r="M211" i="5" s="1"/>
  <c r="AE210" i="5"/>
  <c r="AF210" i="5" s="1"/>
  <c r="O211" i="5" l="1"/>
  <c r="Q211" i="5" s="1"/>
  <c r="J211" i="5"/>
  <c r="L211" i="5"/>
  <c r="AG210" i="5"/>
  <c r="N211" i="5" l="1"/>
  <c r="P211" i="5" s="1"/>
  <c r="S211" i="5"/>
  <c r="U211" i="5"/>
  <c r="M211" i="2" l="1"/>
  <c r="R211" i="5"/>
  <c r="T211" i="5"/>
  <c r="L211" i="2" l="1"/>
  <c r="N211" i="2" s="1"/>
  <c r="O211" i="2" s="1"/>
  <c r="V211" i="5"/>
  <c r="Q211" i="2" l="1"/>
  <c r="AB211" i="5" s="1"/>
  <c r="Z211" i="5"/>
  <c r="P211" i="2"/>
  <c r="AA211" i="5" l="1"/>
  <c r="S211" i="2"/>
  <c r="R211" i="2"/>
  <c r="T211" i="2" s="1"/>
  <c r="U211" i="2"/>
  <c r="AD211" i="5" l="1"/>
  <c r="C212" i="5" s="1"/>
  <c r="E212" i="5" s="1"/>
  <c r="I212" i="5" s="1"/>
  <c r="AC211" i="5"/>
  <c r="M212" i="5" l="1"/>
  <c r="K212" i="5"/>
  <c r="B212" i="5"/>
  <c r="D212" i="5" s="1"/>
  <c r="H212" i="5" s="1"/>
  <c r="AE211" i="5"/>
  <c r="AF211" i="5" s="1"/>
  <c r="O212" i="5" l="1"/>
  <c r="Q212" i="5" s="1"/>
  <c r="J212" i="5"/>
  <c r="L212" i="5"/>
  <c r="AG211" i="5"/>
  <c r="N212" i="5" l="1"/>
  <c r="P212" i="5" s="1"/>
  <c r="S212" i="5"/>
  <c r="U212" i="5"/>
  <c r="M212" i="2" l="1"/>
  <c r="R212" i="5"/>
  <c r="T212" i="5"/>
  <c r="L212" i="2" l="1"/>
  <c r="N212" i="2" s="1"/>
  <c r="O212" i="2" s="1"/>
  <c r="V212" i="5"/>
  <c r="R212" i="2" l="1"/>
  <c r="P212" i="2"/>
  <c r="Q212" i="2"/>
  <c r="AB212" i="5" s="1"/>
  <c r="U212" i="2"/>
  <c r="Z212" i="5"/>
  <c r="AA212" i="5" l="1"/>
  <c r="S212" i="2"/>
  <c r="T212" i="2" s="1"/>
  <c r="AD212" i="5" l="1"/>
  <c r="C213" i="5" s="1"/>
  <c r="E213" i="5" s="1"/>
  <c r="I213" i="5" s="1"/>
  <c r="AC212" i="5"/>
  <c r="K213" i="5" l="1"/>
  <c r="B213" i="5"/>
  <c r="D213" i="5" s="1"/>
  <c r="H213" i="5" s="1"/>
  <c r="M213" i="5" s="1"/>
  <c r="AE212" i="5"/>
  <c r="AF212" i="5" s="1"/>
  <c r="O213" i="5" l="1"/>
  <c r="Q213" i="5" s="1"/>
  <c r="S213" i="5" s="1"/>
  <c r="U213" i="5"/>
  <c r="J213" i="5"/>
  <c r="L213" i="5"/>
  <c r="AG212" i="5"/>
  <c r="M213" i="2" l="1"/>
  <c r="N213" i="5"/>
  <c r="P213" i="5" s="1"/>
  <c r="R213" i="5" l="1"/>
  <c r="T213" i="5"/>
  <c r="L213" i="2" l="1"/>
  <c r="N213" i="2" s="1"/>
  <c r="O213" i="2" s="1"/>
  <c r="V213" i="5"/>
  <c r="Q213" i="2" l="1"/>
  <c r="AB213" i="5" s="1"/>
  <c r="Z213" i="5"/>
  <c r="P213" i="2"/>
  <c r="AA213" i="5" l="1"/>
  <c r="R213" i="2"/>
  <c r="S213" i="2"/>
  <c r="U213" i="2"/>
  <c r="AD213" i="5" l="1"/>
  <c r="C214" i="5" s="1"/>
  <c r="E214" i="5" s="1"/>
  <c r="I214" i="5" s="1"/>
  <c r="AC213" i="5"/>
  <c r="T213" i="2"/>
  <c r="M214" i="5" l="1"/>
  <c r="K214" i="5"/>
  <c r="B214" i="5"/>
  <c r="D214" i="5" s="1"/>
  <c r="H214" i="5" s="1"/>
  <c r="AE213" i="5"/>
  <c r="AF213" i="5" s="1"/>
  <c r="O214" i="5" l="1"/>
  <c r="Q214" i="5" s="1"/>
  <c r="J214" i="5"/>
  <c r="L214" i="5"/>
  <c r="AG213" i="5"/>
  <c r="N214" i="5" l="1"/>
  <c r="P214" i="5" s="1"/>
  <c r="S214" i="5"/>
  <c r="U214" i="5"/>
  <c r="M214" i="2" l="1"/>
  <c r="R214" i="5"/>
  <c r="T214" i="5"/>
  <c r="L214" i="2" l="1"/>
  <c r="N214" i="2" s="1"/>
  <c r="O214" i="2" s="1"/>
  <c r="V214" i="5"/>
  <c r="R214" i="2" l="1"/>
  <c r="U214" i="2"/>
  <c r="P214" i="2"/>
  <c r="Q214" i="2"/>
  <c r="AB214" i="5" s="1"/>
  <c r="Z214" i="5"/>
  <c r="AA214" i="5" l="1"/>
  <c r="S214" i="2"/>
  <c r="T214" i="2" s="1"/>
  <c r="AD214" i="5" l="1"/>
  <c r="C215" i="5" s="1"/>
  <c r="E215" i="5" s="1"/>
  <c r="I215" i="5" s="1"/>
  <c r="AC214" i="5"/>
  <c r="K215" i="5" l="1"/>
  <c r="B215" i="5"/>
  <c r="D215" i="5" s="1"/>
  <c r="H215" i="5" s="1"/>
  <c r="M215" i="5" s="1"/>
  <c r="AE214" i="5"/>
  <c r="AF214" i="5" s="1"/>
  <c r="O215" i="5" l="1"/>
  <c r="Q215" i="5" s="1"/>
  <c r="J215" i="5"/>
  <c r="L215" i="5"/>
  <c r="AG214" i="5"/>
  <c r="N215" i="5" l="1"/>
  <c r="P215" i="5" s="1"/>
  <c r="S215" i="5"/>
  <c r="U215" i="5"/>
  <c r="M215" i="2" l="1"/>
  <c r="R215" i="5"/>
  <c r="T215" i="5"/>
  <c r="L215" i="2" l="1"/>
  <c r="N215" i="2" s="1"/>
  <c r="O215" i="2" s="1"/>
  <c r="V215" i="5"/>
  <c r="Q215" i="2" l="1"/>
  <c r="P215" i="2"/>
  <c r="Z215" i="5"/>
  <c r="AB215" i="5" l="1"/>
  <c r="R215" i="2"/>
  <c r="U215" i="2"/>
  <c r="AA215" i="5"/>
  <c r="S215" i="2"/>
  <c r="AD215" i="5" l="1"/>
  <c r="C216" i="5" s="1"/>
  <c r="E216" i="5" s="1"/>
  <c r="I216" i="5" s="1"/>
  <c r="AC215" i="5"/>
  <c r="T215" i="2"/>
  <c r="M216" i="5" l="1"/>
  <c r="K216" i="5"/>
  <c r="B216" i="5"/>
  <c r="D216" i="5" s="1"/>
  <c r="H216" i="5" s="1"/>
  <c r="AE215" i="5"/>
  <c r="AF215" i="5" s="1"/>
  <c r="O216" i="5" l="1"/>
  <c r="Q216" i="5" s="1"/>
  <c r="J216" i="5"/>
  <c r="L216" i="5"/>
  <c r="AG215" i="5"/>
  <c r="N216" i="5" l="1"/>
  <c r="P216" i="5" s="1"/>
  <c r="S216" i="5"/>
  <c r="U216" i="5"/>
  <c r="M216" i="2" l="1"/>
  <c r="R216" i="5"/>
  <c r="T216" i="5"/>
  <c r="L216" i="2" l="1"/>
  <c r="N216" i="2" s="1"/>
  <c r="O216" i="2" s="1"/>
  <c r="V216" i="5"/>
  <c r="Q216" i="2" l="1"/>
  <c r="Z216" i="5"/>
  <c r="P216" i="2"/>
  <c r="AA216" i="5" s="1"/>
  <c r="U216" i="2"/>
  <c r="AC216" i="5" l="1"/>
  <c r="AD216" i="5"/>
  <c r="C217" i="5" s="1"/>
  <c r="E217" i="5" s="1"/>
  <c r="I217" i="5" s="1"/>
  <c r="AB216" i="5"/>
  <c r="R216" i="2"/>
  <c r="S216" i="2"/>
  <c r="B217" i="5" l="1"/>
  <c r="D217" i="5" s="1"/>
  <c r="H217" i="5" s="1"/>
  <c r="M217" i="5" s="1"/>
  <c r="AE216" i="5"/>
  <c r="AF216" i="5" s="1"/>
  <c r="K217" i="5"/>
  <c r="T216" i="2"/>
  <c r="J217" i="5" l="1"/>
  <c r="L217" i="5"/>
  <c r="AG216" i="5"/>
  <c r="O217" i="5"/>
  <c r="Q217" i="5" s="1"/>
  <c r="N217" i="5" l="1"/>
  <c r="P217" i="5" s="1"/>
  <c r="S217" i="5"/>
  <c r="U217" i="5"/>
  <c r="M217" i="2" l="1"/>
  <c r="R217" i="5"/>
  <c r="T217" i="5"/>
  <c r="L217" i="2" l="1"/>
  <c r="N217" i="2" s="1"/>
  <c r="O217" i="2" s="1"/>
  <c r="V217" i="5"/>
  <c r="P217" i="2" l="1"/>
  <c r="Z217" i="5"/>
  <c r="Q217" i="2"/>
  <c r="AA217" i="5" l="1"/>
  <c r="S217" i="2"/>
  <c r="AB217" i="5"/>
  <c r="R217" i="2"/>
  <c r="U217" i="2"/>
  <c r="AD217" i="5" l="1"/>
  <c r="C218" i="5" s="1"/>
  <c r="E218" i="5" s="1"/>
  <c r="I218" i="5" s="1"/>
  <c r="AC217" i="5"/>
  <c r="T217" i="2"/>
  <c r="K218" i="5" l="1"/>
  <c r="AE217" i="5"/>
  <c r="AF217" i="5" s="1"/>
  <c r="B218" i="5"/>
  <c r="D218" i="5" s="1"/>
  <c r="H218" i="5" s="1"/>
  <c r="M218" i="5" s="1"/>
  <c r="O218" i="5" l="1"/>
  <c r="Q218" i="5" s="1"/>
  <c r="AG217" i="5"/>
  <c r="L218" i="5"/>
  <c r="J218" i="5"/>
  <c r="N218" i="5" l="1"/>
  <c r="P218" i="5" s="1"/>
  <c r="S218" i="5"/>
  <c r="U218" i="5"/>
  <c r="M218" i="2" l="1"/>
  <c r="R218" i="5"/>
  <c r="T218" i="5"/>
  <c r="L218" i="2" l="1"/>
  <c r="N218" i="2" s="1"/>
  <c r="O218" i="2" s="1"/>
  <c r="V218" i="5"/>
  <c r="Q218" i="2" l="1"/>
  <c r="AB218" i="5" s="1"/>
  <c r="P218" i="2"/>
  <c r="Z218" i="5"/>
  <c r="AA218" i="5" l="1"/>
  <c r="S218" i="2"/>
  <c r="U218" i="2"/>
  <c r="R218" i="2"/>
  <c r="AD218" i="5" l="1"/>
  <c r="C219" i="5" s="1"/>
  <c r="E219" i="5" s="1"/>
  <c r="I219" i="5" s="1"/>
  <c r="AC218" i="5"/>
  <c r="T218" i="2"/>
  <c r="K219" i="5" l="1"/>
  <c r="B219" i="5"/>
  <c r="D219" i="5" s="1"/>
  <c r="H219" i="5" s="1"/>
  <c r="M219" i="5" s="1"/>
  <c r="AE218" i="5"/>
  <c r="AF218" i="5" s="1"/>
  <c r="O219" i="5" l="1"/>
  <c r="Q219" i="5" s="1"/>
  <c r="L219" i="5"/>
  <c r="J219" i="5"/>
  <c r="AG218" i="5"/>
  <c r="N219" i="5" l="1"/>
  <c r="P219" i="5" s="1"/>
  <c r="S219" i="5"/>
  <c r="U219" i="5"/>
  <c r="M219" i="2" l="1"/>
  <c r="R219" i="5"/>
  <c r="T219" i="5"/>
  <c r="L219" i="2" l="1"/>
  <c r="N219" i="2" s="1"/>
  <c r="O219" i="2" s="1"/>
  <c r="V219" i="5"/>
  <c r="Q219" i="2" l="1"/>
  <c r="AB219" i="5" s="1"/>
  <c r="P219" i="2"/>
  <c r="Z219" i="5"/>
  <c r="AA219" i="5" l="1"/>
  <c r="R219" i="2"/>
  <c r="T219" i="2" s="1"/>
  <c r="S219" i="2"/>
  <c r="U219" i="2"/>
  <c r="AD219" i="5" l="1"/>
  <c r="C220" i="5" s="1"/>
  <c r="E220" i="5" s="1"/>
  <c r="I220" i="5" s="1"/>
  <c r="AC219" i="5"/>
  <c r="K220" i="5" l="1"/>
  <c r="M220" i="5"/>
  <c r="B220" i="5"/>
  <c r="D220" i="5" s="1"/>
  <c r="H220" i="5" s="1"/>
  <c r="AE219" i="5"/>
  <c r="AF219" i="5" s="1"/>
  <c r="O220" i="5" l="1"/>
  <c r="Q220" i="5" s="1"/>
  <c r="L220" i="5"/>
  <c r="J220" i="5"/>
  <c r="AG219" i="5"/>
  <c r="N220" i="5" l="1"/>
  <c r="P220" i="5" s="1"/>
  <c r="S220" i="5"/>
  <c r="U220" i="5"/>
  <c r="M220" i="2" l="1"/>
  <c r="R220" i="5"/>
  <c r="T220" i="5"/>
  <c r="L220" i="2" l="1"/>
  <c r="N220" i="2" s="1"/>
  <c r="O220" i="2" s="1"/>
  <c r="V220" i="5"/>
  <c r="Q220" i="2" l="1"/>
  <c r="U220" i="2"/>
  <c r="Z220" i="5"/>
  <c r="P220" i="2"/>
  <c r="AA220" i="5" s="1"/>
  <c r="AC220" i="5" l="1"/>
  <c r="AD220" i="5"/>
  <c r="C221" i="5" s="1"/>
  <c r="E221" i="5" s="1"/>
  <c r="I221" i="5" s="1"/>
  <c r="AB220" i="5"/>
  <c r="R220" i="2"/>
  <c r="S220" i="2"/>
  <c r="AE220" i="5" l="1"/>
  <c r="AF220" i="5" s="1"/>
  <c r="B221" i="5"/>
  <c r="D221" i="5" s="1"/>
  <c r="H221" i="5" s="1"/>
  <c r="M221" i="5" s="1"/>
  <c r="K221" i="5"/>
  <c r="T220" i="2"/>
  <c r="AG220" i="5" l="1"/>
  <c r="J221" i="5"/>
  <c r="L221" i="5"/>
  <c r="O221" i="5"/>
  <c r="Q221" i="5" s="1"/>
  <c r="N221" i="5" l="1"/>
  <c r="P221" i="5" s="1"/>
  <c r="S221" i="5"/>
  <c r="U221" i="5"/>
  <c r="M221" i="2" l="1"/>
  <c r="R221" i="5"/>
  <c r="T221" i="5"/>
  <c r="L221" i="2" l="1"/>
  <c r="N221" i="2" s="1"/>
  <c r="O221" i="2" s="1"/>
  <c r="V221" i="5"/>
  <c r="Q221" i="2" l="1"/>
  <c r="AB221" i="5" s="1"/>
  <c r="Z221" i="5"/>
  <c r="P221" i="2"/>
  <c r="R221" i="2"/>
  <c r="T221" i="2" s="1"/>
  <c r="S221" i="2"/>
  <c r="AA221" i="5" l="1"/>
  <c r="U221" i="2"/>
  <c r="AD221" i="5" l="1"/>
  <c r="C222" i="5" s="1"/>
  <c r="E222" i="5" s="1"/>
  <c r="I222" i="5" s="1"/>
  <c r="AC221" i="5"/>
  <c r="M222" i="5" l="1"/>
  <c r="K222" i="5"/>
  <c r="B222" i="5"/>
  <c r="D222" i="5" s="1"/>
  <c r="H222" i="5" s="1"/>
  <c r="AE221" i="5"/>
  <c r="AF221" i="5" s="1"/>
  <c r="O222" i="5" l="1"/>
  <c r="Q222" i="5" s="1"/>
  <c r="J222" i="5"/>
  <c r="L222" i="5"/>
  <c r="AG221" i="5"/>
  <c r="N222" i="5" l="1"/>
  <c r="P222" i="5" s="1"/>
  <c r="S222" i="5"/>
  <c r="U222" i="5"/>
  <c r="M222" i="2" l="1"/>
  <c r="R222" i="5"/>
  <c r="T222" i="5"/>
  <c r="L222" i="2" l="1"/>
  <c r="N222" i="2" s="1"/>
  <c r="O222" i="2" s="1"/>
  <c r="V222" i="5"/>
  <c r="Q222" i="2" l="1"/>
  <c r="S222" i="2"/>
  <c r="P222" i="2"/>
  <c r="AA222" i="5" s="1"/>
  <c r="Z222" i="5"/>
  <c r="AC222" i="5" l="1"/>
  <c r="AD222" i="5"/>
  <c r="C223" i="5" s="1"/>
  <c r="E223" i="5" s="1"/>
  <c r="I223" i="5" s="1"/>
  <c r="AB222" i="5"/>
  <c r="R222" i="2"/>
  <c r="T222" i="2" s="1"/>
  <c r="U222" i="2"/>
  <c r="B223" i="5" l="1"/>
  <c r="D223" i="5" s="1"/>
  <c r="H223" i="5" s="1"/>
  <c r="M223" i="5" s="1"/>
  <c r="AE222" i="5"/>
  <c r="AF222" i="5" s="1"/>
  <c r="K223" i="5"/>
  <c r="J223" i="5" l="1"/>
  <c r="L223" i="5"/>
  <c r="AG222" i="5"/>
  <c r="O223" i="5"/>
  <c r="Q223" i="5" s="1"/>
  <c r="N223" i="5" l="1"/>
  <c r="P223" i="5" s="1"/>
  <c r="S223" i="5"/>
  <c r="U223" i="5"/>
  <c r="M223" i="2" l="1"/>
  <c r="R223" i="5"/>
  <c r="T223" i="5"/>
  <c r="L223" i="2" l="1"/>
  <c r="N223" i="2" s="1"/>
  <c r="O223" i="2" s="1"/>
  <c r="V223" i="5"/>
  <c r="Z223" i="5" l="1"/>
  <c r="P223" i="2"/>
  <c r="Q223" i="2"/>
  <c r="AB223" i="5" s="1"/>
  <c r="R223" i="2"/>
  <c r="S223" i="2"/>
  <c r="T223" i="2" l="1"/>
  <c r="AA223" i="5"/>
  <c r="U223" i="2"/>
  <c r="AD223" i="5" l="1"/>
  <c r="C224" i="5" s="1"/>
  <c r="E224" i="5" s="1"/>
  <c r="I224" i="5" s="1"/>
  <c r="AC223" i="5"/>
  <c r="M224" i="5" l="1"/>
  <c r="K224" i="5"/>
  <c r="B224" i="5"/>
  <c r="D224" i="5" s="1"/>
  <c r="H224" i="5" s="1"/>
  <c r="AE223" i="5"/>
  <c r="AF223" i="5" s="1"/>
  <c r="O224" i="5" l="1"/>
  <c r="Q224" i="5" s="1"/>
  <c r="J224" i="5"/>
  <c r="L224" i="5"/>
  <c r="AG223" i="5"/>
  <c r="N224" i="5" l="1"/>
  <c r="P224" i="5" s="1"/>
  <c r="S224" i="5"/>
  <c r="U224" i="5"/>
  <c r="M224" i="2" l="1"/>
  <c r="R224" i="5"/>
  <c r="T224" i="5"/>
  <c r="L224" i="2" l="1"/>
  <c r="N224" i="2" s="1"/>
  <c r="O224" i="2" s="1"/>
  <c r="V224" i="5"/>
  <c r="Q224" i="2" l="1"/>
  <c r="AB224" i="5" s="1"/>
  <c r="P224" i="2"/>
  <c r="Z224" i="5"/>
  <c r="AA224" i="5" l="1"/>
  <c r="S224" i="2"/>
  <c r="R224" i="2"/>
  <c r="T224" i="2" s="1"/>
  <c r="U224" i="2"/>
  <c r="AD224" i="5" l="1"/>
  <c r="C225" i="5" s="1"/>
  <c r="E225" i="5" s="1"/>
  <c r="I225" i="5" s="1"/>
  <c r="AC224" i="5"/>
  <c r="K225" i="5" l="1"/>
  <c r="B225" i="5"/>
  <c r="D225" i="5" s="1"/>
  <c r="H225" i="5" s="1"/>
  <c r="M225" i="5" s="1"/>
  <c r="AE224" i="5"/>
  <c r="AF224" i="5" s="1"/>
  <c r="O225" i="5" l="1"/>
  <c r="Q225" i="5" s="1"/>
  <c r="J225" i="5"/>
  <c r="L225" i="5"/>
  <c r="AG224" i="5"/>
  <c r="N225" i="5" l="1"/>
  <c r="P225" i="5" s="1"/>
  <c r="S225" i="5"/>
  <c r="U225" i="5"/>
  <c r="M225" i="2" l="1"/>
  <c r="R225" i="5"/>
  <c r="T225" i="5"/>
  <c r="L225" i="2" l="1"/>
  <c r="N225" i="2" s="1"/>
  <c r="O225" i="2" s="1"/>
  <c r="V225" i="5"/>
  <c r="Q225" i="2" l="1"/>
  <c r="AB225" i="5" s="1"/>
  <c r="Z225" i="5"/>
  <c r="P225" i="2"/>
  <c r="AA225" i="5" l="1"/>
  <c r="S225" i="2"/>
  <c r="R225" i="2"/>
  <c r="U225" i="2"/>
  <c r="AD225" i="5" l="1"/>
  <c r="C226" i="5" s="1"/>
  <c r="E226" i="5" s="1"/>
  <c r="I226" i="5" s="1"/>
  <c r="AC225" i="5"/>
  <c r="T225" i="2"/>
  <c r="K226" i="5" l="1"/>
  <c r="B226" i="5"/>
  <c r="D226" i="5" s="1"/>
  <c r="H226" i="5" s="1"/>
  <c r="M226" i="5" s="1"/>
  <c r="AE225" i="5"/>
  <c r="AF225" i="5" s="1"/>
  <c r="O226" i="5" l="1"/>
  <c r="Q226" i="5" s="1"/>
  <c r="J226" i="5"/>
  <c r="L226" i="5"/>
  <c r="AG225" i="5"/>
  <c r="N226" i="5" l="1"/>
  <c r="P226" i="5" s="1"/>
  <c r="S226" i="5"/>
  <c r="U226" i="5"/>
  <c r="M226" i="2" l="1"/>
  <c r="R226" i="5"/>
  <c r="T226" i="5"/>
  <c r="L226" i="2" l="1"/>
  <c r="N226" i="2" s="1"/>
  <c r="O226" i="2" s="1"/>
  <c r="V226" i="5"/>
  <c r="Q226" i="2" l="1"/>
  <c r="AB226" i="5" s="1"/>
  <c r="P226" i="2"/>
  <c r="U226" i="2"/>
  <c r="Z226" i="5"/>
  <c r="AA226" i="5" l="1"/>
  <c r="S226" i="2"/>
  <c r="R226" i="2"/>
  <c r="AD226" i="5" l="1"/>
  <c r="C227" i="5" s="1"/>
  <c r="E227" i="5" s="1"/>
  <c r="I227" i="5" s="1"/>
  <c r="AC226" i="5"/>
  <c r="T226" i="2"/>
  <c r="M227" i="5" l="1"/>
  <c r="K227" i="5"/>
  <c r="B227" i="5"/>
  <c r="D227" i="5" s="1"/>
  <c r="H227" i="5" s="1"/>
  <c r="AE226" i="5"/>
  <c r="AF226" i="5" s="1"/>
  <c r="O227" i="5" l="1"/>
  <c r="Q227" i="5" s="1"/>
  <c r="J227" i="5"/>
  <c r="L227" i="5"/>
  <c r="AG226" i="5"/>
  <c r="N227" i="5" l="1"/>
  <c r="P227" i="5" s="1"/>
  <c r="S227" i="5"/>
  <c r="U227" i="5"/>
  <c r="M227" i="2" l="1"/>
  <c r="R227" i="5"/>
  <c r="T227" i="5"/>
  <c r="L227" i="2" l="1"/>
  <c r="N227" i="2" s="1"/>
  <c r="O227" i="2" s="1"/>
  <c r="V227" i="5"/>
  <c r="Q227" i="2" l="1"/>
  <c r="AB227" i="5" s="1"/>
  <c r="Z227" i="5"/>
  <c r="P227" i="2"/>
  <c r="AA227" i="5" l="1"/>
  <c r="S227" i="2"/>
  <c r="U227" i="2"/>
  <c r="R227" i="2"/>
  <c r="AD227" i="5" l="1"/>
  <c r="C228" i="5" s="1"/>
  <c r="E228" i="5" s="1"/>
  <c r="I228" i="5" s="1"/>
  <c r="AC227" i="5"/>
  <c r="T227" i="2"/>
  <c r="K228" i="5" l="1"/>
  <c r="B228" i="5"/>
  <c r="D228" i="5" s="1"/>
  <c r="H228" i="5" s="1"/>
  <c r="M228" i="5" s="1"/>
  <c r="AE227" i="5"/>
  <c r="AF227" i="5" s="1"/>
  <c r="O228" i="5" l="1"/>
  <c r="Q228" i="5" s="1"/>
  <c r="J228" i="5"/>
  <c r="L228" i="5"/>
  <c r="AG227" i="5"/>
  <c r="N228" i="5" l="1"/>
  <c r="P228" i="5" s="1"/>
  <c r="S228" i="5"/>
  <c r="U228" i="5"/>
  <c r="M228" i="2" l="1"/>
  <c r="R228" i="5"/>
  <c r="T228" i="5"/>
  <c r="L228" i="2" l="1"/>
  <c r="N228" i="2" s="1"/>
  <c r="O228" i="2" s="1"/>
  <c r="V228" i="5"/>
  <c r="P228" i="2" l="1"/>
  <c r="Q228" i="2"/>
  <c r="Z228" i="5"/>
  <c r="AA228" i="5" l="1"/>
  <c r="S228" i="2"/>
  <c r="U228" i="2"/>
  <c r="AB228" i="5"/>
  <c r="R228" i="2"/>
  <c r="AD228" i="5" l="1"/>
  <c r="C229" i="5" s="1"/>
  <c r="E229" i="5" s="1"/>
  <c r="I229" i="5" s="1"/>
  <c r="AC228" i="5"/>
  <c r="T228" i="2"/>
  <c r="M229" i="5" l="1"/>
  <c r="K229" i="5"/>
  <c r="B229" i="5"/>
  <c r="D229" i="5" s="1"/>
  <c r="H229" i="5" s="1"/>
  <c r="AE228" i="5"/>
  <c r="AF228" i="5" s="1"/>
  <c r="O229" i="5" l="1"/>
  <c r="Q229" i="5" s="1"/>
  <c r="J229" i="5"/>
  <c r="L229" i="5"/>
  <c r="AG228" i="5"/>
  <c r="N229" i="5" l="1"/>
  <c r="P229" i="5" s="1"/>
  <c r="S229" i="5"/>
  <c r="U229" i="5"/>
  <c r="M229" i="2" l="1"/>
  <c r="R229" i="5"/>
  <c r="T229" i="5"/>
  <c r="L229" i="2" l="1"/>
  <c r="N229" i="2" s="1"/>
  <c r="O229" i="2" s="1"/>
  <c r="V229" i="5"/>
  <c r="P229" i="2" l="1"/>
  <c r="AA229" i="5" s="1"/>
  <c r="Q229" i="2"/>
  <c r="AB229" i="5" s="1"/>
  <c r="R229" i="2"/>
  <c r="S229" i="2"/>
  <c r="U229" i="2"/>
  <c r="Z229" i="5"/>
  <c r="AC229" i="5" l="1"/>
  <c r="AD229" i="5"/>
  <c r="C230" i="5" s="1"/>
  <c r="E230" i="5" s="1"/>
  <c r="I230" i="5" s="1"/>
  <c r="T229" i="2"/>
  <c r="B230" i="5" l="1"/>
  <c r="D230" i="5" s="1"/>
  <c r="H230" i="5" s="1"/>
  <c r="M230" i="5" s="1"/>
  <c r="AE229" i="5"/>
  <c r="AF229" i="5" s="1"/>
  <c r="K230" i="5"/>
  <c r="J230" i="5" l="1"/>
  <c r="L230" i="5"/>
  <c r="AG229" i="5"/>
  <c r="O230" i="5"/>
  <c r="Q230" i="5" s="1"/>
  <c r="N230" i="5" l="1"/>
  <c r="P230" i="5" s="1"/>
  <c r="S230" i="5"/>
  <c r="U230" i="5"/>
  <c r="M230" i="2" l="1"/>
  <c r="R230" i="5"/>
  <c r="T230" i="5"/>
  <c r="L230" i="2" l="1"/>
  <c r="N230" i="2" s="1"/>
  <c r="O230" i="2" s="1"/>
  <c r="V230" i="5"/>
  <c r="P230" i="2" l="1"/>
  <c r="Q230" i="2"/>
  <c r="AB230" i="5" s="1"/>
  <c r="Z230" i="5"/>
  <c r="AA230" i="5" l="1"/>
  <c r="R230" i="2"/>
  <c r="S230" i="2"/>
  <c r="U230" i="2"/>
  <c r="AD230" i="5" l="1"/>
  <c r="C231" i="5" s="1"/>
  <c r="E231" i="5" s="1"/>
  <c r="I231" i="5" s="1"/>
  <c r="AC230" i="5"/>
  <c r="T230" i="2"/>
  <c r="M231" i="5" l="1"/>
  <c r="K231" i="5"/>
  <c r="B231" i="5"/>
  <c r="D231" i="5" s="1"/>
  <c r="H231" i="5" s="1"/>
  <c r="AE230" i="5"/>
  <c r="AF230" i="5" s="1"/>
  <c r="O231" i="5" l="1"/>
  <c r="Q231" i="5" s="1"/>
  <c r="J231" i="5"/>
  <c r="L231" i="5"/>
  <c r="AG230" i="5"/>
  <c r="N231" i="5" l="1"/>
  <c r="P231" i="5" s="1"/>
  <c r="S231" i="5"/>
  <c r="U231" i="5"/>
  <c r="M231" i="2" l="1"/>
  <c r="R231" i="5"/>
  <c r="T231" i="5"/>
  <c r="L231" i="2" l="1"/>
  <c r="N231" i="2" s="1"/>
  <c r="O231" i="2" s="1"/>
  <c r="V231" i="5"/>
  <c r="P231" i="2" l="1"/>
  <c r="Q231" i="2"/>
  <c r="AB231" i="5" s="1"/>
  <c r="R231" i="2"/>
  <c r="S231" i="2"/>
  <c r="Z231" i="5"/>
  <c r="T231" i="2" l="1"/>
  <c r="AA231" i="5"/>
  <c r="U231" i="2"/>
  <c r="AD231" i="5" l="1"/>
  <c r="C232" i="5" s="1"/>
  <c r="E232" i="5" s="1"/>
  <c r="I232" i="5" s="1"/>
  <c r="AC231" i="5"/>
  <c r="K232" i="5" l="1"/>
  <c r="B232" i="5"/>
  <c r="D232" i="5" s="1"/>
  <c r="H232" i="5" s="1"/>
  <c r="M232" i="5" s="1"/>
  <c r="AE231" i="5"/>
  <c r="AF231" i="5" s="1"/>
  <c r="O232" i="5" l="1"/>
  <c r="Q232" i="5" s="1"/>
  <c r="J232" i="5"/>
  <c r="L232" i="5"/>
  <c r="AG231" i="5"/>
  <c r="N232" i="5" l="1"/>
  <c r="P232" i="5" s="1"/>
  <c r="S232" i="5"/>
  <c r="U232" i="5"/>
  <c r="M232" i="2" l="1"/>
  <c r="R232" i="5"/>
  <c r="T232" i="5"/>
  <c r="L232" i="2" l="1"/>
  <c r="N232" i="2" s="1"/>
  <c r="O232" i="2" s="1"/>
  <c r="V232" i="5"/>
  <c r="P232" i="2" l="1"/>
  <c r="Q232" i="2"/>
  <c r="Z232" i="5"/>
  <c r="AA232" i="5" l="1"/>
  <c r="U232" i="2"/>
  <c r="AB232" i="5"/>
  <c r="R232" i="2"/>
  <c r="T232" i="2" s="1"/>
  <c r="S232" i="2"/>
  <c r="AD232" i="5" l="1"/>
  <c r="C233" i="5" s="1"/>
  <c r="E233" i="5" s="1"/>
  <c r="I233" i="5" s="1"/>
  <c r="AC232" i="5"/>
  <c r="K233" i="5" l="1"/>
  <c r="B233" i="5"/>
  <c r="D233" i="5" s="1"/>
  <c r="H233" i="5" s="1"/>
  <c r="M233" i="5" s="1"/>
  <c r="AE232" i="5"/>
  <c r="AF232" i="5" s="1"/>
  <c r="O233" i="5" l="1"/>
  <c r="Q233" i="5" s="1"/>
  <c r="J233" i="5"/>
  <c r="L233" i="5"/>
  <c r="AG232" i="5"/>
  <c r="N233" i="5" l="1"/>
  <c r="P233" i="5" s="1"/>
  <c r="S233" i="5"/>
  <c r="U233" i="5"/>
  <c r="M233" i="2" l="1"/>
  <c r="R233" i="5"/>
  <c r="T233" i="5"/>
  <c r="L233" i="2" l="1"/>
  <c r="N233" i="2" s="1"/>
  <c r="O233" i="2" s="1"/>
  <c r="V233" i="5"/>
  <c r="P233" i="2" l="1"/>
  <c r="Q233" i="2"/>
  <c r="AB233" i="5" s="1"/>
  <c r="R233" i="2"/>
  <c r="Z233" i="5"/>
  <c r="AA233" i="5" l="1"/>
  <c r="S233" i="2"/>
  <c r="T233" i="2" s="1"/>
  <c r="U233" i="2"/>
  <c r="AD233" i="5" l="1"/>
  <c r="C234" i="5" s="1"/>
  <c r="E234" i="5" s="1"/>
  <c r="I234" i="5" s="1"/>
  <c r="AC233" i="5"/>
  <c r="K234" i="5" l="1"/>
  <c r="B234" i="5"/>
  <c r="D234" i="5" s="1"/>
  <c r="H234" i="5" s="1"/>
  <c r="M234" i="5" s="1"/>
  <c r="AE233" i="5"/>
  <c r="AF233" i="5" s="1"/>
  <c r="O234" i="5" l="1"/>
  <c r="Q234" i="5" s="1"/>
  <c r="J234" i="5"/>
  <c r="L234" i="5"/>
  <c r="AG233" i="5"/>
  <c r="N234" i="5" l="1"/>
  <c r="P234" i="5" s="1"/>
  <c r="S234" i="5"/>
  <c r="U234" i="5"/>
  <c r="M234" i="2" l="1"/>
  <c r="R234" i="5"/>
  <c r="T234" i="5"/>
  <c r="L234" i="2" l="1"/>
  <c r="N234" i="2" s="1"/>
  <c r="O234" i="2" s="1"/>
  <c r="V234" i="5"/>
  <c r="P234" i="2" l="1"/>
  <c r="Q234" i="2"/>
  <c r="AB234" i="5" s="1"/>
  <c r="Z234" i="5"/>
  <c r="AA234" i="5" l="1"/>
  <c r="R234" i="2"/>
  <c r="S234" i="2"/>
  <c r="U234" i="2"/>
  <c r="AD234" i="5" l="1"/>
  <c r="C235" i="5" s="1"/>
  <c r="E235" i="5" s="1"/>
  <c r="I235" i="5" s="1"/>
  <c r="AC234" i="5"/>
  <c r="T234" i="2"/>
  <c r="K235" i="5" l="1"/>
  <c r="B235" i="5"/>
  <c r="D235" i="5" s="1"/>
  <c r="H235" i="5" s="1"/>
  <c r="M235" i="5" s="1"/>
  <c r="AE234" i="5"/>
  <c r="AF234" i="5" s="1"/>
  <c r="O235" i="5" l="1"/>
  <c r="Q235" i="5" s="1"/>
  <c r="S235" i="5" s="1"/>
  <c r="U235" i="5"/>
  <c r="J235" i="5"/>
  <c r="L235" i="5"/>
  <c r="AG234" i="5"/>
  <c r="M235" i="2" l="1"/>
  <c r="N235" i="5"/>
  <c r="P235" i="5" s="1"/>
  <c r="R235" i="5" l="1"/>
  <c r="T235" i="5"/>
  <c r="L235" i="2" l="1"/>
  <c r="N235" i="2" s="1"/>
  <c r="O235" i="2" s="1"/>
  <c r="V235" i="5"/>
  <c r="P235" i="2" l="1"/>
  <c r="Q235" i="2"/>
  <c r="AB235" i="5" s="1"/>
  <c r="Z235" i="5"/>
  <c r="AA235" i="5" l="1"/>
  <c r="R235" i="2"/>
  <c r="T235" i="2" s="1"/>
  <c r="S235" i="2"/>
  <c r="U235" i="2"/>
  <c r="AD235" i="5" l="1"/>
  <c r="C236" i="5" s="1"/>
  <c r="E236" i="5" s="1"/>
  <c r="I236" i="5" s="1"/>
  <c r="AC235" i="5"/>
  <c r="K236" i="5" l="1"/>
  <c r="B236" i="5"/>
  <c r="D236" i="5" s="1"/>
  <c r="H236" i="5" s="1"/>
  <c r="M236" i="5" s="1"/>
  <c r="AE235" i="5"/>
  <c r="AF235" i="5" s="1"/>
  <c r="O236" i="5" l="1"/>
  <c r="Q236" i="5" s="1"/>
  <c r="J236" i="5"/>
  <c r="L236" i="5"/>
  <c r="AG235" i="5"/>
  <c r="N236" i="5" l="1"/>
  <c r="P236" i="5" s="1"/>
  <c r="S236" i="5"/>
  <c r="U236" i="5"/>
  <c r="M236" i="2" l="1"/>
  <c r="R236" i="5"/>
  <c r="T236" i="5"/>
  <c r="L236" i="2" l="1"/>
  <c r="N236" i="2" s="1"/>
  <c r="O236" i="2" s="1"/>
  <c r="V236" i="5"/>
  <c r="P236" i="2" l="1"/>
  <c r="Q236" i="2"/>
  <c r="AB236" i="5" s="1"/>
  <c r="R236" i="2"/>
  <c r="S236" i="2"/>
  <c r="Z236" i="5"/>
  <c r="T236" i="2" l="1"/>
  <c r="AA236" i="5"/>
  <c r="U236" i="2"/>
  <c r="AD236" i="5" l="1"/>
  <c r="C237" i="5" s="1"/>
  <c r="E237" i="5" s="1"/>
  <c r="I237" i="5" s="1"/>
  <c r="AC236" i="5"/>
  <c r="M237" i="5" l="1"/>
  <c r="K237" i="5"/>
  <c r="B237" i="5"/>
  <c r="D237" i="5" s="1"/>
  <c r="H237" i="5" s="1"/>
  <c r="AE236" i="5"/>
  <c r="AF236" i="5" s="1"/>
  <c r="O237" i="5" l="1"/>
  <c r="Q237" i="5" s="1"/>
  <c r="J237" i="5"/>
  <c r="L237" i="5"/>
  <c r="AG236" i="5"/>
  <c r="N237" i="5" l="1"/>
  <c r="P237" i="5" s="1"/>
  <c r="S237" i="5"/>
  <c r="U237" i="5"/>
  <c r="M237" i="2" l="1"/>
  <c r="R237" i="5"/>
  <c r="T237" i="5"/>
  <c r="L237" i="2" l="1"/>
  <c r="N237" i="2" s="1"/>
  <c r="O237" i="2" s="1"/>
  <c r="V237" i="5"/>
  <c r="P237" i="2" l="1"/>
  <c r="Q237" i="2"/>
  <c r="Z237" i="5"/>
  <c r="AA237" i="5" l="1"/>
  <c r="U237" i="2"/>
  <c r="AB237" i="5"/>
  <c r="R237" i="2"/>
  <c r="S237" i="2"/>
  <c r="AD237" i="5" l="1"/>
  <c r="C238" i="5" s="1"/>
  <c r="E238" i="5" s="1"/>
  <c r="I238" i="5" s="1"/>
  <c r="AC237" i="5"/>
  <c r="T237" i="2"/>
  <c r="K238" i="5" l="1"/>
  <c r="B238" i="5"/>
  <c r="D238" i="5" s="1"/>
  <c r="H238" i="5" s="1"/>
  <c r="M238" i="5" s="1"/>
  <c r="AE237" i="5"/>
  <c r="AF237" i="5" s="1"/>
  <c r="O238" i="5" l="1"/>
  <c r="Q238" i="5" s="1"/>
  <c r="J238" i="5"/>
  <c r="L238" i="5"/>
  <c r="AG237" i="5"/>
  <c r="N238" i="5" l="1"/>
  <c r="P238" i="5" s="1"/>
  <c r="S238" i="5"/>
  <c r="U238" i="5"/>
  <c r="M238" i="2" l="1"/>
  <c r="R238" i="5"/>
  <c r="T238" i="5"/>
  <c r="L238" i="2" l="1"/>
  <c r="N238" i="2" s="1"/>
  <c r="O238" i="2" s="1"/>
  <c r="V238" i="5"/>
  <c r="P238" i="2" l="1"/>
  <c r="Q238" i="2"/>
  <c r="AB238" i="5" s="1"/>
  <c r="Z238" i="5"/>
  <c r="AA238" i="5" l="1"/>
  <c r="R238" i="2"/>
  <c r="S238" i="2"/>
  <c r="U238" i="2"/>
  <c r="AD238" i="5" l="1"/>
  <c r="C239" i="5" s="1"/>
  <c r="E239" i="5" s="1"/>
  <c r="I239" i="5" s="1"/>
  <c r="AC238" i="5"/>
  <c r="T238" i="2"/>
  <c r="M239" i="5" l="1"/>
  <c r="K239" i="5"/>
  <c r="B239" i="5"/>
  <c r="D239" i="5" s="1"/>
  <c r="H239" i="5" s="1"/>
  <c r="AE238" i="5"/>
  <c r="AF238" i="5" s="1"/>
  <c r="O239" i="5" l="1"/>
  <c r="Q239" i="5" s="1"/>
  <c r="J239" i="5"/>
  <c r="L239" i="5"/>
  <c r="AG238" i="5"/>
  <c r="N239" i="5" l="1"/>
  <c r="P239" i="5" s="1"/>
  <c r="S239" i="5"/>
  <c r="U239" i="5"/>
  <c r="M239" i="2" l="1"/>
  <c r="R239" i="5"/>
  <c r="T239" i="5"/>
  <c r="L239" i="2" l="1"/>
  <c r="N239" i="2" s="1"/>
  <c r="O239" i="2" s="1"/>
  <c r="V239" i="5"/>
  <c r="P239" i="2" l="1"/>
  <c r="AA239" i="5" s="1"/>
  <c r="Q239" i="2"/>
  <c r="AB239" i="5" s="1"/>
  <c r="R239" i="2"/>
  <c r="S239" i="2"/>
  <c r="U239" i="2"/>
  <c r="Z239" i="5"/>
  <c r="AC239" i="5" l="1"/>
  <c r="AD239" i="5"/>
  <c r="C240" i="5" s="1"/>
  <c r="E240" i="5" s="1"/>
  <c r="I240" i="5" s="1"/>
  <c r="T239" i="2"/>
  <c r="B240" i="5" l="1"/>
  <c r="D240" i="5" s="1"/>
  <c r="H240" i="5" s="1"/>
  <c r="AE239" i="5"/>
  <c r="AF239" i="5" s="1"/>
  <c r="M240" i="5"/>
  <c r="K240" i="5"/>
  <c r="J240" i="5" l="1"/>
  <c r="L240" i="5"/>
  <c r="AG239" i="5"/>
  <c r="O240" i="5"/>
  <c r="Q240" i="5" s="1"/>
  <c r="N240" i="5" l="1"/>
  <c r="P240" i="5" s="1"/>
  <c r="S240" i="5"/>
  <c r="U240" i="5"/>
  <c r="M240" i="2" l="1"/>
  <c r="R240" i="5"/>
  <c r="T240" i="5"/>
  <c r="L240" i="2" l="1"/>
  <c r="N240" i="2" s="1"/>
  <c r="O240" i="2" s="1"/>
  <c r="V240" i="5"/>
  <c r="P240" i="2" l="1"/>
  <c r="Q240" i="2"/>
  <c r="AB240" i="5" s="1"/>
  <c r="Z240" i="5"/>
  <c r="AA240" i="5" l="1"/>
  <c r="R240" i="2"/>
  <c r="S240" i="2"/>
  <c r="U240" i="2"/>
  <c r="AD240" i="5" l="1"/>
  <c r="C241" i="5" s="1"/>
  <c r="E241" i="5" s="1"/>
  <c r="I241" i="5" s="1"/>
  <c r="AC240" i="5"/>
  <c r="T240" i="2"/>
  <c r="K241" i="5" l="1"/>
  <c r="B241" i="5"/>
  <c r="D241" i="5" s="1"/>
  <c r="H241" i="5" s="1"/>
  <c r="M241" i="5" s="1"/>
  <c r="AE240" i="5"/>
  <c r="AF240" i="5" s="1"/>
  <c r="O241" i="5" l="1"/>
  <c r="Q241" i="5" s="1"/>
  <c r="J241" i="5"/>
  <c r="L241" i="5"/>
  <c r="AG240" i="5"/>
  <c r="N241" i="5" l="1"/>
  <c r="P241" i="5" s="1"/>
  <c r="S241" i="5"/>
  <c r="U241" i="5"/>
  <c r="M241" i="2" l="1"/>
  <c r="R241" i="5"/>
  <c r="T241" i="5"/>
  <c r="L241" i="2" l="1"/>
  <c r="N241" i="2" s="1"/>
  <c r="O241" i="2" s="1"/>
  <c r="V241" i="5"/>
  <c r="P241" i="2" l="1"/>
  <c r="Q241" i="2"/>
  <c r="AB241" i="5" s="1"/>
  <c r="Z241" i="5"/>
  <c r="AA241" i="5" l="1"/>
  <c r="R241" i="2"/>
  <c r="S241" i="2"/>
  <c r="U241" i="2"/>
  <c r="AD241" i="5" l="1"/>
  <c r="C242" i="5" s="1"/>
  <c r="E242" i="5" s="1"/>
  <c r="I242" i="5" s="1"/>
  <c r="AC241" i="5"/>
  <c r="T241" i="2"/>
  <c r="M242" i="5" l="1"/>
  <c r="K242" i="5"/>
  <c r="B242" i="5"/>
  <c r="D242" i="5" s="1"/>
  <c r="H242" i="5" s="1"/>
  <c r="AE241" i="5"/>
  <c r="AF241" i="5" s="1"/>
  <c r="O242" i="5" l="1"/>
  <c r="Q242" i="5" s="1"/>
  <c r="J242" i="5"/>
  <c r="L242" i="5"/>
  <c r="AG241" i="5"/>
  <c r="N242" i="5" l="1"/>
  <c r="P242" i="5" s="1"/>
  <c r="S242" i="5"/>
  <c r="U242" i="5"/>
  <c r="M242" i="2" l="1"/>
  <c r="R242" i="5"/>
  <c r="T242" i="5"/>
  <c r="L242" i="2" l="1"/>
  <c r="N242" i="2" s="1"/>
  <c r="O242" i="2" s="1"/>
  <c r="V242" i="5"/>
  <c r="P242" i="2" l="1"/>
  <c r="Q242" i="2"/>
  <c r="AB242" i="5" s="1"/>
  <c r="Z242" i="5"/>
  <c r="AA242" i="5" l="1"/>
  <c r="R242" i="2"/>
  <c r="S242" i="2"/>
  <c r="U242" i="2"/>
  <c r="AD242" i="5" l="1"/>
  <c r="C243" i="5" s="1"/>
  <c r="E243" i="5" s="1"/>
  <c r="I243" i="5" s="1"/>
  <c r="AC242" i="5"/>
  <c r="T242" i="2"/>
  <c r="K243" i="5" l="1"/>
  <c r="B243" i="5"/>
  <c r="D243" i="5" s="1"/>
  <c r="H243" i="5" s="1"/>
  <c r="M243" i="5" s="1"/>
  <c r="AE242" i="5"/>
  <c r="AF242" i="5" s="1"/>
  <c r="O243" i="5" l="1"/>
  <c r="Q243" i="5" s="1"/>
  <c r="J243" i="5"/>
  <c r="L243" i="5"/>
  <c r="AG242" i="5"/>
  <c r="N243" i="5" l="1"/>
  <c r="P243" i="5" s="1"/>
  <c r="S243" i="5"/>
  <c r="U243" i="5"/>
  <c r="M243" i="2" l="1"/>
  <c r="R243" i="5"/>
  <c r="T243" i="5"/>
  <c r="L243" i="2" l="1"/>
  <c r="N243" i="2" s="1"/>
  <c r="O243" i="2" s="1"/>
  <c r="V243" i="5"/>
  <c r="P243" i="2" l="1"/>
  <c r="Q243" i="2"/>
  <c r="Z243" i="5"/>
  <c r="AA243" i="5" l="1"/>
  <c r="S243" i="2"/>
  <c r="U243" i="2"/>
  <c r="AB243" i="5"/>
  <c r="R243" i="2"/>
  <c r="AD243" i="5" l="1"/>
  <c r="C244" i="5" s="1"/>
  <c r="E244" i="5" s="1"/>
  <c r="I244" i="5" s="1"/>
  <c r="AC243" i="5"/>
  <c r="T243" i="2"/>
  <c r="K244" i="5" l="1"/>
  <c r="B244" i="5"/>
  <c r="D244" i="5" s="1"/>
  <c r="H244" i="5" s="1"/>
  <c r="M244" i="5" s="1"/>
  <c r="AE243" i="5"/>
  <c r="AF243" i="5" s="1"/>
  <c r="O244" i="5" l="1"/>
  <c r="Q244" i="5" s="1"/>
  <c r="J244" i="5"/>
  <c r="L244" i="5"/>
  <c r="AG243" i="5"/>
  <c r="N244" i="5" l="1"/>
  <c r="P244" i="5" s="1"/>
  <c r="S244" i="5"/>
  <c r="U244" i="5"/>
  <c r="M244" i="2" l="1"/>
  <c r="R244" i="5"/>
  <c r="T244" i="5"/>
  <c r="L244" i="2" l="1"/>
  <c r="N244" i="2" s="1"/>
  <c r="O244" i="2" s="1"/>
  <c r="V244" i="5"/>
  <c r="P244" i="2" l="1"/>
  <c r="Q244" i="2"/>
  <c r="AB244" i="5" s="1"/>
  <c r="U244" i="2"/>
  <c r="Z244" i="5"/>
  <c r="AA244" i="5" l="1"/>
  <c r="R244" i="2"/>
  <c r="T244" i="2" s="1"/>
  <c r="S244" i="2"/>
  <c r="AD244" i="5" l="1"/>
  <c r="C245" i="5" s="1"/>
  <c r="E245" i="5" s="1"/>
  <c r="I245" i="5" s="1"/>
  <c r="AC244" i="5"/>
  <c r="K245" i="5" l="1"/>
  <c r="B245" i="5"/>
  <c r="D245" i="5" s="1"/>
  <c r="H245" i="5" s="1"/>
  <c r="M245" i="5" s="1"/>
  <c r="AE244" i="5"/>
  <c r="AF244" i="5" s="1"/>
  <c r="O245" i="5" l="1"/>
  <c r="Q245" i="5" s="1"/>
  <c r="J245" i="5"/>
  <c r="L245" i="5"/>
  <c r="AG244" i="5"/>
  <c r="N245" i="5" l="1"/>
  <c r="P245" i="5" s="1"/>
  <c r="S245" i="5"/>
  <c r="U245" i="5"/>
  <c r="M245" i="2" l="1"/>
  <c r="R245" i="5"/>
  <c r="T245" i="5"/>
  <c r="L245" i="2" l="1"/>
  <c r="N245" i="2" s="1"/>
  <c r="O245" i="2" s="1"/>
  <c r="V245" i="5"/>
  <c r="P245" i="2" l="1"/>
  <c r="Q245" i="2"/>
  <c r="Z245" i="5"/>
  <c r="AA245" i="5" l="1"/>
  <c r="U245" i="2"/>
  <c r="AB245" i="5"/>
  <c r="R245" i="2"/>
  <c r="T245" i="2" s="1"/>
  <c r="S245" i="2"/>
  <c r="AD245" i="5" l="1"/>
  <c r="C246" i="5" s="1"/>
  <c r="E246" i="5" s="1"/>
  <c r="I246" i="5" s="1"/>
  <c r="AC245" i="5"/>
  <c r="M246" i="5" l="1"/>
  <c r="K246" i="5"/>
  <c r="B246" i="5"/>
  <c r="D246" i="5" s="1"/>
  <c r="H246" i="5" s="1"/>
  <c r="AE245" i="5"/>
  <c r="AF245" i="5" s="1"/>
  <c r="O246" i="5" l="1"/>
  <c r="Q246" i="5" s="1"/>
  <c r="J246" i="5"/>
  <c r="L246" i="5"/>
  <c r="AG245" i="5"/>
  <c r="N246" i="5" l="1"/>
  <c r="P246" i="5" s="1"/>
  <c r="S246" i="5"/>
  <c r="U246" i="5"/>
  <c r="M246" i="2" l="1"/>
  <c r="R246" i="5"/>
  <c r="T246" i="5"/>
  <c r="L246" i="2" l="1"/>
  <c r="N246" i="2" s="1"/>
  <c r="O246" i="2" s="1"/>
  <c r="V246" i="5"/>
  <c r="P246" i="2" l="1"/>
  <c r="Q246" i="2"/>
  <c r="AB246" i="5" s="1"/>
  <c r="Z246" i="5"/>
  <c r="AA246" i="5" l="1"/>
  <c r="R246" i="2"/>
  <c r="T246" i="2" s="1"/>
  <c r="S246" i="2"/>
  <c r="U246" i="2"/>
  <c r="AD246" i="5" l="1"/>
  <c r="C247" i="5" s="1"/>
  <c r="E247" i="5" s="1"/>
  <c r="I247" i="5" s="1"/>
  <c r="AC246" i="5"/>
  <c r="M247" i="5" l="1"/>
  <c r="K247" i="5"/>
  <c r="B247" i="5"/>
  <c r="D247" i="5" s="1"/>
  <c r="H247" i="5" s="1"/>
  <c r="AE246" i="5"/>
  <c r="AF246" i="5" s="1"/>
  <c r="O247" i="5" l="1"/>
  <c r="Q247" i="5" s="1"/>
  <c r="J247" i="5"/>
  <c r="L247" i="5"/>
  <c r="AG246" i="5"/>
  <c r="N247" i="5" l="1"/>
  <c r="P247" i="5" s="1"/>
  <c r="S247" i="5"/>
  <c r="U247" i="5"/>
  <c r="M247" i="2" l="1"/>
  <c r="R247" i="5"/>
  <c r="T247" i="5"/>
  <c r="L247" i="2" l="1"/>
  <c r="N247" i="2" s="1"/>
  <c r="O247" i="2" s="1"/>
  <c r="V247" i="5"/>
  <c r="P247" i="2" l="1"/>
  <c r="Q247" i="2"/>
  <c r="AB247" i="5" s="1"/>
  <c r="Z247" i="5"/>
  <c r="AA247" i="5" l="1"/>
  <c r="R247" i="2"/>
  <c r="S247" i="2"/>
  <c r="U247" i="2"/>
  <c r="AD247" i="5" l="1"/>
  <c r="C248" i="5" s="1"/>
  <c r="E248" i="5" s="1"/>
  <c r="I248" i="5" s="1"/>
  <c r="AC247" i="5"/>
  <c r="T247" i="2"/>
  <c r="K248" i="5" l="1"/>
  <c r="B248" i="5"/>
  <c r="D248" i="5" s="1"/>
  <c r="H248" i="5" s="1"/>
  <c r="M248" i="5" s="1"/>
  <c r="AE247" i="5"/>
  <c r="AF247" i="5" s="1"/>
  <c r="O248" i="5" l="1"/>
  <c r="Q248" i="5" s="1"/>
  <c r="J248" i="5"/>
  <c r="L248" i="5"/>
  <c r="AG247" i="5"/>
  <c r="N248" i="5" l="1"/>
  <c r="P248" i="5" s="1"/>
  <c r="S248" i="5"/>
  <c r="U248" i="5"/>
  <c r="M248" i="2" l="1"/>
  <c r="R248" i="5"/>
  <c r="T248" i="5"/>
  <c r="L248" i="2" l="1"/>
  <c r="N248" i="2" s="1"/>
  <c r="O248" i="2" s="1"/>
  <c r="V248" i="5"/>
  <c r="P248" i="2" l="1"/>
  <c r="AA248" i="5" s="1"/>
  <c r="Q248" i="2"/>
  <c r="AB248" i="5" s="1"/>
  <c r="R248" i="2"/>
  <c r="T248" i="2" s="1"/>
  <c r="S248" i="2"/>
  <c r="U248" i="2"/>
  <c r="Z248" i="5"/>
  <c r="AC248" i="5" l="1"/>
  <c r="AD248" i="5"/>
  <c r="C249" i="5" s="1"/>
  <c r="E249" i="5" s="1"/>
  <c r="I249" i="5" s="1"/>
  <c r="B249" i="5" l="1"/>
  <c r="D249" i="5" s="1"/>
  <c r="H249" i="5" s="1"/>
  <c r="M249" i="5" s="1"/>
  <c r="AE248" i="5"/>
  <c r="AF248" i="5" s="1"/>
  <c r="K249" i="5"/>
  <c r="J249" i="5" l="1"/>
  <c r="L249" i="5"/>
  <c r="AG248" i="5"/>
  <c r="O249" i="5"/>
  <c r="Q249" i="5" s="1"/>
  <c r="S249" i="5" s="1"/>
  <c r="G250" i="5" s="1"/>
  <c r="U249" i="5"/>
  <c r="N249" i="5" l="1"/>
  <c r="P249" i="5" s="1"/>
  <c r="M249" i="2"/>
  <c r="R249" i="5" l="1"/>
  <c r="F250" i="5" s="1"/>
  <c r="T249" i="5"/>
  <c r="L249" i="2" l="1"/>
  <c r="N249" i="2" s="1"/>
  <c r="O249" i="2" s="1"/>
  <c r="V249" i="5"/>
  <c r="P249" i="2" l="1"/>
  <c r="Q249" i="2"/>
  <c r="AB249" i="5" s="1"/>
  <c r="R249" i="2"/>
  <c r="Z249" i="5"/>
  <c r="AA249" i="5" l="1"/>
  <c r="S249" i="2"/>
  <c r="T249" i="2" s="1"/>
  <c r="U249" i="2"/>
  <c r="AD249" i="5" l="1"/>
  <c r="C250" i="5" s="1"/>
  <c r="E250" i="5" s="1"/>
  <c r="I250" i="5" s="1"/>
  <c r="AC249" i="5"/>
  <c r="M250" i="5" l="1"/>
  <c r="K250" i="5"/>
  <c r="B250" i="5"/>
  <c r="D250" i="5" s="1"/>
  <c r="H250" i="5" s="1"/>
  <c r="AE249" i="5"/>
  <c r="AF249" i="5" s="1"/>
  <c r="O250" i="5" l="1"/>
  <c r="Q250" i="5" s="1"/>
  <c r="J250" i="5"/>
  <c r="L250" i="5"/>
  <c r="AG249" i="5"/>
  <c r="N250" i="5" l="1"/>
  <c r="P250" i="5" s="1"/>
  <c r="R250" i="5" s="1"/>
  <c r="T250" i="5"/>
  <c r="S250" i="5"/>
  <c r="U250" i="5"/>
  <c r="V250" i="5" l="1"/>
  <c r="L250" i="2"/>
  <c r="M250" i="2"/>
  <c r="N250" i="2" l="1"/>
  <c r="O250" i="2" s="1"/>
  <c r="Z250" i="5" l="1"/>
  <c r="Q250" i="2"/>
  <c r="P250" i="2"/>
  <c r="AA250" i="5" s="1"/>
  <c r="AD250" i="5" l="1"/>
  <c r="C251" i="5" s="1"/>
  <c r="E251" i="5" s="1"/>
  <c r="I251" i="5" s="1"/>
  <c r="AC250" i="5"/>
  <c r="AB250" i="5"/>
  <c r="U250" i="2"/>
  <c r="S250" i="2"/>
  <c r="R250" i="2"/>
  <c r="T250" i="2" s="1"/>
  <c r="K251" i="5" l="1"/>
  <c r="B251" i="5"/>
  <c r="D251" i="5" s="1"/>
  <c r="H251" i="5" s="1"/>
  <c r="M251" i="5" s="1"/>
  <c r="AE250" i="5"/>
  <c r="AF250" i="5" s="1"/>
  <c r="O251" i="5" l="1"/>
  <c r="Q251" i="5" s="1"/>
  <c r="S251" i="5" s="1"/>
  <c r="U251" i="5"/>
  <c r="J251" i="5"/>
  <c r="L251" i="5"/>
  <c r="AG250" i="5"/>
  <c r="M251" i="2" l="1"/>
  <c r="N251" i="5"/>
  <c r="P251" i="5" s="1"/>
  <c r="R251" i="5" l="1"/>
  <c r="T251" i="5"/>
  <c r="L251" i="2" l="1"/>
  <c r="N251" i="2" s="1"/>
  <c r="O251" i="2" s="1"/>
  <c r="V251" i="5"/>
  <c r="P251" i="2" l="1"/>
  <c r="Q251" i="2"/>
  <c r="Z251" i="5"/>
  <c r="AA251" i="5" l="1"/>
  <c r="S251" i="2"/>
  <c r="U251" i="2"/>
  <c r="AB251" i="5"/>
  <c r="R251" i="2"/>
  <c r="T251" i="2" s="1"/>
  <c r="AD251" i="5" l="1"/>
  <c r="C252" i="5" s="1"/>
  <c r="E252" i="5" s="1"/>
  <c r="I252" i="5" s="1"/>
  <c r="AC251" i="5"/>
  <c r="K252" i="5" l="1"/>
  <c r="B252" i="5"/>
  <c r="D252" i="5" s="1"/>
  <c r="H252" i="5" s="1"/>
  <c r="M252" i="5" s="1"/>
  <c r="AE251" i="5"/>
  <c r="AF251" i="5" s="1"/>
  <c r="O252" i="5" l="1"/>
  <c r="Q252" i="5" s="1"/>
  <c r="J252" i="5"/>
  <c r="L252" i="5"/>
  <c r="AG251" i="5"/>
  <c r="N252" i="5" l="1"/>
  <c r="P252" i="5" s="1"/>
  <c r="S252" i="5"/>
  <c r="U252" i="5"/>
  <c r="M252" i="2" l="1"/>
  <c r="R252" i="5"/>
  <c r="T252" i="5"/>
  <c r="L252" i="2" l="1"/>
  <c r="N252" i="2" s="1"/>
  <c r="O252" i="2" s="1"/>
  <c r="V252" i="5"/>
  <c r="P252" i="2" l="1"/>
  <c r="Q252" i="2"/>
  <c r="AB252" i="5" s="1"/>
  <c r="Z252" i="5"/>
  <c r="AA252" i="5" l="1"/>
  <c r="R252" i="2"/>
  <c r="T252" i="2" s="1"/>
  <c r="S252" i="2"/>
  <c r="U252" i="2"/>
  <c r="AD252" i="5" l="1"/>
  <c r="C253" i="5" s="1"/>
  <c r="E253" i="5" s="1"/>
  <c r="I253" i="5" s="1"/>
  <c r="AC252" i="5"/>
  <c r="K253" i="5" l="1"/>
  <c r="B253" i="5"/>
  <c r="D253" i="5" s="1"/>
  <c r="H253" i="5" s="1"/>
  <c r="M253" i="5" s="1"/>
  <c r="AE252" i="5"/>
  <c r="AF252" i="5" s="1"/>
  <c r="O253" i="5" l="1"/>
  <c r="Q253" i="5" s="1"/>
  <c r="J253" i="5"/>
  <c r="L253" i="5"/>
  <c r="AG252" i="5"/>
  <c r="N253" i="5" l="1"/>
  <c r="P253" i="5" s="1"/>
  <c r="S253" i="5"/>
  <c r="U253" i="5"/>
  <c r="M253" i="2" l="1"/>
  <c r="R253" i="5"/>
  <c r="T253" i="5"/>
  <c r="L253" i="2" l="1"/>
  <c r="N253" i="2" s="1"/>
  <c r="O253" i="2" s="1"/>
  <c r="V253" i="5"/>
  <c r="P253" i="2" l="1"/>
  <c r="Q253" i="2"/>
  <c r="AB253" i="5" s="1"/>
  <c r="R253" i="2"/>
  <c r="Z253" i="5"/>
  <c r="AA253" i="5" l="1"/>
  <c r="S253" i="2"/>
  <c r="T253" i="2" s="1"/>
  <c r="U253" i="2"/>
  <c r="AD253" i="5" l="1"/>
  <c r="C254" i="5" s="1"/>
  <c r="E254" i="5" s="1"/>
  <c r="I254" i="5" s="1"/>
  <c r="AC253" i="5"/>
  <c r="K254" i="5" l="1"/>
  <c r="B254" i="5"/>
  <c r="D254" i="5" s="1"/>
  <c r="H254" i="5" s="1"/>
  <c r="M254" i="5" s="1"/>
  <c r="AE253" i="5"/>
  <c r="AF253" i="5" s="1"/>
  <c r="O254" i="5" l="1"/>
  <c r="Q254" i="5" s="1"/>
  <c r="J254" i="5"/>
  <c r="L254" i="5"/>
  <c r="AG253" i="5"/>
  <c r="N254" i="5" l="1"/>
  <c r="P254" i="5" s="1"/>
  <c r="S254" i="5"/>
  <c r="U254" i="5"/>
  <c r="M254" i="2" l="1"/>
  <c r="R254" i="5"/>
  <c r="T254" i="5"/>
  <c r="L254" i="2" l="1"/>
  <c r="N254" i="2" s="1"/>
  <c r="O254" i="2" s="1"/>
  <c r="V254" i="5"/>
  <c r="P254" i="2" l="1"/>
  <c r="Q254" i="2"/>
  <c r="AB254" i="5" s="1"/>
  <c r="Z254" i="5"/>
  <c r="AA254" i="5" l="1"/>
  <c r="R254" i="2"/>
  <c r="S254" i="2"/>
  <c r="U254" i="2"/>
  <c r="AD254" i="5" l="1"/>
  <c r="C255" i="5" s="1"/>
  <c r="E255" i="5" s="1"/>
  <c r="I255" i="5" s="1"/>
  <c r="AC254" i="5"/>
  <c r="T254" i="2"/>
  <c r="K255" i="5" l="1"/>
  <c r="B255" i="5"/>
  <c r="D255" i="5" s="1"/>
  <c r="H255" i="5" s="1"/>
  <c r="M255" i="5" s="1"/>
  <c r="AE254" i="5"/>
  <c r="AF254" i="5" s="1"/>
  <c r="O255" i="5" l="1"/>
  <c r="Q255" i="5" s="1"/>
  <c r="J255" i="5"/>
  <c r="L255" i="5"/>
  <c r="AG254" i="5"/>
  <c r="N255" i="5" l="1"/>
  <c r="P255" i="5" s="1"/>
  <c r="S255" i="5"/>
  <c r="U255" i="5"/>
  <c r="M255" i="2" l="1"/>
  <c r="R255" i="5"/>
  <c r="T255" i="5"/>
  <c r="L255" i="2" l="1"/>
  <c r="N255" i="2" s="1"/>
  <c r="O255" i="2" s="1"/>
  <c r="V255" i="5"/>
  <c r="P255" i="2" l="1"/>
  <c r="Q255" i="2"/>
  <c r="AB255" i="5" s="1"/>
  <c r="Z255" i="5"/>
  <c r="AA255" i="5" l="1"/>
  <c r="R255" i="2"/>
  <c r="T255" i="2" s="1"/>
  <c r="S255" i="2"/>
  <c r="U255" i="2"/>
  <c r="AD255" i="5" l="1"/>
  <c r="C256" i="5" s="1"/>
  <c r="E256" i="5" s="1"/>
  <c r="I256" i="5" s="1"/>
  <c r="AC255" i="5"/>
  <c r="M256" i="5" l="1"/>
  <c r="K256" i="5"/>
  <c r="B256" i="5"/>
  <c r="D256" i="5" s="1"/>
  <c r="H256" i="5" s="1"/>
  <c r="AE255" i="5"/>
  <c r="AF255" i="5" s="1"/>
  <c r="O256" i="5" l="1"/>
  <c r="Q256" i="5" s="1"/>
  <c r="J256" i="5"/>
  <c r="L256" i="5"/>
  <c r="AG255" i="5"/>
  <c r="N256" i="5" l="1"/>
  <c r="P256" i="5" s="1"/>
  <c r="S256" i="5"/>
  <c r="U256" i="5"/>
  <c r="M256" i="2" l="1"/>
  <c r="R256" i="5"/>
  <c r="T256" i="5"/>
  <c r="L256" i="2" l="1"/>
  <c r="N256" i="2" s="1"/>
  <c r="O256" i="2" s="1"/>
  <c r="V256" i="5"/>
  <c r="P256" i="2" l="1"/>
  <c r="Q256" i="2"/>
  <c r="AB256" i="5" s="1"/>
  <c r="R256" i="2"/>
  <c r="Z256" i="5"/>
  <c r="AA256" i="5" l="1"/>
  <c r="S256" i="2"/>
  <c r="T256" i="2" s="1"/>
  <c r="U256" i="2"/>
  <c r="AD256" i="5" l="1"/>
  <c r="C257" i="5" s="1"/>
  <c r="E257" i="5" s="1"/>
  <c r="I257" i="5" s="1"/>
  <c r="AC256" i="5"/>
  <c r="M257" i="5" l="1"/>
  <c r="K257" i="5"/>
  <c r="B257" i="5"/>
  <c r="D257" i="5" s="1"/>
  <c r="H257" i="5" s="1"/>
  <c r="AE256" i="5"/>
  <c r="AF256" i="5" s="1"/>
  <c r="O257" i="5" l="1"/>
  <c r="Q257" i="5" s="1"/>
  <c r="J257" i="5"/>
  <c r="L257" i="5"/>
  <c r="AG256" i="5"/>
  <c r="N257" i="5" l="1"/>
  <c r="P257" i="5" s="1"/>
  <c r="S257" i="5"/>
  <c r="U257" i="5"/>
  <c r="M257" i="2" l="1"/>
  <c r="R257" i="5"/>
  <c r="T257" i="5"/>
  <c r="L257" i="2" l="1"/>
  <c r="N257" i="2" s="1"/>
  <c r="O257" i="2" s="1"/>
  <c r="V257" i="5"/>
  <c r="P257" i="2" l="1"/>
  <c r="Q257" i="2"/>
  <c r="AB257" i="5" s="1"/>
  <c r="Z257" i="5"/>
  <c r="AA257" i="5" l="1"/>
  <c r="R257" i="2"/>
  <c r="T257" i="2" s="1"/>
  <c r="S257" i="2"/>
  <c r="U257" i="2"/>
  <c r="AD257" i="5" l="1"/>
  <c r="C258" i="5" s="1"/>
  <c r="E258" i="5" s="1"/>
  <c r="I258" i="5" s="1"/>
  <c r="AC257" i="5"/>
  <c r="M258" i="5" l="1"/>
  <c r="K258" i="5"/>
  <c r="B258" i="5"/>
  <c r="D258" i="5" s="1"/>
  <c r="H258" i="5" s="1"/>
  <c r="AE257" i="5"/>
  <c r="AF257" i="5" s="1"/>
  <c r="O258" i="5" l="1"/>
  <c r="Q258" i="5" s="1"/>
  <c r="J258" i="5"/>
  <c r="L258" i="5"/>
  <c r="AG257" i="5"/>
  <c r="N258" i="5" l="1"/>
  <c r="P258" i="5" s="1"/>
  <c r="S258" i="5"/>
  <c r="U258" i="5"/>
  <c r="M258" i="2" l="1"/>
  <c r="R258" i="5"/>
  <c r="T258" i="5"/>
  <c r="L258" i="2" l="1"/>
  <c r="N258" i="2" s="1"/>
  <c r="O258" i="2" s="1"/>
  <c r="V258" i="5"/>
  <c r="P258" i="2" l="1"/>
  <c r="Q258" i="2"/>
  <c r="AB258" i="5" s="1"/>
  <c r="Z258" i="5"/>
  <c r="AA258" i="5" l="1"/>
  <c r="R258" i="2"/>
  <c r="T258" i="2" s="1"/>
  <c r="S258" i="2"/>
  <c r="U258" i="2"/>
  <c r="AD258" i="5" l="1"/>
  <c r="C259" i="5" s="1"/>
  <c r="E259" i="5" s="1"/>
  <c r="I259" i="5" s="1"/>
  <c r="AC258" i="5"/>
  <c r="K259" i="5" l="1"/>
  <c r="B259" i="5"/>
  <c r="D259" i="5" s="1"/>
  <c r="H259" i="5" s="1"/>
  <c r="M259" i="5" s="1"/>
  <c r="AE258" i="5"/>
  <c r="AF258" i="5" s="1"/>
  <c r="O259" i="5" l="1"/>
  <c r="Q259" i="5" s="1"/>
  <c r="J259" i="5"/>
  <c r="L259" i="5"/>
  <c r="AG258" i="5"/>
  <c r="N259" i="5" l="1"/>
  <c r="P259" i="5" s="1"/>
  <c r="S259" i="5"/>
  <c r="U259" i="5"/>
  <c r="M259" i="2" l="1"/>
  <c r="R259" i="5"/>
  <c r="T259" i="5"/>
  <c r="L259" i="2" l="1"/>
  <c r="N259" i="2" s="1"/>
  <c r="O259" i="2" s="1"/>
  <c r="V259" i="5"/>
  <c r="P259" i="2" l="1"/>
  <c r="AA259" i="5" s="1"/>
  <c r="Q259" i="2"/>
  <c r="U259" i="2"/>
  <c r="Z259" i="5"/>
  <c r="AC259" i="5" l="1"/>
  <c r="AD259" i="5"/>
  <c r="C260" i="5" s="1"/>
  <c r="E260" i="5" s="1"/>
  <c r="I260" i="5" s="1"/>
  <c r="AB259" i="5"/>
  <c r="R259" i="2"/>
  <c r="T259" i="2" s="1"/>
  <c r="S259" i="2"/>
  <c r="B260" i="5" l="1"/>
  <c r="D260" i="5" s="1"/>
  <c r="H260" i="5" s="1"/>
  <c r="M260" i="5" s="1"/>
  <c r="AE259" i="5"/>
  <c r="AF259" i="5" s="1"/>
  <c r="K260" i="5"/>
  <c r="J260" i="5" l="1"/>
  <c r="L260" i="5"/>
  <c r="AG259" i="5"/>
  <c r="O260" i="5"/>
  <c r="Q260" i="5" s="1"/>
  <c r="N260" i="5" l="1"/>
  <c r="P260" i="5" s="1"/>
  <c r="S260" i="5"/>
  <c r="U260" i="5"/>
  <c r="M260" i="2" l="1"/>
  <c r="R260" i="5"/>
  <c r="T260" i="5"/>
  <c r="L260" i="2" l="1"/>
  <c r="N260" i="2" s="1"/>
  <c r="O260" i="2" s="1"/>
  <c r="V260" i="5"/>
  <c r="P260" i="2" l="1"/>
  <c r="AA260" i="5" s="1"/>
  <c r="Q260" i="2"/>
  <c r="AB260" i="5" s="1"/>
  <c r="R260" i="2"/>
  <c r="S260" i="2"/>
  <c r="U260" i="2"/>
  <c r="Z260" i="5"/>
  <c r="AC260" i="5" l="1"/>
  <c r="AD260" i="5"/>
  <c r="C261" i="5" s="1"/>
  <c r="E261" i="5" s="1"/>
  <c r="I261" i="5" s="1"/>
  <c r="T260" i="2"/>
  <c r="B261" i="5" l="1"/>
  <c r="D261" i="5" s="1"/>
  <c r="H261" i="5" s="1"/>
  <c r="M261" i="5" s="1"/>
  <c r="AE260" i="5"/>
  <c r="AF260" i="5" s="1"/>
  <c r="K261" i="5"/>
  <c r="J261" i="5" l="1"/>
  <c r="L261" i="5"/>
  <c r="AG260" i="5"/>
  <c r="O261" i="5"/>
  <c r="Q261" i="5" s="1"/>
  <c r="N261" i="5" l="1"/>
  <c r="P261" i="5" s="1"/>
  <c r="S261" i="5"/>
  <c r="U261" i="5"/>
  <c r="M261" i="2" l="1"/>
  <c r="R261" i="5"/>
  <c r="T261" i="5"/>
  <c r="L261" i="2" l="1"/>
  <c r="N261" i="2" s="1"/>
  <c r="O261" i="2" s="1"/>
  <c r="V261" i="5"/>
  <c r="P261" i="2" l="1"/>
  <c r="Q261" i="2"/>
  <c r="AB261" i="5" s="1"/>
  <c r="Z261" i="5"/>
  <c r="AA261" i="5" l="1"/>
  <c r="R261" i="2"/>
  <c r="T261" i="2" s="1"/>
  <c r="U261" i="2"/>
  <c r="S261" i="2"/>
  <c r="AD261" i="5" l="1"/>
  <c r="C262" i="5" s="1"/>
  <c r="E262" i="5" s="1"/>
  <c r="I262" i="5" s="1"/>
  <c r="AC261" i="5"/>
  <c r="K262" i="5" l="1"/>
  <c r="B262" i="5"/>
  <c r="D262" i="5" s="1"/>
  <c r="H262" i="5" s="1"/>
  <c r="M262" i="5" s="1"/>
  <c r="AE261" i="5"/>
  <c r="AF261" i="5" s="1"/>
  <c r="O262" i="5" l="1"/>
  <c r="Q262" i="5" s="1"/>
  <c r="J262" i="5"/>
  <c r="L262" i="5"/>
  <c r="AG261" i="5"/>
  <c r="N262" i="5" l="1"/>
  <c r="P262" i="5" s="1"/>
  <c r="S262" i="5"/>
  <c r="U262" i="5"/>
  <c r="M262" i="2" l="1"/>
  <c r="R262" i="5"/>
  <c r="T262" i="5"/>
  <c r="L262" i="2" l="1"/>
  <c r="N262" i="2" s="1"/>
  <c r="O262" i="2" s="1"/>
  <c r="V262" i="5"/>
  <c r="P262" i="2" l="1"/>
  <c r="Q262" i="2"/>
  <c r="AB262" i="5" s="1"/>
  <c r="Z262" i="5"/>
  <c r="AA262" i="5" l="1"/>
  <c r="S262" i="2"/>
  <c r="R262" i="2"/>
  <c r="T262" i="2" s="1"/>
  <c r="U262" i="2"/>
  <c r="AD262" i="5" l="1"/>
  <c r="C263" i="5" s="1"/>
  <c r="E263" i="5" s="1"/>
  <c r="I263" i="5" s="1"/>
  <c r="AC262" i="5"/>
  <c r="K263" i="5" l="1"/>
  <c r="B263" i="5"/>
  <c r="D263" i="5" s="1"/>
  <c r="H263" i="5" s="1"/>
  <c r="M263" i="5" s="1"/>
  <c r="AE262" i="5"/>
  <c r="AF262" i="5" s="1"/>
  <c r="O263" i="5" l="1"/>
  <c r="Q263" i="5" s="1"/>
  <c r="S263" i="5" s="1"/>
  <c r="U263" i="5"/>
  <c r="J263" i="5"/>
  <c r="L263" i="5"/>
  <c r="AG262" i="5"/>
  <c r="M263" i="2" l="1"/>
  <c r="N263" i="5"/>
  <c r="P263" i="5" s="1"/>
  <c r="R263" i="5" l="1"/>
  <c r="T263" i="5"/>
  <c r="L263" i="2" l="1"/>
  <c r="N263" i="2" s="1"/>
  <c r="O263" i="2" s="1"/>
  <c r="V263" i="5"/>
  <c r="P263" i="2" l="1"/>
  <c r="Q263" i="2"/>
  <c r="AB263" i="5" s="1"/>
  <c r="Z263" i="5"/>
  <c r="AA263" i="5" l="1"/>
  <c r="R263" i="2"/>
  <c r="S263" i="2"/>
  <c r="U263" i="2"/>
  <c r="AD263" i="5" l="1"/>
  <c r="C264" i="5" s="1"/>
  <c r="E264" i="5" s="1"/>
  <c r="I264" i="5" s="1"/>
  <c r="AC263" i="5"/>
  <c r="T263" i="2"/>
  <c r="M264" i="5" l="1"/>
  <c r="K264" i="5"/>
  <c r="B264" i="5"/>
  <c r="D264" i="5" s="1"/>
  <c r="H264" i="5" s="1"/>
  <c r="AE263" i="5"/>
  <c r="AF263" i="5" s="1"/>
  <c r="O264" i="5" l="1"/>
  <c r="Q264" i="5" s="1"/>
  <c r="J264" i="5"/>
  <c r="L264" i="5"/>
  <c r="AG263" i="5"/>
  <c r="N264" i="5" l="1"/>
  <c r="P264" i="5" s="1"/>
  <c r="S264" i="5"/>
  <c r="U264" i="5"/>
  <c r="M264" i="2" l="1"/>
  <c r="R264" i="5"/>
  <c r="T264" i="5"/>
  <c r="L264" i="2" l="1"/>
  <c r="N264" i="2" s="1"/>
  <c r="O264" i="2" s="1"/>
  <c r="V264" i="5"/>
  <c r="P264" i="2" l="1"/>
  <c r="Q264" i="2"/>
  <c r="AB264" i="5" s="1"/>
  <c r="Z264" i="5"/>
  <c r="AA264" i="5" l="1"/>
  <c r="R264" i="2"/>
  <c r="S264" i="2"/>
  <c r="U264" i="2"/>
  <c r="AD264" i="5" l="1"/>
  <c r="C265" i="5" s="1"/>
  <c r="E265" i="5" s="1"/>
  <c r="I265" i="5" s="1"/>
  <c r="AC264" i="5"/>
  <c r="T264" i="2"/>
  <c r="K265" i="5" l="1"/>
  <c r="B265" i="5"/>
  <c r="D265" i="5" s="1"/>
  <c r="H265" i="5" s="1"/>
  <c r="M265" i="5" s="1"/>
  <c r="AE264" i="5"/>
  <c r="AF264" i="5" s="1"/>
  <c r="O265" i="5" l="1"/>
  <c r="Q265" i="5" s="1"/>
  <c r="J265" i="5"/>
  <c r="L265" i="5"/>
  <c r="AG264" i="5"/>
  <c r="N265" i="5" l="1"/>
  <c r="P265" i="5" s="1"/>
  <c r="S265" i="5"/>
  <c r="U265" i="5"/>
  <c r="M265" i="2" l="1"/>
  <c r="R265" i="5"/>
  <c r="T265" i="5"/>
  <c r="L265" i="2" l="1"/>
  <c r="N265" i="2" s="1"/>
  <c r="O265" i="2" s="1"/>
  <c r="V265" i="5"/>
  <c r="P265" i="2" l="1"/>
  <c r="Q265" i="2"/>
  <c r="AB265" i="5" s="1"/>
  <c r="R265" i="2"/>
  <c r="S265" i="2"/>
  <c r="Z265" i="5"/>
  <c r="T265" i="2" l="1"/>
  <c r="AA265" i="5"/>
  <c r="U265" i="2"/>
  <c r="AD265" i="5" l="1"/>
  <c r="C266" i="5" s="1"/>
  <c r="E266" i="5" s="1"/>
  <c r="I266" i="5" s="1"/>
  <c r="AC265" i="5"/>
  <c r="M266" i="5" l="1"/>
  <c r="K266" i="5"/>
  <c r="B266" i="5"/>
  <c r="D266" i="5" s="1"/>
  <c r="H266" i="5" s="1"/>
  <c r="AE265" i="5"/>
  <c r="AF265" i="5" s="1"/>
  <c r="O266" i="5" l="1"/>
  <c r="Q266" i="5" s="1"/>
  <c r="J266" i="5"/>
  <c r="L266" i="5"/>
  <c r="AG265" i="5"/>
  <c r="N266" i="5" l="1"/>
  <c r="P266" i="5" s="1"/>
  <c r="S266" i="5"/>
  <c r="U266" i="5"/>
  <c r="M266" i="2" l="1"/>
  <c r="R266" i="5"/>
  <c r="T266" i="5"/>
  <c r="L266" i="2" l="1"/>
  <c r="N266" i="2" s="1"/>
  <c r="O266" i="2" s="1"/>
  <c r="V266" i="5"/>
  <c r="P266" i="2" l="1"/>
  <c r="Q266" i="2"/>
  <c r="AB266" i="5" s="1"/>
  <c r="Z266" i="5"/>
  <c r="AA266" i="5" l="1"/>
  <c r="R266" i="2"/>
  <c r="S266" i="2"/>
  <c r="U266" i="2"/>
  <c r="AD266" i="5" l="1"/>
  <c r="C267" i="5" s="1"/>
  <c r="E267" i="5" s="1"/>
  <c r="I267" i="5" s="1"/>
  <c r="AC266" i="5"/>
  <c r="T266" i="2"/>
  <c r="M267" i="5" l="1"/>
  <c r="K267" i="5"/>
  <c r="B267" i="5"/>
  <c r="D267" i="5" s="1"/>
  <c r="H267" i="5" s="1"/>
  <c r="AE266" i="5"/>
  <c r="AF266" i="5" s="1"/>
  <c r="O267" i="5" l="1"/>
  <c r="Q267" i="5" s="1"/>
  <c r="J267" i="5"/>
  <c r="L267" i="5"/>
  <c r="AG266" i="5"/>
  <c r="N267" i="5" l="1"/>
  <c r="P267" i="5" s="1"/>
  <c r="S267" i="5"/>
  <c r="U267" i="5"/>
  <c r="M267" i="2" l="1"/>
  <c r="R267" i="5"/>
  <c r="T267" i="5"/>
  <c r="L267" i="2" l="1"/>
  <c r="N267" i="2" s="1"/>
  <c r="O267" i="2" s="1"/>
  <c r="V267" i="5"/>
  <c r="P267" i="2" l="1"/>
  <c r="AA267" i="5" s="1"/>
  <c r="Q267" i="2"/>
  <c r="AB267" i="5" s="1"/>
  <c r="R267" i="2"/>
  <c r="S267" i="2"/>
  <c r="U267" i="2"/>
  <c r="Z267" i="5"/>
  <c r="AC267" i="5" l="1"/>
  <c r="AD267" i="5"/>
  <c r="C268" i="5" s="1"/>
  <c r="E268" i="5" s="1"/>
  <c r="I268" i="5" s="1"/>
  <c r="T267" i="2"/>
  <c r="B268" i="5" l="1"/>
  <c r="D268" i="5" s="1"/>
  <c r="H268" i="5" s="1"/>
  <c r="M268" i="5" s="1"/>
  <c r="AE267" i="5"/>
  <c r="AF267" i="5" s="1"/>
  <c r="K268" i="5"/>
  <c r="J268" i="5" l="1"/>
  <c r="L268" i="5"/>
  <c r="AG267" i="5"/>
  <c r="O268" i="5"/>
  <c r="Q268" i="5" s="1"/>
  <c r="N268" i="5" l="1"/>
  <c r="P268" i="5" s="1"/>
  <c r="S268" i="5"/>
  <c r="U268" i="5"/>
  <c r="M268" i="2" l="1"/>
  <c r="R268" i="5"/>
  <c r="T268" i="5"/>
  <c r="L268" i="2" l="1"/>
  <c r="N268" i="2" s="1"/>
  <c r="O268" i="2" s="1"/>
  <c r="V268" i="5"/>
  <c r="P268" i="2" l="1"/>
  <c r="Q268" i="2"/>
  <c r="AB268" i="5" s="1"/>
  <c r="R268" i="2"/>
  <c r="S268" i="2"/>
  <c r="Z268" i="5"/>
  <c r="T268" i="2" l="1"/>
  <c r="AA268" i="5"/>
  <c r="U268" i="2"/>
  <c r="AD268" i="5" l="1"/>
  <c r="C269" i="5" s="1"/>
  <c r="E269" i="5" s="1"/>
  <c r="I269" i="5" s="1"/>
  <c r="AC268" i="5"/>
  <c r="K269" i="5" l="1"/>
  <c r="B269" i="5"/>
  <c r="D269" i="5" s="1"/>
  <c r="H269" i="5" s="1"/>
  <c r="M269" i="5" s="1"/>
  <c r="AE268" i="5"/>
  <c r="AF268" i="5" s="1"/>
  <c r="O269" i="5" l="1"/>
  <c r="Q269" i="5" s="1"/>
  <c r="J269" i="5"/>
  <c r="L269" i="5"/>
  <c r="AG268" i="5"/>
  <c r="N269" i="5" l="1"/>
  <c r="P269" i="5" s="1"/>
  <c r="S269" i="5"/>
  <c r="U269" i="5"/>
  <c r="M269" i="2" l="1"/>
  <c r="R269" i="5"/>
  <c r="T269" i="5"/>
  <c r="L269" i="2" l="1"/>
  <c r="N269" i="2" s="1"/>
  <c r="O269" i="2" s="1"/>
  <c r="V269" i="5"/>
  <c r="P269" i="2" l="1"/>
  <c r="Q269" i="2"/>
  <c r="AB269" i="5" s="1"/>
  <c r="R269" i="2"/>
  <c r="Z269" i="5"/>
  <c r="AA269" i="5" l="1"/>
  <c r="S269" i="2"/>
  <c r="T269" i="2" s="1"/>
  <c r="U269" i="2"/>
  <c r="AD269" i="5" l="1"/>
  <c r="C270" i="5" s="1"/>
  <c r="E270" i="5" s="1"/>
  <c r="I270" i="5" s="1"/>
  <c r="AC269" i="5"/>
  <c r="K270" i="5" l="1"/>
  <c r="B270" i="5"/>
  <c r="D270" i="5" s="1"/>
  <c r="H270" i="5" s="1"/>
  <c r="M270" i="5" s="1"/>
  <c r="AE269" i="5"/>
  <c r="AF269" i="5" s="1"/>
  <c r="O270" i="5" l="1"/>
  <c r="Q270" i="5" s="1"/>
  <c r="J270" i="5"/>
  <c r="L270" i="5"/>
  <c r="AG269" i="5"/>
  <c r="N270" i="5" l="1"/>
  <c r="P270" i="5" s="1"/>
  <c r="S270" i="5"/>
  <c r="U270" i="5"/>
  <c r="M270" i="2" l="1"/>
  <c r="R270" i="5"/>
  <c r="T270" i="5"/>
  <c r="L270" i="2" l="1"/>
  <c r="N270" i="2" s="1"/>
  <c r="O270" i="2" s="1"/>
  <c r="V270" i="5"/>
  <c r="P270" i="2" l="1"/>
  <c r="Q270" i="2"/>
  <c r="Z270" i="5"/>
  <c r="AA270" i="5" l="1"/>
  <c r="S270" i="2"/>
  <c r="U270" i="2"/>
  <c r="AB270" i="5"/>
  <c r="R270" i="2"/>
  <c r="T270" i="2" s="1"/>
  <c r="AD270" i="5" l="1"/>
  <c r="C271" i="5" s="1"/>
  <c r="E271" i="5" s="1"/>
  <c r="I271" i="5" s="1"/>
  <c r="AC270" i="5"/>
  <c r="K271" i="5" l="1"/>
  <c r="B271" i="5"/>
  <c r="D271" i="5" s="1"/>
  <c r="H271" i="5" s="1"/>
  <c r="M271" i="5" s="1"/>
  <c r="AE270" i="5"/>
  <c r="AF270" i="5" s="1"/>
  <c r="O271" i="5" l="1"/>
  <c r="Q271" i="5" s="1"/>
  <c r="J271" i="5"/>
  <c r="L271" i="5"/>
  <c r="AG270" i="5"/>
  <c r="N271" i="5" l="1"/>
  <c r="P271" i="5" s="1"/>
  <c r="S271" i="5"/>
  <c r="U271" i="5"/>
  <c r="M271" i="2" l="1"/>
  <c r="R271" i="5"/>
  <c r="T271" i="5"/>
  <c r="L271" i="2" l="1"/>
  <c r="N271" i="2" s="1"/>
  <c r="O271" i="2" s="1"/>
  <c r="V271" i="5"/>
  <c r="P271" i="2" l="1"/>
  <c r="Q271" i="2"/>
  <c r="AB271" i="5" s="1"/>
  <c r="Z271" i="5"/>
  <c r="AA271" i="5" l="1"/>
  <c r="R271" i="2"/>
  <c r="S271" i="2"/>
  <c r="U271" i="2"/>
  <c r="AD271" i="5" l="1"/>
  <c r="C272" i="5" s="1"/>
  <c r="E272" i="5" s="1"/>
  <c r="I272" i="5" s="1"/>
  <c r="AC271" i="5"/>
  <c r="T271" i="2"/>
  <c r="K272" i="5" l="1"/>
  <c r="B272" i="5"/>
  <c r="D272" i="5" s="1"/>
  <c r="H272" i="5" s="1"/>
  <c r="M272" i="5" s="1"/>
  <c r="AE271" i="5"/>
  <c r="AF271" i="5" s="1"/>
  <c r="O272" i="5" l="1"/>
  <c r="Q272" i="5" s="1"/>
  <c r="J272" i="5"/>
  <c r="L272" i="5"/>
  <c r="AG271" i="5"/>
  <c r="N272" i="5" l="1"/>
  <c r="P272" i="5" s="1"/>
  <c r="S272" i="5"/>
  <c r="U272" i="5"/>
  <c r="M272" i="2" l="1"/>
  <c r="R272" i="5"/>
  <c r="T272" i="5"/>
  <c r="L272" i="2" l="1"/>
  <c r="N272" i="2" s="1"/>
  <c r="O272" i="2" s="1"/>
  <c r="V272" i="5"/>
  <c r="P272" i="2" l="1"/>
  <c r="Q272" i="2"/>
  <c r="AB272" i="5" s="1"/>
  <c r="R272" i="2"/>
  <c r="Z272" i="5"/>
  <c r="AA272" i="5" l="1"/>
  <c r="S272" i="2"/>
  <c r="T272" i="2" s="1"/>
  <c r="U272" i="2"/>
  <c r="AD272" i="5" l="1"/>
  <c r="C273" i="5" s="1"/>
  <c r="E273" i="5" s="1"/>
  <c r="I273" i="5" s="1"/>
  <c r="AC272" i="5"/>
  <c r="K273" i="5" l="1"/>
  <c r="B273" i="5"/>
  <c r="D273" i="5" s="1"/>
  <c r="H273" i="5" s="1"/>
  <c r="M273" i="5" s="1"/>
  <c r="AE272" i="5"/>
  <c r="AF272" i="5" s="1"/>
  <c r="O273" i="5" l="1"/>
  <c r="Q273" i="5" s="1"/>
  <c r="J273" i="5"/>
  <c r="L273" i="5"/>
  <c r="AG272" i="5"/>
  <c r="N273" i="5" l="1"/>
  <c r="P273" i="5" s="1"/>
  <c r="S273" i="5"/>
  <c r="U273" i="5"/>
  <c r="M273" i="2" l="1"/>
  <c r="R273" i="5"/>
  <c r="T273" i="5"/>
  <c r="L273" i="2" l="1"/>
  <c r="N273" i="2" s="1"/>
  <c r="O273" i="2" s="1"/>
  <c r="V273" i="5"/>
  <c r="P273" i="2" l="1"/>
  <c r="Q273" i="2"/>
  <c r="AB273" i="5" s="1"/>
  <c r="Z273" i="5"/>
  <c r="AA273" i="5" l="1"/>
  <c r="R273" i="2"/>
  <c r="T273" i="2" s="1"/>
  <c r="S273" i="2"/>
  <c r="U273" i="2"/>
  <c r="AD273" i="5" l="1"/>
  <c r="C274" i="5" s="1"/>
  <c r="E274" i="5" s="1"/>
  <c r="I274" i="5" s="1"/>
  <c r="AC273" i="5"/>
  <c r="K274" i="5" l="1"/>
  <c r="B274" i="5"/>
  <c r="D274" i="5" s="1"/>
  <c r="H274" i="5" s="1"/>
  <c r="M274" i="5" s="1"/>
  <c r="AE273" i="5"/>
  <c r="AF273" i="5" s="1"/>
  <c r="O274" i="5" l="1"/>
  <c r="Q274" i="5" s="1"/>
  <c r="J274" i="5"/>
  <c r="L274" i="5"/>
  <c r="AG273" i="5"/>
  <c r="N274" i="5" l="1"/>
  <c r="P274" i="5" s="1"/>
  <c r="S274" i="5"/>
  <c r="U274" i="5"/>
  <c r="M274" i="2" l="1"/>
  <c r="R274" i="5"/>
  <c r="T274" i="5"/>
  <c r="L274" i="2" l="1"/>
  <c r="N274" i="2" s="1"/>
  <c r="O274" i="2" s="1"/>
  <c r="V274" i="5"/>
  <c r="P274" i="2" l="1"/>
  <c r="AA274" i="5" s="1"/>
  <c r="Q274" i="2"/>
  <c r="AB274" i="5" s="1"/>
  <c r="R274" i="2"/>
  <c r="S274" i="2"/>
  <c r="U274" i="2"/>
  <c r="Z274" i="5"/>
  <c r="AC274" i="5" l="1"/>
  <c r="AD274" i="5"/>
  <c r="C275" i="5" s="1"/>
  <c r="E275" i="5" s="1"/>
  <c r="I275" i="5" s="1"/>
  <c r="T274" i="2"/>
  <c r="B275" i="5" l="1"/>
  <c r="D275" i="5" s="1"/>
  <c r="H275" i="5" s="1"/>
  <c r="AE274" i="5"/>
  <c r="AF274" i="5" s="1"/>
  <c r="M275" i="5"/>
  <c r="K275" i="5"/>
  <c r="J275" i="5" l="1"/>
  <c r="L275" i="5"/>
  <c r="AG274" i="5"/>
  <c r="O275" i="5"/>
  <c r="Q275" i="5" s="1"/>
  <c r="N275" i="5" l="1"/>
  <c r="P275" i="5" s="1"/>
  <c r="S275" i="5"/>
  <c r="U275" i="5"/>
  <c r="M275" i="2" l="1"/>
  <c r="R275" i="5"/>
  <c r="T275" i="5"/>
  <c r="L275" i="2" l="1"/>
  <c r="N275" i="2" s="1"/>
  <c r="O275" i="2" s="1"/>
  <c r="V275" i="5"/>
  <c r="P275" i="2" l="1"/>
  <c r="Q275" i="2"/>
  <c r="AB275" i="5" s="1"/>
  <c r="R275" i="2"/>
  <c r="Z275" i="5"/>
  <c r="AA275" i="5" l="1"/>
  <c r="S275" i="2"/>
  <c r="T275" i="2" s="1"/>
  <c r="U275" i="2"/>
  <c r="AD275" i="5" l="1"/>
  <c r="C276" i="5" s="1"/>
  <c r="E276" i="5" s="1"/>
  <c r="I276" i="5" s="1"/>
  <c r="AC275" i="5"/>
  <c r="M276" i="5" l="1"/>
  <c r="K276" i="5"/>
  <c r="B276" i="5"/>
  <c r="D276" i="5" s="1"/>
  <c r="H276" i="5" s="1"/>
  <c r="AE275" i="5"/>
  <c r="AF275" i="5" s="1"/>
  <c r="O276" i="5" l="1"/>
  <c r="Q276" i="5" s="1"/>
  <c r="J276" i="5"/>
  <c r="L276" i="5"/>
  <c r="AG275" i="5"/>
  <c r="N276" i="5" l="1"/>
  <c r="P276" i="5" s="1"/>
  <c r="S276" i="5"/>
  <c r="U276" i="5"/>
  <c r="M276" i="2" l="1"/>
  <c r="R276" i="5"/>
  <c r="T276" i="5"/>
  <c r="L276" i="2" l="1"/>
  <c r="N276" i="2" s="1"/>
  <c r="O276" i="2" s="1"/>
  <c r="V276" i="5"/>
  <c r="P276" i="2" l="1"/>
  <c r="Q276" i="2"/>
  <c r="AB276" i="5" s="1"/>
  <c r="R276" i="2"/>
  <c r="Z276" i="5"/>
  <c r="AA276" i="5" l="1"/>
  <c r="S276" i="2"/>
  <c r="T276" i="2" s="1"/>
  <c r="U276" i="2"/>
  <c r="AD276" i="5" l="1"/>
  <c r="C277" i="5" s="1"/>
  <c r="E277" i="5" s="1"/>
  <c r="I277" i="5" s="1"/>
  <c r="AC276" i="5"/>
  <c r="K277" i="5" l="1"/>
  <c r="B277" i="5"/>
  <c r="D277" i="5" s="1"/>
  <c r="H277" i="5" s="1"/>
  <c r="M277" i="5" s="1"/>
  <c r="AE276" i="5"/>
  <c r="AF276" i="5" s="1"/>
  <c r="O277" i="5" l="1"/>
  <c r="Q277" i="5" s="1"/>
  <c r="J277" i="5"/>
  <c r="L277" i="5"/>
  <c r="AG276" i="5"/>
  <c r="N277" i="5" l="1"/>
  <c r="P277" i="5" s="1"/>
  <c r="S277" i="5"/>
  <c r="U277" i="5"/>
  <c r="M277" i="2" l="1"/>
  <c r="R277" i="5"/>
  <c r="T277" i="5"/>
  <c r="L277" i="2" l="1"/>
  <c r="N277" i="2" s="1"/>
  <c r="O277" i="2" s="1"/>
  <c r="V277" i="5"/>
  <c r="P277" i="2" l="1"/>
  <c r="AA277" i="5" s="1"/>
  <c r="Q277" i="2"/>
  <c r="AB277" i="5" s="1"/>
  <c r="R277" i="2"/>
  <c r="S277" i="2"/>
  <c r="U277" i="2"/>
  <c r="Z277" i="5"/>
  <c r="AC277" i="5" l="1"/>
  <c r="AD277" i="5"/>
  <c r="C278" i="5" s="1"/>
  <c r="E278" i="5" s="1"/>
  <c r="I278" i="5" s="1"/>
  <c r="T277" i="2"/>
  <c r="B278" i="5" l="1"/>
  <c r="D278" i="5" s="1"/>
  <c r="H278" i="5" s="1"/>
  <c r="AE277" i="5"/>
  <c r="AF277" i="5" s="1"/>
  <c r="M278" i="5"/>
  <c r="K278" i="5"/>
  <c r="J278" i="5" l="1"/>
  <c r="L278" i="5"/>
  <c r="AG277" i="5"/>
  <c r="O278" i="5"/>
  <c r="Q278" i="5" s="1"/>
  <c r="N278" i="5" l="1"/>
  <c r="P278" i="5" s="1"/>
  <c r="S278" i="5"/>
  <c r="U278" i="5"/>
  <c r="M278" i="2" l="1"/>
  <c r="R278" i="5"/>
  <c r="T278" i="5"/>
  <c r="L278" i="2" l="1"/>
  <c r="N278" i="2" s="1"/>
  <c r="O278" i="2" s="1"/>
  <c r="V278" i="5"/>
  <c r="P278" i="2" l="1"/>
  <c r="Q278" i="2"/>
  <c r="AB278" i="5" s="1"/>
  <c r="Z278" i="5"/>
  <c r="AA278" i="5" l="1"/>
  <c r="R278" i="2"/>
  <c r="S278" i="2"/>
  <c r="U278" i="2"/>
  <c r="AD278" i="5" l="1"/>
  <c r="C279" i="5" s="1"/>
  <c r="E279" i="5" s="1"/>
  <c r="I279" i="5" s="1"/>
  <c r="AC278" i="5"/>
  <c r="T278" i="2"/>
  <c r="K279" i="5" l="1"/>
  <c r="B279" i="5"/>
  <c r="D279" i="5" s="1"/>
  <c r="H279" i="5" s="1"/>
  <c r="M279" i="5" s="1"/>
  <c r="AE278" i="5"/>
  <c r="AF278" i="5" s="1"/>
  <c r="O279" i="5" l="1"/>
  <c r="Q279" i="5" s="1"/>
  <c r="J279" i="5"/>
  <c r="L279" i="5"/>
  <c r="AG278" i="5"/>
  <c r="N279" i="5" l="1"/>
  <c r="P279" i="5" s="1"/>
  <c r="S279" i="5"/>
  <c r="U279" i="5"/>
  <c r="M279" i="2" l="1"/>
  <c r="R279" i="5"/>
  <c r="T279" i="5"/>
  <c r="L279" i="2" l="1"/>
  <c r="N279" i="2" s="1"/>
  <c r="O279" i="2" s="1"/>
  <c r="V279" i="5"/>
  <c r="P279" i="2" l="1"/>
  <c r="AA279" i="5" s="1"/>
  <c r="Q279" i="2"/>
  <c r="AB279" i="5" s="1"/>
  <c r="R279" i="2"/>
  <c r="S279" i="2"/>
  <c r="U279" i="2"/>
  <c r="Z279" i="5"/>
  <c r="AC279" i="5" l="1"/>
  <c r="AD279" i="5"/>
  <c r="C280" i="5" s="1"/>
  <c r="E280" i="5" s="1"/>
  <c r="I280" i="5" s="1"/>
  <c r="T279" i="2"/>
  <c r="B280" i="5" l="1"/>
  <c r="D280" i="5" s="1"/>
  <c r="H280" i="5" s="1"/>
  <c r="M280" i="5" s="1"/>
  <c r="AE279" i="5"/>
  <c r="AF279" i="5" s="1"/>
  <c r="K280" i="5"/>
  <c r="J280" i="5" l="1"/>
  <c r="L280" i="5"/>
  <c r="AG279" i="5"/>
  <c r="O280" i="5"/>
  <c r="Q280" i="5" s="1"/>
  <c r="N280" i="5" l="1"/>
  <c r="P280" i="5" s="1"/>
  <c r="S280" i="5"/>
  <c r="U280" i="5"/>
  <c r="M280" i="2" l="1"/>
  <c r="R280" i="5"/>
  <c r="T280" i="5"/>
  <c r="L280" i="2" l="1"/>
  <c r="N280" i="2" s="1"/>
  <c r="O280" i="2" s="1"/>
  <c r="V280" i="5"/>
  <c r="P280" i="2" l="1"/>
  <c r="Q280" i="2"/>
  <c r="AB280" i="5" s="1"/>
  <c r="Z280" i="5"/>
  <c r="AA280" i="5" l="1"/>
  <c r="R280" i="2"/>
  <c r="T280" i="2" s="1"/>
  <c r="S280" i="2"/>
  <c r="U280" i="2"/>
  <c r="AD280" i="5" l="1"/>
  <c r="C281" i="5" s="1"/>
  <c r="E281" i="5" s="1"/>
  <c r="I281" i="5" s="1"/>
  <c r="AC280" i="5"/>
  <c r="K281" i="5" l="1"/>
  <c r="B281" i="5"/>
  <c r="D281" i="5" s="1"/>
  <c r="H281" i="5" s="1"/>
  <c r="M281" i="5" s="1"/>
  <c r="AE280" i="5"/>
  <c r="AF280" i="5" s="1"/>
  <c r="O281" i="5" l="1"/>
  <c r="Q281" i="5" s="1"/>
  <c r="J281" i="5"/>
  <c r="L281" i="5"/>
  <c r="AG280" i="5"/>
  <c r="N281" i="5" l="1"/>
  <c r="P281" i="5" s="1"/>
  <c r="S281" i="5"/>
  <c r="U281" i="5"/>
  <c r="M281" i="2" l="1"/>
  <c r="R281" i="5"/>
  <c r="T281" i="5"/>
  <c r="L281" i="2" l="1"/>
  <c r="N281" i="2" s="1"/>
  <c r="O281" i="2" s="1"/>
  <c r="V281" i="5"/>
  <c r="P281" i="2" l="1"/>
  <c r="Q281" i="2"/>
  <c r="AB281" i="5" s="1"/>
  <c r="Z281" i="5"/>
  <c r="AA281" i="5" l="1"/>
  <c r="R281" i="2"/>
  <c r="T281" i="2" s="1"/>
  <c r="S281" i="2"/>
  <c r="U281" i="2"/>
  <c r="AD281" i="5" l="1"/>
  <c r="C282" i="5" s="1"/>
  <c r="E282" i="5" s="1"/>
  <c r="I282" i="5" s="1"/>
  <c r="AC281" i="5"/>
  <c r="M282" i="5" l="1"/>
  <c r="K282" i="5"/>
  <c r="B282" i="5"/>
  <c r="D282" i="5" s="1"/>
  <c r="H282" i="5" s="1"/>
  <c r="AE281" i="5"/>
  <c r="AF281" i="5" s="1"/>
  <c r="O282" i="5" l="1"/>
  <c r="Q282" i="5" s="1"/>
  <c r="J282" i="5"/>
  <c r="L282" i="5"/>
  <c r="AG281" i="5"/>
  <c r="N282" i="5" l="1"/>
  <c r="P282" i="5" s="1"/>
  <c r="S282" i="5"/>
  <c r="U282" i="5"/>
  <c r="M282" i="2" l="1"/>
  <c r="R282" i="5"/>
  <c r="T282" i="5"/>
  <c r="L282" i="2" l="1"/>
  <c r="N282" i="2" s="1"/>
  <c r="O282" i="2" s="1"/>
  <c r="V282" i="5"/>
  <c r="P282" i="2" l="1"/>
  <c r="Q282" i="2"/>
  <c r="AB282" i="5" s="1"/>
  <c r="Z282" i="5"/>
  <c r="AA282" i="5" l="1"/>
  <c r="R282" i="2"/>
  <c r="S282" i="2"/>
  <c r="U282" i="2"/>
  <c r="AD282" i="5" l="1"/>
  <c r="C283" i="5" s="1"/>
  <c r="E283" i="5" s="1"/>
  <c r="I283" i="5" s="1"/>
  <c r="AC282" i="5"/>
  <c r="T282" i="2"/>
  <c r="M283" i="5" l="1"/>
  <c r="K283" i="5"/>
  <c r="B283" i="5"/>
  <c r="D283" i="5" s="1"/>
  <c r="H283" i="5" s="1"/>
  <c r="AE282" i="5"/>
  <c r="AF282" i="5" s="1"/>
  <c r="O283" i="5" l="1"/>
  <c r="Q283" i="5" s="1"/>
  <c r="J283" i="5"/>
  <c r="L283" i="5"/>
  <c r="AG282" i="5"/>
  <c r="N283" i="5" l="1"/>
  <c r="P283" i="5" s="1"/>
  <c r="S283" i="5"/>
  <c r="U283" i="5"/>
  <c r="M283" i="2" l="1"/>
  <c r="R283" i="5"/>
  <c r="T283" i="5"/>
  <c r="L283" i="2" l="1"/>
  <c r="N283" i="2" s="1"/>
  <c r="O283" i="2" s="1"/>
  <c r="V283" i="5"/>
  <c r="P283" i="2" l="1"/>
  <c r="Q283" i="2"/>
  <c r="AB283" i="5" s="1"/>
  <c r="Z283" i="5"/>
  <c r="AA283" i="5" l="1"/>
  <c r="R283" i="2"/>
  <c r="T283" i="2" s="1"/>
  <c r="S283" i="2"/>
  <c r="U283" i="2"/>
  <c r="AD283" i="5" l="1"/>
  <c r="C284" i="5" s="1"/>
  <c r="E284" i="5" s="1"/>
  <c r="I284" i="5" s="1"/>
  <c r="AC283" i="5"/>
  <c r="K284" i="5" l="1"/>
  <c r="B284" i="5"/>
  <c r="D284" i="5" s="1"/>
  <c r="H284" i="5" s="1"/>
  <c r="M284" i="5" s="1"/>
  <c r="AE283" i="5"/>
  <c r="AF283" i="5" s="1"/>
  <c r="O284" i="5" l="1"/>
  <c r="Q284" i="5" s="1"/>
  <c r="J284" i="5"/>
  <c r="L284" i="5"/>
  <c r="AG283" i="5"/>
  <c r="N284" i="5" l="1"/>
  <c r="P284" i="5" s="1"/>
  <c r="S284" i="5"/>
  <c r="U284" i="5"/>
  <c r="M284" i="2" l="1"/>
  <c r="R284" i="5"/>
  <c r="T284" i="5"/>
  <c r="V284" i="5" l="1"/>
  <c r="L284" i="2"/>
  <c r="N284" i="2" s="1"/>
  <c r="O284" i="2" s="1"/>
  <c r="P284" i="2" l="1"/>
  <c r="Q284" i="2"/>
  <c r="AB284" i="5" s="1"/>
  <c r="Z284" i="5"/>
  <c r="AA284" i="5" l="1"/>
  <c r="R284" i="2"/>
  <c r="S284" i="2"/>
  <c r="U284" i="2"/>
  <c r="AD284" i="5" l="1"/>
  <c r="C285" i="5" s="1"/>
  <c r="E285" i="5" s="1"/>
  <c r="I285" i="5" s="1"/>
  <c r="AC284" i="5"/>
  <c r="T284" i="2"/>
  <c r="M285" i="5" l="1"/>
  <c r="K285" i="5"/>
  <c r="AE284" i="5"/>
  <c r="AF284" i="5" s="1"/>
  <c r="B285" i="5"/>
  <c r="D285" i="5" s="1"/>
  <c r="H285" i="5" s="1"/>
  <c r="O285" i="5" l="1"/>
  <c r="Q285" i="5" s="1"/>
  <c r="AG284" i="5"/>
  <c r="J285" i="5"/>
  <c r="L285" i="5"/>
  <c r="N285" i="5" l="1"/>
  <c r="P285" i="5" s="1"/>
  <c r="S285" i="5"/>
  <c r="U285" i="5"/>
  <c r="M285" i="2" l="1"/>
  <c r="R285" i="5"/>
  <c r="T285" i="5"/>
  <c r="L285" i="2" l="1"/>
  <c r="N285" i="2" s="1"/>
  <c r="O285" i="2" s="1"/>
  <c r="V285" i="5"/>
  <c r="P285" i="2" l="1"/>
  <c r="Q285" i="2"/>
  <c r="Z285" i="5"/>
  <c r="AA285" i="5" l="1"/>
  <c r="S285" i="2"/>
  <c r="U285" i="2"/>
  <c r="AB285" i="5"/>
  <c r="R285" i="2"/>
  <c r="T285" i="2" s="1"/>
  <c r="AD285" i="5" l="1"/>
  <c r="C286" i="5" s="1"/>
  <c r="E286" i="5" s="1"/>
  <c r="I286" i="5" s="1"/>
  <c r="AC285" i="5"/>
  <c r="K286" i="5" l="1"/>
  <c r="B286" i="5"/>
  <c r="D286" i="5" s="1"/>
  <c r="H286" i="5" s="1"/>
  <c r="M286" i="5" s="1"/>
  <c r="AE285" i="5"/>
  <c r="AF285" i="5" s="1"/>
  <c r="O286" i="5" l="1"/>
  <c r="Q286" i="5" s="1"/>
  <c r="J286" i="5"/>
  <c r="L286" i="5"/>
  <c r="AG285" i="5"/>
  <c r="N286" i="5" l="1"/>
  <c r="P286" i="5" s="1"/>
  <c r="S286" i="5"/>
  <c r="U286" i="5"/>
  <c r="M286" i="2" l="1"/>
  <c r="R286" i="5"/>
  <c r="T286" i="5"/>
  <c r="L286" i="2" l="1"/>
  <c r="N286" i="2" s="1"/>
  <c r="O286" i="2" s="1"/>
  <c r="V286" i="5"/>
  <c r="P286" i="2" l="1"/>
  <c r="Q286" i="2"/>
  <c r="AB286" i="5" s="1"/>
  <c r="R286" i="2"/>
  <c r="Z286" i="5"/>
  <c r="AA286" i="5" l="1"/>
  <c r="S286" i="2"/>
  <c r="T286" i="2" s="1"/>
  <c r="U286" i="2"/>
  <c r="AD286" i="5" l="1"/>
  <c r="C287" i="5" s="1"/>
  <c r="E287" i="5" s="1"/>
  <c r="I287" i="5" s="1"/>
  <c r="AC286" i="5"/>
  <c r="K287" i="5" l="1"/>
  <c r="B287" i="5"/>
  <c r="D287" i="5" s="1"/>
  <c r="H287" i="5" s="1"/>
  <c r="M287" i="5" s="1"/>
  <c r="AE286" i="5"/>
  <c r="AF286" i="5" s="1"/>
  <c r="O287" i="5" l="1"/>
  <c r="Q287" i="5" s="1"/>
  <c r="J287" i="5"/>
  <c r="L287" i="5"/>
  <c r="AG286" i="5"/>
  <c r="N287" i="5" l="1"/>
  <c r="P287" i="5" s="1"/>
  <c r="S287" i="5"/>
  <c r="U287" i="5"/>
  <c r="M287" i="2" l="1"/>
  <c r="R287" i="5"/>
  <c r="T287" i="5"/>
  <c r="L287" i="2" l="1"/>
  <c r="N287" i="2" s="1"/>
  <c r="O287" i="2" s="1"/>
  <c r="V287" i="5"/>
  <c r="P287" i="2" l="1"/>
  <c r="Q287" i="2"/>
  <c r="AB287" i="5" s="1"/>
  <c r="Z287" i="5"/>
  <c r="AA287" i="5" l="1"/>
  <c r="R287" i="2"/>
  <c r="T287" i="2" s="1"/>
  <c r="S287" i="2"/>
  <c r="U287" i="2"/>
  <c r="AD287" i="5" l="1"/>
  <c r="C288" i="5" s="1"/>
  <c r="E288" i="5" s="1"/>
  <c r="I288" i="5" s="1"/>
  <c r="AC287" i="5"/>
  <c r="K288" i="5" l="1"/>
  <c r="B288" i="5"/>
  <c r="D288" i="5" s="1"/>
  <c r="H288" i="5" s="1"/>
  <c r="M288" i="5" s="1"/>
  <c r="AE287" i="5"/>
  <c r="AF287" i="5" s="1"/>
  <c r="O288" i="5" l="1"/>
  <c r="Q288" i="5" s="1"/>
  <c r="L288" i="5"/>
  <c r="J288" i="5"/>
  <c r="AG287" i="5"/>
  <c r="N288" i="5" l="1"/>
  <c r="P288" i="5" s="1"/>
  <c r="S288" i="5"/>
  <c r="U288" i="5"/>
  <c r="M288" i="2" l="1"/>
  <c r="R288" i="5"/>
  <c r="T288" i="5"/>
  <c r="L288" i="2" l="1"/>
  <c r="N288" i="2" s="1"/>
  <c r="O288" i="2" s="1"/>
  <c r="V288" i="5"/>
  <c r="P288" i="2" l="1"/>
  <c r="Q288" i="2"/>
  <c r="AB288" i="5" s="1"/>
  <c r="Z288" i="5"/>
  <c r="AA288" i="5" l="1"/>
  <c r="R288" i="2"/>
  <c r="S288" i="2"/>
  <c r="U288" i="2"/>
  <c r="AD288" i="5" l="1"/>
  <c r="C289" i="5" s="1"/>
  <c r="E289" i="5" s="1"/>
  <c r="I289" i="5" s="1"/>
  <c r="AC288" i="5"/>
  <c r="T288" i="2"/>
  <c r="K289" i="5" l="1"/>
  <c r="AE288" i="5"/>
  <c r="AF288" i="5" s="1"/>
  <c r="B289" i="5"/>
  <c r="D289" i="5" s="1"/>
  <c r="H289" i="5" s="1"/>
  <c r="M289" i="5" s="1"/>
  <c r="O289" i="5" l="1"/>
  <c r="Q289" i="5" s="1"/>
  <c r="AG288" i="5"/>
  <c r="J289" i="5"/>
  <c r="L289" i="5"/>
  <c r="N289" i="5" l="1"/>
  <c r="P289" i="5" s="1"/>
  <c r="S289" i="5"/>
  <c r="U289" i="5"/>
  <c r="M289" i="2" l="1"/>
  <c r="R289" i="5"/>
  <c r="T289" i="5"/>
  <c r="L289" i="2" l="1"/>
  <c r="N289" i="2" s="1"/>
  <c r="O289" i="2" s="1"/>
  <c r="V289" i="5"/>
  <c r="P289" i="2" l="1"/>
  <c r="Q289" i="2"/>
  <c r="AB289" i="5" s="1"/>
  <c r="Z289" i="5"/>
  <c r="AA289" i="5" l="1"/>
  <c r="U289" i="2"/>
  <c r="R289" i="2"/>
  <c r="S289" i="2"/>
  <c r="AD289" i="5" l="1"/>
  <c r="C290" i="5" s="1"/>
  <c r="E290" i="5" s="1"/>
  <c r="I290" i="5" s="1"/>
  <c r="AC289" i="5"/>
  <c r="T289" i="2"/>
  <c r="K290" i="5" l="1"/>
  <c r="AE289" i="5"/>
  <c r="AF289" i="5" s="1"/>
  <c r="B290" i="5"/>
  <c r="D290" i="5" s="1"/>
  <c r="H290" i="5" s="1"/>
  <c r="M290" i="5" s="1"/>
  <c r="O290" i="5" l="1"/>
  <c r="Q290" i="5" s="1"/>
  <c r="AG289" i="5"/>
  <c r="L290" i="5"/>
  <c r="J290" i="5"/>
  <c r="N290" i="5" l="1"/>
  <c r="P290" i="5" s="1"/>
  <c r="S290" i="5"/>
  <c r="U290" i="5"/>
  <c r="M290" i="2" l="1"/>
  <c r="R290" i="5"/>
  <c r="T290" i="5"/>
  <c r="L290" i="2" l="1"/>
  <c r="N290" i="2" s="1"/>
  <c r="O290" i="2" s="1"/>
  <c r="V290" i="5"/>
  <c r="P290" i="2" l="1"/>
  <c r="Q290" i="2"/>
  <c r="AB290" i="5" s="1"/>
  <c r="Z290" i="5"/>
  <c r="AA290" i="5" l="1"/>
  <c r="R290" i="2"/>
  <c r="S290" i="2"/>
  <c r="U290" i="2"/>
  <c r="AD290" i="5" l="1"/>
  <c r="C291" i="5" s="1"/>
  <c r="E291" i="5" s="1"/>
  <c r="I291" i="5" s="1"/>
  <c r="AC290" i="5"/>
  <c r="T290" i="2"/>
  <c r="K291" i="5" l="1"/>
  <c r="AE290" i="5"/>
  <c r="AF290" i="5" s="1"/>
  <c r="B291" i="5"/>
  <c r="D291" i="5" s="1"/>
  <c r="H291" i="5" s="1"/>
  <c r="M291" i="5" s="1"/>
  <c r="O291" i="5" l="1"/>
  <c r="Q291" i="5" s="1"/>
  <c r="AG290" i="5"/>
  <c r="J291" i="5"/>
  <c r="L291" i="5"/>
  <c r="N291" i="5" l="1"/>
  <c r="P291" i="5" s="1"/>
  <c r="S291" i="5"/>
  <c r="U291" i="5"/>
  <c r="M291" i="2" l="1"/>
  <c r="R291" i="5"/>
  <c r="T291" i="5"/>
  <c r="L291" i="2" l="1"/>
  <c r="N291" i="2" s="1"/>
  <c r="O291" i="2" s="1"/>
  <c r="V291" i="5"/>
  <c r="P291" i="2" l="1"/>
  <c r="Q291" i="2"/>
  <c r="AB291" i="5" s="1"/>
  <c r="Z291" i="5"/>
  <c r="AA291" i="5" l="1"/>
  <c r="R291" i="2"/>
  <c r="S291" i="2"/>
  <c r="U291" i="2"/>
  <c r="AD291" i="5" l="1"/>
  <c r="C292" i="5" s="1"/>
  <c r="E292" i="5" s="1"/>
  <c r="I292" i="5" s="1"/>
  <c r="AC291" i="5"/>
  <c r="T291" i="2"/>
  <c r="M292" i="5" l="1"/>
  <c r="K292" i="5"/>
  <c r="B292" i="5"/>
  <c r="D292" i="5" s="1"/>
  <c r="H292" i="5" s="1"/>
  <c r="AE291" i="5"/>
  <c r="AF291" i="5" s="1"/>
  <c r="O292" i="5" l="1"/>
  <c r="Q292" i="5" s="1"/>
  <c r="L292" i="5"/>
  <c r="J292" i="5"/>
  <c r="AG291" i="5"/>
  <c r="N292" i="5" l="1"/>
  <c r="P292" i="5" s="1"/>
  <c r="S292" i="5"/>
  <c r="U292" i="5"/>
  <c r="M292" i="2" l="1"/>
  <c r="R292" i="5"/>
  <c r="T292" i="5"/>
  <c r="L292" i="2" l="1"/>
  <c r="N292" i="2" s="1"/>
  <c r="O292" i="2" s="1"/>
  <c r="V292" i="5"/>
  <c r="P292" i="2" l="1"/>
  <c r="Q292" i="2"/>
  <c r="AB292" i="5" s="1"/>
  <c r="Z292" i="5"/>
  <c r="AA292" i="5" l="1"/>
  <c r="R292" i="2"/>
  <c r="S292" i="2"/>
  <c r="U292" i="2"/>
  <c r="AD292" i="5" l="1"/>
  <c r="C293" i="5" s="1"/>
  <c r="E293" i="5" s="1"/>
  <c r="I293" i="5" s="1"/>
  <c r="AC292" i="5"/>
  <c r="T292" i="2"/>
  <c r="K293" i="5" l="1"/>
  <c r="AE292" i="5"/>
  <c r="AF292" i="5" s="1"/>
  <c r="B293" i="5"/>
  <c r="D293" i="5" s="1"/>
  <c r="H293" i="5" s="1"/>
  <c r="M293" i="5" s="1"/>
  <c r="O293" i="5" l="1"/>
  <c r="Q293" i="5" s="1"/>
  <c r="AG292" i="5"/>
  <c r="J293" i="5"/>
  <c r="L293" i="5"/>
  <c r="N293" i="5" l="1"/>
  <c r="P293" i="5" s="1"/>
  <c r="S293" i="5"/>
  <c r="U293" i="5"/>
  <c r="M293" i="2" l="1"/>
  <c r="R293" i="5"/>
  <c r="T293" i="5"/>
  <c r="V293" i="5" l="1"/>
  <c r="L293" i="2"/>
  <c r="N293" i="2" s="1"/>
  <c r="O293" i="2" s="1"/>
  <c r="P293" i="2" l="1"/>
  <c r="Q293" i="2"/>
  <c r="AB293" i="5" s="1"/>
  <c r="Z293" i="5"/>
  <c r="AA293" i="5" l="1"/>
  <c r="S293" i="2"/>
  <c r="U293" i="2"/>
  <c r="R293" i="2"/>
  <c r="T293" i="2" s="1"/>
  <c r="AD293" i="5" l="1"/>
  <c r="C294" i="5" s="1"/>
  <c r="E294" i="5" s="1"/>
  <c r="I294" i="5" s="1"/>
  <c r="AC293" i="5"/>
  <c r="K294" i="5" l="1"/>
  <c r="AE293" i="5"/>
  <c r="AF293" i="5" s="1"/>
  <c r="B294" i="5"/>
  <c r="D294" i="5" s="1"/>
  <c r="H294" i="5" s="1"/>
  <c r="M294" i="5" s="1"/>
  <c r="O294" i="5" l="1"/>
  <c r="Q294" i="5" s="1"/>
  <c r="AG293" i="5"/>
  <c r="J294" i="5"/>
  <c r="L294" i="5"/>
  <c r="N294" i="5" l="1"/>
  <c r="P294" i="5" s="1"/>
  <c r="S294" i="5"/>
  <c r="U294" i="5"/>
  <c r="M294" i="2" l="1"/>
  <c r="R294" i="5"/>
  <c r="T294" i="5"/>
  <c r="V294" i="5" l="1"/>
  <c r="L294" i="2"/>
  <c r="N294" i="2" s="1"/>
  <c r="O294" i="2" s="1"/>
  <c r="P294" i="2" l="1"/>
  <c r="Q294" i="2"/>
  <c r="AB294" i="5" s="1"/>
  <c r="R294" i="2"/>
  <c r="Z294" i="5"/>
  <c r="AA294" i="5" l="1"/>
  <c r="S294" i="2"/>
  <c r="T294" i="2" s="1"/>
  <c r="U294" i="2"/>
  <c r="AD294" i="5" l="1"/>
  <c r="C295" i="5" s="1"/>
  <c r="E295" i="5" s="1"/>
  <c r="I295" i="5" s="1"/>
  <c r="AC294" i="5"/>
  <c r="M295" i="5" l="1"/>
  <c r="K295" i="5"/>
  <c r="AE294" i="5"/>
  <c r="AF294" i="5" s="1"/>
  <c r="B295" i="5"/>
  <c r="D295" i="5" s="1"/>
  <c r="H295" i="5" s="1"/>
  <c r="O295" i="5" l="1"/>
  <c r="Q295" i="5" s="1"/>
  <c r="AG294" i="5"/>
  <c r="J295" i="5"/>
  <c r="L295" i="5"/>
  <c r="N295" i="5" l="1"/>
  <c r="P295" i="5" s="1"/>
  <c r="S295" i="5"/>
  <c r="U295" i="5"/>
  <c r="M295" i="2" l="1"/>
  <c r="R295" i="5"/>
  <c r="T295" i="5"/>
  <c r="V295" i="5" l="1"/>
  <c r="L295" i="2"/>
  <c r="N295" i="2" s="1"/>
  <c r="O295" i="2" s="1"/>
  <c r="P295" i="2" l="1"/>
  <c r="Q295" i="2"/>
  <c r="Z295" i="5"/>
  <c r="AA295" i="5" l="1"/>
  <c r="S295" i="2"/>
  <c r="U295" i="2"/>
  <c r="AB295" i="5"/>
  <c r="R295" i="2"/>
  <c r="AD295" i="5" l="1"/>
  <c r="C296" i="5" s="1"/>
  <c r="E296" i="5" s="1"/>
  <c r="I296" i="5" s="1"/>
  <c r="AC295" i="5"/>
  <c r="T295" i="2"/>
  <c r="M296" i="5" l="1"/>
  <c r="K296" i="5"/>
  <c r="B296" i="5"/>
  <c r="D296" i="5" s="1"/>
  <c r="H296" i="5" s="1"/>
  <c r="AE295" i="5"/>
  <c r="AF295" i="5" s="1"/>
  <c r="O296" i="5" l="1"/>
  <c r="Q296" i="5" s="1"/>
  <c r="L296" i="5"/>
  <c r="J296" i="5"/>
  <c r="AG295" i="5"/>
  <c r="N296" i="5" l="1"/>
  <c r="P296" i="5" s="1"/>
  <c r="S296" i="5"/>
  <c r="U296" i="5"/>
  <c r="M296" i="2" l="1"/>
  <c r="R296" i="5"/>
  <c r="T296" i="5"/>
  <c r="L296" i="2" l="1"/>
  <c r="N296" i="2" s="1"/>
  <c r="O296" i="2" s="1"/>
  <c r="V296" i="5"/>
  <c r="P296" i="2" l="1"/>
  <c r="Q296" i="2"/>
  <c r="AB296" i="5" s="1"/>
  <c r="Z296" i="5"/>
  <c r="AA296" i="5" l="1"/>
  <c r="R296" i="2"/>
  <c r="S296" i="2"/>
  <c r="U296" i="2"/>
  <c r="AD296" i="5" l="1"/>
  <c r="C297" i="5" s="1"/>
  <c r="E297" i="5" s="1"/>
  <c r="I297" i="5" s="1"/>
  <c r="AC296" i="5"/>
  <c r="T296" i="2"/>
  <c r="K297" i="5" l="1"/>
  <c r="B297" i="5"/>
  <c r="D297" i="5" s="1"/>
  <c r="H297" i="5" s="1"/>
  <c r="M297" i="5" s="1"/>
  <c r="AE296" i="5"/>
  <c r="AF296" i="5" s="1"/>
  <c r="O297" i="5" l="1"/>
  <c r="Q297" i="5" s="1"/>
  <c r="J297" i="5"/>
  <c r="L297" i="5"/>
  <c r="AG296" i="5"/>
  <c r="N297" i="5" l="1"/>
  <c r="P297" i="5" s="1"/>
  <c r="R297" i="5" s="1"/>
  <c r="T297" i="5"/>
  <c r="S297" i="5"/>
  <c r="U297" i="5"/>
  <c r="V297" i="5" l="1"/>
  <c r="L297" i="2"/>
  <c r="N297" i="2" s="1"/>
  <c r="O297" i="2" s="1"/>
  <c r="M297" i="2"/>
  <c r="P297" i="2" l="1"/>
  <c r="Q297" i="2"/>
  <c r="AB297" i="5" s="1"/>
  <c r="Z297" i="5"/>
  <c r="AA297" i="5" l="1"/>
  <c r="R297" i="2"/>
  <c r="U297" i="2"/>
  <c r="S297" i="2"/>
  <c r="AC297" i="5" l="1"/>
  <c r="AD297" i="5"/>
  <c r="C298" i="5" s="1"/>
  <c r="E298" i="5" s="1"/>
  <c r="I298" i="5" s="1"/>
  <c r="T297" i="2"/>
  <c r="B298" i="5" l="1"/>
  <c r="D298" i="5" s="1"/>
  <c r="H298" i="5" s="1"/>
  <c r="M298" i="5" s="1"/>
  <c r="AE297" i="5"/>
  <c r="AF297" i="5" s="1"/>
  <c r="K298" i="5"/>
  <c r="J298" i="5" l="1"/>
  <c r="L298" i="5"/>
  <c r="AG297" i="5"/>
  <c r="O298" i="5"/>
  <c r="Q298" i="5" s="1"/>
  <c r="N298" i="5" l="1"/>
  <c r="P298" i="5" s="1"/>
  <c r="R298" i="5" s="1"/>
  <c r="T298" i="5"/>
  <c r="S298" i="5"/>
  <c r="U298" i="5"/>
  <c r="V298" i="5" l="1"/>
  <c r="L298" i="2"/>
  <c r="N298" i="2" s="1"/>
  <c r="O298" i="2" s="1"/>
  <c r="M298" i="2"/>
  <c r="P298" i="2" l="1"/>
  <c r="Q298" i="2"/>
  <c r="AB298" i="5" s="1"/>
  <c r="Z298" i="5"/>
  <c r="AA298" i="5" l="1"/>
  <c r="R298" i="2"/>
  <c r="T298" i="2" s="1"/>
  <c r="U298" i="2"/>
  <c r="S298" i="2"/>
  <c r="AD298" i="5" l="1"/>
  <c r="C299" i="5" s="1"/>
  <c r="E299" i="5" s="1"/>
  <c r="I299" i="5" s="1"/>
  <c r="AC298" i="5"/>
  <c r="K299" i="5" l="1"/>
  <c r="B299" i="5"/>
  <c r="D299" i="5" s="1"/>
  <c r="H299" i="5" s="1"/>
  <c r="M299" i="5" s="1"/>
  <c r="AE298" i="5"/>
  <c r="AF298" i="5" s="1"/>
  <c r="O299" i="5" l="1"/>
  <c r="Q299" i="5" s="1"/>
  <c r="J299" i="5"/>
  <c r="L299" i="5"/>
  <c r="AG298" i="5"/>
  <c r="N299" i="5" l="1"/>
  <c r="P299" i="5" s="1"/>
  <c r="S299" i="5"/>
  <c r="U299" i="5"/>
  <c r="M299" i="2" l="1"/>
  <c r="R299" i="5"/>
  <c r="T299" i="5"/>
  <c r="L299" i="2" l="1"/>
  <c r="N299" i="2" s="1"/>
  <c r="O299" i="2" s="1"/>
  <c r="V299" i="5"/>
  <c r="P299" i="2" l="1"/>
  <c r="Q299" i="2"/>
  <c r="AB299" i="5" s="1"/>
  <c r="Z299" i="5"/>
  <c r="AA299" i="5" l="1"/>
  <c r="R299" i="2"/>
  <c r="S299" i="2"/>
  <c r="U299" i="2"/>
  <c r="AD299" i="5" l="1"/>
  <c r="C300" i="5" s="1"/>
  <c r="E300" i="5" s="1"/>
  <c r="I300" i="5" s="1"/>
  <c r="AC299" i="5"/>
  <c r="T299" i="2"/>
  <c r="K300" i="5" l="1"/>
  <c r="B300" i="5"/>
  <c r="D300" i="5" s="1"/>
  <c r="H300" i="5" s="1"/>
  <c r="M300" i="5" s="1"/>
  <c r="AE299" i="5"/>
  <c r="AF299" i="5" s="1"/>
  <c r="O300" i="5" l="1"/>
  <c r="Q300" i="5" s="1"/>
  <c r="J300" i="5"/>
  <c r="L300" i="5"/>
  <c r="AG299" i="5"/>
  <c r="N300" i="5" l="1"/>
  <c r="P300" i="5" s="1"/>
  <c r="S300" i="5"/>
  <c r="U300" i="5"/>
  <c r="M300" i="2" l="1"/>
  <c r="R300" i="5"/>
  <c r="T300" i="5"/>
  <c r="L300" i="2" l="1"/>
  <c r="N300" i="2" s="1"/>
  <c r="O300" i="2" s="1"/>
  <c r="V300" i="5"/>
  <c r="P300" i="2" l="1"/>
  <c r="AA300" i="5" s="1"/>
  <c r="Q300" i="2"/>
  <c r="AB300" i="5" s="1"/>
  <c r="R300" i="2"/>
  <c r="S300" i="2"/>
  <c r="U300" i="2"/>
  <c r="Z300" i="5"/>
  <c r="AC300" i="5" l="1"/>
  <c r="AD300" i="5"/>
  <c r="C301" i="5" s="1"/>
  <c r="E301" i="5" s="1"/>
  <c r="I301" i="5" s="1"/>
  <c r="T300" i="2"/>
  <c r="B301" i="5" l="1"/>
  <c r="D301" i="5" s="1"/>
  <c r="H301" i="5" s="1"/>
  <c r="AE300" i="5"/>
  <c r="AF300" i="5" s="1"/>
  <c r="M301" i="5"/>
  <c r="K301" i="5"/>
  <c r="J301" i="5" l="1"/>
  <c r="L301" i="5"/>
  <c r="AG300" i="5"/>
  <c r="O301" i="5"/>
  <c r="Q301" i="5" s="1"/>
  <c r="N301" i="5" l="1"/>
  <c r="P301" i="5" s="1"/>
  <c r="R301" i="5" s="1"/>
  <c r="F302" i="5" s="1"/>
  <c r="T301" i="5"/>
  <c r="S301" i="5"/>
  <c r="G302" i="5" s="1"/>
  <c r="U301" i="5"/>
  <c r="V301" i="5" l="1"/>
  <c r="L301" i="2"/>
  <c r="M301" i="2"/>
  <c r="N301" i="2" l="1"/>
  <c r="O301" i="2" s="1"/>
  <c r="Z301" i="5" l="1"/>
  <c r="U301" i="2"/>
  <c r="S301" i="2"/>
  <c r="R301" i="2"/>
  <c r="T301" i="2" s="1"/>
  <c r="Q301" i="2"/>
  <c r="AB301" i="5" s="1"/>
  <c r="P301" i="2"/>
  <c r="AA301" i="5" s="1"/>
  <c r="AC301" i="5" l="1"/>
  <c r="AD301" i="5"/>
  <c r="C302" i="5" s="1"/>
  <c r="E302" i="5" s="1"/>
  <c r="I302" i="5" s="1"/>
  <c r="B302" i="5" l="1"/>
  <c r="D302" i="5" s="1"/>
  <c r="H302" i="5" s="1"/>
  <c r="M302" i="5" s="1"/>
  <c r="AE301" i="5"/>
  <c r="AF301" i="5" s="1"/>
  <c r="K302" i="5"/>
  <c r="J302" i="5" l="1"/>
  <c r="L302" i="5"/>
  <c r="AG301" i="5"/>
  <c r="O302" i="5"/>
  <c r="Q302" i="5" s="1"/>
  <c r="N302" i="5" l="1"/>
  <c r="P302" i="5" s="1"/>
  <c r="S302" i="5"/>
  <c r="U302" i="5"/>
  <c r="M302" i="2" l="1"/>
  <c r="R302" i="5"/>
  <c r="T302" i="5"/>
  <c r="L302" i="2" l="1"/>
  <c r="N302" i="2" s="1"/>
  <c r="O302" i="2" s="1"/>
  <c r="V302" i="5"/>
  <c r="P302" i="2" l="1"/>
  <c r="Q302" i="2"/>
  <c r="AB302" i="5" s="1"/>
  <c r="R302" i="2"/>
  <c r="Z302" i="5"/>
  <c r="AA302" i="5" l="1"/>
  <c r="S302" i="2"/>
  <c r="T302" i="2" s="1"/>
  <c r="U302" i="2"/>
  <c r="AD302" i="5" l="1"/>
  <c r="C303" i="5" s="1"/>
  <c r="E303" i="5" s="1"/>
  <c r="I303" i="5" s="1"/>
  <c r="AC302" i="5"/>
  <c r="K303" i="5" l="1"/>
  <c r="B303" i="5"/>
  <c r="D303" i="5" s="1"/>
  <c r="H303" i="5" s="1"/>
  <c r="M303" i="5" s="1"/>
  <c r="AE302" i="5"/>
  <c r="AF302" i="5" s="1"/>
  <c r="O303" i="5" l="1"/>
  <c r="Q303" i="5" s="1"/>
  <c r="J303" i="5"/>
  <c r="L303" i="5"/>
  <c r="AG302" i="5"/>
  <c r="N303" i="5" l="1"/>
  <c r="P303" i="5" s="1"/>
  <c r="S303" i="5"/>
  <c r="U303" i="5"/>
  <c r="M303" i="2" l="1"/>
  <c r="R303" i="5"/>
  <c r="T303" i="5"/>
  <c r="L303" i="2" l="1"/>
  <c r="N303" i="2" s="1"/>
  <c r="O303" i="2" s="1"/>
  <c r="V303" i="5"/>
  <c r="P303" i="2" l="1"/>
  <c r="Q303" i="2"/>
  <c r="AB303" i="5" s="1"/>
  <c r="R303" i="2"/>
  <c r="Z303" i="5"/>
  <c r="AA303" i="5" l="1"/>
  <c r="S303" i="2"/>
  <c r="T303" i="2" s="1"/>
  <c r="U303" i="2"/>
  <c r="AD303" i="5" l="1"/>
  <c r="C304" i="5" s="1"/>
  <c r="E304" i="5" s="1"/>
  <c r="I304" i="5" s="1"/>
  <c r="AC303" i="5"/>
  <c r="K304" i="5" l="1"/>
  <c r="B304" i="5"/>
  <c r="D304" i="5" s="1"/>
  <c r="H304" i="5" s="1"/>
  <c r="M304" i="5" s="1"/>
  <c r="AE303" i="5"/>
  <c r="AF303" i="5" s="1"/>
  <c r="O304" i="5" l="1"/>
  <c r="Q304" i="5" s="1"/>
  <c r="J304" i="5"/>
  <c r="L304" i="5"/>
  <c r="AG303" i="5"/>
  <c r="N304" i="5" l="1"/>
  <c r="P304" i="5" s="1"/>
  <c r="S304" i="5"/>
  <c r="U304" i="5"/>
  <c r="M304" i="2" l="1"/>
  <c r="R304" i="5"/>
  <c r="T304" i="5"/>
  <c r="L304" i="2" l="1"/>
  <c r="N304" i="2" s="1"/>
  <c r="O304" i="2" s="1"/>
  <c r="V304" i="5"/>
  <c r="P304" i="2" l="1"/>
  <c r="Q304" i="2"/>
  <c r="AB304" i="5" s="1"/>
  <c r="Z304" i="5"/>
  <c r="AA304" i="5" l="1"/>
  <c r="R304" i="2"/>
  <c r="S304" i="2"/>
  <c r="U304" i="2"/>
  <c r="AD304" i="5" l="1"/>
  <c r="C305" i="5" s="1"/>
  <c r="E305" i="5" s="1"/>
  <c r="I305" i="5" s="1"/>
  <c r="AC304" i="5"/>
  <c r="T304" i="2"/>
  <c r="K305" i="5" l="1"/>
  <c r="B305" i="5"/>
  <c r="D305" i="5" s="1"/>
  <c r="H305" i="5" s="1"/>
  <c r="M305" i="5" s="1"/>
  <c r="AE304" i="5"/>
  <c r="AF304" i="5" s="1"/>
  <c r="O305" i="5" l="1"/>
  <c r="Q305" i="5" s="1"/>
  <c r="J305" i="5"/>
  <c r="L305" i="5"/>
  <c r="AG304" i="5"/>
  <c r="N305" i="5" l="1"/>
  <c r="P305" i="5" s="1"/>
  <c r="S305" i="5"/>
  <c r="U305" i="5"/>
  <c r="M305" i="2" l="1"/>
  <c r="R305" i="5"/>
  <c r="T305" i="5"/>
  <c r="L305" i="2" l="1"/>
  <c r="N305" i="2" s="1"/>
  <c r="O305" i="2" s="1"/>
  <c r="V305" i="5"/>
  <c r="P305" i="2" l="1"/>
  <c r="Q305" i="2"/>
  <c r="AB305" i="5" s="1"/>
  <c r="Z305" i="5"/>
  <c r="AA305" i="5" l="1"/>
  <c r="R305" i="2"/>
  <c r="T305" i="2" s="1"/>
  <c r="S305" i="2"/>
  <c r="U305" i="2"/>
  <c r="AD305" i="5" l="1"/>
  <c r="C306" i="5" s="1"/>
  <c r="E306" i="5" s="1"/>
  <c r="I306" i="5" s="1"/>
  <c r="AC305" i="5"/>
  <c r="M306" i="5" l="1"/>
  <c r="K306" i="5"/>
  <c r="B306" i="5"/>
  <c r="D306" i="5" s="1"/>
  <c r="H306" i="5" s="1"/>
  <c r="AE305" i="5"/>
  <c r="AF305" i="5" s="1"/>
  <c r="O306" i="5" l="1"/>
  <c r="Q306" i="5" s="1"/>
  <c r="J306" i="5"/>
  <c r="L306" i="5"/>
  <c r="AG305" i="5"/>
  <c r="N306" i="5" l="1"/>
  <c r="P306" i="5" s="1"/>
  <c r="S306" i="5"/>
  <c r="U306" i="5"/>
  <c r="M306" i="2" l="1"/>
  <c r="R306" i="5"/>
  <c r="T306" i="5"/>
  <c r="L306" i="2" l="1"/>
  <c r="N306" i="2" s="1"/>
  <c r="O306" i="2" s="1"/>
  <c r="V306" i="5"/>
  <c r="P306" i="2" l="1"/>
  <c r="Q306" i="2"/>
  <c r="AB306" i="5" s="1"/>
  <c r="S306" i="2"/>
  <c r="Z306" i="5"/>
  <c r="AA306" i="5" l="1"/>
  <c r="R306" i="2"/>
  <c r="T306" i="2" s="1"/>
  <c r="U306" i="2"/>
  <c r="AD306" i="5" l="1"/>
  <c r="C307" i="5" s="1"/>
  <c r="E307" i="5" s="1"/>
  <c r="I307" i="5" s="1"/>
  <c r="AC306" i="5"/>
  <c r="K307" i="5" l="1"/>
  <c r="B307" i="5"/>
  <c r="D307" i="5" s="1"/>
  <c r="H307" i="5" s="1"/>
  <c r="M307" i="5" s="1"/>
  <c r="AE306" i="5"/>
  <c r="AF306" i="5" s="1"/>
  <c r="O307" i="5" l="1"/>
  <c r="Q307" i="5" s="1"/>
  <c r="J307" i="5"/>
  <c r="L307" i="5"/>
  <c r="AG306" i="5"/>
  <c r="N307" i="5" l="1"/>
  <c r="P307" i="5" s="1"/>
  <c r="S307" i="5"/>
  <c r="U307" i="5"/>
  <c r="M307" i="2" l="1"/>
  <c r="R307" i="5"/>
  <c r="T307" i="5"/>
  <c r="L307" i="2" l="1"/>
  <c r="N307" i="2" s="1"/>
  <c r="O307" i="2" s="1"/>
  <c r="V307" i="5"/>
  <c r="P307" i="2" l="1"/>
  <c r="Q307" i="2"/>
  <c r="Z307" i="5"/>
  <c r="AA307" i="5" l="1"/>
  <c r="U307" i="2"/>
  <c r="AB307" i="5"/>
  <c r="R307" i="2"/>
  <c r="S307" i="2"/>
  <c r="AD307" i="5" l="1"/>
  <c r="C308" i="5" s="1"/>
  <c r="E308" i="5" s="1"/>
  <c r="I308" i="5" s="1"/>
  <c r="AC307" i="5"/>
  <c r="T307" i="2"/>
  <c r="K308" i="5" l="1"/>
  <c r="B308" i="5"/>
  <c r="D308" i="5" s="1"/>
  <c r="H308" i="5" s="1"/>
  <c r="M308" i="5" s="1"/>
  <c r="AE307" i="5"/>
  <c r="AF307" i="5" s="1"/>
  <c r="O308" i="5" l="1"/>
  <c r="Q308" i="5" s="1"/>
  <c r="J308" i="5"/>
  <c r="L308" i="5"/>
  <c r="AG307" i="5"/>
  <c r="N308" i="5" l="1"/>
  <c r="P308" i="5" s="1"/>
  <c r="S308" i="5"/>
  <c r="U308" i="5"/>
  <c r="M308" i="2" l="1"/>
  <c r="R308" i="5"/>
  <c r="T308" i="5"/>
  <c r="L308" i="2" l="1"/>
  <c r="N308" i="2" s="1"/>
  <c r="O308" i="2" s="1"/>
  <c r="V308" i="5"/>
  <c r="P308" i="2" l="1"/>
  <c r="AA308" i="5" s="1"/>
  <c r="Q308" i="2"/>
  <c r="AB308" i="5" s="1"/>
  <c r="R308" i="2"/>
  <c r="S308" i="2"/>
  <c r="U308" i="2"/>
  <c r="Z308" i="5"/>
  <c r="AC308" i="5" l="1"/>
  <c r="AD308" i="5"/>
  <c r="C309" i="5" s="1"/>
  <c r="E309" i="5" s="1"/>
  <c r="I309" i="5" s="1"/>
  <c r="T308" i="2"/>
  <c r="B309" i="5" l="1"/>
  <c r="D309" i="5" s="1"/>
  <c r="H309" i="5" s="1"/>
  <c r="AE308" i="5"/>
  <c r="AF308" i="5" s="1"/>
  <c r="M309" i="5"/>
  <c r="K309" i="5"/>
  <c r="J309" i="5" l="1"/>
  <c r="L309" i="5"/>
  <c r="AG308" i="5"/>
  <c r="O309" i="5"/>
  <c r="Q309" i="5" s="1"/>
  <c r="N309" i="5" l="1"/>
  <c r="P309" i="5" s="1"/>
  <c r="S309" i="5"/>
  <c r="U309" i="5"/>
  <c r="M309" i="2" l="1"/>
  <c r="R309" i="5"/>
  <c r="T309" i="5"/>
  <c r="L309" i="2" l="1"/>
  <c r="N309" i="2" s="1"/>
  <c r="O309" i="2" s="1"/>
  <c r="V309" i="5"/>
  <c r="P309" i="2" l="1"/>
  <c r="Q309" i="2"/>
  <c r="AB309" i="5" s="1"/>
  <c r="R309" i="2"/>
  <c r="Z309" i="5"/>
  <c r="AA309" i="5" l="1"/>
  <c r="S309" i="2"/>
  <c r="T309" i="2" s="1"/>
  <c r="U309" i="2"/>
  <c r="AD309" i="5" l="1"/>
  <c r="C310" i="5" s="1"/>
  <c r="E310" i="5" s="1"/>
  <c r="I310" i="5" s="1"/>
  <c r="AC309" i="5"/>
  <c r="M310" i="5" l="1"/>
  <c r="K310" i="5"/>
  <c r="B310" i="5"/>
  <c r="D310" i="5" s="1"/>
  <c r="H310" i="5" s="1"/>
  <c r="AE309" i="5"/>
  <c r="AF309" i="5" s="1"/>
  <c r="O310" i="5" l="1"/>
  <c r="Q310" i="5" s="1"/>
  <c r="J310" i="5"/>
  <c r="L310" i="5"/>
  <c r="AG309" i="5"/>
  <c r="N310" i="5" l="1"/>
  <c r="P310" i="5" s="1"/>
  <c r="S310" i="5"/>
  <c r="U310" i="5"/>
  <c r="M310" i="2" l="1"/>
  <c r="R310" i="5"/>
  <c r="T310" i="5"/>
  <c r="L310" i="2" l="1"/>
  <c r="N310" i="2" s="1"/>
  <c r="O310" i="2" s="1"/>
  <c r="V310" i="5"/>
  <c r="P310" i="2" l="1"/>
  <c r="Q310" i="2"/>
  <c r="AB310" i="5" s="1"/>
  <c r="Z310" i="5"/>
  <c r="AA310" i="5" l="1"/>
  <c r="R310" i="2"/>
  <c r="T310" i="2" s="1"/>
  <c r="S310" i="2"/>
  <c r="U310" i="2"/>
  <c r="AD310" i="5" l="1"/>
  <c r="C311" i="5" s="1"/>
  <c r="E311" i="5" s="1"/>
  <c r="I311" i="5" s="1"/>
  <c r="AC310" i="5"/>
  <c r="M311" i="5" l="1"/>
  <c r="K311" i="5"/>
  <c r="B311" i="5"/>
  <c r="D311" i="5" s="1"/>
  <c r="H311" i="5" s="1"/>
  <c r="AE310" i="5"/>
  <c r="AF310" i="5" s="1"/>
  <c r="O311" i="5" l="1"/>
  <c r="Q311" i="5" s="1"/>
  <c r="S311" i="5" s="1"/>
  <c r="U311" i="5"/>
  <c r="J311" i="5"/>
  <c r="L311" i="5"/>
  <c r="AG310" i="5"/>
  <c r="M311" i="2" l="1"/>
  <c r="N311" i="5"/>
  <c r="P311" i="5" s="1"/>
  <c r="R311" i="5" l="1"/>
  <c r="T311" i="5"/>
  <c r="L311" i="2" l="1"/>
  <c r="N311" i="2" s="1"/>
  <c r="O311" i="2" s="1"/>
  <c r="V311" i="5"/>
  <c r="P311" i="2" l="1"/>
  <c r="Q311" i="2"/>
  <c r="AB311" i="5" s="1"/>
  <c r="R311" i="2"/>
  <c r="Z311" i="5"/>
  <c r="AA311" i="5" l="1"/>
  <c r="S311" i="2"/>
  <c r="T311" i="2" s="1"/>
  <c r="U311" i="2"/>
  <c r="AD311" i="5" l="1"/>
  <c r="C312" i="5" s="1"/>
  <c r="E312" i="5" s="1"/>
  <c r="I312" i="5" s="1"/>
  <c r="AC311" i="5"/>
  <c r="M312" i="5" l="1"/>
  <c r="K312" i="5"/>
  <c r="B312" i="5"/>
  <c r="D312" i="5" s="1"/>
  <c r="H312" i="5" s="1"/>
  <c r="AE311" i="5"/>
  <c r="AF311" i="5" s="1"/>
  <c r="O312" i="5" l="1"/>
  <c r="Q312" i="5" s="1"/>
  <c r="J312" i="5"/>
  <c r="L312" i="5"/>
  <c r="AG311" i="5"/>
  <c r="N312" i="5" l="1"/>
  <c r="P312" i="5" s="1"/>
  <c r="S312" i="5"/>
  <c r="U312" i="5"/>
  <c r="M312" i="2" l="1"/>
  <c r="R312" i="5"/>
  <c r="T312" i="5"/>
  <c r="L312" i="2" l="1"/>
  <c r="N312" i="2" s="1"/>
  <c r="O312" i="2" s="1"/>
  <c r="V312" i="5"/>
  <c r="P312" i="2" l="1"/>
  <c r="Q312" i="2"/>
  <c r="AB312" i="5" s="1"/>
  <c r="S312" i="2"/>
  <c r="Z312" i="5"/>
  <c r="AA312" i="5" l="1"/>
  <c r="R312" i="2"/>
  <c r="T312" i="2" s="1"/>
  <c r="U312" i="2"/>
  <c r="AD312" i="5" l="1"/>
  <c r="C313" i="5" s="1"/>
  <c r="E313" i="5" s="1"/>
  <c r="I313" i="5" s="1"/>
  <c r="AC312" i="5"/>
  <c r="M313" i="5" l="1"/>
  <c r="K313" i="5"/>
  <c r="B313" i="5"/>
  <c r="D313" i="5" s="1"/>
  <c r="H313" i="5" s="1"/>
  <c r="AE312" i="5"/>
  <c r="AF312" i="5" s="1"/>
  <c r="O313" i="5" l="1"/>
  <c r="Q313" i="5" s="1"/>
  <c r="J313" i="5"/>
  <c r="L313" i="5"/>
  <c r="AG312" i="5"/>
  <c r="N313" i="5" l="1"/>
  <c r="P313" i="5" s="1"/>
  <c r="S313" i="5"/>
  <c r="U313" i="5"/>
  <c r="M313" i="2" l="1"/>
  <c r="R313" i="5"/>
  <c r="T313" i="5"/>
  <c r="L313" i="2" l="1"/>
  <c r="N313" i="2" s="1"/>
  <c r="O313" i="2" s="1"/>
  <c r="V313" i="5"/>
  <c r="P313" i="2" l="1"/>
  <c r="Q313" i="2"/>
  <c r="AB313" i="5" s="1"/>
  <c r="Z313" i="5"/>
  <c r="AA313" i="5" l="1"/>
  <c r="R313" i="2"/>
  <c r="S313" i="2"/>
  <c r="U313" i="2"/>
  <c r="AD313" i="5" l="1"/>
  <c r="C314" i="5" s="1"/>
  <c r="E314" i="5" s="1"/>
  <c r="I314" i="5" s="1"/>
  <c r="AC313" i="5"/>
  <c r="T313" i="2"/>
  <c r="K314" i="5" l="1"/>
  <c r="B314" i="5"/>
  <c r="D314" i="5" s="1"/>
  <c r="H314" i="5" s="1"/>
  <c r="M314" i="5" s="1"/>
  <c r="AE313" i="5"/>
  <c r="AF313" i="5" s="1"/>
  <c r="O314" i="5" l="1"/>
  <c r="Q314" i="5" s="1"/>
  <c r="J314" i="5"/>
  <c r="L314" i="5"/>
  <c r="AG313" i="5"/>
  <c r="N314" i="5" l="1"/>
  <c r="P314" i="5" s="1"/>
  <c r="S314" i="5"/>
  <c r="U314" i="5"/>
  <c r="M314" i="2" l="1"/>
  <c r="R314" i="5"/>
  <c r="T314" i="5"/>
  <c r="L314" i="2" l="1"/>
  <c r="N314" i="2" s="1"/>
  <c r="O314" i="2" s="1"/>
  <c r="V314" i="5"/>
  <c r="P314" i="2" l="1"/>
  <c r="AA314" i="5" s="1"/>
  <c r="Q314" i="2"/>
  <c r="AB314" i="5" s="1"/>
  <c r="R314" i="2"/>
  <c r="S314" i="2"/>
  <c r="U314" i="2"/>
  <c r="Z314" i="5"/>
  <c r="AC314" i="5" l="1"/>
  <c r="AD314" i="5"/>
  <c r="C315" i="5" s="1"/>
  <c r="E315" i="5" s="1"/>
  <c r="I315" i="5" s="1"/>
  <c r="T314" i="2"/>
  <c r="B315" i="5" l="1"/>
  <c r="D315" i="5" s="1"/>
  <c r="H315" i="5" s="1"/>
  <c r="M315" i="5" s="1"/>
  <c r="AE314" i="5"/>
  <c r="AF314" i="5" s="1"/>
  <c r="K315" i="5"/>
  <c r="J315" i="5" l="1"/>
  <c r="L315" i="5"/>
  <c r="AG314" i="5"/>
  <c r="O315" i="5"/>
  <c r="Q315" i="5" s="1"/>
  <c r="N315" i="5" l="1"/>
  <c r="P315" i="5" s="1"/>
  <c r="S315" i="5"/>
  <c r="U315" i="5"/>
  <c r="M315" i="2" l="1"/>
  <c r="R315" i="5"/>
  <c r="T315" i="5"/>
  <c r="L315" i="2" l="1"/>
  <c r="N315" i="2" s="1"/>
  <c r="O315" i="2" s="1"/>
  <c r="V315" i="5"/>
  <c r="P315" i="2" l="1"/>
  <c r="Q315" i="2"/>
  <c r="AB315" i="5" s="1"/>
  <c r="R315" i="2"/>
  <c r="Z315" i="5"/>
  <c r="AA315" i="5" l="1"/>
  <c r="S315" i="2"/>
  <c r="T315" i="2" s="1"/>
  <c r="U315" i="2"/>
  <c r="AD315" i="5" l="1"/>
  <c r="C316" i="5" s="1"/>
  <c r="E316" i="5" s="1"/>
  <c r="I316" i="5" s="1"/>
  <c r="AC315" i="5"/>
  <c r="K316" i="5" l="1"/>
  <c r="B316" i="5"/>
  <c r="D316" i="5" s="1"/>
  <c r="H316" i="5" s="1"/>
  <c r="M316" i="5" s="1"/>
  <c r="AE315" i="5"/>
  <c r="AF315" i="5" s="1"/>
  <c r="O316" i="5" l="1"/>
  <c r="Q316" i="5" s="1"/>
  <c r="J316" i="5"/>
  <c r="L316" i="5"/>
  <c r="AG315" i="5"/>
  <c r="N316" i="5" l="1"/>
  <c r="P316" i="5" s="1"/>
  <c r="S316" i="5"/>
  <c r="U316" i="5"/>
  <c r="M316" i="2" l="1"/>
  <c r="R316" i="5"/>
  <c r="T316" i="5"/>
  <c r="L316" i="2" l="1"/>
  <c r="N316" i="2" s="1"/>
  <c r="O316" i="2" s="1"/>
  <c r="V316" i="5"/>
  <c r="P316" i="2" l="1"/>
  <c r="AA316" i="5" s="1"/>
  <c r="Q316" i="2"/>
  <c r="Z316" i="5"/>
  <c r="AC316" i="5" l="1"/>
  <c r="AD316" i="5"/>
  <c r="C317" i="5" s="1"/>
  <c r="E317" i="5" s="1"/>
  <c r="I317" i="5" s="1"/>
  <c r="AB316" i="5"/>
  <c r="R316" i="2"/>
  <c r="T316" i="2" s="1"/>
  <c r="S316" i="2"/>
  <c r="U316" i="2"/>
  <c r="B317" i="5" l="1"/>
  <c r="D317" i="5" s="1"/>
  <c r="H317" i="5" s="1"/>
  <c r="AE316" i="5"/>
  <c r="AF316" i="5" s="1"/>
  <c r="M317" i="5"/>
  <c r="K317" i="5"/>
  <c r="J317" i="5" l="1"/>
  <c r="L317" i="5"/>
  <c r="AG316" i="5"/>
  <c r="O317" i="5"/>
  <c r="Q317" i="5" s="1"/>
  <c r="N317" i="5" l="1"/>
  <c r="P317" i="5" s="1"/>
  <c r="S317" i="5"/>
  <c r="U317" i="5"/>
  <c r="M317" i="2" l="1"/>
  <c r="R317" i="5"/>
  <c r="T317" i="5"/>
  <c r="L317" i="2" l="1"/>
  <c r="N317" i="2" s="1"/>
  <c r="O317" i="2" s="1"/>
  <c r="V317" i="5"/>
  <c r="P317" i="2" l="1"/>
  <c r="Q317" i="2"/>
  <c r="AB317" i="5" s="1"/>
  <c r="Z317" i="5"/>
  <c r="AA317" i="5" l="1"/>
  <c r="R317" i="2"/>
  <c r="S317" i="2"/>
  <c r="U317" i="2"/>
  <c r="AD317" i="5" l="1"/>
  <c r="C318" i="5" s="1"/>
  <c r="E318" i="5" s="1"/>
  <c r="I318" i="5" s="1"/>
  <c r="AC317" i="5"/>
  <c r="T317" i="2"/>
  <c r="M318" i="5" l="1"/>
  <c r="K318" i="5"/>
  <c r="B318" i="5"/>
  <c r="D318" i="5" s="1"/>
  <c r="H318" i="5" s="1"/>
  <c r="AE317" i="5"/>
  <c r="AF317" i="5" s="1"/>
  <c r="O318" i="5" l="1"/>
  <c r="Q318" i="5" s="1"/>
  <c r="J318" i="5"/>
  <c r="L318" i="5"/>
  <c r="AG317" i="5"/>
  <c r="N318" i="5" l="1"/>
  <c r="P318" i="5" s="1"/>
  <c r="S318" i="5"/>
  <c r="U318" i="5"/>
  <c r="M318" i="2" l="1"/>
  <c r="R318" i="5"/>
  <c r="T318" i="5"/>
  <c r="L318" i="2" l="1"/>
  <c r="N318" i="2" s="1"/>
  <c r="O318" i="2" s="1"/>
  <c r="V318" i="5"/>
  <c r="P318" i="2" l="1"/>
  <c r="AA318" i="5" s="1"/>
  <c r="Q318" i="2"/>
  <c r="Z318" i="5"/>
  <c r="AC318" i="5" l="1"/>
  <c r="AD318" i="5"/>
  <c r="C319" i="5" s="1"/>
  <c r="E319" i="5" s="1"/>
  <c r="I319" i="5" s="1"/>
  <c r="AB318" i="5"/>
  <c r="R318" i="2"/>
  <c r="S318" i="2"/>
  <c r="U318" i="2"/>
  <c r="B319" i="5" l="1"/>
  <c r="D319" i="5" s="1"/>
  <c r="H319" i="5" s="1"/>
  <c r="M319" i="5" s="1"/>
  <c r="AE318" i="5"/>
  <c r="AF318" i="5" s="1"/>
  <c r="K319" i="5"/>
  <c r="T318" i="2"/>
  <c r="J319" i="5" l="1"/>
  <c r="L319" i="5"/>
  <c r="AG318" i="5"/>
  <c r="O319" i="5"/>
  <c r="Q319" i="5" s="1"/>
  <c r="N319" i="5" l="1"/>
  <c r="P319" i="5" s="1"/>
  <c r="S319" i="5"/>
  <c r="U319" i="5"/>
  <c r="M319" i="2" l="1"/>
  <c r="R319" i="5"/>
  <c r="T319" i="5"/>
  <c r="L319" i="2" l="1"/>
  <c r="N319" i="2" s="1"/>
  <c r="O319" i="2" s="1"/>
  <c r="V319" i="5"/>
  <c r="P319" i="2" l="1"/>
  <c r="Q319" i="2"/>
  <c r="AB319" i="5" s="1"/>
  <c r="Z319" i="5"/>
  <c r="AA319" i="5" l="1"/>
  <c r="R319" i="2"/>
  <c r="T319" i="2" s="1"/>
  <c r="S319" i="2"/>
  <c r="U319" i="2"/>
  <c r="AD319" i="5" l="1"/>
  <c r="C320" i="5" s="1"/>
  <c r="E320" i="5" s="1"/>
  <c r="I320" i="5" s="1"/>
  <c r="AC319" i="5"/>
  <c r="K320" i="5" l="1"/>
  <c r="B320" i="5"/>
  <c r="D320" i="5" s="1"/>
  <c r="H320" i="5" s="1"/>
  <c r="M320" i="5" s="1"/>
  <c r="AE319" i="5"/>
  <c r="AF319" i="5" s="1"/>
  <c r="O320" i="5" l="1"/>
  <c r="Q320" i="5" s="1"/>
  <c r="J320" i="5"/>
  <c r="L320" i="5"/>
  <c r="AG319" i="5"/>
  <c r="N320" i="5" l="1"/>
  <c r="P320" i="5" s="1"/>
  <c r="R320" i="5" s="1"/>
  <c r="T320" i="5"/>
  <c r="S320" i="5"/>
  <c r="U320" i="5"/>
  <c r="V320" i="5" l="1"/>
  <c r="L320" i="2"/>
  <c r="N320" i="2" s="1"/>
  <c r="O320" i="2" s="1"/>
  <c r="M320" i="2"/>
  <c r="P320" i="2" l="1"/>
  <c r="AA320" i="5" s="1"/>
  <c r="Q320" i="2"/>
  <c r="AB320" i="5" s="1"/>
  <c r="R320" i="2"/>
  <c r="S320" i="2"/>
  <c r="U320" i="2"/>
  <c r="Z320" i="5"/>
  <c r="AC320" i="5" l="1"/>
  <c r="AD320" i="5"/>
  <c r="C321" i="5" s="1"/>
  <c r="E321" i="5" s="1"/>
  <c r="I321" i="5" s="1"/>
  <c r="T320" i="2"/>
  <c r="B321" i="5" l="1"/>
  <c r="D321" i="5" s="1"/>
  <c r="H321" i="5" s="1"/>
  <c r="M321" i="5" s="1"/>
  <c r="AE320" i="5"/>
  <c r="AF320" i="5" s="1"/>
  <c r="K321" i="5"/>
  <c r="J321" i="5" l="1"/>
  <c r="L321" i="5"/>
  <c r="AG320" i="5"/>
  <c r="O321" i="5"/>
  <c r="Q321" i="5" s="1"/>
  <c r="N321" i="5" l="1"/>
  <c r="P321" i="5" s="1"/>
  <c r="S321" i="5"/>
  <c r="U321" i="5"/>
  <c r="M321" i="2" l="1"/>
  <c r="R321" i="5"/>
  <c r="T321" i="5"/>
  <c r="L321" i="2" l="1"/>
  <c r="N321" i="2" s="1"/>
  <c r="O321" i="2" s="1"/>
  <c r="V321" i="5"/>
  <c r="P321" i="2" l="1"/>
  <c r="AA321" i="5" s="1"/>
  <c r="Q321" i="2"/>
  <c r="AB321" i="5" s="1"/>
  <c r="R321" i="2"/>
  <c r="T321" i="2" s="1"/>
  <c r="S321" i="2"/>
  <c r="U321" i="2"/>
  <c r="Z321" i="5"/>
  <c r="AC321" i="5" l="1"/>
  <c r="AD321" i="5"/>
  <c r="C322" i="5" s="1"/>
  <c r="E322" i="5" s="1"/>
  <c r="I322" i="5" s="1"/>
  <c r="B322" i="5" l="1"/>
  <c r="D322" i="5" s="1"/>
  <c r="H322" i="5" s="1"/>
  <c r="AE321" i="5"/>
  <c r="AF321" i="5" s="1"/>
  <c r="M322" i="5"/>
  <c r="K322" i="5"/>
  <c r="J322" i="5" l="1"/>
  <c r="L322" i="5"/>
  <c r="AG321" i="5"/>
  <c r="O322" i="5"/>
  <c r="Q322" i="5" s="1"/>
  <c r="N322" i="5" l="1"/>
  <c r="P322" i="5" s="1"/>
  <c r="R322" i="5" s="1"/>
  <c r="T322" i="5"/>
  <c r="S322" i="5"/>
  <c r="U322" i="5"/>
  <c r="V322" i="5" l="1"/>
  <c r="L322" i="2"/>
  <c r="M322" i="2"/>
  <c r="N322" i="2" l="1"/>
  <c r="O322" i="2" s="1"/>
  <c r="Z322" i="5" l="1"/>
  <c r="R322" i="2"/>
  <c r="Q322" i="2"/>
  <c r="AB322" i="5" s="1"/>
  <c r="P322" i="2"/>
  <c r="AA322" i="5" l="1"/>
  <c r="U322" i="2"/>
  <c r="S322" i="2"/>
  <c r="T322" i="2" s="1"/>
  <c r="AC322" i="5" l="1"/>
  <c r="AD322" i="5"/>
  <c r="C323" i="5" s="1"/>
  <c r="E323" i="5" s="1"/>
  <c r="I323" i="5" s="1"/>
  <c r="B323" i="5" l="1"/>
  <c r="D323" i="5" s="1"/>
  <c r="H323" i="5" s="1"/>
  <c r="M323" i="5" s="1"/>
  <c r="AE322" i="5"/>
  <c r="AF322" i="5" s="1"/>
  <c r="K323" i="5"/>
  <c r="J323" i="5" l="1"/>
  <c r="L323" i="5"/>
  <c r="AG322" i="5"/>
  <c r="O323" i="5"/>
  <c r="Q323" i="5" s="1"/>
  <c r="N323" i="5" l="1"/>
  <c r="P323" i="5" s="1"/>
  <c r="S323" i="5"/>
  <c r="U323" i="5"/>
  <c r="M323" i="2" l="1"/>
  <c r="R323" i="5"/>
  <c r="T323" i="5"/>
  <c r="L323" i="2" l="1"/>
  <c r="N323" i="2" s="1"/>
  <c r="O323" i="2" s="1"/>
  <c r="V323" i="5"/>
  <c r="P323" i="2" l="1"/>
  <c r="Q323" i="2"/>
  <c r="Z323" i="5"/>
  <c r="AA323" i="5" l="1"/>
  <c r="S323" i="2"/>
  <c r="U323" i="2"/>
  <c r="AB323" i="5"/>
  <c r="R323" i="2"/>
  <c r="AD323" i="5" l="1"/>
  <c r="C324" i="5" s="1"/>
  <c r="E324" i="5" s="1"/>
  <c r="I324" i="5" s="1"/>
  <c r="AC323" i="5"/>
  <c r="T323" i="2"/>
  <c r="M324" i="5" l="1"/>
  <c r="K324" i="5"/>
  <c r="B324" i="5"/>
  <c r="D324" i="5" s="1"/>
  <c r="H324" i="5" s="1"/>
  <c r="AE323" i="5"/>
  <c r="AF323" i="5" s="1"/>
  <c r="O324" i="5" l="1"/>
  <c r="Q324" i="5" s="1"/>
  <c r="J324" i="5"/>
  <c r="L324" i="5"/>
  <c r="AG323" i="5"/>
  <c r="N324" i="5" l="1"/>
  <c r="P324" i="5" s="1"/>
  <c r="S324" i="5"/>
  <c r="U324" i="5"/>
  <c r="M324" i="2" l="1"/>
  <c r="R324" i="5"/>
  <c r="T324" i="5"/>
  <c r="L324" i="2" l="1"/>
  <c r="N324" i="2" s="1"/>
  <c r="O324" i="2" s="1"/>
  <c r="V324" i="5"/>
  <c r="P324" i="2" l="1"/>
  <c r="Q324" i="2"/>
  <c r="AB324" i="5" s="1"/>
  <c r="R324" i="2"/>
  <c r="Z324" i="5"/>
  <c r="AA324" i="5" l="1"/>
  <c r="S324" i="2"/>
  <c r="T324" i="2" s="1"/>
  <c r="U324" i="2"/>
  <c r="AD324" i="5" l="1"/>
  <c r="C325" i="5" s="1"/>
  <c r="E325" i="5" s="1"/>
  <c r="I325" i="5" s="1"/>
  <c r="AC324" i="5"/>
  <c r="M325" i="5" l="1"/>
  <c r="K325" i="5"/>
  <c r="B325" i="5"/>
  <c r="D325" i="5" s="1"/>
  <c r="H325" i="5" s="1"/>
  <c r="AE324" i="5"/>
  <c r="AF324" i="5" s="1"/>
  <c r="O325" i="5" l="1"/>
  <c r="Q325" i="5" s="1"/>
  <c r="J325" i="5"/>
  <c r="L325" i="5"/>
  <c r="AG324" i="5"/>
  <c r="N325" i="5" l="1"/>
  <c r="P325" i="5" s="1"/>
  <c r="S325" i="5"/>
  <c r="U325" i="5"/>
  <c r="M325" i="2" l="1"/>
  <c r="R325" i="5"/>
  <c r="T325" i="5"/>
  <c r="L325" i="2" l="1"/>
  <c r="N325" i="2" s="1"/>
  <c r="O325" i="2" s="1"/>
  <c r="V325" i="5"/>
  <c r="P325" i="2" l="1"/>
  <c r="Q325" i="2"/>
  <c r="AB325" i="5" s="1"/>
  <c r="Z325" i="5"/>
  <c r="AA325" i="5" l="1"/>
  <c r="R325" i="2"/>
  <c r="T325" i="2" s="1"/>
  <c r="S325" i="2"/>
  <c r="U325" i="2"/>
  <c r="AD325" i="5" l="1"/>
  <c r="C326" i="5" s="1"/>
  <c r="E326" i="5" s="1"/>
  <c r="I326" i="5" s="1"/>
  <c r="AC325" i="5"/>
  <c r="M326" i="5" l="1"/>
  <c r="K326" i="5"/>
  <c r="B326" i="5"/>
  <c r="D326" i="5" s="1"/>
  <c r="H326" i="5" s="1"/>
  <c r="AE325" i="5"/>
  <c r="AF325" i="5" s="1"/>
  <c r="O326" i="5" l="1"/>
  <c r="Q326" i="5" s="1"/>
  <c r="J326" i="5"/>
  <c r="L326" i="5"/>
  <c r="AG325" i="5"/>
  <c r="N326" i="5" l="1"/>
  <c r="P326" i="5" s="1"/>
  <c r="S326" i="5"/>
  <c r="U326" i="5"/>
  <c r="M326" i="2" l="1"/>
  <c r="R326" i="5"/>
  <c r="T326" i="5"/>
  <c r="L326" i="2" l="1"/>
  <c r="N326" i="2" s="1"/>
  <c r="O326" i="2" s="1"/>
  <c r="V326" i="5"/>
  <c r="P326" i="2" l="1"/>
  <c r="Q326" i="2"/>
  <c r="AB326" i="5" s="1"/>
  <c r="Z326" i="5"/>
  <c r="AA326" i="5" l="1"/>
  <c r="R326" i="2"/>
  <c r="S326" i="2"/>
  <c r="U326" i="2"/>
  <c r="AD326" i="5" l="1"/>
  <c r="C327" i="5" s="1"/>
  <c r="E327" i="5" s="1"/>
  <c r="I327" i="5" s="1"/>
  <c r="AC326" i="5"/>
  <c r="T326" i="2"/>
  <c r="M327" i="5" l="1"/>
  <c r="K327" i="5"/>
  <c r="B327" i="5"/>
  <c r="D327" i="5" s="1"/>
  <c r="H327" i="5" s="1"/>
  <c r="AE326" i="5"/>
  <c r="AF326" i="5" s="1"/>
  <c r="O327" i="5" l="1"/>
  <c r="Q327" i="5" s="1"/>
  <c r="J327" i="5"/>
  <c r="L327" i="5"/>
  <c r="AG326" i="5"/>
  <c r="N327" i="5" l="1"/>
  <c r="P327" i="5" s="1"/>
  <c r="S327" i="5"/>
  <c r="U327" i="5"/>
  <c r="M327" i="2" l="1"/>
  <c r="R327" i="5"/>
  <c r="T327" i="5"/>
  <c r="L327" i="2" l="1"/>
  <c r="N327" i="2" s="1"/>
  <c r="O327" i="2" s="1"/>
  <c r="V327" i="5"/>
  <c r="P327" i="2" l="1"/>
  <c r="AA327" i="5" s="1"/>
  <c r="Q327" i="2"/>
  <c r="AB327" i="5" s="1"/>
  <c r="R327" i="2"/>
  <c r="S327" i="2"/>
  <c r="U327" i="2"/>
  <c r="Z327" i="5"/>
  <c r="AC327" i="5" l="1"/>
  <c r="AD327" i="5"/>
  <c r="C328" i="5" s="1"/>
  <c r="E328" i="5" s="1"/>
  <c r="I328" i="5" s="1"/>
  <c r="T327" i="2"/>
  <c r="AE327" i="5" l="1"/>
  <c r="AF327" i="5" s="1"/>
  <c r="B328" i="5"/>
  <c r="D328" i="5" s="1"/>
  <c r="H328" i="5" s="1"/>
  <c r="M328" i="5" s="1"/>
  <c r="K328" i="5"/>
  <c r="AG327" i="5" l="1"/>
  <c r="L328" i="5"/>
  <c r="J328" i="5"/>
  <c r="O328" i="5"/>
  <c r="Q328" i="5" s="1"/>
  <c r="N328" i="5" l="1"/>
  <c r="P328" i="5" s="1"/>
  <c r="S328" i="5"/>
  <c r="U328" i="5"/>
  <c r="M328" i="2" l="1"/>
  <c r="R328" i="5"/>
  <c r="T328" i="5"/>
  <c r="L328" i="2" l="1"/>
  <c r="N328" i="2" s="1"/>
  <c r="O328" i="2" s="1"/>
  <c r="V328" i="5"/>
  <c r="P328" i="2" l="1"/>
  <c r="AA328" i="5" s="1"/>
  <c r="Q328" i="2"/>
  <c r="AB328" i="5" s="1"/>
  <c r="R328" i="2"/>
  <c r="S328" i="2"/>
  <c r="U328" i="2"/>
  <c r="Z328" i="5"/>
  <c r="AC328" i="5" l="1"/>
  <c r="AD328" i="5"/>
  <c r="C329" i="5" s="1"/>
  <c r="E329" i="5" s="1"/>
  <c r="I329" i="5" s="1"/>
  <c r="T328" i="2"/>
  <c r="B329" i="5" l="1"/>
  <c r="D329" i="5" s="1"/>
  <c r="H329" i="5" s="1"/>
  <c r="AE328" i="5"/>
  <c r="AF328" i="5" s="1"/>
  <c r="M329" i="5"/>
  <c r="K329" i="5"/>
  <c r="J329" i="5" l="1"/>
  <c r="L329" i="5"/>
  <c r="AG328" i="5"/>
  <c r="O329" i="5"/>
  <c r="Q329" i="5" s="1"/>
  <c r="N329" i="5" l="1"/>
  <c r="P329" i="5" s="1"/>
  <c r="S329" i="5"/>
  <c r="U329" i="5"/>
  <c r="M329" i="2" l="1"/>
  <c r="R329" i="5"/>
  <c r="T329" i="5"/>
  <c r="L329" i="2" l="1"/>
  <c r="N329" i="2" s="1"/>
  <c r="O329" i="2" s="1"/>
  <c r="V329" i="5"/>
  <c r="P329" i="2" l="1"/>
  <c r="AA329" i="5" s="1"/>
  <c r="Q329" i="2"/>
  <c r="Z329" i="5"/>
  <c r="AC329" i="5" l="1"/>
  <c r="AD329" i="5"/>
  <c r="C330" i="5" s="1"/>
  <c r="E330" i="5" s="1"/>
  <c r="I330" i="5" s="1"/>
  <c r="AB329" i="5"/>
  <c r="R329" i="2"/>
  <c r="S329" i="2"/>
  <c r="U329" i="2"/>
  <c r="B330" i="5" l="1"/>
  <c r="D330" i="5" s="1"/>
  <c r="H330" i="5" s="1"/>
  <c r="M330" i="5" s="1"/>
  <c r="AE329" i="5"/>
  <c r="AF329" i="5" s="1"/>
  <c r="K330" i="5"/>
  <c r="T329" i="2"/>
  <c r="L330" i="5" l="1"/>
  <c r="J330" i="5"/>
  <c r="AG329" i="5"/>
  <c r="O330" i="5"/>
  <c r="Q330" i="5" s="1"/>
  <c r="N330" i="5" l="1"/>
  <c r="P330" i="5" s="1"/>
  <c r="S330" i="5"/>
  <c r="U330" i="5"/>
  <c r="M330" i="2" l="1"/>
  <c r="R330" i="5"/>
  <c r="T330" i="5"/>
  <c r="L330" i="2" l="1"/>
  <c r="N330" i="2" s="1"/>
  <c r="O330" i="2" s="1"/>
  <c r="V330" i="5"/>
  <c r="P330" i="2" l="1"/>
  <c r="Q330" i="2"/>
  <c r="AB330" i="5" s="1"/>
  <c r="R330" i="2"/>
  <c r="Z330" i="5"/>
  <c r="AA330" i="5" l="1"/>
  <c r="S330" i="2"/>
  <c r="T330" i="2" s="1"/>
  <c r="U330" i="2"/>
  <c r="AD330" i="5" l="1"/>
  <c r="C331" i="5" s="1"/>
  <c r="E331" i="5" s="1"/>
  <c r="I331" i="5" s="1"/>
  <c r="AC330" i="5"/>
  <c r="M331" i="5" l="1"/>
  <c r="K331" i="5"/>
  <c r="B331" i="5"/>
  <c r="D331" i="5" s="1"/>
  <c r="H331" i="5" s="1"/>
  <c r="AE330" i="5"/>
  <c r="AF330" i="5" s="1"/>
  <c r="O331" i="5" l="1"/>
  <c r="Q331" i="5" s="1"/>
  <c r="J331" i="5"/>
  <c r="L331" i="5"/>
  <c r="AG330" i="5"/>
  <c r="N331" i="5" l="1"/>
  <c r="P331" i="5" s="1"/>
  <c r="S331" i="5"/>
  <c r="U331" i="5"/>
  <c r="M331" i="2" l="1"/>
  <c r="R331" i="5"/>
  <c r="T331" i="5"/>
  <c r="L331" i="2" l="1"/>
  <c r="N331" i="2" s="1"/>
  <c r="O331" i="2" s="1"/>
  <c r="V331" i="5"/>
  <c r="P331" i="2" l="1"/>
  <c r="AA331" i="5" s="1"/>
  <c r="Q331" i="2"/>
  <c r="AB331" i="5" s="1"/>
  <c r="R331" i="2"/>
  <c r="S331" i="2"/>
  <c r="U331" i="2"/>
  <c r="Z331" i="5"/>
  <c r="AC331" i="5" l="1"/>
  <c r="AD331" i="5"/>
  <c r="C332" i="5" s="1"/>
  <c r="E332" i="5" s="1"/>
  <c r="I332" i="5" s="1"/>
  <c r="T331" i="2"/>
  <c r="B332" i="5" l="1"/>
  <c r="D332" i="5" s="1"/>
  <c r="H332" i="5" s="1"/>
  <c r="AE331" i="5"/>
  <c r="AF331" i="5" s="1"/>
  <c r="M332" i="5"/>
  <c r="K332" i="5"/>
  <c r="J332" i="5" l="1"/>
  <c r="L332" i="5"/>
  <c r="AG331" i="5"/>
  <c r="O332" i="5"/>
  <c r="Q332" i="5" s="1"/>
  <c r="N332" i="5" l="1"/>
  <c r="P332" i="5" s="1"/>
  <c r="S332" i="5"/>
  <c r="U332" i="5"/>
  <c r="M332" i="2" l="1"/>
  <c r="R332" i="5"/>
  <c r="T332" i="5"/>
  <c r="L332" i="2" l="1"/>
  <c r="N332" i="2" s="1"/>
  <c r="O332" i="2" s="1"/>
  <c r="V332" i="5"/>
  <c r="P332" i="2" l="1"/>
  <c r="Q332" i="2"/>
  <c r="AB332" i="5" s="1"/>
  <c r="R332" i="2"/>
  <c r="Z332" i="5"/>
  <c r="AA332" i="5" l="1"/>
  <c r="S332" i="2"/>
  <c r="T332" i="2" s="1"/>
  <c r="U332" i="2"/>
  <c r="AD332" i="5" l="1"/>
  <c r="C333" i="5" s="1"/>
  <c r="E333" i="5" s="1"/>
  <c r="I333" i="5" s="1"/>
  <c r="AC332" i="5"/>
  <c r="M333" i="5" l="1"/>
  <c r="K333" i="5"/>
  <c r="AE332" i="5"/>
  <c r="AF332" i="5" s="1"/>
  <c r="B333" i="5"/>
  <c r="D333" i="5" s="1"/>
  <c r="H333" i="5" s="1"/>
  <c r="O333" i="5" l="1"/>
  <c r="Q333" i="5" s="1"/>
  <c r="AG332" i="5"/>
  <c r="J333" i="5"/>
  <c r="L333" i="5"/>
  <c r="N333" i="5" l="1"/>
  <c r="P333" i="5" s="1"/>
  <c r="S333" i="5"/>
  <c r="U333" i="5"/>
  <c r="M333" i="2" l="1"/>
  <c r="R333" i="5"/>
  <c r="T333" i="5"/>
  <c r="L333" i="2" l="1"/>
  <c r="N333" i="2" s="1"/>
  <c r="O333" i="2" s="1"/>
  <c r="V333" i="5"/>
  <c r="P333" i="2" l="1"/>
  <c r="Q333" i="2"/>
  <c r="R333" i="2"/>
  <c r="Z333" i="5"/>
  <c r="AA333" i="5" l="1"/>
  <c r="U333" i="2"/>
  <c r="AB333" i="5"/>
  <c r="S333" i="2"/>
  <c r="T333" i="2" s="1"/>
  <c r="AD333" i="5" l="1"/>
  <c r="C334" i="5" s="1"/>
  <c r="E334" i="5" s="1"/>
  <c r="I334" i="5" s="1"/>
  <c r="AC333" i="5"/>
  <c r="K334" i="5" l="1"/>
  <c r="B334" i="5"/>
  <c r="D334" i="5" s="1"/>
  <c r="H334" i="5" s="1"/>
  <c r="M334" i="5" s="1"/>
  <c r="AE333" i="5"/>
  <c r="AF333" i="5" s="1"/>
  <c r="O334" i="5" l="1"/>
  <c r="Q334" i="5" s="1"/>
  <c r="J334" i="5"/>
  <c r="L334" i="5"/>
  <c r="AG333" i="5"/>
  <c r="N334" i="5" l="1"/>
  <c r="P334" i="5" s="1"/>
  <c r="S334" i="5"/>
  <c r="U334" i="5"/>
  <c r="M334" i="2" l="1"/>
  <c r="R334" i="5"/>
  <c r="T334" i="5"/>
  <c r="L334" i="2" l="1"/>
  <c r="N334" i="2" s="1"/>
  <c r="O334" i="2" s="1"/>
  <c r="V334" i="5"/>
  <c r="P334" i="2" l="1"/>
  <c r="Q334" i="2"/>
  <c r="AB334" i="5" s="1"/>
  <c r="R334" i="2"/>
  <c r="T334" i="2" s="1"/>
  <c r="S334" i="2"/>
  <c r="Z334" i="5"/>
  <c r="AA334" i="5" l="1"/>
  <c r="U334" i="2"/>
  <c r="AD334" i="5" l="1"/>
  <c r="C335" i="5" s="1"/>
  <c r="E335" i="5" s="1"/>
  <c r="I335" i="5" s="1"/>
  <c r="AC334" i="5"/>
  <c r="K335" i="5" l="1"/>
  <c r="B335" i="5"/>
  <c r="D335" i="5" s="1"/>
  <c r="H335" i="5" s="1"/>
  <c r="M335" i="5" s="1"/>
  <c r="AE334" i="5"/>
  <c r="AF334" i="5" s="1"/>
  <c r="O335" i="5" l="1"/>
  <c r="Q335" i="5" s="1"/>
  <c r="J335" i="5"/>
  <c r="L335" i="5"/>
  <c r="AG334" i="5"/>
  <c r="N335" i="5" l="1"/>
  <c r="P335" i="5" s="1"/>
  <c r="S335" i="5"/>
  <c r="U335" i="5"/>
  <c r="M335" i="2" l="1"/>
  <c r="R335" i="5"/>
  <c r="T335" i="5"/>
  <c r="L335" i="2" l="1"/>
  <c r="N335" i="2" s="1"/>
  <c r="O335" i="2" s="1"/>
  <c r="V335" i="5"/>
  <c r="P335" i="2" l="1"/>
  <c r="Q335" i="2"/>
  <c r="AB335" i="5" s="1"/>
  <c r="Z335" i="5"/>
  <c r="AA335" i="5" l="1"/>
  <c r="R335" i="2"/>
  <c r="S335" i="2"/>
  <c r="U335" i="2"/>
  <c r="AD335" i="5" l="1"/>
  <c r="C336" i="5" s="1"/>
  <c r="E336" i="5" s="1"/>
  <c r="I336" i="5" s="1"/>
  <c r="AC335" i="5"/>
  <c r="T335" i="2"/>
  <c r="K336" i="5" l="1"/>
  <c r="B336" i="5"/>
  <c r="D336" i="5" s="1"/>
  <c r="H336" i="5" s="1"/>
  <c r="M336" i="5" s="1"/>
  <c r="AE335" i="5"/>
  <c r="AF335" i="5" s="1"/>
  <c r="O336" i="5" l="1"/>
  <c r="Q336" i="5" s="1"/>
  <c r="J336" i="5"/>
  <c r="L336" i="5"/>
  <c r="AG335" i="5"/>
  <c r="N336" i="5" l="1"/>
  <c r="P336" i="5" s="1"/>
  <c r="S336" i="5"/>
  <c r="U336" i="5"/>
  <c r="M336" i="2" l="1"/>
  <c r="R336" i="5"/>
  <c r="T336" i="5"/>
  <c r="L336" i="2" l="1"/>
  <c r="N336" i="2" s="1"/>
  <c r="O336" i="2" s="1"/>
  <c r="V336" i="5"/>
  <c r="P336" i="2" l="1"/>
  <c r="Q336" i="2"/>
  <c r="AB336" i="5" s="1"/>
  <c r="Z336" i="5"/>
  <c r="AA336" i="5" l="1"/>
  <c r="R336" i="2"/>
  <c r="T336" i="2" s="1"/>
  <c r="S336" i="2"/>
  <c r="U336" i="2"/>
  <c r="AD336" i="5" l="1"/>
  <c r="C337" i="5" s="1"/>
  <c r="E337" i="5" s="1"/>
  <c r="I337" i="5" s="1"/>
  <c r="AC336" i="5"/>
  <c r="K337" i="5" l="1"/>
  <c r="M337" i="5"/>
  <c r="AE336" i="5"/>
  <c r="AF336" i="5" s="1"/>
  <c r="B337" i="5"/>
  <c r="D337" i="5" s="1"/>
  <c r="H337" i="5" s="1"/>
  <c r="O337" i="5" l="1"/>
  <c r="Q337" i="5" s="1"/>
  <c r="AG336" i="5"/>
  <c r="J337" i="5"/>
  <c r="L337" i="5"/>
  <c r="N337" i="5" l="1"/>
  <c r="P337" i="5" s="1"/>
  <c r="S337" i="5"/>
  <c r="U337" i="5"/>
  <c r="M337" i="2" l="1"/>
  <c r="R337" i="5"/>
  <c r="T337" i="5"/>
  <c r="L337" i="2" l="1"/>
  <c r="N337" i="2" s="1"/>
  <c r="O337" i="2" s="1"/>
  <c r="V337" i="5"/>
  <c r="P337" i="2" l="1"/>
  <c r="Q337" i="2"/>
  <c r="AB337" i="5" s="1"/>
  <c r="Z337" i="5"/>
  <c r="AA337" i="5" l="1"/>
  <c r="R337" i="2"/>
  <c r="S337" i="2"/>
  <c r="U337" i="2"/>
  <c r="AD337" i="5" l="1"/>
  <c r="C338" i="5" s="1"/>
  <c r="E338" i="5" s="1"/>
  <c r="I338" i="5" s="1"/>
  <c r="AC337" i="5"/>
  <c r="T337" i="2"/>
  <c r="K338" i="5" l="1"/>
  <c r="B338" i="5"/>
  <c r="D338" i="5" s="1"/>
  <c r="H338" i="5" s="1"/>
  <c r="M338" i="5" s="1"/>
  <c r="AE337" i="5"/>
  <c r="AF337" i="5" s="1"/>
  <c r="O338" i="5" l="1"/>
  <c r="Q338" i="5" s="1"/>
  <c r="J338" i="5"/>
  <c r="L338" i="5"/>
  <c r="AG337" i="5"/>
  <c r="N338" i="5" l="1"/>
  <c r="P338" i="5" s="1"/>
  <c r="S338" i="5"/>
  <c r="U338" i="5"/>
  <c r="M338" i="2" l="1"/>
  <c r="R338" i="5"/>
  <c r="T338" i="5"/>
  <c r="L338" i="2" l="1"/>
  <c r="N338" i="2" s="1"/>
  <c r="O338" i="2" s="1"/>
  <c r="V338" i="5"/>
  <c r="P338" i="2" l="1"/>
  <c r="AA338" i="5" s="1"/>
  <c r="Q338" i="2"/>
  <c r="AB338" i="5" s="1"/>
  <c r="R338" i="2"/>
  <c r="S338" i="2"/>
  <c r="U338" i="2"/>
  <c r="Z338" i="5"/>
  <c r="AC338" i="5" l="1"/>
  <c r="AD338" i="5"/>
  <c r="C339" i="5" s="1"/>
  <c r="E339" i="5" s="1"/>
  <c r="I339" i="5" s="1"/>
  <c r="T338" i="2"/>
  <c r="B339" i="5" l="1"/>
  <c r="D339" i="5" s="1"/>
  <c r="H339" i="5" s="1"/>
  <c r="M339" i="5" s="1"/>
  <c r="AE338" i="5"/>
  <c r="AF338" i="5" s="1"/>
  <c r="K339" i="5"/>
  <c r="J339" i="5" l="1"/>
  <c r="L339" i="5"/>
  <c r="AG338" i="5"/>
  <c r="O339" i="5"/>
  <c r="Q339" i="5" s="1"/>
  <c r="N339" i="5" l="1"/>
  <c r="P339" i="5" s="1"/>
  <c r="S339" i="5"/>
  <c r="U339" i="5"/>
  <c r="M339" i="2" l="1"/>
  <c r="R339" i="5"/>
  <c r="T339" i="5"/>
  <c r="L339" i="2" l="1"/>
  <c r="N339" i="2" s="1"/>
  <c r="O339" i="2" s="1"/>
  <c r="V339" i="5"/>
  <c r="P339" i="2" l="1"/>
  <c r="Q339" i="2"/>
  <c r="AB339" i="5" s="1"/>
  <c r="Z339" i="5"/>
  <c r="AA339" i="5" l="1"/>
  <c r="R339" i="2"/>
  <c r="S339" i="2"/>
  <c r="U339" i="2"/>
  <c r="AD339" i="5" l="1"/>
  <c r="C340" i="5" s="1"/>
  <c r="E340" i="5" s="1"/>
  <c r="I340" i="5" s="1"/>
  <c r="AC339" i="5"/>
  <c r="T339" i="2"/>
  <c r="K340" i="5" l="1"/>
  <c r="B340" i="5"/>
  <c r="D340" i="5" s="1"/>
  <c r="H340" i="5" s="1"/>
  <c r="M340" i="5" s="1"/>
  <c r="AE339" i="5"/>
  <c r="AF339" i="5" s="1"/>
  <c r="O340" i="5" l="1"/>
  <c r="Q340" i="5" s="1"/>
  <c r="J340" i="5"/>
  <c r="L340" i="5"/>
  <c r="AG339" i="5"/>
  <c r="N340" i="5" l="1"/>
  <c r="P340" i="5" s="1"/>
  <c r="S340" i="5"/>
  <c r="U340" i="5"/>
  <c r="M340" i="2" l="1"/>
  <c r="R340" i="5"/>
  <c r="T340" i="5"/>
  <c r="L340" i="2" l="1"/>
  <c r="N340" i="2" s="1"/>
  <c r="O340" i="2" s="1"/>
  <c r="V340" i="5"/>
  <c r="P340" i="2" l="1"/>
  <c r="Q340" i="2"/>
  <c r="AB340" i="5" s="1"/>
  <c r="Z340" i="5"/>
  <c r="AA340" i="5" l="1"/>
  <c r="R340" i="2"/>
  <c r="S340" i="2"/>
  <c r="U340" i="2"/>
  <c r="AD340" i="5" l="1"/>
  <c r="C341" i="5" s="1"/>
  <c r="E341" i="5" s="1"/>
  <c r="I341" i="5" s="1"/>
  <c r="AC340" i="5"/>
  <c r="T340" i="2"/>
  <c r="M341" i="5" l="1"/>
  <c r="K341" i="5"/>
  <c r="B341" i="5"/>
  <c r="D341" i="5" s="1"/>
  <c r="H341" i="5" s="1"/>
  <c r="AE340" i="5"/>
  <c r="AF340" i="5" s="1"/>
  <c r="O341" i="5" l="1"/>
  <c r="Q341" i="5" s="1"/>
  <c r="J341" i="5"/>
  <c r="L341" i="5"/>
  <c r="AG340" i="5"/>
  <c r="N341" i="5" l="1"/>
  <c r="P341" i="5" s="1"/>
  <c r="S341" i="5"/>
  <c r="U341" i="5"/>
  <c r="M341" i="2" l="1"/>
  <c r="R341" i="5"/>
  <c r="T341" i="5"/>
  <c r="L341" i="2" l="1"/>
  <c r="N341" i="2" s="1"/>
  <c r="O341" i="2" s="1"/>
  <c r="V341" i="5"/>
  <c r="P341" i="2" l="1"/>
  <c r="Q341" i="2"/>
  <c r="Z341" i="5"/>
  <c r="AA341" i="5" l="1"/>
  <c r="S341" i="2"/>
  <c r="U341" i="2"/>
  <c r="AB341" i="5"/>
  <c r="R341" i="2"/>
  <c r="AD341" i="5" l="1"/>
  <c r="C342" i="5" s="1"/>
  <c r="E342" i="5" s="1"/>
  <c r="I342" i="5" s="1"/>
  <c r="AC341" i="5"/>
  <c r="T341" i="2"/>
  <c r="K342" i="5" l="1"/>
  <c r="B342" i="5"/>
  <c r="D342" i="5" s="1"/>
  <c r="H342" i="5" s="1"/>
  <c r="M342" i="5" s="1"/>
  <c r="AE341" i="5"/>
  <c r="AF341" i="5" s="1"/>
  <c r="O342" i="5" l="1"/>
  <c r="Q342" i="5" s="1"/>
  <c r="J342" i="5"/>
  <c r="L342" i="5"/>
  <c r="AG341" i="5"/>
  <c r="N342" i="5" l="1"/>
  <c r="P342" i="5" s="1"/>
  <c r="S342" i="5"/>
  <c r="U342" i="5"/>
  <c r="M342" i="2" l="1"/>
  <c r="R342" i="5"/>
  <c r="T342" i="5"/>
  <c r="L342" i="2" l="1"/>
  <c r="N342" i="2" s="1"/>
  <c r="O342" i="2" s="1"/>
  <c r="V342" i="5"/>
  <c r="P342" i="2" l="1"/>
  <c r="Q342" i="2"/>
  <c r="AB342" i="5" s="1"/>
  <c r="S342" i="2"/>
  <c r="Z342" i="5"/>
  <c r="AA342" i="5" l="1"/>
  <c r="R342" i="2"/>
  <c r="T342" i="2" s="1"/>
  <c r="U342" i="2"/>
  <c r="AD342" i="5" l="1"/>
  <c r="C343" i="5" s="1"/>
  <c r="E343" i="5" s="1"/>
  <c r="I343" i="5" s="1"/>
  <c r="AC342" i="5"/>
  <c r="K343" i="5" l="1"/>
  <c r="B343" i="5"/>
  <c r="D343" i="5" s="1"/>
  <c r="H343" i="5" s="1"/>
  <c r="M343" i="5" s="1"/>
  <c r="AE342" i="5"/>
  <c r="AF342" i="5" s="1"/>
  <c r="O343" i="5" l="1"/>
  <c r="Q343" i="5" s="1"/>
  <c r="J343" i="5"/>
  <c r="L343" i="5"/>
  <c r="AG342" i="5"/>
  <c r="N343" i="5" l="1"/>
  <c r="P343" i="5" s="1"/>
  <c r="R343" i="5" s="1"/>
  <c r="T343" i="5"/>
  <c r="S343" i="5"/>
  <c r="U343" i="5"/>
  <c r="V343" i="5" l="1"/>
  <c r="L343" i="2"/>
  <c r="N343" i="2" s="1"/>
  <c r="O343" i="2" s="1"/>
  <c r="M343" i="2"/>
  <c r="P343" i="2" l="1"/>
  <c r="Q343" i="2"/>
  <c r="AB343" i="5" s="1"/>
  <c r="Z343" i="5"/>
  <c r="AA343" i="5" l="1"/>
  <c r="U343" i="2"/>
  <c r="R343" i="2"/>
  <c r="S343" i="2"/>
  <c r="AC343" i="5" l="1"/>
  <c r="AD343" i="5"/>
  <c r="C344" i="5" s="1"/>
  <c r="E344" i="5" s="1"/>
  <c r="I344" i="5" s="1"/>
  <c r="T343" i="2"/>
  <c r="B344" i="5" l="1"/>
  <c r="D344" i="5" s="1"/>
  <c r="H344" i="5" s="1"/>
  <c r="M344" i="5" s="1"/>
  <c r="AE343" i="5"/>
  <c r="AF343" i="5" s="1"/>
  <c r="K344" i="5"/>
  <c r="J344" i="5" l="1"/>
  <c r="L344" i="5"/>
  <c r="AG343" i="5"/>
  <c r="O344" i="5"/>
  <c r="Q344" i="5" s="1"/>
  <c r="S344" i="5" s="1"/>
  <c r="U344" i="5"/>
  <c r="N344" i="5" l="1"/>
  <c r="P344" i="5" s="1"/>
  <c r="M344" i="2"/>
  <c r="R344" i="5" l="1"/>
  <c r="T344" i="5"/>
  <c r="L344" i="2" l="1"/>
  <c r="N344" i="2" s="1"/>
  <c r="O344" i="2" s="1"/>
  <c r="V344" i="5"/>
  <c r="P344" i="2" l="1"/>
  <c r="Q344" i="2"/>
  <c r="AB344" i="5" s="1"/>
  <c r="Z344" i="5"/>
  <c r="AA344" i="5" l="1"/>
  <c r="R344" i="2"/>
  <c r="S344" i="2"/>
  <c r="U344" i="2"/>
  <c r="AD344" i="5" l="1"/>
  <c r="C345" i="5" s="1"/>
  <c r="E345" i="5" s="1"/>
  <c r="I345" i="5" s="1"/>
  <c r="AC344" i="5"/>
  <c r="T344" i="2"/>
  <c r="M345" i="5" l="1"/>
  <c r="K345" i="5"/>
  <c r="B345" i="5"/>
  <c r="D345" i="5" s="1"/>
  <c r="H345" i="5" s="1"/>
  <c r="AE344" i="5"/>
  <c r="AF344" i="5" s="1"/>
  <c r="O345" i="5" l="1"/>
  <c r="Q345" i="5" s="1"/>
  <c r="J345" i="5"/>
  <c r="L345" i="5"/>
  <c r="AG344" i="5"/>
  <c r="N345" i="5" l="1"/>
  <c r="P345" i="5" s="1"/>
  <c r="S345" i="5"/>
  <c r="U345" i="5"/>
  <c r="M345" i="2" l="1"/>
  <c r="R345" i="5"/>
  <c r="T345" i="5"/>
  <c r="L345" i="2" l="1"/>
  <c r="N345" i="2" s="1"/>
  <c r="O345" i="2" s="1"/>
  <c r="V345" i="5"/>
  <c r="P345" i="2" l="1"/>
  <c r="Q345" i="2"/>
  <c r="AB345" i="5" s="1"/>
  <c r="Z345" i="5"/>
  <c r="AA345" i="5" l="1"/>
  <c r="S345" i="2"/>
  <c r="R345" i="2"/>
  <c r="T345" i="2" s="1"/>
  <c r="U345" i="2"/>
  <c r="AD345" i="5" l="1"/>
  <c r="C346" i="5" s="1"/>
  <c r="E346" i="5" s="1"/>
  <c r="I346" i="5" s="1"/>
  <c r="AC345" i="5"/>
  <c r="M346" i="5" l="1"/>
  <c r="K346" i="5"/>
  <c r="B346" i="5"/>
  <c r="D346" i="5" s="1"/>
  <c r="H346" i="5" s="1"/>
  <c r="AE345" i="5"/>
  <c r="AF345" i="5" s="1"/>
  <c r="O346" i="5" l="1"/>
  <c r="Q346" i="5" s="1"/>
  <c r="J346" i="5"/>
  <c r="L346" i="5"/>
  <c r="AG345" i="5"/>
  <c r="N346" i="5" l="1"/>
  <c r="P346" i="5" s="1"/>
  <c r="S346" i="5"/>
  <c r="U346" i="5"/>
  <c r="M346" i="2" l="1"/>
  <c r="R346" i="5"/>
  <c r="T346" i="5"/>
  <c r="L346" i="2" l="1"/>
  <c r="N346" i="2" s="1"/>
  <c r="O346" i="2" s="1"/>
  <c r="V346" i="5"/>
  <c r="P346" i="2" l="1"/>
  <c r="Q346" i="2"/>
  <c r="AB346" i="5" s="1"/>
  <c r="Z346" i="5"/>
  <c r="AA346" i="5" l="1"/>
  <c r="R346" i="2"/>
  <c r="S346" i="2"/>
  <c r="U346" i="2"/>
  <c r="AD346" i="5" l="1"/>
  <c r="C347" i="5" s="1"/>
  <c r="E347" i="5" s="1"/>
  <c r="I347" i="5" s="1"/>
  <c r="AC346" i="5"/>
  <c r="T346" i="2"/>
  <c r="K347" i="5" l="1"/>
  <c r="B347" i="5"/>
  <c r="D347" i="5" s="1"/>
  <c r="H347" i="5" s="1"/>
  <c r="M347" i="5" s="1"/>
  <c r="AE346" i="5"/>
  <c r="AF346" i="5" s="1"/>
  <c r="O347" i="5" l="1"/>
  <c r="Q347" i="5" s="1"/>
  <c r="S347" i="5" s="1"/>
  <c r="U347" i="5"/>
  <c r="J347" i="5"/>
  <c r="L347" i="5"/>
  <c r="AG346" i="5"/>
  <c r="M347" i="2" l="1"/>
  <c r="N347" i="5"/>
  <c r="P347" i="5" s="1"/>
  <c r="R347" i="5" l="1"/>
  <c r="T347" i="5"/>
  <c r="L347" i="2" l="1"/>
  <c r="N347" i="2" s="1"/>
  <c r="O347" i="2" s="1"/>
  <c r="V347" i="5"/>
  <c r="P347" i="2" l="1"/>
  <c r="Q347" i="2"/>
  <c r="U347" i="2"/>
  <c r="Z347" i="5"/>
  <c r="AA347" i="5" l="1"/>
  <c r="R347" i="2"/>
  <c r="T347" i="2" s="1"/>
  <c r="AB347" i="5"/>
  <c r="S347" i="2"/>
  <c r="AD347" i="5" l="1"/>
  <c r="C348" i="5" s="1"/>
  <c r="E348" i="5" s="1"/>
  <c r="I348" i="5" s="1"/>
  <c r="AC347" i="5"/>
  <c r="K348" i="5" l="1"/>
  <c r="B348" i="5"/>
  <c r="D348" i="5" s="1"/>
  <c r="H348" i="5" s="1"/>
  <c r="M348" i="5" s="1"/>
  <c r="AE347" i="5"/>
  <c r="AF347" i="5" s="1"/>
  <c r="O348" i="5" l="1"/>
  <c r="Q348" i="5" s="1"/>
  <c r="J348" i="5"/>
  <c r="L348" i="5"/>
  <c r="AG347" i="5"/>
  <c r="N348" i="5" l="1"/>
  <c r="P348" i="5" s="1"/>
  <c r="S348" i="5"/>
  <c r="U348" i="5"/>
  <c r="M348" i="2" l="1"/>
  <c r="R348" i="5"/>
  <c r="T348" i="5"/>
  <c r="L348" i="2" l="1"/>
  <c r="N348" i="2" s="1"/>
  <c r="O348" i="2" s="1"/>
  <c r="V348" i="5"/>
  <c r="P348" i="2" l="1"/>
  <c r="Q348" i="2"/>
  <c r="AB348" i="5" s="1"/>
  <c r="Z348" i="5"/>
  <c r="AA348" i="5" l="1"/>
  <c r="R348" i="2"/>
  <c r="T348" i="2" s="1"/>
  <c r="S348" i="2"/>
  <c r="U348" i="2"/>
  <c r="AD348" i="5" l="1"/>
  <c r="C349" i="5" s="1"/>
  <c r="E349" i="5" s="1"/>
  <c r="I349" i="5" s="1"/>
  <c r="AC348" i="5"/>
  <c r="K349" i="5" l="1"/>
  <c r="B349" i="5"/>
  <c r="D349" i="5" s="1"/>
  <c r="H349" i="5" s="1"/>
  <c r="M349" i="5" s="1"/>
  <c r="AE348" i="5"/>
  <c r="AF348" i="5" s="1"/>
  <c r="O349" i="5" l="1"/>
  <c r="Q349" i="5" s="1"/>
  <c r="J349" i="5"/>
  <c r="L349" i="5"/>
  <c r="AG348" i="5"/>
  <c r="N349" i="5" l="1"/>
  <c r="P349" i="5" s="1"/>
  <c r="S349" i="5"/>
  <c r="U349" i="5"/>
  <c r="M349" i="2" l="1"/>
  <c r="R349" i="5"/>
  <c r="T349" i="5"/>
  <c r="L349" i="2" l="1"/>
  <c r="N349" i="2" s="1"/>
  <c r="O349" i="2" s="1"/>
  <c r="V349" i="5"/>
  <c r="P349" i="2" l="1"/>
  <c r="Q349" i="2"/>
  <c r="AB349" i="5" s="1"/>
  <c r="Z349" i="5"/>
  <c r="AA349" i="5" l="1"/>
  <c r="R349" i="2"/>
  <c r="T349" i="2" s="1"/>
  <c r="U349" i="2"/>
  <c r="S349" i="2"/>
  <c r="AD349" i="5" l="1"/>
  <c r="C350" i="5" s="1"/>
  <c r="E350" i="5" s="1"/>
  <c r="I350" i="5" s="1"/>
  <c r="AC349" i="5"/>
  <c r="M350" i="5" l="1"/>
  <c r="K350" i="5"/>
  <c r="AE349" i="5"/>
  <c r="AF349" i="5" s="1"/>
  <c r="B350" i="5"/>
  <c r="D350" i="5" s="1"/>
  <c r="H350" i="5" s="1"/>
  <c r="O350" i="5" l="1"/>
  <c r="Q350" i="5" s="1"/>
  <c r="AG349" i="5"/>
  <c r="J350" i="5"/>
  <c r="L350" i="5"/>
  <c r="N350" i="5" l="1"/>
  <c r="P350" i="5" s="1"/>
  <c r="S350" i="5"/>
  <c r="U350" i="5"/>
  <c r="M350" i="2" l="1"/>
  <c r="R350" i="5"/>
  <c r="T350" i="5"/>
  <c r="L350" i="2" l="1"/>
  <c r="N350" i="2" s="1"/>
  <c r="O350" i="2" s="1"/>
  <c r="V350" i="5"/>
  <c r="P350" i="2" l="1"/>
  <c r="Q350" i="2"/>
  <c r="AB350" i="5" s="1"/>
  <c r="Z350" i="5"/>
  <c r="AA350" i="5" l="1"/>
  <c r="R350" i="2"/>
  <c r="T350" i="2" s="1"/>
  <c r="S350" i="2"/>
  <c r="U350" i="2"/>
  <c r="AD350" i="5" l="1"/>
  <c r="C351" i="5" s="1"/>
  <c r="E351" i="5" s="1"/>
  <c r="I351" i="5" s="1"/>
  <c r="AC350" i="5"/>
  <c r="K351" i="5" l="1"/>
  <c r="B351" i="5"/>
  <c r="D351" i="5" s="1"/>
  <c r="H351" i="5" s="1"/>
  <c r="M351" i="5" s="1"/>
  <c r="AE350" i="5"/>
  <c r="AF350" i="5" s="1"/>
  <c r="O351" i="5" l="1"/>
  <c r="Q351" i="5" s="1"/>
  <c r="J351" i="5"/>
  <c r="L351" i="5"/>
  <c r="AG350" i="5"/>
  <c r="N351" i="5" l="1"/>
  <c r="P351" i="5" s="1"/>
  <c r="S351" i="5"/>
  <c r="U351" i="5"/>
  <c r="M351" i="2" l="1"/>
  <c r="R351" i="5"/>
  <c r="T351" i="5"/>
  <c r="V351" i="5" l="1"/>
  <c r="L351" i="2"/>
  <c r="N351" i="2" s="1"/>
  <c r="O351" i="2" s="1"/>
  <c r="P351" i="2" l="1"/>
  <c r="Q351" i="2"/>
  <c r="Z351" i="5"/>
  <c r="AA351" i="5" l="1"/>
  <c r="U351" i="2"/>
  <c r="AB351" i="5"/>
  <c r="R351" i="2"/>
  <c r="T351" i="2" s="1"/>
  <c r="S351" i="2"/>
  <c r="AD351" i="5" l="1"/>
  <c r="C352" i="5" s="1"/>
  <c r="E352" i="5" s="1"/>
  <c r="I352" i="5" s="1"/>
  <c r="AC351" i="5"/>
  <c r="K352" i="5" l="1"/>
  <c r="B352" i="5"/>
  <c r="D352" i="5" s="1"/>
  <c r="H352" i="5" s="1"/>
  <c r="M352" i="5" s="1"/>
  <c r="AE351" i="5"/>
  <c r="AF351" i="5" s="1"/>
  <c r="O352" i="5" l="1"/>
  <c r="Q352" i="5" s="1"/>
  <c r="J352" i="5"/>
  <c r="L352" i="5"/>
  <c r="AG351" i="5"/>
  <c r="N352" i="5" l="1"/>
  <c r="P352" i="5" s="1"/>
  <c r="S352" i="5"/>
  <c r="U352" i="5"/>
  <c r="M352" i="2" l="1"/>
  <c r="R352" i="5"/>
  <c r="T352" i="5"/>
  <c r="V352" i="5" l="1"/>
  <c r="L352" i="2"/>
  <c r="N352" i="2" s="1"/>
  <c r="O352" i="2" s="1"/>
  <c r="P352" i="2" l="1"/>
  <c r="AA352" i="5" s="1"/>
  <c r="Q352" i="2"/>
  <c r="AB352" i="5" s="1"/>
  <c r="R352" i="2"/>
  <c r="S352" i="2"/>
  <c r="U352" i="2"/>
  <c r="Z352" i="5"/>
  <c r="AC352" i="5" l="1"/>
  <c r="AD352" i="5"/>
  <c r="C353" i="5" s="1"/>
  <c r="E353" i="5" s="1"/>
  <c r="I353" i="5" s="1"/>
  <c r="T352" i="2"/>
  <c r="B353" i="5" l="1"/>
  <c r="D353" i="5" s="1"/>
  <c r="H353" i="5" s="1"/>
  <c r="AE352" i="5"/>
  <c r="AF352" i="5" s="1"/>
  <c r="K353" i="5"/>
  <c r="M353" i="5"/>
  <c r="J353" i="5" l="1"/>
  <c r="L353" i="5"/>
  <c r="AG352" i="5"/>
  <c r="O353" i="5"/>
  <c r="Q353" i="5" s="1"/>
  <c r="N353" i="5" l="1"/>
  <c r="P353" i="5" s="1"/>
  <c r="S353" i="5"/>
  <c r="U353" i="5"/>
  <c r="M353" i="2" l="1"/>
  <c r="R353" i="5"/>
  <c r="T353" i="5"/>
  <c r="V353" i="5" l="1"/>
  <c r="L353" i="2"/>
  <c r="N353" i="2" s="1"/>
  <c r="O353" i="2" s="1"/>
  <c r="P353" i="2" l="1"/>
  <c r="AA353" i="5" s="1"/>
  <c r="Q353" i="2"/>
  <c r="AB353" i="5" s="1"/>
  <c r="R353" i="2"/>
  <c r="S353" i="2"/>
  <c r="U353" i="2"/>
  <c r="Z353" i="5"/>
  <c r="AC353" i="5" l="1"/>
  <c r="AD353" i="5"/>
  <c r="C354" i="5" s="1"/>
  <c r="E354" i="5" s="1"/>
  <c r="I354" i="5" s="1"/>
  <c r="T353" i="2"/>
  <c r="AE353" i="5" l="1"/>
  <c r="AF353" i="5" s="1"/>
  <c r="B354" i="5"/>
  <c r="D354" i="5" s="1"/>
  <c r="H354" i="5" s="1"/>
  <c r="M354" i="5" s="1"/>
  <c r="K354" i="5"/>
  <c r="AG353" i="5" l="1"/>
  <c r="J354" i="5"/>
  <c r="L354" i="5"/>
  <c r="O354" i="5"/>
  <c r="Q354" i="5" s="1"/>
  <c r="N354" i="5" l="1"/>
  <c r="P354" i="5" s="1"/>
  <c r="S354" i="5"/>
  <c r="U354" i="5"/>
  <c r="M354" i="2" l="1"/>
  <c r="R354" i="5"/>
  <c r="F355" i="5" s="1"/>
  <c r="T354" i="5"/>
  <c r="L354" i="2" l="1"/>
  <c r="N354" i="2" s="1"/>
  <c r="O354" i="2" s="1"/>
  <c r="V354" i="5"/>
  <c r="P354" i="2" l="1"/>
  <c r="Q354" i="2"/>
  <c r="AB354" i="5" s="1"/>
  <c r="Z354" i="5"/>
  <c r="AA354" i="5" l="1"/>
  <c r="R354" i="2"/>
  <c r="T354" i="2" s="1"/>
  <c r="U354" i="2"/>
  <c r="S354" i="2"/>
  <c r="AD354" i="5" l="1"/>
  <c r="C355" i="5" s="1"/>
  <c r="E355" i="5" s="1"/>
  <c r="I355" i="5" s="1"/>
  <c r="AC354" i="5"/>
  <c r="K355" i="5" l="1"/>
  <c r="B355" i="5"/>
  <c r="D355" i="5" s="1"/>
  <c r="H355" i="5" s="1"/>
  <c r="M355" i="5" s="1"/>
  <c r="AE354" i="5"/>
  <c r="AF354" i="5" s="1"/>
  <c r="O355" i="5" l="1"/>
  <c r="Q355" i="5" s="1"/>
  <c r="S355" i="5" s="1"/>
  <c r="G356" i="5" s="1"/>
  <c r="U355" i="5"/>
  <c r="J355" i="5"/>
  <c r="L355" i="5"/>
  <c r="AG354" i="5"/>
  <c r="M355" i="2" l="1"/>
  <c r="N355" i="5"/>
  <c r="P355" i="5" s="1"/>
  <c r="R355" i="5" l="1"/>
  <c r="T355" i="5"/>
  <c r="L355" i="2" l="1"/>
  <c r="N355" i="2" s="1"/>
  <c r="O355" i="2" s="1"/>
  <c r="V355" i="5"/>
  <c r="P355" i="2" l="1"/>
  <c r="Q355" i="2"/>
  <c r="AB355" i="5" s="1"/>
  <c r="S355" i="2"/>
  <c r="Z355" i="5"/>
  <c r="AA355" i="5" l="1"/>
  <c r="R355" i="2"/>
  <c r="T355" i="2" s="1"/>
  <c r="U355" i="2"/>
  <c r="AD355" i="5" l="1"/>
  <c r="C356" i="5" s="1"/>
  <c r="E356" i="5" s="1"/>
  <c r="I356" i="5" s="1"/>
  <c r="AC355" i="5"/>
  <c r="M356" i="5" l="1"/>
  <c r="K356" i="5"/>
  <c r="B356" i="5"/>
  <c r="D356" i="5" s="1"/>
  <c r="H356" i="5" s="1"/>
  <c r="AE355" i="5"/>
  <c r="AF355" i="5" s="1"/>
  <c r="O356" i="5" l="1"/>
  <c r="Q356" i="5" s="1"/>
  <c r="L356" i="5"/>
  <c r="J356" i="5"/>
  <c r="AG355" i="5"/>
  <c r="N356" i="5" l="1"/>
  <c r="P356" i="5" s="1"/>
  <c r="S356" i="5"/>
  <c r="U356" i="5"/>
  <c r="M356" i="2" l="1"/>
  <c r="R356" i="5"/>
  <c r="T356" i="5"/>
  <c r="L356" i="2" l="1"/>
  <c r="N356" i="2" s="1"/>
  <c r="O356" i="2" s="1"/>
  <c r="V356" i="5"/>
  <c r="P356" i="2" l="1"/>
  <c r="AA356" i="5" s="1"/>
  <c r="Q356" i="2"/>
  <c r="AB356" i="5" s="1"/>
  <c r="R356" i="2"/>
  <c r="S356" i="2"/>
  <c r="U356" i="2"/>
  <c r="Z356" i="5"/>
  <c r="AC356" i="5" l="1"/>
  <c r="AD356" i="5"/>
  <c r="C357" i="5" s="1"/>
  <c r="E357" i="5" s="1"/>
  <c r="I357" i="5" s="1"/>
  <c r="T356" i="2"/>
  <c r="B357" i="5" l="1"/>
  <c r="D357" i="5" s="1"/>
  <c r="H357" i="5" s="1"/>
  <c r="M357" i="5" s="1"/>
  <c r="AE356" i="5"/>
  <c r="AF356" i="5" s="1"/>
  <c r="K357" i="5"/>
  <c r="J357" i="5" l="1"/>
  <c r="L357" i="5"/>
  <c r="AG356" i="5"/>
  <c r="O357" i="5"/>
  <c r="Q357" i="5" s="1"/>
  <c r="N357" i="5" l="1"/>
  <c r="P357" i="5" s="1"/>
  <c r="S357" i="5"/>
  <c r="U357" i="5"/>
  <c r="M357" i="2" l="1"/>
  <c r="R357" i="5"/>
  <c r="T357" i="5"/>
  <c r="L357" i="2" l="1"/>
  <c r="N357" i="2" s="1"/>
  <c r="O357" i="2" s="1"/>
  <c r="V357" i="5"/>
  <c r="P357" i="2" l="1"/>
  <c r="Q357" i="2"/>
  <c r="AB357" i="5" s="1"/>
  <c r="Z357" i="5"/>
  <c r="AA357" i="5" l="1"/>
  <c r="R357" i="2"/>
  <c r="S357" i="2"/>
  <c r="U357" i="2"/>
  <c r="AD357" i="5" l="1"/>
  <c r="C358" i="5" s="1"/>
  <c r="E358" i="5" s="1"/>
  <c r="I358" i="5" s="1"/>
  <c r="AC357" i="5"/>
  <c r="T357" i="2"/>
  <c r="K358" i="5" l="1"/>
  <c r="B358" i="5"/>
  <c r="D358" i="5" s="1"/>
  <c r="H358" i="5" s="1"/>
  <c r="M358" i="5" s="1"/>
  <c r="AE357" i="5"/>
  <c r="AF357" i="5" s="1"/>
  <c r="O358" i="5" l="1"/>
  <c r="Q358" i="5" s="1"/>
  <c r="L358" i="5"/>
  <c r="J358" i="5"/>
  <c r="AG357" i="5"/>
  <c r="N358" i="5" l="1"/>
  <c r="P358" i="5" s="1"/>
  <c r="S358" i="5"/>
  <c r="U358" i="5"/>
  <c r="M358" i="2" l="1"/>
  <c r="R358" i="5"/>
  <c r="T358" i="5"/>
  <c r="V358" i="5" l="1"/>
  <c r="L358" i="2"/>
  <c r="N358" i="2" s="1"/>
  <c r="O358" i="2" s="1"/>
  <c r="P358" i="2" l="1"/>
  <c r="Q358" i="2"/>
  <c r="AB358" i="5" s="1"/>
  <c r="S358" i="2"/>
  <c r="Z358" i="5"/>
  <c r="AA358" i="5" l="1"/>
  <c r="R358" i="2"/>
  <c r="T358" i="2" s="1"/>
  <c r="U358" i="2"/>
  <c r="AD358" i="5" l="1"/>
  <c r="C359" i="5" s="1"/>
  <c r="E359" i="5" s="1"/>
  <c r="I359" i="5" s="1"/>
  <c r="AC358" i="5"/>
  <c r="K359" i="5" l="1"/>
  <c r="B359" i="5"/>
  <c r="D359" i="5" s="1"/>
  <c r="H359" i="5" s="1"/>
  <c r="M359" i="5" s="1"/>
  <c r="AE358" i="5"/>
  <c r="AF358" i="5" s="1"/>
  <c r="O359" i="5" l="1"/>
  <c r="Q359" i="5" s="1"/>
  <c r="J359" i="5"/>
  <c r="L359" i="5"/>
  <c r="AG358" i="5"/>
  <c r="N359" i="5" l="1"/>
  <c r="P359" i="5" s="1"/>
  <c r="S359" i="5"/>
  <c r="U359" i="5"/>
  <c r="M359" i="2" l="1"/>
  <c r="R359" i="5"/>
  <c r="T359" i="5"/>
  <c r="L359" i="2" l="1"/>
  <c r="N359" i="2" s="1"/>
  <c r="O359" i="2" s="1"/>
  <c r="V359" i="5"/>
  <c r="P359" i="2" l="1"/>
  <c r="Q359" i="2"/>
  <c r="AB359" i="5" s="1"/>
  <c r="R359" i="2"/>
  <c r="S359" i="2"/>
  <c r="Z359" i="5"/>
  <c r="T359" i="2" l="1"/>
  <c r="AA359" i="5"/>
  <c r="U359" i="2"/>
  <c r="AD359" i="5" l="1"/>
  <c r="C360" i="5" s="1"/>
  <c r="E360" i="5" s="1"/>
  <c r="I360" i="5" s="1"/>
  <c r="AC359" i="5"/>
  <c r="M360" i="5" l="1"/>
  <c r="K360" i="5"/>
  <c r="B360" i="5"/>
  <c r="D360" i="5" s="1"/>
  <c r="H360" i="5" s="1"/>
  <c r="AE359" i="5"/>
  <c r="AF359" i="5" s="1"/>
  <c r="O360" i="5" l="1"/>
  <c r="Q360" i="5" s="1"/>
  <c r="J360" i="5"/>
  <c r="L360" i="5"/>
  <c r="AG359" i="5"/>
  <c r="N360" i="5" l="1"/>
  <c r="P360" i="5" s="1"/>
  <c r="S360" i="5"/>
  <c r="U360" i="5"/>
  <c r="M360" i="2" l="1"/>
  <c r="R360" i="5"/>
  <c r="T360" i="5"/>
  <c r="L360" i="2" l="1"/>
  <c r="N360" i="2" s="1"/>
  <c r="O360" i="2" s="1"/>
  <c r="V360" i="5"/>
  <c r="P360" i="2" l="1"/>
  <c r="Q360" i="2"/>
  <c r="AB360" i="5" s="1"/>
  <c r="R360" i="2"/>
  <c r="Z360" i="5"/>
  <c r="AA360" i="5" l="1"/>
  <c r="S360" i="2"/>
  <c r="T360" i="2" s="1"/>
  <c r="U360" i="2"/>
  <c r="AD360" i="5" l="1"/>
  <c r="C361" i="5" s="1"/>
  <c r="E361" i="5" s="1"/>
  <c r="I361" i="5" s="1"/>
  <c r="AC360" i="5"/>
  <c r="K361" i="5" l="1"/>
  <c r="B361" i="5"/>
  <c r="D361" i="5" s="1"/>
  <c r="H361" i="5" s="1"/>
  <c r="M361" i="5" s="1"/>
  <c r="AE360" i="5"/>
  <c r="AF360" i="5" s="1"/>
  <c r="O361" i="5" l="1"/>
  <c r="Q361" i="5" s="1"/>
  <c r="L361" i="5"/>
  <c r="J361" i="5"/>
  <c r="AG360" i="5"/>
  <c r="N361" i="5" l="1"/>
  <c r="P361" i="5" s="1"/>
  <c r="S361" i="5"/>
  <c r="U361" i="5"/>
  <c r="M361" i="2" l="1"/>
  <c r="R361" i="5"/>
  <c r="T361" i="5"/>
  <c r="L361" i="2" l="1"/>
  <c r="N361" i="2" s="1"/>
  <c r="O361" i="2" s="1"/>
  <c r="V361" i="5"/>
  <c r="P361" i="2" l="1"/>
  <c r="Q361" i="2"/>
  <c r="Z361" i="5"/>
  <c r="AA361" i="5" l="1"/>
  <c r="S361" i="2"/>
  <c r="U361" i="2"/>
  <c r="AB361" i="5"/>
  <c r="R361" i="2"/>
  <c r="AD361" i="5" l="1"/>
  <c r="C362" i="5" s="1"/>
  <c r="E362" i="5" s="1"/>
  <c r="I362" i="5" s="1"/>
  <c r="AC361" i="5"/>
  <c r="T361" i="2"/>
  <c r="K362" i="5" l="1"/>
  <c r="B362" i="5"/>
  <c r="D362" i="5" s="1"/>
  <c r="H362" i="5" s="1"/>
  <c r="M362" i="5" s="1"/>
  <c r="AE361" i="5"/>
  <c r="AF361" i="5" s="1"/>
  <c r="O362" i="5" l="1"/>
  <c r="Q362" i="5" s="1"/>
  <c r="L362" i="5"/>
  <c r="J362" i="5"/>
  <c r="AG361" i="5"/>
  <c r="N362" i="5" l="1"/>
  <c r="P362" i="5" s="1"/>
  <c r="S362" i="5"/>
  <c r="U362" i="5"/>
  <c r="M362" i="2" l="1"/>
  <c r="R362" i="5"/>
  <c r="T362" i="5"/>
  <c r="L362" i="2" l="1"/>
  <c r="N362" i="2" s="1"/>
  <c r="O362" i="2" s="1"/>
  <c r="V362" i="5"/>
  <c r="P362" i="2" l="1"/>
  <c r="Q362" i="2"/>
  <c r="AB362" i="5" s="1"/>
  <c r="U362" i="2"/>
  <c r="Z362" i="5"/>
  <c r="AA362" i="5" l="1"/>
  <c r="R362" i="2"/>
  <c r="T362" i="2" s="1"/>
  <c r="S362" i="2"/>
  <c r="AD362" i="5" l="1"/>
  <c r="C363" i="5" s="1"/>
  <c r="E363" i="5" s="1"/>
  <c r="I363" i="5" s="1"/>
  <c r="AC362" i="5"/>
  <c r="K363" i="5" l="1"/>
  <c r="B363" i="5"/>
  <c r="D363" i="5" s="1"/>
  <c r="H363" i="5" s="1"/>
  <c r="M363" i="5" s="1"/>
  <c r="AE362" i="5"/>
  <c r="AF362" i="5" s="1"/>
  <c r="O363" i="5" l="1"/>
  <c r="Q363" i="5" s="1"/>
  <c r="J363" i="5"/>
  <c r="L363" i="5"/>
  <c r="AG362" i="5"/>
  <c r="N363" i="5" l="1"/>
  <c r="P363" i="5" s="1"/>
  <c r="S363" i="5"/>
  <c r="U363" i="5"/>
  <c r="M363" i="2" l="1"/>
  <c r="R363" i="5"/>
  <c r="T363" i="5"/>
  <c r="L363" i="2" l="1"/>
  <c r="N363" i="2" s="1"/>
  <c r="O363" i="2" s="1"/>
  <c r="V363" i="5"/>
  <c r="P363" i="2" l="1"/>
  <c r="Q363" i="2"/>
  <c r="AB363" i="5" s="1"/>
  <c r="Z363" i="5"/>
  <c r="AA363" i="5" l="1"/>
  <c r="R363" i="2"/>
  <c r="T363" i="2" s="1"/>
  <c r="S363" i="2"/>
  <c r="U363" i="2"/>
  <c r="AD363" i="5" l="1"/>
  <c r="C364" i="5" s="1"/>
  <c r="E364" i="5" s="1"/>
  <c r="I364" i="5" s="1"/>
  <c r="AC363" i="5"/>
  <c r="M364" i="5" l="1"/>
  <c r="K364" i="5"/>
  <c r="B364" i="5"/>
  <c r="D364" i="5" s="1"/>
  <c r="H364" i="5" s="1"/>
  <c r="AE363" i="5"/>
  <c r="AF363" i="5" s="1"/>
  <c r="O364" i="5" l="1"/>
  <c r="Q364" i="5" s="1"/>
  <c r="J364" i="5"/>
  <c r="L364" i="5"/>
  <c r="AG363" i="5"/>
  <c r="N364" i="5" l="1"/>
  <c r="P364" i="5" s="1"/>
  <c r="S364" i="5"/>
  <c r="U364" i="5"/>
  <c r="M364" i="2" l="1"/>
  <c r="R364" i="5"/>
  <c r="T364" i="5"/>
  <c r="L364" i="2" l="1"/>
  <c r="N364" i="2" s="1"/>
  <c r="O364" i="2" s="1"/>
  <c r="V364" i="5"/>
  <c r="P364" i="2" l="1"/>
  <c r="Q364" i="2"/>
  <c r="AB364" i="5" s="1"/>
  <c r="Z364" i="5"/>
  <c r="AA364" i="5" l="1"/>
  <c r="R364" i="2"/>
  <c r="U364" i="2"/>
  <c r="S364" i="2"/>
  <c r="AD364" i="5" l="1"/>
  <c r="C365" i="5" s="1"/>
  <c r="E365" i="5" s="1"/>
  <c r="I365" i="5" s="1"/>
  <c r="AC364" i="5"/>
  <c r="T364" i="2"/>
  <c r="K365" i="5" l="1"/>
  <c r="AE364" i="5"/>
  <c r="AF364" i="5" s="1"/>
  <c r="B365" i="5"/>
  <c r="D365" i="5" s="1"/>
  <c r="H365" i="5" s="1"/>
  <c r="M365" i="5" s="1"/>
  <c r="O365" i="5" l="1"/>
  <c r="Q365" i="5" s="1"/>
  <c r="AG364" i="5"/>
  <c r="J365" i="5"/>
  <c r="L365" i="5"/>
  <c r="N365" i="5" l="1"/>
  <c r="P365" i="5" s="1"/>
  <c r="S365" i="5"/>
  <c r="U365" i="5"/>
  <c r="M365" i="2" l="1"/>
  <c r="R365" i="5"/>
  <c r="T365" i="5"/>
  <c r="L365" i="2" l="1"/>
  <c r="N365" i="2" s="1"/>
  <c r="O365" i="2" s="1"/>
  <c r="V365" i="5"/>
  <c r="P365" i="2" l="1"/>
  <c r="Q365" i="2"/>
  <c r="AB365" i="5" s="1"/>
  <c r="R365" i="2"/>
  <c r="T365" i="2" s="1"/>
  <c r="S365" i="2"/>
  <c r="Z365" i="5"/>
  <c r="AA365" i="5" l="1"/>
  <c r="U365" i="2"/>
  <c r="AD365" i="5" l="1"/>
  <c r="C366" i="5" s="1"/>
  <c r="E366" i="5" s="1"/>
  <c r="I366" i="5" s="1"/>
  <c r="AC365" i="5"/>
  <c r="K366" i="5" l="1"/>
  <c r="AE365" i="5"/>
  <c r="AF365" i="5" s="1"/>
  <c r="B366" i="5"/>
  <c r="D366" i="5" s="1"/>
  <c r="H366" i="5" s="1"/>
  <c r="M366" i="5" s="1"/>
  <c r="O366" i="5" l="1"/>
  <c r="Q366" i="5" s="1"/>
  <c r="AG365" i="5"/>
  <c r="J366" i="5"/>
  <c r="L366" i="5"/>
  <c r="N366" i="5" l="1"/>
  <c r="P366" i="5" s="1"/>
  <c r="S366" i="5"/>
  <c r="U366" i="5"/>
  <c r="M366" i="2" l="1"/>
  <c r="R366" i="5"/>
  <c r="T366" i="5"/>
  <c r="L366" i="2" l="1"/>
  <c r="N366" i="2" s="1"/>
  <c r="O366" i="2" s="1"/>
  <c r="V366" i="5"/>
  <c r="P366" i="2" l="1"/>
  <c r="AA366" i="5" s="1"/>
  <c r="Q366" i="2"/>
  <c r="AB366" i="5" s="1"/>
  <c r="R366" i="2"/>
  <c r="T366" i="2" s="1"/>
  <c r="S366" i="2"/>
  <c r="U366" i="2"/>
  <c r="Z366" i="5"/>
  <c r="AC366" i="5" l="1"/>
  <c r="AD366" i="5"/>
  <c r="C367" i="5" s="1"/>
  <c r="E367" i="5" s="1"/>
  <c r="I367" i="5" s="1"/>
  <c r="B367" i="5" l="1"/>
  <c r="D367" i="5" s="1"/>
  <c r="H367" i="5" s="1"/>
  <c r="AE366" i="5"/>
  <c r="AF366" i="5" s="1"/>
  <c r="M367" i="5"/>
  <c r="K367" i="5"/>
  <c r="L367" i="5" l="1"/>
  <c r="J367" i="5"/>
  <c r="AG366" i="5"/>
  <c r="O367" i="5"/>
  <c r="Q367" i="5" s="1"/>
  <c r="N367" i="5" l="1"/>
  <c r="P367" i="5" s="1"/>
  <c r="S367" i="5"/>
  <c r="U367" i="5"/>
  <c r="M367" i="2" l="1"/>
  <c r="R367" i="5"/>
  <c r="T367" i="5"/>
  <c r="L367" i="2" l="1"/>
  <c r="N367" i="2" s="1"/>
  <c r="O367" i="2" s="1"/>
  <c r="V367" i="5"/>
  <c r="P367" i="2" l="1"/>
  <c r="Q367" i="2"/>
  <c r="AB367" i="5" s="1"/>
  <c r="R367" i="2"/>
  <c r="Z367" i="5"/>
  <c r="AA367" i="5" l="1"/>
  <c r="S367" i="2"/>
  <c r="T367" i="2" s="1"/>
  <c r="U367" i="2"/>
  <c r="AD367" i="5" l="1"/>
  <c r="C368" i="5" s="1"/>
  <c r="E368" i="5" s="1"/>
  <c r="I368" i="5" s="1"/>
  <c r="AC367" i="5"/>
  <c r="K368" i="5" l="1"/>
  <c r="B368" i="5"/>
  <c r="D368" i="5" s="1"/>
  <c r="H368" i="5" s="1"/>
  <c r="M368" i="5" s="1"/>
  <c r="AE367" i="5"/>
  <c r="AF367" i="5" s="1"/>
  <c r="O368" i="5" l="1"/>
  <c r="Q368" i="5" s="1"/>
  <c r="L368" i="5"/>
  <c r="J368" i="5"/>
  <c r="AG367" i="5"/>
  <c r="N368" i="5" l="1"/>
  <c r="P368" i="5" s="1"/>
  <c r="S368" i="5"/>
  <c r="U368" i="5"/>
  <c r="M368" i="2" l="1"/>
  <c r="R368" i="5"/>
  <c r="T368" i="5"/>
  <c r="L368" i="2" l="1"/>
  <c r="N368" i="2" s="1"/>
  <c r="O368" i="2" s="1"/>
  <c r="V368" i="5"/>
  <c r="P368" i="2" l="1"/>
  <c r="Q368" i="2"/>
  <c r="AB368" i="5" s="1"/>
  <c r="Z368" i="5"/>
  <c r="AA368" i="5" l="1"/>
  <c r="R368" i="2"/>
  <c r="T368" i="2" s="1"/>
  <c r="S368" i="2"/>
  <c r="U368" i="2"/>
  <c r="AD368" i="5" l="1"/>
  <c r="C369" i="5" s="1"/>
  <c r="E369" i="5" s="1"/>
  <c r="I369" i="5" s="1"/>
  <c r="AC368" i="5"/>
  <c r="K369" i="5" l="1"/>
  <c r="B369" i="5"/>
  <c r="D369" i="5" s="1"/>
  <c r="H369" i="5" s="1"/>
  <c r="M369" i="5" s="1"/>
  <c r="AE368" i="5"/>
  <c r="AF368" i="5" s="1"/>
  <c r="O369" i="5" l="1"/>
  <c r="Q369" i="5" s="1"/>
  <c r="J369" i="5"/>
  <c r="L369" i="5"/>
  <c r="AG368" i="5"/>
  <c r="N369" i="5" l="1"/>
  <c r="P369" i="5" s="1"/>
  <c r="S369" i="5"/>
  <c r="U369" i="5"/>
  <c r="M369" i="2" l="1"/>
  <c r="R369" i="5"/>
  <c r="T369" i="5"/>
  <c r="L369" i="2" l="1"/>
  <c r="N369" i="2" s="1"/>
  <c r="O369" i="2" s="1"/>
  <c r="V369" i="5"/>
  <c r="P369" i="2" l="1"/>
  <c r="Q369" i="2"/>
  <c r="AB369" i="5" s="1"/>
  <c r="Z369" i="5"/>
  <c r="AA369" i="5" l="1"/>
  <c r="R369" i="2"/>
  <c r="T369" i="2" s="1"/>
  <c r="S369" i="2"/>
  <c r="U369" i="2"/>
  <c r="AD369" i="5" l="1"/>
  <c r="C370" i="5" s="1"/>
  <c r="E370" i="5" s="1"/>
  <c r="I370" i="5" s="1"/>
  <c r="AC369" i="5"/>
  <c r="M370" i="5" l="1"/>
  <c r="K370" i="5"/>
  <c r="B370" i="5"/>
  <c r="D370" i="5" s="1"/>
  <c r="H370" i="5" s="1"/>
  <c r="AE369" i="5"/>
  <c r="AF369" i="5" s="1"/>
  <c r="O370" i="5" l="1"/>
  <c r="Q370" i="5" s="1"/>
  <c r="J370" i="5"/>
  <c r="L370" i="5"/>
  <c r="AG369" i="5"/>
  <c r="N370" i="5" l="1"/>
  <c r="P370" i="5" s="1"/>
  <c r="S370" i="5"/>
  <c r="U370" i="5"/>
  <c r="M370" i="2" l="1"/>
  <c r="R370" i="5"/>
  <c r="T370" i="5"/>
  <c r="V370" i="5" l="1"/>
  <c r="L370" i="2"/>
  <c r="N370" i="2" s="1"/>
  <c r="O370" i="2" s="1"/>
  <c r="P370" i="2" l="1"/>
  <c r="Q370" i="2"/>
  <c r="AB370" i="5" s="1"/>
  <c r="R370" i="2"/>
  <c r="Z370" i="5"/>
  <c r="AA370" i="5" l="1"/>
  <c r="S370" i="2"/>
  <c r="T370" i="2" s="1"/>
  <c r="U370" i="2"/>
  <c r="AD370" i="5" l="1"/>
  <c r="C371" i="5" s="1"/>
  <c r="E371" i="5" s="1"/>
  <c r="I371" i="5" s="1"/>
  <c r="AC370" i="5"/>
  <c r="K371" i="5" l="1"/>
  <c r="B371" i="5"/>
  <c r="D371" i="5" s="1"/>
  <c r="H371" i="5" s="1"/>
  <c r="M371" i="5" s="1"/>
  <c r="AE370" i="5"/>
  <c r="AF370" i="5" s="1"/>
  <c r="O371" i="5" l="1"/>
  <c r="Q371" i="5" s="1"/>
  <c r="J371" i="5"/>
  <c r="L371" i="5"/>
  <c r="AG370" i="5"/>
  <c r="N371" i="5" l="1"/>
  <c r="P371" i="5" s="1"/>
  <c r="S371" i="5"/>
  <c r="U371" i="5"/>
  <c r="M371" i="2" l="1"/>
  <c r="R371" i="5"/>
  <c r="T371" i="5"/>
  <c r="L371" i="2" l="1"/>
  <c r="N371" i="2" s="1"/>
  <c r="O371" i="2" s="1"/>
  <c r="V371" i="5"/>
  <c r="P371" i="2" l="1"/>
  <c r="AA371" i="5" s="1"/>
  <c r="Q371" i="2"/>
  <c r="AB371" i="5" s="1"/>
  <c r="R371" i="2"/>
  <c r="S371" i="2"/>
  <c r="U371" i="2"/>
  <c r="Z371" i="5"/>
  <c r="AC371" i="5" l="1"/>
  <c r="AD371" i="5"/>
  <c r="C372" i="5" s="1"/>
  <c r="E372" i="5" s="1"/>
  <c r="I372" i="5" s="1"/>
  <c r="T371" i="2"/>
  <c r="B372" i="5" l="1"/>
  <c r="D372" i="5" s="1"/>
  <c r="H372" i="5" s="1"/>
  <c r="AE371" i="5"/>
  <c r="AF371" i="5" s="1"/>
  <c r="M372" i="5"/>
  <c r="K372" i="5"/>
  <c r="J372" i="5" l="1"/>
  <c r="L372" i="5"/>
  <c r="AG371" i="5"/>
  <c r="O372" i="5"/>
  <c r="Q372" i="5" s="1"/>
  <c r="N372" i="5" l="1"/>
  <c r="P372" i="5" s="1"/>
  <c r="S372" i="5"/>
  <c r="U372" i="5"/>
  <c r="M372" i="2" l="1"/>
  <c r="R372" i="5"/>
  <c r="T372" i="5"/>
  <c r="L372" i="2" l="1"/>
  <c r="N372" i="2" s="1"/>
  <c r="O372" i="2" s="1"/>
  <c r="V372" i="5"/>
  <c r="P372" i="2" l="1"/>
  <c r="Q372" i="2"/>
  <c r="AB372" i="5" s="1"/>
  <c r="R372" i="2"/>
  <c r="S372" i="2"/>
  <c r="Z372" i="5"/>
  <c r="T372" i="2" l="1"/>
  <c r="AA372" i="5"/>
  <c r="U372" i="2"/>
  <c r="AD372" i="5" l="1"/>
  <c r="C373" i="5" s="1"/>
  <c r="E373" i="5" s="1"/>
  <c r="I373" i="5" s="1"/>
  <c r="AC372" i="5"/>
  <c r="K373" i="5" l="1"/>
  <c r="AE372" i="5"/>
  <c r="AF372" i="5" s="1"/>
  <c r="B373" i="5"/>
  <c r="D373" i="5" s="1"/>
  <c r="H373" i="5" s="1"/>
  <c r="M373" i="5" s="1"/>
  <c r="O373" i="5" l="1"/>
  <c r="Q373" i="5" s="1"/>
  <c r="AG372" i="5"/>
  <c r="J373" i="5"/>
  <c r="L373" i="5"/>
  <c r="N373" i="5" l="1"/>
  <c r="P373" i="5" s="1"/>
  <c r="S373" i="5"/>
  <c r="U373" i="5"/>
  <c r="M373" i="2" l="1"/>
  <c r="R373" i="5"/>
  <c r="T373" i="5"/>
  <c r="V373" i="5" l="1"/>
  <c r="L373" i="2"/>
  <c r="N373" i="2" s="1"/>
  <c r="O373" i="2" s="1"/>
  <c r="P373" i="2" l="1"/>
  <c r="Q373" i="2"/>
  <c r="AB373" i="5" s="1"/>
  <c r="Z373" i="5"/>
  <c r="AA373" i="5" l="1"/>
  <c r="R373" i="2"/>
  <c r="S373" i="2"/>
  <c r="U373" i="2"/>
  <c r="AD373" i="5" l="1"/>
  <c r="C374" i="5" s="1"/>
  <c r="E374" i="5" s="1"/>
  <c r="I374" i="5" s="1"/>
  <c r="AC373" i="5"/>
  <c r="T373" i="2"/>
  <c r="K374" i="5" l="1"/>
  <c r="B374" i="5"/>
  <c r="D374" i="5" s="1"/>
  <c r="H374" i="5" s="1"/>
  <c r="M374" i="5" s="1"/>
  <c r="AE373" i="5"/>
  <c r="AF373" i="5" s="1"/>
  <c r="O374" i="5" l="1"/>
  <c r="Q374" i="5" s="1"/>
  <c r="J374" i="5"/>
  <c r="L374" i="5"/>
  <c r="AG373" i="5"/>
  <c r="N374" i="5" l="1"/>
  <c r="P374" i="5" s="1"/>
  <c r="S374" i="5"/>
  <c r="U374" i="5"/>
  <c r="M374" i="2" l="1"/>
  <c r="R374" i="5"/>
  <c r="T374" i="5"/>
  <c r="L374" i="2" l="1"/>
  <c r="N374" i="2" s="1"/>
  <c r="O374" i="2" s="1"/>
  <c r="V374" i="5"/>
  <c r="P374" i="2" l="1"/>
  <c r="Q374" i="2"/>
  <c r="Z374" i="5"/>
  <c r="AA374" i="5" l="1"/>
  <c r="S374" i="2"/>
  <c r="U374" i="2"/>
  <c r="AB374" i="5"/>
  <c r="R374" i="2"/>
  <c r="T374" i="2" s="1"/>
  <c r="AD374" i="5" l="1"/>
  <c r="C375" i="5" s="1"/>
  <c r="E375" i="5" s="1"/>
  <c r="I375" i="5" s="1"/>
  <c r="AC374" i="5"/>
  <c r="M375" i="5" l="1"/>
  <c r="K375" i="5"/>
  <c r="B375" i="5"/>
  <c r="D375" i="5" s="1"/>
  <c r="H375" i="5" s="1"/>
  <c r="AE374" i="5"/>
  <c r="AF374" i="5" s="1"/>
  <c r="O375" i="5" l="1"/>
  <c r="Q375" i="5" s="1"/>
  <c r="J375" i="5"/>
  <c r="L375" i="5"/>
  <c r="AG374" i="5"/>
  <c r="N375" i="5" l="1"/>
  <c r="P375" i="5" s="1"/>
  <c r="S375" i="5"/>
  <c r="U375" i="5"/>
  <c r="M375" i="2" l="1"/>
  <c r="R375" i="5"/>
  <c r="T375" i="5"/>
  <c r="L375" i="2" l="1"/>
  <c r="N375" i="2" s="1"/>
  <c r="O375" i="2" s="1"/>
  <c r="V375" i="5"/>
  <c r="P375" i="2" l="1"/>
  <c r="Q375" i="2"/>
  <c r="AB375" i="5" s="1"/>
  <c r="R375" i="2"/>
  <c r="Z375" i="5"/>
  <c r="AA375" i="5" l="1"/>
  <c r="S375" i="2"/>
  <c r="T375" i="2" s="1"/>
  <c r="U375" i="2"/>
  <c r="AD375" i="5" l="1"/>
  <c r="C376" i="5" s="1"/>
  <c r="E376" i="5" s="1"/>
  <c r="I376" i="5" s="1"/>
  <c r="AC375" i="5"/>
  <c r="K376" i="5" l="1"/>
  <c r="B376" i="5"/>
  <c r="D376" i="5" s="1"/>
  <c r="H376" i="5" s="1"/>
  <c r="M376" i="5" s="1"/>
  <c r="AE375" i="5"/>
  <c r="AF375" i="5" s="1"/>
  <c r="O376" i="5" l="1"/>
  <c r="Q376" i="5" s="1"/>
  <c r="J376" i="5"/>
  <c r="L376" i="5"/>
  <c r="AG375" i="5"/>
  <c r="N376" i="5" l="1"/>
  <c r="P376" i="5" s="1"/>
  <c r="S376" i="5"/>
  <c r="U376" i="5"/>
  <c r="M376" i="2" l="1"/>
  <c r="R376" i="5"/>
  <c r="T376" i="5"/>
  <c r="L376" i="2" l="1"/>
  <c r="N376" i="2" s="1"/>
  <c r="O376" i="2" s="1"/>
  <c r="V376" i="5"/>
  <c r="P376" i="2" l="1"/>
  <c r="Q376" i="2"/>
  <c r="AB376" i="5" s="1"/>
  <c r="Z376" i="5"/>
  <c r="AA376" i="5" l="1"/>
  <c r="R376" i="2"/>
  <c r="T376" i="2" s="1"/>
  <c r="S376" i="2"/>
  <c r="U376" i="2"/>
  <c r="AD376" i="5" l="1"/>
  <c r="C377" i="5" s="1"/>
  <c r="E377" i="5" s="1"/>
  <c r="I377" i="5" s="1"/>
  <c r="AC376" i="5"/>
  <c r="K377" i="5" l="1"/>
  <c r="AE376" i="5"/>
  <c r="AF376" i="5" s="1"/>
  <c r="B377" i="5"/>
  <c r="D377" i="5" s="1"/>
  <c r="H377" i="5" s="1"/>
  <c r="M377" i="5" s="1"/>
  <c r="O377" i="5" l="1"/>
  <c r="Q377" i="5" s="1"/>
  <c r="AG376" i="5"/>
  <c r="J377" i="5"/>
  <c r="L377" i="5"/>
  <c r="N377" i="5" l="1"/>
  <c r="P377" i="5" s="1"/>
  <c r="S377" i="5"/>
  <c r="U377" i="5"/>
  <c r="M377" i="2" l="1"/>
  <c r="R377" i="5"/>
  <c r="T377" i="5"/>
  <c r="L377" i="2" l="1"/>
  <c r="N377" i="2" s="1"/>
  <c r="O377" i="2" s="1"/>
  <c r="V377" i="5"/>
  <c r="P377" i="2" l="1"/>
  <c r="AA377" i="5" s="1"/>
  <c r="Q377" i="2"/>
  <c r="AB377" i="5" s="1"/>
  <c r="R377" i="2"/>
  <c r="S377" i="2"/>
  <c r="U377" i="2"/>
  <c r="Z377" i="5"/>
  <c r="AC377" i="5" l="1"/>
  <c r="AD377" i="5"/>
  <c r="C378" i="5" s="1"/>
  <c r="E378" i="5" s="1"/>
  <c r="I378" i="5" s="1"/>
  <c r="T377" i="2"/>
  <c r="B378" i="5" l="1"/>
  <c r="D378" i="5" s="1"/>
  <c r="H378" i="5" s="1"/>
  <c r="AE377" i="5"/>
  <c r="AF377" i="5" s="1"/>
  <c r="M378" i="5"/>
  <c r="K378" i="5"/>
  <c r="J378" i="5" l="1"/>
  <c r="L378" i="5"/>
  <c r="AG377" i="5"/>
  <c r="O378" i="5"/>
  <c r="Q378" i="5" s="1"/>
  <c r="N378" i="5" l="1"/>
  <c r="P378" i="5" s="1"/>
  <c r="S378" i="5"/>
  <c r="U378" i="5"/>
  <c r="M378" i="2" l="1"/>
  <c r="R378" i="5"/>
  <c r="T378" i="5"/>
  <c r="L378" i="2" l="1"/>
  <c r="N378" i="2" s="1"/>
  <c r="O378" i="2" s="1"/>
  <c r="V378" i="5"/>
  <c r="P378" i="2" l="1"/>
  <c r="Q378" i="2"/>
  <c r="AB378" i="5" s="1"/>
  <c r="R378" i="2"/>
  <c r="Z378" i="5"/>
  <c r="AA378" i="5" l="1"/>
  <c r="S378" i="2"/>
  <c r="T378" i="2" s="1"/>
  <c r="U378" i="2"/>
  <c r="AD378" i="5" l="1"/>
  <c r="C379" i="5" s="1"/>
  <c r="E379" i="5" s="1"/>
  <c r="I379" i="5" s="1"/>
  <c r="AC378" i="5"/>
  <c r="K379" i="5" l="1"/>
  <c r="AE378" i="5"/>
  <c r="AF378" i="5" s="1"/>
  <c r="B379" i="5"/>
  <c r="D379" i="5" s="1"/>
  <c r="H379" i="5" s="1"/>
  <c r="M379" i="5" s="1"/>
  <c r="O379" i="5" l="1"/>
  <c r="Q379" i="5" s="1"/>
  <c r="AG378" i="5"/>
  <c r="J379" i="5"/>
  <c r="L379" i="5"/>
  <c r="N379" i="5" l="1"/>
  <c r="P379" i="5" s="1"/>
  <c r="S379" i="5"/>
  <c r="U379" i="5"/>
  <c r="M379" i="2" l="1"/>
  <c r="R379" i="5"/>
  <c r="T379" i="5"/>
  <c r="L379" i="2" l="1"/>
  <c r="N379" i="2" s="1"/>
  <c r="O379" i="2" s="1"/>
  <c r="V379" i="5"/>
  <c r="P379" i="2" l="1"/>
  <c r="Q379" i="2"/>
  <c r="AB379" i="5" s="1"/>
  <c r="R379" i="2"/>
  <c r="Z379" i="5"/>
  <c r="AA379" i="5" l="1"/>
  <c r="S379" i="2"/>
  <c r="T379" i="2" s="1"/>
  <c r="U379" i="2"/>
  <c r="AD379" i="5" l="1"/>
  <c r="C380" i="5" s="1"/>
  <c r="E380" i="5" s="1"/>
  <c r="I380" i="5" s="1"/>
  <c r="AC379" i="5"/>
  <c r="K380" i="5" l="1"/>
  <c r="AE379" i="5"/>
  <c r="AF379" i="5" s="1"/>
  <c r="B380" i="5"/>
  <c r="D380" i="5" s="1"/>
  <c r="H380" i="5" s="1"/>
  <c r="M380" i="5" s="1"/>
  <c r="O380" i="5" l="1"/>
  <c r="Q380" i="5" s="1"/>
  <c r="AG379" i="5"/>
  <c r="J380" i="5"/>
  <c r="L380" i="5"/>
  <c r="N380" i="5" l="1"/>
  <c r="P380" i="5" s="1"/>
  <c r="S380" i="5"/>
  <c r="U380" i="5"/>
  <c r="M380" i="2" l="1"/>
  <c r="R380" i="5"/>
  <c r="T380" i="5"/>
  <c r="L380" i="2" l="1"/>
  <c r="N380" i="2" s="1"/>
  <c r="O380" i="2" s="1"/>
  <c r="V380" i="5"/>
  <c r="P380" i="2" l="1"/>
  <c r="Q380" i="2"/>
  <c r="AB380" i="5" s="1"/>
  <c r="R380" i="2"/>
  <c r="Z380" i="5"/>
  <c r="AA380" i="5" l="1"/>
  <c r="S380" i="2"/>
  <c r="T380" i="2" s="1"/>
  <c r="U380" i="2"/>
  <c r="AD380" i="5" l="1"/>
  <c r="C381" i="5" s="1"/>
  <c r="E381" i="5" s="1"/>
  <c r="I381" i="5" s="1"/>
  <c r="AC380" i="5"/>
  <c r="K381" i="5" l="1"/>
  <c r="AE380" i="5"/>
  <c r="AF380" i="5" s="1"/>
  <c r="B381" i="5"/>
  <c r="D381" i="5" s="1"/>
  <c r="H381" i="5" s="1"/>
  <c r="M381" i="5" s="1"/>
  <c r="O381" i="5" l="1"/>
  <c r="Q381" i="5" s="1"/>
  <c r="AG380" i="5"/>
  <c r="J381" i="5"/>
  <c r="L381" i="5"/>
  <c r="N381" i="5" l="1"/>
  <c r="P381" i="5" s="1"/>
  <c r="S381" i="5"/>
  <c r="U381" i="5"/>
  <c r="M381" i="2" l="1"/>
  <c r="R381" i="5"/>
  <c r="T381" i="5"/>
  <c r="L381" i="2" l="1"/>
  <c r="N381" i="2" s="1"/>
  <c r="O381" i="2" s="1"/>
  <c r="V381" i="5"/>
  <c r="P381" i="2" l="1"/>
  <c r="Q381" i="2"/>
  <c r="AB381" i="5" s="1"/>
  <c r="Z381" i="5"/>
  <c r="AA381" i="5" l="1"/>
  <c r="R381" i="2"/>
  <c r="T381" i="2" s="1"/>
  <c r="S381" i="2"/>
  <c r="U381" i="2"/>
  <c r="AD381" i="5" l="1"/>
  <c r="C382" i="5" s="1"/>
  <c r="E382" i="5" s="1"/>
  <c r="I382" i="5" s="1"/>
  <c r="AC381" i="5"/>
  <c r="M382" i="5" l="1"/>
  <c r="K382" i="5"/>
  <c r="AE381" i="5"/>
  <c r="AF381" i="5" s="1"/>
  <c r="B382" i="5"/>
  <c r="D382" i="5" s="1"/>
  <c r="H382" i="5" s="1"/>
  <c r="O382" i="5" l="1"/>
  <c r="Q382" i="5" s="1"/>
  <c r="AG381" i="5"/>
  <c r="J382" i="5"/>
  <c r="L382" i="5"/>
  <c r="N382" i="5" l="1"/>
  <c r="P382" i="5" s="1"/>
  <c r="S382" i="5"/>
  <c r="U382" i="5"/>
  <c r="M382" i="2" l="1"/>
  <c r="R382" i="5"/>
  <c r="T382" i="5"/>
  <c r="L382" i="2" l="1"/>
  <c r="N382" i="2" s="1"/>
  <c r="O382" i="2" s="1"/>
  <c r="V382" i="5"/>
  <c r="P382" i="2" l="1"/>
  <c r="Q382" i="2"/>
  <c r="Z382" i="5"/>
  <c r="AA382" i="5" l="1"/>
  <c r="R382" i="2"/>
  <c r="S382" i="2"/>
  <c r="AB382" i="5"/>
  <c r="U382" i="2"/>
  <c r="AD382" i="5" l="1"/>
  <c r="C383" i="5" s="1"/>
  <c r="E383" i="5" s="1"/>
  <c r="I383" i="5" s="1"/>
  <c r="AC382" i="5"/>
  <c r="T382" i="2"/>
  <c r="K383" i="5" l="1"/>
  <c r="B383" i="5"/>
  <c r="D383" i="5" s="1"/>
  <c r="H383" i="5" s="1"/>
  <c r="M383" i="5" s="1"/>
  <c r="AE382" i="5"/>
  <c r="AF382" i="5" s="1"/>
  <c r="O383" i="5" l="1"/>
  <c r="Q383" i="5" s="1"/>
  <c r="J383" i="5"/>
  <c r="L383" i="5"/>
  <c r="AG382" i="5"/>
  <c r="N383" i="5" l="1"/>
  <c r="P383" i="5" s="1"/>
  <c r="S383" i="5"/>
  <c r="U383" i="5"/>
  <c r="M383" i="2" l="1"/>
  <c r="R383" i="5"/>
  <c r="T383" i="5"/>
  <c r="L383" i="2" l="1"/>
  <c r="N383" i="2" s="1"/>
  <c r="O383" i="2" s="1"/>
  <c r="V383" i="5"/>
  <c r="P383" i="2" l="1"/>
  <c r="Q383" i="2"/>
  <c r="AB383" i="5" s="1"/>
  <c r="Z383" i="5"/>
  <c r="AA383" i="5" l="1"/>
  <c r="R383" i="2"/>
  <c r="S383" i="2"/>
  <c r="U383" i="2"/>
  <c r="AD383" i="5" l="1"/>
  <c r="C384" i="5" s="1"/>
  <c r="E384" i="5" s="1"/>
  <c r="I384" i="5" s="1"/>
  <c r="AC383" i="5"/>
  <c r="T383" i="2"/>
  <c r="M384" i="5" l="1"/>
  <c r="K384" i="5"/>
  <c r="B384" i="5"/>
  <c r="D384" i="5" s="1"/>
  <c r="H384" i="5" s="1"/>
  <c r="AE383" i="5"/>
  <c r="AF383" i="5" s="1"/>
  <c r="O384" i="5" l="1"/>
  <c r="Q384" i="5" s="1"/>
  <c r="S384" i="5" s="1"/>
  <c r="U384" i="5"/>
  <c r="J384" i="5"/>
  <c r="L384" i="5"/>
  <c r="AG383" i="5"/>
  <c r="M384" i="2" l="1"/>
  <c r="N384" i="5"/>
  <c r="P384" i="5" s="1"/>
  <c r="R384" i="5" l="1"/>
  <c r="T384" i="5"/>
  <c r="L384" i="2" l="1"/>
  <c r="N384" i="2" s="1"/>
  <c r="O384" i="2" s="1"/>
  <c r="V384" i="5"/>
  <c r="P384" i="2" l="1"/>
  <c r="Q384" i="2"/>
  <c r="AB384" i="5" s="1"/>
  <c r="Z384" i="5"/>
  <c r="AA384" i="5" l="1"/>
  <c r="R384" i="2"/>
  <c r="S384" i="2"/>
  <c r="U384" i="2"/>
  <c r="AD384" i="5" l="1"/>
  <c r="C385" i="5" s="1"/>
  <c r="E385" i="5" s="1"/>
  <c r="I385" i="5" s="1"/>
  <c r="AC384" i="5"/>
  <c r="T384" i="2"/>
  <c r="K385" i="5" l="1"/>
  <c r="B385" i="5"/>
  <c r="D385" i="5" s="1"/>
  <c r="H385" i="5" s="1"/>
  <c r="M385" i="5" s="1"/>
  <c r="AE384" i="5"/>
  <c r="AF384" i="5" s="1"/>
  <c r="O385" i="5" l="1"/>
  <c r="Q385" i="5" s="1"/>
  <c r="J385" i="5"/>
  <c r="L385" i="5"/>
  <c r="AG384" i="5"/>
  <c r="N385" i="5" l="1"/>
  <c r="P385" i="5" s="1"/>
  <c r="S385" i="5"/>
  <c r="U385" i="5"/>
  <c r="M385" i="2" l="1"/>
  <c r="R385" i="5"/>
  <c r="T385" i="5"/>
  <c r="L385" i="2" l="1"/>
  <c r="N385" i="2" s="1"/>
  <c r="O385" i="2" s="1"/>
  <c r="V385" i="5"/>
  <c r="P385" i="2" l="1"/>
  <c r="Q385" i="2"/>
  <c r="AB385" i="5" s="1"/>
  <c r="Z385" i="5"/>
  <c r="AA385" i="5" l="1"/>
  <c r="R385" i="2"/>
  <c r="S385" i="2"/>
  <c r="U385" i="2"/>
  <c r="AD385" i="5" l="1"/>
  <c r="C386" i="5" s="1"/>
  <c r="E386" i="5" s="1"/>
  <c r="I386" i="5" s="1"/>
  <c r="AC385" i="5"/>
  <c r="T385" i="2"/>
  <c r="K386" i="5" l="1"/>
  <c r="B386" i="5"/>
  <c r="D386" i="5" s="1"/>
  <c r="H386" i="5" s="1"/>
  <c r="M386" i="5" s="1"/>
  <c r="AE385" i="5"/>
  <c r="AF385" i="5" s="1"/>
  <c r="O386" i="5" l="1"/>
  <c r="Q386" i="5" s="1"/>
  <c r="J386" i="5"/>
  <c r="L386" i="5"/>
  <c r="AG385" i="5"/>
  <c r="N386" i="5" l="1"/>
  <c r="P386" i="5" s="1"/>
  <c r="S386" i="5"/>
  <c r="U386" i="5"/>
  <c r="M386" i="2" l="1"/>
  <c r="R386" i="5"/>
  <c r="T386" i="5"/>
  <c r="L386" i="2" l="1"/>
  <c r="N386" i="2" s="1"/>
  <c r="O386" i="2" s="1"/>
  <c r="V386" i="5"/>
  <c r="P386" i="2" l="1"/>
  <c r="Q386" i="2"/>
  <c r="AB386" i="5" s="1"/>
  <c r="R386" i="2"/>
  <c r="Z386" i="5"/>
  <c r="AA386" i="5" l="1"/>
  <c r="S386" i="2"/>
  <c r="T386" i="2" s="1"/>
  <c r="U386" i="2"/>
  <c r="AD386" i="5" l="1"/>
  <c r="C387" i="5" s="1"/>
  <c r="E387" i="5" s="1"/>
  <c r="I387" i="5" s="1"/>
  <c r="AC386" i="5"/>
  <c r="K387" i="5" l="1"/>
  <c r="B387" i="5"/>
  <c r="D387" i="5" s="1"/>
  <c r="H387" i="5" s="1"/>
  <c r="M387" i="5" s="1"/>
  <c r="AE386" i="5"/>
  <c r="AF386" i="5" s="1"/>
  <c r="O387" i="5" l="1"/>
  <c r="Q387" i="5" s="1"/>
  <c r="J387" i="5"/>
  <c r="L387" i="5"/>
  <c r="AG386" i="5"/>
  <c r="N387" i="5" l="1"/>
  <c r="P387" i="5" s="1"/>
  <c r="S387" i="5"/>
  <c r="U387" i="5"/>
  <c r="M387" i="2" l="1"/>
  <c r="R387" i="5"/>
  <c r="T387" i="5"/>
  <c r="L387" i="2" l="1"/>
  <c r="N387" i="2" s="1"/>
  <c r="O387" i="2" s="1"/>
  <c r="V387" i="5"/>
  <c r="P387" i="2" l="1"/>
  <c r="Q387" i="2"/>
  <c r="AB387" i="5" s="1"/>
  <c r="Z387" i="5"/>
  <c r="AA387" i="5" l="1"/>
  <c r="R387" i="2"/>
  <c r="S387" i="2"/>
  <c r="U387" i="2"/>
  <c r="AD387" i="5" l="1"/>
  <c r="C388" i="5" s="1"/>
  <c r="E388" i="5" s="1"/>
  <c r="I388" i="5" s="1"/>
  <c r="AC387" i="5"/>
  <c r="T387" i="2"/>
  <c r="M388" i="5" l="1"/>
  <c r="K388" i="5"/>
  <c r="B388" i="5"/>
  <c r="D388" i="5" s="1"/>
  <c r="H388" i="5" s="1"/>
  <c r="AE387" i="5"/>
  <c r="AF387" i="5" s="1"/>
  <c r="O388" i="5" l="1"/>
  <c r="Q388" i="5" s="1"/>
  <c r="J388" i="5"/>
  <c r="L388" i="5"/>
  <c r="AG387" i="5"/>
  <c r="N388" i="5" l="1"/>
  <c r="P388" i="5" s="1"/>
  <c r="S388" i="5"/>
  <c r="U388" i="5"/>
  <c r="M388" i="2" l="1"/>
  <c r="R388" i="5"/>
  <c r="T388" i="5"/>
  <c r="L388" i="2" l="1"/>
  <c r="N388" i="2" s="1"/>
  <c r="O388" i="2" s="1"/>
  <c r="V388" i="5"/>
  <c r="P388" i="2" l="1"/>
  <c r="Q388" i="2"/>
  <c r="AB388" i="5" s="1"/>
  <c r="Z388" i="5"/>
  <c r="AA388" i="5" l="1"/>
  <c r="R388" i="2"/>
  <c r="S388" i="2"/>
  <c r="U388" i="2"/>
  <c r="AD388" i="5" l="1"/>
  <c r="C389" i="5" s="1"/>
  <c r="E389" i="5" s="1"/>
  <c r="I389" i="5" s="1"/>
  <c r="AC388" i="5"/>
  <c r="T388" i="2"/>
  <c r="K389" i="5" l="1"/>
  <c r="B389" i="5"/>
  <c r="D389" i="5" s="1"/>
  <c r="H389" i="5" s="1"/>
  <c r="M389" i="5" s="1"/>
  <c r="AE388" i="5"/>
  <c r="AF388" i="5" s="1"/>
  <c r="O389" i="5" l="1"/>
  <c r="Q389" i="5" s="1"/>
  <c r="J389" i="5"/>
  <c r="L389" i="5"/>
  <c r="AG388" i="5"/>
  <c r="N389" i="5" l="1"/>
  <c r="P389" i="5" s="1"/>
  <c r="S389" i="5"/>
  <c r="U389" i="5"/>
  <c r="M389" i="2" l="1"/>
  <c r="R389" i="5"/>
  <c r="T389" i="5"/>
  <c r="L389" i="2" l="1"/>
  <c r="N389" i="2" s="1"/>
  <c r="O389" i="2" s="1"/>
  <c r="V389" i="5"/>
  <c r="P389" i="2" l="1"/>
  <c r="Q389" i="2"/>
  <c r="AB389" i="5" s="1"/>
  <c r="R389" i="2"/>
  <c r="S389" i="2"/>
  <c r="Z389" i="5"/>
  <c r="T389" i="2" l="1"/>
  <c r="AA389" i="5"/>
  <c r="U389" i="2"/>
  <c r="AD389" i="5" l="1"/>
  <c r="C390" i="5" s="1"/>
  <c r="E390" i="5" s="1"/>
  <c r="I390" i="5" s="1"/>
  <c r="AC389" i="5"/>
  <c r="K390" i="5" l="1"/>
  <c r="B390" i="5"/>
  <c r="D390" i="5" s="1"/>
  <c r="H390" i="5" s="1"/>
  <c r="M390" i="5" s="1"/>
  <c r="AE389" i="5"/>
  <c r="AF389" i="5" s="1"/>
  <c r="O390" i="5" l="1"/>
  <c r="Q390" i="5" s="1"/>
  <c r="J390" i="5"/>
  <c r="L390" i="5"/>
  <c r="AG389" i="5"/>
  <c r="N390" i="5" l="1"/>
  <c r="P390" i="5" s="1"/>
  <c r="S390" i="5"/>
  <c r="U390" i="5"/>
  <c r="M390" i="2" l="1"/>
  <c r="R390" i="5"/>
  <c r="T390" i="5"/>
  <c r="L390" i="2" l="1"/>
  <c r="N390" i="2" s="1"/>
  <c r="O390" i="2" s="1"/>
  <c r="V390" i="5"/>
  <c r="P390" i="2" l="1"/>
  <c r="Q390" i="2"/>
  <c r="AB390" i="5" s="1"/>
  <c r="Z390" i="5"/>
  <c r="AA390" i="5" l="1"/>
  <c r="R390" i="2"/>
  <c r="T390" i="2" s="1"/>
  <c r="U390" i="2"/>
  <c r="S390" i="2"/>
  <c r="AD390" i="5" l="1"/>
  <c r="C391" i="5" s="1"/>
  <c r="E391" i="5" s="1"/>
  <c r="I391" i="5" s="1"/>
  <c r="AC390" i="5"/>
  <c r="M391" i="5" l="1"/>
  <c r="K391" i="5"/>
  <c r="B391" i="5"/>
  <c r="D391" i="5" s="1"/>
  <c r="H391" i="5" s="1"/>
  <c r="AE390" i="5"/>
  <c r="AF390" i="5" s="1"/>
  <c r="O391" i="5" l="1"/>
  <c r="Q391" i="5" s="1"/>
  <c r="J391" i="5"/>
  <c r="L391" i="5"/>
  <c r="AG390" i="5"/>
  <c r="N391" i="5" l="1"/>
  <c r="P391" i="5" s="1"/>
  <c r="R391" i="5" s="1"/>
  <c r="T391" i="5"/>
  <c r="S391" i="5"/>
  <c r="U391" i="5"/>
  <c r="V391" i="5" l="1"/>
  <c r="L391" i="2"/>
  <c r="M391" i="2"/>
  <c r="N391" i="2" l="1"/>
  <c r="O391" i="2" s="1"/>
  <c r="Z391" i="5" l="1"/>
  <c r="U391" i="2"/>
  <c r="S391" i="2"/>
  <c r="R391" i="2"/>
  <c r="T391" i="2" s="1"/>
  <c r="Q391" i="2"/>
  <c r="AB391" i="5" s="1"/>
  <c r="P391" i="2"/>
  <c r="AA391" i="5" s="1"/>
  <c r="AD391" i="5" l="1"/>
  <c r="C392" i="5" s="1"/>
  <c r="E392" i="5" s="1"/>
  <c r="I392" i="5" s="1"/>
  <c r="AC391" i="5"/>
  <c r="K392" i="5" l="1"/>
  <c r="B392" i="5"/>
  <c r="D392" i="5" s="1"/>
  <c r="H392" i="5" s="1"/>
  <c r="M392" i="5" s="1"/>
  <c r="AE391" i="5"/>
  <c r="AF391" i="5" s="1"/>
  <c r="O392" i="5" l="1"/>
  <c r="Q392" i="5" s="1"/>
  <c r="S392" i="5" s="1"/>
  <c r="U392" i="5"/>
  <c r="J392" i="5"/>
  <c r="L392" i="5"/>
  <c r="AG391" i="5"/>
  <c r="M392" i="2" l="1"/>
  <c r="N392" i="5"/>
  <c r="P392" i="5" s="1"/>
  <c r="R392" i="5" l="1"/>
  <c r="T392" i="5"/>
  <c r="L392" i="2" l="1"/>
  <c r="N392" i="2" s="1"/>
  <c r="O392" i="2" s="1"/>
  <c r="V392" i="5"/>
  <c r="P392" i="2" l="1"/>
  <c r="AA392" i="5" s="1"/>
  <c r="Q392" i="2"/>
  <c r="R392" i="2"/>
  <c r="U392" i="2"/>
  <c r="Z392" i="5"/>
  <c r="AC392" i="5" l="1"/>
  <c r="AD392" i="5"/>
  <c r="C393" i="5" s="1"/>
  <c r="E393" i="5" s="1"/>
  <c r="I393" i="5" s="1"/>
  <c r="AB392" i="5"/>
  <c r="S392" i="2"/>
  <c r="T392" i="2" s="1"/>
  <c r="B393" i="5" l="1"/>
  <c r="D393" i="5" s="1"/>
  <c r="H393" i="5" s="1"/>
  <c r="M393" i="5" s="1"/>
  <c r="AE392" i="5"/>
  <c r="AF392" i="5" s="1"/>
  <c r="K393" i="5"/>
  <c r="J393" i="5" l="1"/>
  <c r="L393" i="5"/>
  <c r="AG392" i="5"/>
  <c r="O393" i="5"/>
  <c r="Q393" i="5" s="1"/>
  <c r="N393" i="5" l="1"/>
  <c r="P393" i="5" s="1"/>
  <c r="S393" i="5"/>
  <c r="U393" i="5"/>
  <c r="M393" i="2" l="1"/>
  <c r="R393" i="5"/>
  <c r="T393" i="5"/>
  <c r="L393" i="2" l="1"/>
  <c r="N393" i="2" s="1"/>
  <c r="O393" i="2" s="1"/>
  <c r="V393" i="5"/>
  <c r="P393" i="2" l="1"/>
  <c r="Q393" i="2"/>
  <c r="AB393" i="5" s="1"/>
  <c r="Z393" i="5"/>
  <c r="AA393" i="5" l="1"/>
  <c r="R393" i="2"/>
  <c r="T393" i="2" s="1"/>
  <c r="S393" i="2"/>
  <c r="U393" i="2"/>
  <c r="AD393" i="5" l="1"/>
  <c r="C394" i="5" s="1"/>
  <c r="E394" i="5" s="1"/>
  <c r="I394" i="5" s="1"/>
  <c r="AC393" i="5"/>
  <c r="K394" i="5" l="1"/>
  <c r="B394" i="5"/>
  <c r="D394" i="5" s="1"/>
  <c r="H394" i="5" s="1"/>
  <c r="M394" i="5" s="1"/>
  <c r="AE393" i="5"/>
  <c r="AF393" i="5" s="1"/>
  <c r="O394" i="5" l="1"/>
  <c r="Q394" i="5" s="1"/>
  <c r="J394" i="5"/>
  <c r="L394" i="5"/>
  <c r="AG393" i="5"/>
  <c r="N394" i="5" l="1"/>
  <c r="P394" i="5" s="1"/>
  <c r="S394" i="5"/>
  <c r="U394" i="5"/>
  <c r="M394" i="2" l="1"/>
  <c r="R394" i="5"/>
  <c r="T394" i="5"/>
  <c r="L394" i="2" l="1"/>
  <c r="N394" i="2" s="1"/>
  <c r="O394" i="2" s="1"/>
  <c r="V394" i="5"/>
  <c r="P394" i="2" l="1"/>
  <c r="Q394" i="2"/>
  <c r="AB394" i="5" s="1"/>
  <c r="Z394" i="5"/>
  <c r="AA394" i="5" l="1"/>
  <c r="R394" i="2"/>
  <c r="S394" i="2"/>
  <c r="U394" i="2"/>
  <c r="AD394" i="5" l="1"/>
  <c r="C395" i="5" s="1"/>
  <c r="E395" i="5" s="1"/>
  <c r="I395" i="5" s="1"/>
  <c r="AC394" i="5"/>
  <c r="T394" i="2"/>
  <c r="K395" i="5" l="1"/>
  <c r="B395" i="5"/>
  <c r="D395" i="5" s="1"/>
  <c r="H395" i="5" s="1"/>
  <c r="M395" i="5" s="1"/>
  <c r="AE394" i="5"/>
  <c r="AF394" i="5" s="1"/>
  <c r="O395" i="5" l="1"/>
  <c r="Q395" i="5" s="1"/>
  <c r="J395" i="5"/>
  <c r="L395" i="5"/>
  <c r="AG394" i="5"/>
  <c r="N395" i="5" l="1"/>
  <c r="P395" i="5" s="1"/>
  <c r="R395" i="5" s="1"/>
  <c r="T395" i="5"/>
  <c r="S395" i="5"/>
  <c r="U395" i="5"/>
  <c r="V395" i="5" l="1"/>
  <c r="L395" i="2"/>
  <c r="M395" i="2"/>
  <c r="N395" i="2" l="1"/>
  <c r="O395" i="2" s="1"/>
  <c r="Z395" i="5" l="1"/>
  <c r="U395" i="2"/>
  <c r="S395" i="2"/>
  <c r="R395" i="2"/>
  <c r="T395" i="2" s="1"/>
  <c r="Q395" i="2"/>
  <c r="AB395" i="5" s="1"/>
  <c r="P395" i="2"/>
  <c r="AA395" i="5" s="1"/>
  <c r="AD395" i="5" l="1"/>
  <c r="C396" i="5" s="1"/>
  <c r="E396" i="5" s="1"/>
  <c r="I396" i="5" s="1"/>
  <c r="AC395" i="5"/>
  <c r="K396" i="5" l="1"/>
  <c r="B396" i="5"/>
  <c r="D396" i="5" s="1"/>
  <c r="H396" i="5" s="1"/>
  <c r="M396" i="5" s="1"/>
  <c r="AE395" i="5"/>
  <c r="AF395" i="5" s="1"/>
  <c r="O396" i="5" l="1"/>
  <c r="Q396" i="5" s="1"/>
  <c r="S396" i="5" s="1"/>
  <c r="U396" i="5"/>
  <c r="J396" i="5"/>
  <c r="L396" i="5"/>
  <c r="AG395" i="5"/>
  <c r="M396" i="2" l="1"/>
  <c r="N396" i="5"/>
  <c r="P396" i="5" s="1"/>
  <c r="R396" i="5" l="1"/>
  <c r="T396" i="5"/>
  <c r="L396" i="2" l="1"/>
  <c r="N396" i="2" s="1"/>
  <c r="O396" i="2" s="1"/>
  <c r="V396" i="5"/>
  <c r="P396" i="2" l="1"/>
  <c r="Q396" i="2"/>
  <c r="AB396" i="5" s="1"/>
  <c r="Z396" i="5"/>
  <c r="AA396" i="5" l="1"/>
  <c r="R396" i="2"/>
  <c r="T396" i="2" s="1"/>
  <c r="S396" i="2"/>
  <c r="U396" i="2"/>
  <c r="AD396" i="5" l="1"/>
  <c r="C397" i="5" s="1"/>
  <c r="E397" i="5" s="1"/>
  <c r="I397" i="5" s="1"/>
  <c r="AC396" i="5"/>
  <c r="K397" i="5" l="1"/>
  <c r="B397" i="5"/>
  <c r="D397" i="5" s="1"/>
  <c r="H397" i="5" s="1"/>
  <c r="M397" i="5" s="1"/>
  <c r="AE396" i="5"/>
  <c r="AF396" i="5" s="1"/>
  <c r="O397" i="5" l="1"/>
  <c r="Q397" i="5" s="1"/>
  <c r="J397" i="5"/>
  <c r="L397" i="5"/>
  <c r="AG396" i="5"/>
  <c r="N397" i="5" l="1"/>
  <c r="P397" i="5" s="1"/>
  <c r="S397" i="5"/>
  <c r="U397" i="5"/>
  <c r="M397" i="2" l="1"/>
  <c r="R397" i="5"/>
  <c r="T397" i="5"/>
  <c r="L397" i="2" l="1"/>
  <c r="N397" i="2" s="1"/>
  <c r="O397" i="2" s="1"/>
  <c r="V397" i="5"/>
  <c r="P397" i="2" l="1"/>
  <c r="Q397" i="2"/>
  <c r="Z397" i="5"/>
  <c r="AA397" i="5" l="1"/>
  <c r="S397" i="2"/>
  <c r="U397" i="2"/>
  <c r="AB397" i="5"/>
  <c r="R397" i="2"/>
  <c r="AD397" i="5" l="1"/>
  <c r="C398" i="5" s="1"/>
  <c r="E398" i="5" s="1"/>
  <c r="I398" i="5" s="1"/>
  <c r="AC397" i="5"/>
  <c r="T397" i="2"/>
  <c r="K398" i="5" l="1"/>
  <c r="B398" i="5"/>
  <c r="D398" i="5" s="1"/>
  <c r="H398" i="5" s="1"/>
  <c r="M398" i="5" s="1"/>
  <c r="AE397" i="5"/>
  <c r="AF397" i="5" s="1"/>
  <c r="O398" i="5" l="1"/>
  <c r="Q398" i="5" s="1"/>
  <c r="J398" i="5"/>
  <c r="L398" i="5"/>
  <c r="AG397" i="5"/>
  <c r="N398" i="5" l="1"/>
  <c r="P398" i="5" s="1"/>
  <c r="S398" i="5"/>
  <c r="U398" i="5"/>
  <c r="M398" i="2" l="1"/>
  <c r="R398" i="5"/>
  <c r="T398" i="5"/>
  <c r="L398" i="2" l="1"/>
  <c r="N398" i="2" s="1"/>
  <c r="O398" i="2" s="1"/>
  <c r="V398" i="5"/>
  <c r="P398" i="2" l="1"/>
  <c r="Q398" i="2"/>
  <c r="AB398" i="5" s="1"/>
  <c r="Z398" i="5"/>
  <c r="AA398" i="5" l="1"/>
  <c r="R398" i="2"/>
  <c r="T398" i="2" s="1"/>
  <c r="S398" i="2"/>
  <c r="U398" i="2"/>
  <c r="AD398" i="5" l="1"/>
  <c r="C399" i="5" s="1"/>
  <c r="E399" i="5" s="1"/>
  <c r="I399" i="5" s="1"/>
  <c r="AC398" i="5"/>
  <c r="K399" i="5" l="1"/>
  <c r="B399" i="5"/>
  <c r="D399" i="5" s="1"/>
  <c r="H399" i="5" s="1"/>
  <c r="M399" i="5" s="1"/>
  <c r="AE398" i="5"/>
  <c r="AF398" i="5" s="1"/>
  <c r="O399" i="5" l="1"/>
  <c r="Q399" i="5" s="1"/>
  <c r="S399" i="5" s="1"/>
  <c r="U399" i="5"/>
  <c r="J399" i="5"/>
  <c r="L399" i="5"/>
  <c r="AG398" i="5"/>
  <c r="M399" i="2" l="1"/>
  <c r="N399" i="5"/>
  <c r="P399" i="5" s="1"/>
  <c r="R399" i="5" l="1"/>
  <c r="T399" i="5"/>
  <c r="L399" i="2" l="1"/>
  <c r="N399" i="2" s="1"/>
  <c r="O399" i="2" s="1"/>
  <c r="V399" i="5"/>
  <c r="P399" i="2" l="1"/>
  <c r="Q399" i="2"/>
  <c r="AB399" i="5" s="1"/>
  <c r="Z399" i="5"/>
  <c r="AA399" i="5" l="1"/>
  <c r="S399" i="2"/>
  <c r="U399" i="2"/>
  <c r="R399" i="2"/>
  <c r="AD399" i="5" l="1"/>
  <c r="C400" i="5" s="1"/>
  <c r="E400" i="5" s="1"/>
  <c r="I400" i="5" s="1"/>
  <c r="AC399" i="5"/>
  <c r="T399" i="2"/>
  <c r="K400" i="5" l="1"/>
  <c r="B400" i="5"/>
  <c r="D400" i="5" s="1"/>
  <c r="H400" i="5" s="1"/>
  <c r="M400" i="5" s="1"/>
  <c r="AE399" i="5"/>
  <c r="AF399" i="5" s="1"/>
  <c r="O400" i="5" l="1"/>
  <c r="Q400" i="5" s="1"/>
  <c r="J400" i="5"/>
  <c r="L400" i="5"/>
  <c r="AG399" i="5"/>
  <c r="N400" i="5" l="1"/>
  <c r="P400" i="5" s="1"/>
  <c r="S400" i="5"/>
  <c r="U400" i="5"/>
  <c r="M400" i="2" l="1"/>
  <c r="R400" i="5"/>
  <c r="T400" i="5"/>
  <c r="L400" i="2" l="1"/>
  <c r="N400" i="2" s="1"/>
  <c r="O400" i="2" s="1"/>
  <c r="V400" i="5"/>
  <c r="P400" i="2" l="1"/>
  <c r="Q400" i="2"/>
  <c r="AB400" i="5" s="1"/>
  <c r="R400" i="2"/>
  <c r="T400" i="2" s="1"/>
  <c r="S400" i="2"/>
  <c r="Z400" i="5"/>
  <c r="AA400" i="5" l="1"/>
  <c r="U400" i="2"/>
  <c r="AD400" i="5" l="1"/>
  <c r="C401" i="5" s="1"/>
  <c r="E401" i="5" s="1"/>
  <c r="I401" i="5" s="1"/>
  <c r="AC400" i="5"/>
  <c r="K401" i="5" l="1"/>
  <c r="B401" i="5"/>
  <c r="D401" i="5" s="1"/>
  <c r="H401" i="5" s="1"/>
  <c r="M401" i="5" s="1"/>
  <c r="AE400" i="5"/>
  <c r="AF400" i="5" s="1"/>
  <c r="O401" i="5" l="1"/>
  <c r="Q401" i="5" s="1"/>
  <c r="J401" i="5"/>
  <c r="L401" i="5"/>
  <c r="AG400" i="5"/>
  <c r="N401" i="5" l="1"/>
  <c r="P401" i="5" s="1"/>
  <c r="S401" i="5"/>
  <c r="U401" i="5"/>
  <c r="M401" i="2" l="1"/>
  <c r="R401" i="5"/>
  <c r="T401" i="5"/>
  <c r="L401" i="2" l="1"/>
  <c r="N401" i="2" s="1"/>
  <c r="O401" i="2" s="1"/>
  <c r="V401" i="5"/>
  <c r="P401" i="2" l="1"/>
  <c r="AA401" i="5" s="1"/>
  <c r="Q401" i="2"/>
  <c r="AB401" i="5" s="1"/>
  <c r="R401" i="2"/>
  <c r="S401" i="2"/>
  <c r="U401" i="2"/>
  <c r="Z401" i="5"/>
  <c r="AC401" i="5" l="1"/>
  <c r="AD401" i="5"/>
  <c r="C402" i="5" s="1"/>
  <c r="E402" i="5" s="1"/>
  <c r="I402" i="5" s="1"/>
  <c r="T401" i="2"/>
  <c r="B402" i="5" l="1"/>
  <c r="D402" i="5" s="1"/>
  <c r="H402" i="5" s="1"/>
  <c r="AE401" i="5"/>
  <c r="AF401" i="5" s="1"/>
  <c r="M402" i="5"/>
  <c r="K402" i="5"/>
  <c r="J402" i="5" l="1"/>
  <c r="L402" i="5"/>
  <c r="AG401" i="5"/>
  <c r="O402" i="5"/>
  <c r="Q402" i="5" s="1"/>
  <c r="N402" i="5" l="1"/>
  <c r="P402" i="5" s="1"/>
  <c r="R402" i="5" s="1"/>
  <c r="T402" i="5"/>
  <c r="S402" i="5"/>
  <c r="U402" i="5"/>
  <c r="V402" i="5" l="1"/>
  <c r="L402" i="2"/>
  <c r="M402" i="2"/>
  <c r="N402" i="2" l="1"/>
  <c r="O402" i="2" s="1"/>
  <c r="Z402" i="5" l="1"/>
  <c r="Q402" i="2"/>
  <c r="P402" i="2"/>
  <c r="AA402" i="5" s="1"/>
  <c r="AD402" i="5" l="1"/>
  <c r="C403" i="5" s="1"/>
  <c r="E403" i="5" s="1"/>
  <c r="I403" i="5" s="1"/>
  <c r="AC402" i="5"/>
  <c r="AB402" i="5"/>
  <c r="U402" i="2"/>
  <c r="S402" i="2"/>
  <c r="R402" i="2"/>
  <c r="T402" i="2" s="1"/>
  <c r="M403" i="5" l="1"/>
  <c r="K403" i="5"/>
  <c r="B403" i="5"/>
  <c r="D403" i="5" s="1"/>
  <c r="H403" i="5" s="1"/>
  <c r="AE402" i="5"/>
  <c r="AF402" i="5" s="1"/>
  <c r="O403" i="5" l="1"/>
  <c r="Q403" i="5" s="1"/>
  <c r="J403" i="5"/>
  <c r="L403" i="5"/>
  <c r="AG402" i="5"/>
  <c r="N403" i="5" l="1"/>
  <c r="P403" i="5" s="1"/>
  <c r="S403" i="5"/>
  <c r="U403" i="5"/>
  <c r="M403" i="2" l="1"/>
  <c r="R403" i="5"/>
  <c r="T403" i="5"/>
  <c r="L403" i="2" l="1"/>
  <c r="N403" i="2" s="1"/>
  <c r="O403" i="2" s="1"/>
  <c r="V403" i="5"/>
  <c r="P403" i="2" l="1"/>
  <c r="Q403" i="2"/>
  <c r="AB403" i="5" s="1"/>
  <c r="Z403" i="5"/>
  <c r="AA403" i="5" l="1"/>
  <c r="R403" i="2"/>
  <c r="T403" i="2" s="1"/>
  <c r="S403" i="2"/>
  <c r="U403" i="2"/>
  <c r="AD403" i="5" l="1"/>
  <c r="C404" i="5" s="1"/>
  <c r="E404" i="5" s="1"/>
  <c r="I404" i="5" s="1"/>
  <c r="AC403" i="5"/>
  <c r="K404" i="5" l="1"/>
  <c r="B404" i="5"/>
  <c r="D404" i="5" s="1"/>
  <c r="H404" i="5" s="1"/>
  <c r="M404" i="5" s="1"/>
  <c r="AE403" i="5"/>
  <c r="AF403" i="5" s="1"/>
  <c r="O404" i="5" l="1"/>
  <c r="Q404" i="5" s="1"/>
  <c r="J404" i="5"/>
  <c r="L404" i="5"/>
  <c r="AG403" i="5"/>
  <c r="N404" i="5" l="1"/>
  <c r="P404" i="5" s="1"/>
  <c r="R404" i="5" s="1"/>
  <c r="T404" i="5"/>
  <c r="S404" i="5"/>
  <c r="U404" i="5"/>
  <c r="V404" i="5" l="1"/>
  <c r="L404" i="2"/>
  <c r="N404" i="2" s="1"/>
  <c r="O404" i="2" s="1"/>
  <c r="M404" i="2"/>
  <c r="P404" i="2" l="1"/>
  <c r="Q404" i="2"/>
  <c r="AB404" i="5" s="1"/>
  <c r="Z404" i="5"/>
  <c r="AA404" i="5" l="1"/>
  <c r="R404" i="2"/>
  <c r="T404" i="2" s="1"/>
  <c r="S404" i="2"/>
  <c r="U404" i="2"/>
  <c r="AC404" i="5" l="1"/>
  <c r="AD404" i="5"/>
  <c r="C405" i="5" s="1"/>
  <c r="E405" i="5" s="1"/>
  <c r="I405" i="5" s="1"/>
  <c r="B405" i="5" l="1"/>
  <c r="D405" i="5" s="1"/>
  <c r="H405" i="5" s="1"/>
  <c r="M405" i="5" s="1"/>
  <c r="AE404" i="5"/>
  <c r="AF404" i="5" s="1"/>
  <c r="K405" i="5"/>
  <c r="J405" i="5" l="1"/>
  <c r="L405" i="5"/>
  <c r="AG404" i="5"/>
  <c r="O405" i="5"/>
  <c r="Q405" i="5" s="1"/>
  <c r="N405" i="5" l="1"/>
  <c r="P405" i="5" s="1"/>
  <c r="S405" i="5"/>
  <c r="U405" i="5"/>
  <c r="M405" i="2" l="1"/>
  <c r="R405" i="5"/>
  <c r="T405" i="5"/>
  <c r="L405" i="2" l="1"/>
  <c r="N405" i="2" s="1"/>
  <c r="O405" i="2" s="1"/>
  <c r="V405" i="5"/>
  <c r="P405" i="2" l="1"/>
  <c r="Q405" i="2"/>
  <c r="Z405" i="5"/>
  <c r="AA405" i="5" l="1"/>
  <c r="U405" i="2"/>
  <c r="S405" i="2"/>
  <c r="AB405" i="5"/>
  <c r="R405" i="2"/>
  <c r="T405" i="2" s="1"/>
  <c r="AD405" i="5" l="1"/>
  <c r="C406" i="5" s="1"/>
  <c r="E406" i="5" s="1"/>
  <c r="I406" i="5" s="1"/>
  <c r="AC405" i="5"/>
  <c r="K406" i="5" l="1"/>
  <c r="B406" i="5"/>
  <c r="D406" i="5" s="1"/>
  <c r="H406" i="5" s="1"/>
  <c r="M406" i="5" s="1"/>
  <c r="AE405" i="5"/>
  <c r="AF405" i="5" s="1"/>
  <c r="O406" i="5" l="1"/>
  <c r="Q406" i="5" s="1"/>
  <c r="J406" i="5"/>
  <c r="L406" i="5"/>
  <c r="AG405" i="5"/>
  <c r="N406" i="5" l="1"/>
  <c r="P406" i="5" s="1"/>
  <c r="S406" i="5"/>
  <c r="G407" i="5" s="1"/>
  <c r="U406" i="5"/>
  <c r="M406" i="2" l="1"/>
  <c r="R406" i="5"/>
  <c r="F407" i="5" s="1"/>
  <c r="T406" i="5"/>
  <c r="L406" i="2" l="1"/>
  <c r="N406" i="2" s="1"/>
  <c r="O406" i="2" s="1"/>
  <c r="V406" i="5"/>
  <c r="P406" i="2" l="1"/>
  <c r="AA406" i="5" s="1"/>
  <c r="Q406" i="2"/>
  <c r="AB406" i="5" s="1"/>
  <c r="R406" i="2"/>
  <c r="S406" i="2"/>
  <c r="U406" i="2"/>
  <c r="Z406" i="5"/>
  <c r="AC406" i="5" l="1"/>
  <c r="AD406" i="5"/>
  <c r="C407" i="5" s="1"/>
  <c r="E407" i="5" s="1"/>
  <c r="I407" i="5" s="1"/>
  <c r="T406" i="2"/>
  <c r="B407" i="5" l="1"/>
  <c r="D407" i="5" s="1"/>
  <c r="H407" i="5" s="1"/>
  <c r="M407" i="5" s="1"/>
  <c r="AE406" i="5"/>
  <c r="AF406" i="5" s="1"/>
  <c r="K407" i="5"/>
  <c r="J407" i="5" l="1"/>
  <c r="L407" i="5"/>
  <c r="AG406" i="5"/>
  <c r="O407" i="5"/>
  <c r="Q407" i="5" s="1"/>
  <c r="N407" i="5" l="1"/>
  <c r="P407" i="5" s="1"/>
  <c r="S407" i="5"/>
  <c r="U407" i="5"/>
  <c r="M407" i="2" l="1"/>
  <c r="R407" i="5"/>
  <c r="T407" i="5"/>
  <c r="L407" i="2" l="1"/>
  <c r="N407" i="2" s="1"/>
  <c r="O407" i="2" s="1"/>
  <c r="V407" i="5"/>
  <c r="P407" i="2" l="1"/>
  <c r="AA407" i="5" s="1"/>
  <c r="Q407" i="2"/>
  <c r="AB407" i="5" s="1"/>
  <c r="R407" i="2"/>
  <c r="S407" i="2"/>
  <c r="U407" i="2"/>
  <c r="Z407" i="5"/>
  <c r="AC407" i="5" l="1"/>
  <c r="AD407" i="5"/>
  <c r="C408" i="5" s="1"/>
  <c r="E408" i="5" s="1"/>
  <c r="I408" i="5" s="1"/>
  <c r="T407" i="2"/>
  <c r="B408" i="5" l="1"/>
  <c r="D408" i="5" s="1"/>
  <c r="H408" i="5" s="1"/>
  <c r="AE407" i="5"/>
  <c r="AF407" i="5" s="1"/>
  <c r="M408" i="5"/>
  <c r="K408" i="5"/>
  <c r="J408" i="5" l="1"/>
  <c r="L408" i="5"/>
  <c r="AG407" i="5"/>
  <c r="O408" i="5"/>
  <c r="Q408" i="5" s="1"/>
  <c r="N408" i="5" l="1"/>
  <c r="P408" i="5" s="1"/>
  <c r="S408" i="5"/>
  <c r="U408" i="5"/>
  <c r="M408" i="2" l="1"/>
  <c r="R408" i="5"/>
  <c r="T408" i="5"/>
  <c r="L408" i="2" l="1"/>
  <c r="N408" i="2" s="1"/>
  <c r="O408" i="2" s="1"/>
  <c r="V408" i="5"/>
  <c r="P408" i="2" l="1"/>
  <c r="AA408" i="5" s="1"/>
  <c r="Q408" i="2"/>
  <c r="AB408" i="5" s="1"/>
  <c r="R408" i="2"/>
  <c r="S408" i="2"/>
  <c r="U408" i="2"/>
  <c r="Z408" i="5"/>
  <c r="AC408" i="5" l="1"/>
  <c r="AD408" i="5"/>
  <c r="C409" i="5" s="1"/>
  <c r="E409" i="5" s="1"/>
  <c r="I409" i="5" s="1"/>
  <c r="T408" i="2"/>
  <c r="B409" i="5" l="1"/>
  <c r="D409" i="5" s="1"/>
  <c r="H409" i="5" s="1"/>
  <c r="M409" i="5" s="1"/>
  <c r="AE408" i="5"/>
  <c r="AF408" i="5" s="1"/>
  <c r="K409" i="5"/>
  <c r="J409" i="5" l="1"/>
  <c r="L409" i="5"/>
  <c r="AG408" i="5"/>
  <c r="O409" i="5"/>
  <c r="Q409" i="5" s="1"/>
  <c r="N409" i="5" l="1"/>
  <c r="P409" i="5" s="1"/>
  <c r="S409" i="5"/>
  <c r="U409" i="5"/>
  <c r="M409" i="2" l="1"/>
  <c r="R409" i="5"/>
  <c r="T409" i="5"/>
  <c r="L409" i="2" l="1"/>
  <c r="N409" i="2" s="1"/>
  <c r="O409" i="2" s="1"/>
  <c r="V409" i="5"/>
  <c r="P409" i="2" l="1"/>
  <c r="Q409" i="2"/>
  <c r="AB409" i="5" s="1"/>
  <c r="Z409" i="5"/>
  <c r="AA409" i="5" l="1"/>
  <c r="R409" i="2"/>
  <c r="S409" i="2"/>
  <c r="U409" i="2"/>
  <c r="AD409" i="5" l="1"/>
  <c r="C410" i="5" s="1"/>
  <c r="E410" i="5" s="1"/>
  <c r="I410" i="5" s="1"/>
  <c r="AC409" i="5"/>
  <c r="T409" i="2"/>
  <c r="K410" i="5" l="1"/>
  <c r="B410" i="5"/>
  <c r="D410" i="5" s="1"/>
  <c r="H410" i="5" s="1"/>
  <c r="M410" i="5" s="1"/>
  <c r="AE409" i="5"/>
  <c r="AF409" i="5" s="1"/>
  <c r="O410" i="5" l="1"/>
  <c r="Q410" i="5" s="1"/>
  <c r="J410" i="5"/>
  <c r="L410" i="5"/>
  <c r="AG409" i="5"/>
  <c r="N410" i="5" l="1"/>
  <c r="P410" i="5" s="1"/>
  <c r="S410" i="5"/>
  <c r="U410" i="5"/>
  <c r="M410" i="2" l="1"/>
  <c r="R410" i="5"/>
  <c r="T410" i="5"/>
  <c r="L410" i="2" l="1"/>
  <c r="N410" i="2" s="1"/>
  <c r="O410" i="2" s="1"/>
  <c r="V410" i="5"/>
  <c r="P410" i="2" l="1"/>
  <c r="Q410" i="2"/>
  <c r="Z410" i="5"/>
  <c r="AA410" i="5" l="1"/>
  <c r="S410" i="2"/>
  <c r="R410" i="2"/>
  <c r="T410" i="2" s="1"/>
  <c r="AB410" i="5"/>
  <c r="U410" i="2"/>
  <c r="AD410" i="5" l="1"/>
  <c r="C411" i="5" s="1"/>
  <c r="E411" i="5" s="1"/>
  <c r="I411" i="5" s="1"/>
  <c r="AC410" i="5"/>
  <c r="M411" i="5" l="1"/>
  <c r="K411" i="5"/>
  <c r="B411" i="5"/>
  <c r="D411" i="5" s="1"/>
  <c r="H411" i="5" s="1"/>
  <c r="AE410" i="5"/>
  <c r="AF410" i="5" s="1"/>
  <c r="O411" i="5" l="1"/>
  <c r="Q411" i="5" s="1"/>
  <c r="J411" i="5"/>
  <c r="L411" i="5"/>
  <c r="AG410" i="5"/>
  <c r="N411" i="5" l="1"/>
  <c r="P411" i="5" s="1"/>
  <c r="S411" i="5"/>
  <c r="U411" i="5"/>
  <c r="M411" i="2" l="1"/>
  <c r="R411" i="5"/>
  <c r="T411" i="5"/>
  <c r="L411" i="2" l="1"/>
  <c r="N411" i="2" s="1"/>
  <c r="O411" i="2" s="1"/>
  <c r="V411" i="5"/>
  <c r="P411" i="2" l="1"/>
  <c r="AA411" i="5" s="1"/>
  <c r="Q411" i="2"/>
  <c r="AB411" i="5" s="1"/>
  <c r="R411" i="2"/>
  <c r="S411" i="2"/>
  <c r="U411" i="2"/>
  <c r="Z411" i="5"/>
  <c r="AC411" i="5" l="1"/>
  <c r="AD411" i="5"/>
  <c r="C412" i="5" s="1"/>
  <c r="E412" i="5" s="1"/>
  <c r="I412" i="5" s="1"/>
  <c r="T411" i="2"/>
  <c r="B412" i="5" l="1"/>
  <c r="D412" i="5" s="1"/>
  <c r="H412" i="5" s="1"/>
  <c r="M412" i="5" s="1"/>
  <c r="AE411" i="5"/>
  <c r="AF411" i="5" s="1"/>
  <c r="K412" i="5"/>
  <c r="J412" i="5" l="1"/>
  <c r="L412" i="5"/>
  <c r="AG411" i="5"/>
  <c r="O412" i="5"/>
  <c r="Q412" i="5" s="1"/>
  <c r="S412" i="5" s="1"/>
  <c r="U412" i="5"/>
  <c r="N412" i="5" l="1"/>
  <c r="P412" i="5" s="1"/>
  <c r="M412" i="2"/>
  <c r="R412" i="5" l="1"/>
  <c r="T412" i="5"/>
  <c r="L412" i="2" l="1"/>
  <c r="N412" i="2" s="1"/>
  <c r="O412" i="2" s="1"/>
  <c r="V412" i="5"/>
  <c r="P412" i="2" l="1"/>
  <c r="AA412" i="5" s="1"/>
  <c r="Q412" i="2"/>
  <c r="AB412" i="5" s="1"/>
  <c r="R412" i="2"/>
  <c r="S412" i="2"/>
  <c r="U412" i="2"/>
  <c r="Z412" i="5"/>
  <c r="AC412" i="5" l="1"/>
  <c r="AD412" i="5"/>
  <c r="C413" i="5" s="1"/>
  <c r="E413" i="5" s="1"/>
  <c r="I413" i="5" s="1"/>
  <c r="T412" i="2"/>
  <c r="B413" i="5" l="1"/>
  <c r="D413" i="5" s="1"/>
  <c r="H413" i="5" s="1"/>
  <c r="M413" i="5" s="1"/>
  <c r="AE412" i="5"/>
  <c r="AF412" i="5" s="1"/>
  <c r="K413" i="5"/>
  <c r="J413" i="5" l="1"/>
  <c r="L413" i="5"/>
  <c r="AG412" i="5"/>
  <c r="O413" i="5"/>
  <c r="Q413" i="5" s="1"/>
  <c r="N413" i="5" l="1"/>
  <c r="P413" i="5" s="1"/>
  <c r="S413" i="5"/>
  <c r="U413" i="5"/>
  <c r="M413" i="2" l="1"/>
  <c r="R413" i="5"/>
  <c r="T413" i="5"/>
  <c r="L413" i="2" l="1"/>
  <c r="N413" i="2" s="1"/>
  <c r="O413" i="2" s="1"/>
  <c r="V413" i="5"/>
  <c r="P413" i="2" l="1"/>
  <c r="Q413" i="2"/>
  <c r="AB413" i="5" s="1"/>
  <c r="Z413" i="5"/>
  <c r="AA413" i="5" l="1"/>
  <c r="R413" i="2"/>
  <c r="T413" i="2" s="1"/>
  <c r="S413" i="2"/>
  <c r="U413" i="2"/>
  <c r="AD413" i="5" l="1"/>
  <c r="C414" i="5" s="1"/>
  <c r="E414" i="5" s="1"/>
  <c r="I414" i="5" s="1"/>
  <c r="AC413" i="5"/>
  <c r="K414" i="5" l="1"/>
  <c r="B414" i="5"/>
  <c r="D414" i="5" s="1"/>
  <c r="H414" i="5" s="1"/>
  <c r="M414" i="5" s="1"/>
  <c r="AE413" i="5"/>
  <c r="AF413" i="5" s="1"/>
  <c r="O414" i="5" l="1"/>
  <c r="Q414" i="5" s="1"/>
  <c r="J414" i="5"/>
  <c r="L414" i="5"/>
  <c r="AG413" i="5"/>
  <c r="N414" i="5" l="1"/>
  <c r="P414" i="5" s="1"/>
  <c r="S414" i="5"/>
  <c r="U414" i="5"/>
  <c r="M414" i="2" l="1"/>
  <c r="R414" i="5"/>
  <c r="T414" i="5"/>
  <c r="L414" i="2" l="1"/>
  <c r="N414" i="2" s="1"/>
  <c r="O414" i="2" s="1"/>
  <c r="V414" i="5"/>
  <c r="P414" i="2" l="1"/>
  <c r="Q414" i="2"/>
  <c r="Z414" i="5"/>
  <c r="AA414" i="5" l="1"/>
  <c r="U414" i="2"/>
  <c r="S414" i="2"/>
  <c r="AB414" i="5"/>
  <c r="R414" i="2"/>
  <c r="AD414" i="5" l="1"/>
  <c r="C415" i="5" s="1"/>
  <c r="E415" i="5" s="1"/>
  <c r="I415" i="5" s="1"/>
  <c r="AC414" i="5"/>
  <c r="T414" i="2"/>
  <c r="M415" i="5" l="1"/>
  <c r="K415" i="5"/>
  <c r="B415" i="5"/>
  <c r="D415" i="5" s="1"/>
  <c r="H415" i="5" s="1"/>
  <c r="AE414" i="5"/>
  <c r="AF414" i="5" s="1"/>
  <c r="O415" i="5" l="1"/>
  <c r="Q415" i="5" s="1"/>
  <c r="J415" i="5"/>
  <c r="L415" i="5"/>
  <c r="AG414" i="5"/>
  <c r="N415" i="5" l="1"/>
  <c r="P415" i="5" s="1"/>
  <c r="S415" i="5"/>
  <c r="U415" i="5"/>
  <c r="M415" i="2" l="1"/>
  <c r="R415" i="5"/>
  <c r="T415" i="5"/>
  <c r="L415" i="2" l="1"/>
  <c r="N415" i="2" s="1"/>
  <c r="O415" i="2" s="1"/>
  <c r="V415" i="5"/>
  <c r="P415" i="2" l="1"/>
  <c r="Q415" i="2"/>
  <c r="AB415" i="5" s="1"/>
  <c r="Z415" i="5"/>
  <c r="AA415" i="5" l="1"/>
  <c r="U415" i="2"/>
  <c r="R415" i="2"/>
  <c r="T415" i="2" s="1"/>
  <c r="S415" i="2"/>
  <c r="AD415" i="5" l="1"/>
  <c r="C416" i="5" s="1"/>
  <c r="E416" i="5" s="1"/>
  <c r="I416" i="5" s="1"/>
  <c r="AC415" i="5"/>
  <c r="K416" i="5" l="1"/>
  <c r="B416" i="5"/>
  <c r="D416" i="5" s="1"/>
  <c r="H416" i="5" s="1"/>
  <c r="M416" i="5" s="1"/>
  <c r="AE415" i="5"/>
  <c r="AF415" i="5" s="1"/>
  <c r="O416" i="5" l="1"/>
  <c r="Q416" i="5" s="1"/>
  <c r="J416" i="5"/>
  <c r="L416" i="5"/>
  <c r="AG415" i="5"/>
  <c r="N416" i="5" l="1"/>
  <c r="P416" i="5" s="1"/>
  <c r="S416" i="5"/>
  <c r="U416" i="5"/>
  <c r="M416" i="2" l="1"/>
  <c r="R416" i="5"/>
  <c r="T416" i="5"/>
  <c r="L416" i="2" l="1"/>
  <c r="N416" i="2" s="1"/>
  <c r="O416" i="2" s="1"/>
  <c r="V416" i="5"/>
  <c r="P416" i="2" l="1"/>
  <c r="AA416" i="5" s="1"/>
  <c r="Q416" i="2"/>
  <c r="AB416" i="5" s="1"/>
  <c r="R416" i="2"/>
  <c r="S416" i="2"/>
  <c r="U416" i="2"/>
  <c r="Z416" i="5"/>
  <c r="AC416" i="5" l="1"/>
  <c r="AD416" i="5"/>
  <c r="C417" i="5" s="1"/>
  <c r="E417" i="5" s="1"/>
  <c r="I417" i="5" s="1"/>
  <c r="T416" i="2"/>
  <c r="B417" i="5" l="1"/>
  <c r="D417" i="5" s="1"/>
  <c r="H417" i="5" s="1"/>
  <c r="M417" i="5" s="1"/>
  <c r="AE416" i="5"/>
  <c r="AF416" i="5" s="1"/>
  <c r="K417" i="5"/>
  <c r="J417" i="5" l="1"/>
  <c r="L417" i="5"/>
  <c r="AG416" i="5"/>
  <c r="O417" i="5"/>
  <c r="Q417" i="5" s="1"/>
  <c r="N417" i="5" l="1"/>
  <c r="P417" i="5" s="1"/>
  <c r="S417" i="5"/>
  <c r="U417" i="5"/>
  <c r="M417" i="2" l="1"/>
  <c r="R417" i="5"/>
  <c r="T417" i="5"/>
  <c r="L417" i="2" l="1"/>
  <c r="N417" i="2" s="1"/>
  <c r="O417" i="2" s="1"/>
  <c r="V417" i="5"/>
  <c r="P417" i="2" l="1"/>
  <c r="AA417" i="5" s="1"/>
  <c r="Q417" i="2"/>
  <c r="AB417" i="5" s="1"/>
  <c r="R417" i="2"/>
  <c r="S417" i="2"/>
  <c r="U417" i="2"/>
  <c r="Z417" i="5"/>
  <c r="AC417" i="5" l="1"/>
  <c r="AD417" i="5"/>
  <c r="C418" i="5" s="1"/>
  <c r="E418" i="5" s="1"/>
  <c r="I418" i="5" s="1"/>
  <c r="T417" i="2"/>
  <c r="B418" i="5" l="1"/>
  <c r="D418" i="5" s="1"/>
  <c r="H418" i="5" s="1"/>
  <c r="AE417" i="5"/>
  <c r="AF417" i="5" s="1"/>
  <c r="M418" i="5"/>
  <c r="K418" i="5"/>
  <c r="J418" i="5" l="1"/>
  <c r="L418" i="5"/>
  <c r="AG417" i="5"/>
  <c r="O418" i="5"/>
  <c r="Q418" i="5" s="1"/>
  <c r="N418" i="5" l="1"/>
  <c r="P418" i="5" s="1"/>
  <c r="S418" i="5"/>
  <c r="U418" i="5"/>
  <c r="M418" i="2" l="1"/>
  <c r="R418" i="5"/>
  <c r="T418" i="5"/>
  <c r="L418" i="2" l="1"/>
  <c r="N418" i="2" s="1"/>
  <c r="O418" i="2" s="1"/>
  <c r="V418" i="5"/>
  <c r="P418" i="2" l="1"/>
  <c r="AA418" i="5" s="1"/>
  <c r="Q418" i="2"/>
  <c r="AB418" i="5" s="1"/>
  <c r="R418" i="2"/>
  <c r="T418" i="2" s="1"/>
  <c r="S418" i="2"/>
  <c r="U418" i="2"/>
  <c r="Z418" i="5"/>
  <c r="AC418" i="5" l="1"/>
  <c r="AD418" i="5"/>
  <c r="C419" i="5" s="1"/>
  <c r="E419" i="5" s="1"/>
  <c r="I419" i="5" s="1"/>
  <c r="B419" i="5" l="1"/>
  <c r="D419" i="5" s="1"/>
  <c r="H419" i="5" s="1"/>
  <c r="M419" i="5" s="1"/>
  <c r="AE418" i="5"/>
  <c r="AF418" i="5" s="1"/>
  <c r="K419" i="5"/>
  <c r="J419" i="5" l="1"/>
  <c r="L419" i="5"/>
  <c r="AG418" i="5"/>
  <c r="O419" i="5"/>
  <c r="Q419" i="5" s="1"/>
  <c r="N419" i="5" l="1"/>
  <c r="P419" i="5" s="1"/>
  <c r="S419" i="5"/>
  <c r="U419" i="5"/>
  <c r="M419" i="2" l="1"/>
  <c r="R419" i="5"/>
  <c r="T419" i="5"/>
  <c r="L419" i="2" l="1"/>
  <c r="N419" i="2" s="1"/>
  <c r="O419" i="2" s="1"/>
  <c r="V419" i="5"/>
  <c r="P419" i="2" l="1"/>
  <c r="Q419" i="2"/>
  <c r="Z419" i="5"/>
  <c r="AA419" i="5" l="1"/>
  <c r="S419" i="2"/>
  <c r="U419" i="2"/>
  <c r="AB419" i="5"/>
  <c r="R419" i="2"/>
  <c r="T419" i="2" s="1"/>
  <c r="AD419" i="5" l="1"/>
  <c r="C420" i="5" s="1"/>
  <c r="E420" i="5" s="1"/>
  <c r="I420" i="5" s="1"/>
  <c r="AC419" i="5"/>
  <c r="K420" i="5" l="1"/>
  <c r="B420" i="5"/>
  <c r="D420" i="5" s="1"/>
  <c r="H420" i="5" s="1"/>
  <c r="M420" i="5" s="1"/>
  <c r="AE419" i="5"/>
  <c r="AF419" i="5" s="1"/>
  <c r="O420" i="5" l="1"/>
  <c r="Q420" i="5" s="1"/>
  <c r="J420" i="5"/>
  <c r="L420" i="5"/>
  <c r="AG419" i="5"/>
  <c r="N420" i="5" l="1"/>
  <c r="P420" i="5" s="1"/>
  <c r="S420" i="5"/>
  <c r="U420" i="5"/>
  <c r="M420" i="2" l="1"/>
  <c r="R420" i="5"/>
  <c r="T420" i="5"/>
  <c r="L420" i="2" l="1"/>
  <c r="N420" i="2" s="1"/>
  <c r="O420" i="2" s="1"/>
  <c r="V420" i="5"/>
  <c r="P420" i="2" l="1"/>
  <c r="Q420" i="2"/>
  <c r="AB420" i="5" s="1"/>
  <c r="Z420" i="5"/>
  <c r="AA420" i="5" l="1"/>
  <c r="R420" i="2"/>
  <c r="T420" i="2" s="1"/>
  <c r="S420" i="2"/>
  <c r="U420" i="2"/>
  <c r="AD420" i="5" l="1"/>
  <c r="C421" i="5" s="1"/>
  <c r="E421" i="5" s="1"/>
  <c r="I421" i="5" s="1"/>
  <c r="AC420" i="5"/>
  <c r="K421" i="5" l="1"/>
  <c r="B421" i="5"/>
  <c r="D421" i="5" s="1"/>
  <c r="H421" i="5" s="1"/>
  <c r="M421" i="5" s="1"/>
  <c r="AE420" i="5"/>
  <c r="AF420" i="5" s="1"/>
  <c r="O421" i="5" l="1"/>
  <c r="Q421" i="5" s="1"/>
  <c r="J421" i="5"/>
  <c r="L421" i="5"/>
  <c r="AG420" i="5"/>
  <c r="N421" i="5" l="1"/>
  <c r="P421" i="5" s="1"/>
  <c r="S421" i="5"/>
  <c r="U421" i="5"/>
  <c r="M421" i="2" l="1"/>
  <c r="R421" i="5"/>
  <c r="T421" i="5"/>
  <c r="L421" i="2" l="1"/>
  <c r="N421" i="2" s="1"/>
  <c r="O421" i="2" s="1"/>
  <c r="V421" i="5"/>
  <c r="P421" i="2" l="1"/>
  <c r="Q421" i="2"/>
  <c r="AB421" i="5" s="1"/>
  <c r="Z421" i="5"/>
  <c r="AA421" i="5" l="1"/>
  <c r="R421" i="2"/>
  <c r="S421" i="2"/>
  <c r="U421" i="2"/>
  <c r="AD421" i="5" l="1"/>
  <c r="C422" i="5" s="1"/>
  <c r="E422" i="5" s="1"/>
  <c r="I422" i="5" s="1"/>
  <c r="AC421" i="5"/>
  <c r="T421" i="2"/>
  <c r="K422" i="5" l="1"/>
  <c r="B422" i="5"/>
  <c r="D422" i="5" s="1"/>
  <c r="H422" i="5" s="1"/>
  <c r="M422" i="5" s="1"/>
  <c r="AE421" i="5"/>
  <c r="AF421" i="5" s="1"/>
  <c r="O422" i="5" l="1"/>
  <c r="Q422" i="5" s="1"/>
  <c r="J422" i="5"/>
  <c r="L422" i="5"/>
  <c r="AG421" i="5"/>
  <c r="N422" i="5" l="1"/>
  <c r="P422" i="5" s="1"/>
  <c r="R422" i="5" s="1"/>
  <c r="T422" i="5"/>
  <c r="S422" i="5"/>
  <c r="U422" i="5"/>
  <c r="V422" i="5" l="1"/>
  <c r="L422" i="2"/>
  <c r="M422" i="2"/>
  <c r="N422" i="2" l="1"/>
  <c r="O422" i="2" s="1"/>
  <c r="Z422" i="5" l="1"/>
  <c r="Q422" i="2"/>
  <c r="P422" i="2"/>
  <c r="AA422" i="5" s="1"/>
  <c r="AD422" i="5" l="1"/>
  <c r="C423" i="5" s="1"/>
  <c r="E423" i="5" s="1"/>
  <c r="I423" i="5" s="1"/>
  <c r="AC422" i="5"/>
  <c r="AB422" i="5"/>
  <c r="U422" i="2"/>
  <c r="S422" i="2"/>
  <c r="R422" i="2"/>
  <c r="T422" i="2" s="1"/>
  <c r="K423" i="5" l="1"/>
  <c r="B423" i="5"/>
  <c r="D423" i="5" s="1"/>
  <c r="H423" i="5" s="1"/>
  <c r="M423" i="5" s="1"/>
  <c r="AE422" i="5"/>
  <c r="AF422" i="5" s="1"/>
  <c r="O423" i="5" l="1"/>
  <c r="Q423" i="5" s="1"/>
  <c r="J423" i="5"/>
  <c r="L423" i="5"/>
  <c r="AG422" i="5"/>
  <c r="N423" i="5" l="1"/>
  <c r="P423" i="5" s="1"/>
  <c r="S423" i="5"/>
  <c r="U423" i="5"/>
  <c r="M423" i="2" l="1"/>
  <c r="R423" i="5"/>
  <c r="T423" i="5"/>
  <c r="L423" i="2" l="1"/>
  <c r="N423" i="2" s="1"/>
  <c r="O423" i="2" s="1"/>
  <c r="V423" i="5"/>
  <c r="P423" i="2" l="1"/>
  <c r="Q423" i="2"/>
  <c r="AB423" i="5" s="1"/>
  <c r="Z423" i="5"/>
  <c r="AA423" i="5" l="1"/>
  <c r="R423" i="2"/>
  <c r="T423" i="2" s="1"/>
  <c r="S423" i="2"/>
  <c r="U423" i="2"/>
  <c r="AD423" i="5" l="1"/>
  <c r="C424" i="5" s="1"/>
  <c r="E424" i="5" s="1"/>
  <c r="I424" i="5" s="1"/>
  <c r="AC423" i="5"/>
  <c r="K424" i="5" l="1"/>
  <c r="B424" i="5"/>
  <c r="D424" i="5" s="1"/>
  <c r="H424" i="5" s="1"/>
  <c r="M424" i="5" s="1"/>
  <c r="AE423" i="5"/>
  <c r="AF423" i="5" s="1"/>
  <c r="O424" i="5" l="1"/>
  <c r="Q424" i="5" s="1"/>
  <c r="J424" i="5"/>
  <c r="L424" i="5"/>
  <c r="AG423" i="5"/>
  <c r="N424" i="5" l="1"/>
  <c r="P424" i="5" s="1"/>
  <c r="S424" i="5"/>
  <c r="U424" i="5"/>
  <c r="M424" i="2" l="1"/>
  <c r="R424" i="5"/>
  <c r="T424" i="5"/>
  <c r="L424" i="2" l="1"/>
  <c r="N424" i="2" s="1"/>
  <c r="O424" i="2" s="1"/>
  <c r="V424" i="5"/>
  <c r="P424" i="2" l="1"/>
  <c r="Q424" i="2"/>
  <c r="AB424" i="5" s="1"/>
  <c r="R424" i="2"/>
  <c r="S424" i="2"/>
  <c r="Z424" i="5"/>
  <c r="T424" i="2" l="1"/>
  <c r="AA424" i="5"/>
  <c r="U424" i="2"/>
  <c r="AD424" i="5" l="1"/>
  <c r="C425" i="5" s="1"/>
  <c r="E425" i="5" s="1"/>
  <c r="I425" i="5" s="1"/>
  <c r="AC424" i="5"/>
  <c r="K425" i="5" l="1"/>
  <c r="B425" i="5"/>
  <c r="D425" i="5" s="1"/>
  <c r="H425" i="5" s="1"/>
  <c r="M425" i="5" s="1"/>
  <c r="AE424" i="5"/>
  <c r="AF424" i="5" s="1"/>
  <c r="O425" i="5" l="1"/>
  <c r="Q425" i="5" s="1"/>
  <c r="J425" i="5"/>
  <c r="L425" i="5"/>
  <c r="AG424" i="5"/>
  <c r="N425" i="5" l="1"/>
  <c r="P425" i="5" s="1"/>
  <c r="S425" i="5"/>
  <c r="U425" i="5"/>
  <c r="M425" i="2" l="1"/>
  <c r="R425" i="5"/>
  <c r="T425" i="5"/>
  <c r="L425" i="2" l="1"/>
  <c r="N425" i="2" s="1"/>
  <c r="O425" i="2" s="1"/>
  <c r="V425" i="5"/>
  <c r="P425" i="2" l="1"/>
  <c r="Q425" i="2"/>
  <c r="AB425" i="5" s="1"/>
  <c r="Z425" i="5"/>
  <c r="AA425" i="5" l="1"/>
  <c r="R425" i="2"/>
  <c r="T425" i="2" s="1"/>
  <c r="S425" i="2"/>
  <c r="U425" i="2"/>
  <c r="AD425" i="5" l="1"/>
  <c r="C426" i="5" s="1"/>
  <c r="E426" i="5" s="1"/>
  <c r="I426" i="5" s="1"/>
  <c r="AC425" i="5"/>
  <c r="K426" i="5" l="1"/>
  <c r="B426" i="5"/>
  <c r="D426" i="5" s="1"/>
  <c r="H426" i="5" s="1"/>
  <c r="M426" i="5" s="1"/>
  <c r="AE425" i="5"/>
  <c r="AF425" i="5" s="1"/>
  <c r="O426" i="5" l="1"/>
  <c r="Q426" i="5" s="1"/>
  <c r="J426" i="5"/>
  <c r="L426" i="5"/>
  <c r="AG425" i="5"/>
  <c r="N426" i="5" l="1"/>
  <c r="P426" i="5" s="1"/>
  <c r="S426" i="5"/>
  <c r="U426" i="5"/>
  <c r="M426" i="2" l="1"/>
  <c r="R426" i="5"/>
  <c r="T426" i="5"/>
  <c r="L426" i="2" l="1"/>
  <c r="N426" i="2" s="1"/>
  <c r="O426" i="2" s="1"/>
  <c r="V426" i="5"/>
  <c r="P426" i="2" l="1"/>
  <c r="Q426" i="2"/>
  <c r="AB426" i="5" s="1"/>
  <c r="Z426" i="5"/>
  <c r="AA426" i="5" l="1"/>
  <c r="R426" i="2"/>
  <c r="T426" i="2" s="1"/>
  <c r="U426" i="2"/>
  <c r="S426" i="2"/>
  <c r="AD426" i="5" l="1"/>
  <c r="C427" i="5" s="1"/>
  <c r="E427" i="5" s="1"/>
  <c r="I427" i="5" s="1"/>
  <c r="AC426" i="5"/>
  <c r="K427" i="5" l="1"/>
  <c r="B427" i="5"/>
  <c r="D427" i="5" s="1"/>
  <c r="H427" i="5" s="1"/>
  <c r="M427" i="5" s="1"/>
  <c r="AE426" i="5"/>
  <c r="AF426" i="5" s="1"/>
  <c r="O427" i="5" l="1"/>
  <c r="Q427" i="5" s="1"/>
  <c r="J427" i="5"/>
  <c r="L427" i="5"/>
  <c r="AG426" i="5"/>
  <c r="N427" i="5" l="1"/>
  <c r="P427" i="5" s="1"/>
  <c r="S427" i="5"/>
  <c r="U427" i="5"/>
  <c r="M427" i="2" l="1"/>
  <c r="R427" i="5"/>
  <c r="T427" i="5"/>
  <c r="L427" i="2" l="1"/>
  <c r="N427" i="2" s="1"/>
  <c r="O427" i="2" s="1"/>
  <c r="V427" i="5"/>
  <c r="P427" i="2" l="1"/>
  <c r="Q427" i="2"/>
  <c r="AB427" i="5" s="1"/>
  <c r="R427" i="2"/>
  <c r="S427" i="2"/>
  <c r="Z427" i="5"/>
  <c r="T427" i="2" l="1"/>
  <c r="AA427" i="5"/>
  <c r="U427" i="2"/>
  <c r="AD427" i="5" l="1"/>
  <c r="C428" i="5" s="1"/>
  <c r="E428" i="5" s="1"/>
  <c r="I428" i="5" s="1"/>
  <c r="AC427" i="5"/>
  <c r="M428" i="5" l="1"/>
  <c r="K428" i="5"/>
  <c r="B428" i="5"/>
  <c r="D428" i="5" s="1"/>
  <c r="H428" i="5" s="1"/>
  <c r="AE427" i="5"/>
  <c r="AF427" i="5" s="1"/>
  <c r="O428" i="5" l="1"/>
  <c r="Q428" i="5" s="1"/>
  <c r="J428" i="5"/>
  <c r="L428" i="5"/>
  <c r="AG427" i="5"/>
  <c r="N428" i="5" l="1"/>
  <c r="P428" i="5" s="1"/>
  <c r="S428" i="5"/>
  <c r="U428" i="5"/>
  <c r="M428" i="2" l="1"/>
  <c r="R428" i="5"/>
  <c r="T428" i="5"/>
  <c r="L428" i="2" l="1"/>
  <c r="N428" i="2" s="1"/>
  <c r="O428" i="2" s="1"/>
  <c r="V428" i="5"/>
  <c r="P428" i="2" l="1"/>
  <c r="Q428" i="2"/>
  <c r="R428" i="2"/>
  <c r="Z428" i="5"/>
  <c r="AA428" i="5" l="1"/>
  <c r="S428" i="2"/>
  <c r="T428" i="2" s="1"/>
  <c r="AB428" i="5"/>
  <c r="U428" i="2"/>
  <c r="AD428" i="5" l="1"/>
  <c r="C429" i="5" s="1"/>
  <c r="E429" i="5" s="1"/>
  <c r="I429" i="5" s="1"/>
  <c r="AC428" i="5"/>
  <c r="K429" i="5" l="1"/>
  <c r="B429" i="5"/>
  <c r="D429" i="5" s="1"/>
  <c r="H429" i="5" s="1"/>
  <c r="M429" i="5" s="1"/>
  <c r="AE428" i="5"/>
  <c r="AF428" i="5" s="1"/>
  <c r="O429" i="5" l="1"/>
  <c r="Q429" i="5" s="1"/>
  <c r="J429" i="5"/>
  <c r="L429" i="5"/>
  <c r="AG428" i="5"/>
  <c r="N429" i="5" l="1"/>
  <c r="P429" i="5" s="1"/>
  <c r="S429" i="5"/>
  <c r="U429" i="5"/>
  <c r="M429" i="2" l="1"/>
  <c r="R429" i="5"/>
  <c r="T429" i="5"/>
  <c r="L429" i="2" l="1"/>
  <c r="N429" i="2" s="1"/>
  <c r="O429" i="2" s="1"/>
  <c r="V429" i="5"/>
  <c r="P429" i="2" l="1"/>
  <c r="Q429" i="2"/>
  <c r="AB429" i="5" s="1"/>
  <c r="Z429" i="5"/>
  <c r="AA429" i="5" l="1"/>
  <c r="R429" i="2"/>
  <c r="S429" i="2"/>
  <c r="U429" i="2"/>
  <c r="AD429" i="5" l="1"/>
  <c r="C430" i="5" s="1"/>
  <c r="E430" i="5" s="1"/>
  <c r="I430" i="5" s="1"/>
  <c r="AC429" i="5"/>
  <c r="T429" i="2"/>
  <c r="M430" i="5" l="1"/>
  <c r="K430" i="5"/>
  <c r="B430" i="5"/>
  <c r="D430" i="5" s="1"/>
  <c r="H430" i="5" s="1"/>
  <c r="AE429" i="5"/>
  <c r="AF429" i="5" s="1"/>
  <c r="O430" i="5" l="1"/>
  <c r="Q430" i="5" s="1"/>
  <c r="J430" i="5"/>
  <c r="L430" i="5"/>
  <c r="AG429" i="5"/>
  <c r="N430" i="5" l="1"/>
  <c r="P430" i="5" s="1"/>
  <c r="S430" i="5"/>
  <c r="U430" i="5"/>
  <c r="M430" i="2" l="1"/>
  <c r="R430" i="5"/>
  <c r="T430" i="5"/>
  <c r="L430" i="2" l="1"/>
  <c r="N430" i="2" s="1"/>
  <c r="O430" i="2" s="1"/>
  <c r="V430" i="5"/>
  <c r="P430" i="2" l="1"/>
  <c r="Q430" i="2"/>
  <c r="AB430" i="5" s="1"/>
  <c r="Z430" i="5"/>
  <c r="AA430" i="5" l="1"/>
  <c r="R430" i="2"/>
  <c r="S430" i="2"/>
  <c r="U430" i="2"/>
  <c r="AD430" i="5" l="1"/>
  <c r="C431" i="5" s="1"/>
  <c r="E431" i="5" s="1"/>
  <c r="I431" i="5" s="1"/>
  <c r="AC430" i="5"/>
  <c r="T430" i="2"/>
  <c r="K431" i="5" l="1"/>
  <c r="B431" i="5"/>
  <c r="D431" i="5" s="1"/>
  <c r="H431" i="5" s="1"/>
  <c r="M431" i="5" s="1"/>
  <c r="AE430" i="5"/>
  <c r="AF430" i="5" s="1"/>
  <c r="O431" i="5" l="1"/>
  <c r="Q431" i="5" s="1"/>
  <c r="J431" i="5"/>
  <c r="L431" i="5"/>
  <c r="AG430" i="5"/>
  <c r="N431" i="5" l="1"/>
  <c r="P431" i="5" s="1"/>
  <c r="S431" i="5"/>
  <c r="U431" i="5"/>
  <c r="M431" i="2" l="1"/>
  <c r="R431" i="5"/>
  <c r="T431" i="5"/>
  <c r="L431" i="2" l="1"/>
  <c r="N431" i="2" s="1"/>
  <c r="O431" i="2" s="1"/>
  <c r="V431" i="5"/>
  <c r="P431" i="2" l="1"/>
  <c r="Q431" i="2"/>
  <c r="Z431" i="5"/>
  <c r="AA431" i="5" l="1"/>
  <c r="S431" i="2"/>
  <c r="U431" i="2"/>
  <c r="AB431" i="5"/>
  <c r="R431" i="2"/>
  <c r="T431" i="2" s="1"/>
  <c r="AD431" i="5" l="1"/>
  <c r="C432" i="5" s="1"/>
  <c r="E432" i="5" s="1"/>
  <c r="I432" i="5" s="1"/>
  <c r="AC431" i="5"/>
  <c r="K432" i="5" l="1"/>
  <c r="B432" i="5"/>
  <c r="D432" i="5" s="1"/>
  <c r="H432" i="5" s="1"/>
  <c r="M432" i="5" s="1"/>
  <c r="AE431" i="5"/>
  <c r="AF431" i="5" s="1"/>
  <c r="O432" i="5" l="1"/>
  <c r="Q432" i="5" s="1"/>
  <c r="J432" i="5"/>
  <c r="L432" i="5"/>
  <c r="AG431" i="5"/>
  <c r="N432" i="5" l="1"/>
  <c r="P432" i="5" s="1"/>
  <c r="S432" i="5"/>
  <c r="U432" i="5"/>
  <c r="M432" i="2" l="1"/>
  <c r="R432" i="5"/>
  <c r="T432" i="5"/>
  <c r="L432" i="2" l="1"/>
  <c r="N432" i="2" s="1"/>
  <c r="O432" i="2" s="1"/>
  <c r="V432" i="5"/>
  <c r="P432" i="2" l="1"/>
  <c r="Q432" i="2"/>
  <c r="Z432" i="5"/>
  <c r="AA432" i="5" l="1"/>
  <c r="S432" i="2"/>
  <c r="U432" i="2"/>
  <c r="AB432" i="5"/>
  <c r="R432" i="2"/>
  <c r="T432" i="2" s="1"/>
  <c r="AD432" i="5" l="1"/>
  <c r="C433" i="5" s="1"/>
  <c r="E433" i="5" s="1"/>
  <c r="I433" i="5" s="1"/>
  <c r="AC432" i="5"/>
  <c r="K433" i="5" l="1"/>
  <c r="B433" i="5"/>
  <c r="D433" i="5" s="1"/>
  <c r="H433" i="5" s="1"/>
  <c r="M433" i="5" s="1"/>
  <c r="AE432" i="5"/>
  <c r="AF432" i="5" s="1"/>
  <c r="O433" i="5" l="1"/>
  <c r="Q433" i="5" s="1"/>
  <c r="J433" i="5"/>
  <c r="L433" i="5"/>
  <c r="AG432" i="5"/>
  <c r="N433" i="5" l="1"/>
  <c r="P433" i="5" s="1"/>
  <c r="R433" i="5" s="1"/>
  <c r="T433" i="5"/>
  <c r="S433" i="5"/>
  <c r="U433" i="5"/>
  <c r="V433" i="5" l="1"/>
  <c r="L433" i="2"/>
  <c r="N433" i="2" s="1"/>
  <c r="O433" i="2" s="1"/>
  <c r="M433" i="2"/>
  <c r="P433" i="2" l="1"/>
  <c r="AA433" i="5" s="1"/>
  <c r="Q433" i="2"/>
  <c r="S433" i="2"/>
  <c r="U433" i="2"/>
  <c r="Z433" i="5"/>
  <c r="AC433" i="5" l="1"/>
  <c r="AD433" i="5"/>
  <c r="C434" i="5" s="1"/>
  <c r="E434" i="5" s="1"/>
  <c r="I434" i="5" s="1"/>
  <c r="AB433" i="5"/>
  <c r="R433" i="2"/>
  <c r="T433" i="2" s="1"/>
  <c r="B434" i="5" l="1"/>
  <c r="D434" i="5" s="1"/>
  <c r="H434" i="5" s="1"/>
  <c r="M434" i="5" s="1"/>
  <c r="AE433" i="5"/>
  <c r="AF433" i="5" s="1"/>
  <c r="K434" i="5"/>
  <c r="J434" i="5" l="1"/>
  <c r="L434" i="5"/>
  <c r="AG433" i="5"/>
  <c r="O434" i="5"/>
  <c r="Q434" i="5" s="1"/>
  <c r="N434" i="5" l="1"/>
  <c r="P434" i="5" s="1"/>
  <c r="S434" i="5"/>
  <c r="U434" i="5"/>
  <c r="M434" i="2" l="1"/>
  <c r="R434" i="5"/>
  <c r="T434" i="5"/>
  <c r="L434" i="2" l="1"/>
  <c r="N434" i="2" s="1"/>
  <c r="O434" i="2" s="1"/>
  <c r="V434" i="5"/>
  <c r="P434" i="2" l="1"/>
  <c r="Q434" i="2"/>
  <c r="Z434" i="5"/>
  <c r="AA434" i="5" l="1"/>
  <c r="U434" i="2"/>
  <c r="AB434" i="5"/>
  <c r="R434" i="2"/>
  <c r="T434" i="2" s="1"/>
  <c r="S434" i="2"/>
  <c r="AD434" i="5" l="1"/>
  <c r="C435" i="5" s="1"/>
  <c r="E435" i="5" s="1"/>
  <c r="I435" i="5" s="1"/>
  <c r="AC434" i="5"/>
  <c r="K435" i="5" l="1"/>
  <c r="B435" i="5"/>
  <c r="D435" i="5" s="1"/>
  <c r="H435" i="5" s="1"/>
  <c r="M435" i="5" s="1"/>
  <c r="AE434" i="5"/>
  <c r="AF434" i="5" s="1"/>
  <c r="O435" i="5" l="1"/>
  <c r="Q435" i="5" s="1"/>
  <c r="J435" i="5"/>
  <c r="L435" i="5"/>
  <c r="AG434" i="5"/>
  <c r="N435" i="5" l="1"/>
  <c r="P435" i="5" s="1"/>
  <c r="S435" i="5"/>
  <c r="U435" i="5"/>
  <c r="M435" i="2" l="1"/>
  <c r="R435" i="5"/>
  <c r="T435" i="5"/>
  <c r="L435" i="2" l="1"/>
  <c r="N435" i="2" s="1"/>
  <c r="O435" i="2" s="1"/>
  <c r="V435" i="5"/>
  <c r="P435" i="2" l="1"/>
  <c r="AA435" i="5" s="1"/>
  <c r="Q435" i="2"/>
  <c r="AB435" i="5" s="1"/>
  <c r="R435" i="2"/>
  <c r="S435" i="2"/>
  <c r="U435" i="2"/>
  <c r="Z435" i="5"/>
  <c r="AC435" i="5" l="1"/>
  <c r="AD435" i="5"/>
  <c r="C436" i="5" s="1"/>
  <c r="E436" i="5" s="1"/>
  <c r="I436" i="5" s="1"/>
  <c r="T435" i="2"/>
  <c r="B436" i="5" l="1"/>
  <c r="D436" i="5" s="1"/>
  <c r="H436" i="5" s="1"/>
  <c r="AE435" i="5"/>
  <c r="AF435" i="5" s="1"/>
  <c r="M436" i="5"/>
  <c r="K436" i="5"/>
  <c r="J436" i="5" l="1"/>
  <c r="L436" i="5"/>
  <c r="AG435" i="5"/>
  <c r="O436" i="5"/>
  <c r="Q436" i="5" s="1"/>
  <c r="N436" i="5" l="1"/>
  <c r="P436" i="5" s="1"/>
  <c r="S436" i="5"/>
  <c r="U436" i="5"/>
  <c r="M436" i="2" l="1"/>
  <c r="R436" i="5"/>
  <c r="T436" i="5"/>
  <c r="L436" i="2" l="1"/>
  <c r="N436" i="2" s="1"/>
  <c r="O436" i="2" s="1"/>
  <c r="V436" i="5"/>
  <c r="P436" i="2" l="1"/>
  <c r="Q436" i="2"/>
  <c r="AB436" i="5" s="1"/>
  <c r="Z436" i="5"/>
  <c r="AA436" i="5" l="1"/>
  <c r="R436" i="2"/>
  <c r="U436" i="2"/>
  <c r="S436" i="2"/>
  <c r="AD436" i="5" l="1"/>
  <c r="C437" i="5" s="1"/>
  <c r="E437" i="5" s="1"/>
  <c r="I437" i="5" s="1"/>
  <c r="AC436" i="5"/>
  <c r="T436" i="2"/>
  <c r="M437" i="5" l="1"/>
  <c r="K437" i="5"/>
  <c r="B437" i="5"/>
  <c r="D437" i="5" s="1"/>
  <c r="H437" i="5" s="1"/>
  <c r="AE436" i="5"/>
  <c r="AF436" i="5" s="1"/>
  <c r="O437" i="5" l="1"/>
  <c r="Q437" i="5" s="1"/>
  <c r="S437" i="5" s="1"/>
  <c r="U437" i="5"/>
  <c r="J437" i="5"/>
  <c r="L437" i="5"/>
  <c r="AG436" i="5"/>
  <c r="M437" i="2" l="1"/>
  <c r="N437" i="5"/>
  <c r="P437" i="5" s="1"/>
  <c r="R437" i="5" l="1"/>
  <c r="T437" i="5"/>
  <c r="L437" i="2" l="1"/>
  <c r="N437" i="2" s="1"/>
  <c r="V437" i="5"/>
  <c r="O437" i="2" l="1"/>
  <c r="B27" i="1"/>
  <c r="P437" i="2" l="1"/>
  <c r="Q437" i="2"/>
  <c r="AB437" i="5" s="1"/>
  <c r="Z437" i="5"/>
  <c r="B28" i="1"/>
  <c r="AA437" i="5" l="1"/>
  <c r="R437" i="2"/>
  <c r="S437" i="2"/>
  <c r="U437" i="2"/>
  <c r="B29" i="1" s="1"/>
  <c r="AD437" i="5" l="1"/>
  <c r="B35" i="1" s="1"/>
  <c r="AC437" i="5"/>
  <c r="T437" i="2"/>
  <c r="B34" i="1" l="1"/>
  <c r="AE437" i="5"/>
  <c r="AF437" i="5" l="1"/>
  <c r="AG437" i="5" s="1"/>
  <c r="B33" i="1" s="1"/>
  <c r="B30" i="1"/>
  <c r="B31" i="1"/>
  <c r="B32" i="1" s="1"/>
</calcChain>
</file>

<file path=xl/sharedStrings.xml><?xml version="1.0" encoding="utf-8"?>
<sst xmlns="http://schemas.openxmlformats.org/spreadsheetml/2006/main" count="748" uniqueCount="186">
  <si>
    <t>H237 Manual Rebalancing Parameters — Full History</t>
  </si>
  <si>
    <t>Parameter</t>
  </si>
  <si>
    <t>Value</t>
  </si>
  <si>
    <t>Units</t>
  </si>
  <si>
    <t>Meaning</t>
  </si>
  <si>
    <t>Upside-beta lookback</t>
  </si>
  <si>
    <t>weeks</t>
  </si>
  <si>
    <t>Use the latest 26 completed weekly A/B return observations, including the current completed week.</t>
  </si>
  <si>
    <t>Persistence requirement</t>
  </si>
  <si>
    <t>consecutive signals</t>
  </si>
  <si>
    <t>H237 acts only when the same raw H135 direction has appeared for at least 3 consecutive completed weeks.</t>
  </si>
  <si>
    <t>Weekly allocation move</t>
  </si>
  <si>
    <t>percentage points</t>
  </si>
  <si>
    <t>Each confirmed H237 signal moves A weight by 10 percentage points from the current post-trade/pre-rebalance weight.</t>
  </si>
  <si>
    <t>Minimum A weight</t>
  </si>
  <si>
    <t>%</t>
  </si>
  <si>
    <t>Full-range allocator may reach 0% A / 100% B.</t>
  </si>
  <si>
    <t>Maximum A weight</t>
  </si>
  <si>
    <t>Full-range allocator may reach 100% A / 0% B.</t>
  </si>
  <si>
    <t>Historical actual initial A</t>
  </si>
  <si>
    <t>account units</t>
  </si>
  <si>
    <t>Normalized historical decision path starts with 50,000 in A.</t>
  </si>
  <si>
    <t>Historical actual initial B</t>
  </si>
  <si>
    <t>Normalized historical decision path starts with 50,000 in B.</t>
  </si>
  <si>
    <t>Tax rate</t>
  </si>
  <si>
    <t>19% of positive sleeve-specific realized P/L accrual at source-observed tax-event weeks.</t>
  </si>
  <si>
    <t>Margin quantum</t>
  </si>
  <si>
    <t>Margin is floored to 115-unit increments.</t>
  </si>
  <si>
    <t>Gross exposure per margin</t>
  </si>
  <si>
    <t>x</t>
  </si>
  <si>
    <t>P/L = margin × 20 × raw weekly return.</t>
  </si>
  <si>
    <t>Target leverage</t>
  </si>
  <si>
    <t>Exact 13⅓× target leverage.</t>
  </si>
  <si>
    <t>Historical weekly top-up</t>
  </si>
  <si>
    <t>No top-ups in this normalized historical reconstruction.</t>
  </si>
  <si>
    <t>Future manual rows</t>
  </si>
  <si>
    <t>Blank decision rows after 2026-08-03 for manual weekly use.</t>
  </si>
  <si>
    <t>Latest Historical H237 State / Backtest Check</t>
  </si>
  <si>
    <t>Latest completed week</t>
  </si>
  <si>
    <t>date</t>
  </si>
  <si>
    <t>Latest source week.</t>
  </si>
  <si>
    <t>Upside Beta A</t>
  </si>
  <si>
    <t>beta</t>
  </si>
  <si>
    <t>Positive-common-factor beta over the latest 26 weeks.</t>
  </si>
  <si>
    <t>Upside Beta B</t>
  </si>
  <si>
    <t>Beta gap (A−B)</t>
  </si>
  <si>
    <t>Positive favors A; negative favors B.</t>
  </si>
  <si>
    <t>Raw H135 signal</t>
  </si>
  <si>
    <t>signal</t>
  </si>
  <si>
    <t>Raw H135 direction before persistence filter.</t>
  </si>
  <si>
    <t>Raw signal streak</t>
  </si>
  <si>
    <t>Consecutive same-direction raw signals.</t>
  </si>
  <si>
    <t>H237 confirmed signal</t>
  </si>
  <si>
    <t>Only A/B once streak reaches 3; otherwise HOLD.</t>
  </si>
  <si>
    <t>Current A weight before rebalance</t>
  </si>
  <si>
    <t>Actual post-trade/pre-rebalance A share.</t>
  </si>
  <si>
    <t>Recommended A weight</t>
  </si>
  <si>
    <t>10pp move if confirmed; HOLD preserves natural drift.</t>
  </si>
  <si>
    <t>Recommended action</t>
  </si>
  <si>
    <t>text</t>
  </si>
  <si>
    <t>Manual transfer instruction for the historical path.</t>
  </si>
  <si>
    <t>Historical ending portfolio</t>
  </si>
  <si>
    <t>Historical 100k/no-top-up/tax-on reconstruction.</t>
  </si>
  <si>
    <t>Full-history weekly geo</t>
  </si>
  <si>
    <t>% / week</t>
  </si>
  <si>
    <t>Uses 434 completed weekly observations.</t>
  </si>
  <si>
    <t>Full-history annualized CAGR</t>
  </si>
  <si>
    <t>% / year</t>
  </si>
  <si>
    <t>Mathematical annualization of weekly geometric growth.</t>
  </si>
  <si>
    <t>Full-history max drawdown</t>
  </si>
  <si>
    <t>Historical peak-to-trough drawdown of the reconstructed H237 portfolio.</t>
  </si>
  <si>
    <t>Ending A after rebalance</t>
  </si>
  <si>
    <t>Historical normalized sleeve after the final 2026-08-03 rebalance.</t>
  </si>
  <si>
    <t>Ending B after rebalance</t>
  </si>
  <si>
    <t>H237 Weekly Manual Rebalancing Tracker — Full History</t>
  </si>
  <si>
    <t>Historical source: Wklejony tekst(20260814-114014).txt | A = plain --leverage_override; B = --gap-momentum --tuesday-normalization --premarket-low --or5-exit | 2018-04-16 to 2026-08-03. Missing strategy weeks are stored as 0.00%. Historical actual path: 100,000 total, no top-ups, taxes ON.</t>
  </si>
  <si>
    <t>Week Start</t>
  </si>
  <si>
    <t>A Raw Return %</t>
  </si>
  <si>
    <t>B Raw Return %</t>
  </si>
  <si>
    <t>Common Factor %</t>
  </si>
  <si>
    <t>Positive Weeks
(26w)</t>
  </si>
  <si>
    <t>Beta Gap
(A−B)</t>
  </si>
  <si>
    <t>Raw H135 Signal</t>
  </si>
  <si>
    <t>Raw Signal
Streak</t>
  </si>
  <si>
    <t>H237 Signal</t>
  </si>
  <si>
    <t>Actual A Before
Rebalance</t>
  </si>
  <si>
    <t>Actual B Before
Rebalance</t>
  </si>
  <si>
    <t>Current A Weight</t>
  </si>
  <si>
    <t>Recommended A
Weight</t>
  </si>
  <si>
    <t>Transfer A→B</t>
  </si>
  <si>
    <t>Transfer B→A</t>
  </si>
  <si>
    <t>Recommended A
After</t>
  </si>
  <si>
    <t>Recommended B
After</t>
  </si>
  <si>
    <t>Action</t>
  </si>
  <si>
    <t>Notes</t>
  </si>
  <si>
    <t>Historical</t>
  </si>
  <si>
    <t>Historical | B SKIP</t>
  </si>
  <si>
    <t>Historical | A SKIP | B SKIP</t>
  </si>
  <si>
    <t>Future manual input</t>
  </si>
  <si>
    <t>How to Use the H237 Workbook</t>
  </si>
  <si>
    <t>Step</t>
  </si>
  <si>
    <t>What you do</t>
  </si>
  <si>
    <t>Details</t>
  </si>
  <si>
    <t>1</t>
  </si>
  <si>
    <t>Historical returns and actual sleeves are filled</t>
  </si>
  <si>
    <t>2018-04-16 through 2026-08-03. A/B returns come from the same two source backtests used in the H-series research.</t>
  </si>
  <si>
    <t>2</t>
  </si>
  <si>
    <t>Historical path starts at 50,000 A + 50,000 B</t>
  </si>
  <si>
    <t>This workbook uses the latest normalized H237 comparison setup: 100,000 total initial capital, no top-ups, taxes ON.</t>
  </si>
  <si>
    <t>3</t>
  </si>
  <si>
    <t>Enter skipped strategy weeks as 0.00%</t>
  </si>
  <si>
    <t>Do not leave a skipped A or B trade blank. A blank means the week's data are incomplete and no H237 decision is produced.</t>
  </si>
  <si>
    <t>4</t>
  </si>
  <si>
    <t>Common factor</t>
  </si>
  <si>
    <t>C = (A raw return + B raw return) / 2 for each completed week.</t>
  </si>
  <si>
    <t>5</t>
  </si>
  <si>
    <t>H135 upside beta</t>
  </si>
  <si>
    <t>Over the latest 26 completed weeks, keep only observations where C &gt; 0. Estimate each strategy's beta to C. Higher beta is the raw H135 winner.</t>
  </si>
  <si>
    <t>6</t>
  </si>
  <si>
    <t>H237 persistence filter</t>
  </si>
  <si>
    <t>The same raw H135 direction must appear for at least 3 consecutive completed weeks. Week 3 acts; subsequent same-direction weeks continue to act.</t>
  </si>
  <si>
    <t>7</t>
  </si>
  <si>
    <t>Signal reset</t>
  </si>
  <si>
    <t>If the raw H135 direction flips, its streak restarts at 1. Before the streak reaches 3, H237 = HOLD.</t>
  </si>
  <si>
    <t>8</t>
  </si>
  <si>
    <t>Full-range rebalancing</t>
  </si>
  <si>
    <t>A confirmed A signal adds 10pp to the current A weight, capped at 100%. A confirmed B signal subtracts 10pp, floored at 0%.</t>
  </si>
  <si>
    <t>9</t>
  </si>
  <si>
    <t>HOLD means no rebalance</t>
  </si>
  <si>
    <t>Natural allocation drift from that week's A/B returns is preserved. The workbook does not force the prior target back into place.</t>
  </si>
  <si>
    <t>10</t>
  </si>
  <si>
    <t>Rebalancing is after the week's trade</t>
  </si>
  <si>
    <t>For future weeks enter actual A/B sleeve balances after trading and before rebalancing. Then follow the transfer recommendation.</t>
  </si>
  <si>
    <t>11</t>
  </si>
  <si>
    <t>Historical taxes</t>
  </si>
  <si>
    <t>Each sleeve carries its own realized-P/L tax accrual. Positive accrual is taxed 19% on the source-observed event week before that week's trade.</t>
  </si>
  <si>
    <t>12</t>
  </si>
  <si>
    <t>Cross-sleeve tax funding</t>
  </si>
  <si>
    <t>If one sleeve cannot pay its tax from its own balance, the other sleeve funds the shortfall. Internal funding and rebalancing transfers are not profit.</t>
  </si>
  <si>
    <t>13</t>
  </si>
  <si>
    <t>Audit sheet</t>
  </si>
  <si>
    <t>Actual Calc shows start balances, taxes, funding, exact 115-unit margin, P/L, accrual, signal, transfer, ending balances, equity and drawdown.</t>
  </si>
  <si>
    <t>Important</t>
  </si>
  <si>
    <t>Green Actual A/B cells are historical formulas.</t>
  </si>
  <si>
    <t>They link to the normalized tax-on historical calculation on Actual Calc.</t>
  </si>
  <si>
    <t>Yellow Actual A/B and raw-return cells are future manual inputs.</t>
  </si>
  <si>
    <t>Use actual sleeve balances after trading / before rebalancing; use raw unleveraged weekly A/B returns.</t>
  </si>
  <si>
    <t>H237 decisions depend on the raw A/B history, not the historical starting balance.</t>
  </si>
  <si>
    <t>The 100k historical path is for audit/performance context; future recommendations use whatever actual A/B balances you enter.</t>
  </si>
  <si>
    <t>Source-observed tax-event weeks used by the H237 historical actual-balance reconstruction</t>
  </si>
  <si>
    <t>A Tax Week</t>
  </si>
  <si>
    <t>B Tax Week</t>
  </si>
  <si>
    <t>Tax Rate</t>
  </si>
  <si>
    <t>Source / note</t>
  </si>
  <si>
    <t>Wklejony tekst(20260814-114014).txt</t>
  </si>
  <si>
    <t>H237 Exact Historical Actual Sleeve Calculation — 100k / No Top-ups / Tax ON</t>
  </si>
  <si>
    <t>Audit sheet. Exact 115-unit margin granularity, 20× exposure per margin, exact 13⅓× target leverage, strategy-specific taxes, corrected cross-sleeve tax funding, no top-ups, H237 post-week rebalancing.</t>
  </si>
  <si>
    <t>A Start</t>
  </si>
  <si>
    <t>B Start</t>
  </si>
  <si>
    <t>A Pre-Tax</t>
  </si>
  <si>
    <t>B Pre-Tax</t>
  </si>
  <si>
    <t>A Tax Due</t>
  </si>
  <si>
    <t>B Tax Due</t>
  </si>
  <si>
    <t>A Temp After Own Tax</t>
  </si>
  <si>
    <t>B Temp After Own Tax</t>
  </si>
  <si>
    <t>B→A Tax Funding</t>
  </si>
  <si>
    <t>A→B Tax Funding</t>
  </si>
  <si>
    <t>A After Tax</t>
  </si>
  <si>
    <t>B After Tax</t>
  </si>
  <si>
    <t>A Margin</t>
  </si>
  <si>
    <t>B Margin</t>
  </si>
  <si>
    <t>A P/L</t>
  </si>
  <si>
    <t>B P/L</t>
  </si>
  <si>
    <t>A Tax Accrual End</t>
  </si>
  <si>
    <t>B Tax Accrual End</t>
  </si>
  <si>
    <t>Actual A Before Rebal</t>
  </si>
  <si>
    <t>Actual B Before Rebal</t>
  </si>
  <si>
    <t>Raw Signal Streak</t>
  </si>
  <si>
    <t>Recommended A Weight</t>
  </si>
  <si>
    <t>A After Rebal</t>
  </si>
  <si>
    <t>B After Rebal</t>
  </si>
  <si>
    <t>Portfolio Total</t>
  </si>
  <si>
    <t>Portfolio HWM</t>
  </si>
  <si>
    <t>Portfolio DD</t>
  </si>
  <si>
    <t>A Tax Event</t>
  </si>
  <si>
    <t>B Tax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</si>
</sst>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"/>
    <numFmt numFmtId="165" formatCode="0.00\x"/>
    <numFmt numFmtId="166" formatCode="yyyy\-mm\-dd"/>
    <numFmt numFmtId="167" formatCode="0.0000"/>
    <numFmt numFmtId="168" formatCode="#,##0;[Red]\(#,##0\);\-"/>
    <numFmt numFmtId="169" formatCode="0.0000%"/>
    <numFmt numFmtId="170" formatCode="0.00%;[Red]\(0.00%\);\-"/>
    <numFmt numFmtId="171" formatCode="#,##0.00;[Red]\(#,##0.00\);\-"/>
    <numFmt numFmtId="172" formatCode="0.0%;[Red]\(0.0%\);\-"/>
  </numFmts>
  <fonts count="8">
    <font>
      <sz val="11"/>
      <name val="Carlito"/>
    </font>
    <font>
      <b/>
      <sz val="14"/>
      <color rgb="FFFFFFFF"/>
      <name val="Carlito"/>
    </font>
    <font>
      <b/>
      <sz val="9"/>
      <color rgb="FFFFFFFF"/>
      <name val="Carlito"/>
    </font>
    <font>
      <sz val="11"/>
      <color rgb="FF0000FF"/>
      <name val="Carlito"/>
    </font>
    <font>
      <b/>
      <sz val="11"/>
      <color rgb="FFFFFFFF"/>
      <name val="Carlito"/>
    </font>
    <font>
      <sz val="11"/>
      <color rgb="FF008000"/>
      <name val="Carlito"/>
    </font>
    <font>
      <i/>
      <sz val="9"/>
      <color rgb="FF1F4E78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AF4FB"/>
      </patternFill>
    </fill>
  </fills>
  <borders count="3">
    <border>
      <left/>
      <right/>
      <top/>
      <bottom/>
      <diagonal/>
    </border>
    <border>
      <left/>
      <right/>
      <top/>
      <bottom style="thick">
        <color rgb="FF1F4E78"/>
      </bottom>
      <diagonal/>
    </border>
    <border>
      <left/>
      <right/>
      <top style="thick">
        <color rgb="FFC65911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/>
    <xf numFmtId="166" fontId="0" fillId="0" borderId="0" xfId="0" applyNumberFormat="1"/>
    <xf numFmtId="170" fontId="3" fillId="0" borderId="0" xfId="0" applyNumberFormat="1" applyFont="1"/>
    <xf numFmtId="170" fontId="0" fillId="0" borderId="0" xfId="0" applyNumberFormat="1"/>
    <xf numFmtId="170" fontId="3" fillId="5" borderId="0" xfId="0" applyNumberFormat="1" applyFont="1" applyFill="1"/>
    <xf numFmtId="1" fontId="0" fillId="0" borderId="0" xfId="0" applyNumberFormat="1"/>
    <xf numFmtId="167" fontId="0" fillId="0" borderId="0" xfId="0" applyNumberFormat="1"/>
    <xf numFmtId="171" fontId="5" fillId="0" borderId="0" xfId="0" applyNumberFormat="1" applyFont="1"/>
    <xf numFmtId="171" fontId="3" fillId="5" borderId="0" xfId="0" applyNumberFormat="1" applyFont="1" applyFill="1"/>
    <xf numFmtId="164" fontId="0" fillId="0" borderId="0" xfId="0" applyNumberFormat="1"/>
    <xf numFmtId="171" fontId="0" fillId="0" borderId="0" xfId="0" applyNumberFormat="1"/>
    <xf numFmtId="166" fontId="0" fillId="6" borderId="0" xfId="0" applyNumberFormat="1" applyFill="1"/>
    <xf numFmtId="170" fontId="3" fillId="6" borderId="0" xfId="0" applyNumberFormat="1" applyFont="1" applyFill="1"/>
    <xf numFmtId="170" fontId="0" fillId="6" borderId="0" xfId="0" applyNumberFormat="1" applyFill="1"/>
    <xf numFmtId="1" fontId="0" fillId="6" borderId="0" xfId="0" applyNumberFormat="1" applyFill="1"/>
    <xf numFmtId="167" fontId="0" fillId="6" borderId="0" xfId="0" applyNumberFormat="1" applyFill="1"/>
    <xf numFmtId="0" fontId="0" fillId="6" borderId="0" xfId="0" applyFill="1"/>
    <xf numFmtId="171" fontId="5" fillId="6" borderId="0" xfId="0" applyNumberFormat="1" applyFont="1" applyFill="1"/>
    <xf numFmtId="164" fontId="0" fillId="6" borderId="0" xfId="0" applyNumberFormat="1" applyFill="1"/>
    <xf numFmtId="171" fontId="0" fillId="6" borderId="0" xfId="0" applyNumberFormat="1" applyFill="1"/>
    <xf numFmtId="166" fontId="3" fillId="0" borderId="0" xfId="0" applyNumberFormat="1" applyFont="1"/>
    <xf numFmtId="172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165" fontId="3" fillId="0" borderId="0" xfId="0" applyNumberFormat="1" applyFont="1" applyAlignment="1">
      <alignment wrapText="1"/>
    </xf>
    <xf numFmtId="166" fontId="5" fillId="0" borderId="0" xfId="0" applyNumberFormat="1" applyFont="1" applyAlignment="1">
      <alignment wrapText="1"/>
    </xf>
    <xf numFmtId="167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164" fontId="5" fillId="0" borderId="0" xfId="0" applyNumberFormat="1" applyFont="1" applyAlignment="1">
      <alignment wrapText="1"/>
    </xf>
    <xf numFmtId="168" fontId="5" fillId="0" borderId="0" xfId="0" applyNumberFormat="1" applyFont="1" applyAlignment="1">
      <alignment wrapText="1"/>
    </xf>
    <xf numFmtId="169" fontId="5" fillId="0" borderId="0" xfId="0" applyNumberFormat="1" applyFont="1" applyAlignment="1">
      <alignment wrapText="1"/>
    </xf>
    <xf numFmtId="0" fontId="0" fillId="6" borderId="0" xfId="0" applyFill="1" applyAlignment="1">
      <alignment wrapText="1"/>
    </xf>
    <xf numFmtId="0" fontId="7" fillId="0" borderId="0" xfId="0" applyFont="1" applyAlignment="1">
      <alignment wrapText="1"/>
    </xf>
    <xf numFmtId="166" fontId="0" fillId="0" borderId="1" xfId="0" applyNumberFormat="1" applyBorder="1"/>
    <xf numFmtId="170" fontId="3" fillId="0" borderId="1" xfId="0" applyNumberFormat="1" applyFont="1" applyBorder="1"/>
    <xf numFmtId="170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0" fillId="0" borderId="1" xfId="0" applyBorder="1"/>
    <xf numFmtId="171" fontId="5" fillId="0" borderId="1" xfId="0" applyNumberFormat="1" applyFont="1" applyBorder="1"/>
    <xf numFmtId="164" fontId="0" fillId="0" borderId="1" xfId="0" applyNumberFormat="1" applyBorder="1"/>
    <xf numFmtId="171" fontId="0" fillId="0" borderId="1" xfId="0" applyNumberFormat="1" applyBorder="1"/>
    <xf numFmtId="0" fontId="0" fillId="0" borderId="1" xfId="0" applyBorder="1" applyAlignment="1">
      <alignment wrapText="1"/>
    </xf>
    <xf numFmtId="166" fontId="0" fillId="6" borderId="2" xfId="0" applyNumberFormat="1" applyFill="1" applyBorder="1"/>
    <xf numFmtId="170" fontId="3" fillId="5" borderId="2" xfId="0" applyNumberFormat="1" applyFont="1" applyFill="1" applyBorder="1"/>
    <xf numFmtId="170" fontId="0" fillId="6" borderId="2" xfId="0" applyNumberFormat="1" applyFill="1" applyBorder="1"/>
    <xf numFmtId="1" fontId="0" fillId="6" borderId="2" xfId="0" applyNumberFormat="1" applyFill="1" applyBorder="1"/>
    <xf numFmtId="167" fontId="0" fillId="6" borderId="2" xfId="0" applyNumberFormat="1" applyFill="1" applyBorder="1"/>
    <xf numFmtId="0" fontId="0" fillId="6" borderId="2" xfId="0" applyFill="1" applyBorder="1"/>
    <xf numFmtId="171" fontId="3" fillId="5" borderId="2" xfId="0" applyNumberFormat="1" applyFont="1" applyFill="1" applyBorder="1"/>
    <xf numFmtId="164" fontId="0" fillId="6" borderId="2" xfId="0" applyNumberFormat="1" applyFill="1" applyBorder="1"/>
    <xf numFmtId="171" fontId="0" fillId="6" borderId="2" xfId="0" applyNumberFormat="1" applyFill="1" applyBorder="1"/>
    <xf numFmtId="0" fontId="0" fillId="6" borderId="2" xfId="0" applyFill="1" applyBorder="1" applyAlignment="1">
      <alignment wrapText="1"/>
    </xf>
    <xf numFmtId="10" fontId="5" fillId="0" borderId="0" xfId="0" applyNumberFormat="1" applyFont="1" applyAlignment="1">
      <alignment wrapText="1"/>
    </xf>
    <xf numFmtId="171" fontId="5" fillId="0" borderId="0" xfId="0" applyNumberFormat="1" applyFont="1" applyAlignment="1">
      <alignment wrapText="1"/>
    </xf>
    <xf numFmtId="0" fontId="1" fillId="2" borderId="0" xfId="0" applyFont="1" applyFill="1" applyAlignment="1">
      <alignment vertical="center" wrapText="1"/>
    </xf>
    <xf numFmtId="0" fontId="4" fillId="2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6" fillId="4" borderId="0" xfId="0" applyFont="1" applyFill="1"/>
  </cellXfs>
  <cellStyles count="1">
    <cellStyle name="Normal" xfId="0" builtinId="0"/>
  </cellStyles>
  <dxfs count="6">
    <dxf>
      <font>
        <color rgb="FF666666"/>
      </font>
      <fill>
        <patternFill patternType="solid">
          <bgColor rgb="FFE7E6E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666666"/>
      </font>
      <fill>
        <patternFill patternType="solid">
          <bgColor rgb="FFE7E6E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workbookViewId="0"/>
  </sheetViews>
  <sheetFormatPr defaultRowHeight="14.25"/>
  <cols>
    <col min="1" max="1" width="30" customWidth="1"/>
    <col min="2" max="3" width="18" customWidth="1"/>
    <col min="4" max="4" width="72" customWidth="1"/>
  </cols>
  <sheetData>
    <row r="1" spans="1:4" ht="24" customHeight="1">
      <c r="A1" s="59" t="s">
        <v>0</v>
      </c>
      <c r="B1" s="59"/>
      <c r="C1" s="59"/>
      <c r="D1" s="59"/>
    </row>
    <row r="2" spans="1:4">
      <c r="A2" s="25"/>
      <c r="B2" s="25"/>
      <c r="C2" s="25"/>
      <c r="D2" s="25"/>
    </row>
    <row r="3" spans="1:4" ht="20.100000000000001" customHeight="1">
      <c r="A3" s="1" t="s">
        <v>1</v>
      </c>
      <c r="B3" s="1" t="s">
        <v>2</v>
      </c>
      <c r="C3" s="1" t="s">
        <v>3</v>
      </c>
      <c r="D3" s="1" t="s">
        <v>4</v>
      </c>
    </row>
    <row r="4" spans="1:4" ht="20.100000000000001" customHeight="1">
      <c r="A4" s="36" t="s">
        <v>5</v>
      </c>
      <c r="B4" s="26">
        <v>26</v>
      </c>
      <c r="C4" s="25" t="s">
        <v>6</v>
      </c>
      <c r="D4" s="25" t="s">
        <v>7</v>
      </c>
    </row>
    <row r="5" spans="1:4" ht="20.100000000000001" customHeight="1">
      <c r="A5" s="36" t="s">
        <v>8</v>
      </c>
      <c r="B5" s="26">
        <v>3</v>
      </c>
      <c r="C5" s="25" t="s">
        <v>9</v>
      </c>
      <c r="D5" s="25" t="s">
        <v>10</v>
      </c>
    </row>
    <row r="6" spans="1:4" ht="20.100000000000001" customHeight="1">
      <c r="A6" s="36" t="s">
        <v>11</v>
      </c>
      <c r="B6" s="27">
        <v>0.1</v>
      </c>
      <c r="C6" s="25" t="s">
        <v>12</v>
      </c>
      <c r="D6" s="25" t="s">
        <v>13</v>
      </c>
    </row>
    <row r="7" spans="1:4" ht="20.100000000000001" customHeight="1">
      <c r="A7" s="36" t="s">
        <v>14</v>
      </c>
      <c r="B7" s="27">
        <v>0</v>
      </c>
      <c r="C7" s="25" t="s">
        <v>15</v>
      </c>
      <c r="D7" s="25" t="s">
        <v>16</v>
      </c>
    </row>
    <row r="8" spans="1:4" ht="20.100000000000001" customHeight="1">
      <c r="A8" s="36" t="s">
        <v>17</v>
      </c>
      <c r="B8" s="27">
        <v>1</v>
      </c>
      <c r="C8" s="25" t="s">
        <v>15</v>
      </c>
      <c r="D8" s="25" t="s">
        <v>18</v>
      </c>
    </row>
    <row r="9" spans="1:4" ht="20.100000000000001" customHeight="1">
      <c r="A9" s="36" t="s">
        <v>19</v>
      </c>
      <c r="B9" s="26">
        <v>50000</v>
      </c>
      <c r="C9" s="25" t="s">
        <v>20</v>
      </c>
      <c r="D9" s="25" t="s">
        <v>21</v>
      </c>
    </row>
    <row r="10" spans="1:4" ht="20.100000000000001" customHeight="1">
      <c r="A10" s="36" t="s">
        <v>22</v>
      </c>
      <c r="B10" s="26">
        <v>50000</v>
      </c>
      <c r="C10" s="25" t="s">
        <v>20</v>
      </c>
      <c r="D10" s="25" t="s">
        <v>23</v>
      </c>
    </row>
    <row r="11" spans="1:4" ht="20.100000000000001" customHeight="1">
      <c r="A11" s="36" t="s">
        <v>24</v>
      </c>
      <c r="B11" s="27">
        <v>0.19</v>
      </c>
      <c r="C11" s="25" t="s">
        <v>15</v>
      </c>
      <c r="D11" s="25" t="s">
        <v>25</v>
      </c>
    </row>
    <row r="12" spans="1:4" ht="20.100000000000001" customHeight="1">
      <c r="A12" s="36" t="s">
        <v>26</v>
      </c>
      <c r="B12" s="26">
        <v>115</v>
      </c>
      <c r="C12" s="25" t="s">
        <v>20</v>
      </c>
      <c r="D12" s="25" t="s">
        <v>27</v>
      </c>
    </row>
    <row r="13" spans="1:4" ht="20.100000000000001" customHeight="1">
      <c r="A13" s="36" t="s">
        <v>28</v>
      </c>
      <c r="B13" s="26">
        <v>20</v>
      </c>
      <c r="C13" s="25" t="s">
        <v>29</v>
      </c>
      <c r="D13" s="25" t="s">
        <v>30</v>
      </c>
    </row>
    <row r="14" spans="1:4" ht="20.100000000000001" customHeight="1">
      <c r="A14" s="36" t="s">
        <v>31</v>
      </c>
      <c r="B14" s="28">
        <v>13.333333333333334</v>
      </c>
      <c r="C14" s="25" t="s">
        <v>29</v>
      </c>
      <c r="D14" s="25" t="s">
        <v>32</v>
      </c>
    </row>
    <row r="15" spans="1:4" ht="20.100000000000001" customHeight="1">
      <c r="A15" s="36" t="s">
        <v>33</v>
      </c>
      <c r="B15" s="26">
        <v>0</v>
      </c>
      <c r="C15" s="25" t="s">
        <v>20</v>
      </c>
      <c r="D15" s="25" t="s">
        <v>34</v>
      </c>
    </row>
    <row r="16" spans="1:4" ht="20.100000000000001" customHeight="1">
      <c r="A16" s="36" t="s">
        <v>35</v>
      </c>
      <c r="B16" s="26">
        <v>104</v>
      </c>
      <c r="C16" s="25" t="s">
        <v>6</v>
      </c>
      <c r="D16" s="25" t="s">
        <v>36</v>
      </c>
    </row>
    <row r="17" spans="1:4" ht="20.100000000000001" customHeight="1">
      <c r="A17" s="25"/>
      <c r="B17" s="25"/>
      <c r="C17" s="25"/>
      <c r="D17" s="25"/>
    </row>
    <row r="18" spans="1:4" ht="20.100000000000001" customHeight="1">
      <c r="A18" s="25"/>
      <c r="B18" s="25"/>
      <c r="C18" s="25"/>
      <c r="D18" s="25"/>
    </row>
    <row r="19" spans="1:4" ht="20.100000000000001" customHeight="1">
      <c r="A19" s="60" t="s">
        <v>37</v>
      </c>
      <c r="B19" s="60"/>
      <c r="C19" s="60"/>
      <c r="D19" s="60"/>
    </row>
    <row r="20" spans="1:4" ht="20.100000000000001" customHeight="1">
      <c r="A20" s="36" t="s">
        <v>38</v>
      </c>
      <c r="B20" s="29">
        <f>'H237 Tracker'!A437</f>
        <v>46237</v>
      </c>
      <c r="C20" s="25" t="s">
        <v>39</v>
      </c>
      <c r="D20" s="25" t="s">
        <v>40</v>
      </c>
    </row>
    <row r="21" spans="1:4" ht="20.100000000000001" customHeight="1">
      <c r="A21" s="36" t="s">
        <v>41</v>
      </c>
      <c r="B21" s="30">
        <f>'H237 Tracker'!F437</f>
        <v>0.95893309576688834</v>
      </c>
      <c r="C21" s="25" t="s">
        <v>42</v>
      </c>
      <c r="D21" s="25" t="s">
        <v>43</v>
      </c>
    </row>
    <row r="22" spans="1:4" ht="20.100000000000001" customHeight="1">
      <c r="A22" s="36" t="s">
        <v>44</v>
      </c>
      <c r="B22" s="30">
        <f>'H237 Tracker'!G437</f>
        <v>1.0410669042331127</v>
      </c>
      <c r="C22" s="25" t="s">
        <v>42</v>
      </c>
      <c r="D22" s="25" t="s">
        <v>43</v>
      </c>
    </row>
    <row r="23" spans="1:4" ht="20.100000000000001" customHeight="1">
      <c r="A23" s="36" t="s">
        <v>45</v>
      </c>
      <c r="B23" s="30">
        <f>'H237 Tracker'!H437</f>
        <v>-8.2133808466224312E-2</v>
      </c>
      <c r="C23" s="25" t="s">
        <v>42</v>
      </c>
      <c r="D23" s="25" t="s">
        <v>46</v>
      </c>
    </row>
    <row r="24" spans="1:4" ht="20.100000000000001" customHeight="1">
      <c r="A24" s="36" t="s">
        <v>47</v>
      </c>
      <c r="B24" s="31" t="str">
        <f>'H237 Tracker'!I437</f>
        <v>B</v>
      </c>
      <c r="C24" s="25" t="s">
        <v>48</v>
      </c>
      <c r="D24" s="25" t="s">
        <v>49</v>
      </c>
    </row>
    <row r="25" spans="1:4" ht="20.100000000000001" customHeight="1">
      <c r="A25" s="36" t="s">
        <v>50</v>
      </c>
      <c r="B25" s="31">
        <f>'H237 Tracker'!J437</f>
        <v>1</v>
      </c>
      <c r="C25" s="25" t="s">
        <v>6</v>
      </c>
      <c r="D25" s="25" t="s">
        <v>51</v>
      </c>
    </row>
    <row r="26" spans="1:4" ht="20.100000000000001" customHeight="1">
      <c r="A26" s="36" t="s">
        <v>52</v>
      </c>
      <c r="B26" s="31" t="str">
        <f>'H237 Tracker'!K437</f>
        <v>HOLD</v>
      </c>
      <c r="C26" s="25" t="s">
        <v>48</v>
      </c>
      <c r="D26" s="25" t="s">
        <v>53</v>
      </c>
    </row>
    <row r="27" spans="1:4" ht="20.100000000000001" customHeight="1">
      <c r="A27" s="36" t="s">
        <v>54</v>
      </c>
      <c r="B27" s="32">
        <f>'H237 Tracker'!N437</f>
        <v>0</v>
      </c>
      <c r="C27" s="25" t="s">
        <v>15</v>
      </c>
      <c r="D27" s="25" t="s">
        <v>55</v>
      </c>
    </row>
    <row r="28" spans="1:4" ht="20.100000000000001" customHeight="1">
      <c r="A28" s="36" t="s">
        <v>56</v>
      </c>
      <c r="B28" s="32">
        <f>'H237 Tracker'!O437</f>
        <v>0</v>
      </c>
      <c r="C28" s="25" t="s">
        <v>15</v>
      </c>
      <c r="D28" s="25" t="s">
        <v>57</v>
      </c>
    </row>
    <row r="29" spans="1:4" ht="20.100000000000001" customHeight="1">
      <c r="A29" s="36" t="s">
        <v>58</v>
      </c>
      <c r="B29" s="31" t="str">
        <f>'H237 Tracker'!U437</f>
        <v>No transfer</v>
      </c>
      <c r="C29" s="25" t="s">
        <v>59</v>
      </c>
      <c r="D29" s="25" t="s">
        <v>60</v>
      </c>
    </row>
    <row r="30" spans="1:4" ht="20.100000000000001" customHeight="1">
      <c r="A30" s="36" t="s">
        <v>61</v>
      </c>
      <c r="B30" s="33">
        <f>'Actual Calc'!AE437</f>
        <v>97571538041969.969</v>
      </c>
      <c r="C30" s="25" t="s">
        <v>20</v>
      </c>
      <c r="D30" s="25" t="s">
        <v>62</v>
      </c>
    </row>
    <row r="31" spans="1:4" ht="20.100000000000001" customHeight="1">
      <c r="A31" s="36" t="s">
        <v>63</v>
      </c>
      <c r="B31" s="34">
        <f>('Actual Calc'!AE437/(B9+B10))^(1/434)-1</f>
        <v>4.884841478533275E-2</v>
      </c>
      <c r="C31" s="25" t="s">
        <v>64</v>
      </c>
      <c r="D31" s="25" t="s">
        <v>65</v>
      </c>
    </row>
    <row r="32" spans="1:4" ht="15">
      <c r="A32" s="36" t="s">
        <v>66</v>
      </c>
      <c r="B32" s="57">
        <f>(1+B31)^52-1</f>
        <v>10.94157910838004</v>
      </c>
      <c r="C32" s="25" t="s">
        <v>67</v>
      </c>
      <c r="D32" s="25" t="s">
        <v>68</v>
      </c>
    </row>
    <row r="33" spans="1:4" ht="15">
      <c r="A33" s="36" t="s">
        <v>69</v>
      </c>
      <c r="B33" s="57">
        <f>-MIN('Actual Calc'!AG4:AG437)</f>
        <v>0.67289753753742931</v>
      </c>
      <c r="C33" s="25" t="s">
        <v>15</v>
      </c>
      <c r="D33" s="25" t="s">
        <v>70</v>
      </c>
    </row>
    <row r="34" spans="1:4" ht="15">
      <c r="A34" s="36" t="s">
        <v>71</v>
      </c>
      <c r="B34" s="58">
        <f>'Actual Calc'!AC437</f>
        <v>0</v>
      </c>
      <c r="C34" s="25" t="s">
        <v>20</v>
      </c>
      <c r="D34" s="25" t="s">
        <v>72</v>
      </c>
    </row>
    <row r="35" spans="1:4" ht="15">
      <c r="A35" s="36" t="s">
        <v>73</v>
      </c>
      <c r="B35" s="58">
        <f>'Actual Calc'!AD437</f>
        <v>97571538041969.969</v>
      </c>
      <c r="C35" s="25" t="s">
        <v>20</v>
      </c>
      <c r="D35" s="25" t="s">
        <v>72</v>
      </c>
    </row>
  </sheetData>
  <mergeCells count="2">
    <mergeCell ref="A1:D1"/>
    <mergeCell ref="A19:D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41"/>
  <sheetViews>
    <sheetView tabSelected="1" topLeftCell="A420" workbookViewId="0">
      <selection activeCell="K445" sqref="K445"/>
    </sheetView>
  </sheetViews>
  <sheetFormatPr defaultRowHeight="14.25"/>
  <cols>
    <col min="1" max="1" width="13" customWidth="1"/>
    <col min="2" max="4" width="12" customWidth="1"/>
    <col min="5" max="5" width="11" customWidth="1"/>
    <col min="6" max="7" width="12" customWidth="1"/>
    <col min="8" max="8" width="11" customWidth="1"/>
    <col min="9" max="9" width="12" customWidth="1"/>
    <col min="10" max="11" width="11" customWidth="1"/>
    <col min="12" max="13" width="18" customWidth="1"/>
    <col min="14" max="14" width="13" customWidth="1"/>
    <col min="15" max="15" width="15" customWidth="1"/>
    <col min="16" max="17" width="16" customWidth="1"/>
    <col min="18" max="19" width="18" customWidth="1"/>
    <col min="20" max="20" width="15" customWidth="1"/>
    <col min="21" max="22" width="28" customWidth="1"/>
  </cols>
  <sheetData>
    <row r="1" spans="1:22" ht="24" customHeight="1">
      <c r="A1" s="59" t="s">
        <v>74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</row>
    <row r="2" spans="1:22">
      <c r="A2" s="61" t="s">
        <v>75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</row>
    <row r="3" spans="1:22" ht="33.950000000000003" customHeight="1">
      <c r="A3" s="1" t="s">
        <v>76</v>
      </c>
      <c r="B3" s="1" t="s">
        <v>77</v>
      </c>
      <c r="C3" s="1" t="s">
        <v>78</v>
      </c>
      <c r="D3" s="1" t="s">
        <v>79</v>
      </c>
      <c r="E3" s="1" t="s">
        <v>80</v>
      </c>
      <c r="F3" s="1" t="s">
        <v>41</v>
      </c>
      <c r="G3" s="1" t="s">
        <v>44</v>
      </c>
      <c r="H3" s="1" t="s">
        <v>81</v>
      </c>
      <c r="I3" s="1" t="s">
        <v>82</v>
      </c>
      <c r="J3" s="1" t="s">
        <v>83</v>
      </c>
      <c r="K3" s="1" t="s">
        <v>84</v>
      </c>
      <c r="L3" s="1" t="s">
        <v>85</v>
      </c>
      <c r="M3" s="1" t="s">
        <v>86</v>
      </c>
      <c r="N3" s="1" t="s">
        <v>87</v>
      </c>
      <c r="O3" s="1" t="s">
        <v>88</v>
      </c>
      <c r="P3" s="1" t="s">
        <v>89</v>
      </c>
      <c r="Q3" s="1" t="s">
        <v>90</v>
      </c>
      <c r="R3" s="1" t="s">
        <v>91</v>
      </c>
      <c r="S3" s="1" t="s">
        <v>92</v>
      </c>
      <c r="T3" s="1" t="s">
        <v>88</v>
      </c>
      <c r="U3" s="1" t="s">
        <v>93</v>
      </c>
      <c r="V3" s="1" t="s">
        <v>94</v>
      </c>
    </row>
    <row r="4" spans="1:22">
      <c r="A4" s="14">
        <v>43206</v>
      </c>
      <c r="B4" s="15">
        <v>2.172E-2</v>
      </c>
      <c r="C4" s="15">
        <v>2.172E-2</v>
      </c>
      <c r="D4" s="16">
        <f t="shared" ref="D4:D67" si="0">IF(AND(ISNUMBER(B4),ISNUMBER(C4)),(B4+C4)/2,"")</f>
        <v>2.172E-2</v>
      </c>
      <c r="E4" s="17" t="str">
        <f>""</f>
        <v/>
      </c>
      <c r="F4" s="18" t="str">
        <f>""</f>
        <v/>
      </c>
      <c r="G4" s="18" t="str">
        <f>""</f>
        <v/>
      </c>
      <c r="H4" s="18" t="str">
        <f t="shared" ref="H4:H67" si="1">IF(AND(ISNUMBER(F4),ISNUMBER(G4)),F4-G4,"")</f>
        <v/>
      </c>
      <c r="I4" s="19" t="str">
        <f t="shared" ref="I4:I67" si="2">IF(OR(NOT(ISNUMBER(F4)),NOT(ISNUMBER(G4))),"",IF(F4&gt;G4,"A",IF(G4&gt;F4,"B","HOLD")))</f>
        <v/>
      </c>
      <c r="J4" s="19" t="str">
        <f>IF(I4="","",IF(I4="HOLD",0,1))</f>
        <v/>
      </c>
      <c r="K4" s="19" t="str">
        <f>IF(I4="","",IF(J4&gt;=Parameters!$B$5,I4,"HOLD"))</f>
        <v/>
      </c>
      <c r="L4" s="20">
        <f>'Actual Calc'!T4</f>
        <v>64437.284</v>
      </c>
      <c r="M4" s="20">
        <f>'Actual Calc'!U4</f>
        <v>64437.284</v>
      </c>
      <c r="N4" s="21">
        <f t="shared" ref="N4:N67" si="3">IF(OR(NOT(ISNUMBER(L4)),NOT(ISNUMBER(M4)),L4+M4=0),"",L4/(L4+M4))</f>
        <v>0.5</v>
      </c>
      <c r="O4" s="21">
        <f>IF(NOT(ISNUMBER(N4)),"",IF(K4="A",MIN(Parameters!$B$8,N4+Parameters!$B$6),IF(K4="B",MAX(Parameters!$B$7,N4-Parameters!$B$6),N4)))</f>
        <v>0.5</v>
      </c>
      <c r="P4" s="22">
        <f t="shared" ref="P4:P67" si="4">IF(NOT(ISNUMBER(O4)),"",MAX(0,L4-(L4+M4)*O4))</f>
        <v>0</v>
      </c>
      <c r="Q4" s="22">
        <f t="shared" ref="Q4:Q67" si="5">IF(NOT(ISNUMBER(O4)),"",MAX(0,(L4+M4)*O4-L4))</f>
        <v>0</v>
      </c>
      <c r="R4" s="22">
        <f t="shared" ref="R4:R67" si="6">IF(NOT(ISNUMBER(O4)),"",L4-P4+Q4)</f>
        <v>64437.284</v>
      </c>
      <c r="S4" s="22">
        <f t="shared" ref="S4:S67" si="7">IF(NOT(ISNUMBER(O4)),"",M4+P4-Q4)</f>
        <v>64437.284</v>
      </c>
      <c r="T4" s="21">
        <f t="shared" ref="T4:T67" si="8">IF(OR(NOT(ISNUMBER(R4)),NOT(ISNUMBER(S4)),R4+S4=0),"",R4/(R4+S4))</f>
        <v>0.5</v>
      </c>
      <c r="U4" s="19" t="str">
        <f t="shared" ref="U4:U67" si="9">IF(NOT(ISNUMBER(O4)),"",IF(P4&gt;0.005,"Transfer "&amp;TEXT(P4,"#,##0.00")&amp;" A → B",IF(Q4&gt;0.005,"Transfer "&amp;TEXT(Q4,"#,##0.00")&amp;" B → A","No transfer")))</f>
        <v>No transfer</v>
      </c>
      <c r="V4" s="35" t="s">
        <v>95</v>
      </c>
    </row>
    <row r="5" spans="1:22">
      <c r="A5" s="4">
        <v>43213</v>
      </c>
      <c r="B5" s="5">
        <v>-1.7010000000000001E-2</v>
      </c>
      <c r="C5" s="5">
        <v>-1.7010000000000001E-2</v>
      </c>
      <c r="D5" s="6">
        <f t="shared" si="0"/>
        <v>-1.7010000000000001E-2</v>
      </c>
      <c r="E5" s="8" t="str">
        <f>""</f>
        <v/>
      </c>
      <c r="F5" s="9" t="str">
        <f>""</f>
        <v/>
      </c>
      <c r="G5" s="9" t="str">
        <f>""</f>
        <v/>
      </c>
      <c r="H5" s="9" t="str">
        <f t="shared" si="1"/>
        <v/>
      </c>
      <c r="I5" t="str">
        <f t="shared" si="2"/>
        <v/>
      </c>
      <c r="J5" t="str">
        <f t="shared" ref="J5:J68" si="10">IF(I5="","",IF(I5="HOLD",0,IF(I5=I4,J4+1,1)))</f>
        <v/>
      </c>
      <c r="K5" t="str">
        <f>IF(I5="","",IF(J5&gt;=Parameters!$B$5,I5,"HOLD"))</f>
        <v/>
      </c>
      <c r="L5" s="10">
        <f>'Actual Calc'!T5</f>
        <v>49844.404999999999</v>
      </c>
      <c r="M5" s="10">
        <f>'Actual Calc'!U5</f>
        <v>49844.404999999999</v>
      </c>
      <c r="N5" s="12">
        <f t="shared" si="3"/>
        <v>0.5</v>
      </c>
      <c r="O5" s="12">
        <f>IF(NOT(ISNUMBER(N5)),"",IF(K5="A",MIN(Parameters!$B$8,N5+Parameters!$B$6),IF(K5="B",MAX(Parameters!$B$7,N5-Parameters!$B$6),N5)))</f>
        <v>0.5</v>
      </c>
      <c r="P5" s="13">
        <f t="shared" si="4"/>
        <v>0</v>
      </c>
      <c r="Q5" s="13">
        <f t="shared" si="5"/>
        <v>0</v>
      </c>
      <c r="R5" s="13">
        <f t="shared" si="6"/>
        <v>49844.404999999999</v>
      </c>
      <c r="S5" s="13">
        <f t="shared" si="7"/>
        <v>49844.404999999999</v>
      </c>
      <c r="T5" s="12">
        <f t="shared" si="8"/>
        <v>0.5</v>
      </c>
      <c r="U5" t="str">
        <f t="shared" si="9"/>
        <v>No transfer</v>
      </c>
      <c r="V5" s="25" t="s">
        <v>95</v>
      </c>
    </row>
    <row r="6" spans="1:22">
      <c r="A6" s="14">
        <v>43220</v>
      </c>
      <c r="B6" s="15">
        <v>-6.0699999999999999E-3</v>
      </c>
      <c r="C6" s="15">
        <v>-6.0699999999999999E-3</v>
      </c>
      <c r="D6" s="16">
        <f t="shared" si="0"/>
        <v>-6.0699999999999999E-3</v>
      </c>
      <c r="E6" s="17" t="str">
        <f>""</f>
        <v/>
      </c>
      <c r="F6" s="18" t="str">
        <f>""</f>
        <v/>
      </c>
      <c r="G6" s="18" t="str">
        <f>""</f>
        <v/>
      </c>
      <c r="H6" s="18" t="str">
        <f t="shared" si="1"/>
        <v/>
      </c>
      <c r="I6" s="19" t="str">
        <f t="shared" si="2"/>
        <v/>
      </c>
      <c r="J6" s="19" t="str">
        <f t="shared" si="10"/>
        <v/>
      </c>
      <c r="K6" s="19" t="str">
        <f>IF(I6="","",IF(J6&gt;=Parameters!$B$5,I6,"HOLD"))</f>
        <v/>
      </c>
      <c r="L6" s="20">
        <f>'Actual Calc'!T6</f>
        <v>45823.637000000002</v>
      </c>
      <c r="M6" s="20">
        <f>'Actual Calc'!U6</f>
        <v>45823.637000000002</v>
      </c>
      <c r="N6" s="21">
        <f t="shared" si="3"/>
        <v>0.5</v>
      </c>
      <c r="O6" s="21">
        <f>IF(NOT(ISNUMBER(N6)),"",IF(K6="A",MIN(Parameters!$B$8,N6+Parameters!$B$6),IF(K6="B",MAX(Parameters!$B$7,N6-Parameters!$B$6),N6)))</f>
        <v>0.5</v>
      </c>
      <c r="P6" s="22">
        <f t="shared" si="4"/>
        <v>0</v>
      </c>
      <c r="Q6" s="22">
        <f t="shared" si="5"/>
        <v>0</v>
      </c>
      <c r="R6" s="22">
        <f t="shared" si="6"/>
        <v>45823.637000000002</v>
      </c>
      <c r="S6" s="22">
        <f t="shared" si="7"/>
        <v>45823.637000000002</v>
      </c>
      <c r="T6" s="21">
        <f t="shared" si="8"/>
        <v>0.5</v>
      </c>
      <c r="U6" s="19" t="str">
        <f t="shared" si="9"/>
        <v>No transfer</v>
      </c>
      <c r="V6" s="35" t="s">
        <v>95</v>
      </c>
    </row>
    <row r="7" spans="1:22">
      <c r="A7" s="4">
        <v>43227</v>
      </c>
      <c r="B7" s="5">
        <v>2.2859999999999998E-2</v>
      </c>
      <c r="C7" s="5">
        <v>2.2859999999999998E-2</v>
      </c>
      <c r="D7" s="6">
        <f t="shared" si="0"/>
        <v>2.2859999999999998E-2</v>
      </c>
      <c r="E7" s="8" t="str">
        <f>""</f>
        <v/>
      </c>
      <c r="F7" s="9" t="str">
        <f>""</f>
        <v/>
      </c>
      <c r="G7" s="9" t="str">
        <f>""</f>
        <v/>
      </c>
      <c r="H7" s="9" t="str">
        <f t="shared" si="1"/>
        <v/>
      </c>
      <c r="I7" t="str">
        <f t="shared" si="2"/>
        <v/>
      </c>
      <c r="J7" t="str">
        <f t="shared" si="10"/>
        <v/>
      </c>
      <c r="K7" t="str">
        <f>IF(I7="","",IF(J7&gt;=Parameters!$B$5,I7,"HOLD"))</f>
        <v/>
      </c>
      <c r="L7" s="10">
        <f>'Actual Calc'!T7</f>
        <v>59756.807000000001</v>
      </c>
      <c r="M7" s="10">
        <f>'Actual Calc'!U7</f>
        <v>59756.807000000001</v>
      </c>
      <c r="N7" s="12">
        <f t="shared" si="3"/>
        <v>0.5</v>
      </c>
      <c r="O7" s="12">
        <f>IF(NOT(ISNUMBER(N7)),"",IF(K7="A",MIN(Parameters!$B$8,N7+Parameters!$B$6),IF(K7="B",MAX(Parameters!$B$7,N7-Parameters!$B$6),N7)))</f>
        <v>0.5</v>
      </c>
      <c r="P7" s="13">
        <f t="shared" si="4"/>
        <v>0</v>
      </c>
      <c r="Q7" s="13">
        <f t="shared" si="5"/>
        <v>0</v>
      </c>
      <c r="R7" s="13">
        <f t="shared" si="6"/>
        <v>59756.807000000001</v>
      </c>
      <c r="S7" s="13">
        <f t="shared" si="7"/>
        <v>59756.807000000001</v>
      </c>
      <c r="T7" s="12">
        <f t="shared" si="8"/>
        <v>0.5</v>
      </c>
      <c r="U7" t="str">
        <f t="shared" si="9"/>
        <v>No transfer</v>
      </c>
      <c r="V7" s="25" t="s">
        <v>95</v>
      </c>
    </row>
    <row r="8" spans="1:22">
      <c r="A8" s="14">
        <v>43234</v>
      </c>
      <c r="B8" s="15">
        <v>-4.0000000000000001E-3</v>
      </c>
      <c r="C8" s="15">
        <v>-4.0000000000000001E-3</v>
      </c>
      <c r="D8" s="16">
        <f t="shared" si="0"/>
        <v>-4.0000000000000001E-3</v>
      </c>
      <c r="E8" s="17" t="str">
        <f>""</f>
        <v/>
      </c>
      <c r="F8" s="18" t="str">
        <f>""</f>
        <v/>
      </c>
      <c r="G8" s="18" t="str">
        <f>""</f>
        <v/>
      </c>
      <c r="H8" s="18" t="str">
        <f t="shared" si="1"/>
        <v/>
      </c>
      <c r="I8" s="19" t="str">
        <f t="shared" si="2"/>
        <v/>
      </c>
      <c r="J8" s="19" t="str">
        <f t="shared" si="10"/>
        <v/>
      </c>
      <c r="K8" s="19" t="str">
        <f>IF(I8="","",IF(J8&gt;=Parameters!$B$5,I8,"HOLD"))</f>
        <v/>
      </c>
      <c r="L8" s="20">
        <f>'Actual Calc'!T8</f>
        <v>56573.607000000004</v>
      </c>
      <c r="M8" s="20">
        <f>'Actual Calc'!U8</f>
        <v>56573.607000000004</v>
      </c>
      <c r="N8" s="21">
        <f t="shared" si="3"/>
        <v>0.5</v>
      </c>
      <c r="O8" s="21">
        <f>IF(NOT(ISNUMBER(N8)),"",IF(K8="A",MIN(Parameters!$B$8,N8+Parameters!$B$6),IF(K8="B",MAX(Parameters!$B$7,N8-Parameters!$B$6),N8)))</f>
        <v>0.5</v>
      </c>
      <c r="P8" s="22">
        <f t="shared" si="4"/>
        <v>0</v>
      </c>
      <c r="Q8" s="22">
        <f t="shared" si="5"/>
        <v>0</v>
      </c>
      <c r="R8" s="22">
        <f t="shared" si="6"/>
        <v>56573.607000000004</v>
      </c>
      <c r="S8" s="22">
        <f t="shared" si="7"/>
        <v>56573.607000000004</v>
      </c>
      <c r="T8" s="21">
        <f t="shared" si="8"/>
        <v>0.5</v>
      </c>
      <c r="U8" s="19" t="str">
        <f t="shared" si="9"/>
        <v>No transfer</v>
      </c>
      <c r="V8" s="35" t="s">
        <v>95</v>
      </c>
    </row>
    <row r="9" spans="1:22">
      <c r="A9" s="4">
        <v>43241</v>
      </c>
      <c r="B9" s="5">
        <v>-4.0000000000000001E-3</v>
      </c>
      <c r="C9" s="5">
        <v>-4.0000000000000001E-3</v>
      </c>
      <c r="D9" s="6">
        <f t="shared" si="0"/>
        <v>-4.0000000000000001E-3</v>
      </c>
      <c r="E9" s="8" t="str">
        <f>""</f>
        <v/>
      </c>
      <c r="F9" s="9" t="str">
        <f>""</f>
        <v/>
      </c>
      <c r="G9" s="9" t="str">
        <f>""</f>
        <v/>
      </c>
      <c r="H9" s="9" t="str">
        <f t="shared" si="1"/>
        <v/>
      </c>
      <c r="I9" t="str">
        <f t="shared" si="2"/>
        <v/>
      </c>
      <c r="J9" t="str">
        <f t="shared" si="10"/>
        <v/>
      </c>
      <c r="K9" t="str">
        <f>IF(I9="","",IF(J9&gt;=Parameters!$B$5,I9,"HOLD"))</f>
        <v/>
      </c>
      <c r="L9" s="10">
        <f>'Actual Calc'!T9</f>
        <v>53565.207000000002</v>
      </c>
      <c r="M9" s="10">
        <f>'Actual Calc'!U9</f>
        <v>53565.207000000002</v>
      </c>
      <c r="N9" s="12">
        <f t="shared" si="3"/>
        <v>0.5</v>
      </c>
      <c r="O9" s="12">
        <f>IF(NOT(ISNUMBER(N9)),"",IF(K9="A",MIN(Parameters!$B$8,N9+Parameters!$B$6),IF(K9="B",MAX(Parameters!$B$7,N9-Parameters!$B$6),N9)))</f>
        <v>0.5</v>
      </c>
      <c r="P9" s="13">
        <f t="shared" si="4"/>
        <v>0</v>
      </c>
      <c r="Q9" s="13">
        <f t="shared" si="5"/>
        <v>0</v>
      </c>
      <c r="R9" s="13">
        <f t="shared" si="6"/>
        <v>53565.207000000002</v>
      </c>
      <c r="S9" s="13">
        <f t="shared" si="7"/>
        <v>53565.207000000002</v>
      </c>
      <c r="T9" s="12">
        <f t="shared" si="8"/>
        <v>0.5</v>
      </c>
      <c r="U9" t="str">
        <f t="shared" si="9"/>
        <v>No transfer</v>
      </c>
      <c r="V9" s="25" t="s">
        <v>95</v>
      </c>
    </row>
    <row r="10" spans="1:22">
      <c r="A10" s="14">
        <v>43248</v>
      </c>
      <c r="B10" s="15">
        <v>2.264E-2</v>
      </c>
      <c r="C10" s="15">
        <v>2.264E-2</v>
      </c>
      <c r="D10" s="16">
        <f t="shared" si="0"/>
        <v>2.264E-2</v>
      </c>
      <c r="E10" s="17" t="str">
        <f>""</f>
        <v/>
      </c>
      <c r="F10" s="18" t="str">
        <f>""</f>
        <v/>
      </c>
      <c r="G10" s="18" t="str">
        <f>""</f>
        <v/>
      </c>
      <c r="H10" s="18" t="str">
        <f t="shared" si="1"/>
        <v/>
      </c>
      <c r="I10" s="19" t="str">
        <f t="shared" si="2"/>
        <v/>
      </c>
      <c r="J10" s="19" t="str">
        <f t="shared" si="10"/>
        <v/>
      </c>
      <c r="K10" s="19" t="str">
        <f>IF(I10="","",IF(J10&gt;=Parameters!$B$5,I10,"HOLD"))</f>
        <v/>
      </c>
      <c r="L10" s="20">
        <f>'Actual Calc'!T10</f>
        <v>69707.527000000002</v>
      </c>
      <c r="M10" s="20">
        <f>'Actual Calc'!U10</f>
        <v>69707.527000000002</v>
      </c>
      <c r="N10" s="21">
        <f t="shared" si="3"/>
        <v>0.5</v>
      </c>
      <c r="O10" s="21">
        <f>IF(NOT(ISNUMBER(N10)),"",IF(K10="A",MIN(Parameters!$B$8,N10+Parameters!$B$6),IF(K10="B",MAX(Parameters!$B$7,N10-Parameters!$B$6),N10)))</f>
        <v>0.5</v>
      </c>
      <c r="P10" s="22">
        <f t="shared" si="4"/>
        <v>0</v>
      </c>
      <c r="Q10" s="22">
        <f t="shared" si="5"/>
        <v>0</v>
      </c>
      <c r="R10" s="22">
        <f t="shared" si="6"/>
        <v>69707.527000000002</v>
      </c>
      <c r="S10" s="22">
        <f t="shared" si="7"/>
        <v>69707.527000000002</v>
      </c>
      <c r="T10" s="21">
        <f t="shared" si="8"/>
        <v>0.5</v>
      </c>
      <c r="U10" s="19" t="str">
        <f t="shared" si="9"/>
        <v>No transfer</v>
      </c>
      <c r="V10" s="35" t="s">
        <v>95</v>
      </c>
    </row>
    <row r="11" spans="1:22">
      <c r="A11" s="4">
        <v>43255</v>
      </c>
      <c r="B11" s="5">
        <v>7.4900000000000001E-3</v>
      </c>
      <c r="C11" s="5">
        <v>7.4900000000000001E-3</v>
      </c>
      <c r="D11" s="6">
        <f t="shared" si="0"/>
        <v>7.4900000000000001E-3</v>
      </c>
      <c r="E11" s="8" t="str">
        <f>""</f>
        <v/>
      </c>
      <c r="F11" s="9" t="str">
        <f>""</f>
        <v/>
      </c>
      <c r="G11" s="9" t="str">
        <f>""</f>
        <v/>
      </c>
      <c r="H11" s="9" t="str">
        <f t="shared" si="1"/>
        <v/>
      </c>
      <c r="I11" t="str">
        <f t="shared" si="2"/>
        <v/>
      </c>
      <c r="J11" t="str">
        <f t="shared" si="10"/>
        <v/>
      </c>
      <c r="K11" t="str">
        <f>IF(I11="","",IF(J11&gt;=Parameters!$B$5,I11,"HOLD"))</f>
        <v/>
      </c>
      <c r="L11" s="10">
        <f>'Actual Calc'!T11</f>
        <v>76667.235000000001</v>
      </c>
      <c r="M11" s="10">
        <f>'Actual Calc'!U11</f>
        <v>76667.235000000001</v>
      </c>
      <c r="N11" s="12">
        <f t="shared" si="3"/>
        <v>0.5</v>
      </c>
      <c r="O11" s="12">
        <f>IF(NOT(ISNUMBER(N11)),"",IF(K11="A",MIN(Parameters!$B$8,N11+Parameters!$B$6),IF(K11="B",MAX(Parameters!$B$7,N11-Parameters!$B$6),N11)))</f>
        <v>0.5</v>
      </c>
      <c r="P11" s="13">
        <f t="shared" si="4"/>
        <v>0</v>
      </c>
      <c r="Q11" s="13">
        <f t="shared" si="5"/>
        <v>0</v>
      </c>
      <c r="R11" s="13">
        <f t="shared" si="6"/>
        <v>76667.235000000001</v>
      </c>
      <c r="S11" s="13">
        <f t="shared" si="7"/>
        <v>76667.235000000001</v>
      </c>
      <c r="T11" s="12">
        <f t="shared" si="8"/>
        <v>0.5</v>
      </c>
      <c r="U11" t="str">
        <f t="shared" si="9"/>
        <v>No transfer</v>
      </c>
      <c r="V11" s="25" t="s">
        <v>95</v>
      </c>
    </row>
    <row r="12" spans="1:22">
      <c r="A12" s="14">
        <v>43262</v>
      </c>
      <c r="B12" s="15">
        <v>1.5599999999999999E-2</v>
      </c>
      <c r="C12" s="15">
        <v>1.5599999999999999E-2</v>
      </c>
      <c r="D12" s="16">
        <f t="shared" si="0"/>
        <v>1.5599999999999999E-2</v>
      </c>
      <c r="E12" s="17" t="str">
        <f>""</f>
        <v/>
      </c>
      <c r="F12" s="18" t="str">
        <f>""</f>
        <v/>
      </c>
      <c r="G12" s="18" t="str">
        <f>""</f>
        <v/>
      </c>
      <c r="H12" s="18" t="str">
        <f t="shared" si="1"/>
        <v/>
      </c>
      <c r="I12" s="19" t="str">
        <f t="shared" si="2"/>
        <v/>
      </c>
      <c r="J12" s="19" t="str">
        <f t="shared" si="10"/>
        <v/>
      </c>
      <c r="K12" s="19" t="str">
        <f>IF(I12="","",IF(J12&gt;=Parameters!$B$5,I12,"HOLD"))</f>
        <v/>
      </c>
      <c r="L12" s="20">
        <f>'Actual Calc'!T12</f>
        <v>92597.955000000002</v>
      </c>
      <c r="M12" s="20">
        <f>'Actual Calc'!U12</f>
        <v>92597.955000000002</v>
      </c>
      <c r="N12" s="21">
        <f t="shared" si="3"/>
        <v>0.5</v>
      </c>
      <c r="O12" s="21">
        <f>IF(NOT(ISNUMBER(N12)),"",IF(K12="A",MIN(Parameters!$B$8,N12+Parameters!$B$6),IF(K12="B",MAX(Parameters!$B$7,N12-Parameters!$B$6),N12)))</f>
        <v>0.5</v>
      </c>
      <c r="P12" s="22">
        <f t="shared" si="4"/>
        <v>0</v>
      </c>
      <c r="Q12" s="22">
        <f t="shared" si="5"/>
        <v>0</v>
      </c>
      <c r="R12" s="22">
        <f t="shared" si="6"/>
        <v>92597.955000000002</v>
      </c>
      <c r="S12" s="22">
        <f t="shared" si="7"/>
        <v>92597.955000000002</v>
      </c>
      <c r="T12" s="21">
        <f t="shared" si="8"/>
        <v>0.5</v>
      </c>
      <c r="U12" s="19" t="str">
        <f t="shared" si="9"/>
        <v>No transfer</v>
      </c>
      <c r="V12" s="35" t="s">
        <v>95</v>
      </c>
    </row>
    <row r="13" spans="1:22">
      <c r="A13" s="4">
        <v>43269</v>
      </c>
      <c r="B13" s="5">
        <v>-4.0000000000000001E-3</v>
      </c>
      <c r="C13" s="5">
        <v>-4.0000000000000001E-3</v>
      </c>
      <c r="D13" s="6">
        <f t="shared" si="0"/>
        <v>-4.0000000000000001E-3</v>
      </c>
      <c r="E13" s="8" t="str">
        <f>""</f>
        <v/>
      </c>
      <c r="F13" s="9" t="str">
        <f>""</f>
        <v/>
      </c>
      <c r="G13" s="9" t="str">
        <f>""</f>
        <v/>
      </c>
      <c r="H13" s="9" t="str">
        <f t="shared" si="1"/>
        <v/>
      </c>
      <c r="I13" t="str">
        <f t="shared" si="2"/>
        <v/>
      </c>
      <c r="J13" t="str">
        <f t="shared" si="10"/>
        <v/>
      </c>
      <c r="K13" t="str">
        <f>IF(I13="","",IF(J13&gt;=Parameters!$B$5,I13,"HOLD"))</f>
        <v/>
      </c>
      <c r="L13" s="10">
        <f>'Actual Calc'!T13</f>
        <v>87666.755000000005</v>
      </c>
      <c r="M13" s="10">
        <f>'Actual Calc'!U13</f>
        <v>87666.755000000005</v>
      </c>
      <c r="N13" s="12">
        <f t="shared" si="3"/>
        <v>0.5</v>
      </c>
      <c r="O13" s="12">
        <f>IF(NOT(ISNUMBER(N13)),"",IF(K13="A",MIN(Parameters!$B$8,N13+Parameters!$B$6),IF(K13="B",MAX(Parameters!$B$7,N13-Parameters!$B$6),N13)))</f>
        <v>0.5</v>
      </c>
      <c r="P13" s="13">
        <f t="shared" si="4"/>
        <v>0</v>
      </c>
      <c r="Q13" s="13">
        <f t="shared" si="5"/>
        <v>0</v>
      </c>
      <c r="R13" s="13">
        <f t="shared" si="6"/>
        <v>87666.755000000005</v>
      </c>
      <c r="S13" s="13">
        <f t="shared" si="7"/>
        <v>87666.755000000005</v>
      </c>
      <c r="T13" s="12">
        <f t="shared" si="8"/>
        <v>0.5</v>
      </c>
      <c r="U13" t="str">
        <f t="shared" si="9"/>
        <v>No transfer</v>
      </c>
      <c r="V13" s="25" t="s">
        <v>95</v>
      </c>
    </row>
    <row r="14" spans="1:22">
      <c r="A14" s="14">
        <v>43276</v>
      </c>
      <c r="B14" s="15">
        <v>-4.0000000000000001E-3</v>
      </c>
      <c r="C14" s="15">
        <v>-4.0000000000000001E-3</v>
      </c>
      <c r="D14" s="16">
        <f t="shared" si="0"/>
        <v>-4.0000000000000001E-3</v>
      </c>
      <c r="E14" s="17" t="str">
        <f>""</f>
        <v/>
      </c>
      <c r="F14" s="18" t="str">
        <f>""</f>
        <v/>
      </c>
      <c r="G14" s="18" t="str">
        <f>""</f>
        <v/>
      </c>
      <c r="H14" s="18" t="str">
        <f t="shared" si="1"/>
        <v/>
      </c>
      <c r="I14" s="19" t="str">
        <f t="shared" si="2"/>
        <v/>
      </c>
      <c r="J14" s="19" t="str">
        <f t="shared" si="10"/>
        <v/>
      </c>
      <c r="K14" s="19" t="str">
        <f>IF(I14="","",IF(J14&gt;=Parameters!$B$5,I14,"HOLD"))</f>
        <v/>
      </c>
      <c r="L14" s="20">
        <f>'Actual Calc'!T14</f>
        <v>82993.154999999999</v>
      </c>
      <c r="M14" s="20">
        <f>'Actual Calc'!U14</f>
        <v>82993.154999999999</v>
      </c>
      <c r="N14" s="21">
        <f t="shared" si="3"/>
        <v>0.5</v>
      </c>
      <c r="O14" s="21">
        <f>IF(NOT(ISNUMBER(N14)),"",IF(K14="A",MIN(Parameters!$B$8,N14+Parameters!$B$6),IF(K14="B",MAX(Parameters!$B$7,N14-Parameters!$B$6),N14)))</f>
        <v>0.5</v>
      </c>
      <c r="P14" s="22">
        <f t="shared" si="4"/>
        <v>0</v>
      </c>
      <c r="Q14" s="22">
        <f t="shared" si="5"/>
        <v>0</v>
      </c>
      <c r="R14" s="22">
        <f t="shared" si="6"/>
        <v>82993.154999999999</v>
      </c>
      <c r="S14" s="22">
        <f t="shared" si="7"/>
        <v>82993.154999999999</v>
      </c>
      <c r="T14" s="21">
        <f t="shared" si="8"/>
        <v>0.5</v>
      </c>
      <c r="U14" s="19" t="str">
        <f t="shared" si="9"/>
        <v>No transfer</v>
      </c>
      <c r="V14" s="35" t="s">
        <v>95</v>
      </c>
    </row>
    <row r="15" spans="1:22">
      <c r="A15" s="4">
        <v>43283</v>
      </c>
      <c r="B15" s="5">
        <v>1.6549999999999999E-2</v>
      </c>
      <c r="C15" s="5">
        <v>0</v>
      </c>
      <c r="D15" s="6">
        <f t="shared" si="0"/>
        <v>8.2749999999999994E-3</v>
      </c>
      <c r="E15" s="8" t="str">
        <f>""</f>
        <v/>
      </c>
      <c r="F15" s="9" t="str">
        <f>""</f>
        <v/>
      </c>
      <c r="G15" s="9" t="str">
        <f>""</f>
        <v/>
      </c>
      <c r="H15" s="9" t="str">
        <f t="shared" si="1"/>
        <v/>
      </c>
      <c r="I15" t="str">
        <f t="shared" si="2"/>
        <v/>
      </c>
      <c r="J15" t="str">
        <f t="shared" si="10"/>
        <v/>
      </c>
      <c r="K15" t="str">
        <f>IF(I15="","",IF(J15&gt;=Parameters!$B$5,I15,"HOLD"))</f>
        <v/>
      </c>
      <c r="L15" s="10">
        <f>'Actual Calc'!T15</f>
        <v>101302.42</v>
      </c>
      <c r="M15" s="10">
        <f>'Actual Calc'!U15</f>
        <v>82993.154999999999</v>
      </c>
      <c r="N15" s="12">
        <f t="shared" si="3"/>
        <v>0.54967364246265815</v>
      </c>
      <c r="O15" s="12">
        <f>IF(NOT(ISNUMBER(N15)),"",IF(K15="A",MIN(Parameters!$B$8,N15+Parameters!$B$6),IF(K15="B",MAX(Parameters!$B$7,N15-Parameters!$B$6),N15)))</f>
        <v>0.54967364246265815</v>
      </c>
      <c r="P15" s="13">
        <f t="shared" si="4"/>
        <v>0</v>
      </c>
      <c r="Q15" s="13">
        <f t="shared" si="5"/>
        <v>1.4551915228366852E-11</v>
      </c>
      <c r="R15" s="13">
        <f t="shared" si="6"/>
        <v>101302.42000000001</v>
      </c>
      <c r="S15" s="13">
        <f t="shared" si="7"/>
        <v>82993.154999999984</v>
      </c>
      <c r="T15" s="12">
        <f t="shared" si="8"/>
        <v>0.54967364246265815</v>
      </c>
      <c r="U15" t="str">
        <f t="shared" si="9"/>
        <v>No transfer</v>
      </c>
      <c r="V15" s="25" t="s">
        <v>96</v>
      </c>
    </row>
    <row r="16" spans="1:22">
      <c r="A16" s="14">
        <v>43290</v>
      </c>
      <c r="B16" s="15">
        <v>1.753E-2</v>
      </c>
      <c r="C16" s="15">
        <v>1.753E-2</v>
      </c>
      <c r="D16" s="16">
        <f t="shared" si="0"/>
        <v>1.753E-2</v>
      </c>
      <c r="E16" s="17" t="str">
        <f>""</f>
        <v/>
      </c>
      <c r="F16" s="18" t="str">
        <f>""</f>
        <v/>
      </c>
      <c r="G16" s="18" t="str">
        <f>""</f>
        <v/>
      </c>
      <c r="H16" s="18" t="str">
        <f t="shared" si="1"/>
        <v/>
      </c>
      <c r="I16" s="19" t="str">
        <f t="shared" si="2"/>
        <v/>
      </c>
      <c r="J16" s="19" t="str">
        <f t="shared" si="10"/>
        <v/>
      </c>
      <c r="K16" s="19" t="str">
        <f>IF(I16="","",IF(J16&gt;=Parameters!$B$5,I16,"HOLD"))</f>
        <v/>
      </c>
      <c r="L16" s="20">
        <f>'Actual Calc'!T16</f>
        <v>124969.67300000001</v>
      </c>
      <c r="M16" s="20">
        <f>'Actual Calc'!U16</f>
        <v>102386.59399999998</v>
      </c>
      <c r="N16" s="21">
        <f t="shared" si="3"/>
        <v>0.5496645183745914</v>
      </c>
      <c r="O16" s="21">
        <f>IF(NOT(ISNUMBER(N16)),"",IF(K16="A",MIN(Parameters!$B$8,N16+Parameters!$B$6),IF(K16="B",MAX(Parameters!$B$7,N16-Parameters!$B$6),N16)))</f>
        <v>0.5496645183745914</v>
      </c>
      <c r="P16" s="22">
        <f t="shared" si="4"/>
        <v>0</v>
      </c>
      <c r="Q16" s="22">
        <f t="shared" si="5"/>
        <v>0</v>
      </c>
      <c r="R16" s="22">
        <f t="shared" si="6"/>
        <v>124969.67300000001</v>
      </c>
      <c r="S16" s="22">
        <f t="shared" si="7"/>
        <v>102386.59399999998</v>
      </c>
      <c r="T16" s="21">
        <f t="shared" si="8"/>
        <v>0.5496645183745914</v>
      </c>
      <c r="U16" s="19" t="str">
        <f t="shared" si="9"/>
        <v>No transfer</v>
      </c>
      <c r="V16" s="35" t="s">
        <v>95</v>
      </c>
    </row>
    <row r="17" spans="1:22">
      <c r="A17" s="4">
        <v>43297</v>
      </c>
      <c r="B17" s="5">
        <v>-4.0000000000000001E-3</v>
      </c>
      <c r="C17" s="5">
        <v>-4.0000000000000001E-3</v>
      </c>
      <c r="D17" s="6">
        <f t="shared" si="0"/>
        <v>-4.0000000000000001E-3</v>
      </c>
      <c r="E17" s="8" t="str">
        <f>""</f>
        <v/>
      </c>
      <c r="F17" s="9" t="str">
        <f>""</f>
        <v/>
      </c>
      <c r="G17" s="9" t="str">
        <f>""</f>
        <v/>
      </c>
      <c r="H17" s="9" t="str">
        <f t="shared" si="1"/>
        <v/>
      </c>
      <c r="I17" t="str">
        <f t="shared" si="2"/>
        <v/>
      </c>
      <c r="J17" t="str">
        <f t="shared" si="10"/>
        <v/>
      </c>
      <c r="K17" t="str">
        <f>IF(I17="","",IF(J17&gt;=Parameters!$B$5,I17,"HOLD"))</f>
        <v/>
      </c>
      <c r="L17" s="10">
        <f>'Actual Calc'!T17</f>
        <v>118308.87300000001</v>
      </c>
      <c r="M17" s="10">
        <f>'Actual Calc'!U17</f>
        <v>96930.993999999977</v>
      </c>
      <c r="N17" s="12">
        <f t="shared" si="3"/>
        <v>0.54966059331378436</v>
      </c>
      <c r="O17" s="12">
        <f>IF(NOT(ISNUMBER(N17)),"",IF(K17="A",MIN(Parameters!$B$8,N17+Parameters!$B$6),IF(K17="B",MAX(Parameters!$B$7,N17-Parameters!$B$6),N17)))</f>
        <v>0.54966059331378436</v>
      </c>
      <c r="P17" s="13">
        <f t="shared" si="4"/>
        <v>0</v>
      </c>
      <c r="Q17" s="13">
        <f t="shared" si="5"/>
        <v>1.4551915228366852E-11</v>
      </c>
      <c r="R17" s="13">
        <f t="shared" si="6"/>
        <v>118308.87300000002</v>
      </c>
      <c r="S17" s="13">
        <f t="shared" si="7"/>
        <v>96930.993999999962</v>
      </c>
      <c r="T17" s="12">
        <f t="shared" si="8"/>
        <v>0.54966059331378436</v>
      </c>
      <c r="U17" t="str">
        <f t="shared" si="9"/>
        <v>No transfer</v>
      </c>
      <c r="V17" s="25" t="s">
        <v>95</v>
      </c>
    </row>
    <row r="18" spans="1:22">
      <c r="A18" s="14">
        <v>43304</v>
      </c>
      <c r="B18" s="15">
        <v>1.0919999999999999E-2</v>
      </c>
      <c r="C18" s="15">
        <v>1.0919999999999999E-2</v>
      </c>
      <c r="D18" s="16">
        <f t="shared" si="0"/>
        <v>1.0919999999999999E-2</v>
      </c>
      <c r="E18" s="17" t="str">
        <f>""</f>
        <v/>
      </c>
      <c r="F18" s="18" t="str">
        <f>""</f>
        <v/>
      </c>
      <c r="G18" s="18" t="str">
        <f>""</f>
        <v/>
      </c>
      <c r="H18" s="18" t="str">
        <f t="shared" si="1"/>
        <v/>
      </c>
      <c r="I18" s="19" t="str">
        <f t="shared" si="2"/>
        <v/>
      </c>
      <c r="J18" s="19" t="str">
        <f t="shared" si="10"/>
        <v/>
      </c>
      <c r="K18" s="19" t="str">
        <f>IF(I18="","",IF(J18&gt;=Parameters!$B$5,I18,"HOLD"))</f>
        <v/>
      </c>
      <c r="L18" s="20">
        <f>'Actual Calc'!T18</f>
        <v>135513.33300000001</v>
      </c>
      <c r="M18" s="20">
        <f>'Actual Calc'!U18</f>
        <v>111021.06999999996</v>
      </c>
      <c r="N18" s="21">
        <f t="shared" si="3"/>
        <v>0.5496731139791472</v>
      </c>
      <c r="O18" s="21">
        <f>IF(NOT(ISNUMBER(N18)),"",IF(K18="A",MIN(Parameters!$B$8,N18+Parameters!$B$6),IF(K18="B",MAX(Parameters!$B$7,N18-Parameters!$B$6),N18)))</f>
        <v>0.5496731139791472</v>
      </c>
      <c r="P18" s="22">
        <f t="shared" si="4"/>
        <v>0</v>
      </c>
      <c r="Q18" s="22">
        <f t="shared" si="5"/>
        <v>0</v>
      </c>
      <c r="R18" s="22">
        <f t="shared" si="6"/>
        <v>135513.33300000001</v>
      </c>
      <c r="S18" s="22">
        <f t="shared" si="7"/>
        <v>111021.06999999996</v>
      </c>
      <c r="T18" s="21">
        <f t="shared" si="8"/>
        <v>0.5496731139791472</v>
      </c>
      <c r="U18" s="19" t="str">
        <f t="shared" si="9"/>
        <v>No transfer</v>
      </c>
      <c r="V18" s="35" t="s">
        <v>95</v>
      </c>
    </row>
    <row r="19" spans="1:22">
      <c r="A19" s="4">
        <v>43311</v>
      </c>
      <c r="B19" s="5">
        <v>-1.72E-3</v>
      </c>
      <c r="C19" s="5">
        <v>-1.72E-3</v>
      </c>
      <c r="D19" s="6">
        <f t="shared" si="0"/>
        <v>-1.72E-3</v>
      </c>
      <c r="E19" s="8" t="str">
        <f>""</f>
        <v/>
      </c>
      <c r="F19" s="9" t="str">
        <f>""</f>
        <v/>
      </c>
      <c r="G19" s="9" t="str">
        <f>""</f>
        <v/>
      </c>
      <c r="H19" s="9" t="str">
        <f t="shared" si="1"/>
        <v/>
      </c>
      <c r="I19" t="str">
        <f t="shared" si="2"/>
        <v/>
      </c>
      <c r="J19" t="str">
        <f t="shared" si="10"/>
        <v/>
      </c>
      <c r="K19" t="str">
        <f>IF(I19="","",IF(J19&gt;=Parameters!$B$5,I19,"HOLD"))</f>
        <v/>
      </c>
      <c r="L19" s="10">
        <f>'Actual Calc'!T19</f>
        <v>132407.87300000002</v>
      </c>
      <c r="M19" s="10">
        <f>'Actual Calc'!U19</f>
        <v>108477.36199999996</v>
      </c>
      <c r="N19" s="12">
        <f t="shared" si="3"/>
        <v>0.54967201704994506</v>
      </c>
      <c r="O19" s="12">
        <f>IF(NOT(ISNUMBER(N19)),"",IF(K19="A",MIN(Parameters!$B$8,N19+Parameters!$B$6),IF(K19="B",MAX(Parameters!$B$7,N19-Parameters!$B$6),N19)))</f>
        <v>0.54967201704994506</v>
      </c>
      <c r="P19" s="13">
        <f t="shared" si="4"/>
        <v>0</v>
      </c>
      <c r="Q19" s="13">
        <f t="shared" si="5"/>
        <v>0</v>
      </c>
      <c r="R19" s="13">
        <f t="shared" si="6"/>
        <v>132407.87300000002</v>
      </c>
      <c r="S19" s="13">
        <f t="shared" si="7"/>
        <v>108477.36199999996</v>
      </c>
      <c r="T19" s="12">
        <f t="shared" si="8"/>
        <v>0.54967201704994506</v>
      </c>
      <c r="U19" t="str">
        <f t="shared" si="9"/>
        <v>No transfer</v>
      </c>
      <c r="V19" s="25" t="s">
        <v>95</v>
      </c>
    </row>
    <row r="20" spans="1:22">
      <c r="A20" s="14">
        <v>43318</v>
      </c>
      <c r="B20" s="15">
        <v>2.97E-3</v>
      </c>
      <c r="C20" s="15">
        <v>2.97E-3</v>
      </c>
      <c r="D20" s="16">
        <f t="shared" si="0"/>
        <v>2.97E-3</v>
      </c>
      <c r="E20" s="17" t="str">
        <f>""</f>
        <v/>
      </c>
      <c r="F20" s="18" t="str">
        <f>""</f>
        <v/>
      </c>
      <c r="G20" s="18" t="str">
        <f>""</f>
        <v/>
      </c>
      <c r="H20" s="18" t="str">
        <f t="shared" si="1"/>
        <v/>
      </c>
      <c r="I20" s="19" t="str">
        <f t="shared" si="2"/>
        <v/>
      </c>
      <c r="J20" s="19" t="str">
        <f t="shared" si="10"/>
        <v/>
      </c>
      <c r="K20" s="19" t="str">
        <f>IF(I20="","",IF(J20&gt;=Parameters!$B$5,I20,"HOLD"))</f>
        <v/>
      </c>
      <c r="L20" s="20">
        <f>'Actual Calc'!T20</f>
        <v>137647.25000000003</v>
      </c>
      <c r="M20" s="20">
        <f>'Actual Calc'!U20</f>
        <v>112767.22999999997</v>
      </c>
      <c r="N20" s="21">
        <f t="shared" si="3"/>
        <v>0.54967767838345472</v>
      </c>
      <c r="O20" s="21">
        <f>IF(NOT(ISNUMBER(N20)),"",IF(K20="A",MIN(Parameters!$B$8,N20+Parameters!$B$6),IF(K20="B",MAX(Parameters!$B$7,N20-Parameters!$B$6),N20)))</f>
        <v>0.54967767838345472</v>
      </c>
      <c r="P20" s="22">
        <f t="shared" si="4"/>
        <v>0</v>
      </c>
      <c r="Q20" s="22">
        <f t="shared" si="5"/>
        <v>0</v>
      </c>
      <c r="R20" s="22">
        <f t="shared" si="6"/>
        <v>137647.25000000003</v>
      </c>
      <c r="S20" s="22">
        <f t="shared" si="7"/>
        <v>112767.22999999997</v>
      </c>
      <c r="T20" s="21">
        <f t="shared" si="8"/>
        <v>0.54967767838345472</v>
      </c>
      <c r="U20" s="19" t="str">
        <f t="shared" si="9"/>
        <v>No transfer</v>
      </c>
      <c r="V20" s="35" t="s">
        <v>95</v>
      </c>
    </row>
    <row r="21" spans="1:22">
      <c r="A21" s="4">
        <v>43325</v>
      </c>
      <c r="B21" s="5">
        <v>-7.1999999999999998E-3</v>
      </c>
      <c r="C21" s="5">
        <v>-7.1999999999999998E-3</v>
      </c>
      <c r="D21" s="6">
        <f t="shared" si="0"/>
        <v>-7.1999999999999998E-3</v>
      </c>
      <c r="E21" s="8" t="str">
        <f>""</f>
        <v/>
      </c>
      <c r="F21" s="9" t="str">
        <f>""</f>
        <v/>
      </c>
      <c r="G21" s="9" t="str">
        <f>""</f>
        <v/>
      </c>
      <c r="H21" s="9" t="str">
        <f t="shared" si="1"/>
        <v/>
      </c>
      <c r="I21" t="str">
        <f t="shared" si="2"/>
        <v/>
      </c>
      <c r="J21" t="str">
        <f t="shared" si="10"/>
        <v/>
      </c>
      <c r="K21" t="str">
        <f>IF(I21="","",IF(J21&gt;=Parameters!$B$5,I21,"HOLD"))</f>
        <v/>
      </c>
      <c r="L21" s="10">
        <f>'Actual Calc'!T21</f>
        <v>124448.93000000002</v>
      </c>
      <c r="M21" s="10">
        <f>'Actual Calc'!U21</f>
        <v>101953.54999999996</v>
      </c>
      <c r="N21" s="12">
        <f t="shared" si="3"/>
        <v>0.54968006534204061</v>
      </c>
      <c r="O21" s="12">
        <f>IF(NOT(ISNUMBER(N21)),"",IF(K21="A",MIN(Parameters!$B$8,N21+Parameters!$B$6),IF(K21="B",MAX(Parameters!$B$7,N21-Parameters!$B$6),N21)))</f>
        <v>0.54968006534204061</v>
      </c>
      <c r="P21" s="13">
        <f t="shared" si="4"/>
        <v>0</v>
      </c>
      <c r="Q21" s="13">
        <f t="shared" si="5"/>
        <v>1.4551915228366852E-11</v>
      </c>
      <c r="R21" s="13">
        <f t="shared" si="6"/>
        <v>124448.93000000004</v>
      </c>
      <c r="S21" s="13">
        <f t="shared" si="7"/>
        <v>101953.54999999994</v>
      </c>
      <c r="T21" s="12">
        <f t="shared" si="8"/>
        <v>0.54968006534204061</v>
      </c>
      <c r="U21" t="str">
        <f t="shared" si="9"/>
        <v>No transfer</v>
      </c>
      <c r="V21" s="25" t="s">
        <v>95</v>
      </c>
    </row>
    <row r="22" spans="1:22">
      <c r="A22" s="14">
        <v>43332</v>
      </c>
      <c r="B22" s="15">
        <v>1.24E-2</v>
      </c>
      <c r="C22" s="15">
        <v>1.24E-2</v>
      </c>
      <c r="D22" s="16">
        <f t="shared" si="0"/>
        <v>1.24E-2</v>
      </c>
      <c r="E22" s="17" t="str">
        <f>""</f>
        <v/>
      </c>
      <c r="F22" s="18" t="str">
        <f>""</f>
        <v/>
      </c>
      <c r="G22" s="18" t="str">
        <f>""</f>
        <v/>
      </c>
      <c r="H22" s="18" t="str">
        <f t="shared" si="1"/>
        <v/>
      </c>
      <c r="I22" s="19" t="str">
        <f t="shared" si="2"/>
        <v/>
      </c>
      <c r="J22" s="19" t="str">
        <f t="shared" si="10"/>
        <v/>
      </c>
      <c r="K22" s="19" t="str">
        <f>IF(I22="","",IF(J22&gt;=Parameters!$B$5,I22,"HOLD"))</f>
        <v/>
      </c>
      <c r="L22" s="20">
        <f>'Actual Calc'!T22</f>
        <v>145011.85000000003</v>
      </c>
      <c r="M22" s="20">
        <f>'Actual Calc'!U22</f>
        <v>118808.86999999994</v>
      </c>
      <c r="N22" s="21">
        <f t="shared" si="3"/>
        <v>0.54966058010909857</v>
      </c>
      <c r="O22" s="21">
        <f>IF(NOT(ISNUMBER(N22)),"",IF(K22="A",MIN(Parameters!$B$8,N22+Parameters!$B$6),IF(K22="B",MAX(Parameters!$B$7,N22-Parameters!$B$6),N22)))</f>
        <v>0.54966058010909857</v>
      </c>
      <c r="P22" s="22">
        <f t="shared" si="4"/>
        <v>0</v>
      </c>
      <c r="Q22" s="22">
        <f t="shared" si="5"/>
        <v>0</v>
      </c>
      <c r="R22" s="22">
        <f t="shared" si="6"/>
        <v>145011.85000000003</v>
      </c>
      <c r="S22" s="22">
        <f t="shared" si="7"/>
        <v>118808.86999999994</v>
      </c>
      <c r="T22" s="21">
        <f t="shared" si="8"/>
        <v>0.54966058010909857</v>
      </c>
      <c r="U22" s="19" t="str">
        <f t="shared" si="9"/>
        <v>No transfer</v>
      </c>
      <c r="V22" s="35" t="s">
        <v>95</v>
      </c>
    </row>
    <row r="23" spans="1:22">
      <c r="A23" s="4">
        <v>43339</v>
      </c>
      <c r="B23" s="5">
        <v>1.7350000000000001E-2</v>
      </c>
      <c r="C23" s="5">
        <v>1.7350000000000001E-2</v>
      </c>
      <c r="D23" s="6">
        <f t="shared" si="0"/>
        <v>1.7350000000000001E-2</v>
      </c>
      <c r="E23" s="8" t="str">
        <f>""</f>
        <v/>
      </c>
      <c r="F23" s="9" t="str">
        <f>""</f>
        <v/>
      </c>
      <c r="G23" s="9" t="str">
        <f>""</f>
        <v/>
      </c>
      <c r="H23" s="9" t="str">
        <f t="shared" si="1"/>
        <v/>
      </c>
      <c r="I23" t="str">
        <f t="shared" si="2"/>
        <v/>
      </c>
      <c r="J23" t="str">
        <f t="shared" si="10"/>
        <v/>
      </c>
      <c r="K23" t="str">
        <f>IF(I23="","",IF(J23&gt;=Parameters!$B$5,I23,"HOLD"))</f>
        <v/>
      </c>
      <c r="L23" s="10">
        <f>'Actual Calc'!T23</f>
        <v>178532.05000000005</v>
      </c>
      <c r="M23" s="10">
        <f>'Actual Calc'!U23</f>
        <v>146263.50999999995</v>
      </c>
      <c r="N23" s="12">
        <f t="shared" si="3"/>
        <v>0.54967515565791614</v>
      </c>
      <c r="O23" s="12">
        <f>IF(NOT(ISNUMBER(N23)),"",IF(K23="A",MIN(Parameters!$B$8,N23+Parameters!$B$6),IF(K23="B",MAX(Parameters!$B$7,N23-Parameters!$B$6),N23)))</f>
        <v>0.54967515565791614</v>
      </c>
      <c r="P23" s="13">
        <f t="shared" si="4"/>
        <v>0</v>
      </c>
      <c r="Q23" s="13">
        <f t="shared" si="5"/>
        <v>0</v>
      </c>
      <c r="R23" s="13">
        <f t="shared" si="6"/>
        <v>178532.05000000005</v>
      </c>
      <c r="S23" s="13">
        <f t="shared" si="7"/>
        <v>146263.50999999995</v>
      </c>
      <c r="T23" s="12">
        <f t="shared" si="8"/>
        <v>0.54967515565791614</v>
      </c>
      <c r="U23" t="str">
        <f t="shared" si="9"/>
        <v>No transfer</v>
      </c>
      <c r="V23" s="25" t="s">
        <v>95</v>
      </c>
    </row>
    <row r="24" spans="1:22">
      <c r="A24" s="14">
        <v>43346</v>
      </c>
      <c r="B24" s="15">
        <v>-1.363E-2</v>
      </c>
      <c r="C24" s="15">
        <v>0</v>
      </c>
      <c r="D24" s="16">
        <f t="shared" si="0"/>
        <v>-6.8149999999999999E-3</v>
      </c>
      <c r="E24" s="17" t="str">
        <f>""</f>
        <v/>
      </c>
      <c r="F24" s="18" t="str">
        <f>""</f>
        <v/>
      </c>
      <c r="G24" s="18" t="str">
        <f>""</f>
        <v/>
      </c>
      <c r="H24" s="18" t="str">
        <f t="shared" si="1"/>
        <v/>
      </c>
      <c r="I24" s="19" t="str">
        <f t="shared" si="2"/>
        <v/>
      </c>
      <c r="J24" s="19" t="str">
        <f t="shared" si="10"/>
        <v/>
      </c>
      <c r="K24" s="19" t="str">
        <f>IF(I24="","",IF(J24&gt;=Parameters!$B$5,I24,"HOLD"))</f>
        <v/>
      </c>
      <c r="L24" s="20">
        <f>'Actual Calc'!T24</f>
        <v>146117.18400000004</v>
      </c>
      <c r="M24" s="20">
        <f>'Actual Calc'!U24</f>
        <v>146263.50999999995</v>
      </c>
      <c r="N24" s="21">
        <f t="shared" si="3"/>
        <v>0.49974976801990911</v>
      </c>
      <c r="O24" s="21">
        <f>IF(NOT(ISNUMBER(N24)),"",IF(K24="A",MIN(Parameters!$B$8,N24+Parameters!$B$6),IF(K24="B",MAX(Parameters!$B$7,N24-Parameters!$B$6),N24)))</f>
        <v>0.49974976801990911</v>
      </c>
      <c r="P24" s="22">
        <f t="shared" si="4"/>
        <v>0</v>
      </c>
      <c r="Q24" s="22">
        <f t="shared" si="5"/>
        <v>0</v>
      </c>
      <c r="R24" s="22">
        <f t="shared" si="6"/>
        <v>146117.18400000004</v>
      </c>
      <c r="S24" s="22">
        <f t="shared" si="7"/>
        <v>146263.50999999995</v>
      </c>
      <c r="T24" s="21">
        <f t="shared" si="8"/>
        <v>0.49974976801990911</v>
      </c>
      <c r="U24" s="19" t="str">
        <f t="shared" si="9"/>
        <v>No transfer</v>
      </c>
      <c r="V24" s="35" t="s">
        <v>96</v>
      </c>
    </row>
    <row r="25" spans="1:22">
      <c r="A25" s="4">
        <v>43353</v>
      </c>
      <c r="B25" s="5">
        <v>1.0829999999999999E-2</v>
      </c>
      <c r="C25" s="5">
        <v>1.0829999999999999E-2</v>
      </c>
      <c r="D25" s="6">
        <f t="shared" si="0"/>
        <v>1.0829999999999999E-2</v>
      </c>
      <c r="E25" s="8" t="str">
        <f>""</f>
        <v/>
      </c>
      <c r="F25" s="9" t="str">
        <f>""</f>
        <v/>
      </c>
      <c r="G25" s="9" t="str">
        <f>""</f>
        <v/>
      </c>
      <c r="H25" s="9" t="str">
        <f t="shared" si="1"/>
        <v/>
      </c>
      <c r="I25" t="str">
        <f t="shared" si="2"/>
        <v/>
      </c>
      <c r="J25" t="str">
        <f t="shared" si="10"/>
        <v/>
      </c>
      <c r="K25" t="str">
        <f>IF(I25="","",IF(J25&gt;=Parameters!$B$5,I25,"HOLD"))</f>
        <v/>
      </c>
      <c r="L25" s="10">
        <f>'Actual Calc'!T25</f>
        <v>167215.10700000005</v>
      </c>
      <c r="M25" s="10">
        <f>'Actual Calc'!U25</f>
        <v>167361.43299999996</v>
      </c>
      <c r="N25" s="12">
        <f t="shared" si="3"/>
        <v>0.49978132656880253</v>
      </c>
      <c r="O25" s="12">
        <f>IF(NOT(ISNUMBER(N25)),"",IF(K25="A",MIN(Parameters!$B$8,N25+Parameters!$B$6),IF(K25="B",MAX(Parameters!$B$7,N25-Parameters!$B$6),N25)))</f>
        <v>0.49978132656880253</v>
      </c>
      <c r="P25" s="13">
        <f t="shared" si="4"/>
        <v>0</v>
      </c>
      <c r="Q25" s="13">
        <f t="shared" si="5"/>
        <v>0</v>
      </c>
      <c r="R25" s="13">
        <f t="shared" si="6"/>
        <v>167215.10700000005</v>
      </c>
      <c r="S25" s="13">
        <f t="shared" si="7"/>
        <v>167361.43299999996</v>
      </c>
      <c r="T25" s="12">
        <f t="shared" si="8"/>
        <v>0.49978132656880253</v>
      </c>
      <c r="U25" t="str">
        <f t="shared" si="9"/>
        <v>No transfer</v>
      </c>
      <c r="V25" s="25" t="s">
        <v>95</v>
      </c>
    </row>
    <row r="26" spans="1:22">
      <c r="A26" s="14">
        <v>43360</v>
      </c>
      <c r="B26" s="15">
        <v>-3.9699999999999996E-3</v>
      </c>
      <c r="C26" s="15">
        <v>-3.9699999999999996E-3</v>
      </c>
      <c r="D26" s="16">
        <f t="shared" si="0"/>
        <v>-3.9699999999999996E-3</v>
      </c>
      <c r="E26" s="17" t="str">
        <f>""</f>
        <v/>
      </c>
      <c r="F26" s="18" t="str">
        <f>""</f>
        <v/>
      </c>
      <c r="G26" s="18" t="str">
        <f>""</f>
        <v/>
      </c>
      <c r="H26" s="18" t="str">
        <f t="shared" si="1"/>
        <v/>
      </c>
      <c r="I26" s="19" t="str">
        <f t="shared" si="2"/>
        <v/>
      </c>
      <c r="J26" s="19" t="str">
        <f t="shared" si="10"/>
        <v/>
      </c>
      <c r="K26" s="19" t="str">
        <f>IF(I26="","",IF(J26&gt;=Parameters!$B$5,I26,"HOLD"))</f>
        <v/>
      </c>
      <c r="L26" s="20">
        <f>'Actual Calc'!T26</f>
        <v>158367.16800000006</v>
      </c>
      <c r="M26" s="20">
        <f>'Actual Calc'!U26</f>
        <v>158504.36299999995</v>
      </c>
      <c r="N26" s="21">
        <f t="shared" si="3"/>
        <v>0.49978351636771073</v>
      </c>
      <c r="O26" s="21">
        <f>IF(NOT(ISNUMBER(N26)),"",IF(K26="A",MIN(Parameters!$B$8,N26+Parameters!$B$6),IF(K26="B",MAX(Parameters!$B$7,N26-Parameters!$B$6),N26)))</f>
        <v>0.49978351636771073</v>
      </c>
      <c r="P26" s="22">
        <f t="shared" si="4"/>
        <v>0</v>
      </c>
      <c r="Q26" s="22">
        <f t="shared" si="5"/>
        <v>0</v>
      </c>
      <c r="R26" s="22">
        <f t="shared" si="6"/>
        <v>158367.16800000006</v>
      </c>
      <c r="S26" s="22">
        <f t="shared" si="7"/>
        <v>158504.36299999995</v>
      </c>
      <c r="T26" s="21">
        <f t="shared" si="8"/>
        <v>0.49978351636771073</v>
      </c>
      <c r="U26" s="19" t="str">
        <f t="shared" si="9"/>
        <v>No transfer</v>
      </c>
      <c r="V26" s="35" t="s">
        <v>95</v>
      </c>
    </row>
    <row r="27" spans="1:22">
      <c r="A27" s="4">
        <v>43367</v>
      </c>
      <c r="B27" s="5">
        <v>1.0869999999999999E-2</v>
      </c>
      <c r="C27" s="5">
        <v>1.0869999999999999E-2</v>
      </c>
      <c r="D27" s="6">
        <f t="shared" si="0"/>
        <v>1.0869999999999999E-2</v>
      </c>
      <c r="E27" s="8" t="str">
        <f>""</f>
        <v/>
      </c>
      <c r="F27" s="9" t="str">
        <f>""</f>
        <v/>
      </c>
      <c r="G27" s="9" t="str">
        <f>""</f>
        <v/>
      </c>
      <c r="H27" s="9" t="str">
        <f t="shared" si="1"/>
        <v/>
      </c>
      <c r="I27" t="str">
        <f t="shared" si="2"/>
        <v/>
      </c>
      <c r="J27" t="str">
        <f t="shared" si="10"/>
        <v/>
      </c>
      <c r="K27" t="str">
        <f>IF(I27="","",IF(J27&gt;=Parameters!$B$5,I27,"HOLD"))</f>
        <v/>
      </c>
      <c r="L27" s="10">
        <f>'Actual Calc'!T27</f>
        <v>181318.08600000007</v>
      </c>
      <c r="M27" s="10">
        <f>'Actual Calc'!U27</f>
        <v>181455.28099999996</v>
      </c>
      <c r="N27" s="12">
        <f t="shared" si="3"/>
        <v>0.49981090811443185</v>
      </c>
      <c r="O27" s="12">
        <f>IF(NOT(ISNUMBER(N27)),"",IF(K27="A",MIN(Parameters!$B$8,N27+Parameters!$B$6),IF(K27="B",MAX(Parameters!$B$7,N27-Parameters!$B$6),N27)))</f>
        <v>0.49981090811443185</v>
      </c>
      <c r="P27" s="13">
        <f t="shared" si="4"/>
        <v>0</v>
      </c>
      <c r="Q27" s="13">
        <f t="shared" si="5"/>
        <v>0</v>
      </c>
      <c r="R27" s="13">
        <f t="shared" si="6"/>
        <v>181318.08600000007</v>
      </c>
      <c r="S27" s="13">
        <f t="shared" si="7"/>
        <v>181455.28099999996</v>
      </c>
      <c r="T27" s="12">
        <f t="shared" si="8"/>
        <v>0.49981090811443185</v>
      </c>
      <c r="U27" t="str">
        <f t="shared" si="9"/>
        <v>No transfer</v>
      </c>
      <c r="V27" s="25" t="s">
        <v>95</v>
      </c>
    </row>
    <row r="28" spans="1:22">
      <c r="A28" s="14">
        <v>43374</v>
      </c>
      <c r="B28" s="15">
        <v>-3.8E-3</v>
      </c>
      <c r="C28" s="15">
        <v>-3.8E-3</v>
      </c>
      <c r="D28" s="16">
        <f t="shared" si="0"/>
        <v>-3.8E-3</v>
      </c>
      <c r="E28" s="17" t="str">
        <f>""</f>
        <v/>
      </c>
      <c r="F28" s="18" t="str">
        <f>""</f>
        <v/>
      </c>
      <c r="G28" s="18" t="str">
        <f>""</f>
        <v/>
      </c>
      <c r="H28" s="18" t="str">
        <f t="shared" si="1"/>
        <v/>
      </c>
      <c r="I28" s="19" t="str">
        <f t="shared" si="2"/>
        <v/>
      </c>
      <c r="J28" s="19" t="str">
        <f t="shared" si="10"/>
        <v/>
      </c>
      <c r="K28" s="19" t="str">
        <f>IF(I28="","",IF(J28&gt;=Parameters!$B$5,I28,"HOLD"))</f>
        <v/>
      </c>
      <c r="L28" s="20">
        <f>'Actual Calc'!T28</f>
        <v>172132.34600000008</v>
      </c>
      <c r="M28" s="20">
        <f>'Actual Calc'!U28</f>
        <v>172269.54099999997</v>
      </c>
      <c r="N28" s="21">
        <f t="shared" si="3"/>
        <v>0.49980082135844994</v>
      </c>
      <c r="O28" s="21">
        <f>IF(NOT(ISNUMBER(N28)),"",IF(K28="A",MIN(Parameters!$B$8,N28+Parameters!$B$6),IF(K28="B",MAX(Parameters!$B$7,N28-Parameters!$B$6),N28)))</f>
        <v>0.49980082135844994</v>
      </c>
      <c r="P28" s="22">
        <f t="shared" si="4"/>
        <v>0</v>
      </c>
      <c r="Q28" s="22">
        <f t="shared" si="5"/>
        <v>0</v>
      </c>
      <c r="R28" s="22">
        <f t="shared" si="6"/>
        <v>172132.34600000008</v>
      </c>
      <c r="S28" s="22">
        <f t="shared" si="7"/>
        <v>172269.54099999997</v>
      </c>
      <c r="T28" s="21">
        <f t="shared" si="8"/>
        <v>0.49980082135844994</v>
      </c>
      <c r="U28" s="19" t="str">
        <f t="shared" si="9"/>
        <v>No transfer</v>
      </c>
      <c r="V28" s="35" t="s">
        <v>95</v>
      </c>
    </row>
    <row r="29" spans="1:22">
      <c r="A29" s="4">
        <v>43381</v>
      </c>
      <c r="B29" s="5">
        <v>-5.0939999999999999E-2</v>
      </c>
      <c r="C29" s="5">
        <v>0</v>
      </c>
      <c r="D29" s="6">
        <f t="shared" si="0"/>
        <v>-2.547E-2</v>
      </c>
      <c r="E29" s="8">
        <f t="shared" ref="E29:E92" si="11">IF(NOT(ISNUMBER(D29)),"",COUNTIF(D4:D29,"&gt;0"))</f>
        <v>13</v>
      </c>
      <c r="F29" s="9">
        <f t="shared" ref="F29:F92" si="12">IF(OR(NOT(ISNUMBER(E29)),E29&lt;2),"",IFERROR((SUMPRODUCT(--(D4:D29&gt;0),B4:B29,D4:D29)-SUMPRODUCT(--(D4:D29&gt;0),B4:B29)*SUMPRODUCT(--(D4:D29&gt;0),D4:D29)/E29)/(SUMPRODUCT(--(D4:D29&gt;0),D4:D29,D4:D29)-SUMPRODUCT(--(D4:D29&gt;0),D4:D29)^2/E29),""))</f>
        <v>0.89944456567466058</v>
      </c>
      <c r="G29" s="9">
        <f t="shared" ref="G29:G92" si="13">IF(OR(NOT(ISNUMBER(E29)),E29&lt;2),"",IFERROR((SUMPRODUCT(--(D4:D29&gt;0),C4:C29,D4:D29)-SUMPRODUCT(--(D4:D29&gt;0),C4:C29)*SUMPRODUCT(--(D4:D29&gt;0),D4:D29)/E29)/(SUMPRODUCT(--(D4:D29&gt;0),D4:D29,D4:D29)-SUMPRODUCT(--(D4:D29&gt;0),D4:D29)^2/E29),""))</f>
        <v>1.1005554343253385</v>
      </c>
      <c r="H29" s="9">
        <f t="shared" si="1"/>
        <v>-0.20111086865067795</v>
      </c>
      <c r="I29" t="str">
        <f t="shared" si="2"/>
        <v>B</v>
      </c>
      <c r="J29">
        <f t="shared" si="10"/>
        <v>1</v>
      </c>
      <c r="K29" t="str">
        <f>IF(I29="","",IF(J29&gt;=Parameters!$B$5,I29,"HOLD"))</f>
        <v>HOLD</v>
      </c>
      <c r="L29" s="10">
        <f>'Actual Calc'!T29</f>
        <v>55321.832000000082</v>
      </c>
      <c r="M29" s="10">
        <f>'Actual Calc'!U29</f>
        <v>172269.54099999997</v>
      </c>
      <c r="N29" s="12">
        <f t="shared" si="3"/>
        <v>0.24307525927180057</v>
      </c>
      <c r="O29" s="12">
        <f>IF(NOT(ISNUMBER(N29)),"",IF(K29="A",MIN(Parameters!$B$8,N29+Parameters!$B$6),IF(K29="B",MAX(Parameters!$B$7,N29-Parameters!$B$6),N29)))</f>
        <v>0.24307525927180057</v>
      </c>
      <c r="P29" s="13">
        <f t="shared" si="4"/>
        <v>0</v>
      </c>
      <c r="Q29" s="13">
        <f t="shared" si="5"/>
        <v>0</v>
      </c>
      <c r="R29" s="13">
        <f t="shared" si="6"/>
        <v>55321.832000000082</v>
      </c>
      <c r="S29" s="13">
        <f t="shared" si="7"/>
        <v>172269.54099999997</v>
      </c>
      <c r="T29" s="12">
        <f t="shared" si="8"/>
        <v>0.24307525927180057</v>
      </c>
      <c r="U29" t="str">
        <f t="shared" si="9"/>
        <v>No transfer</v>
      </c>
      <c r="V29" s="25" t="s">
        <v>96</v>
      </c>
    </row>
    <row r="30" spans="1:22">
      <c r="A30" s="14">
        <v>43388</v>
      </c>
      <c r="B30" s="15">
        <v>-4.0000000000000001E-3</v>
      </c>
      <c r="C30" s="15">
        <v>-4.0000000000000001E-3</v>
      </c>
      <c r="D30" s="16">
        <f t="shared" si="0"/>
        <v>-4.0000000000000001E-3</v>
      </c>
      <c r="E30" s="17">
        <f t="shared" si="11"/>
        <v>12</v>
      </c>
      <c r="F30" s="18">
        <f t="shared" si="12"/>
        <v>0.89643626643762908</v>
      </c>
      <c r="G30" s="18">
        <f t="shared" si="13"/>
        <v>1.1035637335623709</v>
      </c>
      <c r="H30" s="18">
        <f t="shared" si="1"/>
        <v>-0.20712746712474184</v>
      </c>
      <c r="I30" s="19" t="str">
        <f t="shared" si="2"/>
        <v>B</v>
      </c>
      <c r="J30" s="19">
        <f t="shared" si="10"/>
        <v>2</v>
      </c>
      <c r="K30" s="19" t="str">
        <f>IF(I30="","",IF(J30&gt;=Parameters!$B$5,I30,"HOLD"))</f>
        <v>HOLD</v>
      </c>
      <c r="L30" s="20">
        <f>'Actual Calc'!T30</f>
        <v>52377.832000000082</v>
      </c>
      <c r="M30" s="20">
        <f>'Actual Calc'!U30</f>
        <v>163087.94099999996</v>
      </c>
      <c r="N30" s="21">
        <f t="shared" si="3"/>
        <v>0.24309119388535122</v>
      </c>
      <c r="O30" s="21">
        <f>IF(NOT(ISNUMBER(N30)),"",IF(K30="A",MIN(Parameters!$B$8,N30+Parameters!$B$6),IF(K30="B",MAX(Parameters!$B$7,N30-Parameters!$B$6),N30)))</f>
        <v>0.24309119388535122</v>
      </c>
      <c r="P30" s="22">
        <f t="shared" si="4"/>
        <v>0</v>
      </c>
      <c r="Q30" s="22">
        <f t="shared" si="5"/>
        <v>0</v>
      </c>
      <c r="R30" s="22">
        <f t="shared" si="6"/>
        <v>52377.832000000082</v>
      </c>
      <c r="S30" s="22">
        <f t="shared" si="7"/>
        <v>163087.94099999996</v>
      </c>
      <c r="T30" s="21">
        <f t="shared" si="8"/>
        <v>0.24309119388535122</v>
      </c>
      <c r="U30" s="19" t="str">
        <f t="shared" si="9"/>
        <v>No transfer</v>
      </c>
      <c r="V30" s="35" t="s">
        <v>95</v>
      </c>
    </row>
    <row r="31" spans="1:22">
      <c r="A31" s="4">
        <v>43395</v>
      </c>
      <c r="B31" s="5">
        <v>-3.1900000000000001E-3</v>
      </c>
      <c r="C31" s="5">
        <v>-3.1900000000000001E-3</v>
      </c>
      <c r="D31" s="6">
        <f t="shared" si="0"/>
        <v>-3.1900000000000001E-3</v>
      </c>
      <c r="E31" s="8">
        <f t="shared" si="11"/>
        <v>12</v>
      </c>
      <c r="F31" s="9">
        <f t="shared" si="12"/>
        <v>0.89643626643762908</v>
      </c>
      <c r="G31" s="9">
        <f t="shared" si="13"/>
        <v>1.1035637335623709</v>
      </c>
      <c r="H31" s="9">
        <f t="shared" si="1"/>
        <v>-0.20712746712474184</v>
      </c>
      <c r="I31" t="str">
        <f t="shared" si="2"/>
        <v>B</v>
      </c>
      <c r="J31">
        <f t="shared" si="10"/>
        <v>3</v>
      </c>
      <c r="K31" t="str">
        <f>IF(I31="","",IF(J31&gt;=Parameters!$B$5,I31,"HOLD"))</f>
        <v>B</v>
      </c>
      <c r="L31" s="10">
        <f>'Actual Calc'!T31</f>
        <v>50154.721000000085</v>
      </c>
      <c r="M31" s="10">
        <f>'Actual Calc'!U31</f>
        <v>156154.47599999997</v>
      </c>
      <c r="N31" s="12">
        <f t="shared" si="3"/>
        <v>0.24310462998893875</v>
      </c>
      <c r="O31" s="12">
        <f>IF(NOT(ISNUMBER(N31)),"",IF(K31="A",MIN(Parameters!$B$8,N31+Parameters!$B$6),IF(K31="B",MAX(Parameters!$B$7,N31-Parameters!$B$6),N31)))</f>
        <v>0.14310462998893875</v>
      </c>
      <c r="P31" s="13">
        <f t="shared" si="4"/>
        <v>20630.919700000006</v>
      </c>
      <c r="Q31" s="13">
        <f t="shared" si="5"/>
        <v>0</v>
      </c>
      <c r="R31" s="13">
        <f t="shared" si="6"/>
        <v>29523.801300000079</v>
      </c>
      <c r="S31" s="13">
        <f t="shared" si="7"/>
        <v>176785.39569999996</v>
      </c>
      <c r="T31" s="12">
        <f t="shared" si="8"/>
        <v>0.14310462998893875</v>
      </c>
      <c r="U31" t="e">
        <f t="shared" si="9"/>
        <v>#VALUE!</v>
      </c>
      <c r="V31" s="25" t="s">
        <v>95</v>
      </c>
    </row>
    <row r="32" spans="1:22">
      <c r="A32" s="14">
        <v>43402</v>
      </c>
      <c r="B32" s="15">
        <v>-3.8E-3</v>
      </c>
      <c r="C32" s="15">
        <v>0</v>
      </c>
      <c r="D32" s="16">
        <f t="shared" si="0"/>
        <v>-1.9E-3</v>
      </c>
      <c r="E32" s="17">
        <f t="shared" si="11"/>
        <v>12</v>
      </c>
      <c r="F32" s="18">
        <f t="shared" si="12"/>
        <v>0.89643626643762908</v>
      </c>
      <c r="G32" s="18">
        <f t="shared" si="13"/>
        <v>1.1035637335623709</v>
      </c>
      <c r="H32" s="18">
        <f t="shared" si="1"/>
        <v>-0.20712746712474184</v>
      </c>
      <c r="I32" s="19" t="str">
        <f t="shared" si="2"/>
        <v>B</v>
      </c>
      <c r="J32" s="19">
        <f t="shared" si="10"/>
        <v>4</v>
      </c>
      <c r="K32" s="19" t="str">
        <f>IF(I32="","",IF(J32&gt;=Parameters!$B$5,I32,"HOLD"))</f>
        <v>B</v>
      </c>
      <c r="L32" s="20">
        <f>'Actual Calc'!T32</f>
        <v>28029.261300000078</v>
      </c>
      <c r="M32" s="20">
        <f>'Actual Calc'!U32</f>
        <v>176785.39569999996</v>
      </c>
      <c r="N32" s="21">
        <f t="shared" si="3"/>
        <v>0.13685183331386325</v>
      </c>
      <c r="O32" s="21">
        <f>IF(NOT(ISNUMBER(N32)),"",IF(K32="A",MIN(Parameters!$B$8,N32+Parameters!$B$6),IF(K32="B",MAX(Parameters!$B$7,N32-Parameters!$B$6),N32)))</f>
        <v>3.6851833313863241E-2</v>
      </c>
      <c r="P32" s="22">
        <f t="shared" si="4"/>
        <v>20481.465700000004</v>
      </c>
      <c r="Q32" s="22">
        <f t="shared" si="5"/>
        <v>0</v>
      </c>
      <c r="R32" s="22">
        <f t="shared" si="6"/>
        <v>7547.795600000074</v>
      </c>
      <c r="S32" s="22">
        <f t="shared" si="7"/>
        <v>197266.86139999997</v>
      </c>
      <c r="T32" s="21">
        <f t="shared" si="8"/>
        <v>3.6851833313863241E-2</v>
      </c>
      <c r="U32" s="19" t="e">
        <f t="shared" si="9"/>
        <v>#VALUE!</v>
      </c>
      <c r="V32" s="35" t="s">
        <v>96</v>
      </c>
    </row>
    <row r="33" spans="1:22">
      <c r="A33" s="4">
        <v>43409</v>
      </c>
      <c r="B33" s="5">
        <v>9.9399999999999992E-3</v>
      </c>
      <c r="C33" s="5">
        <v>9.9399999999999992E-3</v>
      </c>
      <c r="D33" s="6">
        <f t="shared" si="0"/>
        <v>9.9399999999999992E-3</v>
      </c>
      <c r="E33" s="8">
        <f t="shared" si="11"/>
        <v>12</v>
      </c>
      <c r="F33" s="9">
        <f t="shared" si="12"/>
        <v>0.89385443301892653</v>
      </c>
      <c r="G33" s="9">
        <f t="shared" si="13"/>
        <v>1.1061455669810734</v>
      </c>
      <c r="H33" s="9">
        <f t="shared" si="1"/>
        <v>-0.21229113396214683</v>
      </c>
      <c r="I33" t="str">
        <f t="shared" si="2"/>
        <v>B</v>
      </c>
      <c r="J33">
        <f t="shared" si="10"/>
        <v>5</v>
      </c>
      <c r="K33" t="str">
        <f>IF(I33="","",IF(J33&gt;=Parameters!$B$5,I33,"HOLD"))</f>
        <v>B</v>
      </c>
      <c r="L33" s="10">
        <f>'Actual Calc'!T33</f>
        <v>8530.8616000000748</v>
      </c>
      <c r="M33" s="10">
        <f>'Actual Calc'!U33</f>
        <v>223398.12739999997</v>
      </c>
      <c r="N33" s="12">
        <f t="shared" si="3"/>
        <v>3.6782213542094447E-2</v>
      </c>
      <c r="O33" s="12">
        <f>IF(NOT(ISNUMBER(N33)),"",IF(K33="A",MIN(Parameters!$B$8,N33+Parameters!$B$6),IF(K33="B",MAX(Parameters!$B$7,N33-Parameters!$B$6),N33)))</f>
        <v>0</v>
      </c>
      <c r="P33" s="13">
        <f t="shared" si="4"/>
        <v>8530.8616000000748</v>
      </c>
      <c r="Q33" s="13">
        <f t="shared" si="5"/>
        <v>0</v>
      </c>
      <c r="R33" s="13">
        <f t="shared" si="6"/>
        <v>0</v>
      </c>
      <c r="S33" s="13">
        <f t="shared" si="7"/>
        <v>231928.98900000003</v>
      </c>
      <c r="T33" s="12">
        <f t="shared" si="8"/>
        <v>0</v>
      </c>
      <c r="U33" t="e">
        <f t="shared" si="9"/>
        <v>#VALUE!</v>
      </c>
      <c r="V33" s="25" t="s">
        <v>95</v>
      </c>
    </row>
    <row r="34" spans="1:22">
      <c r="A34" s="14">
        <v>43416</v>
      </c>
      <c r="B34" s="15">
        <v>-3.0880000000000001E-2</v>
      </c>
      <c r="C34" s="15">
        <v>0</v>
      </c>
      <c r="D34" s="16">
        <f t="shared" si="0"/>
        <v>-1.5440000000000001E-2</v>
      </c>
      <c r="E34" s="17">
        <f t="shared" si="11"/>
        <v>12</v>
      </c>
      <c r="F34" s="18">
        <f t="shared" si="12"/>
        <v>0.89385443301892653</v>
      </c>
      <c r="G34" s="18">
        <f t="shared" si="13"/>
        <v>1.1061455669810734</v>
      </c>
      <c r="H34" s="18">
        <f t="shared" si="1"/>
        <v>-0.21229113396214683</v>
      </c>
      <c r="I34" s="19" t="str">
        <f t="shared" si="2"/>
        <v>B</v>
      </c>
      <c r="J34" s="19">
        <f t="shared" si="10"/>
        <v>6</v>
      </c>
      <c r="K34" s="19" t="str">
        <f>IF(I34="","",IF(J34&gt;=Parameters!$B$5,I34,"HOLD"))</f>
        <v>B</v>
      </c>
      <c r="L34" s="20">
        <f>'Actual Calc'!T34</f>
        <v>0</v>
      </c>
      <c r="M34" s="20">
        <f>'Actual Calc'!U34</f>
        <v>231928.98900000003</v>
      </c>
      <c r="N34" s="21">
        <f t="shared" si="3"/>
        <v>0</v>
      </c>
      <c r="O34" s="21">
        <f>IF(NOT(ISNUMBER(N34)),"",IF(K34="A",MIN(Parameters!$B$8,N34+Parameters!$B$6),IF(K34="B",MAX(Parameters!$B$7,N34-Parameters!$B$6),N34)))</f>
        <v>0</v>
      </c>
      <c r="P34" s="22">
        <f t="shared" si="4"/>
        <v>0</v>
      </c>
      <c r="Q34" s="22">
        <f t="shared" si="5"/>
        <v>0</v>
      </c>
      <c r="R34" s="22">
        <f t="shared" si="6"/>
        <v>0</v>
      </c>
      <c r="S34" s="22">
        <f t="shared" si="7"/>
        <v>231928.98900000003</v>
      </c>
      <c r="T34" s="21">
        <f t="shared" si="8"/>
        <v>0</v>
      </c>
      <c r="U34" s="19" t="str">
        <f t="shared" si="9"/>
        <v>No transfer</v>
      </c>
      <c r="V34" s="35" t="s">
        <v>96</v>
      </c>
    </row>
    <row r="35" spans="1:22">
      <c r="A35" s="4">
        <v>43423</v>
      </c>
      <c r="B35" s="5">
        <v>-5.4190000000000002E-2</v>
      </c>
      <c r="C35" s="5">
        <v>0</v>
      </c>
      <c r="D35" s="6">
        <f t="shared" si="0"/>
        <v>-2.7095000000000001E-2</v>
      </c>
      <c r="E35" s="8">
        <f t="shared" si="11"/>
        <v>12</v>
      </c>
      <c r="F35" s="9">
        <f t="shared" si="12"/>
        <v>0.89385443301892653</v>
      </c>
      <c r="G35" s="9">
        <f t="shared" si="13"/>
        <v>1.1061455669810734</v>
      </c>
      <c r="H35" s="9">
        <f t="shared" si="1"/>
        <v>-0.21229113396214683</v>
      </c>
      <c r="I35" t="str">
        <f t="shared" si="2"/>
        <v>B</v>
      </c>
      <c r="J35">
        <f t="shared" si="10"/>
        <v>7</v>
      </c>
      <c r="K35" t="str">
        <f>IF(I35="","",IF(J35&gt;=Parameters!$B$5,I35,"HOLD"))</f>
        <v>B</v>
      </c>
      <c r="L35" s="10">
        <f>'Actual Calc'!T35</f>
        <v>0</v>
      </c>
      <c r="M35" s="10">
        <f>'Actual Calc'!U35</f>
        <v>231928.98900000003</v>
      </c>
      <c r="N35" s="12">
        <f t="shared" si="3"/>
        <v>0</v>
      </c>
      <c r="O35" s="12">
        <f>IF(NOT(ISNUMBER(N35)),"",IF(K35="A",MIN(Parameters!$B$8,N35+Parameters!$B$6),IF(K35="B",MAX(Parameters!$B$7,N35-Parameters!$B$6),N35)))</f>
        <v>0</v>
      </c>
      <c r="P35" s="13">
        <f t="shared" si="4"/>
        <v>0</v>
      </c>
      <c r="Q35" s="13">
        <f t="shared" si="5"/>
        <v>0</v>
      </c>
      <c r="R35" s="13">
        <f t="shared" si="6"/>
        <v>0</v>
      </c>
      <c r="S35" s="13">
        <f t="shared" si="7"/>
        <v>231928.98900000003</v>
      </c>
      <c r="T35" s="12">
        <f t="shared" si="8"/>
        <v>0</v>
      </c>
      <c r="U35" t="str">
        <f t="shared" si="9"/>
        <v>No transfer</v>
      </c>
      <c r="V35" s="25" t="s">
        <v>96</v>
      </c>
    </row>
    <row r="36" spans="1:22">
      <c r="A36" s="14">
        <v>43430</v>
      </c>
      <c r="B36" s="15">
        <v>1.0500000000000001E-2</v>
      </c>
      <c r="C36" s="15">
        <v>0</v>
      </c>
      <c r="D36" s="16">
        <f t="shared" si="0"/>
        <v>5.2500000000000003E-3</v>
      </c>
      <c r="E36" s="17">
        <f t="shared" si="11"/>
        <v>12</v>
      </c>
      <c r="F36" s="18">
        <f t="shared" si="12"/>
        <v>0.77751975062848067</v>
      </c>
      <c r="G36" s="18">
        <f t="shared" si="13"/>
        <v>1.2224802493715203</v>
      </c>
      <c r="H36" s="18">
        <f t="shared" si="1"/>
        <v>-0.44496049874303967</v>
      </c>
      <c r="I36" s="19" t="str">
        <f t="shared" si="2"/>
        <v>B</v>
      </c>
      <c r="J36" s="19">
        <f t="shared" si="10"/>
        <v>8</v>
      </c>
      <c r="K36" s="19" t="str">
        <f>IF(I36="","",IF(J36&gt;=Parameters!$B$5,I36,"HOLD"))</f>
        <v>B</v>
      </c>
      <c r="L36" s="20">
        <f>'Actual Calc'!T36</f>
        <v>0</v>
      </c>
      <c r="M36" s="20">
        <f>'Actual Calc'!U36</f>
        <v>231928.98900000003</v>
      </c>
      <c r="N36" s="21">
        <f t="shared" si="3"/>
        <v>0</v>
      </c>
      <c r="O36" s="21">
        <f>IF(NOT(ISNUMBER(N36)),"",IF(K36="A",MIN(Parameters!$B$8,N36+Parameters!$B$6),IF(K36="B",MAX(Parameters!$B$7,N36-Parameters!$B$6),N36)))</f>
        <v>0</v>
      </c>
      <c r="P36" s="22">
        <f t="shared" si="4"/>
        <v>0</v>
      </c>
      <c r="Q36" s="22">
        <f t="shared" si="5"/>
        <v>0</v>
      </c>
      <c r="R36" s="22">
        <f t="shared" si="6"/>
        <v>0</v>
      </c>
      <c r="S36" s="22">
        <f t="shared" si="7"/>
        <v>231928.98900000003</v>
      </c>
      <c r="T36" s="21">
        <f t="shared" si="8"/>
        <v>0</v>
      </c>
      <c r="U36" s="19" t="str">
        <f t="shared" si="9"/>
        <v>No transfer</v>
      </c>
      <c r="V36" s="35" t="s">
        <v>96</v>
      </c>
    </row>
    <row r="37" spans="1:22">
      <c r="A37" s="4">
        <v>43437</v>
      </c>
      <c r="B37" s="5">
        <v>-3.7359999999999997E-2</v>
      </c>
      <c r="C37" s="5">
        <v>0</v>
      </c>
      <c r="D37" s="6">
        <f t="shared" si="0"/>
        <v>-1.8679999999999999E-2</v>
      </c>
      <c r="E37" s="8">
        <f t="shared" si="11"/>
        <v>11</v>
      </c>
      <c r="F37" s="9">
        <f t="shared" si="12"/>
        <v>0.74599661793906513</v>
      </c>
      <c r="G37" s="9">
        <f t="shared" si="13"/>
        <v>1.254003382060936</v>
      </c>
      <c r="H37" s="9">
        <f t="shared" si="1"/>
        <v>-0.50800676412187085</v>
      </c>
      <c r="I37" t="str">
        <f t="shared" si="2"/>
        <v>B</v>
      </c>
      <c r="J37">
        <f t="shared" si="10"/>
        <v>9</v>
      </c>
      <c r="K37" t="str">
        <f>IF(I37="","",IF(J37&gt;=Parameters!$B$5,I37,"HOLD"))</f>
        <v>B</v>
      </c>
      <c r="L37" s="10">
        <f>'Actual Calc'!T37</f>
        <v>0</v>
      </c>
      <c r="M37" s="10">
        <f>'Actual Calc'!U37</f>
        <v>231928.98900000003</v>
      </c>
      <c r="N37" s="12">
        <f t="shared" si="3"/>
        <v>0</v>
      </c>
      <c r="O37" s="12">
        <f>IF(NOT(ISNUMBER(N37)),"",IF(K37="A",MIN(Parameters!$B$8,N37+Parameters!$B$6),IF(K37="B",MAX(Parameters!$B$7,N37-Parameters!$B$6),N37)))</f>
        <v>0</v>
      </c>
      <c r="P37" s="13">
        <f t="shared" si="4"/>
        <v>0</v>
      </c>
      <c r="Q37" s="13">
        <f t="shared" si="5"/>
        <v>0</v>
      </c>
      <c r="R37" s="13">
        <f t="shared" si="6"/>
        <v>0</v>
      </c>
      <c r="S37" s="13">
        <f t="shared" si="7"/>
        <v>231928.98900000003</v>
      </c>
      <c r="T37" s="12">
        <f t="shared" si="8"/>
        <v>0</v>
      </c>
      <c r="U37" t="str">
        <f t="shared" si="9"/>
        <v>No transfer</v>
      </c>
      <c r="V37" s="25" t="s">
        <v>96</v>
      </c>
    </row>
    <row r="38" spans="1:22">
      <c r="A38" s="14">
        <v>43444</v>
      </c>
      <c r="B38" s="15">
        <v>1.346E-2</v>
      </c>
      <c r="C38" s="15">
        <v>-6.8700000000000002E-3</v>
      </c>
      <c r="D38" s="16">
        <f t="shared" si="0"/>
        <v>3.2949999999999998E-3</v>
      </c>
      <c r="E38" s="17">
        <f t="shared" si="11"/>
        <v>11</v>
      </c>
      <c r="F38" s="18">
        <f t="shared" si="12"/>
        <v>0.55350216892076498</v>
      </c>
      <c r="G38" s="18">
        <f t="shared" si="13"/>
        <v>1.4464978310792374</v>
      </c>
      <c r="H38" s="18">
        <f t="shared" si="1"/>
        <v>-0.89299566215847237</v>
      </c>
      <c r="I38" s="19" t="str">
        <f t="shared" si="2"/>
        <v>B</v>
      </c>
      <c r="J38" s="19">
        <f t="shared" si="10"/>
        <v>10</v>
      </c>
      <c r="K38" s="19" t="str">
        <f>IF(I38="","",IF(J38&gt;=Parameters!$B$5,I38,"HOLD"))</f>
        <v>B</v>
      </c>
      <c r="L38" s="20">
        <f>'Actual Calc'!T38</f>
        <v>0</v>
      </c>
      <c r="M38" s="20">
        <f>'Actual Calc'!U38</f>
        <v>210692.44500000004</v>
      </c>
      <c r="N38" s="21">
        <f t="shared" si="3"/>
        <v>0</v>
      </c>
      <c r="O38" s="21">
        <f>IF(NOT(ISNUMBER(N38)),"",IF(K38="A",MIN(Parameters!$B$8,N38+Parameters!$B$6),IF(K38="B",MAX(Parameters!$B$7,N38-Parameters!$B$6),N38)))</f>
        <v>0</v>
      </c>
      <c r="P38" s="22">
        <f t="shared" si="4"/>
        <v>0</v>
      </c>
      <c r="Q38" s="22">
        <f t="shared" si="5"/>
        <v>0</v>
      </c>
      <c r="R38" s="22">
        <f t="shared" si="6"/>
        <v>0</v>
      </c>
      <c r="S38" s="22">
        <f t="shared" si="7"/>
        <v>210692.44500000004</v>
      </c>
      <c r="T38" s="21">
        <f t="shared" si="8"/>
        <v>0</v>
      </c>
      <c r="U38" s="19" t="str">
        <f t="shared" si="9"/>
        <v>No transfer</v>
      </c>
      <c r="V38" s="35" t="s">
        <v>95</v>
      </c>
    </row>
    <row r="39" spans="1:22">
      <c r="A39" s="4">
        <v>43451</v>
      </c>
      <c r="B39" s="5">
        <v>-4.0000000000000001E-3</v>
      </c>
      <c r="C39" s="5">
        <v>-1.9220000000000001E-2</v>
      </c>
      <c r="D39" s="6">
        <f t="shared" si="0"/>
        <v>-1.1610000000000001E-2</v>
      </c>
      <c r="E39" s="8">
        <f t="shared" si="11"/>
        <v>11</v>
      </c>
      <c r="F39" s="9">
        <f t="shared" si="12"/>
        <v>0.55350216892076498</v>
      </c>
      <c r="G39" s="9">
        <f t="shared" si="13"/>
        <v>1.4464978310792374</v>
      </c>
      <c r="H39" s="9">
        <f t="shared" si="1"/>
        <v>-0.89299566215847237</v>
      </c>
      <c r="I39" t="str">
        <f t="shared" si="2"/>
        <v>B</v>
      </c>
      <c r="J39">
        <f t="shared" si="10"/>
        <v>11</v>
      </c>
      <c r="K39" t="str">
        <f>IF(I39="","",IF(J39&gt;=Parameters!$B$5,I39,"HOLD"))</f>
        <v>B</v>
      </c>
      <c r="L39" s="10">
        <f>'Actual Calc'!T39</f>
        <v>0</v>
      </c>
      <c r="M39" s="10">
        <f>'Actual Calc'!U39</f>
        <v>156716.91900000002</v>
      </c>
      <c r="N39" s="12">
        <f t="shared" si="3"/>
        <v>0</v>
      </c>
      <c r="O39" s="12">
        <f>IF(NOT(ISNUMBER(N39)),"",IF(K39="A",MIN(Parameters!$B$8,N39+Parameters!$B$6),IF(K39="B",MAX(Parameters!$B$7,N39-Parameters!$B$6),N39)))</f>
        <v>0</v>
      </c>
      <c r="P39" s="13">
        <f t="shared" si="4"/>
        <v>0</v>
      </c>
      <c r="Q39" s="13">
        <f t="shared" si="5"/>
        <v>0</v>
      </c>
      <c r="R39" s="13">
        <f t="shared" si="6"/>
        <v>0</v>
      </c>
      <c r="S39" s="13">
        <f t="shared" si="7"/>
        <v>156716.91900000002</v>
      </c>
      <c r="T39" s="12">
        <f t="shared" si="8"/>
        <v>0</v>
      </c>
      <c r="U39" t="str">
        <f t="shared" si="9"/>
        <v>No transfer</v>
      </c>
      <c r="V39" s="25" t="s">
        <v>95</v>
      </c>
    </row>
    <row r="40" spans="1:22">
      <c r="A40" s="14">
        <v>43458</v>
      </c>
      <c r="B40" s="15">
        <v>4.5260000000000002E-2</v>
      </c>
      <c r="C40" s="15">
        <v>-5.9899999999999997E-3</v>
      </c>
      <c r="D40" s="16">
        <f t="shared" si="0"/>
        <v>1.9635E-2</v>
      </c>
      <c r="E40" s="17">
        <f t="shared" si="11"/>
        <v>12</v>
      </c>
      <c r="F40" s="18">
        <f t="shared" si="12"/>
        <v>1.3127656168710913</v>
      </c>
      <c r="G40" s="18">
        <f t="shared" si="13"/>
        <v>0.68723438312891072</v>
      </c>
      <c r="H40" s="18">
        <f t="shared" si="1"/>
        <v>0.62553123374218056</v>
      </c>
      <c r="I40" s="19" t="str">
        <f t="shared" si="2"/>
        <v>A</v>
      </c>
      <c r="J40" s="19">
        <f t="shared" si="10"/>
        <v>1</v>
      </c>
      <c r="K40" s="19" t="str">
        <f>IF(I40="","",IF(J40&gt;=Parameters!$B$5,I40,"HOLD"))</f>
        <v>HOLD</v>
      </c>
      <c r="L40" s="20">
        <f>'Actual Calc'!T40</f>
        <v>0</v>
      </c>
      <c r="M40" s="20">
        <f>'Actual Calc'!U40</f>
        <v>144207.40300000002</v>
      </c>
      <c r="N40" s="21">
        <f t="shared" si="3"/>
        <v>0</v>
      </c>
      <c r="O40" s="21">
        <f>IF(NOT(ISNUMBER(N40)),"",IF(K40="A",MIN(Parameters!$B$8,N40+Parameters!$B$6),IF(K40="B",MAX(Parameters!$B$7,N40-Parameters!$B$6),N40)))</f>
        <v>0</v>
      </c>
      <c r="P40" s="22">
        <f t="shared" si="4"/>
        <v>0</v>
      </c>
      <c r="Q40" s="22">
        <f t="shared" si="5"/>
        <v>0</v>
      </c>
      <c r="R40" s="22">
        <f t="shared" si="6"/>
        <v>0</v>
      </c>
      <c r="S40" s="22">
        <f t="shared" si="7"/>
        <v>144207.40300000002</v>
      </c>
      <c r="T40" s="21">
        <f t="shared" si="8"/>
        <v>0</v>
      </c>
      <c r="U40" s="19" t="str">
        <f t="shared" si="9"/>
        <v>No transfer</v>
      </c>
      <c r="V40" s="35" t="s">
        <v>95</v>
      </c>
    </row>
    <row r="41" spans="1:22">
      <c r="A41" s="4">
        <v>43465</v>
      </c>
      <c r="B41" s="5">
        <v>-1.8749999999999999E-2</v>
      </c>
      <c r="C41" s="5">
        <v>0</v>
      </c>
      <c r="D41" s="6">
        <f t="shared" si="0"/>
        <v>-9.3749999999999997E-3</v>
      </c>
      <c r="E41" s="8">
        <f t="shared" si="11"/>
        <v>11</v>
      </c>
      <c r="F41" s="9">
        <f t="shared" si="12"/>
        <v>1.3551952325898045</v>
      </c>
      <c r="G41" s="9">
        <f t="shared" si="13"/>
        <v>0.64480476741019666</v>
      </c>
      <c r="H41" s="9">
        <f t="shared" si="1"/>
        <v>0.7103904651796078</v>
      </c>
      <c r="I41" t="str">
        <f t="shared" si="2"/>
        <v>A</v>
      </c>
      <c r="J41">
        <f t="shared" si="10"/>
        <v>2</v>
      </c>
      <c r="K41" t="str">
        <f>IF(I41="","",IF(J41&gt;=Parameters!$B$5,I41,"HOLD"))</f>
        <v>HOLD</v>
      </c>
      <c r="L41" s="10">
        <f>'Actual Calc'!T41</f>
        <v>0</v>
      </c>
      <c r="M41" s="10">
        <f>'Actual Calc'!U41</f>
        <v>144207.40300000002</v>
      </c>
      <c r="N41" s="12">
        <f t="shared" si="3"/>
        <v>0</v>
      </c>
      <c r="O41" s="12">
        <f>IF(NOT(ISNUMBER(N41)),"",IF(K41="A",MIN(Parameters!$B$8,N41+Parameters!$B$6),IF(K41="B",MAX(Parameters!$B$7,N41-Parameters!$B$6),N41)))</f>
        <v>0</v>
      </c>
      <c r="P41" s="13">
        <f t="shared" si="4"/>
        <v>0</v>
      </c>
      <c r="Q41" s="13">
        <f t="shared" si="5"/>
        <v>0</v>
      </c>
      <c r="R41" s="13">
        <f t="shared" si="6"/>
        <v>0</v>
      </c>
      <c r="S41" s="13">
        <f t="shared" si="7"/>
        <v>144207.40300000002</v>
      </c>
      <c r="T41" s="12">
        <f t="shared" si="8"/>
        <v>0</v>
      </c>
      <c r="U41" t="str">
        <f t="shared" si="9"/>
        <v>No transfer</v>
      </c>
      <c r="V41" s="25" t="s">
        <v>96</v>
      </c>
    </row>
    <row r="42" spans="1:22">
      <c r="A42" s="14">
        <v>43472</v>
      </c>
      <c r="B42" s="15">
        <v>1.018E-2</v>
      </c>
      <c r="C42" s="15">
        <v>1.018E-2</v>
      </c>
      <c r="D42" s="16">
        <f t="shared" si="0"/>
        <v>1.018E-2</v>
      </c>
      <c r="E42" s="17">
        <f t="shared" si="11"/>
        <v>11</v>
      </c>
      <c r="F42" s="18">
        <f t="shared" si="12"/>
        <v>1.518038360145874</v>
      </c>
      <c r="G42" s="18">
        <f t="shared" si="13"/>
        <v>0.4819616398541281</v>
      </c>
      <c r="H42" s="18">
        <f t="shared" si="1"/>
        <v>1.0360767202917458</v>
      </c>
      <c r="I42" s="19" t="str">
        <f t="shared" si="2"/>
        <v>A</v>
      </c>
      <c r="J42" s="19">
        <f t="shared" si="10"/>
        <v>3</v>
      </c>
      <c r="K42" s="19" t="str">
        <f>IF(I42="","",IF(J42&gt;=Parameters!$B$5,I42,"HOLD"))</f>
        <v>A</v>
      </c>
      <c r="L42" s="20">
        <f>'Actual Calc'!T42</f>
        <v>0</v>
      </c>
      <c r="M42" s="20">
        <f>'Actual Calc'!U42</f>
        <v>163758.09300000002</v>
      </c>
      <c r="N42" s="21">
        <f t="shared" si="3"/>
        <v>0</v>
      </c>
      <c r="O42" s="21">
        <f>IF(NOT(ISNUMBER(N42)),"",IF(K42="A",MIN(Parameters!$B$8,N42+Parameters!$B$6),IF(K42="B",MAX(Parameters!$B$7,N42-Parameters!$B$6),N42)))</f>
        <v>0.1</v>
      </c>
      <c r="P42" s="22">
        <f t="shared" si="4"/>
        <v>0</v>
      </c>
      <c r="Q42" s="22">
        <f t="shared" si="5"/>
        <v>16375.809300000003</v>
      </c>
      <c r="R42" s="22">
        <f t="shared" si="6"/>
        <v>16375.809300000003</v>
      </c>
      <c r="S42" s="22">
        <f t="shared" si="7"/>
        <v>147382.28370000003</v>
      </c>
      <c r="T42" s="21">
        <f t="shared" si="8"/>
        <v>0.1</v>
      </c>
      <c r="U42" s="19" t="e">
        <f t="shared" si="9"/>
        <v>#VALUE!</v>
      </c>
      <c r="V42" s="35" t="s">
        <v>95</v>
      </c>
    </row>
    <row r="43" spans="1:22">
      <c r="A43" s="4">
        <v>43479</v>
      </c>
      <c r="B43" s="5">
        <v>3.78E-2</v>
      </c>
      <c r="C43" s="5">
        <v>3.78E-2</v>
      </c>
      <c r="D43" s="6">
        <f t="shared" si="0"/>
        <v>3.78E-2</v>
      </c>
      <c r="E43" s="8">
        <f t="shared" si="11"/>
        <v>12</v>
      </c>
      <c r="F43" s="9">
        <f t="shared" si="12"/>
        <v>1.0480887156050203</v>
      </c>
      <c r="G43" s="9">
        <f t="shared" si="13"/>
        <v>0.95191128439498041</v>
      </c>
      <c r="H43" s="9">
        <f t="shared" si="1"/>
        <v>9.6177431210039854E-2</v>
      </c>
      <c r="I43" t="str">
        <f t="shared" si="2"/>
        <v>A</v>
      </c>
      <c r="J43">
        <f t="shared" si="10"/>
        <v>4</v>
      </c>
      <c r="K43" t="str">
        <f>IF(I43="","",IF(J43&gt;=Parameters!$B$5,I43,"HOLD"))</f>
        <v>A</v>
      </c>
      <c r="L43" s="10">
        <f>'Actual Calc'!T43</f>
        <v>24548.169300000001</v>
      </c>
      <c r="M43" s="10">
        <f>'Actual Calc'!U43</f>
        <v>221629.04370000004</v>
      </c>
      <c r="N43" s="12">
        <f t="shared" si="3"/>
        <v>9.9717471819782105E-2</v>
      </c>
      <c r="O43" s="12">
        <f>IF(NOT(ISNUMBER(N43)),"",IF(K43="A",MIN(Parameters!$B$8,N43+Parameters!$B$6),IF(K43="B",MAX(Parameters!$B$7,N43-Parameters!$B$6),N43)))</f>
        <v>0.19971747181978211</v>
      </c>
      <c r="P43" s="13">
        <f t="shared" si="4"/>
        <v>0</v>
      </c>
      <c r="Q43" s="13">
        <f t="shared" si="5"/>
        <v>24617.721300000005</v>
      </c>
      <c r="R43" s="13">
        <f t="shared" si="6"/>
        <v>49165.890600000006</v>
      </c>
      <c r="S43" s="13">
        <f t="shared" si="7"/>
        <v>197011.32240000003</v>
      </c>
      <c r="T43" s="12">
        <f t="shared" si="8"/>
        <v>0.19971747181978211</v>
      </c>
      <c r="U43" t="e">
        <f t="shared" si="9"/>
        <v>#VALUE!</v>
      </c>
      <c r="V43" s="25" t="s">
        <v>95</v>
      </c>
    </row>
    <row r="44" spans="1:22">
      <c r="A44" s="14">
        <v>43486</v>
      </c>
      <c r="B44" s="15">
        <v>-1.149E-2</v>
      </c>
      <c r="C44" s="15">
        <v>-1.149E-2</v>
      </c>
      <c r="D44" s="16">
        <f t="shared" si="0"/>
        <v>-1.149E-2</v>
      </c>
      <c r="E44" s="17">
        <f t="shared" si="11"/>
        <v>11</v>
      </c>
      <c r="F44" s="18">
        <f t="shared" si="12"/>
        <v>1.0416344386577807</v>
      </c>
      <c r="G44" s="18">
        <f t="shared" si="13"/>
        <v>0.95836556134221906</v>
      </c>
      <c r="H44" s="18">
        <f t="shared" si="1"/>
        <v>8.3268877315561651E-2</v>
      </c>
      <c r="I44" s="19" t="str">
        <f t="shared" si="2"/>
        <v>A</v>
      </c>
      <c r="J44" s="19">
        <f t="shared" si="10"/>
        <v>5</v>
      </c>
      <c r="K44" s="19" t="str">
        <f>IF(I44="","",IF(J44&gt;=Parameters!$B$5,I44,"HOLD"))</f>
        <v>A</v>
      </c>
      <c r="L44" s="20">
        <f>'Actual Calc'!T44</f>
        <v>41634.195600000006</v>
      </c>
      <c r="M44" s="20">
        <f>'Actual Calc'!U44</f>
        <v>166831.68840000004</v>
      </c>
      <c r="N44" s="21">
        <f t="shared" si="3"/>
        <v>0.19971707025212815</v>
      </c>
      <c r="O44" s="21">
        <f>IF(NOT(ISNUMBER(N44)),"",IF(K44="A",MIN(Parameters!$B$8,N44+Parameters!$B$6),IF(K44="B",MAX(Parameters!$B$7,N44-Parameters!$B$6),N44)))</f>
        <v>0.29971707025212813</v>
      </c>
      <c r="P44" s="22">
        <f t="shared" si="4"/>
        <v>0</v>
      </c>
      <c r="Q44" s="22">
        <f t="shared" si="5"/>
        <v>20846.588400000001</v>
      </c>
      <c r="R44" s="22">
        <f t="shared" si="6"/>
        <v>62480.784000000007</v>
      </c>
      <c r="S44" s="22">
        <f t="shared" si="7"/>
        <v>145985.10000000003</v>
      </c>
      <c r="T44" s="21">
        <f t="shared" si="8"/>
        <v>0.29971707025212813</v>
      </c>
      <c r="U44" s="19" t="e">
        <f t="shared" si="9"/>
        <v>#VALUE!</v>
      </c>
      <c r="V44" s="35" t="s">
        <v>95</v>
      </c>
    </row>
    <row r="45" spans="1:22">
      <c r="A45" s="4">
        <v>43493</v>
      </c>
      <c r="B45" s="5">
        <v>-2.0000000000000001E-4</v>
      </c>
      <c r="C45" s="5">
        <v>0</v>
      </c>
      <c r="D45" s="6">
        <f t="shared" si="0"/>
        <v>-1E-4</v>
      </c>
      <c r="E45" s="8">
        <f t="shared" si="11"/>
        <v>11</v>
      </c>
      <c r="F45" s="9">
        <f t="shared" si="12"/>
        <v>1.0416344386577807</v>
      </c>
      <c r="G45" s="9">
        <f t="shared" si="13"/>
        <v>0.95836556134221906</v>
      </c>
      <c r="H45" s="9">
        <f t="shared" si="1"/>
        <v>8.3268877315561651E-2</v>
      </c>
      <c r="I45" t="str">
        <f t="shared" si="2"/>
        <v>A</v>
      </c>
      <c r="J45">
        <f t="shared" si="10"/>
        <v>6</v>
      </c>
      <c r="K45" t="str">
        <f>IF(I45="","",IF(J45&gt;=Parameters!$B$5,I45,"HOLD"))</f>
        <v>A</v>
      </c>
      <c r="L45" s="10">
        <f>'Actual Calc'!T45</f>
        <v>62314.26400000001</v>
      </c>
      <c r="M45" s="10">
        <f>'Actual Calc'!U45</f>
        <v>145985.10000000003</v>
      </c>
      <c r="N45" s="12">
        <f t="shared" si="3"/>
        <v>0.29915724562653967</v>
      </c>
      <c r="O45" s="12">
        <f>IF(NOT(ISNUMBER(N45)),"",IF(K45="A",MIN(Parameters!$B$8,N45+Parameters!$B$6),IF(K45="B",MAX(Parameters!$B$7,N45-Parameters!$B$6),N45)))</f>
        <v>0.39915724562653965</v>
      </c>
      <c r="P45" s="13">
        <f t="shared" si="4"/>
        <v>0</v>
      </c>
      <c r="Q45" s="13">
        <f t="shared" si="5"/>
        <v>20829.936400000006</v>
      </c>
      <c r="R45" s="13">
        <f t="shared" si="6"/>
        <v>83144.200400000016</v>
      </c>
      <c r="S45" s="13">
        <f t="shared" si="7"/>
        <v>125155.16360000003</v>
      </c>
      <c r="T45" s="12">
        <f t="shared" si="8"/>
        <v>0.39915724562653965</v>
      </c>
      <c r="U45" t="e">
        <f t="shared" si="9"/>
        <v>#VALUE!</v>
      </c>
      <c r="V45" s="25" t="s">
        <v>96</v>
      </c>
    </row>
    <row r="46" spans="1:22">
      <c r="A46" s="14">
        <v>43500</v>
      </c>
      <c r="B46" s="15">
        <v>1.247E-2</v>
      </c>
      <c r="C46" s="15">
        <v>1.247E-2</v>
      </c>
      <c r="D46" s="16">
        <f t="shared" si="0"/>
        <v>1.247E-2</v>
      </c>
      <c r="E46" s="17">
        <f t="shared" si="11"/>
        <v>11</v>
      </c>
      <c r="F46" s="18">
        <f t="shared" si="12"/>
        <v>1.0052541395432113</v>
      </c>
      <c r="G46" s="18">
        <f t="shared" si="13"/>
        <v>0.99474586045678914</v>
      </c>
      <c r="H46" s="18">
        <f t="shared" si="1"/>
        <v>1.0508279086422156E-2</v>
      </c>
      <c r="I46" s="19" t="str">
        <f t="shared" si="2"/>
        <v>A</v>
      </c>
      <c r="J46" s="19">
        <f t="shared" si="10"/>
        <v>7</v>
      </c>
      <c r="K46" s="19" t="str">
        <f>IF(I46="","",IF(J46&gt;=Parameters!$B$5,I46,"HOLD"))</f>
        <v>A</v>
      </c>
      <c r="L46" s="20">
        <f>'Actual Calc'!T46</f>
        <v>96939.761400000018</v>
      </c>
      <c r="M46" s="20">
        <f>'Actual Calc'!U46</f>
        <v>145948.88860000003</v>
      </c>
      <c r="N46" s="21">
        <f t="shared" si="3"/>
        <v>0.39911194450625831</v>
      </c>
      <c r="O46" s="21">
        <f>IF(NOT(ISNUMBER(N46)),"",IF(K46="A",MIN(Parameters!$B$8,N46+Parameters!$B$6),IF(K46="B",MAX(Parameters!$B$7,N46-Parameters!$B$6),N46)))</f>
        <v>0.49911194450625829</v>
      </c>
      <c r="P46" s="22">
        <f t="shared" si="4"/>
        <v>0</v>
      </c>
      <c r="Q46" s="22">
        <f t="shared" si="5"/>
        <v>24288.865000000005</v>
      </c>
      <c r="R46" s="22">
        <f t="shared" si="6"/>
        <v>121228.62640000002</v>
      </c>
      <c r="S46" s="22">
        <f t="shared" si="7"/>
        <v>121660.02360000003</v>
      </c>
      <c r="T46" s="21">
        <f t="shared" si="8"/>
        <v>0.49911194450625829</v>
      </c>
      <c r="U46" s="19" t="e">
        <f t="shared" si="9"/>
        <v>#VALUE!</v>
      </c>
      <c r="V46" s="35" t="s">
        <v>95</v>
      </c>
    </row>
    <row r="47" spans="1:22">
      <c r="A47" s="4">
        <v>43507</v>
      </c>
      <c r="B47" s="5">
        <v>1.6830000000000001E-2</v>
      </c>
      <c r="C47" s="5">
        <v>1.6830000000000001E-2</v>
      </c>
      <c r="D47" s="6">
        <f t="shared" si="0"/>
        <v>1.6830000000000001E-2</v>
      </c>
      <c r="E47" s="8">
        <f t="shared" si="11"/>
        <v>12</v>
      </c>
      <c r="F47" s="9">
        <f t="shared" si="12"/>
        <v>0.99256742455042768</v>
      </c>
      <c r="G47" s="9">
        <f t="shared" si="13"/>
        <v>1.0074325754495741</v>
      </c>
      <c r="H47" s="9">
        <f t="shared" si="1"/>
        <v>-1.4865150899146418E-2</v>
      </c>
      <c r="I47" t="str">
        <f t="shared" si="2"/>
        <v>B</v>
      </c>
      <c r="J47">
        <f t="shared" si="10"/>
        <v>1</v>
      </c>
      <c r="K47" t="str">
        <f>IF(I47="","",IF(J47&gt;=Parameters!$B$5,I47,"HOLD"))</f>
        <v>HOLD</v>
      </c>
      <c r="L47" s="10">
        <f>'Actual Calc'!T47</f>
        <v>148402.34440000003</v>
      </c>
      <c r="M47" s="10">
        <f>'Actual Calc'!U47</f>
        <v>148949.86860000005</v>
      </c>
      <c r="N47" s="12">
        <f t="shared" si="3"/>
        <v>0.49907933390763087</v>
      </c>
      <c r="O47" s="12">
        <f>IF(NOT(ISNUMBER(N47)),"",IF(K47="A",MIN(Parameters!$B$8,N47+Parameters!$B$6),IF(K47="B",MAX(Parameters!$B$7,N47-Parameters!$B$6),N47)))</f>
        <v>0.49907933390763087</v>
      </c>
      <c r="P47" s="13">
        <f t="shared" si="4"/>
        <v>0</v>
      </c>
      <c r="Q47" s="13">
        <f t="shared" si="5"/>
        <v>0</v>
      </c>
      <c r="R47" s="13">
        <f t="shared" si="6"/>
        <v>148402.34440000003</v>
      </c>
      <c r="S47" s="13">
        <f t="shared" si="7"/>
        <v>148949.86860000005</v>
      </c>
      <c r="T47" s="12">
        <f t="shared" si="8"/>
        <v>0.49907933390763087</v>
      </c>
      <c r="U47" t="str">
        <f t="shared" si="9"/>
        <v>No transfer</v>
      </c>
      <c r="V47" s="25" t="s">
        <v>95</v>
      </c>
    </row>
    <row r="48" spans="1:22">
      <c r="A48" s="14">
        <v>43514</v>
      </c>
      <c r="B48" s="15">
        <v>-4.0000000000000001E-3</v>
      </c>
      <c r="C48" s="15">
        <v>-4.0000000000000001E-3</v>
      </c>
      <c r="D48" s="16">
        <f t="shared" si="0"/>
        <v>-4.0000000000000001E-3</v>
      </c>
      <c r="E48" s="17">
        <f t="shared" si="11"/>
        <v>11</v>
      </c>
      <c r="F48" s="18">
        <f t="shared" si="12"/>
        <v>0.98603450696264694</v>
      </c>
      <c r="G48" s="18">
        <f t="shared" si="13"/>
        <v>1.0139654930373541</v>
      </c>
      <c r="H48" s="18">
        <f t="shared" si="1"/>
        <v>-2.793098607470712E-2</v>
      </c>
      <c r="I48" s="19" t="str">
        <f t="shared" si="2"/>
        <v>B</v>
      </c>
      <c r="J48" s="19">
        <f t="shared" si="10"/>
        <v>2</v>
      </c>
      <c r="K48" s="19" t="str">
        <f>IF(I48="","",IF(J48&gt;=Parameters!$B$5,I48,"HOLD"))</f>
        <v>HOLD</v>
      </c>
      <c r="L48" s="20">
        <f>'Actual Calc'!T48</f>
        <v>140490.34440000003</v>
      </c>
      <c r="M48" s="20">
        <f>'Actual Calc'!U48</f>
        <v>141010.26860000004</v>
      </c>
      <c r="N48" s="21">
        <f t="shared" si="3"/>
        <v>0.4990765132010565</v>
      </c>
      <c r="O48" s="21">
        <f>IF(NOT(ISNUMBER(N48)),"",IF(K48="A",MIN(Parameters!$B$8,N48+Parameters!$B$6),IF(K48="B",MAX(Parameters!$B$7,N48-Parameters!$B$6),N48)))</f>
        <v>0.4990765132010565</v>
      </c>
      <c r="P48" s="22">
        <f t="shared" si="4"/>
        <v>0</v>
      </c>
      <c r="Q48" s="22">
        <f t="shared" si="5"/>
        <v>0</v>
      </c>
      <c r="R48" s="22">
        <f t="shared" si="6"/>
        <v>140490.34440000003</v>
      </c>
      <c r="S48" s="22">
        <f t="shared" si="7"/>
        <v>141010.26860000004</v>
      </c>
      <c r="T48" s="21">
        <f t="shared" si="8"/>
        <v>0.4990765132010565</v>
      </c>
      <c r="U48" s="19" t="str">
        <f t="shared" si="9"/>
        <v>No transfer</v>
      </c>
      <c r="V48" s="35" t="s">
        <v>95</v>
      </c>
    </row>
    <row r="49" spans="1:22">
      <c r="A49" s="4">
        <v>43521</v>
      </c>
      <c r="B49" s="5">
        <v>-4.3099999999999996E-3</v>
      </c>
      <c r="C49" s="5">
        <v>-4.3099999999999996E-3</v>
      </c>
      <c r="D49" s="6">
        <f t="shared" si="0"/>
        <v>-4.3099999999999996E-3</v>
      </c>
      <c r="E49" s="8">
        <f t="shared" si="11"/>
        <v>10</v>
      </c>
      <c r="F49" s="9">
        <f t="shared" si="12"/>
        <v>1.0018176985934115</v>
      </c>
      <c r="G49" s="9">
        <f t="shared" si="13"/>
        <v>0.99818230140658792</v>
      </c>
      <c r="H49" s="9">
        <f t="shared" si="1"/>
        <v>3.6353971868235968E-3</v>
      </c>
      <c r="I49" t="str">
        <f t="shared" si="2"/>
        <v>A</v>
      </c>
      <c r="J49">
        <f t="shared" si="10"/>
        <v>1</v>
      </c>
      <c r="K49" t="str">
        <f>IF(I49="","",IF(J49&gt;=Parameters!$B$5,I49,"HOLD"))</f>
        <v>HOLD</v>
      </c>
      <c r="L49" s="10">
        <f>'Actual Calc'!T49</f>
        <v>132421.16240000003</v>
      </c>
      <c r="M49" s="10">
        <f>'Actual Calc'!U49</f>
        <v>132911.34760000004</v>
      </c>
      <c r="N49" s="12">
        <f t="shared" si="3"/>
        <v>0.49907628130454124</v>
      </c>
      <c r="O49" s="12">
        <f>IF(NOT(ISNUMBER(N49)),"",IF(K49="A",MIN(Parameters!$B$8,N49+Parameters!$B$6),IF(K49="B",MAX(Parameters!$B$7,N49-Parameters!$B$6),N49)))</f>
        <v>0.49907628130454124</v>
      </c>
      <c r="P49" s="13">
        <f t="shared" si="4"/>
        <v>0</v>
      </c>
      <c r="Q49" s="13">
        <f t="shared" si="5"/>
        <v>0</v>
      </c>
      <c r="R49" s="13">
        <f t="shared" si="6"/>
        <v>132421.16240000003</v>
      </c>
      <c r="S49" s="13">
        <f t="shared" si="7"/>
        <v>132911.34760000004</v>
      </c>
      <c r="T49" s="12">
        <f t="shared" si="8"/>
        <v>0.49907628130454124</v>
      </c>
      <c r="U49" t="str">
        <f t="shared" si="9"/>
        <v>No transfer</v>
      </c>
      <c r="V49" s="25" t="s">
        <v>95</v>
      </c>
    </row>
    <row r="50" spans="1:22">
      <c r="A50" s="14">
        <v>43528</v>
      </c>
      <c r="B50" s="15">
        <v>-3.9699999999999996E-3</v>
      </c>
      <c r="C50" s="15">
        <v>-3.9699999999999996E-3</v>
      </c>
      <c r="D50" s="16">
        <f t="shared" si="0"/>
        <v>-3.9699999999999996E-3</v>
      </c>
      <c r="E50" s="17">
        <f t="shared" si="11"/>
        <v>10</v>
      </c>
      <c r="F50" s="18">
        <f t="shared" si="12"/>
        <v>1.0018176985934115</v>
      </c>
      <c r="G50" s="18">
        <f t="shared" si="13"/>
        <v>0.99818230140658792</v>
      </c>
      <c r="H50" s="18">
        <f t="shared" si="1"/>
        <v>3.6353971868235968E-3</v>
      </c>
      <c r="I50" s="19" t="str">
        <f t="shared" si="2"/>
        <v>A</v>
      </c>
      <c r="J50" s="19">
        <f t="shared" si="10"/>
        <v>2</v>
      </c>
      <c r="K50" s="19" t="str">
        <f>IF(I50="","",IF(J50&gt;=Parameters!$B$5,I50,"HOLD"))</f>
        <v>HOLD</v>
      </c>
      <c r="L50" s="20">
        <f>'Actual Calc'!T50</f>
        <v>125417.68540000003</v>
      </c>
      <c r="M50" s="20">
        <f>'Actual Calc'!U50</f>
        <v>125880.47760000004</v>
      </c>
      <c r="N50" s="21">
        <f t="shared" si="3"/>
        <v>0.49907919700949027</v>
      </c>
      <c r="O50" s="21">
        <f>IF(NOT(ISNUMBER(N50)),"",IF(K50="A",MIN(Parameters!$B$8,N50+Parameters!$B$6),IF(K50="B",MAX(Parameters!$B$7,N50-Parameters!$B$6),N50)))</f>
        <v>0.49907919700949027</v>
      </c>
      <c r="P50" s="22">
        <f t="shared" si="4"/>
        <v>0</v>
      </c>
      <c r="Q50" s="22">
        <f t="shared" si="5"/>
        <v>0</v>
      </c>
      <c r="R50" s="22">
        <f t="shared" si="6"/>
        <v>125417.68540000003</v>
      </c>
      <c r="S50" s="22">
        <f t="shared" si="7"/>
        <v>125880.47760000004</v>
      </c>
      <c r="T50" s="21">
        <f t="shared" si="8"/>
        <v>0.49907919700949027</v>
      </c>
      <c r="U50" s="19" t="str">
        <f t="shared" si="9"/>
        <v>No transfer</v>
      </c>
      <c r="V50" s="35" t="s">
        <v>95</v>
      </c>
    </row>
    <row r="51" spans="1:22">
      <c r="A51" s="4">
        <v>43535</v>
      </c>
      <c r="B51" s="5">
        <v>1.653E-2</v>
      </c>
      <c r="C51" s="5">
        <v>1.653E-2</v>
      </c>
      <c r="D51" s="6">
        <f t="shared" si="0"/>
        <v>1.653E-2</v>
      </c>
      <c r="E51" s="8">
        <f t="shared" si="11"/>
        <v>10</v>
      </c>
      <c r="F51" s="9">
        <f t="shared" si="12"/>
        <v>0.97418063398942289</v>
      </c>
      <c r="G51" s="9">
        <f t="shared" si="13"/>
        <v>1.0258193660105759</v>
      </c>
      <c r="H51" s="9">
        <f t="shared" si="1"/>
        <v>-5.1638732021152989E-2</v>
      </c>
      <c r="I51" t="str">
        <f t="shared" si="2"/>
        <v>B</v>
      </c>
      <c r="J51">
        <f t="shared" si="10"/>
        <v>1</v>
      </c>
      <c r="K51" t="str">
        <f>IF(I51="","",IF(J51&gt;=Parameters!$B$5,I51,"HOLD"))</f>
        <v>HOLD</v>
      </c>
      <c r="L51" s="10">
        <f>'Actual Calc'!T51</f>
        <v>153057.49840000004</v>
      </c>
      <c r="M51" s="10">
        <f>'Actual Calc'!U51</f>
        <v>153596.32860000004</v>
      </c>
      <c r="N51" s="12">
        <f t="shared" si="3"/>
        <v>0.49912143571585044</v>
      </c>
      <c r="O51" s="12">
        <f>IF(NOT(ISNUMBER(N51)),"",IF(K51="A",MIN(Parameters!$B$8,N51+Parameters!$B$6),IF(K51="B",MAX(Parameters!$B$7,N51-Parameters!$B$6),N51)))</f>
        <v>0.49912143571585044</v>
      </c>
      <c r="P51" s="13">
        <f t="shared" si="4"/>
        <v>0</v>
      </c>
      <c r="Q51" s="13">
        <f t="shared" si="5"/>
        <v>0</v>
      </c>
      <c r="R51" s="13">
        <f t="shared" si="6"/>
        <v>153057.49840000004</v>
      </c>
      <c r="S51" s="13">
        <f t="shared" si="7"/>
        <v>153596.32860000004</v>
      </c>
      <c r="T51" s="12">
        <f t="shared" si="8"/>
        <v>0.49912143571585044</v>
      </c>
      <c r="U51" t="str">
        <f t="shared" si="9"/>
        <v>No transfer</v>
      </c>
      <c r="V51" s="25" t="s">
        <v>95</v>
      </c>
    </row>
    <row r="52" spans="1:22">
      <c r="A52" s="14">
        <v>43542</v>
      </c>
      <c r="B52" s="15">
        <v>3.7699999999999999E-3</v>
      </c>
      <c r="C52" s="15">
        <v>3.7699999999999999E-3</v>
      </c>
      <c r="D52" s="16">
        <f t="shared" si="0"/>
        <v>3.7699999999999999E-3</v>
      </c>
      <c r="E52" s="17">
        <f t="shared" si="11"/>
        <v>11</v>
      </c>
      <c r="F52" s="18">
        <f t="shared" si="12"/>
        <v>1.0183430273531349</v>
      </c>
      <c r="G52" s="18">
        <f t="shared" si="13"/>
        <v>0.98165697264686425</v>
      </c>
      <c r="H52" s="18">
        <f t="shared" si="1"/>
        <v>3.6686054706270621E-2</v>
      </c>
      <c r="I52" s="19" t="str">
        <f t="shared" si="2"/>
        <v>A</v>
      </c>
      <c r="J52" s="19">
        <f t="shared" si="10"/>
        <v>1</v>
      </c>
      <c r="K52" s="19" t="str">
        <f>IF(I52="","",IF(J52&gt;=Parameters!$B$5,I52,"HOLD"))</f>
        <v>HOLD</v>
      </c>
      <c r="L52" s="20">
        <f>'Actual Calc'!T52</f>
        <v>160748.67540000004</v>
      </c>
      <c r="M52" s="20">
        <f>'Actual Calc'!U52</f>
        <v>161313.51860000004</v>
      </c>
      <c r="N52" s="21">
        <f t="shared" si="3"/>
        <v>0.4991230836612881</v>
      </c>
      <c r="O52" s="21">
        <f>IF(NOT(ISNUMBER(N52)),"",IF(K52="A",MIN(Parameters!$B$8,N52+Parameters!$B$6),IF(K52="B",MAX(Parameters!$B$7,N52-Parameters!$B$6),N52)))</f>
        <v>0.4991230836612881</v>
      </c>
      <c r="P52" s="22">
        <f t="shared" si="4"/>
        <v>0</v>
      </c>
      <c r="Q52" s="22">
        <f t="shared" si="5"/>
        <v>0</v>
      </c>
      <c r="R52" s="22">
        <f t="shared" si="6"/>
        <v>160748.67540000004</v>
      </c>
      <c r="S52" s="22">
        <f t="shared" si="7"/>
        <v>161313.51860000004</v>
      </c>
      <c r="T52" s="21">
        <f t="shared" si="8"/>
        <v>0.4991230836612881</v>
      </c>
      <c r="U52" s="19" t="str">
        <f t="shared" si="9"/>
        <v>No transfer</v>
      </c>
      <c r="V52" s="35" t="s">
        <v>95</v>
      </c>
    </row>
    <row r="53" spans="1:22">
      <c r="A53" s="4">
        <v>43549</v>
      </c>
      <c r="B53" s="5">
        <v>-4.6800000000000001E-3</v>
      </c>
      <c r="C53" s="5">
        <v>-4.6800000000000001E-3</v>
      </c>
      <c r="D53" s="6">
        <f t="shared" si="0"/>
        <v>-4.6800000000000001E-3</v>
      </c>
      <c r="E53" s="8">
        <f t="shared" si="11"/>
        <v>10</v>
      </c>
      <c r="F53" s="9">
        <f t="shared" si="12"/>
        <v>1.0077557224816793</v>
      </c>
      <c r="G53" s="9">
        <f t="shared" si="13"/>
        <v>0.99224427751831923</v>
      </c>
      <c r="H53" s="9">
        <f t="shared" si="1"/>
        <v>1.5511444963360099E-2</v>
      </c>
      <c r="I53" t="str">
        <f t="shared" si="2"/>
        <v>A</v>
      </c>
      <c r="J53">
        <f t="shared" si="10"/>
        <v>2</v>
      </c>
      <c r="K53" t="str">
        <f>IF(I53="","",IF(J53&gt;=Parameters!$B$5,I53,"HOLD"))</f>
        <v>HOLD</v>
      </c>
      <c r="L53" s="10">
        <f>'Actual Calc'!T53</f>
        <v>150727.39140000002</v>
      </c>
      <c r="M53" s="10">
        <f>'Actual Calc'!U53</f>
        <v>151249.17860000004</v>
      </c>
      <c r="N53" s="12">
        <f t="shared" si="3"/>
        <v>0.49913604687939861</v>
      </c>
      <c r="O53" s="12">
        <f>IF(NOT(ISNUMBER(N53)),"",IF(K53="A",MIN(Parameters!$B$8,N53+Parameters!$B$6),IF(K53="B",MAX(Parameters!$B$7,N53-Parameters!$B$6),N53)))</f>
        <v>0.49913604687939861</v>
      </c>
      <c r="P53" s="13">
        <f t="shared" si="4"/>
        <v>0</v>
      </c>
      <c r="Q53" s="13">
        <f t="shared" si="5"/>
        <v>0</v>
      </c>
      <c r="R53" s="13">
        <f t="shared" si="6"/>
        <v>150727.39140000002</v>
      </c>
      <c r="S53" s="13">
        <f t="shared" si="7"/>
        <v>151249.17860000004</v>
      </c>
      <c r="T53" s="12">
        <f t="shared" si="8"/>
        <v>0.49913604687939861</v>
      </c>
      <c r="U53" t="str">
        <f t="shared" si="9"/>
        <v>No transfer</v>
      </c>
      <c r="V53" s="25" t="s">
        <v>95</v>
      </c>
    </row>
    <row r="54" spans="1:22">
      <c r="A54" s="14">
        <v>43556</v>
      </c>
      <c r="B54" s="15">
        <v>1.8110000000000001E-2</v>
      </c>
      <c r="C54" s="15">
        <v>1.8110000000000001E-2</v>
      </c>
      <c r="D54" s="16">
        <f t="shared" si="0"/>
        <v>1.8110000000000001E-2</v>
      </c>
      <c r="E54" s="17">
        <f t="shared" si="11"/>
        <v>11</v>
      </c>
      <c r="F54" s="18">
        <f t="shared" si="12"/>
        <v>0.98993651377175174</v>
      </c>
      <c r="G54" s="18">
        <f t="shared" si="13"/>
        <v>1.0100634862282476</v>
      </c>
      <c r="H54" s="18">
        <f t="shared" si="1"/>
        <v>-2.0126972456495862E-2</v>
      </c>
      <c r="I54" s="19" t="str">
        <f t="shared" si="2"/>
        <v>B</v>
      </c>
      <c r="J54" s="19">
        <f t="shared" si="10"/>
        <v>1</v>
      </c>
      <c r="K54" s="19" t="str">
        <f>IF(I54="","",IF(J54&gt;=Parameters!$B$5,I54,"HOLD"))</f>
        <v>HOLD</v>
      </c>
      <c r="L54" s="20">
        <f>'Actual Calc'!T54</f>
        <v>187090.46040000004</v>
      </c>
      <c r="M54" s="20">
        <f>'Actual Calc'!U54</f>
        <v>187737.20660000003</v>
      </c>
      <c r="N54" s="21">
        <f t="shared" si="3"/>
        <v>0.49913727526415491</v>
      </c>
      <c r="O54" s="21">
        <f>IF(NOT(ISNUMBER(N54)),"",IF(K54="A",MIN(Parameters!$B$8,N54+Parameters!$B$6),IF(K54="B",MAX(Parameters!$B$7,N54-Parameters!$B$6),N54)))</f>
        <v>0.49913727526415491</v>
      </c>
      <c r="P54" s="22">
        <f t="shared" si="4"/>
        <v>0</v>
      </c>
      <c r="Q54" s="22">
        <f t="shared" si="5"/>
        <v>0</v>
      </c>
      <c r="R54" s="22">
        <f t="shared" si="6"/>
        <v>187090.46040000004</v>
      </c>
      <c r="S54" s="22">
        <f t="shared" si="7"/>
        <v>187737.20660000003</v>
      </c>
      <c r="T54" s="21">
        <f t="shared" si="8"/>
        <v>0.49913727526415491</v>
      </c>
      <c r="U54" s="19" t="str">
        <f t="shared" si="9"/>
        <v>No transfer</v>
      </c>
      <c r="V54" s="35" t="s">
        <v>95</v>
      </c>
    </row>
    <row r="55" spans="1:22">
      <c r="A55" s="4">
        <v>43563</v>
      </c>
      <c r="B55" s="5">
        <v>8.5900000000000004E-3</v>
      </c>
      <c r="C55" s="5">
        <v>8.5900000000000004E-3</v>
      </c>
      <c r="D55" s="6">
        <f t="shared" si="0"/>
        <v>8.5900000000000004E-3</v>
      </c>
      <c r="E55" s="8">
        <f t="shared" si="11"/>
        <v>12</v>
      </c>
      <c r="F55" s="9">
        <f t="shared" si="12"/>
        <v>1.0089255485109083</v>
      </c>
      <c r="G55" s="9">
        <f t="shared" si="13"/>
        <v>0.99107445148909012</v>
      </c>
      <c r="H55" s="9">
        <f t="shared" si="1"/>
        <v>1.7851097021818196E-2</v>
      </c>
      <c r="I55" t="str">
        <f t="shared" si="2"/>
        <v>A</v>
      </c>
      <c r="J55">
        <f t="shared" si="10"/>
        <v>1</v>
      </c>
      <c r="K55" t="str">
        <f>IF(I55="","",IF(J55&gt;=Parameters!$B$5,I55,"HOLD"))</f>
        <v>HOLD</v>
      </c>
      <c r="L55" s="10">
        <f>'Actual Calc'!T55</f>
        <v>208507.04840000003</v>
      </c>
      <c r="M55" s="10">
        <f>'Actual Calc'!U55</f>
        <v>209232.82260000004</v>
      </c>
      <c r="N55" s="12">
        <f t="shared" si="3"/>
        <v>0.49913130844051035</v>
      </c>
      <c r="O55" s="12">
        <f>IF(NOT(ISNUMBER(N55)),"",IF(K55="A",MIN(Parameters!$B$8,N55+Parameters!$B$6),IF(K55="B",MAX(Parameters!$B$7,N55-Parameters!$B$6),N55)))</f>
        <v>0.49913130844051035</v>
      </c>
      <c r="P55" s="13">
        <f t="shared" si="4"/>
        <v>0</v>
      </c>
      <c r="Q55" s="13">
        <f t="shared" si="5"/>
        <v>0</v>
      </c>
      <c r="R55" s="13">
        <f t="shared" si="6"/>
        <v>208507.04840000003</v>
      </c>
      <c r="S55" s="13">
        <f t="shared" si="7"/>
        <v>209232.82260000004</v>
      </c>
      <c r="T55" s="12">
        <f t="shared" si="8"/>
        <v>0.49913130844051035</v>
      </c>
      <c r="U55" t="str">
        <f t="shared" si="9"/>
        <v>No transfer</v>
      </c>
      <c r="V55" s="25" t="s">
        <v>95</v>
      </c>
    </row>
    <row r="56" spans="1:22">
      <c r="A56" s="14">
        <v>43570</v>
      </c>
      <c r="B56" s="15">
        <v>8.5100000000000002E-3</v>
      </c>
      <c r="C56" s="15">
        <v>8.5100000000000002E-3</v>
      </c>
      <c r="D56" s="16">
        <f t="shared" si="0"/>
        <v>8.5100000000000002E-3</v>
      </c>
      <c r="E56" s="17">
        <f t="shared" si="11"/>
        <v>13</v>
      </c>
      <c r="F56" s="18">
        <f t="shared" si="12"/>
        <v>1.0244413706983428</v>
      </c>
      <c r="G56" s="18">
        <f t="shared" si="13"/>
        <v>0.97555862930165504</v>
      </c>
      <c r="H56" s="18">
        <f t="shared" si="1"/>
        <v>4.8882741396687801E-2</v>
      </c>
      <c r="I56" s="19" t="str">
        <f t="shared" si="2"/>
        <v>A</v>
      </c>
      <c r="J56" s="19">
        <f t="shared" si="10"/>
        <v>2</v>
      </c>
      <c r="K56" s="19" t="str">
        <f>IF(I56="","",IF(J56&gt;=Parameters!$B$5,I56,"HOLD"))</f>
        <v>HOLD</v>
      </c>
      <c r="L56" s="20">
        <f>'Actual Calc'!T56</f>
        <v>232151.23240000004</v>
      </c>
      <c r="M56" s="20">
        <f>'Actual Calc'!U56</f>
        <v>232955.29860000004</v>
      </c>
      <c r="N56" s="21">
        <f t="shared" si="3"/>
        <v>0.49913561071882689</v>
      </c>
      <c r="O56" s="21">
        <f>IF(NOT(ISNUMBER(N56)),"",IF(K56="A",MIN(Parameters!$B$8,N56+Parameters!$B$6),IF(K56="B",MAX(Parameters!$B$7,N56-Parameters!$B$6),N56)))</f>
        <v>0.49913561071882689</v>
      </c>
      <c r="P56" s="22">
        <f t="shared" si="4"/>
        <v>0</v>
      </c>
      <c r="Q56" s="22">
        <f t="shared" si="5"/>
        <v>0</v>
      </c>
      <c r="R56" s="22">
        <f t="shared" si="6"/>
        <v>232151.23240000004</v>
      </c>
      <c r="S56" s="22">
        <f t="shared" si="7"/>
        <v>232955.29860000004</v>
      </c>
      <c r="T56" s="21">
        <f t="shared" si="8"/>
        <v>0.49913561071882689</v>
      </c>
      <c r="U56" s="19" t="str">
        <f t="shared" si="9"/>
        <v>No transfer</v>
      </c>
      <c r="V56" s="35" t="s">
        <v>95</v>
      </c>
    </row>
    <row r="57" spans="1:22">
      <c r="A57" s="4">
        <v>43577</v>
      </c>
      <c r="B57" s="5">
        <v>7.6499999999999997E-3</v>
      </c>
      <c r="C57" s="5">
        <v>7.6499999999999997E-3</v>
      </c>
      <c r="D57" s="6">
        <f t="shared" si="0"/>
        <v>7.6499999999999997E-3</v>
      </c>
      <c r="E57" s="8">
        <f t="shared" si="11"/>
        <v>14</v>
      </c>
      <c r="F57" s="9">
        <f t="shared" si="12"/>
        <v>1.0393228405649253</v>
      </c>
      <c r="G57" s="9">
        <f t="shared" si="13"/>
        <v>0.96067715943507292</v>
      </c>
      <c r="H57" s="9">
        <f t="shared" si="1"/>
        <v>7.8645681129852374E-2</v>
      </c>
      <c r="I57" t="str">
        <f t="shared" si="2"/>
        <v>A</v>
      </c>
      <c r="J57">
        <f t="shared" si="10"/>
        <v>3</v>
      </c>
      <c r="K57" t="str">
        <f>IF(I57="","",IF(J57&gt;=Parameters!$B$5,I57,"HOLD"))</f>
        <v>A</v>
      </c>
      <c r="L57" s="10">
        <f>'Actual Calc'!T57</f>
        <v>255816.50740000003</v>
      </c>
      <c r="M57" s="10">
        <f>'Actual Calc'!U57</f>
        <v>256708.54860000004</v>
      </c>
      <c r="N57" s="12">
        <f t="shared" si="3"/>
        <v>0.49912975844833618</v>
      </c>
      <c r="O57" s="12">
        <f>IF(NOT(ISNUMBER(N57)),"",IF(K57="A",MIN(Parameters!$B$8,N57+Parameters!$B$6),IF(K57="B",MAX(Parameters!$B$7,N57-Parameters!$B$6),N57)))</f>
        <v>0.59912975844833616</v>
      </c>
      <c r="P57" s="13">
        <f t="shared" si="4"/>
        <v>0</v>
      </c>
      <c r="Q57" s="13">
        <f t="shared" si="5"/>
        <v>51252.505600000004</v>
      </c>
      <c r="R57" s="13">
        <f t="shared" si="6"/>
        <v>307069.01300000004</v>
      </c>
      <c r="S57" s="13">
        <f t="shared" si="7"/>
        <v>205456.04300000003</v>
      </c>
      <c r="T57" s="12">
        <f t="shared" si="8"/>
        <v>0.59912975844833616</v>
      </c>
      <c r="U57" t="e">
        <f t="shared" si="9"/>
        <v>#VALUE!</v>
      </c>
      <c r="V57" s="25" t="s">
        <v>95</v>
      </c>
    </row>
    <row r="58" spans="1:22">
      <c r="A58" s="14">
        <v>43584</v>
      </c>
      <c r="B58" s="15">
        <v>1.16E-3</v>
      </c>
      <c r="C58" s="15">
        <v>1.16E-3</v>
      </c>
      <c r="D58" s="16">
        <f t="shared" si="0"/>
        <v>1.16E-3</v>
      </c>
      <c r="E58" s="17">
        <f t="shared" si="11"/>
        <v>15</v>
      </c>
      <c r="F58" s="18">
        <f t="shared" si="12"/>
        <v>1.0623725771994803</v>
      </c>
      <c r="G58" s="18">
        <f t="shared" si="13"/>
        <v>0.93762742280051781</v>
      </c>
      <c r="H58" s="18">
        <f t="shared" si="1"/>
        <v>0.1247451543989625</v>
      </c>
      <c r="I58" s="19" t="str">
        <f t="shared" si="2"/>
        <v>A</v>
      </c>
      <c r="J58" s="19">
        <f t="shared" si="10"/>
        <v>4</v>
      </c>
      <c r="K58" s="19" t="str">
        <f>IF(I58="","",IF(J58&gt;=Parameters!$B$5,I58,"HOLD"))</f>
        <v>A</v>
      </c>
      <c r="L58" s="20">
        <f>'Actual Calc'!T58</f>
        <v>311818.05300000001</v>
      </c>
      <c r="M58" s="20">
        <f>'Actual Calc'!U58</f>
        <v>208633.63100000002</v>
      </c>
      <c r="N58" s="21">
        <f t="shared" si="3"/>
        <v>0.59912968405343847</v>
      </c>
      <c r="O58" s="21">
        <f>IF(NOT(ISNUMBER(N58)),"",IF(K58="A",MIN(Parameters!$B$8,N58+Parameters!$B$6),IF(K58="B",MAX(Parameters!$B$7,N58-Parameters!$B$6),N58)))</f>
        <v>0.69912968405343845</v>
      </c>
      <c r="P58" s="22">
        <f t="shared" si="4"/>
        <v>0</v>
      </c>
      <c r="Q58" s="22">
        <f t="shared" si="5"/>
        <v>52045.168399999966</v>
      </c>
      <c r="R58" s="22">
        <f t="shared" si="6"/>
        <v>363863.22139999998</v>
      </c>
      <c r="S58" s="22">
        <f t="shared" si="7"/>
        <v>156588.46260000006</v>
      </c>
      <c r="T58" s="21">
        <f t="shared" si="8"/>
        <v>0.69912968405343845</v>
      </c>
      <c r="U58" s="19" t="e">
        <f t="shared" si="9"/>
        <v>#VALUE!</v>
      </c>
      <c r="V58" s="35" t="s">
        <v>95</v>
      </c>
    </row>
    <row r="59" spans="1:22">
      <c r="A59" s="4">
        <v>43591</v>
      </c>
      <c r="B59" s="5">
        <v>1.601E-2</v>
      </c>
      <c r="C59" s="5">
        <v>1.601E-2</v>
      </c>
      <c r="D59" s="6">
        <f t="shared" si="0"/>
        <v>1.601E-2</v>
      </c>
      <c r="E59" s="8">
        <f t="shared" si="11"/>
        <v>15</v>
      </c>
      <c r="F59" s="9">
        <f t="shared" si="12"/>
        <v>1.0476885985998781</v>
      </c>
      <c r="G59" s="9">
        <f t="shared" si="13"/>
        <v>0.95231140140012172</v>
      </c>
      <c r="H59" s="9">
        <f t="shared" si="1"/>
        <v>9.5377197199756347E-2</v>
      </c>
      <c r="I59" t="str">
        <f t="shared" si="2"/>
        <v>A</v>
      </c>
      <c r="J59">
        <f t="shared" si="10"/>
        <v>5</v>
      </c>
      <c r="K59" t="str">
        <f>IF(I59="","",IF(J59&gt;=Parameters!$B$5,I59,"HOLD"))</f>
        <v>A</v>
      </c>
      <c r="L59" s="10">
        <f>'Actual Calc'!T59</f>
        <v>441522.92839999998</v>
      </c>
      <c r="M59" s="10">
        <f>'Actual Calc'!U59</f>
        <v>189986.92360000007</v>
      </c>
      <c r="N59" s="12">
        <f t="shared" si="3"/>
        <v>0.69915445816354405</v>
      </c>
      <c r="O59" s="12">
        <f>IF(NOT(ISNUMBER(N59)),"",IF(K59="A",MIN(Parameters!$B$8,N59+Parameters!$B$6),IF(K59="B",MAX(Parameters!$B$7,N59-Parameters!$B$6),N59)))</f>
        <v>0.79915445816354402</v>
      </c>
      <c r="P59" s="13">
        <f t="shared" si="4"/>
        <v>0</v>
      </c>
      <c r="Q59" s="13">
        <f t="shared" si="5"/>
        <v>63150.985199999937</v>
      </c>
      <c r="R59" s="13">
        <f t="shared" si="6"/>
        <v>504673.91359999991</v>
      </c>
      <c r="S59" s="13">
        <f t="shared" si="7"/>
        <v>126835.93840000013</v>
      </c>
      <c r="T59" s="12">
        <f t="shared" si="8"/>
        <v>0.79915445816354402</v>
      </c>
      <c r="U59" t="e">
        <f t="shared" si="9"/>
        <v>#VALUE!</v>
      </c>
      <c r="V59" s="25" t="s">
        <v>95</v>
      </c>
    </row>
    <row r="60" spans="1:22">
      <c r="A60" s="14">
        <v>43598</v>
      </c>
      <c r="B60" s="15">
        <v>1.405E-2</v>
      </c>
      <c r="C60" s="15">
        <v>0</v>
      </c>
      <c r="D60" s="16">
        <f t="shared" si="0"/>
        <v>7.025E-3</v>
      </c>
      <c r="E60" s="17">
        <f t="shared" si="11"/>
        <v>16</v>
      </c>
      <c r="F60" s="18">
        <f t="shared" si="12"/>
        <v>1.028634384371065</v>
      </c>
      <c r="G60" s="18">
        <f t="shared" si="13"/>
        <v>0.97136561562893431</v>
      </c>
      <c r="H60" s="18">
        <f t="shared" si="1"/>
        <v>5.7268768742130716E-2</v>
      </c>
      <c r="I60" s="19" t="str">
        <f t="shared" si="2"/>
        <v>A</v>
      </c>
      <c r="J60" s="19">
        <f t="shared" si="10"/>
        <v>6</v>
      </c>
      <c r="K60" s="19" t="str">
        <f>IF(I60="","",IF(J60&gt;=Parameters!$B$5,I60,"HOLD"))</f>
        <v>A</v>
      </c>
      <c r="L60" s="20">
        <f>'Actual Calc'!T60</f>
        <v>599195.28859999985</v>
      </c>
      <c r="M60" s="20">
        <f>'Actual Calc'!U60</f>
        <v>126835.93840000013</v>
      </c>
      <c r="N60" s="21">
        <f t="shared" si="3"/>
        <v>0.8253023648526896</v>
      </c>
      <c r="O60" s="21">
        <f>IF(NOT(ISNUMBER(N60)),"",IF(K60="A",MIN(Parameters!$B$8,N60+Parameters!$B$6),IF(K60="B",MAX(Parameters!$B$7,N60-Parameters!$B$6),N60)))</f>
        <v>0.92530236485268957</v>
      </c>
      <c r="P60" s="22">
        <f t="shared" si="4"/>
        <v>0</v>
      </c>
      <c r="Q60" s="22">
        <f t="shared" si="5"/>
        <v>72603.122699999949</v>
      </c>
      <c r="R60" s="22">
        <f t="shared" si="6"/>
        <v>671798.4112999998</v>
      </c>
      <c r="S60" s="22">
        <f t="shared" si="7"/>
        <v>54232.815700000181</v>
      </c>
      <c r="T60" s="21">
        <f t="shared" si="8"/>
        <v>0.92530236485268946</v>
      </c>
      <c r="U60" s="19" t="e">
        <f t="shared" si="9"/>
        <v>#VALUE!</v>
      </c>
      <c r="V60" s="35" t="s">
        <v>96</v>
      </c>
    </row>
    <row r="61" spans="1:22">
      <c r="A61" s="4">
        <v>43605</v>
      </c>
      <c r="B61" s="5">
        <v>-4.13E-3</v>
      </c>
      <c r="C61" s="5">
        <v>-4.13E-3</v>
      </c>
      <c r="D61" s="6">
        <f t="shared" si="0"/>
        <v>-4.13E-3</v>
      </c>
      <c r="E61" s="8">
        <f t="shared" si="11"/>
        <v>16</v>
      </c>
      <c r="F61" s="9">
        <f t="shared" si="12"/>
        <v>1.028634384371065</v>
      </c>
      <c r="G61" s="9">
        <f t="shared" si="13"/>
        <v>0.97136561562893431</v>
      </c>
      <c r="H61" s="9">
        <f t="shared" si="1"/>
        <v>5.7268768742130716E-2</v>
      </c>
      <c r="I61" t="str">
        <f t="shared" si="2"/>
        <v>A</v>
      </c>
      <c r="J61">
        <f t="shared" si="10"/>
        <v>7</v>
      </c>
      <c r="K61" t="str">
        <f>IF(I61="","",IF(J61&gt;=Parameters!$B$5,I61,"HOLD"))</f>
        <v>A</v>
      </c>
      <c r="L61" s="10">
        <f>'Actual Calc'!T61</f>
        <v>634809.30529999977</v>
      </c>
      <c r="M61" s="10">
        <f>'Actual Calc'!U61</f>
        <v>51250.12970000018</v>
      </c>
      <c r="N61" s="12">
        <f t="shared" si="3"/>
        <v>0.92529782831424778</v>
      </c>
      <c r="O61" s="12">
        <f>IF(NOT(ISNUMBER(N61)),"",IF(K61="A",MIN(Parameters!$B$8,N61+Parameters!$B$6),IF(K61="B",MAX(Parameters!$B$7,N61-Parameters!$B$6),N61)))</f>
        <v>1</v>
      </c>
      <c r="P61" s="13">
        <f t="shared" si="4"/>
        <v>0</v>
      </c>
      <c r="Q61" s="13">
        <f t="shared" si="5"/>
        <v>51250.129700000165</v>
      </c>
      <c r="R61" s="13">
        <f t="shared" si="6"/>
        <v>686059.43499999994</v>
      </c>
      <c r="S61" s="13">
        <f t="shared" si="7"/>
        <v>1.4551915228366852E-11</v>
      </c>
      <c r="T61" s="12">
        <f t="shared" si="8"/>
        <v>1</v>
      </c>
      <c r="U61" t="e">
        <f t="shared" si="9"/>
        <v>#VALUE!</v>
      </c>
      <c r="V61" s="25" t="s">
        <v>95</v>
      </c>
    </row>
    <row r="62" spans="1:22">
      <c r="A62" s="14">
        <v>43612</v>
      </c>
      <c r="B62" s="15">
        <v>-1.584E-2</v>
      </c>
      <c r="C62" s="15">
        <v>-1.584E-2</v>
      </c>
      <c r="D62" s="16">
        <f t="shared" si="0"/>
        <v>-1.584E-2</v>
      </c>
      <c r="E62" s="17">
        <f t="shared" si="11"/>
        <v>15</v>
      </c>
      <c r="F62" s="18">
        <f t="shared" si="12"/>
        <v>1.044038366834364</v>
      </c>
      <c r="G62" s="18">
        <f t="shared" si="13"/>
        <v>0.95596163316563609</v>
      </c>
      <c r="H62" s="18">
        <f t="shared" si="1"/>
        <v>8.8076733668727925E-2</v>
      </c>
      <c r="I62" s="19" t="str">
        <f t="shared" si="2"/>
        <v>A</v>
      </c>
      <c r="J62" s="19">
        <f t="shared" si="10"/>
        <v>8</v>
      </c>
      <c r="K62" s="19" t="str">
        <f>IF(I62="","",IF(J62&gt;=Parameters!$B$5,I62,"HOLD"))</f>
        <v>A</v>
      </c>
      <c r="L62" s="20">
        <f>'Actual Calc'!T62</f>
        <v>541169.37099999993</v>
      </c>
      <c r="M62" s="20">
        <f>'Actual Calc'!U62</f>
        <v>0</v>
      </c>
      <c r="N62" s="21">
        <f t="shared" si="3"/>
        <v>1</v>
      </c>
      <c r="O62" s="21">
        <f>IF(NOT(ISNUMBER(N62)),"",IF(K62="A",MIN(Parameters!$B$8,N62+Parameters!$B$6),IF(K62="B",MAX(Parameters!$B$7,N62-Parameters!$B$6),N62)))</f>
        <v>1</v>
      </c>
      <c r="P62" s="22">
        <f t="shared" si="4"/>
        <v>0</v>
      </c>
      <c r="Q62" s="22">
        <f t="shared" si="5"/>
        <v>0</v>
      </c>
      <c r="R62" s="22">
        <f t="shared" si="6"/>
        <v>541169.37099999993</v>
      </c>
      <c r="S62" s="22">
        <f t="shared" si="7"/>
        <v>0</v>
      </c>
      <c r="T62" s="21">
        <f t="shared" si="8"/>
        <v>1</v>
      </c>
      <c r="U62" s="19" t="str">
        <f t="shared" si="9"/>
        <v>No transfer</v>
      </c>
      <c r="V62" s="35" t="s">
        <v>95</v>
      </c>
    </row>
    <row r="63" spans="1:22">
      <c r="A63" s="4">
        <v>43619</v>
      </c>
      <c r="B63" s="5">
        <v>4.2209999999999998E-2</v>
      </c>
      <c r="C63" s="5">
        <v>4.2209999999999998E-2</v>
      </c>
      <c r="D63" s="6">
        <f t="shared" si="0"/>
        <v>4.2209999999999998E-2</v>
      </c>
      <c r="E63" s="8">
        <f t="shared" si="11"/>
        <v>16</v>
      </c>
      <c r="F63" s="9">
        <f t="shared" si="12"/>
        <v>0.98539354364887777</v>
      </c>
      <c r="G63" s="9">
        <f t="shared" si="13"/>
        <v>1.0146064563511228</v>
      </c>
      <c r="H63" s="9">
        <f t="shared" si="1"/>
        <v>-2.921291270224502E-2</v>
      </c>
      <c r="I63" t="str">
        <f t="shared" si="2"/>
        <v>B</v>
      </c>
      <c r="J63">
        <f t="shared" si="10"/>
        <v>1</v>
      </c>
      <c r="K63" t="str">
        <f>IF(I63="","",IF(J63&gt;=Parameters!$B$5,I63,"HOLD"))</f>
        <v>HOLD</v>
      </c>
      <c r="L63" s="10">
        <f>'Actual Calc'!T63</f>
        <v>845718.74199999985</v>
      </c>
      <c r="M63" s="10">
        <f>'Actual Calc'!U63</f>
        <v>0</v>
      </c>
      <c r="N63" s="12">
        <f t="shared" si="3"/>
        <v>1</v>
      </c>
      <c r="O63" s="12">
        <f>IF(NOT(ISNUMBER(N63)),"",IF(K63="A",MIN(Parameters!$B$8,N63+Parameters!$B$6),IF(K63="B",MAX(Parameters!$B$7,N63-Parameters!$B$6),N63)))</f>
        <v>1</v>
      </c>
      <c r="P63" s="13">
        <f t="shared" si="4"/>
        <v>0</v>
      </c>
      <c r="Q63" s="13">
        <f t="shared" si="5"/>
        <v>0</v>
      </c>
      <c r="R63" s="13">
        <f t="shared" si="6"/>
        <v>845718.74199999985</v>
      </c>
      <c r="S63" s="13">
        <f t="shared" si="7"/>
        <v>0</v>
      </c>
      <c r="T63" s="12">
        <f t="shared" si="8"/>
        <v>1</v>
      </c>
      <c r="U63" t="str">
        <f t="shared" si="9"/>
        <v>No transfer</v>
      </c>
      <c r="V63" s="25" t="s">
        <v>95</v>
      </c>
    </row>
    <row r="64" spans="1:22">
      <c r="A64" s="14">
        <v>43626</v>
      </c>
      <c r="B64" s="15">
        <v>-4.8300000000000001E-3</v>
      </c>
      <c r="C64" s="15">
        <v>-4.8300000000000001E-3</v>
      </c>
      <c r="D64" s="16">
        <f t="shared" si="0"/>
        <v>-4.8300000000000001E-3</v>
      </c>
      <c r="E64" s="17">
        <f t="shared" si="11"/>
        <v>15</v>
      </c>
      <c r="F64" s="18">
        <f t="shared" si="12"/>
        <v>1.032244794976473</v>
      </c>
      <c r="G64" s="18">
        <f t="shared" si="13"/>
        <v>0.96775520502352719</v>
      </c>
      <c r="H64" s="18">
        <f t="shared" si="1"/>
        <v>6.4489589952945847E-2</v>
      </c>
      <c r="I64" s="19" t="str">
        <f t="shared" si="2"/>
        <v>A</v>
      </c>
      <c r="J64" s="19">
        <f t="shared" si="10"/>
        <v>1</v>
      </c>
      <c r="K64" s="19" t="str">
        <f>IF(I64="","",IF(J64&gt;=Parameters!$B$5,I64,"HOLD"))</f>
        <v>HOLD</v>
      </c>
      <c r="L64" s="20">
        <f>'Actual Calc'!T64</f>
        <v>791262.42399999988</v>
      </c>
      <c r="M64" s="20">
        <f>'Actual Calc'!U64</f>
        <v>0</v>
      </c>
      <c r="N64" s="21">
        <f t="shared" si="3"/>
        <v>1</v>
      </c>
      <c r="O64" s="21">
        <f>IF(NOT(ISNUMBER(N64)),"",IF(K64="A",MIN(Parameters!$B$8,N64+Parameters!$B$6),IF(K64="B",MAX(Parameters!$B$7,N64-Parameters!$B$6),N64)))</f>
        <v>1</v>
      </c>
      <c r="P64" s="22">
        <f t="shared" si="4"/>
        <v>0</v>
      </c>
      <c r="Q64" s="22">
        <f t="shared" si="5"/>
        <v>0</v>
      </c>
      <c r="R64" s="22">
        <f t="shared" si="6"/>
        <v>791262.42399999988</v>
      </c>
      <c r="S64" s="22">
        <f t="shared" si="7"/>
        <v>0</v>
      </c>
      <c r="T64" s="21">
        <f t="shared" si="8"/>
        <v>1</v>
      </c>
      <c r="U64" s="19" t="str">
        <f t="shared" si="9"/>
        <v>No transfer</v>
      </c>
      <c r="V64" s="35" t="s">
        <v>95</v>
      </c>
    </row>
    <row r="65" spans="1:22">
      <c r="A65" s="4">
        <v>43633</v>
      </c>
      <c r="B65" s="5">
        <v>3.2140000000000002E-2</v>
      </c>
      <c r="C65" s="5">
        <v>3.2140000000000002E-2</v>
      </c>
      <c r="D65" s="6">
        <f t="shared" si="0"/>
        <v>3.2140000000000002E-2</v>
      </c>
      <c r="E65" s="8">
        <f t="shared" si="11"/>
        <v>16</v>
      </c>
      <c r="F65" s="9">
        <f t="shared" si="12"/>
        <v>1.0116842720434485</v>
      </c>
      <c r="G65" s="9">
        <f t="shared" si="13"/>
        <v>0.98831572795655154</v>
      </c>
      <c r="H65" s="9">
        <f t="shared" si="1"/>
        <v>2.3368544086896925E-2</v>
      </c>
      <c r="I65" t="str">
        <f t="shared" si="2"/>
        <v>A</v>
      </c>
      <c r="J65">
        <f t="shared" si="10"/>
        <v>2</v>
      </c>
      <c r="K65" t="str">
        <f>IF(I65="","",IF(J65&gt;=Parameters!$B$5,I65,"HOLD"))</f>
        <v>HOLD</v>
      </c>
      <c r="L65" s="10">
        <f>'Actual Calc'!T65</f>
        <v>1130342.6379999998</v>
      </c>
      <c r="M65" s="10">
        <f>'Actual Calc'!U65</f>
        <v>0</v>
      </c>
      <c r="N65" s="12">
        <f t="shared" si="3"/>
        <v>1</v>
      </c>
      <c r="O65" s="12">
        <f>IF(NOT(ISNUMBER(N65)),"",IF(K65="A",MIN(Parameters!$B$8,N65+Parameters!$B$6),IF(K65="B",MAX(Parameters!$B$7,N65-Parameters!$B$6),N65)))</f>
        <v>1</v>
      </c>
      <c r="P65" s="13">
        <f t="shared" si="4"/>
        <v>0</v>
      </c>
      <c r="Q65" s="13">
        <f t="shared" si="5"/>
        <v>0</v>
      </c>
      <c r="R65" s="13">
        <f t="shared" si="6"/>
        <v>1130342.6379999998</v>
      </c>
      <c r="S65" s="13">
        <f t="shared" si="7"/>
        <v>0</v>
      </c>
      <c r="T65" s="12">
        <f t="shared" si="8"/>
        <v>1</v>
      </c>
      <c r="U65" t="str">
        <f t="shared" si="9"/>
        <v>No transfer</v>
      </c>
      <c r="V65" s="25" t="s">
        <v>95</v>
      </c>
    </row>
    <row r="66" spans="1:22">
      <c r="A66" s="14">
        <v>43640</v>
      </c>
      <c r="B66" s="15">
        <v>-1.592E-2</v>
      </c>
      <c r="C66" s="15">
        <v>-1.592E-2</v>
      </c>
      <c r="D66" s="16">
        <f t="shared" si="0"/>
        <v>-1.592E-2</v>
      </c>
      <c r="E66" s="17">
        <f t="shared" si="11"/>
        <v>15</v>
      </c>
      <c r="F66" s="18">
        <f t="shared" si="12"/>
        <v>0.97028026407080703</v>
      </c>
      <c r="G66" s="18">
        <f t="shared" si="13"/>
        <v>1.0297197359291927</v>
      </c>
      <c r="H66" s="18">
        <f t="shared" si="1"/>
        <v>-5.9439471858385717E-2</v>
      </c>
      <c r="I66" s="19" t="str">
        <f t="shared" si="2"/>
        <v>B</v>
      </c>
      <c r="J66" s="19">
        <f t="shared" si="10"/>
        <v>1</v>
      </c>
      <c r="K66" s="19" t="str">
        <f>IF(I66="","",IF(J66&gt;=Parameters!$B$5,I66,"HOLD"))</f>
        <v>HOLD</v>
      </c>
      <c r="L66" s="20">
        <f>'Actual Calc'!T66</f>
        <v>890434.6059999998</v>
      </c>
      <c r="M66" s="20">
        <f>'Actual Calc'!U66</f>
        <v>0</v>
      </c>
      <c r="N66" s="21">
        <f t="shared" si="3"/>
        <v>1</v>
      </c>
      <c r="O66" s="21">
        <f>IF(NOT(ISNUMBER(N66)),"",IF(K66="A",MIN(Parameters!$B$8,N66+Parameters!$B$6),IF(K66="B",MAX(Parameters!$B$7,N66-Parameters!$B$6),N66)))</f>
        <v>1</v>
      </c>
      <c r="P66" s="22">
        <f t="shared" si="4"/>
        <v>0</v>
      </c>
      <c r="Q66" s="22">
        <f t="shared" si="5"/>
        <v>0</v>
      </c>
      <c r="R66" s="22">
        <f t="shared" si="6"/>
        <v>890434.6059999998</v>
      </c>
      <c r="S66" s="22">
        <f t="shared" si="7"/>
        <v>0</v>
      </c>
      <c r="T66" s="21">
        <f t="shared" si="8"/>
        <v>1</v>
      </c>
      <c r="U66" s="19" t="str">
        <f t="shared" si="9"/>
        <v>No transfer</v>
      </c>
      <c r="V66" s="35" t="s">
        <v>95</v>
      </c>
    </row>
    <row r="67" spans="1:22">
      <c r="A67" s="4">
        <v>43647</v>
      </c>
      <c r="B67" s="5">
        <v>-4.0000000000000001E-3</v>
      </c>
      <c r="C67" s="5">
        <v>-4.0000000000000001E-3</v>
      </c>
      <c r="D67" s="6">
        <f t="shared" si="0"/>
        <v>-4.0000000000000001E-3</v>
      </c>
      <c r="E67" s="8">
        <f t="shared" si="11"/>
        <v>15</v>
      </c>
      <c r="F67" s="9">
        <f t="shared" si="12"/>
        <v>0.97028026407080703</v>
      </c>
      <c r="G67" s="9">
        <f t="shared" si="13"/>
        <v>1.0297197359291927</v>
      </c>
      <c r="H67" s="9">
        <f t="shared" si="1"/>
        <v>-5.9439471858385717E-2</v>
      </c>
      <c r="I67" t="str">
        <f t="shared" si="2"/>
        <v>B</v>
      </c>
      <c r="J67">
        <f t="shared" si="10"/>
        <v>2</v>
      </c>
      <c r="K67" t="str">
        <f>IF(I67="","",IF(J67&gt;=Parameters!$B$5,I67,"HOLD"))</f>
        <v>HOLD</v>
      </c>
      <c r="L67" s="10">
        <f>'Actual Calc'!T67</f>
        <v>842953.40599999984</v>
      </c>
      <c r="M67" s="10">
        <f>'Actual Calc'!U67</f>
        <v>0</v>
      </c>
      <c r="N67" s="12">
        <f t="shared" si="3"/>
        <v>1</v>
      </c>
      <c r="O67" s="12">
        <f>IF(NOT(ISNUMBER(N67)),"",IF(K67="A",MIN(Parameters!$B$8,N67+Parameters!$B$6),IF(K67="B",MAX(Parameters!$B$7,N67-Parameters!$B$6),N67)))</f>
        <v>1</v>
      </c>
      <c r="P67" s="13">
        <f t="shared" si="4"/>
        <v>0</v>
      </c>
      <c r="Q67" s="13">
        <f t="shared" si="5"/>
        <v>0</v>
      </c>
      <c r="R67" s="13">
        <f t="shared" si="6"/>
        <v>842953.40599999984</v>
      </c>
      <c r="S67" s="13">
        <f t="shared" si="7"/>
        <v>0</v>
      </c>
      <c r="T67" s="12">
        <f t="shared" si="8"/>
        <v>1</v>
      </c>
      <c r="U67" t="str">
        <f t="shared" si="9"/>
        <v>No transfer</v>
      </c>
      <c r="V67" s="25" t="s">
        <v>95</v>
      </c>
    </row>
    <row r="68" spans="1:22">
      <c r="A68" s="14">
        <v>43654</v>
      </c>
      <c r="B68" s="15">
        <v>1.9519999999999999E-2</v>
      </c>
      <c r="C68" s="15">
        <v>1.9519999999999999E-2</v>
      </c>
      <c r="D68" s="16">
        <f t="shared" ref="D68:D131" si="14">IF(AND(ISNUMBER(B68),ISNUMBER(C68)),(B68+C68)/2,"")</f>
        <v>1.9519999999999999E-2</v>
      </c>
      <c r="E68" s="17">
        <f t="shared" si="11"/>
        <v>15</v>
      </c>
      <c r="F68" s="18">
        <f t="shared" si="12"/>
        <v>0.96780461840995402</v>
      </c>
      <c r="G68" s="18">
        <f t="shared" si="13"/>
        <v>1.032195381590046</v>
      </c>
      <c r="H68" s="18">
        <f t="shared" ref="H68:H131" si="15">IF(AND(ISNUMBER(F68),ISNUMBER(G68)),F68-G68,"")</f>
        <v>-6.4390763180091959E-2</v>
      </c>
      <c r="I68" s="19" t="str">
        <f t="shared" ref="I68:I131" si="16">IF(OR(NOT(ISNUMBER(F68)),NOT(ISNUMBER(G68))),"",IF(F68&gt;G68,"A",IF(G68&gt;F68,"B","HOLD")))</f>
        <v>B</v>
      </c>
      <c r="J68" s="19">
        <f t="shared" si="10"/>
        <v>3</v>
      </c>
      <c r="K68" s="19" t="str">
        <f>IF(I68="","",IF(J68&gt;=Parameters!$B$5,I68,"HOLD"))</f>
        <v>B</v>
      </c>
      <c r="L68" s="20">
        <f>'Actual Calc'!T68</f>
        <v>1062315.2619999999</v>
      </c>
      <c r="M68" s="20">
        <f>'Actual Calc'!U68</f>
        <v>0</v>
      </c>
      <c r="N68" s="21">
        <f t="shared" ref="N68:N131" si="17">IF(OR(NOT(ISNUMBER(L68)),NOT(ISNUMBER(M68)),L68+M68=0),"",L68/(L68+M68))</f>
        <v>1</v>
      </c>
      <c r="O68" s="21">
        <f>IF(NOT(ISNUMBER(N68)),"",IF(K68="A",MIN(Parameters!$B$8,N68+Parameters!$B$6),IF(K68="B",MAX(Parameters!$B$7,N68-Parameters!$B$6),N68)))</f>
        <v>0.9</v>
      </c>
      <c r="P68" s="22">
        <f t="shared" ref="P68:P131" si="18">IF(NOT(ISNUMBER(O68)),"",MAX(0,L68-(L68+M68)*O68))</f>
        <v>106231.52619999996</v>
      </c>
      <c r="Q68" s="22">
        <f t="shared" ref="Q68:Q131" si="19">IF(NOT(ISNUMBER(O68)),"",MAX(0,(L68+M68)*O68-L68))</f>
        <v>0</v>
      </c>
      <c r="R68" s="22">
        <f t="shared" ref="R68:R131" si="20">IF(NOT(ISNUMBER(O68)),"",L68-P68+Q68)</f>
        <v>956083.73579999991</v>
      </c>
      <c r="S68" s="22">
        <f t="shared" ref="S68:S131" si="21">IF(NOT(ISNUMBER(O68)),"",M68+P68-Q68)</f>
        <v>106231.52619999996</v>
      </c>
      <c r="T68" s="21">
        <f t="shared" ref="T68:T131" si="22">IF(OR(NOT(ISNUMBER(R68)),NOT(ISNUMBER(S68)),R68+S68=0),"",R68/(R68+S68))</f>
        <v>0.9</v>
      </c>
      <c r="U68" s="19" t="e">
        <f t="shared" ref="U68:U131" si="23">IF(NOT(ISNUMBER(O68)),"",IF(P68&gt;0.005,"Transfer "&amp;TEXT(P68,"#,##0.00")&amp;" A → B",IF(Q68&gt;0.005,"Transfer "&amp;TEXT(Q68,"#,##0.00")&amp;" B → A","No transfer")))</f>
        <v>#VALUE!</v>
      </c>
      <c r="V68" s="35" t="s">
        <v>95</v>
      </c>
    </row>
    <row r="69" spans="1:22">
      <c r="A69" s="4">
        <v>43661</v>
      </c>
      <c r="B69" s="5">
        <v>-3.8700000000000002E-3</v>
      </c>
      <c r="C69" s="5">
        <v>-3.8700000000000002E-3</v>
      </c>
      <c r="D69" s="6">
        <f t="shared" si="14"/>
        <v>-3.8700000000000002E-3</v>
      </c>
      <c r="E69" s="8">
        <f t="shared" si="11"/>
        <v>14</v>
      </c>
      <c r="F69" s="9">
        <f t="shared" si="12"/>
        <v>0.96472856881005598</v>
      </c>
      <c r="G69" s="9">
        <f t="shared" si="13"/>
        <v>1.0352714311899434</v>
      </c>
      <c r="H69" s="9">
        <f t="shared" si="15"/>
        <v>-7.0542862379887383E-2</v>
      </c>
      <c r="I69" t="str">
        <f t="shared" si="16"/>
        <v>B</v>
      </c>
      <c r="J69">
        <f t="shared" ref="J69:J132" si="24">IF(I69="","",IF(I69="HOLD",0,IF(I69=I68,J68+1,1)))</f>
        <v>4</v>
      </c>
      <c r="K69" t="str">
        <f>IF(I69="","",IF(J69&gt;=Parameters!$B$5,I69,"HOLD"))</f>
        <v>B</v>
      </c>
      <c r="L69" s="10">
        <f>'Actual Calc'!T69</f>
        <v>906754.39379999996</v>
      </c>
      <c r="M69" s="10">
        <f>'Actual Calc'!U69</f>
        <v>100757.41119999996</v>
      </c>
      <c r="N69" s="12">
        <f t="shared" si="17"/>
        <v>0.89999381575484372</v>
      </c>
      <c r="O69" s="12">
        <f>IF(NOT(ISNUMBER(N69)),"",IF(K69="A",MIN(Parameters!$B$8,N69+Parameters!$B$6),IF(K69="B",MAX(Parameters!$B$7,N69-Parameters!$B$6),N69)))</f>
        <v>0.79999381575484374</v>
      </c>
      <c r="P69" s="13">
        <f t="shared" si="18"/>
        <v>100751.18050000002</v>
      </c>
      <c r="Q69" s="13">
        <f t="shared" si="19"/>
        <v>0</v>
      </c>
      <c r="R69" s="13">
        <f t="shared" si="20"/>
        <v>806003.21329999994</v>
      </c>
      <c r="S69" s="13">
        <f t="shared" si="21"/>
        <v>201508.59169999999</v>
      </c>
      <c r="T69" s="12">
        <f t="shared" si="22"/>
        <v>0.79999381575484363</v>
      </c>
      <c r="U69" t="e">
        <f t="shared" si="23"/>
        <v>#VALUE!</v>
      </c>
      <c r="V69" s="25" t="s">
        <v>95</v>
      </c>
    </row>
    <row r="70" spans="1:22">
      <c r="A70" s="14">
        <v>43668</v>
      </c>
      <c r="B70" s="15">
        <v>1.95E-2</v>
      </c>
      <c r="C70" s="15">
        <v>1.95E-2</v>
      </c>
      <c r="D70" s="16">
        <f t="shared" si="14"/>
        <v>1.95E-2</v>
      </c>
      <c r="E70" s="17">
        <f t="shared" si="11"/>
        <v>15</v>
      </c>
      <c r="F70" s="18">
        <f t="shared" si="12"/>
        <v>0.96384010130612685</v>
      </c>
      <c r="G70" s="18">
        <f t="shared" si="13"/>
        <v>1.0361598986938725</v>
      </c>
      <c r="H70" s="18">
        <f t="shared" si="15"/>
        <v>-7.2319797387745632E-2</v>
      </c>
      <c r="I70" s="19" t="str">
        <f t="shared" si="16"/>
        <v>B</v>
      </c>
      <c r="J70" s="19">
        <f t="shared" si="24"/>
        <v>5</v>
      </c>
      <c r="K70" s="19" t="str">
        <f>IF(I70="","",IF(J70&gt;=Parameters!$B$5,I70,"HOLD"))</f>
        <v>B</v>
      </c>
      <c r="L70" s="20">
        <f>'Actual Calc'!T70</f>
        <v>1015542.4132999999</v>
      </c>
      <c r="M70" s="20">
        <f>'Actual Calc'!U70</f>
        <v>253893.39169999998</v>
      </c>
      <c r="N70" s="21">
        <f t="shared" si="17"/>
        <v>0.79999509175653039</v>
      </c>
      <c r="O70" s="21">
        <f>IF(NOT(ISNUMBER(N70)),"",IF(K70="A",MIN(Parameters!$B$8,N70+Parameters!$B$6),IF(K70="B",MAX(Parameters!$B$7,N70-Parameters!$B$6),N70)))</f>
        <v>0.69999509175653041</v>
      </c>
      <c r="P70" s="22">
        <f t="shared" si="18"/>
        <v>126943.58049999992</v>
      </c>
      <c r="Q70" s="22">
        <f t="shared" si="19"/>
        <v>0</v>
      </c>
      <c r="R70" s="22">
        <f t="shared" si="20"/>
        <v>888598.83279999997</v>
      </c>
      <c r="S70" s="22">
        <f t="shared" si="21"/>
        <v>380836.9721999999</v>
      </c>
      <c r="T70" s="21">
        <f t="shared" si="22"/>
        <v>0.69999509175653041</v>
      </c>
      <c r="U70" s="19" t="e">
        <f t="shared" si="23"/>
        <v>#VALUE!</v>
      </c>
      <c r="V70" s="35" t="s">
        <v>95</v>
      </c>
    </row>
    <row r="71" spans="1:22">
      <c r="A71" s="4">
        <v>43675</v>
      </c>
      <c r="B71" s="5">
        <v>-3.8300000000000001E-3</v>
      </c>
      <c r="C71" s="5">
        <v>-3.8300000000000001E-3</v>
      </c>
      <c r="D71" s="6">
        <f t="shared" si="14"/>
        <v>-3.8300000000000001E-3</v>
      </c>
      <c r="E71" s="8">
        <f t="shared" si="11"/>
        <v>15</v>
      </c>
      <c r="F71" s="9">
        <f t="shared" si="12"/>
        <v>0.96384010130612685</v>
      </c>
      <c r="G71" s="9">
        <f t="shared" si="13"/>
        <v>1.0361598986938725</v>
      </c>
      <c r="H71" s="9">
        <f t="shared" si="15"/>
        <v>-7.2319797387745632E-2</v>
      </c>
      <c r="I71" t="str">
        <f t="shared" si="16"/>
        <v>B</v>
      </c>
      <c r="J71">
        <f t="shared" si="24"/>
        <v>6</v>
      </c>
      <c r="K71" t="str">
        <f>IF(I71="","",IF(J71&gt;=Parameters!$B$5,I71,"HOLD"))</f>
        <v>B</v>
      </c>
      <c r="L71" s="10">
        <f>'Actual Calc'!T71</f>
        <v>843223.67379999999</v>
      </c>
      <c r="M71" s="10">
        <f>'Actual Calc'!U71</f>
        <v>361395.50919999991</v>
      </c>
      <c r="N71" s="12">
        <f t="shared" si="17"/>
        <v>0.69999190258619681</v>
      </c>
      <c r="O71" s="12">
        <f>IF(NOT(ISNUMBER(N71)),"",IF(K71="A",MIN(Parameters!$B$8,N71+Parameters!$B$6),IF(K71="B",MAX(Parameters!$B$7,N71-Parameters!$B$6),N71)))</f>
        <v>0.59999190258619683</v>
      </c>
      <c r="P71" s="13">
        <f t="shared" si="18"/>
        <v>120461.91830000002</v>
      </c>
      <c r="Q71" s="13">
        <f t="shared" si="19"/>
        <v>0</v>
      </c>
      <c r="R71" s="13">
        <f t="shared" si="20"/>
        <v>722761.75549999997</v>
      </c>
      <c r="S71" s="13">
        <f t="shared" si="21"/>
        <v>481857.42749999993</v>
      </c>
      <c r="T71" s="12">
        <f t="shared" si="22"/>
        <v>0.59999190258619683</v>
      </c>
      <c r="U71" t="e">
        <f t="shared" si="23"/>
        <v>#VALUE!</v>
      </c>
      <c r="V71" s="25" t="s">
        <v>95</v>
      </c>
    </row>
    <row r="72" spans="1:22">
      <c r="A72" s="14">
        <v>43682</v>
      </c>
      <c r="B72" s="15">
        <v>1.541E-2</v>
      </c>
      <c r="C72" s="15">
        <v>0</v>
      </c>
      <c r="D72" s="16">
        <f t="shared" si="14"/>
        <v>7.705E-3</v>
      </c>
      <c r="E72" s="17">
        <f t="shared" si="11"/>
        <v>15</v>
      </c>
      <c r="F72" s="18">
        <f t="shared" si="12"/>
        <v>0.93235567624634597</v>
      </c>
      <c r="G72" s="18">
        <f t="shared" si="13"/>
        <v>1.0676443237536541</v>
      </c>
      <c r="H72" s="18">
        <f t="shared" si="15"/>
        <v>-0.13528864750730818</v>
      </c>
      <c r="I72" s="19" t="str">
        <f t="shared" si="16"/>
        <v>B</v>
      </c>
      <c r="J72" s="19">
        <f t="shared" si="24"/>
        <v>7</v>
      </c>
      <c r="K72" s="19" t="str">
        <f>IF(I72="","",IF(J72&gt;=Parameters!$B$5,I72,"HOLD"))</f>
        <v>B</v>
      </c>
      <c r="L72" s="20">
        <f>'Actual Calc'!T72</f>
        <v>871232.48249999993</v>
      </c>
      <c r="M72" s="20">
        <f>'Actual Calc'!U72</f>
        <v>481857.42749999993</v>
      </c>
      <c r="N72" s="21">
        <f t="shared" si="17"/>
        <v>0.64388365921670343</v>
      </c>
      <c r="O72" s="21">
        <f>IF(NOT(ISNUMBER(N72)),"",IF(K72="A",MIN(Parameters!$B$8,N72+Parameters!$B$6),IF(K72="B",MAX(Parameters!$B$7,N72-Parameters!$B$6),N72)))</f>
        <v>0.54388365921670345</v>
      </c>
      <c r="P72" s="22">
        <f t="shared" si="18"/>
        <v>135308.99100000004</v>
      </c>
      <c r="Q72" s="22">
        <f t="shared" si="19"/>
        <v>0</v>
      </c>
      <c r="R72" s="22">
        <f t="shared" si="20"/>
        <v>735923.49149999989</v>
      </c>
      <c r="S72" s="22">
        <f t="shared" si="21"/>
        <v>617166.41849999991</v>
      </c>
      <c r="T72" s="21">
        <f t="shared" si="22"/>
        <v>0.54388365921670356</v>
      </c>
      <c r="U72" s="19" t="e">
        <f t="shared" si="23"/>
        <v>#VALUE!</v>
      </c>
      <c r="V72" s="35" t="s">
        <v>96</v>
      </c>
    </row>
    <row r="73" spans="1:22">
      <c r="A73" s="4">
        <v>43689</v>
      </c>
      <c r="B73" s="5">
        <v>-1.7979999999999999E-2</v>
      </c>
      <c r="C73" s="5">
        <v>-1.7979999999999999E-2</v>
      </c>
      <c r="D73" s="6">
        <f t="shared" si="14"/>
        <v>-1.7979999999999999E-2</v>
      </c>
      <c r="E73" s="8">
        <f t="shared" si="11"/>
        <v>14</v>
      </c>
      <c r="F73" s="9">
        <f t="shared" si="12"/>
        <v>0.93336148393507523</v>
      </c>
      <c r="G73" s="9">
        <f t="shared" si="13"/>
        <v>1.0666385160649239</v>
      </c>
      <c r="H73" s="9">
        <f t="shared" si="15"/>
        <v>-0.13327703212984865</v>
      </c>
      <c r="I73" t="str">
        <f t="shared" si="16"/>
        <v>B</v>
      </c>
      <c r="J73">
        <f t="shared" si="24"/>
        <v>8</v>
      </c>
      <c r="K73" t="str">
        <f>IF(I73="","",IF(J73&gt;=Parameters!$B$5,I73,"HOLD"))</f>
        <v>B</v>
      </c>
      <c r="L73" s="10">
        <f>'Actual Calc'!T73</f>
        <v>559507.3274999999</v>
      </c>
      <c r="M73" s="10">
        <f>'Actual Calc'!U73</f>
        <v>469243.16049999988</v>
      </c>
      <c r="N73" s="12">
        <f t="shared" si="17"/>
        <v>0.54387077724525956</v>
      </c>
      <c r="O73" s="12">
        <f>IF(NOT(ISNUMBER(N73)),"",IF(K73="A",MIN(Parameters!$B$8,N73+Parameters!$B$6),IF(K73="B",MAX(Parameters!$B$7,N73-Parameters!$B$6),N73)))</f>
        <v>0.44387077724525958</v>
      </c>
      <c r="P73" s="13">
        <f t="shared" si="18"/>
        <v>102875.04879999987</v>
      </c>
      <c r="Q73" s="13">
        <f t="shared" si="19"/>
        <v>0</v>
      </c>
      <c r="R73" s="13">
        <f t="shared" si="20"/>
        <v>456632.27870000002</v>
      </c>
      <c r="S73" s="13">
        <f t="shared" si="21"/>
        <v>572118.20929999975</v>
      </c>
      <c r="T73" s="12">
        <f t="shared" si="22"/>
        <v>0.44387077724525964</v>
      </c>
      <c r="U73" t="e">
        <f t="shared" si="23"/>
        <v>#VALUE!</v>
      </c>
      <c r="V73" s="25" t="s">
        <v>95</v>
      </c>
    </row>
    <row r="74" spans="1:22">
      <c r="A74" s="14">
        <v>43696</v>
      </c>
      <c r="B74" s="15">
        <v>-3.98E-3</v>
      </c>
      <c r="C74" s="15">
        <v>0</v>
      </c>
      <c r="D74" s="16">
        <f t="shared" si="14"/>
        <v>-1.99E-3</v>
      </c>
      <c r="E74" s="17">
        <f t="shared" si="11"/>
        <v>14</v>
      </c>
      <c r="F74" s="18">
        <f t="shared" si="12"/>
        <v>0.93336148393507523</v>
      </c>
      <c r="G74" s="18">
        <f t="shared" si="13"/>
        <v>1.0666385160649239</v>
      </c>
      <c r="H74" s="18">
        <f t="shared" si="15"/>
        <v>-0.13327703212984865</v>
      </c>
      <c r="I74" s="19" t="str">
        <f t="shared" si="16"/>
        <v>B</v>
      </c>
      <c r="J74" s="19">
        <f t="shared" si="24"/>
        <v>9</v>
      </c>
      <c r="K74" s="19" t="str">
        <f>IF(I74="","",IF(J74&gt;=Parameters!$B$5,I74,"HOLD"))</f>
        <v>B</v>
      </c>
      <c r="L74" s="20">
        <f>'Actual Calc'!T74</f>
        <v>432401.64070000005</v>
      </c>
      <c r="M74" s="20">
        <f>'Actual Calc'!U74</f>
        <v>572118.20929999975</v>
      </c>
      <c r="N74" s="21">
        <f t="shared" si="17"/>
        <v>0.43045604394975379</v>
      </c>
      <c r="O74" s="21">
        <f>IF(NOT(ISNUMBER(N74)),"",IF(K74="A",MIN(Parameters!$B$8,N74+Parameters!$B$6),IF(K74="B",MAX(Parameters!$B$7,N74-Parameters!$B$6),N74)))</f>
        <v>0.33045604394975381</v>
      </c>
      <c r="P74" s="22">
        <f t="shared" si="18"/>
        <v>100451.98499999999</v>
      </c>
      <c r="Q74" s="22">
        <f t="shared" si="19"/>
        <v>0</v>
      </c>
      <c r="R74" s="22">
        <f t="shared" si="20"/>
        <v>331949.65570000006</v>
      </c>
      <c r="S74" s="22">
        <f t="shared" si="21"/>
        <v>672570.19429999974</v>
      </c>
      <c r="T74" s="21">
        <f t="shared" si="22"/>
        <v>0.33045604394975381</v>
      </c>
      <c r="U74" s="19" t="e">
        <f t="shared" si="23"/>
        <v>#VALUE!</v>
      </c>
      <c r="V74" s="35" t="s">
        <v>96</v>
      </c>
    </row>
    <row r="75" spans="1:22">
      <c r="A75" s="4">
        <v>43703</v>
      </c>
      <c r="B75" s="5">
        <v>1.8030000000000001E-2</v>
      </c>
      <c r="C75" s="5">
        <v>1.8030000000000001E-2</v>
      </c>
      <c r="D75" s="6">
        <f t="shared" si="14"/>
        <v>1.8030000000000001E-2</v>
      </c>
      <c r="E75" s="8">
        <f t="shared" si="11"/>
        <v>15</v>
      </c>
      <c r="F75" s="9">
        <f t="shared" si="12"/>
        <v>0.93188031048829789</v>
      </c>
      <c r="G75" s="9">
        <f t="shared" si="13"/>
        <v>1.0681196895117016</v>
      </c>
      <c r="H75" s="9">
        <f t="shared" si="15"/>
        <v>-0.13623937902340366</v>
      </c>
      <c r="I75" t="str">
        <f t="shared" si="16"/>
        <v>B</v>
      </c>
      <c r="J75">
        <f t="shared" si="24"/>
        <v>10</v>
      </c>
      <c r="K75" t="str">
        <f>IF(I75="","",IF(J75&gt;=Parameters!$B$5,I75,"HOLD"))</f>
        <v>B</v>
      </c>
      <c r="L75" s="10">
        <f>'Actual Calc'!T75</f>
        <v>411736.01170000003</v>
      </c>
      <c r="M75" s="10">
        <f>'Actual Calc'!U75</f>
        <v>834216.35629999975</v>
      </c>
      <c r="N75" s="12">
        <f t="shared" si="17"/>
        <v>0.33045887007776859</v>
      </c>
      <c r="O75" s="12">
        <f>IF(NOT(ISNUMBER(N75)),"",IF(K75="A",MIN(Parameters!$B$8,N75+Parameters!$B$6),IF(K75="B",MAX(Parameters!$B$7,N75-Parameters!$B$6),N75)))</f>
        <v>0.23045887007776858</v>
      </c>
      <c r="P75" s="13">
        <f t="shared" si="18"/>
        <v>124595.23679999996</v>
      </c>
      <c r="Q75" s="13">
        <f t="shared" si="19"/>
        <v>0</v>
      </c>
      <c r="R75" s="13">
        <f t="shared" si="20"/>
        <v>287140.77490000008</v>
      </c>
      <c r="S75" s="13">
        <f t="shared" si="21"/>
        <v>958811.59309999971</v>
      </c>
      <c r="T75" s="12">
        <f t="shared" si="22"/>
        <v>0.23045887007776861</v>
      </c>
      <c r="U75" t="e">
        <f t="shared" si="23"/>
        <v>#VALUE!</v>
      </c>
      <c r="V75" s="25" t="s">
        <v>95</v>
      </c>
    </row>
    <row r="76" spans="1:22">
      <c r="A76" s="14">
        <v>43710</v>
      </c>
      <c r="B76" s="15">
        <v>2.8850000000000001E-2</v>
      </c>
      <c r="C76" s="15">
        <v>2.8850000000000001E-2</v>
      </c>
      <c r="D76" s="16">
        <f t="shared" si="14"/>
        <v>2.8850000000000001E-2</v>
      </c>
      <c r="E76" s="17">
        <f t="shared" si="11"/>
        <v>16</v>
      </c>
      <c r="F76" s="18">
        <f t="shared" si="12"/>
        <v>0.93156479810899351</v>
      </c>
      <c r="G76" s="18">
        <f t="shared" si="13"/>
        <v>1.0684352018910064</v>
      </c>
      <c r="H76" s="18">
        <f t="shared" si="15"/>
        <v>-0.13687040378201287</v>
      </c>
      <c r="I76" s="19" t="str">
        <f t="shared" si="16"/>
        <v>B</v>
      </c>
      <c r="J76" s="19">
        <f t="shared" si="24"/>
        <v>11</v>
      </c>
      <c r="K76" s="19" t="str">
        <f>IF(I76="","",IF(J76&gt;=Parameters!$B$5,I76,"HOLD"))</f>
        <v>B</v>
      </c>
      <c r="L76" s="20">
        <f>'Actual Calc'!T76</f>
        <v>397555.49490000005</v>
      </c>
      <c r="M76" s="20">
        <f>'Actual Calc'!U76</f>
        <v>1327612.6830999998</v>
      </c>
      <c r="N76" s="21">
        <f t="shared" si="17"/>
        <v>0.23044448649689855</v>
      </c>
      <c r="O76" s="21">
        <f>IF(NOT(ISNUMBER(N76)),"",IF(K76="A",MIN(Parameters!$B$8,N76+Parameters!$B$6),IF(K76="B",MAX(Parameters!$B$7,N76-Parameters!$B$6),N76)))</f>
        <v>0.13044448649689855</v>
      </c>
      <c r="P76" s="22">
        <f t="shared" si="18"/>
        <v>172516.81779999999</v>
      </c>
      <c r="Q76" s="22">
        <f t="shared" si="19"/>
        <v>0</v>
      </c>
      <c r="R76" s="22">
        <f t="shared" si="20"/>
        <v>225038.67710000006</v>
      </c>
      <c r="S76" s="22">
        <f t="shared" si="21"/>
        <v>1500129.5008999999</v>
      </c>
      <c r="T76" s="21">
        <f t="shared" si="22"/>
        <v>0.13044448649689855</v>
      </c>
      <c r="U76" s="19" t="e">
        <f t="shared" si="23"/>
        <v>#VALUE!</v>
      </c>
      <c r="V76" s="35" t="s">
        <v>95</v>
      </c>
    </row>
    <row r="77" spans="1:22">
      <c r="A77" s="4">
        <v>43717</v>
      </c>
      <c r="B77" s="5">
        <v>-4.0000000000000001E-3</v>
      </c>
      <c r="C77" s="5">
        <v>-4.0000000000000001E-3</v>
      </c>
      <c r="D77" s="6">
        <f t="shared" si="14"/>
        <v>-4.0000000000000001E-3</v>
      </c>
      <c r="E77" s="8">
        <f t="shared" si="11"/>
        <v>15</v>
      </c>
      <c r="F77" s="9">
        <f t="shared" si="12"/>
        <v>0.93185675453554018</v>
      </c>
      <c r="G77" s="9">
        <f t="shared" si="13"/>
        <v>1.068143245464461</v>
      </c>
      <c r="H77" s="9">
        <f t="shared" si="15"/>
        <v>-0.13628649092892087</v>
      </c>
      <c r="I77" t="str">
        <f t="shared" si="16"/>
        <v>B</v>
      </c>
      <c r="J77">
        <f t="shared" si="24"/>
        <v>12</v>
      </c>
      <c r="K77" t="str">
        <f>IF(I77="","",IF(J77&gt;=Parameters!$B$5,I77,"HOLD"))</f>
        <v>B</v>
      </c>
      <c r="L77" s="10">
        <f>'Actual Calc'!T77</f>
        <v>213041.87710000007</v>
      </c>
      <c r="M77" s="10">
        <f>'Actual Calc'!U77</f>
        <v>1420126.3008999999</v>
      </c>
      <c r="N77" s="12">
        <f t="shared" si="17"/>
        <v>0.13044699252032577</v>
      </c>
      <c r="O77" s="12">
        <f>IF(NOT(ISNUMBER(N77)),"",IF(K77="A",MIN(Parameters!$B$8,N77+Parameters!$B$6),IF(K77="B",MAX(Parameters!$B$7,N77-Parameters!$B$6),N77)))</f>
        <v>3.0446992520325761E-2</v>
      </c>
      <c r="P77" s="13">
        <f t="shared" si="18"/>
        <v>163316.81780000002</v>
      </c>
      <c r="Q77" s="13">
        <f t="shared" si="19"/>
        <v>0</v>
      </c>
      <c r="R77" s="13">
        <f t="shared" si="20"/>
        <v>49725.059300000052</v>
      </c>
      <c r="S77" s="13">
        <f t="shared" si="21"/>
        <v>1583443.1187</v>
      </c>
      <c r="T77" s="12">
        <f t="shared" si="22"/>
        <v>3.0446992520325761E-2</v>
      </c>
      <c r="U77" t="e">
        <f t="shared" si="23"/>
        <v>#VALUE!</v>
      </c>
      <c r="V77" s="25" t="s">
        <v>95</v>
      </c>
    </row>
    <row r="78" spans="1:22">
      <c r="A78" s="14">
        <v>43724</v>
      </c>
      <c r="B78" s="15">
        <v>-4.0000000000000001E-3</v>
      </c>
      <c r="C78" s="15">
        <v>-4.0000000000000001E-3</v>
      </c>
      <c r="D78" s="16">
        <f t="shared" si="14"/>
        <v>-4.0000000000000001E-3</v>
      </c>
      <c r="E78" s="17">
        <f t="shared" si="11"/>
        <v>14</v>
      </c>
      <c r="F78" s="18">
        <f t="shared" si="12"/>
        <v>0.9178962182739171</v>
      </c>
      <c r="G78" s="18">
        <f t="shared" si="13"/>
        <v>1.082103781726083</v>
      </c>
      <c r="H78" s="18">
        <f t="shared" si="15"/>
        <v>-0.16420756345216592</v>
      </c>
      <c r="I78" s="19" t="str">
        <f t="shared" si="16"/>
        <v>B</v>
      </c>
      <c r="J78" s="19">
        <f t="shared" si="24"/>
        <v>13</v>
      </c>
      <c r="K78" s="19" t="str">
        <f>IF(I78="","",IF(J78&gt;=Parameters!$B$5,I78,"HOLD"))</f>
        <v>B</v>
      </c>
      <c r="L78" s="20">
        <f>'Actual Calc'!T78</f>
        <v>47075.459300000053</v>
      </c>
      <c r="M78" s="20">
        <f>'Actual Calc'!U78</f>
        <v>1498996.3186999999</v>
      </c>
      <c r="N78" s="21">
        <f t="shared" si="17"/>
        <v>3.0448430642008688E-2</v>
      </c>
      <c r="O78" s="21">
        <f>IF(NOT(ISNUMBER(N78)),"",IF(K78="A",MIN(Parameters!$B$8,N78+Parameters!$B$6),IF(K78="B",MAX(Parameters!$B$7,N78-Parameters!$B$6),N78)))</f>
        <v>0</v>
      </c>
      <c r="P78" s="22">
        <f t="shared" si="18"/>
        <v>47075.459300000053</v>
      </c>
      <c r="Q78" s="22">
        <f t="shared" si="19"/>
        <v>0</v>
      </c>
      <c r="R78" s="22">
        <f t="shared" si="20"/>
        <v>0</v>
      </c>
      <c r="S78" s="22">
        <f t="shared" si="21"/>
        <v>1546071.7779999999</v>
      </c>
      <c r="T78" s="21">
        <f t="shared" si="22"/>
        <v>0</v>
      </c>
      <c r="U78" s="19" t="e">
        <f t="shared" si="23"/>
        <v>#VALUE!</v>
      </c>
      <c r="V78" s="35" t="s">
        <v>95</v>
      </c>
    </row>
    <row r="79" spans="1:22">
      <c r="A79" s="4">
        <v>43731</v>
      </c>
      <c r="B79" s="5">
        <v>8.3400000000000002E-3</v>
      </c>
      <c r="C79" s="5">
        <v>8.3400000000000002E-3</v>
      </c>
      <c r="D79" s="6">
        <f t="shared" si="14"/>
        <v>8.3400000000000002E-3</v>
      </c>
      <c r="E79" s="8">
        <f t="shared" si="11"/>
        <v>15</v>
      </c>
      <c r="F79" s="9">
        <f t="shared" si="12"/>
        <v>0.9257417336243503</v>
      </c>
      <c r="G79" s="9">
        <f t="shared" si="13"/>
        <v>1.0742582663756499</v>
      </c>
      <c r="H79" s="9">
        <f t="shared" si="15"/>
        <v>-0.14851653275129961</v>
      </c>
      <c r="I79" t="str">
        <f t="shared" si="16"/>
        <v>B</v>
      </c>
      <c r="J79">
        <f t="shared" si="24"/>
        <v>14</v>
      </c>
      <c r="K79" t="str">
        <f>IF(I79="","",IF(J79&gt;=Parameters!$B$5,I79,"HOLD"))</f>
        <v>B</v>
      </c>
      <c r="L79" s="10">
        <f>'Actual Calc'!T79</f>
        <v>0</v>
      </c>
      <c r="M79" s="10">
        <f>'Actual Calc'!U79</f>
        <v>1717980.862</v>
      </c>
      <c r="N79" s="12">
        <f t="shared" si="17"/>
        <v>0</v>
      </c>
      <c r="O79" s="12">
        <f>IF(NOT(ISNUMBER(N79)),"",IF(K79="A",MIN(Parameters!$B$8,N79+Parameters!$B$6),IF(K79="B",MAX(Parameters!$B$7,N79-Parameters!$B$6),N79)))</f>
        <v>0</v>
      </c>
      <c r="P79" s="13">
        <f t="shared" si="18"/>
        <v>0</v>
      </c>
      <c r="Q79" s="13">
        <f t="shared" si="19"/>
        <v>0</v>
      </c>
      <c r="R79" s="13">
        <f t="shared" si="20"/>
        <v>0</v>
      </c>
      <c r="S79" s="13">
        <f t="shared" si="21"/>
        <v>1717980.862</v>
      </c>
      <c r="T79" s="12">
        <f t="shared" si="22"/>
        <v>0</v>
      </c>
      <c r="U79" t="str">
        <f t="shared" si="23"/>
        <v>No transfer</v>
      </c>
      <c r="V79" s="25" t="s">
        <v>95</v>
      </c>
    </row>
    <row r="80" spans="1:22">
      <c r="A80" s="14">
        <v>43738</v>
      </c>
      <c r="B80" s="15">
        <v>7.1999999999999998E-3</v>
      </c>
      <c r="C80" s="15">
        <v>7.1999999999999998E-3</v>
      </c>
      <c r="D80" s="16">
        <f t="shared" si="14"/>
        <v>7.1999999999999998E-3</v>
      </c>
      <c r="E80" s="17">
        <f t="shared" si="11"/>
        <v>15</v>
      </c>
      <c r="F80" s="18">
        <f t="shared" si="12"/>
        <v>0.9344623910967772</v>
      </c>
      <c r="G80" s="18">
        <f t="shared" si="13"/>
        <v>1.0655376089032231</v>
      </c>
      <c r="H80" s="18">
        <f t="shared" si="15"/>
        <v>-0.13107521780644593</v>
      </c>
      <c r="I80" s="19" t="str">
        <f t="shared" si="16"/>
        <v>B</v>
      </c>
      <c r="J80" s="19">
        <f t="shared" si="24"/>
        <v>15</v>
      </c>
      <c r="K80" s="19" t="str">
        <f>IF(I80="","",IF(J80&gt;=Parameters!$B$5,I80,"HOLD"))</f>
        <v>B</v>
      </c>
      <c r="L80" s="20">
        <f>'Actual Calc'!T80</f>
        <v>0</v>
      </c>
      <c r="M80" s="20">
        <f>'Actual Calc'!U80</f>
        <v>1882901.902</v>
      </c>
      <c r="N80" s="21">
        <f t="shared" si="17"/>
        <v>0</v>
      </c>
      <c r="O80" s="21">
        <f>IF(NOT(ISNUMBER(N80)),"",IF(K80="A",MIN(Parameters!$B$8,N80+Parameters!$B$6),IF(K80="B",MAX(Parameters!$B$7,N80-Parameters!$B$6),N80)))</f>
        <v>0</v>
      </c>
      <c r="P80" s="22">
        <f t="shared" si="18"/>
        <v>0</v>
      </c>
      <c r="Q80" s="22">
        <f t="shared" si="19"/>
        <v>0</v>
      </c>
      <c r="R80" s="22">
        <f t="shared" si="20"/>
        <v>0</v>
      </c>
      <c r="S80" s="22">
        <f t="shared" si="21"/>
        <v>1882901.902</v>
      </c>
      <c r="T80" s="21">
        <f t="shared" si="22"/>
        <v>0</v>
      </c>
      <c r="U80" s="19" t="str">
        <f t="shared" si="23"/>
        <v>No transfer</v>
      </c>
      <c r="V80" s="35" t="s">
        <v>95</v>
      </c>
    </row>
    <row r="81" spans="1:22">
      <c r="A81" s="4">
        <v>43745</v>
      </c>
      <c r="B81" s="5">
        <v>-3.7200000000000002E-3</v>
      </c>
      <c r="C81" s="5">
        <v>-3.7200000000000002E-3</v>
      </c>
      <c r="D81" s="6">
        <f t="shared" si="14"/>
        <v>-3.7200000000000002E-3</v>
      </c>
      <c r="E81" s="8">
        <f t="shared" si="11"/>
        <v>14</v>
      </c>
      <c r="F81" s="9">
        <f t="shared" si="12"/>
        <v>0.92847489580660891</v>
      </c>
      <c r="G81" s="9">
        <f t="shared" si="13"/>
        <v>1.0715251041933918</v>
      </c>
      <c r="H81" s="9">
        <f t="shared" si="15"/>
        <v>-0.14305020838678284</v>
      </c>
      <c r="I81" t="str">
        <f t="shared" si="16"/>
        <v>B</v>
      </c>
      <c r="J81">
        <f t="shared" si="24"/>
        <v>16</v>
      </c>
      <c r="K81" t="str">
        <f>IF(I81="","",IF(J81&gt;=Parameters!$B$5,I81,"HOLD"))</f>
        <v>B</v>
      </c>
      <c r="L81" s="10">
        <f>'Actual Calc'!T81</f>
        <v>0</v>
      </c>
      <c r="M81" s="10">
        <f>'Actual Calc'!U81</f>
        <v>1789513.162</v>
      </c>
      <c r="N81" s="12">
        <f t="shared" si="17"/>
        <v>0</v>
      </c>
      <c r="O81" s="12">
        <f>IF(NOT(ISNUMBER(N81)),"",IF(K81="A",MIN(Parameters!$B$8,N81+Parameters!$B$6),IF(K81="B",MAX(Parameters!$B$7,N81-Parameters!$B$6),N81)))</f>
        <v>0</v>
      </c>
      <c r="P81" s="13">
        <f t="shared" si="18"/>
        <v>0</v>
      </c>
      <c r="Q81" s="13">
        <f t="shared" si="19"/>
        <v>0</v>
      </c>
      <c r="R81" s="13">
        <f t="shared" si="20"/>
        <v>0</v>
      </c>
      <c r="S81" s="13">
        <f t="shared" si="21"/>
        <v>1789513.162</v>
      </c>
      <c r="T81" s="12">
        <f t="shared" si="22"/>
        <v>0</v>
      </c>
      <c r="U81" t="str">
        <f t="shared" si="23"/>
        <v>No transfer</v>
      </c>
      <c r="V81" s="25" t="s">
        <v>95</v>
      </c>
    </row>
    <row r="82" spans="1:22">
      <c r="A82" s="14">
        <v>43752</v>
      </c>
      <c r="B82" s="15">
        <v>4.81E-3</v>
      </c>
      <c r="C82" s="15">
        <v>4.81E-3</v>
      </c>
      <c r="D82" s="16">
        <f t="shared" si="14"/>
        <v>4.81E-3</v>
      </c>
      <c r="E82" s="17">
        <f t="shared" si="11"/>
        <v>14</v>
      </c>
      <c r="F82" s="18">
        <f t="shared" si="12"/>
        <v>0.93323382907832853</v>
      </c>
      <c r="G82" s="18">
        <f t="shared" si="13"/>
        <v>1.0667661709216714</v>
      </c>
      <c r="H82" s="18">
        <f t="shared" si="15"/>
        <v>-0.13353234184334284</v>
      </c>
      <c r="I82" s="19" t="str">
        <f t="shared" si="16"/>
        <v>B</v>
      </c>
      <c r="J82" s="19">
        <f t="shared" si="24"/>
        <v>17</v>
      </c>
      <c r="K82" s="19" t="str">
        <f>IF(I82="","",IF(J82&gt;=Parameters!$B$5,I82,"HOLD"))</f>
        <v>B</v>
      </c>
      <c r="L82" s="20">
        <f>'Actual Calc'!T82</f>
        <v>0</v>
      </c>
      <c r="M82" s="20">
        <f>'Actual Calc'!U82</f>
        <v>1904269.6610000001</v>
      </c>
      <c r="N82" s="21">
        <f t="shared" si="17"/>
        <v>0</v>
      </c>
      <c r="O82" s="21">
        <f>IF(NOT(ISNUMBER(N82)),"",IF(K82="A",MIN(Parameters!$B$8,N82+Parameters!$B$6),IF(K82="B",MAX(Parameters!$B$7,N82-Parameters!$B$6),N82)))</f>
        <v>0</v>
      </c>
      <c r="P82" s="22">
        <f t="shared" si="18"/>
        <v>0</v>
      </c>
      <c r="Q82" s="22">
        <f t="shared" si="19"/>
        <v>0</v>
      </c>
      <c r="R82" s="22">
        <f t="shared" si="20"/>
        <v>0</v>
      </c>
      <c r="S82" s="22">
        <f t="shared" si="21"/>
        <v>1904269.6610000001</v>
      </c>
      <c r="T82" s="21">
        <f t="shared" si="22"/>
        <v>0</v>
      </c>
      <c r="U82" s="19" t="str">
        <f t="shared" si="23"/>
        <v>No transfer</v>
      </c>
      <c r="V82" s="35" t="s">
        <v>95</v>
      </c>
    </row>
    <row r="83" spans="1:22">
      <c r="A83" s="4">
        <v>43759</v>
      </c>
      <c r="B83" s="5">
        <v>-4.0000000000000001E-3</v>
      </c>
      <c r="C83" s="5">
        <v>-4.0000000000000001E-3</v>
      </c>
      <c r="D83" s="6">
        <f t="shared" si="14"/>
        <v>-4.0000000000000001E-3</v>
      </c>
      <c r="E83" s="8">
        <f t="shared" si="11"/>
        <v>13</v>
      </c>
      <c r="F83" s="9">
        <f t="shared" si="12"/>
        <v>0.9254188547684018</v>
      </c>
      <c r="G83" s="9">
        <f t="shared" si="13"/>
        <v>1.0745811452315981</v>
      </c>
      <c r="H83" s="9">
        <f t="shared" si="15"/>
        <v>-0.14916229046319629</v>
      </c>
      <c r="I83" t="str">
        <f t="shared" si="16"/>
        <v>B</v>
      </c>
      <c r="J83">
        <f t="shared" si="24"/>
        <v>18</v>
      </c>
      <c r="K83" t="str">
        <f>IF(I83="","",IF(J83&gt;=Parameters!$B$5,I83,"HOLD"))</f>
        <v>B</v>
      </c>
      <c r="L83" s="10">
        <f>'Actual Calc'!T83</f>
        <v>0</v>
      </c>
      <c r="M83" s="10">
        <f>'Actual Calc'!U83</f>
        <v>1802710.861</v>
      </c>
      <c r="N83" s="12">
        <f t="shared" si="17"/>
        <v>0</v>
      </c>
      <c r="O83" s="12">
        <f>IF(NOT(ISNUMBER(N83)),"",IF(K83="A",MIN(Parameters!$B$8,N83+Parameters!$B$6),IF(K83="B",MAX(Parameters!$B$7,N83-Parameters!$B$6),N83)))</f>
        <v>0</v>
      </c>
      <c r="P83" s="13">
        <f t="shared" si="18"/>
        <v>0</v>
      </c>
      <c r="Q83" s="13">
        <f t="shared" si="19"/>
        <v>0</v>
      </c>
      <c r="R83" s="13">
        <f t="shared" si="20"/>
        <v>0</v>
      </c>
      <c r="S83" s="13">
        <f t="shared" si="21"/>
        <v>1802710.861</v>
      </c>
      <c r="T83" s="12">
        <f t="shared" si="22"/>
        <v>0</v>
      </c>
      <c r="U83" t="str">
        <f t="shared" si="23"/>
        <v>No transfer</v>
      </c>
      <c r="V83" s="25" t="s">
        <v>95</v>
      </c>
    </row>
    <row r="84" spans="1:22">
      <c r="A84" s="14">
        <v>43766</v>
      </c>
      <c r="B84" s="15">
        <v>1.1679999999999999E-2</v>
      </c>
      <c r="C84" s="15">
        <v>1.1679999999999999E-2</v>
      </c>
      <c r="D84" s="16">
        <f t="shared" si="14"/>
        <v>1.1679999999999999E-2</v>
      </c>
      <c r="E84" s="17">
        <f t="shared" si="11"/>
        <v>13</v>
      </c>
      <c r="F84" s="18">
        <f t="shared" si="12"/>
        <v>0.907308987034666</v>
      </c>
      <c r="G84" s="18">
        <f t="shared" si="13"/>
        <v>1.0926910129653338</v>
      </c>
      <c r="H84" s="18">
        <f t="shared" si="15"/>
        <v>-0.18538202593066777</v>
      </c>
      <c r="I84" s="19" t="str">
        <f t="shared" si="16"/>
        <v>B</v>
      </c>
      <c r="J84" s="19">
        <f t="shared" si="24"/>
        <v>19</v>
      </c>
      <c r="K84" s="19" t="str">
        <f>IF(I84="","",IF(J84&gt;=Parameters!$B$5,I84,"HOLD"))</f>
        <v>B</v>
      </c>
      <c r="L84" s="20">
        <f>'Actual Calc'!T84</f>
        <v>0</v>
      </c>
      <c r="M84" s="20">
        <f>'Actual Calc'!U84</f>
        <v>2083439.6610000001</v>
      </c>
      <c r="N84" s="21">
        <f t="shared" si="17"/>
        <v>0</v>
      </c>
      <c r="O84" s="21">
        <f>IF(NOT(ISNUMBER(N84)),"",IF(K84="A",MIN(Parameters!$B$8,N84+Parameters!$B$6),IF(K84="B",MAX(Parameters!$B$7,N84-Parameters!$B$6),N84)))</f>
        <v>0</v>
      </c>
      <c r="P84" s="22">
        <f t="shared" si="18"/>
        <v>0</v>
      </c>
      <c r="Q84" s="22">
        <f t="shared" si="19"/>
        <v>0</v>
      </c>
      <c r="R84" s="22">
        <f t="shared" si="20"/>
        <v>0</v>
      </c>
      <c r="S84" s="22">
        <f t="shared" si="21"/>
        <v>2083439.6610000001</v>
      </c>
      <c r="T84" s="21">
        <f t="shared" si="22"/>
        <v>0</v>
      </c>
      <c r="U84" s="19" t="str">
        <f t="shared" si="23"/>
        <v>No transfer</v>
      </c>
      <c r="V84" s="35" t="s">
        <v>95</v>
      </c>
    </row>
    <row r="85" spans="1:22">
      <c r="A85" s="4">
        <v>43773</v>
      </c>
      <c r="B85" s="5">
        <v>-4.0200000000000001E-3</v>
      </c>
      <c r="C85" s="5">
        <v>-4.0200000000000001E-3</v>
      </c>
      <c r="D85" s="6">
        <f t="shared" si="14"/>
        <v>-4.0200000000000001E-3</v>
      </c>
      <c r="E85" s="8">
        <f t="shared" si="11"/>
        <v>12</v>
      </c>
      <c r="F85" s="9">
        <f t="shared" si="12"/>
        <v>0.90631815581161079</v>
      </c>
      <c r="G85" s="9">
        <f t="shared" si="13"/>
        <v>1.093681844188388</v>
      </c>
      <c r="H85" s="9">
        <f t="shared" si="15"/>
        <v>-0.18736368837677719</v>
      </c>
      <c r="I85" t="str">
        <f t="shared" si="16"/>
        <v>B</v>
      </c>
      <c r="J85">
        <f t="shared" si="24"/>
        <v>20</v>
      </c>
      <c r="K85" t="str">
        <f>IF(I85="","",IF(J85&gt;=Parameters!$B$5,I85,"HOLD"))</f>
        <v>B</v>
      </c>
      <c r="L85" s="10">
        <f>'Actual Calc'!T85</f>
        <v>0</v>
      </c>
      <c r="M85" s="10">
        <f>'Actual Calc'!U85</f>
        <v>1971775.719</v>
      </c>
      <c r="N85" s="12">
        <f t="shared" si="17"/>
        <v>0</v>
      </c>
      <c r="O85" s="12">
        <f>IF(NOT(ISNUMBER(N85)),"",IF(K85="A",MIN(Parameters!$B$8,N85+Parameters!$B$6),IF(K85="B",MAX(Parameters!$B$7,N85-Parameters!$B$6),N85)))</f>
        <v>0</v>
      </c>
      <c r="P85" s="13">
        <f t="shared" si="18"/>
        <v>0</v>
      </c>
      <c r="Q85" s="13">
        <f t="shared" si="19"/>
        <v>0</v>
      </c>
      <c r="R85" s="13">
        <f t="shared" si="20"/>
        <v>0</v>
      </c>
      <c r="S85" s="13">
        <f t="shared" si="21"/>
        <v>1971775.719</v>
      </c>
      <c r="T85" s="12">
        <f t="shared" si="22"/>
        <v>0</v>
      </c>
      <c r="U85" t="str">
        <f t="shared" si="23"/>
        <v>No transfer</v>
      </c>
      <c r="V85" s="25" t="s">
        <v>95</v>
      </c>
    </row>
    <row r="86" spans="1:22">
      <c r="A86" s="14">
        <v>43780</v>
      </c>
      <c r="B86" s="15">
        <v>1.226E-2</v>
      </c>
      <c r="C86" s="15">
        <v>1.226E-2</v>
      </c>
      <c r="D86" s="16">
        <f t="shared" si="14"/>
        <v>1.226E-2</v>
      </c>
      <c r="E86" s="17">
        <f t="shared" si="11"/>
        <v>12</v>
      </c>
      <c r="F86" s="18">
        <f t="shared" si="12"/>
        <v>0.94767827582808983</v>
      </c>
      <c r="G86" s="18">
        <f t="shared" si="13"/>
        <v>1.0523217241719098</v>
      </c>
      <c r="H86" s="18">
        <f t="shared" si="15"/>
        <v>-0.10464344834382</v>
      </c>
      <c r="I86" s="19" t="str">
        <f t="shared" si="16"/>
        <v>B</v>
      </c>
      <c r="J86" s="19">
        <f t="shared" si="24"/>
        <v>21</v>
      </c>
      <c r="K86" s="19" t="str">
        <f>IF(I86="","",IF(J86&gt;=Parameters!$B$5,I86,"HOLD"))</f>
        <v>B</v>
      </c>
      <c r="L86" s="20">
        <f>'Actual Calc'!T86</f>
        <v>0</v>
      </c>
      <c r="M86" s="20">
        <f>'Actual Calc'!U86</f>
        <v>2294078.8590000002</v>
      </c>
      <c r="N86" s="21">
        <f t="shared" si="17"/>
        <v>0</v>
      </c>
      <c r="O86" s="21">
        <f>IF(NOT(ISNUMBER(N86)),"",IF(K86="A",MIN(Parameters!$B$8,N86+Parameters!$B$6),IF(K86="B",MAX(Parameters!$B$7,N86-Parameters!$B$6),N86)))</f>
        <v>0</v>
      </c>
      <c r="P86" s="22">
        <f t="shared" si="18"/>
        <v>0</v>
      </c>
      <c r="Q86" s="22">
        <f t="shared" si="19"/>
        <v>0</v>
      </c>
      <c r="R86" s="22">
        <f t="shared" si="20"/>
        <v>0</v>
      </c>
      <c r="S86" s="22">
        <f t="shared" si="21"/>
        <v>2294078.8590000002</v>
      </c>
      <c r="T86" s="21">
        <f t="shared" si="22"/>
        <v>0</v>
      </c>
      <c r="U86" s="19" t="str">
        <f t="shared" si="23"/>
        <v>No transfer</v>
      </c>
      <c r="V86" s="35" t="s">
        <v>95</v>
      </c>
    </row>
    <row r="87" spans="1:22">
      <c r="A87" s="4">
        <v>43787</v>
      </c>
      <c r="B87" s="5">
        <v>-8.6599999999999993E-3</v>
      </c>
      <c r="C87" s="5">
        <v>-8.6599999999999993E-3</v>
      </c>
      <c r="D87" s="6">
        <f t="shared" si="14"/>
        <v>-8.6599999999999993E-3</v>
      </c>
      <c r="E87" s="8">
        <f t="shared" si="11"/>
        <v>12</v>
      </c>
      <c r="F87" s="9">
        <f t="shared" si="12"/>
        <v>0.94767827582808983</v>
      </c>
      <c r="G87" s="9">
        <f t="shared" si="13"/>
        <v>1.0523217241719098</v>
      </c>
      <c r="H87" s="9">
        <f t="shared" si="15"/>
        <v>-0.10464344834382</v>
      </c>
      <c r="I87" t="str">
        <f t="shared" si="16"/>
        <v>B</v>
      </c>
      <c r="J87">
        <f t="shared" si="24"/>
        <v>22</v>
      </c>
      <c r="K87" t="str">
        <f>IF(I87="","",IF(J87&gt;=Parameters!$B$5,I87,"HOLD"))</f>
        <v>B</v>
      </c>
      <c r="L87" s="10">
        <f>'Actual Calc'!T87</f>
        <v>0</v>
      </c>
      <c r="M87" s="10">
        <f>'Actual Calc'!U87</f>
        <v>2029189.3770000003</v>
      </c>
      <c r="N87" s="12">
        <f t="shared" si="17"/>
        <v>0</v>
      </c>
      <c r="O87" s="12">
        <f>IF(NOT(ISNUMBER(N87)),"",IF(K87="A",MIN(Parameters!$B$8,N87+Parameters!$B$6),IF(K87="B",MAX(Parameters!$B$7,N87-Parameters!$B$6),N87)))</f>
        <v>0</v>
      </c>
      <c r="P87" s="13">
        <f t="shared" si="18"/>
        <v>0</v>
      </c>
      <c r="Q87" s="13">
        <f t="shared" si="19"/>
        <v>0</v>
      </c>
      <c r="R87" s="13">
        <f t="shared" si="20"/>
        <v>0</v>
      </c>
      <c r="S87" s="13">
        <f t="shared" si="21"/>
        <v>2029189.3770000003</v>
      </c>
      <c r="T87" s="12">
        <f t="shared" si="22"/>
        <v>0</v>
      </c>
      <c r="U87" t="str">
        <f t="shared" si="23"/>
        <v>No transfer</v>
      </c>
      <c r="V87" s="25" t="s">
        <v>95</v>
      </c>
    </row>
    <row r="88" spans="1:22">
      <c r="A88" s="14">
        <v>43794</v>
      </c>
      <c r="B88" s="15">
        <v>7.5399999999999998E-3</v>
      </c>
      <c r="C88" s="15">
        <v>7.5399999999999998E-3</v>
      </c>
      <c r="D88" s="16">
        <f t="shared" si="14"/>
        <v>7.5399999999999998E-3</v>
      </c>
      <c r="E88" s="17">
        <f t="shared" si="11"/>
        <v>13</v>
      </c>
      <c r="F88" s="18">
        <f t="shared" si="12"/>
        <v>0.9546985594792079</v>
      </c>
      <c r="G88" s="18">
        <f t="shared" si="13"/>
        <v>1.0453014405207921</v>
      </c>
      <c r="H88" s="18">
        <f t="shared" si="15"/>
        <v>-9.0602881041584205E-2</v>
      </c>
      <c r="I88" s="19" t="str">
        <f t="shared" si="16"/>
        <v>B</v>
      </c>
      <c r="J88" s="19">
        <f t="shared" si="24"/>
        <v>23</v>
      </c>
      <c r="K88" s="19" t="str">
        <f>IF(I88="","",IF(J88&gt;=Parameters!$B$5,I88,"HOLD"))</f>
        <v>B</v>
      </c>
      <c r="L88" s="20">
        <f>'Actual Calc'!T88</f>
        <v>0</v>
      </c>
      <c r="M88" s="20">
        <f>'Actual Calc'!U88</f>
        <v>2233183.3230000003</v>
      </c>
      <c r="N88" s="21">
        <f t="shared" si="17"/>
        <v>0</v>
      </c>
      <c r="O88" s="21">
        <f>IF(NOT(ISNUMBER(N88)),"",IF(K88="A",MIN(Parameters!$B$8,N88+Parameters!$B$6),IF(K88="B",MAX(Parameters!$B$7,N88-Parameters!$B$6),N88)))</f>
        <v>0</v>
      </c>
      <c r="P88" s="22">
        <f t="shared" si="18"/>
        <v>0</v>
      </c>
      <c r="Q88" s="22">
        <f t="shared" si="19"/>
        <v>0</v>
      </c>
      <c r="R88" s="22">
        <f t="shared" si="20"/>
        <v>0</v>
      </c>
      <c r="S88" s="22">
        <f t="shared" si="21"/>
        <v>2233183.3230000003</v>
      </c>
      <c r="T88" s="21">
        <f t="shared" si="22"/>
        <v>0</v>
      </c>
      <c r="U88" s="19" t="str">
        <f t="shared" si="23"/>
        <v>No transfer</v>
      </c>
      <c r="V88" s="35" t="s">
        <v>95</v>
      </c>
    </row>
    <row r="89" spans="1:22">
      <c r="A89" s="4">
        <v>43801</v>
      </c>
      <c r="B89" s="5">
        <v>-1.3639999999999999E-2</v>
      </c>
      <c r="C89" s="5">
        <v>-1.3639999999999999E-2</v>
      </c>
      <c r="D89" s="6">
        <f t="shared" si="14"/>
        <v>-1.3639999999999999E-2</v>
      </c>
      <c r="E89" s="8">
        <f t="shared" si="11"/>
        <v>12</v>
      </c>
      <c r="F89" s="9">
        <f t="shared" si="12"/>
        <v>0.93728403423668738</v>
      </c>
      <c r="G89" s="9">
        <f t="shared" si="13"/>
        <v>1.0627159657633132</v>
      </c>
      <c r="H89" s="9">
        <f t="shared" si="15"/>
        <v>-0.1254319315266258</v>
      </c>
      <c r="I89" t="str">
        <f t="shared" si="16"/>
        <v>B</v>
      </c>
      <c r="J89">
        <f t="shared" si="24"/>
        <v>24</v>
      </c>
      <c r="K89" t="str">
        <f>IF(I89="","",IF(J89&gt;=Parameters!$B$5,I89,"HOLD"))</f>
        <v>B</v>
      </c>
      <c r="L89" s="10">
        <f>'Actual Calc'!T89</f>
        <v>0</v>
      </c>
      <c r="M89" s="10">
        <f>'Actual Calc'!U89</f>
        <v>1827072.7830000003</v>
      </c>
      <c r="N89" s="12">
        <f t="shared" si="17"/>
        <v>0</v>
      </c>
      <c r="O89" s="12">
        <f>IF(NOT(ISNUMBER(N89)),"",IF(K89="A",MIN(Parameters!$B$8,N89+Parameters!$B$6),IF(K89="B",MAX(Parameters!$B$7,N89-Parameters!$B$6),N89)))</f>
        <v>0</v>
      </c>
      <c r="P89" s="13">
        <f t="shared" si="18"/>
        <v>0</v>
      </c>
      <c r="Q89" s="13">
        <f t="shared" si="19"/>
        <v>0</v>
      </c>
      <c r="R89" s="13">
        <f t="shared" si="20"/>
        <v>0</v>
      </c>
      <c r="S89" s="13">
        <f t="shared" si="21"/>
        <v>1827072.7830000003</v>
      </c>
      <c r="T89" s="12">
        <f t="shared" si="22"/>
        <v>0</v>
      </c>
      <c r="U89" t="str">
        <f t="shared" si="23"/>
        <v>No transfer</v>
      </c>
      <c r="V89" s="25" t="s">
        <v>95</v>
      </c>
    </row>
    <row r="90" spans="1:22">
      <c r="A90" s="14">
        <v>43808</v>
      </c>
      <c r="B90" s="15">
        <v>1.2699999999999999E-2</v>
      </c>
      <c r="C90" s="15">
        <v>1.2699999999999999E-2</v>
      </c>
      <c r="D90" s="16">
        <f t="shared" si="14"/>
        <v>1.2699999999999999E-2</v>
      </c>
      <c r="E90" s="17">
        <f t="shared" si="11"/>
        <v>13</v>
      </c>
      <c r="F90" s="18">
        <f t="shared" si="12"/>
        <v>0.93899536781397919</v>
      </c>
      <c r="G90" s="18">
        <f t="shared" si="13"/>
        <v>1.0610046321860207</v>
      </c>
      <c r="H90" s="18">
        <f t="shared" si="15"/>
        <v>-0.12200926437204151</v>
      </c>
      <c r="I90" s="19" t="str">
        <f t="shared" si="16"/>
        <v>B</v>
      </c>
      <c r="J90" s="19">
        <f t="shared" si="24"/>
        <v>25</v>
      </c>
      <c r="K90" s="19" t="str">
        <f>IF(I90="","",IF(J90&gt;=Parameters!$B$5,I90,"HOLD"))</f>
        <v>B</v>
      </c>
      <c r="L90" s="20">
        <f>'Actual Calc'!T90</f>
        <v>0</v>
      </c>
      <c r="M90" s="20">
        <f>'Actual Calc'!U90</f>
        <v>2136435.8930000002</v>
      </c>
      <c r="N90" s="21">
        <f t="shared" si="17"/>
        <v>0</v>
      </c>
      <c r="O90" s="21">
        <f>IF(NOT(ISNUMBER(N90)),"",IF(K90="A",MIN(Parameters!$B$8,N90+Parameters!$B$6),IF(K90="B",MAX(Parameters!$B$7,N90-Parameters!$B$6),N90)))</f>
        <v>0</v>
      </c>
      <c r="P90" s="22">
        <f t="shared" si="18"/>
        <v>0</v>
      </c>
      <c r="Q90" s="22">
        <f t="shared" si="19"/>
        <v>0</v>
      </c>
      <c r="R90" s="22">
        <f t="shared" si="20"/>
        <v>0</v>
      </c>
      <c r="S90" s="22">
        <f t="shared" si="21"/>
        <v>2136435.8930000002</v>
      </c>
      <c r="T90" s="21">
        <f t="shared" si="22"/>
        <v>0</v>
      </c>
      <c r="U90" s="19" t="str">
        <f t="shared" si="23"/>
        <v>No transfer</v>
      </c>
      <c r="V90" s="35" t="s">
        <v>95</v>
      </c>
    </row>
    <row r="91" spans="1:22">
      <c r="A91" s="4">
        <v>43815</v>
      </c>
      <c r="B91" s="5">
        <v>1.6480000000000002E-2</v>
      </c>
      <c r="C91" s="5">
        <v>1.6480000000000002E-2</v>
      </c>
      <c r="D91" s="6">
        <f t="shared" si="14"/>
        <v>1.6480000000000002E-2</v>
      </c>
      <c r="E91" s="8">
        <f t="shared" si="11"/>
        <v>13</v>
      </c>
      <c r="F91" s="9">
        <f t="shared" si="12"/>
        <v>0.92029694933596728</v>
      </c>
      <c r="G91" s="9">
        <f t="shared" si="13"/>
        <v>1.0797030506640326</v>
      </c>
      <c r="H91" s="9">
        <f t="shared" si="15"/>
        <v>-0.15940610132806532</v>
      </c>
      <c r="I91" t="str">
        <f t="shared" si="16"/>
        <v>B</v>
      </c>
      <c r="J91">
        <f t="shared" si="24"/>
        <v>26</v>
      </c>
      <c r="K91" t="str">
        <f>IF(I91="","",IF(J91&gt;=Parameters!$B$5,I91,"HOLD"))</f>
        <v>B</v>
      </c>
      <c r="L91" s="10">
        <f>'Actual Calc'!T91</f>
        <v>0</v>
      </c>
      <c r="M91" s="10">
        <f>'Actual Calc'!U91</f>
        <v>2605876.9330000002</v>
      </c>
      <c r="N91" s="12">
        <f t="shared" si="17"/>
        <v>0</v>
      </c>
      <c r="O91" s="12">
        <f>IF(NOT(ISNUMBER(N91)),"",IF(K91="A",MIN(Parameters!$B$8,N91+Parameters!$B$6),IF(K91="B",MAX(Parameters!$B$7,N91-Parameters!$B$6),N91)))</f>
        <v>0</v>
      </c>
      <c r="P91" s="13">
        <f t="shared" si="18"/>
        <v>0</v>
      </c>
      <c r="Q91" s="13">
        <f t="shared" si="19"/>
        <v>0</v>
      </c>
      <c r="R91" s="13">
        <f t="shared" si="20"/>
        <v>0</v>
      </c>
      <c r="S91" s="13">
        <f t="shared" si="21"/>
        <v>2605876.9330000002</v>
      </c>
      <c r="T91" s="12">
        <f t="shared" si="22"/>
        <v>0</v>
      </c>
      <c r="U91" t="str">
        <f t="shared" si="23"/>
        <v>No transfer</v>
      </c>
      <c r="V91" s="25" t="s">
        <v>95</v>
      </c>
    </row>
    <row r="92" spans="1:22">
      <c r="A92" s="14">
        <v>43822</v>
      </c>
      <c r="B92" s="15">
        <v>7.3099999999999997E-3</v>
      </c>
      <c r="C92" s="15">
        <v>7.3099999999999997E-3</v>
      </c>
      <c r="D92" s="16">
        <f t="shared" si="14"/>
        <v>7.3099999999999997E-3</v>
      </c>
      <c r="E92" s="17">
        <f t="shared" si="11"/>
        <v>14</v>
      </c>
      <c r="F92" s="18">
        <f t="shared" si="12"/>
        <v>0.93073656551552908</v>
      </c>
      <c r="G92" s="18">
        <f t="shared" si="13"/>
        <v>1.0692634344844716</v>
      </c>
      <c r="H92" s="18">
        <f t="shared" si="15"/>
        <v>-0.13852686896894251</v>
      </c>
      <c r="I92" s="19" t="str">
        <f t="shared" si="16"/>
        <v>B</v>
      </c>
      <c r="J92" s="19">
        <f t="shared" si="24"/>
        <v>27</v>
      </c>
      <c r="K92" s="19" t="str">
        <f>IF(I92="","",IF(J92&gt;=Parameters!$B$5,I92,"HOLD"))</f>
        <v>B</v>
      </c>
      <c r="L92" s="20">
        <f>'Actual Calc'!T92</f>
        <v>0</v>
      </c>
      <c r="M92" s="20">
        <f>'Actual Calc'!U92</f>
        <v>2859854.111</v>
      </c>
      <c r="N92" s="21">
        <f t="shared" si="17"/>
        <v>0</v>
      </c>
      <c r="O92" s="21">
        <f>IF(NOT(ISNUMBER(N92)),"",IF(K92="A",MIN(Parameters!$B$8,N92+Parameters!$B$6),IF(K92="B",MAX(Parameters!$B$7,N92-Parameters!$B$6),N92)))</f>
        <v>0</v>
      </c>
      <c r="P92" s="22">
        <f t="shared" si="18"/>
        <v>0</v>
      </c>
      <c r="Q92" s="22">
        <f t="shared" si="19"/>
        <v>0</v>
      </c>
      <c r="R92" s="22">
        <f t="shared" si="20"/>
        <v>0</v>
      </c>
      <c r="S92" s="22">
        <f t="shared" si="21"/>
        <v>2859854.111</v>
      </c>
      <c r="T92" s="21">
        <f t="shared" si="22"/>
        <v>0</v>
      </c>
      <c r="U92" s="19" t="str">
        <f t="shared" si="23"/>
        <v>No transfer</v>
      </c>
      <c r="V92" s="35" t="s">
        <v>95</v>
      </c>
    </row>
    <row r="93" spans="1:22">
      <c r="A93" s="4">
        <v>43829</v>
      </c>
      <c r="B93" s="5">
        <v>-1.39E-3</v>
      </c>
      <c r="C93" s="5">
        <v>-1.39E-3</v>
      </c>
      <c r="D93" s="6">
        <f t="shared" si="14"/>
        <v>-1.39E-3</v>
      </c>
      <c r="E93" s="8">
        <f t="shared" ref="E93:E156" si="25">IF(NOT(ISNUMBER(D93)),"",COUNTIF(D68:D93,"&gt;0"))</f>
        <v>14</v>
      </c>
      <c r="F93" s="9">
        <f t="shared" ref="F93:F156" si="26">IF(OR(NOT(ISNUMBER(E93)),E93&lt;2),"",IFERROR((SUMPRODUCT(--(D68:D93&gt;0),B68:B93,D68:D93)-SUMPRODUCT(--(D68:D93&gt;0),B68:B93)*SUMPRODUCT(--(D68:D93&gt;0),D68:D93)/E93)/(SUMPRODUCT(--(D68:D93&gt;0),D68:D93,D68:D93)-SUMPRODUCT(--(D68:D93&gt;0),D68:D93)^2/E93),""))</f>
        <v>0.93073656551552908</v>
      </c>
      <c r="G93" s="9">
        <f t="shared" ref="G93:G156" si="27">IF(OR(NOT(ISNUMBER(E93)),E93&lt;2),"",IFERROR((SUMPRODUCT(--(D68:D93&gt;0),C68:C93,D68:D93)-SUMPRODUCT(--(D68:D93&gt;0),C68:C93)*SUMPRODUCT(--(D68:D93&gt;0),D68:D93)/E93)/(SUMPRODUCT(--(D68:D93&gt;0),D68:D93,D68:D93)-SUMPRODUCT(--(D68:D93&gt;0),D68:D93)^2/E93),""))</f>
        <v>1.0692634344844716</v>
      </c>
      <c r="H93" s="9">
        <f t="shared" si="15"/>
        <v>-0.13852686896894251</v>
      </c>
      <c r="I93" t="str">
        <f t="shared" si="16"/>
        <v>B</v>
      </c>
      <c r="J93">
        <f t="shared" si="24"/>
        <v>28</v>
      </c>
      <c r="K93" t="str">
        <f>IF(I93="","",IF(J93&gt;=Parameters!$B$5,I93,"HOLD"))</f>
        <v>B</v>
      </c>
      <c r="L93" s="10">
        <f>'Actual Calc'!T93</f>
        <v>0</v>
      </c>
      <c r="M93" s="10">
        <f>'Actual Calc'!U93</f>
        <v>2806854.2450000001</v>
      </c>
      <c r="N93" s="12">
        <f t="shared" si="17"/>
        <v>0</v>
      </c>
      <c r="O93" s="12">
        <f>IF(NOT(ISNUMBER(N93)),"",IF(K93="A",MIN(Parameters!$B$8,N93+Parameters!$B$6),IF(K93="B",MAX(Parameters!$B$7,N93-Parameters!$B$6),N93)))</f>
        <v>0</v>
      </c>
      <c r="P93" s="13">
        <f t="shared" si="18"/>
        <v>0</v>
      </c>
      <c r="Q93" s="13">
        <f t="shared" si="19"/>
        <v>0</v>
      </c>
      <c r="R93" s="13">
        <f t="shared" si="20"/>
        <v>0</v>
      </c>
      <c r="S93" s="13">
        <f t="shared" si="21"/>
        <v>2806854.2450000001</v>
      </c>
      <c r="T93" s="12">
        <f t="shared" si="22"/>
        <v>0</v>
      </c>
      <c r="U93" t="str">
        <f t="shared" si="23"/>
        <v>No transfer</v>
      </c>
      <c r="V93" s="25" t="s">
        <v>95</v>
      </c>
    </row>
    <row r="94" spans="1:22">
      <c r="A94" s="14">
        <v>43836</v>
      </c>
      <c r="B94" s="15">
        <v>1.4619999999999999E-2</v>
      </c>
      <c r="C94" s="15">
        <v>1.4619999999999999E-2</v>
      </c>
      <c r="D94" s="16">
        <f t="shared" si="14"/>
        <v>1.4619999999999999E-2</v>
      </c>
      <c r="E94" s="17">
        <f t="shared" si="25"/>
        <v>14</v>
      </c>
      <c r="F94" s="18">
        <f t="shared" si="26"/>
        <v>0.93039215716691992</v>
      </c>
      <c r="G94" s="18">
        <f t="shared" si="27"/>
        <v>1.069607842833076</v>
      </c>
      <c r="H94" s="18">
        <f t="shared" si="15"/>
        <v>-0.13921568566615605</v>
      </c>
      <c r="I94" s="19" t="str">
        <f t="shared" si="16"/>
        <v>B</v>
      </c>
      <c r="J94" s="19">
        <f t="shared" si="24"/>
        <v>29</v>
      </c>
      <c r="K94" s="19" t="str">
        <f>IF(I94="","",IF(J94&gt;=Parameters!$B$5,I94,"HOLD"))</f>
        <v>B</v>
      </c>
      <c r="L94" s="20">
        <f>'Actual Calc'!T94</f>
        <v>0</v>
      </c>
      <c r="M94" s="20">
        <f>'Actual Calc'!U94</f>
        <v>3353982.8909999998</v>
      </c>
      <c r="N94" s="21">
        <f t="shared" si="17"/>
        <v>0</v>
      </c>
      <c r="O94" s="21">
        <f>IF(NOT(ISNUMBER(N94)),"",IF(K94="A",MIN(Parameters!$B$8,N94+Parameters!$B$6),IF(K94="B",MAX(Parameters!$B$7,N94-Parameters!$B$6),N94)))</f>
        <v>0</v>
      </c>
      <c r="P94" s="22">
        <f t="shared" si="18"/>
        <v>0</v>
      </c>
      <c r="Q94" s="22">
        <f t="shared" si="19"/>
        <v>0</v>
      </c>
      <c r="R94" s="22">
        <f t="shared" si="20"/>
        <v>0</v>
      </c>
      <c r="S94" s="22">
        <f t="shared" si="21"/>
        <v>3353982.8909999998</v>
      </c>
      <c r="T94" s="21">
        <f t="shared" si="22"/>
        <v>0</v>
      </c>
      <c r="U94" s="19" t="str">
        <f t="shared" si="23"/>
        <v>No transfer</v>
      </c>
      <c r="V94" s="35" t="s">
        <v>95</v>
      </c>
    </row>
    <row r="95" spans="1:22">
      <c r="A95" s="4">
        <v>43843</v>
      </c>
      <c r="B95" s="5">
        <v>7.43E-3</v>
      </c>
      <c r="C95" s="5">
        <v>7.43E-3</v>
      </c>
      <c r="D95" s="6">
        <f t="shared" si="14"/>
        <v>7.43E-3</v>
      </c>
      <c r="E95" s="8">
        <f t="shared" si="25"/>
        <v>15</v>
      </c>
      <c r="F95" s="9">
        <f t="shared" si="26"/>
        <v>0.93816138276459704</v>
      </c>
      <c r="G95" s="9">
        <f t="shared" si="27"/>
        <v>1.0618386172354022</v>
      </c>
      <c r="H95" s="9">
        <f t="shared" si="15"/>
        <v>-0.12367723447080514</v>
      </c>
      <c r="I95" t="str">
        <f t="shared" si="16"/>
        <v>B</v>
      </c>
      <c r="J95">
        <f t="shared" si="24"/>
        <v>30</v>
      </c>
      <c r="K95" t="str">
        <f>IF(I95="","",IF(J95&gt;=Parameters!$B$5,I95,"HOLD"))</f>
        <v>B</v>
      </c>
      <c r="L95" s="10">
        <f>'Actual Calc'!T95</f>
        <v>0</v>
      </c>
      <c r="M95" s="10">
        <f>'Actual Calc'!U95</f>
        <v>3686244.318</v>
      </c>
      <c r="N95" s="12">
        <f t="shared" si="17"/>
        <v>0</v>
      </c>
      <c r="O95" s="12">
        <f>IF(NOT(ISNUMBER(N95)),"",IF(K95="A",MIN(Parameters!$B$8,N95+Parameters!$B$6),IF(K95="B",MAX(Parameters!$B$7,N95-Parameters!$B$6),N95)))</f>
        <v>0</v>
      </c>
      <c r="P95" s="13">
        <f t="shared" si="18"/>
        <v>0</v>
      </c>
      <c r="Q95" s="13">
        <f t="shared" si="19"/>
        <v>0</v>
      </c>
      <c r="R95" s="13">
        <f t="shared" si="20"/>
        <v>0</v>
      </c>
      <c r="S95" s="13">
        <f t="shared" si="21"/>
        <v>3686244.318</v>
      </c>
      <c r="T95" s="12">
        <f t="shared" si="22"/>
        <v>0</v>
      </c>
      <c r="U95" t="str">
        <f t="shared" si="23"/>
        <v>No transfer</v>
      </c>
      <c r="V95" s="25" t="s">
        <v>95</v>
      </c>
    </row>
    <row r="96" spans="1:22">
      <c r="A96" s="14">
        <v>43850</v>
      </c>
      <c r="B96" s="15">
        <v>-4.0000000000000001E-3</v>
      </c>
      <c r="C96" s="15">
        <v>-4.0000000000000001E-3</v>
      </c>
      <c r="D96" s="16">
        <f t="shared" si="14"/>
        <v>-4.0000000000000001E-3</v>
      </c>
      <c r="E96" s="17">
        <f t="shared" si="25"/>
        <v>14</v>
      </c>
      <c r="F96" s="18">
        <f t="shared" si="26"/>
        <v>0.93918093285968407</v>
      </c>
      <c r="G96" s="18">
        <f t="shared" si="27"/>
        <v>1.0608190671403146</v>
      </c>
      <c r="H96" s="18">
        <f t="shared" si="15"/>
        <v>-0.12163813428063053</v>
      </c>
      <c r="I96" s="19" t="str">
        <f t="shared" si="16"/>
        <v>B</v>
      </c>
      <c r="J96" s="19">
        <f t="shared" si="24"/>
        <v>31</v>
      </c>
      <c r="K96" s="19" t="str">
        <f>IF(I96="","",IF(J96&gt;=Parameters!$B$5,I96,"HOLD"))</f>
        <v>B</v>
      </c>
      <c r="L96" s="20">
        <f>'Actual Calc'!T96</f>
        <v>0</v>
      </c>
      <c r="M96" s="20">
        <f>'Actual Calc'!U96</f>
        <v>3489649.5180000002</v>
      </c>
      <c r="N96" s="21">
        <f t="shared" si="17"/>
        <v>0</v>
      </c>
      <c r="O96" s="21">
        <f>IF(NOT(ISNUMBER(N96)),"",IF(K96="A",MIN(Parameters!$B$8,N96+Parameters!$B$6),IF(K96="B",MAX(Parameters!$B$7,N96-Parameters!$B$6),N96)))</f>
        <v>0</v>
      </c>
      <c r="P96" s="22">
        <f t="shared" si="18"/>
        <v>0</v>
      </c>
      <c r="Q96" s="22">
        <f t="shared" si="19"/>
        <v>0</v>
      </c>
      <c r="R96" s="22">
        <f t="shared" si="20"/>
        <v>0</v>
      </c>
      <c r="S96" s="22">
        <f t="shared" si="21"/>
        <v>3489649.5180000002</v>
      </c>
      <c r="T96" s="21">
        <f t="shared" si="22"/>
        <v>0</v>
      </c>
      <c r="U96" s="19" t="str">
        <f t="shared" si="23"/>
        <v>No transfer</v>
      </c>
      <c r="V96" s="35" t="s">
        <v>95</v>
      </c>
    </row>
    <row r="97" spans="1:22">
      <c r="A97" s="4">
        <v>43857</v>
      </c>
      <c r="B97" s="5">
        <v>6.5700000000000003E-3</v>
      </c>
      <c r="C97" s="5">
        <v>0</v>
      </c>
      <c r="D97" s="6">
        <f t="shared" si="14"/>
        <v>3.2850000000000002E-3</v>
      </c>
      <c r="E97" s="8">
        <f t="shared" si="25"/>
        <v>15</v>
      </c>
      <c r="F97" s="9">
        <f t="shared" si="26"/>
        <v>0.90905968346408639</v>
      </c>
      <c r="G97" s="9">
        <f t="shared" si="27"/>
        <v>1.0909403165359124</v>
      </c>
      <c r="H97" s="9">
        <f t="shared" si="15"/>
        <v>-0.181880633071826</v>
      </c>
      <c r="I97" t="str">
        <f t="shared" si="16"/>
        <v>B</v>
      </c>
      <c r="J97">
        <f t="shared" si="24"/>
        <v>32</v>
      </c>
      <c r="K97" t="str">
        <f>IF(I97="","",IF(J97&gt;=Parameters!$B$5,I97,"HOLD"))</f>
        <v>B</v>
      </c>
      <c r="L97" s="10">
        <f>'Actual Calc'!T97</f>
        <v>0</v>
      </c>
      <c r="M97" s="10">
        <f>'Actual Calc'!U97</f>
        <v>3489649.5180000002</v>
      </c>
      <c r="N97" s="12">
        <f t="shared" si="17"/>
        <v>0</v>
      </c>
      <c r="O97" s="12">
        <f>IF(NOT(ISNUMBER(N97)),"",IF(K97="A",MIN(Parameters!$B$8,N97+Parameters!$B$6),IF(K97="B",MAX(Parameters!$B$7,N97-Parameters!$B$6),N97)))</f>
        <v>0</v>
      </c>
      <c r="P97" s="13">
        <f t="shared" si="18"/>
        <v>0</v>
      </c>
      <c r="Q97" s="13">
        <f t="shared" si="19"/>
        <v>0</v>
      </c>
      <c r="R97" s="13">
        <f t="shared" si="20"/>
        <v>0</v>
      </c>
      <c r="S97" s="13">
        <f t="shared" si="21"/>
        <v>3489649.5180000002</v>
      </c>
      <c r="T97" s="12">
        <f t="shared" si="22"/>
        <v>0</v>
      </c>
      <c r="U97" t="str">
        <f t="shared" si="23"/>
        <v>No transfer</v>
      </c>
      <c r="V97" s="25" t="s">
        <v>96</v>
      </c>
    </row>
    <row r="98" spans="1:22">
      <c r="A98" s="14">
        <v>43864</v>
      </c>
      <c r="B98" s="15">
        <v>9.7900000000000001E-3</v>
      </c>
      <c r="C98" s="15">
        <v>9.7900000000000001E-3</v>
      </c>
      <c r="D98" s="16">
        <f t="shared" si="14"/>
        <v>9.7900000000000001E-3</v>
      </c>
      <c r="E98" s="17">
        <f t="shared" si="25"/>
        <v>15</v>
      </c>
      <c r="F98" s="18">
        <f t="shared" si="26"/>
        <v>0.95376527277101675</v>
      </c>
      <c r="G98" s="18">
        <f t="shared" si="27"/>
        <v>1.0462347272289836</v>
      </c>
      <c r="H98" s="18">
        <f t="shared" si="15"/>
        <v>-9.2469454457966838E-2</v>
      </c>
      <c r="I98" s="19" t="str">
        <f t="shared" si="16"/>
        <v>B</v>
      </c>
      <c r="J98" s="19">
        <f t="shared" si="24"/>
        <v>33</v>
      </c>
      <c r="K98" s="19" t="str">
        <f>IF(I98="","",IF(J98&gt;=Parameters!$B$5,I98,"HOLD"))</f>
        <v>B</v>
      </c>
      <c r="L98" s="20">
        <f>'Actual Calc'!T98</f>
        <v>0</v>
      </c>
      <c r="M98" s="20">
        <f>'Actual Calc'!U98</f>
        <v>3945145.9110000003</v>
      </c>
      <c r="N98" s="21">
        <f t="shared" si="17"/>
        <v>0</v>
      </c>
      <c r="O98" s="21">
        <f>IF(NOT(ISNUMBER(N98)),"",IF(K98="A",MIN(Parameters!$B$8,N98+Parameters!$B$6),IF(K98="B",MAX(Parameters!$B$7,N98-Parameters!$B$6),N98)))</f>
        <v>0</v>
      </c>
      <c r="P98" s="22">
        <f t="shared" si="18"/>
        <v>0</v>
      </c>
      <c r="Q98" s="22">
        <f t="shared" si="19"/>
        <v>0</v>
      </c>
      <c r="R98" s="22">
        <f t="shared" si="20"/>
        <v>0</v>
      </c>
      <c r="S98" s="22">
        <f t="shared" si="21"/>
        <v>3945145.9110000003</v>
      </c>
      <c r="T98" s="21">
        <f t="shared" si="22"/>
        <v>0</v>
      </c>
      <c r="U98" s="19" t="str">
        <f t="shared" si="23"/>
        <v>No transfer</v>
      </c>
      <c r="V98" s="35" t="s">
        <v>95</v>
      </c>
    </row>
    <row r="99" spans="1:22">
      <c r="A99" s="4">
        <v>43871</v>
      </c>
      <c r="B99" s="5">
        <v>1.511E-2</v>
      </c>
      <c r="C99" s="5">
        <v>1.511E-2</v>
      </c>
      <c r="D99" s="6">
        <f t="shared" si="14"/>
        <v>1.511E-2</v>
      </c>
      <c r="E99" s="8">
        <f t="shared" si="25"/>
        <v>16</v>
      </c>
      <c r="F99" s="9">
        <f t="shared" si="26"/>
        <v>0.95349288429163193</v>
      </c>
      <c r="G99" s="9">
        <f t="shared" si="27"/>
        <v>1.0465071157083696</v>
      </c>
      <c r="H99" s="9">
        <f t="shared" si="15"/>
        <v>-9.3014231416737703E-2</v>
      </c>
      <c r="I99" t="str">
        <f t="shared" si="16"/>
        <v>B</v>
      </c>
      <c r="J99">
        <f t="shared" si="24"/>
        <v>34</v>
      </c>
      <c r="K99" t="str">
        <f>IF(I99="","",IF(J99&gt;=Parameters!$B$5,I99,"HOLD"))</f>
        <v>B</v>
      </c>
      <c r="L99" s="10">
        <f>'Actual Calc'!T99</f>
        <v>0</v>
      </c>
      <c r="M99" s="10">
        <f>'Actual Calc'!U99</f>
        <v>4739947.0210000006</v>
      </c>
      <c r="N99" s="12">
        <f t="shared" si="17"/>
        <v>0</v>
      </c>
      <c r="O99" s="12">
        <f>IF(NOT(ISNUMBER(N99)),"",IF(K99="A",MIN(Parameters!$B$8,N99+Parameters!$B$6),IF(K99="B",MAX(Parameters!$B$7,N99-Parameters!$B$6),N99)))</f>
        <v>0</v>
      </c>
      <c r="P99" s="13">
        <f t="shared" si="18"/>
        <v>0</v>
      </c>
      <c r="Q99" s="13">
        <f t="shared" si="19"/>
        <v>0</v>
      </c>
      <c r="R99" s="13">
        <f t="shared" si="20"/>
        <v>0</v>
      </c>
      <c r="S99" s="13">
        <f t="shared" si="21"/>
        <v>4739947.0210000006</v>
      </c>
      <c r="T99" s="12">
        <f t="shared" si="22"/>
        <v>0</v>
      </c>
      <c r="U99" t="str">
        <f t="shared" si="23"/>
        <v>No transfer</v>
      </c>
      <c r="V99" s="25" t="s">
        <v>95</v>
      </c>
    </row>
    <row r="100" spans="1:22">
      <c r="A100" s="14">
        <v>43878</v>
      </c>
      <c r="B100" s="15">
        <v>7.7200000000000003E-3</v>
      </c>
      <c r="C100" s="15">
        <v>7.7200000000000003E-3</v>
      </c>
      <c r="D100" s="16">
        <f t="shared" si="14"/>
        <v>7.7200000000000003E-3</v>
      </c>
      <c r="E100" s="17">
        <f t="shared" si="25"/>
        <v>17</v>
      </c>
      <c r="F100" s="18">
        <f t="shared" si="26"/>
        <v>0.95582888889269735</v>
      </c>
      <c r="G100" s="18">
        <f t="shared" si="27"/>
        <v>1.0441711111073033</v>
      </c>
      <c r="H100" s="18">
        <f t="shared" si="15"/>
        <v>-8.834222221460597E-2</v>
      </c>
      <c r="I100" s="19" t="str">
        <f t="shared" si="16"/>
        <v>B</v>
      </c>
      <c r="J100" s="19">
        <f t="shared" si="24"/>
        <v>35</v>
      </c>
      <c r="K100" s="19" t="str">
        <f>IF(I100="","",IF(J100&gt;=Parameters!$B$5,I100,"HOLD"))</f>
        <v>B</v>
      </c>
      <c r="L100" s="20">
        <f>'Actual Calc'!T100</f>
        <v>0</v>
      </c>
      <c r="M100" s="20">
        <f>'Actual Calc'!U100</f>
        <v>5227828.6330000004</v>
      </c>
      <c r="N100" s="21">
        <f t="shared" si="17"/>
        <v>0</v>
      </c>
      <c r="O100" s="21">
        <f>IF(NOT(ISNUMBER(N100)),"",IF(K100="A",MIN(Parameters!$B$8,N100+Parameters!$B$6),IF(K100="B",MAX(Parameters!$B$7,N100-Parameters!$B$6),N100)))</f>
        <v>0</v>
      </c>
      <c r="P100" s="22">
        <f t="shared" si="18"/>
        <v>0</v>
      </c>
      <c r="Q100" s="22">
        <f t="shared" si="19"/>
        <v>0</v>
      </c>
      <c r="R100" s="22">
        <f t="shared" si="20"/>
        <v>0</v>
      </c>
      <c r="S100" s="22">
        <f t="shared" si="21"/>
        <v>5227828.6330000004</v>
      </c>
      <c r="T100" s="21">
        <f t="shared" si="22"/>
        <v>0</v>
      </c>
      <c r="U100" s="19" t="str">
        <f t="shared" si="23"/>
        <v>No transfer</v>
      </c>
      <c r="V100" s="35" t="s">
        <v>95</v>
      </c>
    </row>
    <row r="101" spans="1:22">
      <c r="A101" s="4">
        <v>43885</v>
      </c>
      <c r="B101" s="5">
        <v>8.9800000000000001E-3</v>
      </c>
      <c r="C101" s="5">
        <v>0</v>
      </c>
      <c r="D101" s="6">
        <f t="shared" si="14"/>
        <v>4.4900000000000001E-3</v>
      </c>
      <c r="E101" s="8">
        <f t="shared" si="25"/>
        <v>17</v>
      </c>
      <c r="F101" s="9">
        <f t="shared" si="26"/>
        <v>0.91361773690772108</v>
      </c>
      <c r="G101" s="9">
        <f t="shared" si="27"/>
        <v>1.0863822630922781</v>
      </c>
      <c r="H101" s="9">
        <f t="shared" si="15"/>
        <v>-0.17276452618455707</v>
      </c>
      <c r="I101" t="str">
        <f t="shared" si="16"/>
        <v>B</v>
      </c>
      <c r="J101">
        <f t="shared" si="24"/>
        <v>36</v>
      </c>
      <c r="K101" t="str">
        <f>IF(I101="","",IF(J101&gt;=Parameters!$B$5,I101,"HOLD"))</f>
        <v>B</v>
      </c>
      <c r="L101" s="10">
        <f>'Actual Calc'!T101</f>
        <v>0</v>
      </c>
      <c r="M101" s="10">
        <f>'Actual Calc'!U101</f>
        <v>5227828.6330000004</v>
      </c>
      <c r="N101" s="12">
        <f t="shared" si="17"/>
        <v>0</v>
      </c>
      <c r="O101" s="12">
        <f>IF(NOT(ISNUMBER(N101)),"",IF(K101="A",MIN(Parameters!$B$8,N101+Parameters!$B$6),IF(K101="B",MAX(Parameters!$B$7,N101-Parameters!$B$6),N101)))</f>
        <v>0</v>
      </c>
      <c r="P101" s="13">
        <f t="shared" si="18"/>
        <v>0</v>
      </c>
      <c r="Q101" s="13">
        <f t="shared" si="19"/>
        <v>0</v>
      </c>
      <c r="R101" s="13">
        <f t="shared" si="20"/>
        <v>0</v>
      </c>
      <c r="S101" s="13">
        <f t="shared" si="21"/>
        <v>5227828.6330000004</v>
      </c>
      <c r="T101" s="12">
        <f t="shared" si="22"/>
        <v>0</v>
      </c>
      <c r="U101" t="str">
        <f t="shared" si="23"/>
        <v>No transfer</v>
      </c>
      <c r="V101" s="25" t="s">
        <v>96</v>
      </c>
    </row>
    <row r="102" spans="1:22">
      <c r="A102" s="14">
        <v>43892</v>
      </c>
      <c r="B102" s="15">
        <v>3.6389999999999999E-2</v>
      </c>
      <c r="C102" s="15">
        <v>0</v>
      </c>
      <c r="D102" s="16">
        <f t="shared" si="14"/>
        <v>1.8194999999999999E-2</v>
      </c>
      <c r="E102" s="17">
        <f t="shared" si="25"/>
        <v>17</v>
      </c>
      <c r="F102" s="18">
        <f t="shared" si="26"/>
        <v>1.3352855790542055</v>
      </c>
      <c r="G102" s="18">
        <f t="shared" si="27"/>
        <v>0.66471442094579447</v>
      </c>
      <c r="H102" s="18">
        <f t="shared" si="15"/>
        <v>0.67057115810841106</v>
      </c>
      <c r="I102" s="19" t="str">
        <f t="shared" si="16"/>
        <v>A</v>
      </c>
      <c r="J102" s="19">
        <f t="shared" si="24"/>
        <v>1</v>
      </c>
      <c r="K102" s="19" t="str">
        <f>IF(I102="","",IF(J102&gt;=Parameters!$B$5,I102,"HOLD"))</f>
        <v>HOLD</v>
      </c>
      <c r="L102" s="20">
        <f>'Actual Calc'!T102</f>
        <v>0</v>
      </c>
      <c r="M102" s="20">
        <f>'Actual Calc'!U102</f>
        <v>5227828.6330000004</v>
      </c>
      <c r="N102" s="21">
        <f t="shared" si="17"/>
        <v>0</v>
      </c>
      <c r="O102" s="21">
        <f>IF(NOT(ISNUMBER(N102)),"",IF(K102="A",MIN(Parameters!$B$8,N102+Parameters!$B$6),IF(K102="B",MAX(Parameters!$B$7,N102-Parameters!$B$6),N102)))</f>
        <v>0</v>
      </c>
      <c r="P102" s="22">
        <f t="shared" si="18"/>
        <v>0</v>
      </c>
      <c r="Q102" s="22">
        <f t="shared" si="19"/>
        <v>0</v>
      </c>
      <c r="R102" s="22">
        <f t="shared" si="20"/>
        <v>0</v>
      </c>
      <c r="S102" s="22">
        <f t="shared" si="21"/>
        <v>5227828.6330000004</v>
      </c>
      <c r="T102" s="21">
        <f t="shared" si="22"/>
        <v>0</v>
      </c>
      <c r="U102" s="19" t="str">
        <f t="shared" si="23"/>
        <v>No transfer</v>
      </c>
      <c r="V102" s="35" t="s">
        <v>96</v>
      </c>
    </row>
    <row r="103" spans="1:22">
      <c r="A103" s="4">
        <v>43899</v>
      </c>
      <c r="B103" s="5">
        <v>0</v>
      </c>
      <c r="C103" s="5">
        <v>0</v>
      </c>
      <c r="D103" s="6">
        <f t="shared" si="14"/>
        <v>0</v>
      </c>
      <c r="E103" s="8">
        <f t="shared" si="25"/>
        <v>17</v>
      </c>
      <c r="F103" s="9">
        <f t="shared" si="26"/>
        <v>1.3352855790542055</v>
      </c>
      <c r="G103" s="9">
        <f t="shared" si="27"/>
        <v>0.66471442094579447</v>
      </c>
      <c r="H103" s="9">
        <f t="shared" si="15"/>
        <v>0.67057115810841106</v>
      </c>
      <c r="I103" t="str">
        <f t="shared" si="16"/>
        <v>A</v>
      </c>
      <c r="J103">
        <f t="shared" si="24"/>
        <v>2</v>
      </c>
      <c r="K103" t="str">
        <f>IF(I103="","",IF(J103&gt;=Parameters!$B$5,I103,"HOLD"))</f>
        <v>HOLD</v>
      </c>
      <c r="L103" s="10">
        <f>'Actual Calc'!T103</f>
        <v>0</v>
      </c>
      <c r="M103" s="10">
        <f>'Actual Calc'!U103</f>
        <v>5227828.6330000004</v>
      </c>
      <c r="N103" s="12">
        <f t="shared" si="17"/>
        <v>0</v>
      </c>
      <c r="O103" s="12">
        <f>IF(NOT(ISNUMBER(N103)),"",IF(K103="A",MIN(Parameters!$B$8,N103+Parameters!$B$6),IF(K103="B",MAX(Parameters!$B$7,N103-Parameters!$B$6),N103)))</f>
        <v>0</v>
      </c>
      <c r="P103" s="13">
        <f t="shared" si="18"/>
        <v>0</v>
      </c>
      <c r="Q103" s="13">
        <f t="shared" si="19"/>
        <v>0</v>
      </c>
      <c r="R103" s="13">
        <f t="shared" si="20"/>
        <v>0</v>
      </c>
      <c r="S103" s="13">
        <f t="shared" si="21"/>
        <v>5227828.6330000004</v>
      </c>
      <c r="T103" s="12">
        <f t="shared" si="22"/>
        <v>0</v>
      </c>
      <c r="U103" t="str">
        <f t="shared" si="23"/>
        <v>No transfer</v>
      </c>
      <c r="V103" s="25" t="s">
        <v>97</v>
      </c>
    </row>
    <row r="104" spans="1:22">
      <c r="A104" s="14">
        <v>43906</v>
      </c>
      <c r="B104" s="15">
        <v>0</v>
      </c>
      <c r="C104" s="15">
        <v>0</v>
      </c>
      <c r="D104" s="16">
        <f t="shared" si="14"/>
        <v>0</v>
      </c>
      <c r="E104" s="17">
        <f t="shared" si="25"/>
        <v>17</v>
      </c>
      <c r="F104" s="18">
        <f t="shared" si="26"/>
        <v>1.3352855790542055</v>
      </c>
      <c r="G104" s="18">
        <f t="shared" si="27"/>
        <v>0.66471442094579447</v>
      </c>
      <c r="H104" s="18">
        <f t="shared" si="15"/>
        <v>0.67057115810841106</v>
      </c>
      <c r="I104" s="19" t="str">
        <f t="shared" si="16"/>
        <v>A</v>
      </c>
      <c r="J104" s="19">
        <f t="shared" si="24"/>
        <v>3</v>
      </c>
      <c r="K104" s="19" t="str">
        <f>IF(I104="","",IF(J104&gt;=Parameters!$B$5,I104,"HOLD"))</f>
        <v>A</v>
      </c>
      <c r="L104" s="20">
        <f>'Actual Calc'!T104</f>
        <v>0</v>
      </c>
      <c r="M104" s="20">
        <f>'Actual Calc'!U104</f>
        <v>5227828.6330000004</v>
      </c>
      <c r="N104" s="21">
        <f t="shared" si="17"/>
        <v>0</v>
      </c>
      <c r="O104" s="21">
        <f>IF(NOT(ISNUMBER(N104)),"",IF(K104="A",MIN(Parameters!$B$8,N104+Parameters!$B$6),IF(K104="B",MAX(Parameters!$B$7,N104-Parameters!$B$6),N104)))</f>
        <v>0.1</v>
      </c>
      <c r="P104" s="22">
        <f t="shared" si="18"/>
        <v>0</v>
      </c>
      <c r="Q104" s="22">
        <f t="shared" si="19"/>
        <v>522782.86330000008</v>
      </c>
      <c r="R104" s="22">
        <f t="shared" si="20"/>
        <v>522782.86330000008</v>
      </c>
      <c r="S104" s="22">
        <f t="shared" si="21"/>
        <v>4705045.7697000001</v>
      </c>
      <c r="T104" s="21">
        <f t="shared" si="22"/>
        <v>0.1</v>
      </c>
      <c r="U104" s="19" t="e">
        <f t="shared" si="23"/>
        <v>#VALUE!</v>
      </c>
      <c r="V104" s="35" t="s">
        <v>97</v>
      </c>
    </row>
    <row r="105" spans="1:22">
      <c r="A105" s="4">
        <v>43913</v>
      </c>
      <c r="B105" s="5">
        <v>1.0200000000000001E-2</v>
      </c>
      <c r="C105" s="5">
        <v>-1.525E-2</v>
      </c>
      <c r="D105" s="6">
        <f t="shared" si="14"/>
        <v>-2.5249999999999995E-3</v>
      </c>
      <c r="E105" s="8">
        <f t="shared" si="25"/>
        <v>16</v>
      </c>
      <c r="F105" s="9">
        <f t="shared" si="26"/>
        <v>1.3298016764202958</v>
      </c>
      <c r="G105" s="9">
        <f t="shared" si="27"/>
        <v>0.67019832357970432</v>
      </c>
      <c r="H105" s="9">
        <f t="shared" si="15"/>
        <v>0.65960335284059146</v>
      </c>
      <c r="I105" t="str">
        <f t="shared" si="16"/>
        <v>A</v>
      </c>
      <c r="J105">
        <f t="shared" si="24"/>
        <v>4</v>
      </c>
      <c r="K105" t="str">
        <f>IF(I105="","",IF(J105&gt;=Parameters!$B$5,I105,"HOLD"))</f>
        <v>A</v>
      </c>
      <c r="L105" s="10">
        <f>'Actual Calc'!T105</f>
        <v>593866.66330000013</v>
      </c>
      <c r="M105" s="10">
        <f>'Actual Calc'!U105</f>
        <v>3748375.1447000001</v>
      </c>
      <c r="N105" s="12">
        <f t="shared" si="17"/>
        <v>0.13676499134752934</v>
      </c>
      <c r="O105" s="12">
        <f>IF(NOT(ISNUMBER(N105)),"",IF(K105="A",MIN(Parameters!$B$8,N105+Parameters!$B$6),IF(K105="B",MAX(Parameters!$B$7,N105-Parameters!$B$6),N105)))</f>
        <v>0.23676499134752935</v>
      </c>
      <c r="P105" s="13">
        <f t="shared" si="18"/>
        <v>0</v>
      </c>
      <c r="Q105" s="13">
        <f t="shared" si="19"/>
        <v>434224.18080000009</v>
      </c>
      <c r="R105" s="13">
        <f t="shared" si="20"/>
        <v>1028090.8441000002</v>
      </c>
      <c r="S105" s="13">
        <f t="shared" si="21"/>
        <v>3314150.9638999999</v>
      </c>
      <c r="T105" s="12">
        <f t="shared" si="22"/>
        <v>0.23676499134752935</v>
      </c>
      <c r="U105" t="e">
        <f t="shared" si="23"/>
        <v>#VALUE!</v>
      </c>
      <c r="V105" s="25" t="s">
        <v>95</v>
      </c>
    </row>
    <row r="106" spans="1:22">
      <c r="A106" s="14">
        <v>43920</v>
      </c>
      <c r="B106" s="15">
        <v>2.5489999999999999E-2</v>
      </c>
      <c r="C106" s="15">
        <v>0</v>
      </c>
      <c r="D106" s="16">
        <f t="shared" si="14"/>
        <v>1.2744999999999999E-2</v>
      </c>
      <c r="E106" s="17">
        <f t="shared" si="25"/>
        <v>16</v>
      </c>
      <c r="F106" s="18">
        <f t="shared" si="26"/>
        <v>1.4018856451355934</v>
      </c>
      <c r="G106" s="18">
        <f t="shared" si="27"/>
        <v>0.59811435486440301</v>
      </c>
      <c r="H106" s="18">
        <f t="shared" si="15"/>
        <v>0.80377129027119043</v>
      </c>
      <c r="I106" s="19" t="str">
        <f t="shared" si="16"/>
        <v>A</v>
      </c>
      <c r="J106" s="19">
        <f t="shared" si="24"/>
        <v>5</v>
      </c>
      <c r="K106" s="19" t="str">
        <f>IF(I106="","",IF(J106&gt;=Parameters!$B$5,I106,"HOLD"))</f>
        <v>A</v>
      </c>
      <c r="L106" s="20">
        <f>'Actual Calc'!T106</f>
        <v>1377449.1371000002</v>
      </c>
      <c r="M106" s="20">
        <f>'Actual Calc'!U106</f>
        <v>3314150.9638999999</v>
      </c>
      <c r="N106" s="21">
        <f t="shared" si="17"/>
        <v>0.29359900832264052</v>
      </c>
      <c r="O106" s="21">
        <f>IF(NOT(ISNUMBER(N106)),"",IF(K106="A",MIN(Parameters!$B$8,N106+Parameters!$B$6),IF(K106="B",MAX(Parameters!$B$7,N106-Parameters!$B$6),N106)))</f>
        <v>0.3935990083226405</v>
      </c>
      <c r="P106" s="22">
        <f t="shared" si="18"/>
        <v>0</v>
      </c>
      <c r="Q106" s="22">
        <f t="shared" si="19"/>
        <v>469160.01009999984</v>
      </c>
      <c r="R106" s="22">
        <f t="shared" si="20"/>
        <v>1846609.1472</v>
      </c>
      <c r="S106" s="22">
        <f t="shared" si="21"/>
        <v>2844990.9538000003</v>
      </c>
      <c r="T106" s="21">
        <f t="shared" si="22"/>
        <v>0.3935990083226405</v>
      </c>
      <c r="U106" s="19" t="e">
        <f t="shared" si="23"/>
        <v>#VALUE!</v>
      </c>
      <c r="V106" s="35" t="s">
        <v>96</v>
      </c>
    </row>
    <row r="107" spans="1:22">
      <c r="A107" s="4">
        <v>43927</v>
      </c>
      <c r="B107" s="5">
        <v>2.7900000000000001E-2</v>
      </c>
      <c r="C107" s="5">
        <v>0</v>
      </c>
      <c r="D107" s="6">
        <f t="shared" si="14"/>
        <v>1.3950000000000001E-2</v>
      </c>
      <c r="E107" s="8">
        <f t="shared" si="25"/>
        <v>17</v>
      </c>
      <c r="F107" s="9">
        <f t="shared" si="26"/>
        <v>1.5089359365152444</v>
      </c>
      <c r="G107" s="9">
        <f t="shared" si="27"/>
        <v>0.49106406348475012</v>
      </c>
      <c r="H107" s="9">
        <f t="shared" si="15"/>
        <v>1.0178718730304943</v>
      </c>
      <c r="I107" t="str">
        <f t="shared" si="16"/>
        <v>A</v>
      </c>
      <c r="J107">
        <f t="shared" si="24"/>
        <v>6</v>
      </c>
      <c r="K107" t="str">
        <f>IF(I107="","",IF(J107&gt;=Parameters!$B$5,I107,"HOLD"))</f>
        <v>A</v>
      </c>
      <c r="L107" s="10">
        <f>'Actual Calc'!T107</f>
        <v>2533484.8272000002</v>
      </c>
      <c r="M107" s="10">
        <f>'Actual Calc'!U107</f>
        <v>2844990.9538000003</v>
      </c>
      <c r="N107" s="12">
        <f t="shared" si="17"/>
        <v>0.47104141216918494</v>
      </c>
      <c r="O107" s="12">
        <f>IF(NOT(ISNUMBER(N107)),"",IF(K107="A",MIN(Parameters!$B$8,N107+Parameters!$B$6),IF(K107="B",MAX(Parameters!$B$7,N107-Parameters!$B$6),N107)))</f>
        <v>0.57104141216918491</v>
      </c>
      <c r="P107" s="13">
        <f t="shared" si="18"/>
        <v>0</v>
      </c>
      <c r="Q107" s="13">
        <f t="shared" si="19"/>
        <v>537847.57809999958</v>
      </c>
      <c r="R107" s="13">
        <f t="shared" si="20"/>
        <v>3071332.4052999998</v>
      </c>
      <c r="S107" s="13">
        <f t="shared" si="21"/>
        <v>2307143.3757000007</v>
      </c>
      <c r="T107" s="12">
        <f t="shared" si="22"/>
        <v>0.57104141216918491</v>
      </c>
      <c r="U107" t="e">
        <f t="shared" si="23"/>
        <v>#VALUE!</v>
      </c>
      <c r="V107" s="25" t="s">
        <v>96</v>
      </c>
    </row>
    <row r="108" spans="1:22">
      <c r="A108" s="14">
        <v>43934</v>
      </c>
      <c r="B108" s="15">
        <v>1.636E-2</v>
      </c>
      <c r="C108" s="15">
        <v>1.636E-2</v>
      </c>
      <c r="D108" s="16">
        <f t="shared" si="14"/>
        <v>1.636E-2</v>
      </c>
      <c r="E108" s="17">
        <f t="shared" si="25"/>
        <v>17</v>
      </c>
      <c r="F108" s="18">
        <f t="shared" si="26"/>
        <v>1.4062409679270182</v>
      </c>
      <c r="G108" s="18">
        <f t="shared" si="27"/>
        <v>0.59375903207297542</v>
      </c>
      <c r="H108" s="18">
        <f t="shared" si="15"/>
        <v>0.81248193585404282</v>
      </c>
      <c r="I108" s="19" t="str">
        <f t="shared" si="16"/>
        <v>A</v>
      </c>
      <c r="J108" s="19">
        <f t="shared" si="24"/>
        <v>7</v>
      </c>
      <c r="K108" s="19" t="str">
        <f>IF(I108="","",IF(J108&gt;=Parameters!$B$5,I108,"HOLD"))</f>
        <v>A</v>
      </c>
      <c r="L108" s="20">
        <f>'Actual Calc'!T108</f>
        <v>3741261.3172999998</v>
      </c>
      <c r="M108" s="20">
        <f>'Actual Calc'!U108</f>
        <v>2810380.2477000006</v>
      </c>
      <c r="N108" s="21">
        <f t="shared" si="17"/>
        <v>0.57104181908950313</v>
      </c>
      <c r="O108" s="21">
        <f>IF(NOT(ISNUMBER(N108)),"",IF(K108="A",MIN(Parameters!$B$8,N108+Parameters!$B$6),IF(K108="B",MAX(Parameters!$B$7,N108-Parameters!$B$6),N108)))</f>
        <v>0.67104181908950311</v>
      </c>
      <c r="P108" s="22">
        <f t="shared" si="18"/>
        <v>0</v>
      </c>
      <c r="Q108" s="22">
        <f t="shared" si="19"/>
        <v>655164.15649999911</v>
      </c>
      <c r="R108" s="22">
        <f t="shared" si="20"/>
        <v>4396425.4737999989</v>
      </c>
      <c r="S108" s="22">
        <f t="shared" si="21"/>
        <v>2155216.0912000015</v>
      </c>
      <c r="T108" s="21">
        <f t="shared" si="22"/>
        <v>0.671041819089503</v>
      </c>
      <c r="U108" s="19" t="e">
        <f t="shared" si="23"/>
        <v>#VALUE!</v>
      </c>
      <c r="V108" s="35" t="s">
        <v>95</v>
      </c>
    </row>
    <row r="109" spans="1:22">
      <c r="A109" s="4">
        <v>43941</v>
      </c>
      <c r="B109" s="5">
        <v>-1.141E-2</v>
      </c>
      <c r="C109" s="5">
        <v>-2.3550000000000001E-2</v>
      </c>
      <c r="D109" s="6">
        <f t="shared" si="14"/>
        <v>-1.7480000000000002E-2</v>
      </c>
      <c r="E109" s="8">
        <f t="shared" si="25"/>
        <v>17</v>
      </c>
      <c r="F109" s="9">
        <f t="shared" si="26"/>
        <v>1.4062409679270182</v>
      </c>
      <c r="G109" s="9">
        <f t="shared" si="27"/>
        <v>0.59375903207297542</v>
      </c>
      <c r="H109" s="9">
        <f t="shared" si="15"/>
        <v>0.81248193585404282</v>
      </c>
      <c r="I109" t="str">
        <f t="shared" si="16"/>
        <v>A</v>
      </c>
      <c r="J109">
        <f t="shared" si="24"/>
        <v>8</v>
      </c>
      <c r="K109" t="str">
        <f>IF(I109="","",IF(J109&gt;=Parameters!$B$5,I109,"HOLD"))</f>
        <v>A</v>
      </c>
      <c r="L109" s="10">
        <f>'Actual Calc'!T109</f>
        <v>3727596.3757999986</v>
      </c>
      <c r="M109" s="10">
        <f>'Actual Calc'!U109</f>
        <v>1478478.5812000015</v>
      </c>
      <c r="N109" s="12">
        <f t="shared" si="17"/>
        <v>0.71600897155503607</v>
      </c>
      <c r="O109" s="12">
        <f>IF(NOT(ISNUMBER(N109)),"",IF(K109="A",MIN(Parameters!$B$8,N109+Parameters!$B$6),IF(K109="B",MAX(Parameters!$B$7,N109-Parameters!$B$6),N109)))</f>
        <v>0.81600897155503604</v>
      </c>
      <c r="P109" s="13">
        <f t="shared" si="18"/>
        <v>0</v>
      </c>
      <c r="Q109" s="13">
        <f t="shared" si="19"/>
        <v>520607.49569999985</v>
      </c>
      <c r="R109" s="13">
        <f t="shared" si="20"/>
        <v>4248203.8714999985</v>
      </c>
      <c r="S109" s="13">
        <f t="shared" si="21"/>
        <v>957871.08550000167</v>
      </c>
      <c r="T109" s="12">
        <f t="shared" si="22"/>
        <v>0.81600897155503593</v>
      </c>
      <c r="U109" t="e">
        <f t="shared" si="23"/>
        <v>#VALUE!</v>
      </c>
      <c r="V109" s="25" t="s">
        <v>95</v>
      </c>
    </row>
    <row r="110" spans="1:22">
      <c r="A110" s="14">
        <v>43948</v>
      </c>
      <c r="B110" s="15">
        <v>-3.3600000000000001E-3</v>
      </c>
      <c r="C110" s="15">
        <v>-1.022E-2</v>
      </c>
      <c r="D110" s="16">
        <f t="shared" si="14"/>
        <v>-6.79E-3</v>
      </c>
      <c r="E110" s="17">
        <f t="shared" si="25"/>
        <v>16</v>
      </c>
      <c r="F110" s="18">
        <f t="shared" si="26"/>
        <v>1.4108028149454974</v>
      </c>
      <c r="G110" s="18">
        <f t="shared" si="27"/>
        <v>0.5891971850545048</v>
      </c>
      <c r="H110" s="18">
        <f t="shared" si="15"/>
        <v>0.82160562989099262</v>
      </c>
      <c r="I110" s="19" t="str">
        <f t="shared" si="16"/>
        <v>A</v>
      </c>
      <c r="J110" s="19">
        <f t="shared" si="24"/>
        <v>9</v>
      </c>
      <c r="K110" s="19" t="str">
        <f>IF(I110="","",IF(J110&gt;=Parameters!$B$5,I110,"HOLD"))</f>
        <v>A</v>
      </c>
      <c r="L110" s="20">
        <f>'Actual Calc'!T110</f>
        <v>4057886.4154999983</v>
      </c>
      <c r="M110" s="20">
        <f>'Actual Calc'!U110</f>
        <v>827365.77350000164</v>
      </c>
      <c r="N110" s="21">
        <f t="shared" si="17"/>
        <v>0.83064010996956084</v>
      </c>
      <c r="O110" s="21">
        <f>IF(NOT(ISNUMBER(N110)),"",IF(K110="A",MIN(Parameters!$B$8,N110+Parameters!$B$6),IF(K110="B",MAX(Parameters!$B$7,N110-Parameters!$B$6),N110)))</f>
        <v>0.93064010996956081</v>
      </c>
      <c r="P110" s="22">
        <f t="shared" si="18"/>
        <v>0</v>
      </c>
      <c r="Q110" s="22">
        <f t="shared" si="19"/>
        <v>488525.21889999975</v>
      </c>
      <c r="R110" s="22">
        <f t="shared" si="20"/>
        <v>4546411.634399998</v>
      </c>
      <c r="S110" s="22">
        <f t="shared" si="21"/>
        <v>338840.55460000189</v>
      </c>
      <c r="T110" s="21">
        <f t="shared" si="22"/>
        <v>0.93064010996956081</v>
      </c>
      <c r="U110" s="19" t="e">
        <f t="shared" si="23"/>
        <v>#VALUE!</v>
      </c>
      <c r="V110" s="35" t="s">
        <v>95</v>
      </c>
    </row>
    <row r="111" spans="1:22">
      <c r="A111" s="4">
        <v>43955</v>
      </c>
      <c r="B111" s="5">
        <v>1.6709999999999999E-2</v>
      </c>
      <c r="C111" s="5">
        <v>1.6709999999999999E-2</v>
      </c>
      <c r="D111" s="6">
        <f t="shared" si="14"/>
        <v>1.6709999999999999E-2</v>
      </c>
      <c r="E111" s="8">
        <f t="shared" si="25"/>
        <v>17</v>
      </c>
      <c r="F111" s="9">
        <f t="shared" si="26"/>
        <v>1.3262071859176623</v>
      </c>
      <c r="G111" s="9">
        <f t="shared" si="27"/>
        <v>0.6737928140823416</v>
      </c>
      <c r="H111" s="9">
        <f t="shared" si="15"/>
        <v>0.65241437183532069</v>
      </c>
      <c r="I111" t="str">
        <f t="shared" si="16"/>
        <v>A</v>
      </c>
      <c r="J111">
        <f t="shared" si="24"/>
        <v>10</v>
      </c>
      <c r="K111" t="str">
        <f>IF(I111="","",IF(J111&gt;=Parameters!$B$5,I111,"HOLD"))</f>
        <v>A</v>
      </c>
      <c r="L111" s="10">
        <f>'Actual Calc'!T111</f>
        <v>5559351.782399998</v>
      </c>
      <c r="M111" s="10">
        <f>'Actual Calc'!U111</f>
        <v>414322.96660000191</v>
      </c>
      <c r="N111" s="12">
        <f t="shared" si="17"/>
        <v>0.93064186049477171</v>
      </c>
      <c r="O111" s="12">
        <f>IF(NOT(ISNUMBER(N111)),"",IF(K111="A",MIN(Parameters!$B$8,N111+Parameters!$B$6),IF(K111="B",MAX(Parameters!$B$7,N111-Parameters!$B$6),N111)))</f>
        <v>1</v>
      </c>
      <c r="P111" s="13">
        <f t="shared" si="18"/>
        <v>0</v>
      </c>
      <c r="Q111" s="13">
        <f t="shared" si="19"/>
        <v>414322.96660000179</v>
      </c>
      <c r="R111" s="13">
        <f t="shared" si="20"/>
        <v>5973674.7489999998</v>
      </c>
      <c r="S111" s="13">
        <f t="shared" si="21"/>
        <v>1.1641532182693481E-10</v>
      </c>
      <c r="T111" s="12">
        <f t="shared" si="22"/>
        <v>1</v>
      </c>
      <c r="U111" t="e">
        <f t="shared" si="23"/>
        <v>#VALUE!</v>
      </c>
      <c r="V111" s="25" t="s">
        <v>95</v>
      </c>
    </row>
    <row r="112" spans="1:22">
      <c r="A112" s="14">
        <v>43962</v>
      </c>
      <c r="B112" s="15">
        <v>1.5169999999999999E-2</v>
      </c>
      <c r="C112" s="15">
        <v>1.5169999999999999E-2</v>
      </c>
      <c r="D112" s="16">
        <f t="shared" si="14"/>
        <v>1.5169999999999999E-2</v>
      </c>
      <c r="E112" s="17">
        <f t="shared" si="25"/>
        <v>17</v>
      </c>
      <c r="F112" s="18">
        <f t="shared" si="26"/>
        <v>1.289096686711422</v>
      </c>
      <c r="G112" s="18">
        <f t="shared" si="27"/>
        <v>0.71090331328857737</v>
      </c>
      <c r="H112" s="18">
        <f t="shared" si="15"/>
        <v>0.5781933734228446</v>
      </c>
      <c r="I112" s="19" t="str">
        <f t="shared" si="16"/>
        <v>A</v>
      </c>
      <c r="J112" s="19">
        <f t="shared" si="24"/>
        <v>11</v>
      </c>
      <c r="K112" s="19" t="str">
        <f>IF(I112="","",IF(J112&gt;=Parameters!$B$5,I112,"HOLD"))</f>
        <v>A</v>
      </c>
      <c r="L112" s="20">
        <f>'Actual Calc'!T112</f>
        <v>7181915.1880000001</v>
      </c>
      <c r="M112" s="20">
        <f>'Actual Calc'!U112</f>
        <v>0</v>
      </c>
      <c r="N112" s="21">
        <f t="shared" si="17"/>
        <v>1</v>
      </c>
      <c r="O112" s="21">
        <f>IF(NOT(ISNUMBER(N112)),"",IF(K112="A",MIN(Parameters!$B$8,N112+Parameters!$B$6),IF(K112="B",MAX(Parameters!$B$7,N112-Parameters!$B$6),N112)))</f>
        <v>1</v>
      </c>
      <c r="P112" s="22">
        <f t="shared" si="18"/>
        <v>0</v>
      </c>
      <c r="Q112" s="22">
        <f t="shared" si="19"/>
        <v>0</v>
      </c>
      <c r="R112" s="22">
        <f t="shared" si="20"/>
        <v>7181915.1880000001</v>
      </c>
      <c r="S112" s="22">
        <f t="shared" si="21"/>
        <v>0</v>
      </c>
      <c r="T112" s="21">
        <f t="shared" si="22"/>
        <v>1</v>
      </c>
      <c r="U112" s="19" t="str">
        <f t="shared" si="23"/>
        <v>No transfer</v>
      </c>
      <c r="V112" s="35" t="s">
        <v>95</v>
      </c>
    </row>
    <row r="113" spans="1:22">
      <c r="A113" s="4">
        <v>43969</v>
      </c>
      <c r="B113" s="5">
        <v>7.1500000000000001E-3</v>
      </c>
      <c r="C113" s="5">
        <v>7.1500000000000001E-3</v>
      </c>
      <c r="D113" s="6">
        <f t="shared" si="14"/>
        <v>7.1500000000000001E-3</v>
      </c>
      <c r="E113" s="8">
        <f t="shared" si="25"/>
        <v>18</v>
      </c>
      <c r="F113" s="9">
        <f t="shared" si="26"/>
        <v>1.3099504466959546</v>
      </c>
      <c r="G113" s="9">
        <f t="shared" si="27"/>
        <v>0.69004955330404594</v>
      </c>
      <c r="H113" s="9">
        <f t="shared" si="15"/>
        <v>0.61990089339190868</v>
      </c>
      <c r="I113" t="str">
        <f t="shared" si="16"/>
        <v>A</v>
      </c>
      <c r="J113">
        <f t="shared" si="24"/>
        <v>12</v>
      </c>
      <c r="K113" t="str">
        <f>IF(I113="","",IF(J113&gt;=Parameters!$B$5,I113,"HOLD"))</f>
        <v>A</v>
      </c>
      <c r="L113" s="10">
        <f>'Actual Calc'!T113</f>
        <v>7866586.318</v>
      </c>
      <c r="M113" s="10">
        <f>'Actual Calc'!U113</f>
        <v>0</v>
      </c>
      <c r="N113" s="12">
        <f t="shared" si="17"/>
        <v>1</v>
      </c>
      <c r="O113" s="12">
        <f>IF(NOT(ISNUMBER(N113)),"",IF(K113="A",MIN(Parameters!$B$8,N113+Parameters!$B$6),IF(K113="B",MAX(Parameters!$B$7,N113-Parameters!$B$6),N113)))</f>
        <v>1</v>
      </c>
      <c r="P113" s="13">
        <f t="shared" si="18"/>
        <v>0</v>
      </c>
      <c r="Q113" s="13">
        <f t="shared" si="19"/>
        <v>0</v>
      </c>
      <c r="R113" s="13">
        <f t="shared" si="20"/>
        <v>7866586.318</v>
      </c>
      <c r="S113" s="13">
        <f t="shared" si="21"/>
        <v>0</v>
      </c>
      <c r="T113" s="12">
        <f t="shared" si="22"/>
        <v>1</v>
      </c>
      <c r="U113" t="str">
        <f t="shared" si="23"/>
        <v>No transfer</v>
      </c>
      <c r="V113" s="25" t="s">
        <v>95</v>
      </c>
    </row>
    <row r="114" spans="1:22">
      <c r="A114" s="14">
        <v>43976</v>
      </c>
      <c r="B114" s="15">
        <v>-1.3429999999999999E-2</v>
      </c>
      <c r="C114" s="15">
        <v>-2.6550000000000001E-2</v>
      </c>
      <c r="D114" s="16">
        <f t="shared" si="14"/>
        <v>-1.9990000000000001E-2</v>
      </c>
      <c r="E114" s="17">
        <f t="shared" si="25"/>
        <v>17</v>
      </c>
      <c r="F114" s="18">
        <f t="shared" si="26"/>
        <v>1.2897205385262136</v>
      </c>
      <c r="G114" s="18">
        <f t="shared" si="27"/>
        <v>0.71027946147378451</v>
      </c>
      <c r="H114" s="18">
        <f t="shared" si="15"/>
        <v>0.57944107705242909</v>
      </c>
      <c r="I114" s="19" t="str">
        <f t="shared" si="16"/>
        <v>A</v>
      </c>
      <c r="J114" s="19">
        <f t="shared" si="24"/>
        <v>13</v>
      </c>
      <c r="K114" s="19" t="str">
        <f>IF(I114="","",IF(J114&gt;=Parameters!$B$5,I114,"HOLD"))</f>
        <v>A</v>
      </c>
      <c r="L114" s="20">
        <f>'Actual Calc'!T114</f>
        <v>6457955.2510000002</v>
      </c>
      <c r="M114" s="20">
        <f>'Actual Calc'!U114</f>
        <v>0</v>
      </c>
      <c r="N114" s="21">
        <f t="shared" si="17"/>
        <v>1</v>
      </c>
      <c r="O114" s="21">
        <f>IF(NOT(ISNUMBER(N114)),"",IF(K114="A",MIN(Parameters!$B$8,N114+Parameters!$B$6),IF(K114="B",MAX(Parameters!$B$7,N114-Parameters!$B$6),N114)))</f>
        <v>1</v>
      </c>
      <c r="P114" s="22">
        <f t="shared" si="18"/>
        <v>0</v>
      </c>
      <c r="Q114" s="22">
        <f t="shared" si="19"/>
        <v>0</v>
      </c>
      <c r="R114" s="22">
        <f t="shared" si="20"/>
        <v>6457955.2510000002</v>
      </c>
      <c r="S114" s="22">
        <f t="shared" si="21"/>
        <v>0</v>
      </c>
      <c r="T114" s="21">
        <f t="shared" si="22"/>
        <v>1</v>
      </c>
      <c r="U114" s="19" t="str">
        <f t="shared" si="23"/>
        <v>No transfer</v>
      </c>
      <c r="V114" s="35" t="s">
        <v>95</v>
      </c>
    </row>
    <row r="115" spans="1:22">
      <c r="A115" s="4">
        <v>43983</v>
      </c>
      <c r="B115" s="5">
        <v>7.7400000000000004E-3</v>
      </c>
      <c r="C115" s="5">
        <v>7.7400000000000004E-3</v>
      </c>
      <c r="D115" s="6">
        <f t="shared" si="14"/>
        <v>7.7400000000000004E-3</v>
      </c>
      <c r="E115" s="8">
        <f t="shared" si="25"/>
        <v>18</v>
      </c>
      <c r="F115" s="9">
        <f t="shared" si="26"/>
        <v>1.3096569614953051</v>
      </c>
      <c r="G115" s="9">
        <f t="shared" si="27"/>
        <v>0.69034303850469325</v>
      </c>
      <c r="H115" s="9">
        <f t="shared" si="15"/>
        <v>0.61931392299061183</v>
      </c>
      <c r="I115" t="str">
        <f t="shared" si="16"/>
        <v>A</v>
      </c>
      <c r="J115">
        <f t="shared" si="24"/>
        <v>14</v>
      </c>
      <c r="K115" t="str">
        <f>IF(I115="","",IF(J115&gt;=Parameters!$B$5,I115,"HOLD"))</f>
        <v>A</v>
      </c>
      <c r="L115" s="10">
        <f>'Actual Calc'!T115</f>
        <v>7124408.7250000006</v>
      </c>
      <c r="M115" s="10">
        <f>'Actual Calc'!U115</f>
        <v>0</v>
      </c>
      <c r="N115" s="12">
        <f t="shared" si="17"/>
        <v>1</v>
      </c>
      <c r="O115" s="12">
        <f>IF(NOT(ISNUMBER(N115)),"",IF(K115="A",MIN(Parameters!$B$8,N115+Parameters!$B$6),IF(K115="B",MAX(Parameters!$B$7,N115-Parameters!$B$6),N115)))</f>
        <v>1</v>
      </c>
      <c r="P115" s="13">
        <f t="shared" si="18"/>
        <v>0</v>
      </c>
      <c r="Q115" s="13">
        <f t="shared" si="19"/>
        <v>0</v>
      </c>
      <c r="R115" s="13">
        <f t="shared" si="20"/>
        <v>7124408.7250000006</v>
      </c>
      <c r="S115" s="13">
        <f t="shared" si="21"/>
        <v>0</v>
      </c>
      <c r="T115" s="12">
        <f t="shared" si="22"/>
        <v>1</v>
      </c>
      <c r="U115" t="str">
        <f t="shared" si="23"/>
        <v>No transfer</v>
      </c>
      <c r="V115" s="25" t="s">
        <v>95</v>
      </c>
    </row>
    <row r="116" spans="1:22">
      <c r="A116" s="14">
        <v>43990</v>
      </c>
      <c r="B116" s="15">
        <v>8.4499999999999992E-3</v>
      </c>
      <c r="C116" s="15">
        <v>8.4499999999999992E-3</v>
      </c>
      <c r="D116" s="16">
        <f t="shared" si="14"/>
        <v>8.4499999999999992E-3</v>
      </c>
      <c r="E116" s="17">
        <f t="shared" si="25"/>
        <v>18</v>
      </c>
      <c r="F116" s="18">
        <f t="shared" si="26"/>
        <v>1.3372826161321394</v>
      </c>
      <c r="G116" s="18">
        <f t="shared" si="27"/>
        <v>0.6627173838678595</v>
      </c>
      <c r="H116" s="18">
        <f t="shared" si="15"/>
        <v>0.67456523226427989</v>
      </c>
      <c r="I116" s="19" t="str">
        <f t="shared" si="16"/>
        <v>A</v>
      </c>
      <c r="J116" s="19">
        <f t="shared" si="24"/>
        <v>15</v>
      </c>
      <c r="K116" s="19" t="str">
        <f>IF(I116="","",IF(J116&gt;=Parameters!$B$5,I116,"HOLD"))</f>
        <v>A</v>
      </c>
      <c r="L116" s="20">
        <f>'Actual Calc'!T116</f>
        <v>7927074.2250000006</v>
      </c>
      <c r="M116" s="20">
        <f>'Actual Calc'!U116</f>
        <v>0</v>
      </c>
      <c r="N116" s="21">
        <f t="shared" si="17"/>
        <v>1</v>
      </c>
      <c r="O116" s="21">
        <f>IF(NOT(ISNUMBER(N116)),"",IF(K116="A",MIN(Parameters!$B$8,N116+Parameters!$B$6),IF(K116="B",MAX(Parameters!$B$7,N116-Parameters!$B$6),N116)))</f>
        <v>1</v>
      </c>
      <c r="P116" s="22">
        <f t="shared" si="18"/>
        <v>0</v>
      </c>
      <c r="Q116" s="22">
        <f t="shared" si="19"/>
        <v>0</v>
      </c>
      <c r="R116" s="22">
        <f t="shared" si="20"/>
        <v>7927074.2250000006</v>
      </c>
      <c r="S116" s="22">
        <f t="shared" si="21"/>
        <v>0</v>
      </c>
      <c r="T116" s="21">
        <f t="shared" si="22"/>
        <v>1</v>
      </c>
      <c r="U116" s="19" t="str">
        <f t="shared" si="23"/>
        <v>No transfer</v>
      </c>
      <c r="V116" s="35" t="s">
        <v>95</v>
      </c>
    </row>
    <row r="117" spans="1:22">
      <c r="A117" s="4">
        <v>43997</v>
      </c>
      <c r="B117" s="5">
        <v>2.7609999999999999E-2</v>
      </c>
      <c r="C117" s="5">
        <v>2.7609999999999999E-2</v>
      </c>
      <c r="D117" s="6">
        <f t="shared" si="14"/>
        <v>2.7609999999999999E-2</v>
      </c>
      <c r="E117" s="8">
        <f t="shared" si="25"/>
        <v>18</v>
      </c>
      <c r="F117" s="9">
        <f t="shared" si="26"/>
        <v>1.1539665416428686</v>
      </c>
      <c r="G117" s="9">
        <f t="shared" si="27"/>
        <v>0.84603345835712895</v>
      </c>
      <c r="H117" s="9">
        <f t="shared" si="15"/>
        <v>0.30793308328573965</v>
      </c>
      <c r="I117" t="str">
        <f t="shared" si="16"/>
        <v>A</v>
      </c>
      <c r="J117">
        <f t="shared" si="24"/>
        <v>16</v>
      </c>
      <c r="K117" t="str">
        <f>IF(I117="","",IF(J117&gt;=Parameters!$B$5,I117,"HOLD"))</f>
        <v>A</v>
      </c>
      <c r="L117" s="10">
        <f>'Actual Calc'!T117</f>
        <v>10845291.087000001</v>
      </c>
      <c r="M117" s="10">
        <f>'Actual Calc'!U117</f>
        <v>0</v>
      </c>
      <c r="N117" s="12">
        <f t="shared" si="17"/>
        <v>1</v>
      </c>
      <c r="O117" s="12">
        <f>IF(NOT(ISNUMBER(N117)),"",IF(K117="A",MIN(Parameters!$B$8,N117+Parameters!$B$6),IF(K117="B",MAX(Parameters!$B$7,N117-Parameters!$B$6),N117)))</f>
        <v>1</v>
      </c>
      <c r="P117" s="13">
        <f t="shared" si="18"/>
        <v>0</v>
      </c>
      <c r="Q117" s="13">
        <f t="shared" si="19"/>
        <v>0</v>
      </c>
      <c r="R117" s="13">
        <f t="shared" si="20"/>
        <v>10845291.087000001</v>
      </c>
      <c r="S117" s="13">
        <f t="shared" si="21"/>
        <v>0</v>
      </c>
      <c r="T117" s="12">
        <f t="shared" si="22"/>
        <v>1</v>
      </c>
      <c r="U117" t="str">
        <f t="shared" si="23"/>
        <v>No transfer</v>
      </c>
      <c r="V117" s="25" t="s">
        <v>95</v>
      </c>
    </row>
    <row r="118" spans="1:22">
      <c r="A118" s="14">
        <v>44004</v>
      </c>
      <c r="B118" s="15">
        <v>1.2710000000000001E-2</v>
      </c>
      <c r="C118" s="15">
        <v>1.2710000000000001E-2</v>
      </c>
      <c r="D118" s="16">
        <f t="shared" si="14"/>
        <v>1.2710000000000001E-2</v>
      </c>
      <c r="E118" s="17">
        <f t="shared" si="25"/>
        <v>18</v>
      </c>
      <c r="F118" s="18">
        <f t="shared" si="26"/>
        <v>1.1326933099306575</v>
      </c>
      <c r="G118" s="18">
        <f t="shared" si="27"/>
        <v>0.86730669006934102</v>
      </c>
      <c r="H118" s="18">
        <f t="shared" si="15"/>
        <v>0.26538661986131651</v>
      </c>
      <c r="I118" s="19" t="str">
        <f t="shared" si="16"/>
        <v>A</v>
      </c>
      <c r="J118" s="19">
        <f t="shared" si="24"/>
        <v>17</v>
      </c>
      <c r="K118" s="19" t="str">
        <f>IF(I118="","",IF(J118&gt;=Parameters!$B$5,I118,"HOLD"))</f>
        <v>A</v>
      </c>
      <c r="L118" s="20">
        <f>'Actual Calc'!T118</f>
        <v>12683199.030000001</v>
      </c>
      <c r="M118" s="20">
        <f>'Actual Calc'!U118</f>
        <v>0</v>
      </c>
      <c r="N118" s="21">
        <f t="shared" si="17"/>
        <v>1</v>
      </c>
      <c r="O118" s="21">
        <f>IF(NOT(ISNUMBER(N118)),"",IF(K118="A",MIN(Parameters!$B$8,N118+Parameters!$B$6),IF(K118="B",MAX(Parameters!$B$7,N118-Parameters!$B$6),N118)))</f>
        <v>1</v>
      </c>
      <c r="P118" s="22">
        <f t="shared" si="18"/>
        <v>0</v>
      </c>
      <c r="Q118" s="22">
        <f t="shared" si="19"/>
        <v>0</v>
      </c>
      <c r="R118" s="22">
        <f t="shared" si="20"/>
        <v>12683199.030000001</v>
      </c>
      <c r="S118" s="22">
        <f t="shared" si="21"/>
        <v>0</v>
      </c>
      <c r="T118" s="21">
        <f t="shared" si="22"/>
        <v>1</v>
      </c>
      <c r="U118" s="19" t="str">
        <f t="shared" si="23"/>
        <v>No transfer</v>
      </c>
      <c r="V118" s="35" t="s">
        <v>95</v>
      </c>
    </row>
    <row r="119" spans="1:22">
      <c r="A119" s="4">
        <v>44011</v>
      </c>
      <c r="B119" s="5">
        <v>1.264E-2</v>
      </c>
      <c r="C119" s="5">
        <v>1.264E-2</v>
      </c>
      <c r="D119" s="6">
        <f t="shared" si="14"/>
        <v>1.264E-2</v>
      </c>
      <c r="E119" s="8">
        <f t="shared" si="25"/>
        <v>19</v>
      </c>
      <c r="F119" s="9">
        <f t="shared" si="26"/>
        <v>1.1304669821344648</v>
      </c>
      <c r="G119" s="9">
        <f t="shared" si="27"/>
        <v>0.86953301786553305</v>
      </c>
      <c r="H119" s="9">
        <f t="shared" si="15"/>
        <v>0.26093396426893178</v>
      </c>
      <c r="I119" t="str">
        <f t="shared" si="16"/>
        <v>A</v>
      </c>
      <c r="J119">
        <f t="shared" si="24"/>
        <v>18</v>
      </c>
      <c r="K119" t="str">
        <f>IF(I119="","",IF(J119&gt;=Parameters!$B$5,I119,"HOLD"))</f>
        <v>A</v>
      </c>
      <c r="L119" s="10">
        <f>'Actual Calc'!T119</f>
        <v>14820717.830000002</v>
      </c>
      <c r="M119" s="10">
        <f>'Actual Calc'!U119</f>
        <v>0</v>
      </c>
      <c r="N119" s="12">
        <f t="shared" si="17"/>
        <v>1</v>
      </c>
      <c r="O119" s="12">
        <f>IF(NOT(ISNUMBER(N119)),"",IF(K119="A",MIN(Parameters!$B$8,N119+Parameters!$B$6),IF(K119="B",MAX(Parameters!$B$7,N119-Parameters!$B$6),N119)))</f>
        <v>1</v>
      </c>
      <c r="P119" s="13">
        <f t="shared" si="18"/>
        <v>0</v>
      </c>
      <c r="Q119" s="13">
        <f t="shared" si="19"/>
        <v>0</v>
      </c>
      <c r="R119" s="13">
        <f t="shared" si="20"/>
        <v>14820717.830000002</v>
      </c>
      <c r="S119" s="13">
        <f t="shared" si="21"/>
        <v>0</v>
      </c>
      <c r="T119" s="12">
        <f t="shared" si="22"/>
        <v>1</v>
      </c>
      <c r="U119" t="str">
        <f t="shared" si="23"/>
        <v>No transfer</v>
      </c>
      <c r="V119" s="25" t="s">
        <v>95</v>
      </c>
    </row>
    <row r="120" spans="1:22">
      <c r="A120" s="14">
        <v>44018</v>
      </c>
      <c r="B120" s="15">
        <v>1.172E-2</v>
      </c>
      <c r="C120" s="15">
        <v>1.172E-2</v>
      </c>
      <c r="D120" s="16">
        <f t="shared" si="14"/>
        <v>1.172E-2</v>
      </c>
      <c r="E120" s="17">
        <f t="shared" si="25"/>
        <v>19</v>
      </c>
      <c r="F120" s="18">
        <f t="shared" si="26"/>
        <v>1.1457130632806898</v>
      </c>
      <c r="G120" s="18">
        <f t="shared" si="27"/>
        <v>0.85428693671931033</v>
      </c>
      <c r="H120" s="18">
        <f t="shared" si="15"/>
        <v>0.29142612656137945</v>
      </c>
      <c r="I120" s="19" t="str">
        <f t="shared" si="16"/>
        <v>A</v>
      </c>
      <c r="J120" s="19">
        <f t="shared" si="24"/>
        <v>19</v>
      </c>
      <c r="K120" s="19" t="str">
        <f>IF(I120="","",IF(J120&gt;=Parameters!$B$5,I120,"HOLD"))</f>
        <v>A</v>
      </c>
      <c r="L120" s="20">
        <f>'Actual Calc'!T120</f>
        <v>17136696.482000001</v>
      </c>
      <c r="M120" s="20">
        <f>'Actual Calc'!U120</f>
        <v>0</v>
      </c>
      <c r="N120" s="21">
        <f t="shared" si="17"/>
        <v>1</v>
      </c>
      <c r="O120" s="21">
        <f>IF(NOT(ISNUMBER(N120)),"",IF(K120="A",MIN(Parameters!$B$8,N120+Parameters!$B$6),IF(K120="B",MAX(Parameters!$B$7,N120-Parameters!$B$6),N120)))</f>
        <v>1</v>
      </c>
      <c r="P120" s="22">
        <f t="shared" si="18"/>
        <v>0</v>
      </c>
      <c r="Q120" s="22">
        <f t="shared" si="19"/>
        <v>0</v>
      </c>
      <c r="R120" s="22">
        <f t="shared" si="20"/>
        <v>17136696.482000001</v>
      </c>
      <c r="S120" s="22">
        <f t="shared" si="21"/>
        <v>0</v>
      </c>
      <c r="T120" s="21">
        <f t="shared" si="22"/>
        <v>1</v>
      </c>
      <c r="U120" s="19" t="str">
        <f t="shared" si="23"/>
        <v>No transfer</v>
      </c>
      <c r="V120" s="35" t="s">
        <v>95</v>
      </c>
    </row>
    <row r="121" spans="1:22">
      <c r="A121" s="4">
        <v>44025</v>
      </c>
      <c r="B121" s="5">
        <v>-2.2689999999999998E-2</v>
      </c>
      <c r="C121" s="5">
        <v>-8.6400000000000001E-3</v>
      </c>
      <c r="D121" s="6">
        <f t="shared" si="14"/>
        <v>-1.5664999999999998E-2</v>
      </c>
      <c r="E121" s="8">
        <f t="shared" si="25"/>
        <v>18</v>
      </c>
      <c r="F121" s="9">
        <f t="shared" si="26"/>
        <v>1.1273166157965242</v>
      </c>
      <c r="G121" s="9">
        <f t="shared" si="27"/>
        <v>0.87268338420347347</v>
      </c>
      <c r="H121" s="9">
        <f t="shared" si="15"/>
        <v>0.25463323159305074</v>
      </c>
      <c r="I121" t="str">
        <f t="shared" si="16"/>
        <v>A</v>
      </c>
      <c r="J121">
        <f t="shared" si="24"/>
        <v>20</v>
      </c>
      <c r="K121" t="str">
        <f>IF(I121="","",IF(J121&gt;=Parameters!$B$5,I121,"HOLD"))</f>
        <v>A</v>
      </c>
      <c r="L121" s="10">
        <f>'Actual Calc'!T121</f>
        <v>11952283.341000002</v>
      </c>
      <c r="M121" s="10">
        <f>'Actual Calc'!U121</f>
        <v>0</v>
      </c>
      <c r="N121" s="12">
        <f t="shared" si="17"/>
        <v>1</v>
      </c>
      <c r="O121" s="12">
        <f>IF(NOT(ISNUMBER(N121)),"",IF(K121="A",MIN(Parameters!$B$8,N121+Parameters!$B$6),IF(K121="B",MAX(Parameters!$B$7,N121-Parameters!$B$6),N121)))</f>
        <v>1</v>
      </c>
      <c r="P121" s="13">
        <f t="shared" si="18"/>
        <v>0</v>
      </c>
      <c r="Q121" s="13">
        <f t="shared" si="19"/>
        <v>0</v>
      </c>
      <c r="R121" s="13">
        <f t="shared" si="20"/>
        <v>11952283.341000002</v>
      </c>
      <c r="S121" s="13">
        <f t="shared" si="21"/>
        <v>0</v>
      </c>
      <c r="T121" s="12">
        <f t="shared" si="22"/>
        <v>1</v>
      </c>
      <c r="U121" t="str">
        <f t="shared" si="23"/>
        <v>No transfer</v>
      </c>
      <c r="V121" s="25" t="s">
        <v>95</v>
      </c>
    </row>
    <row r="122" spans="1:22">
      <c r="A122" s="14">
        <v>44032</v>
      </c>
      <c r="B122" s="15">
        <v>2.6179999999999998E-2</v>
      </c>
      <c r="C122" s="15">
        <v>2.6179999999999998E-2</v>
      </c>
      <c r="D122" s="16">
        <f t="shared" si="14"/>
        <v>2.6179999999999998E-2</v>
      </c>
      <c r="E122" s="17">
        <f t="shared" si="25"/>
        <v>19</v>
      </c>
      <c r="F122" s="18">
        <f t="shared" si="26"/>
        <v>1.0438482848425374</v>
      </c>
      <c r="G122" s="18">
        <f t="shared" si="27"/>
        <v>0.95615171515746189</v>
      </c>
      <c r="H122" s="18">
        <f t="shared" si="15"/>
        <v>8.7696569685075554E-2</v>
      </c>
      <c r="I122" s="19" t="str">
        <f t="shared" si="16"/>
        <v>A</v>
      </c>
      <c r="J122" s="19">
        <f t="shared" si="24"/>
        <v>21</v>
      </c>
      <c r="K122" s="19" t="str">
        <f>IF(I122="","",IF(J122&gt;=Parameters!$B$5,I122,"HOLD"))</f>
        <v>A</v>
      </c>
      <c r="L122" s="20">
        <f>'Actual Calc'!T122</f>
        <v>16124390.973000001</v>
      </c>
      <c r="M122" s="20">
        <f>'Actual Calc'!U122</f>
        <v>0</v>
      </c>
      <c r="N122" s="21">
        <f t="shared" si="17"/>
        <v>1</v>
      </c>
      <c r="O122" s="21">
        <f>IF(NOT(ISNUMBER(N122)),"",IF(K122="A",MIN(Parameters!$B$8,N122+Parameters!$B$6),IF(K122="B",MAX(Parameters!$B$7,N122-Parameters!$B$6),N122)))</f>
        <v>1</v>
      </c>
      <c r="P122" s="22">
        <f t="shared" si="18"/>
        <v>0</v>
      </c>
      <c r="Q122" s="22">
        <f t="shared" si="19"/>
        <v>0</v>
      </c>
      <c r="R122" s="22">
        <f t="shared" si="20"/>
        <v>16124390.973000001</v>
      </c>
      <c r="S122" s="22">
        <f t="shared" si="21"/>
        <v>0</v>
      </c>
      <c r="T122" s="21">
        <f t="shared" si="22"/>
        <v>1</v>
      </c>
      <c r="U122" s="19" t="str">
        <f t="shared" si="23"/>
        <v>No transfer</v>
      </c>
      <c r="V122" s="35" t="s">
        <v>95</v>
      </c>
    </row>
    <row r="123" spans="1:22">
      <c r="A123" s="4">
        <v>44039</v>
      </c>
      <c r="B123" s="5">
        <v>1.094E-2</v>
      </c>
      <c r="C123" s="5">
        <v>1.094E-2</v>
      </c>
      <c r="D123" s="6">
        <f t="shared" si="14"/>
        <v>1.094E-2</v>
      </c>
      <c r="E123" s="8">
        <f t="shared" si="25"/>
        <v>19</v>
      </c>
      <c r="F123" s="9">
        <f t="shared" si="26"/>
        <v>1.069056326541117</v>
      </c>
      <c r="G123" s="9">
        <f t="shared" si="27"/>
        <v>0.93094367345888096</v>
      </c>
      <c r="H123" s="9">
        <f t="shared" si="15"/>
        <v>0.13811265308223608</v>
      </c>
      <c r="I123" t="str">
        <f t="shared" si="16"/>
        <v>A</v>
      </c>
      <c r="J123">
        <f t="shared" si="24"/>
        <v>22</v>
      </c>
      <c r="K123" t="str">
        <f>IF(I123="","",IF(J123&gt;=Parameters!$B$5,I123,"HOLD"))</f>
        <v>A</v>
      </c>
      <c r="L123" s="10">
        <f>'Actual Calc'!T123</f>
        <v>18476383.761</v>
      </c>
      <c r="M123" s="10">
        <f>'Actual Calc'!U123</f>
        <v>0</v>
      </c>
      <c r="N123" s="12">
        <f t="shared" si="17"/>
        <v>1</v>
      </c>
      <c r="O123" s="12">
        <f>IF(NOT(ISNUMBER(N123)),"",IF(K123="A",MIN(Parameters!$B$8,N123+Parameters!$B$6),IF(K123="B",MAX(Parameters!$B$7,N123-Parameters!$B$6),N123)))</f>
        <v>1</v>
      </c>
      <c r="P123" s="13">
        <f t="shared" si="18"/>
        <v>0</v>
      </c>
      <c r="Q123" s="13">
        <f t="shared" si="19"/>
        <v>0</v>
      </c>
      <c r="R123" s="13">
        <f t="shared" si="20"/>
        <v>18476383.761</v>
      </c>
      <c r="S123" s="13">
        <f t="shared" si="21"/>
        <v>0</v>
      </c>
      <c r="T123" s="12">
        <f t="shared" si="22"/>
        <v>1</v>
      </c>
      <c r="U123" t="str">
        <f t="shared" si="23"/>
        <v>No transfer</v>
      </c>
      <c r="V123" s="25" t="s">
        <v>95</v>
      </c>
    </row>
    <row r="124" spans="1:22">
      <c r="A124" s="14">
        <v>44046</v>
      </c>
      <c r="B124" s="15">
        <v>1.2239999999999999E-2</v>
      </c>
      <c r="C124" s="15">
        <v>1.2239999999999999E-2</v>
      </c>
      <c r="D124" s="16">
        <f t="shared" si="14"/>
        <v>1.2239999999999999E-2</v>
      </c>
      <c r="E124" s="17">
        <f t="shared" si="25"/>
        <v>19</v>
      </c>
      <c r="F124" s="18">
        <f t="shared" si="26"/>
        <v>1.0603247645643805</v>
      </c>
      <c r="G124" s="18">
        <f t="shared" si="27"/>
        <v>0.93967523543561804</v>
      </c>
      <c r="H124" s="18">
        <f t="shared" si="15"/>
        <v>0.12064952912876248</v>
      </c>
      <c r="I124" s="19" t="str">
        <f t="shared" si="16"/>
        <v>A</v>
      </c>
      <c r="J124" s="19">
        <f t="shared" si="24"/>
        <v>23</v>
      </c>
      <c r="K124" s="19" t="str">
        <f>IF(I124="","",IF(J124&gt;=Parameters!$B$5,I124,"HOLD"))</f>
        <v>A</v>
      </c>
      <c r="L124" s="20">
        <f>'Actual Calc'!T124</f>
        <v>21491716.329</v>
      </c>
      <c r="M124" s="20">
        <f>'Actual Calc'!U124</f>
        <v>0</v>
      </c>
      <c r="N124" s="21">
        <f t="shared" si="17"/>
        <v>1</v>
      </c>
      <c r="O124" s="21">
        <f>IF(NOT(ISNUMBER(N124)),"",IF(K124="A",MIN(Parameters!$B$8,N124+Parameters!$B$6),IF(K124="B",MAX(Parameters!$B$7,N124-Parameters!$B$6),N124)))</f>
        <v>1</v>
      </c>
      <c r="P124" s="22">
        <f t="shared" si="18"/>
        <v>0</v>
      </c>
      <c r="Q124" s="22">
        <f t="shared" si="19"/>
        <v>0</v>
      </c>
      <c r="R124" s="22">
        <f t="shared" si="20"/>
        <v>21491716.329</v>
      </c>
      <c r="S124" s="22">
        <f t="shared" si="21"/>
        <v>0</v>
      </c>
      <c r="T124" s="21">
        <f t="shared" si="22"/>
        <v>1</v>
      </c>
      <c r="U124" s="19" t="str">
        <f t="shared" si="23"/>
        <v>No transfer</v>
      </c>
      <c r="V124" s="35" t="s">
        <v>95</v>
      </c>
    </row>
    <row r="125" spans="1:22">
      <c r="A125" s="4">
        <v>44053</v>
      </c>
      <c r="B125" s="5">
        <v>-4.0000000000000001E-3</v>
      </c>
      <c r="C125" s="5">
        <v>-4.0000000000000001E-3</v>
      </c>
      <c r="D125" s="6">
        <f t="shared" si="14"/>
        <v>-4.0000000000000001E-3</v>
      </c>
      <c r="E125" s="8">
        <f t="shared" si="25"/>
        <v>18</v>
      </c>
      <c r="F125" s="9">
        <f t="shared" si="26"/>
        <v>1.067267941486471</v>
      </c>
      <c r="G125" s="9">
        <f t="shared" si="27"/>
        <v>0.93273205851353258</v>
      </c>
      <c r="H125" s="9">
        <f t="shared" si="15"/>
        <v>0.13453588297293839</v>
      </c>
      <c r="I125" t="str">
        <f t="shared" si="16"/>
        <v>A</v>
      </c>
      <c r="J125">
        <f t="shared" si="24"/>
        <v>24</v>
      </c>
      <c r="K125" t="str">
        <f>IF(I125="","",IF(J125&gt;=Parameters!$B$5,I125,"HOLD"))</f>
        <v>A</v>
      </c>
      <c r="L125" s="10">
        <f>'Actual Calc'!T125</f>
        <v>20345497.528999999</v>
      </c>
      <c r="M125" s="10">
        <f>'Actual Calc'!U125</f>
        <v>0</v>
      </c>
      <c r="N125" s="12">
        <f t="shared" si="17"/>
        <v>1</v>
      </c>
      <c r="O125" s="12">
        <f>IF(NOT(ISNUMBER(N125)),"",IF(K125="A",MIN(Parameters!$B$8,N125+Parameters!$B$6),IF(K125="B",MAX(Parameters!$B$7,N125-Parameters!$B$6),N125)))</f>
        <v>1</v>
      </c>
      <c r="P125" s="13">
        <f t="shared" si="18"/>
        <v>0</v>
      </c>
      <c r="Q125" s="13">
        <f t="shared" si="19"/>
        <v>0</v>
      </c>
      <c r="R125" s="13">
        <f t="shared" si="20"/>
        <v>20345497.528999999</v>
      </c>
      <c r="S125" s="13">
        <f t="shared" si="21"/>
        <v>0</v>
      </c>
      <c r="T125" s="12">
        <f t="shared" si="22"/>
        <v>1</v>
      </c>
      <c r="U125" t="str">
        <f t="shared" si="23"/>
        <v>No transfer</v>
      </c>
      <c r="V125" s="25" t="s">
        <v>95</v>
      </c>
    </row>
    <row r="126" spans="1:22">
      <c r="A126" s="14">
        <v>44060</v>
      </c>
      <c r="B126" s="15">
        <v>2.92E-2</v>
      </c>
      <c r="C126" s="15">
        <v>2.92E-2</v>
      </c>
      <c r="D126" s="16">
        <f t="shared" si="14"/>
        <v>2.92E-2</v>
      </c>
      <c r="E126" s="17">
        <f t="shared" si="25"/>
        <v>18</v>
      </c>
      <c r="F126" s="18">
        <f t="shared" si="26"/>
        <v>0.97979687966741691</v>
      </c>
      <c r="G126" s="18">
        <f t="shared" si="27"/>
        <v>1.0202031203325863</v>
      </c>
      <c r="H126" s="18">
        <f t="shared" si="15"/>
        <v>-4.0406240665169402E-2</v>
      </c>
      <c r="I126" s="19" t="str">
        <f t="shared" si="16"/>
        <v>B</v>
      </c>
      <c r="J126" s="19">
        <f t="shared" si="24"/>
        <v>1</v>
      </c>
      <c r="K126" s="19" t="str">
        <f>IF(I126="","",IF(J126&gt;=Parameters!$B$5,I126,"HOLD"))</f>
        <v>HOLD</v>
      </c>
      <c r="L126" s="20">
        <f>'Actual Calc'!T126</f>
        <v>28266616.568999998</v>
      </c>
      <c r="M126" s="20">
        <f>'Actual Calc'!U126</f>
        <v>0</v>
      </c>
      <c r="N126" s="21">
        <f t="shared" si="17"/>
        <v>1</v>
      </c>
      <c r="O126" s="21">
        <f>IF(NOT(ISNUMBER(N126)),"",IF(K126="A",MIN(Parameters!$B$8,N126+Parameters!$B$6),IF(K126="B",MAX(Parameters!$B$7,N126-Parameters!$B$6),N126)))</f>
        <v>1</v>
      </c>
      <c r="P126" s="22">
        <f t="shared" si="18"/>
        <v>0</v>
      </c>
      <c r="Q126" s="22">
        <f t="shared" si="19"/>
        <v>0</v>
      </c>
      <c r="R126" s="22">
        <f t="shared" si="20"/>
        <v>28266616.568999998</v>
      </c>
      <c r="S126" s="22">
        <f t="shared" si="21"/>
        <v>0</v>
      </c>
      <c r="T126" s="21">
        <f t="shared" si="22"/>
        <v>1</v>
      </c>
      <c r="U126" s="19" t="str">
        <f t="shared" si="23"/>
        <v>No transfer</v>
      </c>
      <c r="V126" s="35" t="s">
        <v>95</v>
      </c>
    </row>
    <row r="127" spans="1:22">
      <c r="A127" s="4">
        <v>44067</v>
      </c>
      <c r="B127" s="5">
        <v>2.5930000000000002E-2</v>
      </c>
      <c r="C127" s="5">
        <v>2.5930000000000002E-2</v>
      </c>
      <c r="D127" s="6">
        <f t="shared" si="14"/>
        <v>2.5930000000000002E-2</v>
      </c>
      <c r="E127" s="8">
        <f t="shared" si="25"/>
        <v>18</v>
      </c>
      <c r="F127" s="9">
        <f t="shared" si="26"/>
        <v>0.97025728596015526</v>
      </c>
      <c r="G127" s="9">
        <f t="shared" si="27"/>
        <v>1.0297427140398474</v>
      </c>
      <c r="H127" s="9">
        <f t="shared" si="15"/>
        <v>-5.9485428079692149E-2</v>
      </c>
      <c r="I127" t="str">
        <f t="shared" si="16"/>
        <v>B</v>
      </c>
      <c r="J127">
        <f t="shared" si="24"/>
        <v>2</v>
      </c>
      <c r="K127" t="str">
        <f>IF(I127="","",IF(J127&gt;=Parameters!$B$5,I127,"HOLD"))</f>
        <v>HOLD</v>
      </c>
      <c r="L127" s="10">
        <f>'Actual Calc'!T127</f>
        <v>38039301.664999999</v>
      </c>
      <c r="M127" s="10">
        <f>'Actual Calc'!U127</f>
        <v>0</v>
      </c>
      <c r="N127" s="12">
        <f t="shared" si="17"/>
        <v>1</v>
      </c>
      <c r="O127" s="12">
        <f>IF(NOT(ISNUMBER(N127)),"",IF(K127="A",MIN(Parameters!$B$8,N127+Parameters!$B$6),IF(K127="B",MAX(Parameters!$B$7,N127-Parameters!$B$6),N127)))</f>
        <v>1</v>
      </c>
      <c r="P127" s="13">
        <f t="shared" si="18"/>
        <v>0</v>
      </c>
      <c r="Q127" s="13">
        <f t="shared" si="19"/>
        <v>0</v>
      </c>
      <c r="R127" s="13">
        <f t="shared" si="20"/>
        <v>38039301.664999999</v>
      </c>
      <c r="S127" s="13">
        <f t="shared" si="21"/>
        <v>0</v>
      </c>
      <c r="T127" s="12">
        <f t="shared" si="22"/>
        <v>1</v>
      </c>
      <c r="U127" t="str">
        <f t="shared" si="23"/>
        <v>No transfer</v>
      </c>
      <c r="V127" s="25" t="s">
        <v>95</v>
      </c>
    </row>
    <row r="128" spans="1:22">
      <c r="A128" s="14">
        <v>44074</v>
      </c>
      <c r="B128" s="15">
        <v>7.2500000000000004E-3</v>
      </c>
      <c r="C128" s="15">
        <v>7.2500000000000004E-3</v>
      </c>
      <c r="D128" s="16">
        <f t="shared" si="14"/>
        <v>7.2500000000000004E-3</v>
      </c>
      <c r="E128" s="17">
        <f t="shared" si="25"/>
        <v>18</v>
      </c>
      <c r="F128" s="18">
        <f t="shared" si="26"/>
        <v>0.94264304333544291</v>
      </c>
      <c r="G128" s="18">
        <f t="shared" si="27"/>
        <v>1.0573569566645562</v>
      </c>
      <c r="H128" s="18">
        <f t="shared" si="15"/>
        <v>-0.11471391332911329</v>
      </c>
      <c r="I128" s="19" t="str">
        <f t="shared" si="16"/>
        <v>B</v>
      </c>
      <c r="J128" s="19">
        <f t="shared" si="24"/>
        <v>3</v>
      </c>
      <c r="K128" s="19" t="str">
        <f>IF(I128="","",IF(J128&gt;=Parameters!$B$5,I128,"HOLD"))</f>
        <v>B</v>
      </c>
      <c r="L128" s="20">
        <f>'Actual Calc'!T128</f>
        <v>41716422.640000001</v>
      </c>
      <c r="M128" s="20">
        <f>'Actual Calc'!U128</f>
        <v>0</v>
      </c>
      <c r="N128" s="21">
        <f t="shared" si="17"/>
        <v>1</v>
      </c>
      <c r="O128" s="21">
        <f>IF(NOT(ISNUMBER(N128)),"",IF(K128="A",MIN(Parameters!$B$8,N128+Parameters!$B$6),IF(K128="B",MAX(Parameters!$B$7,N128-Parameters!$B$6),N128)))</f>
        <v>0.9</v>
      </c>
      <c r="P128" s="22">
        <f t="shared" si="18"/>
        <v>4171642.2639999986</v>
      </c>
      <c r="Q128" s="22">
        <f t="shared" si="19"/>
        <v>0</v>
      </c>
      <c r="R128" s="22">
        <f t="shared" si="20"/>
        <v>37544780.376000002</v>
      </c>
      <c r="S128" s="22">
        <f t="shared" si="21"/>
        <v>4171642.2639999986</v>
      </c>
      <c r="T128" s="21">
        <f t="shared" si="22"/>
        <v>0.9</v>
      </c>
      <c r="U128" s="19" t="e">
        <f t="shared" si="23"/>
        <v>#VALUE!</v>
      </c>
      <c r="V128" s="35" t="s">
        <v>95</v>
      </c>
    </row>
    <row r="129" spans="1:22">
      <c r="A129" s="4">
        <v>44081</v>
      </c>
      <c r="B129" s="5">
        <v>-4.0000000000000001E-3</v>
      </c>
      <c r="C129" s="5">
        <v>0</v>
      </c>
      <c r="D129" s="6">
        <f t="shared" si="14"/>
        <v>-2E-3</v>
      </c>
      <c r="E129" s="8">
        <f t="shared" si="25"/>
        <v>18</v>
      </c>
      <c r="F129" s="9">
        <f t="shared" si="26"/>
        <v>0.94264304333544291</v>
      </c>
      <c r="G129" s="9">
        <f t="shared" si="27"/>
        <v>1.0573569566645562</v>
      </c>
      <c r="H129" s="9">
        <f t="shared" si="15"/>
        <v>-0.11471391332911329</v>
      </c>
      <c r="I129" t="str">
        <f t="shared" si="16"/>
        <v>B</v>
      </c>
      <c r="J129">
        <f t="shared" si="24"/>
        <v>4</v>
      </c>
      <c r="K129" t="str">
        <f>IF(I129="","",IF(J129&gt;=Parameters!$B$5,I129,"HOLD"))</f>
        <v>B</v>
      </c>
      <c r="L129" s="10">
        <f>'Actual Calc'!T129</f>
        <v>35542400.376000002</v>
      </c>
      <c r="M129" s="10">
        <f>'Actual Calc'!U129</f>
        <v>4171642.2639999986</v>
      </c>
      <c r="N129" s="12">
        <f t="shared" si="17"/>
        <v>0.89495800511131252</v>
      </c>
      <c r="O129" s="12">
        <f>IF(NOT(ISNUMBER(N129)),"",IF(K129="A",MIN(Parameters!$B$8,N129+Parameters!$B$6),IF(K129="B",MAX(Parameters!$B$7,N129-Parameters!$B$6),N129)))</f>
        <v>0.79495800511131254</v>
      </c>
      <c r="P129" s="13">
        <f t="shared" si="18"/>
        <v>3971404.2639999986</v>
      </c>
      <c r="Q129" s="13">
        <f t="shared" si="19"/>
        <v>0</v>
      </c>
      <c r="R129" s="13">
        <f t="shared" si="20"/>
        <v>31570996.112000003</v>
      </c>
      <c r="S129" s="13">
        <f t="shared" si="21"/>
        <v>8143046.5279999971</v>
      </c>
      <c r="T129" s="12">
        <f t="shared" si="22"/>
        <v>0.79495800511131254</v>
      </c>
      <c r="U129" t="e">
        <f t="shared" si="23"/>
        <v>#VALUE!</v>
      </c>
      <c r="V129" s="25" t="s">
        <v>96</v>
      </c>
    </row>
    <row r="130" spans="1:22">
      <c r="A130" s="14">
        <v>44088</v>
      </c>
      <c r="B130" s="15">
        <v>-4.0099999999999997E-3</v>
      </c>
      <c r="C130" s="15">
        <v>0</v>
      </c>
      <c r="D130" s="16">
        <f t="shared" si="14"/>
        <v>-2.0049999999999998E-3</v>
      </c>
      <c r="E130" s="17">
        <f t="shared" si="25"/>
        <v>18</v>
      </c>
      <c r="F130" s="18">
        <f t="shared" si="26"/>
        <v>0.94264304333544291</v>
      </c>
      <c r="G130" s="18">
        <f t="shared" si="27"/>
        <v>1.0573569566645562</v>
      </c>
      <c r="H130" s="18">
        <f t="shared" si="15"/>
        <v>-0.11471391332911329</v>
      </c>
      <c r="I130" s="19" t="str">
        <f t="shared" si="16"/>
        <v>B</v>
      </c>
      <c r="J130" s="19">
        <f t="shared" si="24"/>
        <v>5</v>
      </c>
      <c r="K130" s="19" t="str">
        <f>IF(I130="","",IF(J130&gt;=Parameters!$B$5,I130,"HOLD"))</f>
        <v>B</v>
      </c>
      <c r="L130" s="20">
        <f>'Actual Calc'!T130</f>
        <v>29883002.652000003</v>
      </c>
      <c r="M130" s="20">
        <f>'Actual Calc'!U130</f>
        <v>8143046.5279999971</v>
      </c>
      <c r="N130" s="21">
        <f t="shared" si="17"/>
        <v>0.78585609855354432</v>
      </c>
      <c r="O130" s="21">
        <f>IF(NOT(ISNUMBER(N130)),"",IF(K130="A",MIN(Parameters!$B$8,N130+Parameters!$B$6),IF(K130="B",MAX(Parameters!$B$7,N130-Parameters!$B$6),N130)))</f>
        <v>0.68585609855354435</v>
      </c>
      <c r="P130" s="22">
        <f t="shared" si="18"/>
        <v>3802604.9179999977</v>
      </c>
      <c r="Q130" s="22">
        <f t="shared" si="19"/>
        <v>0</v>
      </c>
      <c r="R130" s="22">
        <f t="shared" si="20"/>
        <v>26080397.734000005</v>
      </c>
      <c r="S130" s="22">
        <f t="shared" si="21"/>
        <v>11945651.445999995</v>
      </c>
      <c r="T130" s="21">
        <f t="shared" si="22"/>
        <v>0.68585609855354435</v>
      </c>
      <c r="U130" s="19" t="e">
        <f t="shared" si="23"/>
        <v>#VALUE!</v>
      </c>
      <c r="V130" s="35" t="s">
        <v>96</v>
      </c>
    </row>
    <row r="131" spans="1:22">
      <c r="A131" s="4">
        <v>44095</v>
      </c>
      <c r="B131" s="5">
        <v>1.9740000000000001E-2</v>
      </c>
      <c r="C131" s="5">
        <v>-5.13E-3</v>
      </c>
      <c r="D131" s="6">
        <f t="shared" si="14"/>
        <v>7.3050000000000007E-3</v>
      </c>
      <c r="E131" s="8">
        <f t="shared" si="25"/>
        <v>19</v>
      </c>
      <c r="F131" s="9">
        <f t="shared" si="26"/>
        <v>0.85829030783260918</v>
      </c>
      <c r="G131" s="9">
        <f t="shared" si="27"/>
        <v>1.1417096921673895</v>
      </c>
      <c r="H131" s="9">
        <f t="shared" si="15"/>
        <v>-0.28341938433478031</v>
      </c>
      <c r="I131" t="str">
        <f t="shared" si="16"/>
        <v>B</v>
      </c>
      <c r="J131">
        <f t="shared" si="24"/>
        <v>6</v>
      </c>
      <c r="K131" t="str">
        <f>IF(I131="","",IF(J131&gt;=Parameters!$B$5,I131,"HOLD"))</f>
        <v>B</v>
      </c>
      <c r="L131" s="10">
        <f>'Actual Calc'!T131</f>
        <v>32944726.114000004</v>
      </c>
      <c r="M131" s="10">
        <f>'Actual Calc'!U131</f>
        <v>11128570.695999995</v>
      </c>
      <c r="N131" s="12">
        <f t="shared" si="17"/>
        <v>0.74749856485719068</v>
      </c>
      <c r="O131" s="12">
        <f>IF(NOT(ISNUMBER(N131)),"",IF(K131="A",MIN(Parameters!$B$8,N131+Parameters!$B$6),IF(K131="B",MAX(Parameters!$B$7,N131-Parameters!$B$6),N131)))</f>
        <v>0.64749856485719071</v>
      </c>
      <c r="P131" s="13">
        <f t="shared" si="18"/>
        <v>4407329.6810000017</v>
      </c>
      <c r="Q131" s="13">
        <f t="shared" si="19"/>
        <v>0</v>
      </c>
      <c r="R131" s="13">
        <f t="shared" si="20"/>
        <v>28537396.433000002</v>
      </c>
      <c r="S131" s="13">
        <f t="shared" si="21"/>
        <v>15535900.376999997</v>
      </c>
      <c r="T131" s="12">
        <f t="shared" si="22"/>
        <v>0.64749856485719071</v>
      </c>
      <c r="U131" t="e">
        <f t="shared" si="23"/>
        <v>#VALUE!</v>
      </c>
      <c r="V131" s="25" t="s">
        <v>95</v>
      </c>
    </row>
    <row r="132" spans="1:22">
      <c r="A132" s="14">
        <v>44102</v>
      </c>
      <c r="B132" s="15">
        <v>-4.0000000000000001E-3</v>
      </c>
      <c r="C132" s="15">
        <v>0</v>
      </c>
      <c r="D132" s="16">
        <f t="shared" ref="D132:D195" si="28">IF(AND(ISNUMBER(B132),ISNUMBER(C132)),(B132+C132)/2,"")</f>
        <v>-2E-3</v>
      </c>
      <c r="E132" s="17">
        <f t="shared" si="25"/>
        <v>18</v>
      </c>
      <c r="F132" s="18">
        <f t="shared" si="26"/>
        <v>0.88293306264366622</v>
      </c>
      <c r="G132" s="18">
        <f t="shared" si="27"/>
        <v>1.1170669373563347</v>
      </c>
      <c r="H132" s="18">
        <f t="shared" ref="H132:H195" si="29">IF(AND(ISNUMBER(F132),ISNUMBER(G132)),F132-G132,"")</f>
        <v>-0.23413387471266844</v>
      </c>
      <c r="I132" s="19" t="str">
        <f t="shared" ref="I132:I195" si="30">IF(OR(NOT(ISNUMBER(F132)),NOT(ISNUMBER(G132))),"",IF(F132&gt;G132,"A",IF(G132&gt;F132,"B","HOLD")))</f>
        <v>B</v>
      </c>
      <c r="J132" s="19">
        <f t="shared" si="24"/>
        <v>7</v>
      </c>
      <c r="K132" s="19" t="str">
        <f>IF(I132="","",IF(J132&gt;=Parameters!$B$5,I132,"HOLD"))</f>
        <v>B</v>
      </c>
      <c r="L132" s="20">
        <f>'Actual Calc'!T132</f>
        <v>27015403.633000001</v>
      </c>
      <c r="M132" s="20">
        <f>'Actual Calc'!U132</f>
        <v>15535900.376999997</v>
      </c>
      <c r="N132" s="21">
        <f t="shared" ref="N132:N195" si="31">IF(OR(NOT(ISNUMBER(L132)),NOT(ISNUMBER(M132)),L132+M132=0),"",L132/(L132+M132))</f>
        <v>0.63489014641363517</v>
      </c>
      <c r="O132" s="21">
        <f>IF(NOT(ISNUMBER(N132)),"",IF(K132="A",MIN(Parameters!$B$8,N132+Parameters!$B$6),IF(K132="B",MAX(Parameters!$B$7,N132-Parameters!$B$6),N132)))</f>
        <v>0.53489014641363519</v>
      </c>
      <c r="P132" s="22">
        <f t="shared" ref="P132:P195" si="32">IF(NOT(ISNUMBER(O132)),"",MAX(0,L132-(L132+M132)*O132))</f>
        <v>4255130.4010000005</v>
      </c>
      <c r="Q132" s="22">
        <f t="shared" ref="Q132:Q195" si="33">IF(NOT(ISNUMBER(O132)),"",MAX(0,(L132+M132)*O132-L132))</f>
        <v>0</v>
      </c>
      <c r="R132" s="22">
        <f t="shared" ref="R132:R195" si="34">IF(NOT(ISNUMBER(O132)),"",L132-P132+Q132)</f>
        <v>22760273.232000001</v>
      </c>
      <c r="S132" s="22">
        <f t="shared" ref="S132:S195" si="35">IF(NOT(ISNUMBER(O132)),"",M132+P132-Q132)</f>
        <v>19791030.777999997</v>
      </c>
      <c r="T132" s="21">
        <f t="shared" ref="T132:T195" si="36">IF(OR(NOT(ISNUMBER(R132)),NOT(ISNUMBER(S132)),R132+S132=0),"",R132/(R132+S132))</f>
        <v>0.53489014641363519</v>
      </c>
      <c r="U132" s="19" t="e">
        <f t="shared" ref="U132:U195" si="37">IF(NOT(ISNUMBER(O132)),"",IF(P132&gt;0.005,"Transfer "&amp;TEXT(P132,"#,##0.00")&amp;" A → B",IF(Q132&gt;0.005,"Transfer "&amp;TEXT(Q132,"#,##0.00")&amp;" B → A","No transfer")))</f>
        <v>#VALUE!</v>
      </c>
      <c r="V132" s="35" t="s">
        <v>96</v>
      </c>
    </row>
    <row r="133" spans="1:22">
      <c r="A133" s="4">
        <v>44109</v>
      </c>
      <c r="B133" s="5">
        <v>1.345E-2</v>
      </c>
      <c r="C133" s="5">
        <v>1.345E-2</v>
      </c>
      <c r="D133" s="6">
        <f t="shared" si="28"/>
        <v>1.345E-2</v>
      </c>
      <c r="E133" s="8">
        <f t="shared" si="25"/>
        <v>18</v>
      </c>
      <c r="F133" s="9">
        <f t="shared" si="26"/>
        <v>0.89851643654480517</v>
      </c>
      <c r="G133" s="9">
        <f t="shared" si="27"/>
        <v>1.1014835634551943</v>
      </c>
      <c r="H133" s="9">
        <f t="shared" si="29"/>
        <v>-0.2029671269103891</v>
      </c>
      <c r="I133" t="str">
        <f t="shared" si="30"/>
        <v>B</v>
      </c>
      <c r="J133">
        <f t="shared" ref="J133:J196" si="38">IF(I133="","",IF(I133="HOLD",0,IF(I133=I132,J132+1,1)))</f>
        <v>8</v>
      </c>
      <c r="K133" t="str">
        <f>IF(I133="","",IF(J133&gt;=Parameters!$B$5,I133,"HOLD"))</f>
        <v>B</v>
      </c>
      <c r="L133" s="10">
        <f>'Actual Calc'!T133</f>
        <v>26841929.936999999</v>
      </c>
      <c r="M133" s="10">
        <f>'Actual Calc'!U133</f>
        <v>23340203.327999998</v>
      </c>
      <c r="N133" s="12">
        <f t="shared" si="31"/>
        <v>0.53489017286798279</v>
      </c>
      <c r="O133" s="12">
        <f>IF(NOT(ISNUMBER(N133)),"",IF(K133="A",MIN(Parameters!$B$8,N133+Parameters!$B$6),IF(K133="B",MAX(Parameters!$B$7,N133-Parameters!$B$6),N133)))</f>
        <v>0.43489017286798282</v>
      </c>
      <c r="P133" s="13">
        <f t="shared" si="32"/>
        <v>5018213.3264999986</v>
      </c>
      <c r="Q133" s="13">
        <f t="shared" si="33"/>
        <v>0</v>
      </c>
      <c r="R133" s="13">
        <f t="shared" si="34"/>
        <v>21823716.6105</v>
      </c>
      <c r="S133" s="13">
        <f t="shared" si="35"/>
        <v>28358416.654499996</v>
      </c>
      <c r="T133" s="12">
        <f t="shared" si="36"/>
        <v>0.43489017286798282</v>
      </c>
      <c r="U133" t="e">
        <f t="shared" si="37"/>
        <v>#VALUE!</v>
      </c>
      <c r="V133" s="25" t="s">
        <v>95</v>
      </c>
    </row>
    <row r="134" spans="1:22">
      <c r="A134" s="14">
        <v>44116</v>
      </c>
      <c r="B134" s="15">
        <v>1.3089999999999999E-2</v>
      </c>
      <c r="C134" s="15">
        <v>1.3089999999999999E-2</v>
      </c>
      <c r="D134" s="16">
        <f t="shared" si="28"/>
        <v>1.3089999999999999E-2</v>
      </c>
      <c r="E134" s="17">
        <f t="shared" si="25"/>
        <v>18</v>
      </c>
      <c r="F134" s="18">
        <f t="shared" si="26"/>
        <v>0.90101370547423798</v>
      </c>
      <c r="G134" s="18">
        <f t="shared" si="27"/>
        <v>1.0989862945257625</v>
      </c>
      <c r="H134" s="18">
        <f t="shared" si="29"/>
        <v>-0.19797258905152448</v>
      </c>
      <c r="I134" s="19" t="str">
        <f t="shared" si="30"/>
        <v>B</v>
      </c>
      <c r="J134" s="19">
        <f t="shared" si="38"/>
        <v>9</v>
      </c>
      <c r="K134" s="19" t="str">
        <f>IF(I134="","",IF(J134&gt;=Parameters!$B$5,I134,"HOLD"))</f>
        <v>B</v>
      </c>
      <c r="L134" s="20">
        <f>'Actual Calc'!T134</f>
        <v>25632673.6085</v>
      </c>
      <c r="M134" s="20">
        <f>'Actual Calc'!U134</f>
        <v>33307887.026499994</v>
      </c>
      <c r="N134" s="21">
        <f t="shared" si="31"/>
        <v>0.43489022385170267</v>
      </c>
      <c r="O134" s="21">
        <f>IF(NOT(ISNUMBER(N134)),"",IF(K134="A",MIN(Parameters!$B$8,N134+Parameters!$B$6),IF(K134="B",MAX(Parameters!$B$7,N134-Parameters!$B$6),N134)))</f>
        <v>0.33489022385170264</v>
      </c>
      <c r="P134" s="22">
        <f t="shared" si="32"/>
        <v>5894056.063500002</v>
      </c>
      <c r="Q134" s="22">
        <f t="shared" si="33"/>
        <v>0</v>
      </c>
      <c r="R134" s="22">
        <f t="shared" si="34"/>
        <v>19738617.544999998</v>
      </c>
      <c r="S134" s="22">
        <f t="shared" si="35"/>
        <v>39201943.089999996</v>
      </c>
      <c r="T134" s="21">
        <f t="shared" si="36"/>
        <v>0.33489022385170264</v>
      </c>
      <c r="U134" s="19" t="e">
        <f t="shared" si="37"/>
        <v>#VALUE!</v>
      </c>
      <c r="V134" s="35" t="s">
        <v>95</v>
      </c>
    </row>
    <row r="135" spans="1:22">
      <c r="A135" s="4">
        <v>44123</v>
      </c>
      <c r="B135" s="5">
        <v>-1.934E-2</v>
      </c>
      <c r="C135" s="5">
        <v>-1.189E-2</v>
      </c>
      <c r="D135" s="6">
        <f t="shared" si="28"/>
        <v>-1.5615E-2</v>
      </c>
      <c r="E135" s="8">
        <f t="shared" si="25"/>
        <v>18</v>
      </c>
      <c r="F135" s="9">
        <f t="shared" si="26"/>
        <v>0.90101370547423798</v>
      </c>
      <c r="G135" s="9">
        <f t="shared" si="27"/>
        <v>1.0989862945257625</v>
      </c>
      <c r="H135" s="9">
        <f t="shared" si="29"/>
        <v>-0.19797258905152448</v>
      </c>
      <c r="I135" t="str">
        <f t="shared" si="30"/>
        <v>B</v>
      </c>
      <c r="J135">
        <f t="shared" si="38"/>
        <v>10</v>
      </c>
      <c r="K135" t="str">
        <f>IF(I135="","",IF(J135&gt;=Parameters!$B$5,I135,"HOLD"))</f>
        <v>B</v>
      </c>
      <c r="L135" s="10">
        <f>'Actual Calc'!T135</f>
        <v>14648720.213</v>
      </c>
      <c r="M135" s="10">
        <f>'Actual Calc'!U135</f>
        <v>32987145.910999998</v>
      </c>
      <c r="N135" s="12">
        <f t="shared" si="31"/>
        <v>0.3075145138511432</v>
      </c>
      <c r="O135" s="12">
        <f>IF(NOT(ISNUMBER(N135)),"",IF(K135="A",MIN(Parameters!$B$8,N135+Parameters!$B$6),IF(K135="B",MAX(Parameters!$B$7,N135-Parameters!$B$6),N135)))</f>
        <v>0.2075145138511432</v>
      </c>
      <c r="P135" s="13">
        <f t="shared" si="32"/>
        <v>4763586.6123999991</v>
      </c>
      <c r="Q135" s="13">
        <f t="shared" si="33"/>
        <v>0</v>
      </c>
      <c r="R135" s="13">
        <f t="shared" si="34"/>
        <v>9885133.6006000005</v>
      </c>
      <c r="S135" s="13">
        <f t="shared" si="35"/>
        <v>37750732.523399994</v>
      </c>
      <c r="T135" s="12">
        <f t="shared" si="36"/>
        <v>0.2075145138511432</v>
      </c>
      <c r="U135" t="e">
        <f t="shared" si="37"/>
        <v>#VALUE!</v>
      </c>
      <c r="V135" s="25" t="s">
        <v>95</v>
      </c>
    </row>
    <row r="136" spans="1:22">
      <c r="A136" s="14">
        <v>44130</v>
      </c>
      <c r="B136" s="15">
        <v>-3.3590000000000002E-2</v>
      </c>
      <c r="C136" s="15">
        <v>-5.8999999999999999E-3</v>
      </c>
      <c r="D136" s="16">
        <f t="shared" si="28"/>
        <v>-1.9745000000000002E-2</v>
      </c>
      <c r="E136" s="17">
        <f t="shared" si="25"/>
        <v>18</v>
      </c>
      <c r="F136" s="18">
        <f t="shared" si="26"/>
        <v>0.90101370547423798</v>
      </c>
      <c r="G136" s="18">
        <f t="shared" si="27"/>
        <v>1.0989862945257625</v>
      </c>
      <c r="H136" s="18">
        <f t="shared" si="29"/>
        <v>-0.19797258905152448</v>
      </c>
      <c r="I136" s="19" t="str">
        <f t="shared" si="30"/>
        <v>B</v>
      </c>
      <c r="J136" s="19">
        <f t="shared" si="38"/>
        <v>11</v>
      </c>
      <c r="K136" s="19" t="str">
        <f>IF(I136="","",IF(J136&gt;=Parameters!$B$5,I136,"HOLD"))</f>
        <v>B</v>
      </c>
      <c r="L136" s="20">
        <f>'Actual Calc'!T136</f>
        <v>5457921.2156000007</v>
      </c>
      <c r="M136" s="20">
        <f>'Actual Calc'!U136</f>
        <v>34781019.443399996</v>
      </c>
      <c r="N136" s="21">
        <f t="shared" si="31"/>
        <v>0.13563779578226201</v>
      </c>
      <c r="O136" s="21">
        <f>IF(NOT(ISNUMBER(N136)),"",IF(K136="A",MIN(Parameters!$B$8,N136+Parameters!$B$6),IF(K136="B",MAX(Parameters!$B$7,N136-Parameters!$B$6),N136)))</f>
        <v>3.5637795782262005E-2</v>
      </c>
      <c r="P136" s="22">
        <f t="shared" si="32"/>
        <v>4023894.0658999998</v>
      </c>
      <c r="Q136" s="22">
        <f t="shared" si="33"/>
        <v>0</v>
      </c>
      <c r="R136" s="22">
        <f t="shared" si="34"/>
        <v>1434027.1497000009</v>
      </c>
      <c r="S136" s="22">
        <f t="shared" si="35"/>
        <v>38804913.509299994</v>
      </c>
      <c r="T136" s="21">
        <f t="shared" si="36"/>
        <v>3.5637795782261998E-2</v>
      </c>
      <c r="U136" s="19" t="e">
        <f t="shared" si="37"/>
        <v>#VALUE!</v>
      </c>
      <c r="V136" s="35" t="s">
        <v>95</v>
      </c>
    </row>
    <row r="137" spans="1:22">
      <c r="A137" s="4">
        <v>44137</v>
      </c>
      <c r="B137" s="5">
        <v>5.5930000000000001E-2</v>
      </c>
      <c r="C137" s="5">
        <v>5.5930000000000001E-2</v>
      </c>
      <c r="D137" s="6">
        <f t="shared" si="28"/>
        <v>5.5930000000000001E-2</v>
      </c>
      <c r="E137" s="8">
        <f t="shared" si="25"/>
        <v>18</v>
      </c>
      <c r="F137" s="9">
        <f t="shared" si="26"/>
        <v>0.95292062107798436</v>
      </c>
      <c r="G137" s="9">
        <f t="shared" si="27"/>
        <v>1.0470793789220159</v>
      </c>
      <c r="H137" s="9">
        <f t="shared" si="29"/>
        <v>-9.4158757844031493E-2</v>
      </c>
      <c r="I137" t="str">
        <f t="shared" si="30"/>
        <v>B</v>
      </c>
      <c r="J137">
        <f t="shared" si="38"/>
        <v>12</v>
      </c>
      <c r="K137" t="str">
        <f>IF(I137="","",IF(J137&gt;=Parameters!$B$5,I137,"HOLD"))</f>
        <v>B</v>
      </c>
      <c r="L137" s="10">
        <f>'Actual Calc'!T137</f>
        <v>2503403.1567000011</v>
      </c>
      <c r="M137" s="10">
        <f>'Actual Calc'!U137</f>
        <v>67743028.393299997</v>
      </c>
      <c r="N137" s="12">
        <f t="shared" si="31"/>
        <v>3.5637442379092651E-2</v>
      </c>
      <c r="O137" s="12">
        <f>IF(NOT(ISNUMBER(N137)),"",IF(K137="A",MIN(Parameters!$B$8,N137+Parameters!$B$6),IF(K137="B",MAX(Parameters!$B$7,N137-Parameters!$B$6),N137)))</f>
        <v>0</v>
      </c>
      <c r="P137" s="13">
        <f t="shared" si="32"/>
        <v>2503403.1567000011</v>
      </c>
      <c r="Q137" s="13">
        <f t="shared" si="33"/>
        <v>0</v>
      </c>
      <c r="R137" s="13">
        <f t="shared" si="34"/>
        <v>0</v>
      </c>
      <c r="S137" s="13">
        <f t="shared" si="35"/>
        <v>70246431.549999997</v>
      </c>
      <c r="T137" s="12">
        <f t="shared" si="36"/>
        <v>0</v>
      </c>
      <c r="U137" t="e">
        <f t="shared" si="37"/>
        <v>#VALUE!</v>
      </c>
      <c r="V137" s="25" t="s">
        <v>95</v>
      </c>
    </row>
    <row r="138" spans="1:22">
      <c r="A138" s="14">
        <v>44144</v>
      </c>
      <c r="B138" s="15">
        <v>-5.423E-2</v>
      </c>
      <c r="C138" s="15">
        <v>-2.947E-2</v>
      </c>
      <c r="D138" s="16">
        <f t="shared" si="28"/>
        <v>-4.1849999999999998E-2</v>
      </c>
      <c r="E138" s="17">
        <f t="shared" si="25"/>
        <v>17</v>
      </c>
      <c r="F138" s="18">
        <f t="shared" si="26"/>
        <v>0.95235333130509237</v>
      </c>
      <c r="G138" s="18">
        <f t="shared" si="27"/>
        <v>1.0476466686949082</v>
      </c>
      <c r="H138" s="18">
        <f t="shared" si="29"/>
        <v>-9.5293337389815824E-2</v>
      </c>
      <c r="I138" s="19" t="str">
        <f t="shared" si="30"/>
        <v>B</v>
      </c>
      <c r="J138" s="19">
        <f t="shared" si="38"/>
        <v>13</v>
      </c>
      <c r="K138" s="19" t="str">
        <f>IF(I138="","",IF(J138&gt;=Parameters!$B$5,I138,"HOLD"))</f>
        <v>B</v>
      </c>
      <c r="L138" s="20">
        <f>'Actual Calc'!T138</f>
        <v>0</v>
      </c>
      <c r="M138" s="20">
        <f>'Actual Calc'!U138</f>
        <v>42644313.824999996</v>
      </c>
      <c r="N138" s="21">
        <f t="shared" si="31"/>
        <v>0</v>
      </c>
      <c r="O138" s="21">
        <f>IF(NOT(ISNUMBER(N138)),"",IF(K138="A",MIN(Parameters!$B$8,N138+Parameters!$B$6),IF(K138="B",MAX(Parameters!$B$7,N138-Parameters!$B$6),N138)))</f>
        <v>0</v>
      </c>
      <c r="P138" s="22">
        <f t="shared" si="32"/>
        <v>0</v>
      </c>
      <c r="Q138" s="22">
        <f t="shared" si="33"/>
        <v>0</v>
      </c>
      <c r="R138" s="22">
        <f t="shared" si="34"/>
        <v>0</v>
      </c>
      <c r="S138" s="22">
        <f t="shared" si="35"/>
        <v>42644313.824999996</v>
      </c>
      <c r="T138" s="21">
        <f t="shared" si="36"/>
        <v>0</v>
      </c>
      <c r="U138" s="19" t="str">
        <f t="shared" si="37"/>
        <v>No transfer</v>
      </c>
      <c r="V138" s="35" t="s">
        <v>95</v>
      </c>
    </row>
    <row r="139" spans="1:22">
      <c r="A139" s="4">
        <v>44151</v>
      </c>
      <c r="B139" s="5">
        <v>8.5299999999999994E-3</v>
      </c>
      <c r="C139" s="5">
        <v>8.5299999999999994E-3</v>
      </c>
      <c r="D139" s="6">
        <f t="shared" si="28"/>
        <v>8.5299999999999994E-3</v>
      </c>
      <c r="E139" s="8">
        <f t="shared" si="25"/>
        <v>17</v>
      </c>
      <c r="F139" s="9">
        <f t="shared" si="26"/>
        <v>0.9514685255206129</v>
      </c>
      <c r="G139" s="9">
        <f t="shared" si="27"/>
        <v>1.0485314744793879</v>
      </c>
      <c r="H139" s="9">
        <f t="shared" si="29"/>
        <v>-9.7062948958774986E-2</v>
      </c>
      <c r="I139" t="str">
        <f t="shared" si="30"/>
        <v>B</v>
      </c>
      <c r="J139">
        <f t="shared" si="38"/>
        <v>14</v>
      </c>
      <c r="K139" t="str">
        <f>IF(I139="","",IF(J139&gt;=Parameters!$B$5,I139,"HOLD"))</f>
        <v>B</v>
      </c>
      <c r="L139" s="10">
        <f>'Actual Calc'!T139</f>
        <v>0</v>
      </c>
      <c r="M139" s="10">
        <f>'Actual Calc'!U139</f>
        <v>47494385.671999998</v>
      </c>
      <c r="N139" s="12">
        <f t="shared" si="31"/>
        <v>0</v>
      </c>
      <c r="O139" s="12">
        <f>IF(NOT(ISNUMBER(N139)),"",IF(K139="A",MIN(Parameters!$B$8,N139+Parameters!$B$6),IF(K139="B",MAX(Parameters!$B$7,N139-Parameters!$B$6),N139)))</f>
        <v>0</v>
      </c>
      <c r="P139" s="13">
        <f t="shared" si="32"/>
        <v>0</v>
      </c>
      <c r="Q139" s="13">
        <f t="shared" si="33"/>
        <v>0</v>
      </c>
      <c r="R139" s="13">
        <f t="shared" si="34"/>
        <v>0</v>
      </c>
      <c r="S139" s="13">
        <f t="shared" si="35"/>
        <v>47494385.671999998</v>
      </c>
      <c r="T139" s="12">
        <f t="shared" si="36"/>
        <v>0</v>
      </c>
      <c r="U139" t="str">
        <f t="shared" si="37"/>
        <v>No transfer</v>
      </c>
      <c r="V139" s="25" t="s">
        <v>95</v>
      </c>
    </row>
    <row r="140" spans="1:22">
      <c r="A140" s="14">
        <v>44158</v>
      </c>
      <c r="B140" s="15">
        <v>2.7130000000000001E-2</v>
      </c>
      <c r="C140" s="15">
        <v>2.7130000000000001E-2</v>
      </c>
      <c r="D140" s="16">
        <f t="shared" si="28"/>
        <v>2.7130000000000001E-2</v>
      </c>
      <c r="E140" s="17">
        <f t="shared" si="25"/>
        <v>18</v>
      </c>
      <c r="F140" s="18">
        <f t="shared" si="26"/>
        <v>0.95057853246488166</v>
      </c>
      <c r="G140" s="18">
        <f t="shared" si="27"/>
        <v>1.0494214675351188</v>
      </c>
      <c r="H140" s="18">
        <f t="shared" si="29"/>
        <v>-9.8842935070237115E-2</v>
      </c>
      <c r="I140" s="19" t="str">
        <f t="shared" si="30"/>
        <v>B</v>
      </c>
      <c r="J140" s="19">
        <f t="shared" si="38"/>
        <v>15</v>
      </c>
      <c r="K140" s="19" t="str">
        <f>IF(I140="","",IF(J140&gt;=Parameters!$B$5,I140,"HOLD"))</f>
        <v>B</v>
      </c>
      <c r="L140" s="20">
        <f>'Actual Calc'!T140</f>
        <v>0</v>
      </c>
      <c r="M140" s="20">
        <f>'Actual Calc'!U140</f>
        <v>64674639.943000004</v>
      </c>
      <c r="N140" s="21">
        <f t="shared" si="31"/>
        <v>0</v>
      </c>
      <c r="O140" s="21">
        <f>IF(NOT(ISNUMBER(N140)),"",IF(K140="A",MIN(Parameters!$B$8,N140+Parameters!$B$6),IF(K140="B",MAX(Parameters!$B$7,N140-Parameters!$B$6),N140)))</f>
        <v>0</v>
      </c>
      <c r="P140" s="22">
        <f t="shared" si="32"/>
        <v>0</v>
      </c>
      <c r="Q140" s="22">
        <f t="shared" si="33"/>
        <v>0</v>
      </c>
      <c r="R140" s="22">
        <f t="shared" si="34"/>
        <v>0</v>
      </c>
      <c r="S140" s="22">
        <f t="shared" si="35"/>
        <v>64674639.943000004</v>
      </c>
      <c r="T140" s="21">
        <f t="shared" si="36"/>
        <v>0</v>
      </c>
      <c r="U140" s="19" t="str">
        <f t="shared" si="37"/>
        <v>No transfer</v>
      </c>
      <c r="V140" s="35" t="s">
        <v>95</v>
      </c>
    </row>
    <row r="141" spans="1:22">
      <c r="A141" s="4">
        <v>44165</v>
      </c>
      <c r="B141" s="5">
        <v>2.0979999999999999E-2</v>
      </c>
      <c r="C141" s="5">
        <v>2.0979999999999999E-2</v>
      </c>
      <c r="D141" s="6">
        <f t="shared" si="28"/>
        <v>2.0979999999999999E-2</v>
      </c>
      <c r="E141" s="8">
        <f t="shared" si="25"/>
        <v>18</v>
      </c>
      <c r="F141" s="9">
        <f t="shared" si="26"/>
        <v>0.94501817873690896</v>
      </c>
      <c r="G141" s="9">
        <f t="shared" si="27"/>
        <v>1.0549818212630897</v>
      </c>
      <c r="H141" s="9">
        <f t="shared" si="29"/>
        <v>-0.10996364252618074</v>
      </c>
      <c r="I141" t="str">
        <f t="shared" si="30"/>
        <v>B</v>
      </c>
      <c r="J141">
        <f t="shared" si="38"/>
        <v>16</v>
      </c>
      <c r="K141" t="str">
        <f>IF(I141="","",IF(J141&gt;=Parameters!$B$5,I141,"HOLD"))</f>
        <v>B</v>
      </c>
      <c r="L141" s="10">
        <f>'Actual Calc'!T141</f>
        <v>0</v>
      </c>
      <c r="M141" s="10">
        <f>'Actual Calc'!U141</f>
        <v>82766270.893000007</v>
      </c>
      <c r="N141" s="12">
        <f t="shared" si="31"/>
        <v>0</v>
      </c>
      <c r="O141" s="12">
        <f>IF(NOT(ISNUMBER(N141)),"",IF(K141="A",MIN(Parameters!$B$8,N141+Parameters!$B$6),IF(K141="B",MAX(Parameters!$B$7,N141-Parameters!$B$6),N141)))</f>
        <v>0</v>
      </c>
      <c r="P141" s="13">
        <f t="shared" si="32"/>
        <v>0</v>
      </c>
      <c r="Q141" s="13">
        <f t="shared" si="33"/>
        <v>0</v>
      </c>
      <c r="R141" s="13">
        <f t="shared" si="34"/>
        <v>0</v>
      </c>
      <c r="S141" s="13">
        <f t="shared" si="35"/>
        <v>82766270.893000007</v>
      </c>
      <c r="T141" s="12">
        <f t="shared" si="36"/>
        <v>0</v>
      </c>
      <c r="U141" t="str">
        <f t="shared" si="37"/>
        <v>No transfer</v>
      </c>
      <c r="V141" s="25" t="s">
        <v>95</v>
      </c>
    </row>
    <row r="142" spans="1:22">
      <c r="A142" s="14">
        <v>44172</v>
      </c>
      <c r="B142" s="15">
        <v>-1.4999999999999999E-2</v>
      </c>
      <c r="C142" s="15">
        <v>-1.4999999999999999E-2</v>
      </c>
      <c r="D142" s="16">
        <f t="shared" si="28"/>
        <v>-1.4999999999999999E-2</v>
      </c>
      <c r="E142" s="17">
        <f t="shared" si="25"/>
        <v>17</v>
      </c>
      <c r="F142" s="18">
        <f t="shared" si="26"/>
        <v>0.93959275278662169</v>
      </c>
      <c r="G142" s="18">
        <f t="shared" si="27"/>
        <v>1.0604072472133781</v>
      </c>
      <c r="H142" s="18">
        <f t="shared" si="29"/>
        <v>-0.1208144944267564</v>
      </c>
      <c r="I142" s="19" t="str">
        <f t="shared" si="30"/>
        <v>B</v>
      </c>
      <c r="J142" s="19">
        <f t="shared" si="38"/>
        <v>17</v>
      </c>
      <c r="K142" s="19" t="str">
        <f>IF(I142="","",IF(J142&gt;=Parameters!$B$5,I142,"HOLD"))</f>
        <v>B</v>
      </c>
      <c r="L142" s="20">
        <f>'Actual Calc'!T142</f>
        <v>0</v>
      </c>
      <c r="M142" s="20">
        <f>'Actual Calc'!U142</f>
        <v>66213032.893000007</v>
      </c>
      <c r="N142" s="21">
        <f t="shared" si="31"/>
        <v>0</v>
      </c>
      <c r="O142" s="21">
        <f>IF(NOT(ISNUMBER(N142)),"",IF(K142="A",MIN(Parameters!$B$8,N142+Parameters!$B$6),IF(K142="B",MAX(Parameters!$B$7,N142-Parameters!$B$6),N142)))</f>
        <v>0</v>
      </c>
      <c r="P142" s="22">
        <f t="shared" si="32"/>
        <v>0</v>
      </c>
      <c r="Q142" s="22">
        <f t="shared" si="33"/>
        <v>0</v>
      </c>
      <c r="R142" s="22">
        <f t="shared" si="34"/>
        <v>0</v>
      </c>
      <c r="S142" s="22">
        <f t="shared" si="35"/>
        <v>66213032.893000007</v>
      </c>
      <c r="T142" s="21">
        <f t="shared" si="36"/>
        <v>0</v>
      </c>
      <c r="U142" s="19" t="str">
        <f t="shared" si="37"/>
        <v>No transfer</v>
      </c>
      <c r="V142" s="35" t="s">
        <v>95</v>
      </c>
    </row>
    <row r="143" spans="1:22">
      <c r="A143" s="4">
        <v>44179</v>
      </c>
      <c r="B143" s="5">
        <v>2.426E-2</v>
      </c>
      <c r="C143" s="5">
        <v>2.426E-2</v>
      </c>
      <c r="D143" s="6">
        <f t="shared" si="28"/>
        <v>2.426E-2</v>
      </c>
      <c r="E143" s="8">
        <f t="shared" si="25"/>
        <v>17</v>
      </c>
      <c r="F143" s="9">
        <f t="shared" si="26"/>
        <v>0.9394230633240136</v>
      </c>
      <c r="G143" s="9">
        <f t="shared" si="27"/>
        <v>1.0605769366759856</v>
      </c>
      <c r="H143" s="9">
        <f t="shared" si="29"/>
        <v>-0.12115387335197203</v>
      </c>
      <c r="I143" t="str">
        <f t="shared" si="30"/>
        <v>B</v>
      </c>
      <c r="J143">
        <f t="shared" si="38"/>
        <v>18</v>
      </c>
      <c r="K143" t="str">
        <f>IF(I143="","",IF(J143&gt;=Parameters!$B$5,I143,"HOLD"))</f>
        <v>B</v>
      </c>
      <c r="L143" s="10">
        <f>'Actual Calc'!T143</f>
        <v>0</v>
      </c>
      <c r="M143" s="10">
        <f>'Actual Calc'!U143</f>
        <v>87630704.607000008</v>
      </c>
      <c r="N143" s="12">
        <f t="shared" si="31"/>
        <v>0</v>
      </c>
      <c r="O143" s="12">
        <f>IF(NOT(ISNUMBER(N143)),"",IF(K143="A",MIN(Parameters!$B$8,N143+Parameters!$B$6),IF(K143="B",MAX(Parameters!$B$7,N143-Parameters!$B$6),N143)))</f>
        <v>0</v>
      </c>
      <c r="P143" s="13">
        <f t="shared" si="32"/>
        <v>0</v>
      </c>
      <c r="Q143" s="13">
        <f t="shared" si="33"/>
        <v>0</v>
      </c>
      <c r="R143" s="13">
        <f t="shared" si="34"/>
        <v>0</v>
      </c>
      <c r="S143" s="13">
        <f t="shared" si="35"/>
        <v>87630704.607000008</v>
      </c>
      <c r="T143" s="12">
        <f t="shared" si="36"/>
        <v>0</v>
      </c>
      <c r="U143" t="str">
        <f t="shared" si="37"/>
        <v>No transfer</v>
      </c>
      <c r="V143" s="25" t="s">
        <v>95</v>
      </c>
    </row>
    <row r="144" spans="1:22">
      <c r="A144" s="14">
        <v>44186</v>
      </c>
      <c r="B144" s="15">
        <v>7.4900000000000001E-3</v>
      </c>
      <c r="C144" s="15">
        <v>7.4900000000000001E-3</v>
      </c>
      <c r="D144" s="16">
        <f t="shared" si="28"/>
        <v>7.4900000000000001E-3</v>
      </c>
      <c r="E144" s="17">
        <f t="shared" si="25"/>
        <v>17</v>
      </c>
      <c r="F144" s="18">
        <f t="shared" si="26"/>
        <v>0.94318988835712347</v>
      </c>
      <c r="G144" s="18">
        <f t="shared" si="27"/>
        <v>1.056810111642877</v>
      </c>
      <c r="H144" s="18">
        <f t="shared" si="29"/>
        <v>-0.1136202232857535</v>
      </c>
      <c r="I144" s="19" t="str">
        <f t="shared" si="30"/>
        <v>B</v>
      </c>
      <c r="J144" s="19">
        <f t="shared" si="38"/>
        <v>19</v>
      </c>
      <c r="K144" s="19" t="str">
        <f>IF(I144="","",IF(J144&gt;=Parameters!$B$5,I144,"HOLD"))</f>
        <v>B</v>
      </c>
      <c r="L144" s="20">
        <f>'Actual Calc'!T144</f>
        <v>0</v>
      </c>
      <c r="M144" s="20">
        <f>'Actual Calc'!U144</f>
        <v>96382089.515000015</v>
      </c>
      <c r="N144" s="21">
        <f t="shared" si="31"/>
        <v>0</v>
      </c>
      <c r="O144" s="21">
        <f>IF(NOT(ISNUMBER(N144)),"",IF(K144="A",MIN(Parameters!$B$8,N144+Parameters!$B$6),IF(K144="B",MAX(Parameters!$B$7,N144-Parameters!$B$6),N144)))</f>
        <v>0</v>
      </c>
      <c r="P144" s="22">
        <f t="shared" si="32"/>
        <v>0</v>
      </c>
      <c r="Q144" s="22">
        <f t="shared" si="33"/>
        <v>0</v>
      </c>
      <c r="R144" s="22">
        <f t="shared" si="34"/>
        <v>0</v>
      </c>
      <c r="S144" s="22">
        <f t="shared" si="35"/>
        <v>96382089.515000015</v>
      </c>
      <c r="T144" s="21">
        <f t="shared" si="36"/>
        <v>0</v>
      </c>
      <c r="U144" s="19" t="str">
        <f t="shared" si="37"/>
        <v>No transfer</v>
      </c>
      <c r="V144" s="35" t="s">
        <v>95</v>
      </c>
    </row>
    <row r="145" spans="1:22">
      <c r="A145" s="4">
        <v>44193</v>
      </c>
      <c r="B145" s="5">
        <v>5.94E-3</v>
      </c>
      <c r="C145" s="5">
        <v>5.94E-3</v>
      </c>
      <c r="D145" s="6">
        <f t="shared" si="28"/>
        <v>5.94E-3</v>
      </c>
      <c r="E145" s="8">
        <f t="shared" si="25"/>
        <v>17</v>
      </c>
      <c r="F145" s="9">
        <f t="shared" si="26"/>
        <v>0.94776600415378798</v>
      </c>
      <c r="G145" s="9">
        <f t="shared" si="27"/>
        <v>1.0522339958462124</v>
      </c>
      <c r="H145" s="9">
        <f t="shared" si="29"/>
        <v>-0.10446799169242438</v>
      </c>
      <c r="I145" t="str">
        <f t="shared" si="30"/>
        <v>B</v>
      </c>
      <c r="J145">
        <f t="shared" si="38"/>
        <v>20</v>
      </c>
      <c r="K145" t="str">
        <f>IF(I145="","",IF(J145&gt;=Parameters!$B$5,I145,"HOLD"))</f>
        <v>B</v>
      </c>
      <c r="L145" s="10">
        <f>'Actual Calc'!T145</f>
        <v>0</v>
      </c>
      <c r="M145" s="10">
        <f>'Actual Calc'!U145</f>
        <v>104015540.74700001</v>
      </c>
      <c r="N145" s="12">
        <f t="shared" si="31"/>
        <v>0</v>
      </c>
      <c r="O145" s="12">
        <f>IF(NOT(ISNUMBER(N145)),"",IF(K145="A",MIN(Parameters!$B$8,N145+Parameters!$B$6),IF(K145="B",MAX(Parameters!$B$7,N145-Parameters!$B$6),N145)))</f>
        <v>0</v>
      </c>
      <c r="P145" s="13">
        <f t="shared" si="32"/>
        <v>0</v>
      </c>
      <c r="Q145" s="13">
        <f t="shared" si="33"/>
        <v>0</v>
      </c>
      <c r="R145" s="13">
        <f t="shared" si="34"/>
        <v>0</v>
      </c>
      <c r="S145" s="13">
        <f t="shared" si="35"/>
        <v>104015540.74700001</v>
      </c>
      <c r="T145" s="12">
        <f t="shared" si="36"/>
        <v>0</v>
      </c>
      <c r="U145" t="str">
        <f t="shared" si="37"/>
        <v>No transfer</v>
      </c>
      <c r="V145" s="25" t="s">
        <v>95</v>
      </c>
    </row>
    <row r="146" spans="1:22">
      <c r="A146" s="14">
        <v>44200</v>
      </c>
      <c r="B146" s="15">
        <v>-2.07E-2</v>
      </c>
      <c r="C146" s="15">
        <v>-1.5789999999999998E-2</v>
      </c>
      <c r="D146" s="16">
        <f t="shared" si="28"/>
        <v>-1.8244999999999997E-2</v>
      </c>
      <c r="E146" s="17">
        <f t="shared" si="25"/>
        <v>16</v>
      </c>
      <c r="F146" s="18">
        <f t="shared" si="26"/>
        <v>0.94491210525469149</v>
      </c>
      <c r="G146" s="18">
        <f t="shared" si="27"/>
        <v>1.0550878947453088</v>
      </c>
      <c r="H146" s="18">
        <f t="shared" si="29"/>
        <v>-0.11017578949061735</v>
      </c>
      <c r="I146" s="19" t="str">
        <f t="shared" si="30"/>
        <v>B</v>
      </c>
      <c r="J146" s="19">
        <f t="shared" si="38"/>
        <v>21</v>
      </c>
      <c r="K146" s="19" t="str">
        <f>IF(I146="","",IF(J146&gt;=Parameters!$B$5,I146,"HOLD"))</f>
        <v>B</v>
      </c>
      <c r="L146" s="20">
        <f>'Actual Calc'!T146</f>
        <v>0</v>
      </c>
      <c r="M146" s="20">
        <f>'Actual Calc'!U146</f>
        <v>66529643.995070003</v>
      </c>
      <c r="N146" s="21">
        <f t="shared" si="31"/>
        <v>0</v>
      </c>
      <c r="O146" s="21">
        <f>IF(NOT(ISNUMBER(N146)),"",IF(K146="A",MIN(Parameters!$B$8,N146+Parameters!$B$6),IF(K146="B",MAX(Parameters!$B$7,N146-Parameters!$B$6),N146)))</f>
        <v>0</v>
      </c>
      <c r="P146" s="22">
        <f t="shared" si="32"/>
        <v>0</v>
      </c>
      <c r="Q146" s="22">
        <f t="shared" si="33"/>
        <v>0</v>
      </c>
      <c r="R146" s="22">
        <f t="shared" si="34"/>
        <v>0</v>
      </c>
      <c r="S146" s="22">
        <f t="shared" si="35"/>
        <v>66529643.995070003</v>
      </c>
      <c r="T146" s="21">
        <f t="shared" si="36"/>
        <v>0</v>
      </c>
      <c r="U146" s="19" t="str">
        <f t="shared" si="37"/>
        <v>No transfer</v>
      </c>
      <c r="V146" s="35" t="s">
        <v>95</v>
      </c>
    </row>
    <row r="147" spans="1:22">
      <c r="A147" s="4">
        <v>44207</v>
      </c>
      <c r="B147" s="5">
        <v>-3.8300000000000001E-3</v>
      </c>
      <c r="C147" s="5">
        <v>0</v>
      </c>
      <c r="D147" s="6">
        <f t="shared" si="28"/>
        <v>-1.915E-3</v>
      </c>
      <c r="E147" s="8">
        <f t="shared" si="25"/>
        <v>16</v>
      </c>
      <c r="F147" s="9">
        <f t="shared" si="26"/>
        <v>0.94491210525469149</v>
      </c>
      <c r="G147" s="9">
        <f t="shared" si="27"/>
        <v>1.0550878947453088</v>
      </c>
      <c r="H147" s="9">
        <f t="shared" si="29"/>
        <v>-0.11017578949061735</v>
      </c>
      <c r="I147" t="str">
        <f t="shared" si="30"/>
        <v>B</v>
      </c>
      <c r="J147">
        <f t="shared" si="38"/>
        <v>22</v>
      </c>
      <c r="K147" t="str">
        <f>IF(I147="","",IF(J147&gt;=Parameters!$B$5,I147,"HOLD"))</f>
        <v>B</v>
      </c>
      <c r="L147" s="10">
        <f>'Actual Calc'!T147</f>
        <v>0</v>
      </c>
      <c r="M147" s="10">
        <f>'Actual Calc'!U147</f>
        <v>66529643.995070003</v>
      </c>
      <c r="N147" s="12">
        <f t="shared" si="31"/>
        <v>0</v>
      </c>
      <c r="O147" s="12">
        <f>IF(NOT(ISNUMBER(N147)),"",IF(K147="A",MIN(Parameters!$B$8,N147+Parameters!$B$6),IF(K147="B",MAX(Parameters!$B$7,N147-Parameters!$B$6),N147)))</f>
        <v>0</v>
      </c>
      <c r="P147" s="13">
        <f t="shared" si="32"/>
        <v>0</v>
      </c>
      <c r="Q147" s="13">
        <f t="shared" si="33"/>
        <v>0</v>
      </c>
      <c r="R147" s="13">
        <f t="shared" si="34"/>
        <v>0</v>
      </c>
      <c r="S147" s="13">
        <f t="shared" si="35"/>
        <v>66529643.995070003</v>
      </c>
      <c r="T147" s="12">
        <f t="shared" si="36"/>
        <v>0</v>
      </c>
      <c r="U147" t="str">
        <f t="shared" si="37"/>
        <v>No transfer</v>
      </c>
      <c r="V147" s="25" t="s">
        <v>96</v>
      </c>
    </row>
    <row r="148" spans="1:22">
      <c r="A148" s="14">
        <v>44214</v>
      </c>
      <c r="B148" s="15">
        <v>1.0410000000000001E-2</v>
      </c>
      <c r="C148" s="15">
        <v>1.0410000000000001E-2</v>
      </c>
      <c r="D148" s="16">
        <f t="shared" si="28"/>
        <v>1.0410000000000001E-2</v>
      </c>
      <c r="E148" s="17">
        <f t="shared" si="25"/>
        <v>16</v>
      </c>
      <c r="F148" s="18">
        <f t="shared" si="26"/>
        <v>0.94957894888671768</v>
      </c>
      <c r="G148" s="18">
        <f t="shared" si="27"/>
        <v>1.0504210511132823</v>
      </c>
      <c r="H148" s="18">
        <f t="shared" si="29"/>
        <v>-0.10084210222656464</v>
      </c>
      <c r="I148" s="19" t="str">
        <f t="shared" si="30"/>
        <v>B</v>
      </c>
      <c r="J148" s="19">
        <f t="shared" si="38"/>
        <v>23</v>
      </c>
      <c r="K148" s="19" t="str">
        <f>IF(I148="","",IF(J148&gt;=Parameters!$B$5,I148,"HOLD"))</f>
        <v>B</v>
      </c>
      <c r="L148" s="20">
        <f>'Actual Calc'!T148</f>
        <v>0</v>
      </c>
      <c r="M148" s="20">
        <f>'Actual Calc'!U148</f>
        <v>75763956.292070001</v>
      </c>
      <c r="N148" s="21">
        <f t="shared" si="31"/>
        <v>0</v>
      </c>
      <c r="O148" s="21">
        <f>IF(NOT(ISNUMBER(N148)),"",IF(K148="A",MIN(Parameters!$B$8,N148+Parameters!$B$6),IF(K148="B",MAX(Parameters!$B$7,N148-Parameters!$B$6),N148)))</f>
        <v>0</v>
      </c>
      <c r="P148" s="22">
        <f t="shared" si="32"/>
        <v>0</v>
      </c>
      <c r="Q148" s="22">
        <f t="shared" si="33"/>
        <v>0</v>
      </c>
      <c r="R148" s="22">
        <f t="shared" si="34"/>
        <v>0</v>
      </c>
      <c r="S148" s="22">
        <f t="shared" si="35"/>
        <v>75763956.292070001</v>
      </c>
      <c r="T148" s="21">
        <f t="shared" si="36"/>
        <v>0</v>
      </c>
      <c r="U148" s="19" t="str">
        <f t="shared" si="37"/>
        <v>No transfer</v>
      </c>
      <c r="V148" s="35" t="s">
        <v>95</v>
      </c>
    </row>
    <row r="149" spans="1:22">
      <c r="A149" s="4">
        <v>44221</v>
      </c>
      <c r="B149" s="5">
        <v>-3.3980000000000003E-2</v>
      </c>
      <c r="C149" s="5">
        <v>-9.1699999999999993E-3</v>
      </c>
      <c r="D149" s="6">
        <f t="shared" si="28"/>
        <v>-2.1575E-2</v>
      </c>
      <c r="E149" s="8">
        <f t="shared" si="25"/>
        <v>15</v>
      </c>
      <c r="F149" s="9">
        <f t="shared" si="26"/>
        <v>0.94643667229412776</v>
      </c>
      <c r="G149" s="9">
        <f t="shared" si="27"/>
        <v>1.0535633277058722</v>
      </c>
      <c r="H149" s="9">
        <f t="shared" si="29"/>
        <v>-0.10712665541174449</v>
      </c>
      <c r="I149" t="str">
        <f t="shared" si="30"/>
        <v>B</v>
      </c>
      <c r="J149">
        <f t="shared" si="38"/>
        <v>24</v>
      </c>
      <c r="K149" t="str">
        <f>IF(I149="","",IF(J149&gt;=Parameters!$B$5,I149,"HOLD"))</f>
        <v>B</v>
      </c>
      <c r="L149" s="10">
        <f>'Actual Calc'!T149</f>
        <v>0</v>
      </c>
      <c r="M149" s="10">
        <f>'Actual Calc'!U149</f>
        <v>66500557.091070004</v>
      </c>
      <c r="N149" s="12">
        <f t="shared" si="31"/>
        <v>0</v>
      </c>
      <c r="O149" s="12">
        <f>IF(NOT(ISNUMBER(N149)),"",IF(K149="A",MIN(Parameters!$B$8,N149+Parameters!$B$6),IF(K149="B",MAX(Parameters!$B$7,N149-Parameters!$B$6),N149)))</f>
        <v>0</v>
      </c>
      <c r="P149" s="13">
        <f t="shared" si="32"/>
        <v>0</v>
      </c>
      <c r="Q149" s="13">
        <f t="shared" si="33"/>
        <v>0</v>
      </c>
      <c r="R149" s="13">
        <f t="shared" si="34"/>
        <v>0</v>
      </c>
      <c r="S149" s="13">
        <f t="shared" si="35"/>
        <v>66500557.091070004</v>
      </c>
      <c r="T149" s="12">
        <f t="shared" si="36"/>
        <v>0</v>
      </c>
      <c r="U149" t="str">
        <f t="shared" si="37"/>
        <v>No transfer</v>
      </c>
      <c r="V149" s="25" t="s">
        <v>95</v>
      </c>
    </row>
    <row r="150" spans="1:22">
      <c r="A150" s="14">
        <v>44228</v>
      </c>
      <c r="B150" s="15">
        <v>1.32E-2</v>
      </c>
      <c r="C150" s="15">
        <v>1.32E-2</v>
      </c>
      <c r="D150" s="16">
        <f t="shared" si="28"/>
        <v>1.32E-2</v>
      </c>
      <c r="E150" s="17">
        <f t="shared" si="25"/>
        <v>15</v>
      </c>
      <c r="F150" s="18">
        <f t="shared" si="26"/>
        <v>0.94589337249095606</v>
      </c>
      <c r="G150" s="18">
        <f t="shared" si="27"/>
        <v>1.0541066275090429</v>
      </c>
      <c r="H150" s="18">
        <f t="shared" si="29"/>
        <v>-0.10821325501808687</v>
      </c>
      <c r="I150" s="19" t="str">
        <f t="shared" si="30"/>
        <v>B</v>
      </c>
      <c r="J150" s="19">
        <f t="shared" si="38"/>
        <v>25</v>
      </c>
      <c r="K150" s="19" t="str">
        <f>IF(I150="","",IF(J150&gt;=Parameters!$B$5,I150,"HOLD"))</f>
        <v>B</v>
      </c>
      <c r="L150" s="20">
        <f>'Actual Calc'!T150</f>
        <v>0</v>
      </c>
      <c r="M150" s="20">
        <f>'Actual Calc'!U150</f>
        <v>78204640.691070005</v>
      </c>
      <c r="N150" s="21">
        <f t="shared" si="31"/>
        <v>0</v>
      </c>
      <c r="O150" s="21">
        <f>IF(NOT(ISNUMBER(N150)),"",IF(K150="A",MIN(Parameters!$B$8,N150+Parameters!$B$6),IF(K150="B",MAX(Parameters!$B$7,N150-Parameters!$B$6),N150)))</f>
        <v>0</v>
      </c>
      <c r="P150" s="22">
        <f t="shared" si="32"/>
        <v>0</v>
      </c>
      <c r="Q150" s="22">
        <f t="shared" si="33"/>
        <v>0</v>
      </c>
      <c r="R150" s="22">
        <f t="shared" si="34"/>
        <v>0</v>
      </c>
      <c r="S150" s="22">
        <f t="shared" si="35"/>
        <v>78204640.691070005</v>
      </c>
      <c r="T150" s="21">
        <f t="shared" si="36"/>
        <v>0</v>
      </c>
      <c r="U150" s="19" t="str">
        <f t="shared" si="37"/>
        <v>No transfer</v>
      </c>
      <c r="V150" s="35" t="s">
        <v>95</v>
      </c>
    </row>
    <row r="151" spans="1:22">
      <c r="A151" s="4">
        <v>44235</v>
      </c>
      <c r="B151" s="5">
        <v>1.051E-2</v>
      </c>
      <c r="C151" s="5">
        <v>-9.0699999999999999E-3</v>
      </c>
      <c r="D151" s="6">
        <f t="shared" si="28"/>
        <v>7.2000000000000015E-4</v>
      </c>
      <c r="E151" s="8">
        <f t="shared" si="25"/>
        <v>16</v>
      </c>
      <c r="F151" s="9">
        <f t="shared" si="26"/>
        <v>0.89841724099563836</v>
      </c>
      <c r="G151" s="9">
        <f t="shared" si="27"/>
        <v>1.1015827590043608</v>
      </c>
      <c r="H151" s="9">
        <f t="shared" si="29"/>
        <v>-0.2031655180087224</v>
      </c>
      <c r="I151" t="str">
        <f t="shared" si="30"/>
        <v>B</v>
      </c>
      <c r="J151">
        <f t="shared" si="38"/>
        <v>26</v>
      </c>
      <c r="K151" t="str">
        <f>IF(I151="","",IF(J151&gt;=Parameters!$B$5,I151,"HOLD"))</f>
        <v>B</v>
      </c>
      <c r="L151" s="10">
        <f>'Actual Calc'!T151</f>
        <v>0</v>
      </c>
      <c r="M151" s="10">
        <f>'Actual Calc'!U151</f>
        <v>68747097.731070012</v>
      </c>
      <c r="N151" s="12">
        <f t="shared" si="31"/>
        <v>0</v>
      </c>
      <c r="O151" s="12">
        <f>IF(NOT(ISNUMBER(N151)),"",IF(K151="A",MIN(Parameters!$B$8,N151+Parameters!$B$6),IF(K151="B",MAX(Parameters!$B$7,N151-Parameters!$B$6),N151)))</f>
        <v>0</v>
      </c>
      <c r="P151" s="13">
        <f t="shared" si="32"/>
        <v>0</v>
      </c>
      <c r="Q151" s="13">
        <f t="shared" si="33"/>
        <v>0</v>
      </c>
      <c r="R151" s="13">
        <f t="shared" si="34"/>
        <v>0</v>
      </c>
      <c r="S151" s="13">
        <f t="shared" si="35"/>
        <v>68747097.731070012</v>
      </c>
      <c r="T151" s="12">
        <f t="shared" si="36"/>
        <v>0</v>
      </c>
      <c r="U151" t="str">
        <f t="shared" si="37"/>
        <v>No transfer</v>
      </c>
      <c r="V151" s="25" t="s">
        <v>95</v>
      </c>
    </row>
    <row r="152" spans="1:22">
      <c r="A152" s="14">
        <v>44242</v>
      </c>
      <c r="B152" s="15">
        <v>-9.9299999999999996E-3</v>
      </c>
      <c r="C152" s="15">
        <v>-9.9299999999999996E-3</v>
      </c>
      <c r="D152" s="16">
        <f t="shared" si="28"/>
        <v>-9.9299999999999996E-3</v>
      </c>
      <c r="E152" s="17">
        <f t="shared" si="25"/>
        <v>15</v>
      </c>
      <c r="F152" s="18">
        <f t="shared" si="26"/>
        <v>0.89913930751940896</v>
      </c>
      <c r="G152" s="18">
        <f t="shared" si="27"/>
        <v>1.1008606924805908</v>
      </c>
      <c r="H152" s="18">
        <f t="shared" si="29"/>
        <v>-0.20172138496118186</v>
      </c>
      <c r="I152" s="19" t="str">
        <f t="shared" si="30"/>
        <v>B</v>
      </c>
      <c r="J152" s="19">
        <f t="shared" si="38"/>
        <v>27</v>
      </c>
      <c r="K152" s="19" t="str">
        <f>IF(I152="","",IF(J152&gt;=Parameters!$B$5,I152,"HOLD"))</f>
        <v>B</v>
      </c>
      <c r="L152" s="20">
        <f>'Actual Calc'!T152</f>
        <v>0</v>
      </c>
      <c r="M152" s="20">
        <f>'Actual Calc'!U152</f>
        <v>59645002.544070013</v>
      </c>
      <c r="N152" s="21">
        <f t="shared" si="31"/>
        <v>0</v>
      </c>
      <c r="O152" s="21">
        <f>IF(NOT(ISNUMBER(N152)),"",IF(K152="A",MIN(Parameters!$B$8,N152+Parameters!$B$6),IF(K152="B",MAX(Parameters!$B$7,N152-Parameters!$B$6),N152)))</f>
        <v>0</v>
      </c>
      <c r="P152" s="22">
        <f t="shared" si="32"/>
        <v>0</v>
      </c>
      <c r="Q152" s="22">
        <f t="shared" si="33"/>
        <v>0</v>
      </c>
      <c r="R152" s="22">
        <f t="shared" si="34"/>
        <v>0</v>
      </c>
      <c r="S152" s="22">
        <f t="shared" si="35"/>
        <v>59645002.544070013</v>
      </c>
      <c r="T152" s="21">
        <f t="shared" si="36"/>
        <v>0</v>
      </c>
      <c r="U152" s="19" t="str">
        <f t="shared" si="37"/>
        <v>No transfer</v>
      </c>
      <c r="V152" s="35" t="s">
        <v>95</v>
      </c>
    </row>
    <row r="153" spans="1:22">
      <c r="A153" s="4">
        <v>44249</v>
      </c>
      <c r="B153" s="5">
        <v>-6.6299999999999996E-3</v>
      </c>
      <c r="C153" s="5">
        <v>0</v>
      </c>
      <c r="D153" s="6">
        <f t="shared" si="28"/>
        <v>-3.3149999999999998E-3</v>
      </c>
      <c r="E153" s="8">
        <f t="shared" si="25"/>
        <v>14</v>
      </c>
      <c r="F153" s="9">
        <f t="shared" si="26"/>
        <v>0.90122657653878846</v>
      </c>
      <c r="G153" s="9">
        <f t="shared" si="27"/>
        <v>1.0987734234612114</v>
      </c>
      <c r="H153" s="9">
        <f t="shared" si="29"/>
        <v>-0.19754684692242297</v>
      </c>
      <c r="I153" t="str">
        <f t="shared" si="30"/>
        <v>B</v>
      </c>
      <c r="J153">
        <f t="shared" si="38"/>
        <v>28</v>
      </c>
      <c r="K153" t="str">
        <f>IF(I153="","",IF(J153&gt;=Parameters!$B$5,I153,"HOLD"))</f>
        <v>B</v>
      </c>
      <c r="L153" s="10">
        <f>'Actual Calc'!T153</f>
        <v>0</v>
      </c>
      <c r="M153" s="10">
        <f>'Actual Calc'!U153</f>
        <v>59645002.544070013</v>
      </c>
      <c r="N153" s="12">
        <f t="shared" si="31"/>
        <v>0</v>
      </c>
      <c r="O153" s="12">
        <f>IF(NOT(ISNUMBER(N153)),"",IF(K153="A",MIN(Parameters!$B$8,N153+Parameters!$B$6),IF(K153="B",MAX(Parameters!$B$7,N153-Parameters!$B$6),N153)))</f>
        <v>0</v>
      </c>
      <c r="P153" s="13">
        <f t="shared" si="32"/>
        <v>0</v>
      </c>
      <c r="Q153" s="13">
        <f t="shared" si="33"/>
        <v>0</v>
      </c>
      <c r="R153" s="13">
        <f t="shared" si="34"/>
        <v>0</v>
      </c>
      <c r="S153" s="13">
        <f t="shared" si="35"/>
        <v>59645002.544070013</v>
      </c>
      <c r="T153" s="12">
        <f t="shared" si="36"/>
        <v>0</v>
      </c>
      <c r="U153" t="str">
        <f t="shared" si="37"/>
        <v>No transfer</v>
      </c>
      <c r="V153" s="25" t="s">
        <v>96</v>
      </c>
    </row>
    <row r="154" spans="1:22">
      <c r="A154" s="14">
        <v>44256</v>
      </c>
      <c r="B154" s="15">
        <v>1.315E-2</v>
      </c>
      <c r="C154" s="15">
        <v>0</v>
      </c>
      <c r="D154" s="16">
        <f t="shared" si="28"/>
        <v>6.5750000000000001E-3</v>
      </c>
      <c r="E154" s="17">
        <f t="shared" si="25"/>
        <v>14</v>
      </c>
      <c r="F154" s="18">
        <f t="shared" si="26"/>
        <v>0.87889128005438311</v>
      </c>
      <c r="G154" s="18">
        <f t="shared" si="27"/>
        <v>1.1211087199456173</v>
      </c>
      <c r="H154" s="18">
        <f t="shared" si="29"/>
        <v>-0.24221743989123423</v>
      </c>
      <c r="I154" s="19" t="str">
        <f t="shared" si="30"/>
        <v>B</v>
      </c>
      <c r="J154" s="19">
        <f t="shared" si="38"/>
        <v>29</v>
      </c>
      <c r="K154" s="19" t="str">
        <f>IF(I154="","",IF(J154&gt;=Parameters!$B$5,I154,"HOLD"))</f>
        <v>B</v>
      </c>
      <c r="L154" s="20">
        <f>'Actual Calc'!T154</f>
        <v>0</v>
      </c>
      <c r="M154" s="20">
        <f>'Actual Calc'!U154</f>
        <v>59645002.544070013</v>
      </c>
      <c r="N154" s="21">
        <f t="shared" si="31"/>
        <v>0</v>
      </c>
      <c r="O154" s="21">
        <f>IF(NOT(ISNUMBER(N154)),"",IF(K154="A",MIN(Parameters!$B$8,N154+Parameters!$B$6),IF(K154="B",MAX(Parameters!$B$7,N154-Parameters!$B$6),N154)))</f>
        <v>0</v>
      </c>
      <c r="P154" s="22">
        <f t="shared" si="32"/>
        <v>0</v>
      </c>
      <c r="Q154" s="22">
        <f t="shared" si="33"/>
        <v>0</v>
      </c>
      <c r="R154" s="22">
        <f t="shared" si="34"/>
        <v>0</v>
      </c>
      <c r="S154" s="22">
        <f t="shared" si="35"/>
        <v>59645002.544070013</v>
      </c>
      <c r="T154" s="21">
        <f t="shared" si="36"/>
        <v>0</v>
      </c>
      <c r="U154" s="19" t="str">
        <f t="shared" si="37"/>
        <v>No transfer</v>
      </c>
      <c r="V154" s="35" t="s">
        <v>96</v>
      </c>
    </row>
    <row r="155" spans="1:22">
      <c r="A155" s="4">
        <v>44263</v>
      </c>
      <c r="B155" s="5">
        <v>2.342E-2</v>
      </c>
      <c r="C155" s="5">
        <v>2.342E-2</v>
      </c>
      <c r="D155" s="6">
        <f t="shared" si="28"/>
        <v>2.342E-2</v>
      </c>
      <c r="E155" s="8">
        <f t="shared" si="25"/>
        <v>15</v>
      </c>
      <c r="F155" s="9">
        <f t="shared" si="26"/>
        <v>0.87569915012481347</v>
      </c>
      <c r="G155" s="9">
        <f t="shared" si="27"/>
        <v>1.124300849875187</v>
      </c>
      <c r="H155" s="9">
        <f t="shared" si="29"/>
        <v>-0.24860169975037349</v>
      </c>
      <c r="I155" t="str">
        <f t="shared" si="30"/>
        <v>B</v>
      </c>
      <c r="J155">
        <f t="shared" si="38"/>
        <v>30</v>
      </c>
      <c r="K155" t="str">
        <f>IF(I155="","",IF(J155&gt;=Parameters!$B$5,I155,"HOLD"))</f>
        <v>B</v>
      </c>
      <c r="L155" s="10">
        <f>'Actual Calc'!T155</f>
        <v>0</v>
      </c>
      <c r="M155" s="10">
        <f>'Actual Calc'!U155</f>
        <v>78270141.632070005</v>
      </c>
      <c r="N155" s="12">
        <f t="shared" si="31"/>
        <v>0</v>
      </c>
      <c r="O155" s="12">
        <f>IF(NOT(ISNUMBER(N155)),"",IF(K155="A",MIN(Parameters!$B$8,N155+Parameters!$B$6),IF(K155="B",MAX(Parameters!$B$7,N155-Parameters!$B$6),N155)))</f>
        <v>0</v>
      </c>
      <c r="P155" s="13">
        <f t="shared" si="32"/>
        <v>0</v>
      </c>
      <c r="Q155" s="13">
        <f t="shared" si="33"/>
        <v>0</v>
      </c>
      <c r="R155" s="13">
        <f t="shared" si="34"/>
        <v>0</v>
      </c>
      <c r="S155" s="13">
        <f t="shared" si="35"/>
        <v>78270141.632070005</v>
      </c>
      <c r="T155" s="12">
        <f t="shared" si="36"/>
        <v>0</v>
      </c>
      <c r="U155" t="str">
        <f t="shared" si="37"/>
        <v>No transfer</v>
      </c>
      <c r="V155" s="25" t="s">
        <v>95</v>
      </c>
    </row>
    <row r="156" spans="1:22">
      <c r="A156" s="14">
        <v>44270</v>
      </c>
      <c r="B156" s="15">
        <v>1.018E-2</v>
      </c>
      <c r="C156" s="15">
        <v>1.018E-2</v>
      </c>
      <c r="D156" s="16">
        <f t="shared" si="28"/>
        <v>1.018E-2</v>
      </c>
      <c r="E156" s="17">
        <f t="shared" si="25"/>
        <v>16</v>
      </c>
      <c r="F156" s="18">
        <f t="shared" si="26"/>
        <v>0.8811657587177415</v>
      </c>
      <c r="G156" s="18">
        <f t="shared" si="27"/>
        <v>1.1188342412822585</v>
      </c>
      <c r="H156" s="18">
        <f t="shared" si="29"/>
        <v>-0.237668482564517</v>
      </c>
      <c r="I156" s="19" t="str">
        <f t="shared" si="30"/>
        <v>B</v>
      </c>
      <c r="J156" s="19">
        <f t="shared" si="38"/>
        <v>31</v>
      </c>
      <c r="K156" s="19" t="str">
        <f>IF(I156="","",IF(J156&gt;=Parameters!$B$5,I156,"HOLD"))</f>
        <v>B</v>
      </c>
      <c r="L156" s="20">
        <f>'Actual Calc'!T156</f>
        <v>0</v>
      </c>
      <c r="M156" s="20">
        <f>'Actual Calc'!U156</f>
        <v>88893986.57807</v>
      </c>
      <c r="N156" s="21">
        <f t="shared" si="31"/>
        <v>0</v>
      </c>
      <c r="O156" s="21">
        <f>IF(NOT(ISNUMBER(N156)),"",IF(K156="A",MIN(Parameters!$B$8,N156+Parameters!$B$6),IF(K156="B",MAX(Parameters!$B$7,N156-Parameters!$B$6),N156)))</f>
        <v>0</v>
      </c>
      <c r="P156" s="22">
        <f t="shared" si="32"/>
        <v>0</v>
      </c>
      <c r="Q156" s="22">
        <f t="shared" si="33"/>
        <v>0</v>
      </c>
      <c r="R156" s="22">
        <f t="shared" si="34"/>
        <v>0</v>
      </c>
      <c r="S156" s="22">
        <f t="shared" si="35"/>
        <v>88893986.57807</v>
      </c>
      <c r="T156" s="21">
        <f t="shared" si="36"/>
        <v>0</v>
      </c>
      <c r="U156" s="19" t="str">
        <f t="shared" si="37"/>
        <v>No transfer</v>
      </c>
      <c r="V156" s="35" t="s">
        <v>95</v>
      </c>
    </row>
    <row r="157" spans="1:22">
      <c r="A157" s="4">
        <v>44277</v>
      </c>
      <c r="B157" s="5">
        <v>1.1220000000000001E-2</v>
      </c>
      <c r="C157" s="5">
        <v>1.1220000000000001E-2</v>
      </c>
      <c r="D157" s="6">
        <f t="shared" si="28"/>
        <v>1.1220000000000001E-2</v>
      </c>
      <c r="E157" s="8">
        <f t="shared" ref="E157:E220" si="39">IF(NOT(ISNUMBER(D157)),"",COUNTIF(D132:D157,"&gt;0"))</f>
        <v>16</v>
      </c>
      <c r="F157" s="9">
        <f t="shared" ref="F157:F220" si="40">IF(OR(NOT(ISNUMBER(E157)),E157&lt;2),"",IFERROR((SUMPRODUCT(--(D132:D157&gt;0),B132:B157,D132:D157)-SUMPRODUCT(--(D132:D157&gt;0),B132:B157)*SUMPRODUCT(--(D132:D157&gt;0),D132:D157)/E157)/(SUMPRODUCT(--(D132:D157&gt;0),D132:D157,D132:D157)-SUMPRODUCT(--(D132:D157&gt;0),D132:D157)^2/E157),""))</f>
        <v>0.91772308149247961</v>
      </c>
      <c r="G157" s="9">
        <f t="shared" ref="G157:G220" si="41">IF(OR(NOT(ISNUMBER(E157)),E157&lt;2),"",IFERROR((SUMPRODUCT(--(D132:D157&gt;0),C132:C157,D132:D157)-SUMPRODUCT(--(D132:D157&gt;0),C132:C157)*SUMPRODUCT(--(D132:D157&gt;0),D132:D157)/E157)/(SUMPRODUCT(--(D132:D157&gt;0),D132:D157,D132:D157)-SUMPRODUCT(--(D132:D157&gt;0),D132:D157)^2/E157),""))</f>
        <v>1.0822769185075203</v>
      </c>
      <c r="H157" s="9">
        <f t="shared" si="29"/>
        <v>-0.16455383701504067</v>
      </c>
      <c r="I157" t="str">
        <f t="shared" si="30"/>
        <v>B</v>
      </c>
      <c r="J157">
        <f t="shared" si="38"/>
        <v>32</v>
      </c>
      <c r="K157" t="str">
        <f>IF(I157="","",IF(J157&gt;=Parameters!$B$5,I157,"HOLD"))</f>
        <v>B</v>
      </c>
      <c r="L157" s="10">
        <f>'Actual Calc'!T157</f>
        <v>0</v>
      </c>
      <c r="M157" s="10">
        <f>'Actual Calc'!U157</f>
        <v>102192515.14007001</v>
      </c>
      <c r="N157" s="12">
        <f t="shared" si="31"/>
        <v>0</v>
      </c>
      <c r="O157" s="12">
        <f>IF(NOT(ISNUMBER(N157)),"",IF(K157="A",MIN(Parameters!$B$8,N157+Parameters!$B$6),IF(K157="B",MAX(Parameters!$B$7,N157-Parameters!$B$6),N157)))</f>
        <v>0</v>
      </c>
      <c r="P157" s="13">
        <f t="shared" si="32"/>
        <v>0</v>
      </c>
      <c r="Q157" s="13">
        <f t="shared" si="33"/>
        <v>0</v>
      </c>
      <c r="R157" s="13">
        <f t="shared" si="34"/>
        <v>0</v>
      </c>
      <c r="S157" s="13">
        <f t="shared" si="35"/>
        <v>102192515.14007001</v>
      </c>
      <c r="T157" s="12">
        <f t="shared" si="36"/>
        <v>0</v>
      </c>
      <c r="U157" t="str">
        <f t="shared" si="37"/>
        <v>No transfer</v>
      </c>
      <c r="V157" s="25" t="s">
        <v>95</v>
      </c>
    </row>
    <row r="158" spans="1:22">
      <c r="A158" s="14">
        <v>44284</v>
      </c>
      <c r="B158" s="15">
        <v>2.8979999999999999E-2</v>
      </c>
      <c r="C158" s="15">
        <v>2.8979999999999999E-2</v>
      </c>
      <c r="D158" s="16">
        <f t="shared" si="28"/>
        <v>2.8979999999999999E-2</v>
      </c>
      <c r="E158" s="17">
        <f t="shared" si="39"/>
        <v>17</v>
      </c>
      <c r="F158" s="18">
        <f t="shared" si="40"/>
        <v>0.91801381116076552</v>
      </c>
      <c r="G158" s="18">
        <f t="shared" si="41"/>
        <v>1.0819861888392348</v>
      </c>
      <c r="H158" s="18">
        <f t="shared" si="29"/>
        <v>-0.16397237767846928</v>
      </c>
      <c r="I158" s="19" t="str">
        <f t="shared" si="30"/>
        <v>B</v>
      </c>
      <c r="J158" s="19">
        <f t="shared" si="38"/>
        <v>33</v>
      </c>
      <c r="K158" s="19" t="str">
        <f>IF(I158="","",IF(J158&gt;=Parameters!$B$5,I158,"HOLD"))</f>
        <v>B</v>
      </c>
      <c r="L158" s="20">
        <f>'Actual Calc'!T158</f>
        <v>0</v>
      </c>
      <c r="M158" s="20">
        <f>'Actual Calc'!U158</f>
        <v>141679677.82007</v>
      </c>
      <c r="N158" s="21">
        <f t="shared" si="31"/>
        <v>0</v>
      </c>
      <c r="O158" s="21">
        <f>IF(NOT(ISNUMBER(N158)),"",IF(K158="A",MIN(Parameters!$B$8,N158+Parameters!$B$6),IF(K158="B",MAX(Parameters!$B$7,N158-Parameters!$B$6),N158)))</f>
        <v>0</v>
      </c>
      <c r="P158" s="22">
        <f t="shared" si="32"/>
        <v>0</v>
      </c>
      <c r="Q158" s="22">
        <f t="shared" si="33"/>
        <v>0</v>
      </c>
      <c r="R158" s="22">
        <f t="shared" si="34"/>
        <v>0</v>
      </c>
      <c r="S158" s="22">
        <f t="shared" si="35"/>
        <v>141679677.82007</v>
      </c>
      <c r="T158" s="21">
        <f t="shared" si="36"/>
        <v>0</v>
      </c>
      <c r="U158" s="19" t="str">
        <f t="shared" si="37"/>
        <v>No transfer</v>
      </c>
      <c r="V158" s="35" t="s">
        <v>95</v>
      </c>
    </row>
    <row r="159" spans="1:22">
      <c r="A159" s="4">
        <v>44291</v>
      </c>
      <c r="B159" s="5">
        <v>1.238E-2</v>
      </c>
      <c r="C159" s="5">
        <v>1.238E-2</v>
      </c>
      <c r="D159" s="6">
        <f t="shared" si="28"/>
        <v>1.238E-2</v>
      </c>
      <c r="E159" s="8">
        <f t="shared" si="39"/>
        <v>17</v>
      </c>
      <c r="F159" s="9">
        <f t="shared" si="40"/>
        <v>0.91863011142116802</v>
      </c>
      <c r="G159" s="9">
        <f t="shared" si="41"/>
        <v>1.0813698885788325</v>
      </c>
      <c r="H159" s="9">
        <f t="shared" si="29"/>
        <v>-0.16273977715766452</v>
      </c>
      <c r="I159" t="str">
        <f t="shared" si="30"/>
        <v>B</v>
      </c>
      <c r="J159">
        <f t="shared" si="38"/>
        <v>34</v>
      </c>
      <c r="K159" t="str">
        <f>IF(I159="","",IF(J159&gt;=Parameters!$B$5,I159,"HOLD"))</f>
        <v>B</v>
      </c>
      <c r="L159" s="10">
        <f>'Actual Calc'!T159</f>
        <v>0</v>
      </c>
      <c r="M159" s="10">
        <f>'Actual Calc'!U159</f>
        <v>165066256.71406999</v>
      </c>
      <c r="N159" s="12">
        <f t="shared" si="31"/>
        <v>0</v>
      </c>
      <c r="O159" s="12">
        <f>IF(NOT(ISNUMBER(N159)),"",IF(K159="A",MIN(Parameters!$B$8,N159+Parameters!$B$6),IF(K159="B",MAX(Parameters!$B$7,N159-Parameters!$B$6),N159)))</f>
        <v>0</v>
      </c>
      <c r="P159" s="13">
        <f t="shared" si="32"/>
        <v>0</v>
      </c>
      <c r="Q159" s="13">
        <f t="shared" si="33"/>
        <v>0</v>
      </c>
      <c r="R159" s="13">
        <f t="shared" si="34"/>
        <v>0</v>
      </c>
      <c r="S159" s="13">
        <f t="shared" si="35"/>
        <v>165066256.71406999</v>
      </c>
      <c r="T159" s="12">
        <f t="shared" si="36"/>
        <v>0</v>
      </c>
      <c r="U159" t="str">
        <f t="shared" si="37"/>
        <v>No transfer</v>
      </c>
      <c r="V159" s="25" t="s">
        <v>95</v>
      </c>
    </row>
    <row r="160" spans="1:22">
      <c r="A160" s="14">
        <v>44298</v>
      </c>
      <c r="B160" s="15">
        <v>1.7600000000000001E-2</v>
      </c>
      <c r="C160" s="15">
        <v>1.7600000000000001E-2</v>
      </c>
      <c r="D160" s="16">
        <f t="shared" si="28"/>
        <v>1.7600000000000001E-2</v>
      </c>
      <c r="E160" s="17">
        <f t="shared" si="39"/>
        <v>17</v>
      </c>
      <c r="F160" s="18">
        <f t="shared" si="40"/>
        <v>0.91666455230338417</v>
      </c>
      <c r="G160" s="18">
        <f t="shared" si="41"/>
        <v>1.0833354476966164</v>
      </c>
      <c r="H160" s="18">
        <f t="shared" si="29"/>
        <v>-0.16667089539323221</v>
      </c>
      <c r="I160" s="19" t="str">
        <f t="shared" si="30"/>
        <v>B</v>
      </c>
      <c r="J160" s="19">
        <f t="shared" si="38"/>
        <v>35</v>
      </c>
      <c r="K160" s="19" t="str">
        <f>IF(I160="","",IF(J160&gt;=Parameters!$B$5,I160,"HOLD"))</f>
        <v>B</v>
      </c>
      <c r="L160" s="20">
        <f>'Actual Calc'!T160</f>
        <v>0</v>
      </c>
      <c r="M160" s="20">
        <f>'Actual Calc'!U160</f>
        <v>203801771.11407</v>
      </c>
      <c r="N160" s="21">
        <f t="shared" si="31"/>
        <v>0</v>
      </c>
      <c r="O160" s="21">
        <f>IF(NOT(ISNUMBER(N160)),"",IF(K160="A",MIN(Parameters!$B$8,N160+Parameters!$B$6),IF(K160="B",MAX(Parameters!$B$7,N160-Parameters!$B$6),N160)))</f>
        <v>0</v>
      </c>
      <c r="P160" s="22">
        <f t="shared" si="32"/>
        <v>0</v>
      </c>
      <c r="Q160" s="22">
        <f t="shared" si="33"/>
        <v>0</v>
      </c>
      <c r="R160" s="22">
        <f t="shared" si="34"/>
        <v>0</v>
      </c>
      <c r="S160" s="22">
        <f t="shared" si="35"/>
        <v>203801771.11407</v>
      </c>
      <c r="T160" s="21">
        <f t="shared" si="36"/>
        <v>0</v>
      </c>
      <c r="U160" s="19" t="str">
        <f t="shared" si="37"/>
        <v>No transfer</v>
      </c>
      <c r="V160" s="35" t="s">
        <v>95</v>
      </c>
    </row>
    <row r="161" spans="1:22">
      <c r="A161" s="4">
        <v>44305</v>
      </c>
      <c r="B161" s="5">
        <v>-4.0000000000000001E-3</v>
      </c>
      <c r="C161" s="5">
        <v>-4.0000000000000001E-3</v>
      </c>
      <c r="D161" s="6">
        <f t="shared" si="28"/>
        <v>-4.0000000000000001E-3</v>
      </c>
      <c r="E161" s="8">
        <f t="shared" si="39"/>
        <v>17</v>
      </c>
      <c r="F161" s="9">
        <f t="shared" si="40"/>
        <v>0.91666455230338417</v>
      </c>
      <c r="G161" s="9">
        <f t="shared" si="41"/>
        <v>1.0833354476966164</v>
      </c>
      <c r="H161" s="9">
        <f t="shared" si="29"/>
        <v>-0.16667089539323221</v>
      </c>
      <c r="I161" t="str">
        <f t="shared" si="30"/>
        <v>B</v>
      </c>
      <c r="J161">
        <f t="shared" si="38"/>
        <v>36</v>
      </c>
      <c r="K161" t="str">
        <f>IF(I161="","",IF(J161&gt;=Parameters!$B$5,I161,"HOLD"))</f>
        <v>B</v>
      </c>
      <c r="L161" s="10">
        <f>'Actual Calc'!T161</f>
        <v>0</v>
      </c>
      <c r="M161" s="10">
        <f>'Actual Calc'!U161</f>
        <v>192932348.31406999</v>
      </c>
      <c r="N161" s="12">
        <f t="shared" si="31"/>
        <v>0</v>
      </c>
      <c r="O161" s="12">
        <f>IF(NOT(ISNUMBER(N161)),"",IF(K161="A",MIN(Parameters!$B$8,N161+Parameters!$B$6),IF(K161="B",MAX(Parameters!$B$7,N161-Parameters!$B$6),N161)))</f>
        <v>0</v>
      </c>
      <c r="P161" s="13">
        <f t="shared" si="32"/>
        <v>0</v>
      </c>
      <c r="Q161" s="13">
        <f t="shared" si="33"/>
        <v>0</v>
      </c>
      <c r="R161" s="13">
        <f t="shared" si="34"/>
        <v>0</v>
      </c>
      <c r="S161" s="13">
        <f t="shared" si="35"/>
        <v>192932348.31406999</v>
      </c>
      <c r="T161" s="12">
        <f t="shared" si="36"/>
        <v>0</v>
      </c>
      <c r="U161" t="str">
        <f t="shared" si="37"/>
        <v>No transfer</v>
      </c>
      <c r="V161" s="25" t="s">
        <v>95</v>
      </c>
    </row>
    <row r="162" spans="1:22">
      <c r="A162" s="14">
        <v>44312</v>
      </c>
      <c r="B162" s="15">
        <v>-4.0000000000000001E-3</v>
      </c>
      <c r="C162" s="15">
        <v>-4.0000000000000001E-3</v>
      </c>
      <c r="D162" s="16">
        <f t="shared" si="28"/>
        <v>-4.0000000000000001E-3</v>
      </c>
      <c r="E162" s="17">
        <f t="shared" si="39"/>
        <v>17</v>
      </c>
      <c r="F162" s="18">
        <f t="shared" si="40"/>
        <v>0.91666455230338417</v>
      </c>
      <c r="G162" s="18">
        <f t="shared" si="41"/>
        <v>1.0833354476966164</v>
      </c>
      <c r="H162" s="18">
        <f t="shared" si="29"/>
        <v>-0.16667089539323221</v>
      </c>
      <c r="I162" s="19" t="str">
        <f t="shared" si="30"/>
        <v>B</v>
      </c>
      <c r="J162" s="19">
        <f t="shared" si="38"/>
        <v>37</v>
      </c>
      <c r="K162" s="19" t="str">
        <f>IF(I162="","",IF(J162&gt;=Parameters!$B$5,I162,"HOLD"))</f>
        <v>B</v>
      </c>
      <c r="L162" s="20">
        <f>'Actual Calc'!T162</f>
        <v>0</v>
      </c>
      <c r="M162" s="20">
        <f>'Actual Calc'!U162</f>
        <v>182642626.71406999</v>
      </c>
      <c r="N162" s="21">
        <f t="shared" si="31"/>
        <v>0</v>
      </c>
      <c r="O162" s="21">
        <f>IF(NOT(ISNUMBER(N162)),"",IF(K162="A",MIN(Parameters!$B$8,N162+Parameters!$B$6),IF(K162="B",MAX(Parameters!$B$7,N162-Parameters!$B$6),N162)))</f>
        <v>0</v>
      </c>
      <c r="P162" s="22">
        <f t="shared" si="32"/>
        <v>0</v>
      </c>
      <c r="Q162" s="22">
        <f t="shared" si="33"/>
        <v>0</v>
      </c>
      <c r="R162" s="22">
        <f t="shared" si="34"/>
        <v>0</v>
      </c>
      <c r="S162" s="22">
        <f t="shared" si="35"/>
        <v>182642626.71406999</v>
      </c>
      <c r="T162" s="21">
        <f t="shared" si="36"/>
        <v>0</v>
      </c>
      <c r="U162" s="19" t="str">
        <f t="shared" si="37"/>
        <v>No transfer</v>
      </c>
      <c r="V162" s="35" t="s">
        <v>95</v>
      </c>
    </row>
    <row r="163" spans="1:22">
      <c r="A163" s="4">
        <v>44319</v>
      </c>
      <c r="B163" s="5">
        <v>-3.0689999999999999E-2</v>
      </c>
      <c r="C163" s="5">
        <v>-3.0689999999999999E-2</v>
      </c>
      <c r="D163" s="6">
        <f t="shared" si="28"/>
        <v>-3.0689999999999999E-2</v>
      </c>
      <c r="E163" s="8">
        <f t="shared" si="39"/>
        <v>16</v>
      </c>
      <c r="F163" s="9">
        <f t="shared" si="40"/>
        <v>0.82614725163613911</v>
      </c>
      <c r="G163" s="9">
        <f t="shared" si="41"/>
        <v>1.1738527483638617</v>
      </c>
      <c r="H163" s="9">
        <f t="shared" si="29"/>
        <v>-0.34770549672772255</v>
      </c>
      <c r="I163" t="str">
        <f t="shared" si="30"/>
        <v>B</v>
      </c>
      <c r="J163">
        <f t="shared" si="38"/>
        <v>38</v>
      </c>
      <c r="K163" t="str">
        <f>IF(I163="","",IF(J163&gt;=Parameters!$B$5,I163,"HOLD"))</f>
        <v>B</v>
      </c>
      <c r="L163" s="10">
        <f>'Actual Calc'!T163</f>
        <v>0</v>
      </c>
      <c r="M163" s="10">
        <f>'Actual Calc'!U163</f>
        <v>107905322.87506999</v>
      </c>
      <c r="N163" s="12">
        <f t="shared" si="31"/>
        <v>0</v>
      </c>
      <c r="O163" s="12">
        <f>IF(NOT(ISNUMBER(N163)),"",IF(K163="A",MIN(Parameters!$B$8,N163+Parameters!$B$6),IF(K163="B",MAX(Parameters!$B$7,N163-Parameters!$B$6),N163)))</f>
        <v>0</v>
      </c>
      <c r="P163" s="13">
        <f t="shared" si="32"/>
        <v>0</v>
      </c>
      <c r="Q163" s="13">
        <f t="shared" si="33"/>
        <v>0</v>
      </c>
      <c r="R163" s="13">
        <f t="shared" si="34"/>
        <v>0</v>
      </c>
      <c r="S163" s="13">
        <f t="shared" si="35"/>
        <v>107905322.87506999</v>
      </c>
      <c r="T163" s="12">
        <f t="shared" si="36"/>
        <v>0</v>
      </c>
      <c r="U163" t="str">
        <f t="shared" si="37"/>
        <v>No transfer</v>
      </c>
      <c r="V163" s="25" t="s">
        <v>95</v>
      </c>
    </row>
    <row r="164" spans="1:22">
      <c r="A164" s="14">
        <v>44326</v>
      </c>
      <c r="B164" s="15">
        <v>-4.9149999999999999E-2</v>
      </c>
      <c r="C164" s="15">
        <v>0</v>
      </c>
      <c r="D164" s="16">
        <f t="shared" si="28"/>
        <v>-2.4575E-2</v>
      </c>
      <c r="E164" s="17">
        <f t="shared" si="39"/>
        <v>16</v>
      </c>
      <c r="F164" s="18">
        <f t="shared" si="40"/>
        <v>0.82614725163613911</v>
      </c>
      <c r="G164" s="18">
        <f t="shared" si="41"/>
        <v>1.1738527483638617</v>
      </c>
      <c r="H164" s="18">
        <f t="shared" si="29"/>
        <v>-0.34770549672772255</v>
      </c>
      <c r="I164" s="19" t="str">
        <f t="shared" si="30"/>
        <v>B</v>
      </c>
      <c r="J164" s="19">
        <f t="shared" si="38"/>
        <v>39</v>
      </c>
      <c r="K164" s="19" t="str">
        <f>IF(I164="","",IF(J164&gt;=Parameters!$B$5,I164,"HOLD"))</f>
        <v>B</v>
      </c>
      <c r="L164" s="20">
        <f>'Actual Calc'!T164</f>
        <v>0</v>
      </c>
      <c r="M164" s="20">
        <f>'Actual Calc'!U164</f>
        <v>107905322.87506999</v>
      </c>
      <c r="N164" s="21">
        <f t="shared" si="31"/>
        <v>0</v>
      </c>
      <c r="O164" s="21">
        <f>IF(NOT(ISNUMBER(N164)),"",IF(K164="A",MIN(Parameters!$B$8,N164+Parameters!$B$6),IF(K164="B",MAX(Parameters!$B$7,N164-Parameters!$B$6),N164)))</f>
        <v>0</v>
      </c>
      <c r="P164" s="22">
        <f t="shared" si="32"/>
        <v>0</v>
      </c>
      <c r="Q164" s="22">
        <f t="shared" si="33"/>
        <v>0</v>
      </c>
      <c r="R164" s="22">
        <f t="shared" si="34"/>
        <v>0</v>
      </c>
      <c r="S164" s="22">
        <f t="shared" si="35"/>
        <v>107905322.87506999</v>
      </c>
      <c r="T164" s="21">
        <f t="shared" si="36"/>
        <v>0</v>
      </c>
      <c r="U164" s="19" t="str">
        <f t="shared" si="37"/>
        <v>No transfer</v>
      </c>
      <c r="V164" s="35" t="s">
        <v>96</v>
      </c>
    </row>
    <row r="165" spans="1:22">
      <c r="A165" s="4">
        <v>44333</v>
      </c>
      <c r="B165" s="5">
        <v>-7.0299999999999998E-3</v>
      </c>
      <c r="C165" s="5">
        <v>0</v>
      </c>
      <c r="D165" s="6">
        <f t="shared" si="28"/>
        <v>-3.5149999999999999E-3</v>
      </c>
      <c r="E165" s="8">
        <f t="shared" si="39"/>
        <v>15</v>
      </c>
      <c r="F165" s="9">
        <f t="shared" si="40"/>
        <v>0.81390963944157768</v>
      </c>
      <c r="G165" s="9">
        <f t="shared" si="41"/>
        <v>1.1860903605584237</v>
      </c>
      <c r="H165" s="9">
        <f t="shared" si="29"/>
        <v>-0.37218072111684597</v>
      </c>
      <c r="I165" t="str">
        <f t="shared" si="30"/>
        <v>B</v>
      </c>
      <c r="J165">
        <f t="shared" si="38"/>
        <v>40</v>
      </c>
      <c r="K165" t="str">
        <f>IF(I165="","",IF(J165&gt;=Parameters!$B$5,I165,"HOLD"))</f>
        <v>B</v>
      </c>
      <c r="L165" s="10">
        <f>'Actual Calc'!T165</f>
        <v>0</v>
      </c>
      <c r="M165" s="10">
        <f>'Actual Calc'!U165</f>
        <v>107905322.87506999</v>
      </c>
      <c r="N165" s="12">
        <f t="shared" si="31"/>
        <v>0</v>
      </c>
      <c r="O165" s="12">
        <f>IF(NOT(ISNUMBER(N165)),"",IF(K165="A",MIN(Parameters!$B$8,N165+Parameters!$B$6),IF(K165="B",MAX(Parameters!$B$7,N165-Parameters!$B$6),N165)))</f>
        <v>0</v>
      </c>
      <c r="P165" s="13">
        <f t="shared" si="32"/>
        <v>0</v>
      </c>
      <c r="Q165" s="13">
        <f t="shared" si="33"/>
        <v>0</v>
      </c>
      <c r="R165" s="13">
        <f t="shared" si="34"/>
        <v>0</v>
      </c>
      <c r="S165" s="13">
        <f t="shared" si="35"/>
        <v>107905322.87506999</v>
      </c>
      <c r="T165" s="12">
        <f t="shared" si="36"/>
        <v>0</v>
      </c>
      <c r="U165" t="str">
        <f t="shared" si="37"/>
        <v>No transfer</v>
      </c>
      <c r="V165" s="25" t="s">
        <v>96</v>
      </c>
    </row>
    <row r="166" spans="1:22">
      <c r="A166" s="14">
        <v>44340</v>
      </c>
      <c r="B166" s="15">
        <v>9.3600000000000003E-3</v>
      </c>
      <c r="C166" s="15">
        <v>9.3600000000000003E-3</v>
      </c>
      <c r="D166" s="16">
        <f t="shared" si="28"/>
        <v>9.3600000000000003E-3</v>
      </c>
      <c r="E166" s="17">
        <f t="shared" si="39"/>
        <v>15</v>
      </c>
      <c r="F166" s="18">
        <f t="shared" si="40"/>
        <v>0.80479085361797087</v>
      </c>
      <c r="G166" s="18">
        <f t="shared" si="41"/>
        <v>1.1952091463820287</v>
      </c>
      <c r="H166" s="18">
        <f t="shared" si="29"/>
        <v>-0.39041829276405782</v>
      </c>
      <c r="I166" s="19" t="str">
        <f t="shared" si="30"/>
        <v>B</v>
      </c>
      <c r="J166" s="19">
        <f t="shared" si="38"/>
        <v>41</v>
      </c>
      <c r="K166" s="19" t="str">
        <f>IF(I166="","",IF(J166&gt;=Parameters!$B$5,I166,"HOLD"))</f>
        <v>B</v>
      </c>
      <c r="L166" s="20">
        <f>'Actual Calc'!T166</f>
        <v>0</v>
      </c>
      <c r="M166" s="20">
        <f>'Actual Calc'!U166</f>
        <v>121371904.93906999</v>
      </c>
      <c r="N166" s="21">
        <f t="shared" si="31"/>
        <v>0</v>
      </c>
      <c r="O166" s="21">
        <f>IF(NOT(ISNUMBER(N166)),"",IF(K166="A",MIN(Parameters!$B$8,N166+Parameters!$B$6),IF(K166="B",MAX(Parameters!$B$7,N166-Parameters!$B$6),N166)))</f>
        <v>0</v>
      </c>
      <c r="P166" s="22">
        <f t="shared" si="32"/>
        <v>0</v>
      </c>
      <c r="Q166" s="22">
        <f t="shared" si="33"/>
        <v>0</v>
      </c>
      <c r="R166" s="22">
        <f t="shared" si="34"/>
        <v>0</v>
      </c>
      <c r="S166" s="22">
        <f t="shared" si="35"/>
        <v>121371904.93906999</v>
      </c>
      <c r="T166" s="21">
        <f t="shared" si="36"/>
        <v>0</v>
      </c>
      <c r="U166" s="19" t="str">
        <f t="shared" si="37"/>
        <v>No transfer</v>
      </c>
      <c r="V166" s="35" t="s">
        <v>95</v>
      </c>
    </row>
    <row r="167" spans="1:22">
      <c r="A167" s="4">
        <v>44347</v>
      </c>
      <c r="B167" s="5">
        <v>-5.1599999999999997E-3</v>
      </c>
      <c r="C167" s="5">
        <v>-5.1599999999999997E-3</v>
      </c>
      <c r="D167" s="6">
        <f t="shared" si="28"/>
        <v>-5.1599999999999997E-3</v>
      </c>
      <c r="E167" s="8">
        <f t="shared" si="39"/>
        <v>14</v>
      </c>
      <c r="F167" s="9">
        <f t="shared" si="40"/>
        <v>0.80119803209215201</v>
      </c>
      <c r="G167" s="9">
        <f t="shared" si="41"/>
        <v>1.198801967907847</v>
      </c>
      <c r="H167" s="9">
        <f t="shared" si="29"/>
        <v>-0.39760393581569498</v>
      </c>
      <c r="I167" t="str">
        <f t="shared" si="30"/>
        <v>B</v>
      </c>
      <c r="J167">
        <f t="shared" si="38"/>
        <v>42</v>
      </c>
      <c r="K167" t="str">
        <f>IF(I167="","",IF(J167&gt;=Parameters!$B$5,I167,"HOLD"))</f>
        <v>B</v>
      </c>
      <c r="L167" s="10">
        <f>'Actual Calc'!T167</f>
        <v>0</v>
      </c>
      <c r="M167" s="10">
        <f>'Actual Calc'!U167</f>
        <v>113021520.79906999</v>
      </c>
      <c r="N167" s="12">
        <f t="shared" si="31"/>
        <v>0</v>
      </c>
      <c r="O167" s="12">
        <f>IF(NOT(ISNUMBER(N167)),"",IF(K167="A",MIN(Parameters!$B$8,N167+Parameters!$B$6),IF(K167="B",MAX(Parameters!$B$7,N167-Parameters!$B$6),N167)))</f>
        <v>0</v>
      </c>
      <c r="P167" s="13">
        <f t="shared" si="32"/>
        <v>0</v>
      </c>
      <c r="Q167" s="13">
        <f t="shared" si="33"/>
        <v>0</v>
      </c>
      <c r="R167" s="13">
        <f t="shared" si="34"/>
        <v>0</v>
      </c>
      <c r="S167" s="13">
        <f t="shared" si="35"/>
        <v>113021520.79906999</v>
      </c>
      <c r="T167" s="12">
        <f t="shared" si="36"/>
        <v>0</v>
      </c>
      <c r="U167" t="str">
        <f t="shared" si="37"/>
        <v>No transfer</v>
      </c>
      <c r="V167" s="25" t="s">
        <v>95</v>
      </c>
    </row>
    <row r="168" spans="1:22">
      <c r="A168" s="14">
        <v>44354</v>
      </c>
      <c r="B168" s="15">
        <v>1.839E-2</v>
      </c>
      <c r="C168" s="15">
        <v>1.839E-2</v>
      </c>
      <c r="D168" s="16">
        <f t="shared" si="28"/>
        <v>1.839E-2</v>
      </c>
      <c r="E168" s="17">
        <f t="shared" si="39"/>
        <v>15</v>
      </c>
      <c r="F168" s="18">
        <f t="shared" si="40"/>
        <v>0.80063734886912352</v>
      </c>
      <c r="G168" s="18">
        <f t="shared" si="41"/>
        <v>1.1993626511308759</v>
      </c>
      <c r="H168" s="18">
        <f t="shared" si="29"/>
        <v>-0.3987253022617524</v>
      </c>
      <c r="I168" s="19" t="str">
        <f t="shared" si="30"/>
        <v>B</v>
      </c>
      <c r="J168" s="19">
        <f t="shared" si="38"/>
        <v>43</v>
      </c>
      <c r="K168" s="19" t="str">
        <f>IF(I168="","",IF(J168&gt;=Parameters!$B$5,I168,"HOLD"))</f>
        <v>B</v>
      </c>
      <c r="L168" s="20">
        <f>'Actual Calc'!T168</f>
        <v>0</v>
      </c>
      <c r="M168" s="20">
        <f>'Actual Calc'!U168</f>
        <v>140734388.30806997</v>
      </c>
      <c r="N168" s="21">
        <f t="shared" si="31"/>
        <v>0</v>
      </c>
      <c r="O168" s="21">
        <f>IF(NOT(ISNUMBER(N168)),"",IF(K168="A",MIN(Parameters!$B$8,N168+Parameters!$B$6),IF(K168="B",MAX(Parameters!$B$7,N168-Parameters!$B$6),N168)))</f>
        <v>0</v>
      </c>
      <c r="P168" s="22">
        <f t="shared" si="32"/>
        <v>0</v>
      </c>
      <c r="Q168" s="22">
        <f t="shared" si="33"/>
        <v>0</v>
      </c>
      <c r="R168" s="22">
        <f t="shared" si="34"/>
        <v>0</v>
      </c>
      <c r="S168" s="22">
        <f t="shared" si="35"/>
        <v>140734388.30806997</v>
      </c>
      <c r="T168" s="21">
        <f t="shared" si="36"/>
        <v>0</v>
      </c>
      <c r="U168" s="19" t="str">
        <f t="shared" si="37"/>
        <v>No transfer</v>
      </c>
      <c r="V168" s="35" t="s">
        <v>95</v>
      </c>
    </row>
    <row r="169" spans="1:22">
      <c r="A169" s="4">
        <v>44361</v>
      </c>
      <c r="B169" s="5">
        <v>8.2199999999999999E-3</v>
      </c>
      <c r="C169" s="5">
        <v>8.2199999999999999E-3</v>
      </c>
      <c r="D169" s="6">
        <f t="shared" si="28"/>
        <v>8.2199999999999999E-3</v>
      </c>
      <c r="E169" s="8">
        <f t="shared" si="39"/>
        <v>15</v>
      </c>
      <c r="F169" s="9">
        <f t="shared" si="40"/>
        <v>0.79455649402319017</v>
      </c>
      <c r="G169" s="9">
        <f t="shared" si="41"/>
        <v>1.2054435059768105</v>
      </c>
      <c r="H169" s="9">
        <f t="shared" si="29"/>
        <v>-0.41088701195362032</v>
      </c>
      <c r="I169" t="str">
        <f t="shared" si="30"/>
        <v>B</v>
      </c>
      <c r="J169">
        <f t="shared" si="38"/>
        <v>44</v>
      </c>
      <c r="K169" t="str">
        <f>IF(I169="","",IF(J169&gt;=Parameters!$B$5,I169,"HOLD"))</f>
        <v>B</v>
      </c>
      <c r="L169" s="10">
        <f>'Actual Calc'!T169</f>
        <v>0</v>
      </c>
      <c r="M169" s="10">
        <f>'Actual Calc'!U169</f>
        <v>156158867.31406999</v>
      </c>
      <c r="N169" s="12">
        <f t="shared" si="31"/>
        <v>0</v>
      </c>
      <c r="O169" s="12">
        <f>IF(NOT(ISNUMBER(N169)),"",IF(K169="A",MIN(Parameters!$B$8,N169+Parameters!$B$6),IF(K169="B",MAX(Parameters!$B$7,N169-Parameters!$B$6),N169)))</f>
        <v>0</v>
      </c>
      <c r="P169" s="13">
        <f t="shared" si="32"/>
        <v>0</v>
      </c>
      <c r="Q169" s="13">
        <f t="shared" si="33"/>
        <v>0</v>
      </c>
      <c r="R169" s="13">
        <f t="shared" si="34"/>
        <v>0</v>
      </c>
      <c r="S169" s="13">
        <f t="shared" si="35"/>
        <v>156158867.31406999</v>
      </c>
      <c r="T169" s="12">
        <f t="shared" si="36"/>
        <v>0</v>
      </c>
      <c r="U169" t="str">
        <f t="shared" si="37"/>
        <v>No transfer</v>
      </c>
      <c r="V169" s="25" t="s">
        <v>95</v>
      </c>
    </row>
    <row r="170" spans="1:22">
      <c r="A170" s="14">
        <v>44368</v>
      </c>
      <c r="B170" s="15">
        <v>2.06E-2</v>
      </c>
      <c r="C170" s="15">
        <v>2.06E-2</v>
      </c>
      <c r="D170" s="16">
        <f t="shared" si="28"/>
        <v>2.06E-2</v>
      </c>
      <c r="E170" s="17">
        <f t="shared" si="39"/>
        <v>15</v>
      </c>
      <c r="F170" s="18">
        <f t="shared" si="40"/>
        <v>0.78529944069306212</v>
      </c>
      <c r="G170" s="18">
        <f t="shared" si="41"/>
        <v>1.2147005593069384</v>
      </c>
      <c r="H170" s="18">
        <f t="shared" si="29"/>
        <v>-0.42940111861387631</v>
      </c>
      <c r="I170" s="19" t="str">
        <f t="shared" si="30"/>
        <v>B</v>
      </c>
      <c r="J170" s="19">
        <f t="shared" si="38"/>
        <v>45</v>
      </c>
      <c r="K170" s="19" t="str">
        <f>IF(I170="","",IF(J170&gt;=Parameters!$B$5,I170,"HOLD"))</f>
        <v>B</v>
      </c>
      <c r="L170" s="20">
        <f>'Actual Calc'!T170</f>
        <v>0</v>
      </c>
      <c r="M170" s="20">
        <f>'Actual Calc'!U170</f>
        <v>199050465.15406999</v>
      </c>
      <c r="N170" s="21">
        <f t="shared" si="31"/>
        <v>0</v>
      </c>
      <c r="O170" s="21">
        <f>IF(NOT(ISNUMBER(N170)),"",IF(K170="A",MIN(Parameters!$B$8,N170+Parameters!$B$6),IF(K170="B",MAX(Parameters!$B$7,N170-Parameters!$B$6),N170)))</f>
        <v>0</v>
      </c>
      <c r="P170" s="22">
        <f t="shared" si="32"/>
        <v>0</v>
      </c>
      <c r="Q170" s="22">
        <f t="shared" si="33"/>
        <v>0</v>
      </c>
      <c r="R170" s="22">
        <f t="shared" si="34"/>
        <v>0</v>
      </c>
      <c r="S170" s="22">
        <f t="shared" si="35"/>
        <v>199050465.15406999</v>
      </c>
      <c r="T170" s="21">
        <f t="shared" si="36"/>
        <v>0</v>
      </c>
      <c r="U170" s="19" t="str">
        <f t="shared" si="37"/>
        <v>No transfer</v>
      </c>
      <c r="V170" s="35" t="s">
        <v>95</v>
      </c>
    </row>
    <row r="171" spans="1:22">
      <c r="A171" s="4">
        <v>44375</v>
      </c>
      <c r="B171" s="5">
        <v>7.8200000000000006E-3</v>
      </c>
      <c r="C171" s="5">
        <v>7.8200000000000006E-3</v>
      </c>
      <c r="D171" s="6">
        <f t="shared" si="28"/>
        <v>7.8200000000000006E-3</v>
      </c>
      <c r="E171" s="8">
        <f t="shared" si="39"/>
        <v>15</v>
      </c>
      <c r="F171" s="9">
        <f t="shared" si="40"/>
        <v>0.77567619298279977</v>
      </c>
      <c r="G171" s="9">
        <f t="shared" si="41"/>
        <v>1.2243238070172002</v>
      </c>
      <c r="H171" s="9">
        <f t="shared" si="29"/>
        <v>-0.44864761403440045</v>
      </c>
      <c r="I171" t="str">
        <f t="shared" si="30"/>
        <v>B</v>
      </c>
      <c r="J171">
        <f t="shared" si="38"/>
        <v>46</v>
      </c>
      <c r="K171" t="str">
        <f>IF(I171="","",IF(J171&gt;=Parameters!$B$5,I171,"HOLD"))</f>
        <v>B</v>
      </c>
      <c r="L171" s="10">
        <f>'Actual Calc'!T171</f>
        <v>0</v>
      </c>
      <c r="M171" s="10">
        <f>'Actual Calc'!U171</f>
        <v>219804780.34406999</v>
      </c>
      <c r="N171" s="12">
        <f t="shared" si="31"/>
        <v>0</v>
      </c>
      <c r="O171" s="12">
        <f>IF(NOT(ISNUMBER(N171)),"",IF(K171="A",MIN(Parameters!$B$8,N171+Parameters!$B$6),IF(K171="B",MAX(Parameters!$B$7,N171-Parameters!$B$6),N171)))</f>
        <v>0</v>
      </c>
      <c r="P171" s="13">
        <f t="shared" si="32"/>
        <v>0</v>
      </c>
      <c r="Q171" s="13">
        <f t="shared" si="33"/>
        <v>0</v>
      </c>
      <c r="R171" s="13">
        <f t="shared" si="34"/>
        <v>0</v>
      </c>
      <c r="S171" s="13">
        <f t="shared" si="35"/>
        <v>219804780.34406999</v>
      </c>
      <c r="T171" s="12">
        <f t="shared" si="36"/>
        <v>0</v>
      </c>
      <c r="U171" t="str">
        <f t="shared" si="37"/>
        <v>No transfer</v>
      </c>
      <c r="V171" s="25" t="s">
        <v>95</v>
      </c>
    </row>
    <row r="172" spans="1:22">
      <c r="A172" s="14">
        <v>44382</v>
      </c>
      <c r="B172" s="15">
        <v>-4.5100000000000001E-3</v>
      </c>
      <c r="C172" s="15">
        <v>-4.5100000000000001E-3</v>
      </c>
      <c r="D172" s="16">
        <f t="shared" si="28"/>
        <v>-4.5100000000000001E-3</v>
      </c>
      <c r="E172" s="17">
        <f t="shared" si="39"/>
        <v>15</v>
      </c>
      <c r="F172" s="18">
        <f t="shared" si="40"/>
        <v>0.77567619298279977</v>
      </c>
      <c r="G172" s="18">
        <f t="shared" si="41"/>
        <v>1.2243238070172002</v>
      </c>
      <c r="H172" s="18">
        <f t="shared" si="29"/>
        <v>-0.44864761403440045</v>
      </c>
      <c r="I172" s="19" t="str">
        <f t="shared" si="30"/>
        <v>B</v>
      </c>
      <c r="J172" s="19">
        <f t="shared" si="38"/>
        <v>47</v>
      </c>
      <c r="K172" s="19" t="str">
        <f>IF(I172="","",IF(J172&gt;=Parameters!$B$5,I172,"HOLD"))</f>
        <v>B</v>
      </c>
      <c r="L172" s="20">
        <f>'Actual Calc'!T172</f>
        <v>0</v>
      </c>
      <c r="M172" s="20">
        <f>'Actual Calc'!U172</f>
        <v>206587192.55407</v>
      </c>
      <c r="N172" s="21">
        <f t="shared" si="31"/>
        <v>0</v>
      </c>
      <c r="O172" s="21">
        <f>IF(NOT(ISNUMBER(N172)),"",IF(K172="A",MIN(Parameters!$B$8,N172+Parameters!$B$6),IF(K172="B",MAX(Parameters!$B$7,N172-Parameters!$B$6),N172)))</f>
        <v>0</v>
      </c>
      <c r="P172" s="22">
        <f t="shared" si="32"/>
        <v>0</v>
      </c>
      <c r="Q172" s="22">
        <f t="shared" si="33"/>
        <v>0</v>
      </c>
      <c r="R172" s="22">
        <f t="shared" si="34"/>
        <v>0</v>
      </c>
      <c r="S172" s="22">
        <f t="shared" si="35"/>
        <v>206587192.55407</v>
      </c>
      <c r="T172" s="21">
        <f t="shared" si="36"/>
        <v>0</v>
      </c>
      <c r="U172" s="19" t="str">
        <f t="shared" si="37"/>
        <v>No transfer</v>
      </c>
      <c r="V172" s="35" t="s">
        <v>95</v>
      </c>
    </row>
    <row r="173" spans="1:22">
      <c r="A173" s="4">
        <v>44389</v>
      </c>
      <c r="B173" s="5">
        <v>-4.0000000000000001E-3</v>
      </c>
      <c r="C173" s="5">
        <v>-4.0000000000000001E-3</v>
      </c>
      <c r="D173" s="6">
        <f t="shared" si="28"/>
        <v>-4.0000000000000001E-3</v>
      </c>
      <c r="E173" s="8">
        <f t="shared" si="39"/>
        <v>15</v>
      </c>
      <c r="F173" s="9">
        <f t="shared" si="40"/>
        <v>0.77567619298279977</v>
      </c>
      <c r="G173" s="9">
        <f t="shared" si="41"/>
        <v>1.2243238070172002</v>
      </c>
      <c r="H173" s="9">
        <f t="shared" si="29"/>
        <v>-0.44864761403440045</v>
      </c>
      <c r="I173" t="str">
        <f t="shared" si="30"/>
        <v>B</v>
      </c>
      <c r="J173">
        <f t="shared" si="38"/>
        <v>48</v>
      </c>
      <c r="K173" t="str">
        <f>IF(I173="","",IF(J173&gt;=Parameters!$B$5,I173,"HOLD"))</f>
        <v>B</v>
      </c>
      <c r="L173" s="10">
        <f>'Actual Calc'!T173</f>
        <v>0</v>
      </c>
      <c r="M173" s="10">
        <f>'Actual Calc'!U173</f>
        <v>195569217.35407001</v>
      </c>
      <c r="N173" s="12">
        <f t="shared" si="31"/>
        <v>0</v>
      </c>
      <c r="O173" s="12">
        <f>IF(NOT(ISNUMBER(N173)),"",IF(K173="A",MIN(Parameters!$B$8,N173+Parameters!$B$6),IF(K173="B",MAX(Parameters!$B$7,N173-Parameters!$B$6),N173)))</f>
        <v>0</v>
      </c>
      <c r="P173" s="13">
        <f t="shared" si="32"/>
        <v>0</v>
      </c>
      <c r="Q173" s="13">
        <f t="shared" si="33"/>
        <v>0</v>
      </c>
      <c r="R173" s="13">
        <f t="shared" si="34"/>
        <v>0</v>
      </c>
      <c r="S173" s="13">
        <f t="shared" si="35"/>
        <v>195569217.35407001</v>
      </c>
      <c r="T173" s="12">
        <f t="shared" si="36"/>
        <v>0</v>
      </c>
      <c r="U173" t="str">
        <f t="shared" si="37"/>
        <v>No transfer</v>
      </c>
      <c r="V173" s="25" t="s">
        <v>95</v>
      </c>
    </row>
    <row r="174" spans="1:22">
      <c r="A174" s="14">
        <v>44396</v>
      </c>
      <c r="B174" s="15">
        <v>3.943E-2</v>
      </c>
      <c r="C174" s="15">
        <v>0</v>
      </c>
      <c r="D174" s="16">
        <f t="shared" si="28"/>
        <v>1.9715E-2</v>
      </c>
      <c r="E174" s="17">
        <f t="shared" si="39"/>
        <v>15</v>
      </c>
      <c r="F174" s="18">
        <f t="shared" si="40"/>
        <v>0.91930908096589825</v>
      </c>
      <c r="G174" s="18">
        <f t="shared" si="41"/>
        <v>1.0806909190341005</v>
      </c>
      <c r="H174" s="18">
        <f t="shared" si="29"/>
        <v>-0.16138183806820228</v>
      </c>
      <c r="I174" s="19" t="str">
        <f t="shared" si="30"/>
        <v>B</v>
      </c>
      <c r="J174" s="19">
        <f t="shared" si="38"/>
        <v>49</v>
      </c>
      <c r="K174" s="19" t="str">
        <f>IF(I174="","",IF(J174&gt;=Parameters!$B$5,I174,"HOLD"))</f>
        <v>B</v>
      </c>
      <c r="L174" s="20">
        <f>'Actual Calc'!T174</f>
        <v>0</v>
      </c>
      <c r="M174" s="20">
        <f>'Actual Calc'!U174</f>
        <v>195569217.35407001</v>
      </c>
      <c r="N174" s="21">
        <f t="shared" si="31"/>
        <v>0</v>
      </c>
      <c r="O174" s="21">
        <f>IF(NOT(ISNUMBER(N174)),"",IF(K174="A",MIN(Parameters!$B$8,N174+Parameters!$B$6),IF(K174="B",MAX(Parameters!$B$7,N174-Parameters!$B$6),N174)))</f>
        <v>0</v>
      </c>
      <c r="P174" s="22">
        <f t="shared" si="32"/>
        <v>0</v>
      </c>
      <c r="Q174" s="22">
        <f t="shared" si="33"/>
        <v>0</v>
      </c>
      <c r="R174" s="22">
        <f t="shared" si="34"/>
        <v>0</v>
      </c>
      <c r="S174" s="22">
        <f t="shared" si="35"/>
        <v>195569217.35407001</v>
      </c>
      <c r="T174" s="21">
        <f t="shared" si="36"/>
        <v>0</v>
      </c>
      <c r="U174" s="19" t="str">
        <f t="shared" si="37"/>
        <v>No transfer</v>
      </c>
      <c r="V174" s="35" t="s">
        <v>96</v>
      </c>
    </row>
    <row r="175" spans="1:22">
      <c r="A175" s="4">
        <v>44403</v>
      </c>
      <c r="B175" s="5">
        <v>-3.82E-3</v>
      </c>
      <c r="C175" s="5">
        <v>-3.82E-3</v>
      </c>
      <c r="D175" s="6">
        <f t="shared" si="28"/>
        <v>-3.82E-3</v>
      </c>
      <c r="E175" s="8">
        <f t="shared" si="39"/>
        <v>15</v>
      </c>
      <c r="F175" s="9">
        <f t="shared" si="40"/>
        <v>0.91930908096589825</v>
      </c>
      <c r="G175" s="9">
        <f t="shared" si="41"/>
        <v>1.0806909190341005</v>
      </c>
      <c r="H175" s="9">
        <f t="shared" si="29"/>
        <v>-0.16138183806820228</v>
      </c>
      <c r="I175" t="str">
        <f t="shared" si="30"/>
        <v>B</v>
      </c>
      <c r="J175">
        <f t="shared" si="38"/>
        <v>50</v>
      </c>
      <c r="K175" t="str">
        <f>IF(I175="","",IF(J175&gt;=Parameters!$B$5,I175,"HOLD"))</f>
        <v>B</v>
      </c>
      <c r="L175" s="10">
        <f>'Actual Calc'!T175</f>
        <v>0</v>
      </c>
      <c r="M175" s="10">
        <f>'Actual Calc'!U175</f>
        <v>185608230.43007001</v>
      </c>
      <c r="N175" s="12">
        <f t="shared" si="31"/>
        <v>0</v>
      </c>
      <c r="O175" s="12">
        <f>IF(NOT(ISNUMBER(N175)),"",IF(K175="A",MIN(Parameters!$B$8,N175+Parameters!$B$6),IF(K175="B",MAX(Parameters!$B$7,N175-Parameters!$B$6),N175)))</f>
        <v>0</v>
      </c>
      <c r="P175" s="13">
        <f t="shared" si="32"/>
        <v>0</v>
      </c>
      <c r="Q175" s="13">
        <f t="shared" si="33"/>
        <v>0</v>
      </c>
      <c r="R175" s="13">
        <f t="shared" si="34"/>
        <v>0</v>
      </c>
      <c r="S175" s="13">
        <f t="shared" si="35"/>
        <v>185608230.43007001</v>
      </c>
      <c r="T175" s="12">
        <f t="shared" si="36"/>
        <v>0</v>
      </c>
      <c r="U175" t="str">
        <f t="shared" si="37"/>
        <v>No transfer</v>
      </c>
      <c r="V175" s="25" t="s">
        <v>95</v>
      </c>
    </row>
    <row r="176" spans="1:22">
      <c r="A176" s="14">
        <v>44410</v>
      </c>
      <c r="B176" s="15">
        <v>4.7099999999999998E-3</v>
      </c>
      <c r="C176" s="15">
        <v>4.7099999999999998E-3</v>
      </c>
      <c r="D176" s="16">
        <f t="shared" si="28"/>
        <v>4.7099999999999998E-3</v>
      </c>
      <c r="E176" s="17">
        <f t="shared" si="39"/>
        <v>15</v>
      </c>
      <c r="F176" s="18">
        <f t="shared" si="40"/>
        <v>0.95081209639215991</v>
      </c>
      <c r="G176" s="18">
        <f t="shared" si="41"/>
        <v>1.0491879036078415</v>
      </c>
      <c r="H176" s="18">
        <f t="shared" si="29"/>
        <v>-9.8375807215681621E-2</v>
      </c>
      <c r="I176" s="19" t="str">
        <f t="shared" si="30"/>
        <v>B</v>
      </c>
      <c r="J176" s="19">
        <f t="shared" si="38"/>
        <v>51</v>
      </c>
      <c r="K176" s="19" t="str">
        <f>IF(I176="","",IF(J176&gt;=Parameters!$B$5,I176,"HOLD"))</f>
        <v>B</v>
      </c>
      <c r="L176" s="20">
        <f>'Actual Calc'!T176</f>
        <v>0</v>
      </c>
      <c r="M176" s="20">
        <f>'Actual Calc'!U176</f>
        <v>197264419.26707003</v>
      </c>
      <c r="N176" s="21">
        <f t="shared" si="31"/>
        <v>0</v>
      </c>
      <c r="O176" s="21">
        <f>IF(NOT(ISNUMBER(N176)),"",IF(K176="A",MIN(Parameters!$B$8,N176+Parameters!$B$6),IF(K176="B",MAX(Parameters!$B$7,N176-Parameters!$B$6),N176)))</f>
        <v>0</v>
      </c>
      <c r="P176" s="22">
        <f t="shared" si="32"/>
        <v>0</v>
      </c>
      <c r="Q176" s="22">
        <f t="shared" si="33"/>
        <v>0</v>
      </c>
      <c r="R176" s="22">
        <f t="shared" si="34"/>
        <v>0</v>
      </c>
      <c r="S176" s="22">
        <f t="shared" si="35"/>
        <v>197264419.26707003</v>
      </c>
      <c r="T176" s="21">
        <f t="shared" si="36"/>
        <v>0</v>
      </c>
      <c r="U176" s="19" t="str">
        <f t="shared" si="37"/>
        <v>No transfer</v>
      </c>
      <c r="V176" s="35" t="s">
        <v>95</v>
      </c>
    </row>
    <row r="177" spans="1:22">
      <c r="A177" s="4">
        <v>44417</v>
      </c>
      <c r="B177" s="5">
        <v>-2.8800000000000002E-3</v>
      </c>
      <c r="C177" s="5">
        <v>-2.8800000000000002E-3</v>
      </c>
      <c r="D177" s="6">
        <f t="shared" si="28"/>
        <v>-2.8800000000000002E-3</v>
      </c>
      <c r="E177" s="8">
        <f t="shared" si="39"/>
        <v>14</v>
      </c>
      <c r="F177" s="9">
        <f t="shared" si="40"/>
        <v>1.0850977623159848</v>
      </c>
      <c r="G177" s="9">
        <f t="shared" si="41"/>
        <v>0.91490223768401646</v>
      </c>
      <c r="H177" s="9">
        <f t="shared" si="29"/>
        <v>0.1701955246319683</v>
      </c>
      <c r="I177" t="str">
        <f t="shared" si="30"/>
        <v>A</v>
      </c>
      <c r="J177">
        <f t="shared" si="38"/>
        <v>1</v>
      </c>
      <c r="K177" t="str">
        <f>IF(I177="","",IF(J177&gt;=Parameters!$B$5,I177,"HOLD"))</f>
        <v>HOLD</v>
      </c>
      <c r="L177" s="10">
        <f>'Actual Calc'!T177</f>
        <v>0</v>
      </c>
      <c r="M177" s="10">
        <f>'Actual Calc'!U177</f>
        <v>189689471.20307001</v>
      </c>
      <c r="N177" s="12">
        <f t="shared" si="31"/>
        <v>0</v>
      </c>
      <c r="O177" s="12">
        <f>IF(NOT(ISNUMBER(N177)),"",IF(K177="A",MIN(Parameters!$B$8,N177+Parameters!$B$6),IF(K177="B",MAX(Parameters!$B$7,N177-Parameters!$B$6),N177)))</f>
        <v>0</v>
      </c>
      <c r="P177" s="13">
        <f t="shared" si="32"/>
        <v>0</v>
      </c>
      <c r="Q177" s="13">
        <f t="shared" si="33"/>
        <v>0</v>
      </c>
      <c r="R177" s="13">
        <f t="shared" si="34"/>
        <v>0</v>
      </c>
      <c r="S177" s="13">
        <f t="shared" si="35"/>
        <v>189689471.20307001</v>
      </c>
      <c r="T177" s="12">
        <f t="shared" si="36"/>
        <v>0</v>
      </c>
      <c r="U177" t="str">
        <f t="shared" si="37"/>
        <v>No transfer</v>
      </c>
      <c r="V177" s="25" t="s">
        <v>95</v>
      </c>
    </row>
    <row r="178" spans="1:22">
      <c r="A178" s="14">
        <v>44424</v>
      </c>
      <c r="B178" s="15">
        <v>-3.9899999999999996E-3</v>
      </c>
      <c r="C178" s="15">
        <v>-3.9899999999999996E-3</v>
      </c>
      <c r="D178" s="16">
        <f t="shared" si="28"/>
        <v>-3.9899999999999996E-3</v>
      </c>
      <c r="E178" s="17">
        <f t="shared" si="39"/>
        <v>14</v>
      </c>
      <c r="F178" s="18">
        <f t="shared" si="40"/>
        <v>1.0850977623159848</v>
      </c>
      <c r="G178" s="18">
        <f t="shared" si="41"/>
        <v>0.91490223768401646</v>
      </c>
      <c r="H178" s="18">
        <f t="shared" si="29"/>
        <v>0.1701955246319683</v>
      </c>
      <c r="I178" s="19" t="str">
        <f t="shared" si="30"/>
        <v>A</v>
      </c>
      <c r="J178" s="19">
        <f t="shared" si="38"/>
        <v>2</v>
      </c>
      <c r="K178" s="19" t="str">
        <f>IF(I178="","",IF(J178&gt;=Parameters!$B$5,I178,"HOLD"))</f>
        <v>HOLD</v>
      </c>
      <c r="L178" s="20">
        <f>'Actual Calc'!T178</f>
        <v>0</v>
      </c>
      <c r="M178" s="20">
        <f>'Actual Calc'!U178</f>
        <v>179597992.33007002</v>
      </c>
      <c r="N178" s="21">
        <f t="shared" si="31"/>
        <v>0</v>
      </c>
      <c r="O178" s="21">
        <f>IF(NOT(ISNUMBER(N178)),"",IF(K178="A",MIN(Parameters!$B$8,N178+Parameters!$B$6),IF(K178="B",MAX(Parameters!$B$7,N178-Parameters!$B$6),N178)))</f>
        <v>0</v>
      </c>
      <c r="P178" s="22">
        <f t="shared" si="32"/>
        <v>0</v>
      </c>
      <c r="Q178" s="22">
        <f t="shared" si="33"/>
        <v>0</v>
      </c>
      <c r="R178" s="22">
        <f t="shared" si="34"/>
        <v>0</v>
      </c>
      <c r="S178" s="22">
        <f t="shared" si="35"/>
        <v>179597992.33007002</v>
      </c>
      <c r="T178" s="21">
        <f t="shared" si="36"/>
        <v>0</v>
      </c>
      <c r="U178" s="19" t="str">
        <f t="shared" si="37"/>
        <v>No transfer</v>
      </c>
      <c r="V178" s="35" t="s">
        <v>95</v>
      </c>
    </row>
    <row r="179" spans="1:22">
      <c r="A179" s="4">
        <v>44431</v>
      </c>
      <c r="B179" s="5">
        <v>1.2449999999999999E-2</v>
      </c>
      <c r="C179" s="5">
        <v>1.2449999999999999E-2</v>
      </c>
      <c r="D179" s="6">
        <f t="shared" si="28"/>
        <v>1.2449999999999999E-2</v>
      </c>
      <c r="E179" s="8">
        <f t="shared" si="39"/>
        <v>15</v>
      </c>
      <c r="F179" s="9">
        <f t="shared" si="40"/>
        <v>1.0892873274516393</v>
      </c>
      <c r="G179" s="9">
        <f t="shared" si="41"/>
        <v>0.9107126725483613</v>
      </c>
      <c r="H179" s="9">
        <f t="shared" si="29"/>
        <v>0.17857465490327795</v>
      </c>
      <c r="I179" t="str">
        <f t="shared" si="30"/>
        <v>A</v>
      </c>
      <c r="J179">
        <f t="shared" si="38"/>
        <v>3</v>
      </c>
      <c r="K179" t="str">
        <f>IF(I179="","",IF(J179&gt;=Parameters!$B$5,I179,"HOLD"))</f>
        <v>A</v>
      </c>
      <c r="L179" s="10">
        <f>'Actual Calc'!T179</f>
        <v>0</v>
      </c>
      <c r="M179" s="10">
        <f>'Actual Calc'!U179</f>
        <v>209411236.67507002</v>
      </c>
      <c r="N179" s="12">
        <f t="shared" si="31"/>
        <v>0</v>
      </c>
      <c r="O179" s="12">
        <f>IF(NOT(ISNUMBER(N179)),"",IF(K179="A",MIN(Parameters!$B$8,N179+Parameters!$B$6),IF(K179="B",MAX(Parameters!$B$7,N179-Parameters!$B$6),N179)))</f>
        <v>0.1</v>
      </c>
      <c r="P179" s="13">
        <f t="shared" si="32"/>
        <v>0</v>
      </c>
      <c r="Q179" s="13">
        <f t="shared" si="33"/>
        <v>20941123.667507004</v>
      </c>
      <c r="R179" s="13">
        <f t="shared" si="34"/>
        <v>20941123.667507004</v>
      </c>
      <c r="S179" s="13">
        <f t="shared" si="35"/>
        <v>188470113.00756302</v>
      </c>
      <c r="T179" s="12">
        <f t="shared" si="36"/>
        <v>0.1</v>
      </c>
      <c r="U179" t="e">
        <f t="shared" si="37"/>
        <v>#VALUE!</v>
      </c>
      <c r="V179" s="25" t="s">
        <v>95</v>
      </c>
    </row>
    <row r="180" spans="1:22">
      <c r="A180" s="14">
        <v>44438</v>
      </c>
      <c r="B180" s="15">
        <v>9.3699999999999999E-3</v>
      </c>
      <c r="C180" s="15">
        <v>9.3699999999999999E-3</v>
      </c>
      <c r="D180" s="16">
        <f t="shared" si="28"/>
        <v>9.3699999999999999E-3</v>
      </c>
      <c r="E180" s="17">
        <f t="shared" si="39"/>
        <v>15</v>
      </c>
      <c r="F180" s="18">
        <f t="shared" si="40"/>
        <v>1.1647908060471555</v>
      </c>
      <c r="G180" s="18">
        <f t="shared" si="41"/>
        <v>0.83520919395284587</v>
      </c>
      <c r="H180" s="18">
        <f t="shared" si="29"/>
        <v>0.32958161209430958</v>
      </c>
      <c r="I180" s="19" t="str">
        <f t="shared" si="30"/>
        <v>A</v>
      </c>
      <c r="J180" s="19">
        <f t="shared" si="38"/>
        <v>4</v>
      </c>
      <c r="K180" s="19" t="str">
        <f>IF(I180="","",IF(J180&gt;=Parameters!$B$5,I180,"HOLD"))</f>
        <v>A</v>
      </c>
      <c r="L180" s="20">
        <f>'Actual Calc'!T180</f>
        <v>23557350.414507005</v>
      </c>
      <c r="M180" s="20">
        <f>'Actual Calc'!U180</f>
        <v>212016304.58756304</v>
      </c>
      <c r="N180" s="21">
        <f t="shared" si="31"/>
        <v>9.9999935961854483E-2</v>
      </c>
      <c r="O180" s="21">
        <f>IF(NOT(ISNUMBER(N180)),"",IF(K180="A",MIN(Parameters!$B$8,N180+Parameters!$B$6),IF(K180="B",MAX(Parameters!$B$7,N180-Parameters!$B$6),N180)))</f>
        <v>0.1999999359618545</v>
      </c>
      <c r="P180" s="22">
        <f t="shared" si="32"/>
        <v>0</v>
      </c>
      <c r="Q180" s="22">
        <f t="shared" si="33"/>
        <v>23557365.500207011</v>
      </c>
      <c r="R180" s="22">
        <f t="shared" si="34"/>
        <v>47114715.914714016</v>
      </c>
      <c r="S180" s="22">
        <f t="shared" si="35"/>
        <v>188458939.08735603</v>
      </c>
      <c r="T180" s="21">
        <f t="shared" si="36"/>
        <v>0.1999999359618545</v>
      </c>
      <c r="U180" s="19" t="e">
        <f t="shared" si="37"/>
        <v>#VALUE!</v>
      </c>
      <c r="V180" s="35" t="s">
        <v>95</v>
      </c>
    </row>
    <row r="181" spans="1:22">
      <c r="A181" s="4">
        <v>44445</v>
      </c>
      <c r="B181" s="5">
        <v>-4.3699999999999998E-3</v>
      </c>
      <c r="C181" s="5">
        <v>-4.3699999999999998E-3</v>
      </c>
      <c r="D181" s="6">
        <f t="shared" si="28"/>
        <v>-4.3699999999999998E-3</v>
      </c>
      <c r="E181" s="8">
        <f t="shared" si="39"/>
        <v>14</v>
      </c>
      <c r="F181" s="9">
        <f t="shared" si="40"/>
        <v>1.2140583969897365</v>
      </c>
      <c r="G181" s="9">
        <f t="shared" si="41"/>
        <v>0.78594160301026195</v>
      </c>
      <c r="H181" s="9">
        <f t="shared" si="29"/>
        <v>0.42811679397947455</v>
      </c>
      <c r="I181" t="str">
        <f t="shared" si="30"/>
        <v>A</v>
      </c>
      <c r="J181">
        <f t="shared" si="38"/>
        <v>5</v>
      </c>
      <c r="K181" t="str">
        <f>IF(I181="","",IF(J181&gt;=Parameters!$B$5,I181,"HOLD"))</f>
        <v>A</v>
      </c>
      <c r="L181" s="10">
        <f>'Actual Calc'!T181</f>
        <v>44369506.386714019</v>
      </c>
      <c r="M181" s="10">
        <f>'Actual Calc'!U181</f>
        <v>177478070.82235605</v>
      </c>
      <c r="N181" s="12">
        <f t="shared" si="31"/>
        <v>0.19999995918323696</v>
      </c>
      <c r="O181" s="12">
        <f>IF(NOT(ISNUMBER(N181)),"",IF(K181="A",MIN(Parameters!$B$8,N181+Parameters!$B$6),IF(K181="B",MAX(Parameters!$B$7,N181-Parameters!$B$6),N181)))</f>
        <v>0.29999995918323696</v>
      </c>
      <c r="P181" s="13">
        <f t="shared" si="32"/>
        <v>0</v>
      </c>
      <c r="Q181" s="13">
        <f t="shared" si="33"/>
        <v>22184757.72090701</v>
      </c>
      <c r="R181" s="13">
        <f t="shared" si="34"/>
        <v>66554264.107621029</v>
      </c>
      <c r="S181" s="13">
        <f t="shared" si="35"/>
        <v>155293313.10144904</v>
      </c>
      <c r="T181" s="12">
        <f t="shared" si="36"/>
        <v>0.29999995918323691</v>
      </c>
      <c r="U181" t="e">
        <f t="shared" si="37"/>
        <v>#VALUE!</v>
      </c>
      <c r="V181" s="25" t="s">
        <v>95</v>
      </c>
    </row>
    <row r="182" spans="1:22">
      <c r="A182" s="14">
        <v>44452</v>
      </c>
      <c r="B182" s="15">
        <v>-4.0000000000000001E-3</v>
      </c>
      <c r="C182" s="15">
        <v>-4.0000000000000001E-3</v>
      </c>
      <c r="D182" s="16">
        <f t="shared" si="28"/>
        <v>-4.0000000000000001E-3</v>
      </c>
      <c r="E182" s="17">
        <f t="shared" si="39"/>
        <v>13</v>
      </c>
      <c r="F182" s="18">
        <f t="shared" si="40"/>
        <v>1.2095060465450633</v>
      </c>
      <c r="G182" s="18">
        <f t="shared" si="41"/>
        <v>0.79049395345493667</v>
      </c>
      <c r="H182" s="18">
        <f t="shared" si="29"/>
        <v>0.41901209309012666</v>
      </c>
      <c r="I182" s="19" t="str">
        <f t="shared" si="30"/>
        <v>A</v>
      </c>
      <c r="J182" s="19">
        <f t="shared" si="38"/>
        <v>6</v>
      </c>
      <c r="K182" s="19" t="str">
        <f>IF(I182="","",IF(J182&gt;=Parameters!$B$5,I182,"HOLD"))</f>
        <v>A</v>
      </c>
      <c r="L182" s="20">
        <f>'Actual Calc'!T182</f>
        <v>63004710.907621026</v>
      </c>
      <c r="M182" s="20">
        <f>'Actual Calc'!U182</f>
        <v>147011003.90144905</v>
      </c>
      <c r="N182" s="21">
        <f t="shared" si="31"/>
        <v>0.29999998316745008</v>
      </c>
      <c r="O182" s="21">
        <f>IF(NOT(ISNUMBER(N182)),"",IF(K182="A",MIN(Parameters!$B$8,N182+Parameters!$B$6),IF(K182="B",MAX(Parameters!$B$7,N182-Parameters!$B$6),N182)))</f>
        <v>0.39999998316745011</v>
      </c>
      <c r="P182" s="22">
        <f t="shared" si="32"/>
        <v>0</v>
      </c>
      <c r="Q182" s="22">
        <f t="shared" si="33"/>
        <v>21001571.480907008</v>
      </c>
      <c r="R182" s="22">
        <f t="shared" si="34"/>
        <v>84006282.388528034</v>
      </c>
      <c r="S182" s="22">
        <f t="shared" si="35"/>
        <v>126009432.42054205</v>
      </c>
      <c r="T182" s="21">
        <f t="shared" si="36"/>
        <v>0.39999998316745011</v>
      </c>
      <c r="U182" s="19" t="e">
        <f t="shared" si="37"/>
        <v>#VALUE!</v>
      </c>
      <c r="V182" s="35" t="s">
        <v>95</v>
      </c>
    </row>
    <row r="183" spans="1:22">
      <c r="A183" s="4">
        <v>44459</v>
      </c>
      <c r="B183" s="5">
        <v>1.6420000000000001E-2</v>
      </c>
      <c r="C183" s="5">
        <v>0</v>
      </c>
      <c r="D183" s="6">
        <f t="shared" si="28"/>
        <v>8.2100000000000003E-3</v>
      </c>
      <c r="E183" s="8">
        <f t="shared" si="39"/>
        <v>13</v>
      </c>
      <c r="F183" s="9">
        <f t="shared" si="40"/>
        <v>1.1298714215736929</v>
      </c>
      <c r="G183" s="9">
        <f t="shared" si="41"/>
        <v>0.87012857842630853</v>
      </c>
      <c r="H183" s="9">
        <f t="shared" si="29"/>
        <v>0.25974284314738438</v>
      </c>
      <c r="I183" t="str">
        <f t="shared" si="30"/>
        <v>A</v>
      </c>
      <c r="J183">
        <f t="shared" si="38"/>
        <v>7</v>
      </c>
      <c r="K183" t="str">
        <f>IF(I183="","",IF(J183&gt;=Parameters!$B$5,I183,"HOLD"))</f>
        <v>A</v>
      </c>
      <c r="L183" s="10">
        <f>'Actual Calc'!T183</f>
        <v>102398022.26052803</v>
      </c>
      <c r="M183" s="10">
        <f>'Actual Calc'!U183</f>
        <v>126009432.42054205</v>
      </c>
      <c r="N183" s="12">
        <f t="shared" si="31"/>
        <v>0.44831296072848603</v>
      </c>
      <c r="O183" s="12">
        <f>IF(NOT(ISNUMBER(N183)),"",IF(K183="A",MIN(Parameters!$B$8,N183+Parameters!$B$6),IF(K183="B",MAX(Parameters!$B$7,N183-Parameters!$B$6),N183)))</f>
        <v>0.54831296072848601</v>
      </c>
      <c r="P183" s="13">
        <f t="shared" si="32"/>
        <v>0</v>
      </c>
      <c r="Q183" s="13">
        <f t="shared" si="33"/>
        <v>22840745.468107</v>
      </c>
      <c r="R183" s="13">
        <f t="shared" si="34"/>
        <v>125238767.72863503</v>
      </c>
      <c r="S183" s="13">
        <f t="shared" si="35"/>
        <v>103168686.95243505</v>
      </c>
      <c r="T183" s="12">
        <f t="shared" si="36"/>
        <v>0.54831296072848601</v>
      </c>
      <c r="U183" t="e">
        <f t="shared" si="37"/>
        <v>#VALUE!</v>
      </c>
      <c r="V183" s="25" t="s">
        <v>96</v>
      </c>
    </row>
    <row r="184" spans="1:22">
      <c r="A184" s="14">
        <v>44466</v>
      </c>
      <c r="B184" s="15">
        <v>-2.7269999999999999E-2</v>
      </c>
      <c r="C184" s="15">
        <v>0</v>
      </c>
      <c r="D184" s="16">
        <f t="shared" si="28"/>
        <v>-1.3635E-2</v>
      </c>
      <c r="E184" s="17">
        <f t="shared" si="39"/>
        <v>12</v>
      </c>
      <c r="F184" s="18">
        <f t="shared" si="40"/>
        <v>1.3459798417610438</v>
      </c>
      <c r="G184" s="18">
        <f t="shared" si="41"/>
        <v>0.65402015823895421</v>
      </c>
      <c r="H184" s="18">
        <f t="shared" si="29"/>
        <v>0.69195968352208959</v>
      </c>
      <c r="I184" s="19" t="str">
        <f t="shared" si="30"/>
        <v>A</v>
      </c>
      <c r="J184" s="19">
        <f t="shared" si="38"/>
        <v>8</v>
      </c>
      <c r="K184" s="19" t="str">
        <f>IF(I184="","",IF(J184&gt;=Parameters!$B$5,I184,"HOLD"))</f>
        <v>A</v>
      </c>
      <c r="L184" s="20">
        <f>'Actual Calc'!T184</f>
        <v>79702004.58763504</v>
      </c>
      <c r="M184" s="20">
        <f>'Actual Calc'!U184</f>
        <v>103168686.95243505</v>
      </c>
      <c r="N184" s="21">
        <f t="shared" si="31"/>
        <v>0.43583804444776747</v>
      </c>
      <c r="O184" s="21">
        <f>IF(NOT(ISNUMBER(N184)),"",IF(K184="A",MIN(Parameters!$B$8,N184+Parameters!$B$6),IF(K184="B",MAX(Parameters!$B$7,N184-Parameters!$B$6),N184)))</f>
        <v>0.5358380444477675</v>
      </c>
      <c r="P184" s="22">
        <f t="shared" si="32"/>
        <v>0</v>
      </c>
      <c r="Q184" s="22">
        <f t="shared" si="33"/>
        <v>18287069.154007018</v>
      </c>
      <c r="R184" s="22">
        <f t="shared" si="34"/>
        <v>97989073.741642058</v>
      </c>
      <c r="S184" s="22">
        <f t="shared" si="35"/>
        <v>84881617.798428029</v>
      </c>
      <c r="T184" s="21">
        <f t="shared" si="36"/>
        <v>0.5358380444477675</v>
      </c>
      <c r="U184" s="19" t="e">
        <f t="shared" si="37"/>
        <v>#VALUE!</v>
      </c>
      <c r="V184" s="35" t="s">
        <v>96</v>
      </c>
    </row>
    <row r="185" spans="1:22">
      <c r="A185" s="4">
        <v>44473</v>
      </c>
      <c r="B185" s="5">
        <v>7.1999999999999998E-3</v>
      </c>
      <c r="C185" s="5">
        <v>-1.379E-2</v>
      </c>
      <c r="D185" s="6">
        <f t="shared" si="28"/>
        <v>-3.2950000000000002E-3</v>
      </c>
      <c r="E185" s="8">
        <f t="shared" si="39"/>
        <v>11</v>
      </c>
      <c r="F185" s="9">
        <f t="shared" si="40"/>
        <v>1.3458037027337839</v>
      </c>
      <c r="G185" s="9">
        <f t="shared" si="41"/>
        <v>0.65419629726621809</v>
      </c>
      <c r="H185" s="9">
        <f t="shared" si="29"/>
        <v>0.69160740546756583</v>
      </c>
      <c r="I185" t="str">
        <f t="shared" si="30"/>
        <v>A</v>
      </c>
      <c r="J185">
        <f t="shared" si="38"/>
        <v>9</v>
      </c>
      <c r="K185" t="str">
        <f>IF(I185="","",IF(J185&gt;=Parameters!$B$5,I185,"HOLD"))</f>
        <v>A</v>
      </c>
      <c r="L185" s="10">
        <f>'Actual Calc'!T185</f>
        <v>107396014.86164206</v>
      </c>
      <c r="M185" s="10">
        <f>'Actual Calc'!U185</f>
        <v>69274728.759428024</v>
      </c>
      <c r="N185" s="12">
        <f t="shared" si="31"/>
        <v>0.60788794262387313</v>
      </c>
      <c r="O185" s="12">
        <f>IF(NOT(ISNUMBER(N185)),"",IF(K185="A",MIN(Parameters!$B$8,N185+Parameters!$B$6),IF(K185="B",MAX(Parameters!$B$7,N185-Parameters!$B$6),N185)))</f>
        <v>0.70788794262387311</v>
      </c>
      <c r="P185" s="13">
        <f t="shared" si="32"/>
        <v>0</v>
      </c>
      <c r="Q185" s="13">
        <f t="shared" si="33"/>
        <v>17667074.362106994</v>
      </c>
      <c r="R185" s="13">
        <f t="shared" si="34"/>
        <v>125063089.22374906</v>
      </c>
      <c r="S185" s="13">
        <f t="shared" si="35"/>
        <v>51607654.39732103</v>
      </c>
      <c r="T185" s="12">
        <f t="shared" si="36"/>
        <v>0.70788794262387311</v>
      </c>
      <c r="U185" t="e">
        <f t="shared" si="37"/>
        <v>#VALUE!</v>
      </c>
      <c r="V185" s="25" t="s">
        <v>95</v>
      </c>
    </row>
    <row r="186" spans="1:22">
      <c r="A186" s="14">
        <v>44480</v>
      </c>
      <c r="B186" s="15">
        <v>-3.9199999999999999E-3</v>
      </c>
      <c r="C186" s="15">
        <v>-3.9199999999999999E-3</v>
      </c>
      <c r="D186" s="16">
        <f t="shared" si="28"/>
        <v>-3.9199999999999999E-3</v>
      </c>
      <c r="E186" s="17">
        <f t="shared" si="39"/>
        <v>10</v>
      </c>
      <c r="F186" s="18">
        <f t="shared" si="40"/>
        <v>1.4319801069022475</v>
      </c>
      <c r="G186" s="18">
        <f t="shared" si="41"/>
        <v>0.56801989309775314</v>
      </c>
      <c r="H186" s="18">
        <f t="shared" si="29"/>
        <v>0.86396021380449439</v>
      </c>
      <c r="I186" s="19" t="str">
        <f t="shared" si="30"/>
        <v>A</v>
      </c>
      <c r="J186" s="19">
        <f t="shared" si="38"/>
        <v>10</v>
      </c>
      <c r="K186" s="19" t="str">
        <f>IF(I186="","",IF(J186&gt;=Parameters!$B$5,I186,"HOLD"))</f>
        <v>A</v>
      </c>
      <c r="L186" s="20">
        <f>'Actual Calc'!T186</f>
        <v>118526462.17574906</v>
      </c>
      <c r="M186" s="20">
        <f>'Actual Calc'!U186</f>
        <v>48910301.613321029</v>
      </c>
      <c r="N186" s="21">
        <f t="shared" si="31"/>
        <v>0.7078879183610105</v>
      </c>
      <c r="O186" s="21">
        <f>IF(NOT(ISNUMBER(N186)),"",IF(K186="A",MIN(Parameters!$B$8,N186+Parameters!$B$6),IF(K186="B",MAX(Parameters!$B$7,N186-Parameters!$B$6),N186)))</f>
        <v>0.80788791836101048</v>
      </c>
      <c r="P186" s="22">
        <f t="shared" si="32"/>
        <v>0</v>
      </c>
      <c r="Q186" s="22">
        <f t="shared" si="33"/>
        <v>16743676.378906995</v>
      </c>
      <c r="R186" s="22">
        <f t="shared" si="34"/>
        <v>135270138.55465606</v>
      </c>
      <c r="S186" s="22">
        <f t="shared" si="35"/>
        <v>32166625.234414034</v>
      </c>
      <c r="T186" s="21">
        <f t="shared" si="36"/>
        <v>0.80788791836101048</v>
      </c>
      <c r="U186" s="19" t="e">
        <f t="shared" si="37"/>
        <v>#VALUE!</v>
      </c>
      <c r="V186" s="35" t="s">
        <v>95</v>
      </c>
    </row>
    <row r="187" spans="1:22">
      <c r="A187" s="4">
        <v>44487</v>
      </c>
      <c r="B187" s="5">
        <v>1.4160000000000001E-2</v>
      </c>
      <c r="C187" s="5">
        <v>1.4160000000000001E-2</v>
      </c>
      <c r="D187" s="6">
        <f t="shared" si="28"/>
        <v>1.4160000000000001E-2</v>
      </c>
      <c r="E187" s="8">
        <f t="shared" si="39"/>
        <v>11</v>
      </c>
      <c r="F187" s="9">
        <f t="shared" si="40"/>
        <v>1.4052557035600386</v>
      </c>
      <c r="G187" s="9">
        <f t="shared" si="41"/>
        <v>0.59474429643995919</v>
      </c>
      <c r="H187" s="9">
        <f t="shared" si="29"/>
        <v>0.81051140712007941</v>
      </c>
      <c r="I187" t="str">
        <f t="shared" si="30"/>
        <v>A</v>
      </c>
      <c r="J187">
        <f t="shared" si="38"/>
        <v>11</v>
      </c>
      <c r="K187" t="str">
        <f>IF(I187="","",IF(J187&gt;=Parameters!$B$5,I187,"HOLD"))</f>
        <v>A</v>
      </c>
      <c r="L187" s="10">
        <f>'Actual Calc'!T187</f>
        <v>160809117.38665605</v>
      </c>
      <c r="M187" s="10">
        <f>'Actual Calc'!U187</f>
        <v>38239677.898414031</v>
      </c>
      <c r="N187" s="12">
        <f t="shared" si="31"/>
        <v>0.80788792093090234</v>
      </c>
      <c r="O187" s="12">
        <f>IF(NOT(ISNUMBER(N187)),"",IF(K187="A",MIN(Parameters!$B$8,N187+Parameters!$B$6),IF(K187="B",MAX(Parameters!$B$7,N187-Parameters!$B$6),N187)))</f>
        <v>0.90788792093090231</v>
      </c>
      <c r="P187" s="13">
        <f t="shared" si="32"/>
        <v>0</v>
      </c>
      <c r="Q187" s="13">
        <f t="shared" si="33"/>
        <v>19904879.528506994</v>
      </c>
      <c r="R187" s="13">
        <f t="shared" si="34"/>
        <v>180713996.91516304</v>
      </c>
      <c r="S187" s="13">
        <f t="shared" si="35"/>
        <v>18334798.369907036</v>
      </c>
      <c r="T187" s="12">
        <f t="shared" si="36"/>
        <v>0.90788792093090231</v>
      </c>
      <c r="U187" t="e">
        <f t="shared" si="37"/>
        <v>#VALUE!</v>
      </c>
      <c r="V187" s="25" t="s">
        <v>95</v>
      </c>
    </row>
    <row r="188" spans="1:22">
      <c r="A188" s="14">
        <v>44494</v>
      </c>
      <c r="B188" s="15">
        <v>8.3800000000000003E-3</v>
      </c>
      <c r="C188" s="15">
        <v>8.3800000000000003E-3</v>
      </c>
      <c r="D188" s="16">
        <f t="shared" si="28"/>
        <v>8.3800000000000003E-3</v>
      </c>
      <c r="E188" s="17">
        <f t="shared" si="39"/>
        <v>12</v>
      </c>
      <c r="F188" s="18">
        <f t="shared" si="40"/>
        <v>1.4168007150718225</v>
      </c>
      <c r="G188" s="18">
        <f t="shared" si="41"/>
        <v>0.58319928492817541</v>
      </c>
      <c r="H188" s="18">
        <f t="shared" si="29"/>
        <v>0.83360143014364707</v>
      </c>
      <c r="I188" s="19" t="str">
        <f t="shared" si="30"/>
        <v>A</v>
      </c>
      <c r="J188" s="19">
        <f t="shared" si="38"/>
        <v>12</v>
      </c>
      <c r="K188" s="19" t="str">
        <f>IF(I188="","",IF(J188&gt;=Parameters!$B$5,I188,"HOLD"))</f>
        <v>A</v>
      </c>
      <c r="L188" s="20">
        <f>'Actual Calc'!T188</f>
        <v>200905766.97316304</v>
      </c>
      <c r="M188" s="20">
        <f>'Actual Calc'!U188</f>
        <v>20383393.281907037</v>
      </c>
      <c r="N188" s="21">
        <f t="shared" si="31"/>
        <v>0.90788797219704742</v>
      </c>
      <c r="O188" s="21">
        <f>IF(NOT(ISNUMBER(N188)),"",IF(K188="A",MIN(Parameters!$B$8,N188+Parameters!$B$6),IF(K188="B",MAX(Parameters!$B$7,N188-Parameters!$B$6),N188)))</f>
        <v>1</v>
      </c>
      <c r="P188" s="22">
        <f t="shared" si="32"/>
        <v>0</v>
      </c>
      <c r="Q188" s="22">
        <f t="shared" si="33"/>
        <v>20383393.281907052</v>
      </c>
      <c r="R188" s="22">
        <f t="shared" si="34"/>
        <v>221289160.25507009</v>
      </c>
      <c r="S188" s="22">
        <f t="shared" si="35"/>
        <v>-1.4901161193847656E-8</v>
      </c>
      <c r="T188" s="21">
        <f t="shared" si="36"/>
        <v>1</v>
      </c>
      <c r="U188" s="19" t="e">
        <f t="shared" si="37"/>
        <v>#VALUE!</v>
      </c>
      <c r="V188" s="35" t="s">
        <v>95</v>
      </c>
    </row>
    <row r="189" spans="1:22">
      <c r="A189" s="4">
        <v>44501</v>
      </c>
      <c r="B189" s="5">
        <v>3.024E-2</v>
      </c>
      <c r="C189" s="5">
        <v>3.024E-2</v>
      </c>
      <c r="D189" s="6">
        <f t="shared" si="28"/>
        <v>3.024E-2</v>
      </c>
      <c r="E189" s="8">
        <f t="shared" si="39"/>
        <v>13</v>
      </c>
      <c r="F189" s="9">
        <f t="shared" si="40"/>
        <v>1.1411485752997148</v>
      </c>
      <c r="G189" s="9">
        <f t="shared" si="41"/>
        <v>0.85885142470028586</v>
      </c>
      <c r="H189" s="9">
        <f t="shared" si="29"/>
        <v>0.28229715059942895</v>
      </c>
      <c r="I189" t="str">
        <f t="shared" si="30"/>
        <v>A</v>
      </c>
      <c r="J189">
        <f t="shared" si="38"/>
        <v>13</v>
      </c>
      <c r="K189" t="str">
        <f>IF(I189="","",IF(J189&gt;=Parameters!$B$5,I189,"HOLD"))</f>
        <v>A</v>
      </c>
      <c r="L189" s="10">
        <f>'Actual Calc'!T189</f>
        <v>310512900.17507011</v>
      </c>
      <c r="M189" s="10">
        <f>'Actual Calc'!U189</f>
        <v>0</v>
      </c>
      <c r="N189" s="12">
        <f t="shared" si="31"/>
        <v>1</v>
      </c>
      <c r="O189" s="12">
        <f>IF(NOT(ISNUMBER(N189)),"",IF(K189="A",MIN(Parameters!$B$8,N189+Parameters!$B$6),IF(K189="B",MAX(Parameters!$B$7,N189-Parameters!$B$6),N189)))</f>
        <v>1</v>
      </c>
      <c r="P189" s="13">
        <f t="shared" si="32"/>
        <v>0</v>
      </c>
      <c r="Q189" s="13">
        <f t="shared" si="33"/>
        <v>0</v>
      </c>
      <c r="R189" s="13">
        <f t="shared" si="34"/>
        <v>310512900.17507011</v>
      </c>
      <c r="S189" s="13">
        <f t="shared" si="35"/>
        <v>0</v>
      </c>
      <c r="T189" s="12">
        <f t="shared" si="36"/>
        <v>1</v>
      </c>
      <c r="U189" t="str">
        <f t="shared" si="37"/>
        <v>No transfer</v>
      </c>
      <c r="V189" s="25" t="s">
        <v>95</v>
      </c>
    </row>
    <row r="190" spans="1:22">
      <c r="A190" s="14">
        <v>44508</v>
      </c>
      <c r="B190" s="15">
        <v>-2.2100000000000002E-2</v>
      </c>
      <c r="C190" s="15">
        <v>-2.2100000000000002E-2</v>
      </c>
      <c r="D190" s="16">
        <f t="shared" si="28"/>
        <v>-2.2100000000000002E-2</v>
      </c>
      <c r="E190" s="17">
        <f t="shared" si="39"/>
        <v>13</v>
      </c>
      <c r="F190" s="18">
        <f t="shared" si="40"/>
        <v>1.1411485752997148</v>
      </c>
      <c r="G190" s="18">
        <f t="shared" si="41"/>
        <v>0.85885142470028586</v>
      </c>
      <c r="H190" s="18">
        <f t="shared" si="29"/>
        <v>0.28229715059942895</v>
      </c>
      <c r="I190" s="19" t="str">
        <f t="shared" si="30"/>
        <v>A</v>
      </c>
      <c r="J190" s="19">
        <f t="shared" si="38"/>
        <v>14</v>
      </c>
      <c r="K190" s="19" t="str">
        <f>IF(I190="","",IF(J190&gt;=Parameters!$B$5,I190,"HOLD"))</f>
        <v>A</v>
      </c>
      <c r="L190" s="20">
        <f>'Actual Calc'!T190</f>
        <v>219015138.75507009</v>
      </c>
      <c r="M190" s="20">
        <f>'Actual Calc'!U190</f>
        <v>0</v>
      </c>
      <c r="N190" s="21">
        <f t="shared" si="31"/>
        <v>1</v>
      </c>
      <c r="O190" s="21">
        <f>IF(NOT(ISNUMBER(N190)),"",IF(K190="A",MIN(Parameters!$B$8,N190+Parameters!$B$6),IF(K190="B",MAX(Parameters!$B$7,N190-Parameters!$B$6),N190)))</f>
        <v>1</v>
      </c>
      <c r="P190" s="22">
        <f t="shared" si="32"/>
        <v>0</v>
      </c>
      <c r="Q190" s="22">
        <f t="shared" si="33"/>
        <v>0</v>
      </c>
      <c r="R190" s="22">
        <f t="shared" si="34"/>
        <v>219015138.75507009</v>
      </c>
      <c r="S190" s="22">
        <f t="shared" si="35"/>
        <v>0</v>
      </c>
      <c r="T190" s="21">
        <f t="shared" si="36"/>
        <v>1</v>
      </c>
      <c r="U190" s="19" t="str">
        <f t="shared" si="37"/>
        <v>No transfer</v>
      </c>
      <c r="V190" s="35" t="s">
        <v>95</v>
      </c>
    </row>
    <row r="191" spans="1:22">
      <c r="A191" s="4">
        <v>44515</v>
      </c>
      <c r="B191" s="5">
        <v>2.0330000000000001E-2</v>
      </c>
      <c r="C191" s="5">
        <v>2.0330000000000001E-2</v>
      </c>
      <c r="D191" s="6">
        <f t="shared" si="28"/>
        <v>2.0330000000000001E-2</v>
      </c>
      <c r="E191" s="8">
        <f t="shared" si="39"/>
        <v>14</v>
      </c>
      <c r="F191" s="9">
        <f t="shared" si="40"/>
        <v>1.1098264968649985</v>
      </c>
      <c r="G191" s="9">
        <f t="shared" si="41"/>
        <v>0.89017350313500032</v>
      </c>
      <c r="H191" s="9">
        <f t="shared" si="29"/>
        <v>0.21965299372999814</v>
      </c>
      <c r="I191" t="str">
        <f t="shared" si="30"/>
        <v>A</v>
      </c>
      <c r="J191">
        <f t="shared" si="38"/>
        <v>15</v>
      </c>
      <c r="K191" t="str">
        <f>IF(I191="","",IF(J191&gt;=Parameters!$B$5,I191,"HOLD"))</f>
        <v>A</v>
      </c>
      <c r="L191" s="10">
        <f>'Actual Calc'!T191</f>
        <v>278382796.62307012</v>
      </c>
      <c r="M191" s="10">
        <f>'Actual Calc'!U191</f>
        <v>0</v>
      </c>
      <c r="N191" s="12">
        <f t="shared" si="31"/>
        <v>1</v>
      </c>
      <c r="O191" s="12">
        <f>IF(NOT(ISNUMBER(N191)),"",IF(K191="A",MIN(Parameters!$B$8,N191+Parameters!$B$6),IF(K191="B",MAX(Parameters!$B$7,N191-Parameters!$B$6),N191)))</f>
        <v>1</v>
      </c>
      <c r="P191" s="13">
        <f t="shared" si="32"/>
        <v>0</v>
      </c>
      <c r="Q191" s="13">
        <f t="shared" si="33"/>
        <v>0</v>
      </c>
      <c r="R191" s="13">
        <f t="shared" si="34"/>
        <v>278382796.62307012</v>
      </c>
      <c r="S191" s="13">
        <f t="shared" si="35"/>
        <v>0</v>
      </c>
      <c r="T191" s="12">
        <f t="shared" si="36"/>
        <v>1</v>
      </c>
      <c r="U191" t="str">
        <f t="shared" si="37"/>
        <v>No transfer</v>
      </c>
      <c r="V191" s="25" t="s">
        <v>95</v>
      </c>
    </row>
    <row r="192" spans="1:22">
      <c r="A192" s="14">
        <v>44522</v>
      </c>
      <c r="B192" s="15">
        <v>-2.3380000000000001E-2</v>
      </c>
      <c r="C192" s="15">
        <v>-2.3380000000000001E-2</v>
      </c>
      <c r="D192" s="16">
        <f t="shared" si="28"/>
        <v>-2.3380000000000001E-2</v>
      </c>
      <c r="E192" s="17">
        <f t="shared" si="39"/>
        <v>13</v>
      </c>
      <c r="F192" s="18">
        <f t="shared" si="40"/>
        <v>1.0988270852958182</v>
      </c>
      <c r="G192" s="18">
        <f t="shared" si="41"/>
        <v>0.90117291470418237</v>
      </c>
      <c r="H192" s="18">
        <f t="shared" si="29"/>
        <v>0.19765417059163581</v>
      </c>
      <c r="I192" s="19" t="str">
        <f t="shared" si="30"/>
        <v>A</v>
      </c>
      <c r="J192" s="19">
        <f t="shared" si="38"/>
        <v>16</v>
      </c>
      <c r="K192" s="19" t="str">
        <f>IF(I192="","",IF(J192&gt;=Parameters!$B$5,I192,"HOLD"))</f>
        <v>A</v>
      </c>
      <c r="L192" s="20">
        <f>'Actual Calc'!T192</f>
        <v>191601616.3610701</v>
      </c>
      <c r="M192" s="20">
        <f>'Actual Calc'!U192</f>
        <v>0</v>
      </c>
      <c r="N192" s="21">
        <f t="shared" si="31"/>
        <v>1</v>
      </c>
      <c r="O192" s="21">
        <f>IF(NOT(ISNUMBER(N192)),"",IF(K192="A",MIN(Parameters!$B$8,N192+Parameters!$B$6),IF(K192="B",MAX(Parameters!$B$7,N192-Parameters!$B$6),N192)))</f>
        <v>1</v>
      </c>
      <c r="P192" s="22">
        <f t="shared" si="32"/>
        <v>0</v>
      </c>
      <c r="Q192" s="22">
        <f t="shared" si="33"/>
        <v>0</v>
      </c>
      <c r="R192" s="22">
        <f t="shared" si="34"/>
        <v>191601616.3610701</v>
      </c>
      <c r="S192" s="22">
        <f t="shared" si="35"/>
        <v>0</v>
      </c>
      <c r="T192" s="21">
        <f t="shared" si="36"/>
        <v>1</v>
      </c>
      <c r="U192" s="19" t="str">
        <f t="shared" si="37"/>
        <v>No transfer</v>
      </c>
      <c r="V192" s="35" t="s">
        <v>95</v>
      </c>
    </row>
    <row r="193" spans="1:22">
      <c r="A193" s="4">
        <v>44529</v>
      </c>
      <c r="B193" s="5">
        <v>9.6200000000000001E-3</v>
      </c>
      <c r="C193" s="5">
        <v>9.6200000000000001E-3</v>
      </c>
      <c r="D193" s="6">
        <f t="shared" si="28"/>
        <v>9.6200000000000001E-3</v>
      </c>
      <c r="E193" s="8">
        <f t="shared" si="39"/>
        <v>14</v>
      </c>
      <c r="F193" s="9">
        <f t="shared" si="40"/>
        <v>1.109409522625596</v>
      </c>
      <c r="G193" s="9">
        <f t="shared" si="41"/>
        <v>0.89059047737440467</v>
      </c>
      <c r="H193" s="9">
        <f t="shared" si="29"/>
        <v>0.21881904525119134</v>
      </c>
      <c r="I193" t="str">
        <f t="shared" si="30"/>
        <v>A</v>
      </c>
      <c r="J193">
        <f t="shared" si="38"/>
        <v>17</v>
      </c>
      <c r="K193" t="str">
        <f>IF(I193="","",IF(J193&gt;=Parameters!$B$5,I193,"HOLD"))</f>
        <v>A</v>
      </c>
      <c r="L193" s="10">
        <f>'Actual Calc'!T193</f>
        <v>216177716.84507009</v>
      </c>
      <c r="M193" s="10">
        <f>'Actual Calc'!U193</f>
        <v>0</v>
      </c>
      <c r="N193" s="12">
        <f t="shared" si="31"/>
        <v>1</v>
      </c>
      <c r="O193" s="12">
        <f>IF(NOT(ISNUMBER(N193)),"",IF(K193="A",MIN(Parameters!$B$8,N193+Parameters!$B$6),IF(K193="B",MAX(Parameters!$B$7,N193-Parameters!$B$6),N193)))</f>
        <v>1</v>
      </c>
      <c r="P193" s="13">
        <f t="shared" si="32"/>
        <v>0</v>
      </c>
      <c r="Q193" s="13">
        <f t="shared" si="33"/>
        <v>0</v>
      </c>
      <c r="R193" s="13">
        <f t="shared" si="34"/>
        <v>216177716.84507009</v>
      </c>
      <c r="S193" s="13">
        <f t="shared" si="35"/>
        <v>0</v>
      </c>
      <c r="T193" s="12">
        <f t="shared" si="36"/>
        <v>1</v>
      </c>
      <c r="U193" t="str">
        <f t="shared" si="37"/>
        <v>No transfer</v>
      </c>
      <c r="V193" s="25" t="s">
        <v>95</v>
      </c>
    </row>
    <row r="194" spans="1:22">
      <c r="A194" s="14">
        <v>44536</v>
      </c>
      <c r="B194" s="15">
        <v>7.3000000000000001E-3</v>
      </c>
      <c r="C194" s="15">
        <v>7.3000000000000001E-3</v>
      </c>
      <c r="D194" s="16">
        <f t="shared" si="28"/>
        <v>7.3000000000000001E-3</v>
      </c>
      <c r="E194" s="17">
        <f t="shared" si="39"/>
        <v>14</v>
      </c>
      <c r="F194" s="18">
        <f t="shared" si="40"/>
        <v>1.14041621787154</v>
      </c>
      <c r="G194" s="18">
        <f t="shared" si="41"/>
        <v>0.85958378212845865</v>
      </c>
      <c r="H194" s="18">
        <f t="shared" si="29"/>
        <v>0.28083243574308137</v>
      </c>
      <c r="I194" s="19" t="str">
        <f t="shared" si="30"/>
        <v>A</v>
      </c>
      <c r="J194" s="19">
        <f t="shared" si="38"/>
        <v>18</v>
      </c>
      <c r="K194" s="19" t="str">
        <f>IF(I194="","",IF(J194&gt;=Parameters!$B$5,I194,"HOLD"))</f>
        <v>A</v>
      </c>
      <c r="L194" s="20">
        <f>'Actual Calc'!T194</f>
        <v>237219012.00507009</v>
      </c>
      <c r="M194" s="20">
        <f>'Actual Calc'!U194</f>
        <v>0</v>
      </c>
      <c r="N194" s="21">
        <f t="shared" si="31"/>
        <v>1</v>
      </c>
      <c r="O194" s="21">
        <f>IF(NOT(ISNUMBER(N194)),"",IF(K194="A",MIN(Parameters!$B$8,N194+Parameters!$B$6),IF(K194="B",MAX(Parameters!$B$7,N194-Parameters!$B$6),N194)))</f>
        <v>1</v>
      </c>
      <c r="P194" s="22">
        <f t="shared" si="32"/>
        <v>0</v>
      </c>
      <c r="Q194" s="22">
        <f t="shared" si="33"/>
        <v>0</v>
      </c>
      <c r="R194" s="22">
        <f t="shared" si="34"/>
        <v>237219012.00507009</v>
      </c>
      <c r="S194" s="22">
        <f t="shared" si="35"/>
        <v>0</v>
      </c>
      <c r="T194" s="21">
        <f t="shared" si="36"/>
        <v>1</v>
      </c>
      <c r="U194" s="19" t="str">
        <f t="shared" si="37"/>
        <v>No transfer</v>
      </c>
      <c r="V194" s="35" t="s">
        <v>95</v>
      </c>
    </row>
    <row r="195" spans="1:22">
      <c r="A195" s="4">
        <v>44543</v>
      </c>
      <c r="B195" s="5">
        <v>-4.0000000000000001E-3</v>
      </c>
      <c r="C195" s="5">
        <v>-4.0000000000000001E-3</v>
      </c>
      <c r="D195" s="6">
        <f t="shared" si="28"/>
        <v>-4.0000000000000001E-3</v>
      </c>
      <c r="E195" s="8">
        <f t="shared" si="39"/>
        <v>13</v>
      </c>
      <c r="F195" s="9">
        <f t="shared" si="40"/>
        <v>1.1300228783886099</v>
      </c>
      <c r="G195" s="9">
        <f t="shared" si="41"/>
        <v>0.86997712161138874</v>
      </c>
      <c r="H195" s="9">
        <f t="shared" si="29"/>
        <v>0.26004575677722119</v>
      </c>
      <c r="I195" t="str">
        <f t="shared" si="30"/>
        <v>A</v>
      </c>
      <c r="J195">
        <f t="shared" si="38"/>
        <v>19</v>
      </c>
      <c r="K195" t="str">
        <f>IF(I195="","",IF(J195&gt;=Parameters!$B$5,I195,"HOLD"))</f>
        <v>A</v>
      </c>
      <c r="L195" s="10">
        <f>'Actual Calc'!T195</f>
        <v>224567337.60507008</v>
      </c>
      <c r="M195" s="10">
        <f>'Actual Calc'!U195</f>
        <v>0</v>
      </c>
      <c r="N195" s="12">
        <f t="shared" si="31"/>
        <v>1</v>
      </c>
      <c r="O195" s="12">
        <f>IF(NOT(ISNUMBER(N195)),"",IF(K195="A",MIN(Parameters!$B$8,N195+Parameters!$B$6),IF(K195="B",MAX(Parameters!$B$7,N195-Parameters!$B$6),N195)))</f>
        <v>1</v>
      </c>
      <c r="P195" s="13">
        <f t="shared" si="32"/>
        <v>0</v>
      </c>
      <c r="Q195" s="13">
        <f t="shared" si="33"/>
        <v>0</v>
      </c>
      <c r="R195" s="13">
        <f t="shared" si="34"/>
        <v>224567337.60507008</v>
      </c>
      <c r="S195" s="13">
        <f t="shared" si="35"/>
        <v>0</v>
      </c>
      <c r="T195" s="12">
        <f t="shared" si="36"/>
        <v>1</v>
      </c>
      <c r="U195" t="str">
        <f t="shared" si="37"/>
        <v>No transfer</v>
      </c>
      <c r="V195" s="25" t="s">
        <v>95</v>
      </c>
    </row>
    <row r="196" spans="1:22">
      <c r="A196" s="14">
        <v>44550</v>
      </c>
      <c r="B196" s="15">
        <v>7.2300000000000003E-3</v>
      </c>
      <c r="C196" s="15">
        <v>7.2300000000000003E-3</v>
      </c>
      <c r="D196" s="16">
        <f t="shared" ref="D196:D259" si="42">IF(AND(ISNUMBER(B196),ISNUMBER(C196)),(B196+C196)/2,"")</f>
        <v>7.2300000000000003E-3</v>
      </c>
      <c r="E196" s="17">
        <f t="shared" si="39"/>
        <v>13</v>
      </c>
      <c r="F196" s="18">
        <f t="shared" si="40"/>
        <v>1.1825886178444467</v>
      </c>
      <c r="G196" s="18">
        <f t="shared" si="41"/>
        <v>0.81741138215555187</v>
      </c>
      <c r="H196" s="18">
        <f t="shared" ref="H196:H259" si="43">IF(AND(ISNUMBER(F196),ISNUMBER(G196)),F196-G196,"")</f>
        <v>0.36517723568889482</v>
      </c>
      <c r="I196" s="19" t="str">
        <f t="shared" ref="I196:I259" si="44">IF(OR(NOT(ISNUMBER(F196)),NOT(ISNUMBER(G196))),"",IF(F196&gt;G196,"A",IF(G196&gt;F196,"B","HOLD")))</f>
        <v>A</v>
      </c>
      <c r="J196" s="19">
        <f t="shared" si="38"/>
        <v>20</v>
      </c>
      <c r="K196" s="19" t="str">
        <f>IF(I196="","",IF(J196&gt;=Parameters!$B$5,I196,"HOLD"))</f>
        <v>A</v>
      </c>
      <c r="L196" s="20">
        <f>'Actual Calc'!T196</f>
        <v>246215618.33607009</v>
      </c>
      <c r="M196" s="20">
        <f>'Actual Calc'!U196</f>
        <v>0</v>
      </c>
      <c r="N196" s="21">
        <f t="shared" ref="N196:N259" si="45">IF(OR(NOT(ISNUMBER(L196)),NOT(ISNUMBER(M196)),L196+M196=0),"",L196/(L196+M196))</f>
        <v>1</v>
      </c>
      <c r="O196" s="21">
        <f>IF(NOT(ISNUMBER(N196)),"",IF(K196="A",MIN(Parameters!$B$8,N196+Parameters!$B$6),IF(K196="B",MAX(Parameters!$B$7,N196-Parameters!$B$6),N196)))</f>
        <v>1</v>
      </c>
      <c r="P196" s="22">
        <f t="shared" ref="P196:P259" si="46">IF(NOT(ISNUMBER(O196)),"",MAX(0,L196-(L196+M196)*O196))</f>
        <v>0</v>
      </c>
      <c r="Q196" s="22">
        <f t="shared" ref="Q196:Q259" si="47">IF(NOT(ISNUMBER(O196)),"",MAX(0,(L196+M196)*O196-L196))</f>
        <v>0</v>
      </c>
      <c r="R196" s="22">
        <f t="shared" ref="R196:R259" si="48">IF(NOT(ISNUMBER(O196)),"",L196-P196+Q196)</f>
        <v>246215618.33607009</v>
      </c>
      <c r="S196" s="22">
        <f t="shared" ref="S196:S259" si="49">IF(NOT(ISNUMBER(O196)),"",M196+P196-Q196)</f>
        <v>0</v>
      </c>
      <c r="T196" s="21">
        <f t="shared" ref="T196:T259" si="50">IF(OR(NOT(ISNUMBER(R196)),NOT(ISNUMBER(S196)),R196+S196=0),"",R196/(R196+S196))</f>
        <v>1</v>
      </c>
      <c r="U196" s="19" t="str">
        <f t="shared" ref="U196:U259" si="51">IF(NOT(ISNUMBER(O196)),"",IF(P196&gt;0.005,"Transfer "&amp;TEXT(P196,"#,##0.00")&amp;" A → B",IF(Q196&gt;0.005,"Transfer "&amp;TEXT(Q196,"#,##0.00")&amp;" B → A","No transfer")))</f>
        <v>No transfer</v>
      </c>
      <c r="V196" s="35" t="s">
        <v>95</v>
      </c>
    </row>
    <row r="197" spans="1:22">
      <c r="A197" s="4">
        <v>44557</v>
      </c>
      <c r="B197" s="5">
        <v>1.3169999999999999E-2</v>
      </c>
      <c r="C197" s="5">
        <v>1.3169999999999999E-2</v>
      </c>
      <c r="D197" s="6">
        <f t="shared" si="42"/>
        <v>1.3169999999999999E-2</v>
      </c>
      <c r="E197" s="8">
        <f t="shared" si="39"/>
        <v>13</v>
      </c>
      <c r="F197" s="9">
        <f t="shared" si="40"/>
        <v>1.1698868585929003</v>
      </c>
      <c r="G197" s="9">
        <f t="shared" si="41"/>
        <v>0.83011314140709902</v>
      </c>
      <c r="H197" s="9">
        <f t="shared" si="43"/>
        <v>0.33977371718580129</v>
      </c>
      <c r="I197" t="str">
        <f t="shared" si="44"/>
        <v>A</v>
      </c>
      <c r="J197">
        <f t="shared" ref="J197:J260" si="52">IF(I197="","",IF(I197="HOLD",0,IF(I197=I196,J196+1,1)))</f>
        <v>21</v>
      </c>
      <c r="K197" t="str">
        <f>IF(I197="","",IF(J197&gt;=Parameters!$B$5,I197,"HOLD"))</f>
        <v>A</v>
      </c>
      <c r="L197" s="10">
        <f>'Actual Calc'!T197</f>
        <v>289451053.11207008</v>
      </c>
      <c r="M197" s="10">
        <f>'Actual Calc'!U197</f>
        <v>0</v>
      </c>
      <c r="N197" s="12">
        <f t="shared" si="45"/>
        <v>1</v>
      </c>
      <c r="O197" s="12">
        <f>IF(NOT(ISNUMBER(N197)),"",IF(K197="A",MIN(Parameters!$B$8,N197+Parameters!$B$6),IF(K197="B",MAX(Parameters!$B$7,N197-Parameters!$B$6),N197)))</f>
        <v>1</v>
      </c>
      <c r="P197" s="13">
        <f t="shared" si="46"/>
        <v>0</v>
      </c>
      <c r="Q197" s="13">
        <f t="shared" si="47"/>
        <v>0</v>
      </c>
      <c r="R197" s="13">
        <f t="shared" si="48"/>
        <v>289451053.11207008</v>
      </c>
      <c r="S197" s="13">
        <f t="shared" si="49"/>
        <v>0</v>
      </c>
      <c r="T197" s="12">
        <f t="shared" si="50"/>
        <v>1</v>
      </c>
      <c r="U197" t="str">
        <f t="shared" si="51"/>
        <v>No transfer</v>
      </c>
      <c r="V197" s="25" t="s">
        <v>95</v>
      </c>
    </row>
    <row r="198" spans="1:22">
      <c r="A198" s="14">
        <v>44564</v>
      </c>
      <c r="B198" s="15">
        <v>7.1599999999999997E-3</v>
      </c>
      <c r="C198" s="15">
        <v>7.1599999999999997E-3</v>
      </c>
      <c r="D198" s="16">
        <f t="shared" si="42"/>
        <v>7.1599999999999997E-3</v>
      </c>
      <c r="E198" s="17">
        <f t="shared" si="39"/>
        <v>14</v>
      </c>
      <c r="F198" s="18">
        <f t="shared" si="40"/>
        <v>1.1797645121486222</v>
      </c>
      <c r="G198" s="18">
        <f t="shared" si="41"/>
        <v>0.82023548785137679</v>
      </c>
      <c r="H198" s="18">
        <f t="shared" si="43"/>
        <v>0.35952902429724543</v>
      </c>
      <c r="I198" s="19" t="str">
        <f t="shared" si="44"/>
        <v>A</v>
      </c>
      <c r="J198" s="19">
        <f t="shared" si="52"/>
        <v>22</v>
      </c>
      <c r="K198" s="19" t="str">
        <f>IF(I198="","",IF(J198&gt;=Parameters!$B$5,I198,"HOLD"))</f>
        <v>A</v>
      </c>
      <c r="L198" s="20">
        <f>'Actual Calc'!T198</f>
        <v>292265507.60985005</v>
      </c>
      <c r="M198" s="20">
        <f>'Actual Calc'!U198</f>
        <v>0</v>
      </c>
      <c r="N198" s="21">
        <f t="shared" si="45"/>
        <v>1</v>
      </c>
      <c r="O198" s="21">
        <f>IF(NOT(ISNUMBER(N198)),"",IF(K198="A",MIN(Parameters!$B$8,N198+Parameters!$B$6),IF(K198="B",MAX(Parameters!$B$7,N198-Parameters!$B$6),N198)))</f>
        <v>1</v>
      </c>
      <c r="P198" s="22">
        <f t="shared" si="46"/>
        <v>0</v>
      </c>
      <c r="Q198" s="22">
        <f t="shared" si="47"/>
        <v>0</v>
      </c>
      <c r="R198" s="22">
        <f t="shared" si="48"/>
        <v>292265507.60985005</v>
      </c>
      <c r="S198" s="22">
        <f t="shared" si="49"/>
        <v>0</v>
      </c>
      <c r="T198" s="21">
        <f t="shared" si="50"/>
        <v>1</v>
      </c>
      <c r="U198" s="19" t="str">
        <f t="shared" si="51"/>
        <v>No transfer</v>
      </c>
      <c r="V198" s="35" t="s">
        <v>95</v>
      </c>
    </row>
    <row r="199" spans="1:22">
      <c r="A199" s="4">
        <v>44571</v>
      </c>
      <c r="B199" s="5">
        <v>1.457E-2</v>
      </c>
      <c r="C199" s="5">
        <v>0</v>
      </c>
      <c r="D199" s="6">
        <f t="shared" si="42"/>
        <v>7.2849999999999998E-3</v>
      </c>
      <c r="E199" s="8">
        <f t="shared" si="39"/>
        <v>15</v>
      </c>
      <c r="F199" s="9">
        <f t="shared" si="40"/>
        <v>1.1353923605193401</v>
      </c>
      <c r="G199" s="9">
        <f t="shared" si="41"/>
        <v>0.86460763948066099</v>
      </c>
      <c r="H199" s="9">
        <f t="shared" si="43"/>
        <v>0.27078472103867912</v>
      </c>
      <c r="I199" t="str">
        <f t="shared" si="44"/>
        <v>A</v>
      </c>
      <c r="J199">
        <f t="shared" si="52"/>
        <v>23</v>
      </c>
      <c r="K199" t="str">
        <f>IF(I199="","",IF(J199&gt;=Parameters!$B$5,I199,"HOLD"))</f>
        <v>A</v>
      </c>
      <c r="L199" s="10">
        <f>'Actual Calc'!T199</f>
        <v>349042926.82185006</v>
      </c>
      <c r="M199" s="10">
        <f>'Actual Calc'!U199</f>
        <v>0</v>
      </c>
      <c r="N199" s="12">
        <f t="shared" si="45"/>
        <v>1</v>
      </c>
      <c r="O199" s="12">
        <f>IF(NOT(ISNUMBER(N199)),"",IF(K199="A",MIN(Parameters!$B$8,N199+Parameters!$B$6),IF(K199="B",MAX(Parameters!$B$7,N199-Parameters!$B$6),N199)))</f>
        <v>1</v>
      </c>
      <c r="P199" s="13">
        <f t="shared" si="46"/>
        <v>0</v>
      </c>
      <c r="Q199" s="13">
        <f t="shared" si="47"/>
        <v>0</v>
      </c>
      <c r="R199" s="13">
        <f t="shared" si="48"/>
        <v>349042926.82185006</v>
      </c>
      <c r="S199" s="13">
        <f t="shared" si="49"/>
        <v>0</v>
      </c>
      <c r="T199" s="12">
        <f t="shared" si="50"/>
        <v>1</v>
      </c>
      <c r="U199" t="str">
        <f t="shared" si="51"/>
        <v>No transfer</v>
      </c>
      <c r="V199" s="25" t="s">
        <v>96</v>
      </c>
    </row>
    <row r="200" spans="1:22">
      <c r="A200" s="14">
        <v>44578</v>
      </c>
      <c r="B200" s="15">
        <v>-1.9789999999999999E-2</v>
      </c>
      <c r="C200" s="15">
        <v>-1.9789999999999999E-2</v>
      </c>
      <c r="D200" s="16">
        <f t="shared" si="42"/>
        <v>-1.9789999999999999E-2</v>
      </c>
      <c r="E200" s="17">
        <f t="shared" si="39"/>
        <v>14</v>
      </c>
      <c r="F200" s="18">
        <f t="shared" si="40"/>
        <v>0.90428493196771931</v>
      </c>
      <c r="G200" s="18">
        <f t="shared" si="41"/>
        <v>1.0957150680322811</v>
      </c>
      <c r="H200" s="18">
        <f t="shared" si="43"/>
        <v>-0.19143013606456183</v>
      </c>
      <c r="I200" s="19" t="str">
        <f t="shared" si="44"/>
        <v>B</v>
      </c>
      <c r="J200" s="19">
        <f t="shared" si="52"/>
        <v>1</v>
      </c>
      <c r="K200" s="19" t="str">
        <f>IF(I200="","",IF(J200&gt;=Parameters!$B$5,I200,"HOLD"))</f>
        <v>HOLD</v>
      </c>
      <c r="L200" s="20">
        <f>'Actual Calc'!T200</f>
        <v>256942144.89285007</v>
      </c>
      <c r="M200" s="20">
        <f>'Actual Calc'!U200</f>
        <v>0</v>
      </c>
      <c r="N200" s="21">
        <f t="shared" si="45"/>
        <v>1</v>
      </c>
      <c r="O200" s="21">
        <f>IF(NOT(ISNUMBER(N200)),"",IF(K200="A",MIN(Parameters!$B$8,N200+Parameters!$B$6),IF(K200="B",MAX(Parameters!$B$7,N200-Parameters!$B$6),N200)))</f>
        <v>1</v>
      </c>
      <c r="P200" s="22">
        <f t="shared" si="46"/>
        <v>0</v>
      </c>
      <c r="Q200" s="22">
        <f t="shared" si="47"/>
        <v>0</v>
      </c>
      <c r="R200" s="22">
        <f t="shared" si="48"/>
        <v>256942144.89285007</v>
      </c>
      <c r="S200" s="22">
        <f t="shared" si="49"/>
        <v>0</v>
      </c>
      <c r="T200" s="21">
        <f t="shared" si="50"/>
        <v>1</v>
      </c>
      <c r="U200" s="19" t="str">
        <f t="shared" si="51"/>
        <v>No transfer</v>
      </c>
      <c r="V200" s="35" t="s">
        <v>95</v>
      </c>
    </row>
    <row r="201" spans="1:22">
      <c r="A201" s="4">
        <v>44585</v>
      </c>
      <c r="B201" s="5">
        <v>2.18E-2</v>
      </c>
      <c r="C201" s="5">
        <v>-4.8500000000000001E-3</v>
      </c>
      <c r="D201" s="6">
        <f t="shared" si="42"/>
        <v>8.4749999999999999E-3</v>
      </c>
      <c r="E201" s="8">
        <f t="shared" si="39"/>
        <v>15</v>
      </c>
      <c r="F201" s="9">
        <f t="shared" si="40"/>
        <v>0.84948857890336815</v>
      </c>
      <c r="G201" s="9">
        <f t="shared" si="41"/>
        <v>1.1505114210966347</v>
      </c>
      <c r="H201" s="9">
        <f t="shared" si="43"/>
        <v>-0.30102284219326658</v>
      </c>
      <c r="I201" t="str">
        <f t="shared" si="44"/>
        <v>B</v>
      </c>
      <c r="J201">
        <f t="shared" si="52"/>
        <v>2</v>
      </c>
      <c r="K201" t="str">
        <f>IF(I201="","",IF(J201&gt;=Parameters!$B$5,I201,"HOLD"))</f>
        <v>HOLD</v>
      </c>
      <c r="L201" s="10">
        <f>'Actual Calc'!T201</f>
        <v>331626627.55285007</v>
      </c>
      <c r="M201" s="10">
        <f>'Actual Calc'!U201</f>
        <v>0</v>
      </c>
      <c r="N201" s="12">
        <f t="shared" si="45"/>
        <v>1</v>
      </c>
      <c r="O201" s="12">
        <f>IF(NOT(ISNUMBER(N201)),"",IF(K201="A",MIN(Parameters!$B$8,N201+Parameters!$B$6),IF(K201="B",MAX(Parameters!$B$7,N201-Parameters!$B$6),N201)))</f>
        <v>1</v>
      </c>
      <c r="P201" s="13">
        <f t="shared" si="46"/>
        <v>0</v>
      </c>
      <c r="Q201" s="13">
        <f t="shared" si="47"/>
        <v>0</v>
      </c>
      <c r="R201" s="13">
        <f t="shared" si="48"/>
        <v>331626627.55285007</v>
      </c>
      <c r="S201" s="13">
        <f t="shared" si="49"/>
        <v>0</v>
      </c>
      <c r="T201" s="12">
        <f t="shared" si="50"/>
        <v>1</v>
      </c>
      <c r="U201" t="str">
        <f t="shared" si="51"/>
        <v>No transfer</v>
      </c>
      <c r="V201" s="25" t="s">
        <v>95</v>
      </c>
    </row>
    <row r="202" spans="1:22">
      <c r="A202" s="14">
        <v>44592</v>
      </c>
      <c r="B202" s="15">
        <v>2.7490000000000001E-2</v>
      </c>
      <c r="C202" s="15">
        <v>2.7490000000000001E-2</v>
      </c>
      <c r="D202" s="16">
        <f t="shared" si="42"/>
        <v>2.7490000000000001E-2</v>
      </c>
      <c r="E202" s="17">
        <f t="shared" si="39"/>
        <v>15</v>
      </c>
      <c r="F202" s="18">
        <f t="shared" si="40"/>
        <v>0.82981015489878962</v>
      </c>
      <c r="G202" s="18">
        <f t="shared" si="41"/>
        <v>1.1701898451012125</v>
      </c>
      <c r="H202" s="18">
        <f t="shared" si="43"/>
        <v>-0.34037969020242287</v>
      </c>
      <c r="I202" s="19" t="str">
        <f t="shared" si="44"/>
        <v>B</v>
      </c>
      <c r="J202" s="19">
        <f t="shared" si="52"/>
        <v>3</v>
      </c>
      <c r="K202" s="19" t="str">
        <f>IF(I202="","",IF(J202&gt;=Parameters!$B$5,I202,"HOLD"))</f>
        <v>B</v>
      </c>
      <c r="L202" s="20">
        <f>'Actual Calc'!T202</f>
        <v>453178827.92385006</v>
      </c>
      <c r="M202" s="20">
        <f>'Actual Calc'!U202</f>
        <v>0</v>
      </c>
      <c r="N202" s="21">
        <f t="shared" si="45"/>
        <v>1</v>
      </c>
      <c r="O202" s="21">
        <f>IF(NOT(ISNUMBER(N202)),"",IF(K202="A",MIN(Parameters!$B$8,N202+Parameters!$B$6),IF(K202="B",MAX(Parameters!$B$7,N202-Parameters!$B$6),N202)))</f>
        <v>0.9</v>
      </c>
      <c r="P202" s="22">
        <f t="shared" si="46"/>
        <v>45317882.792384982</v>
      </c>
      <c r="Q202" s="22">
        <f t="shared" si="47"/>
        <v>0</v>
      </c>
      <c r="R202" s="22">
        <f t="shared" si="48"/>
        <v>407860945.13146508</v>
      </c>
      <c r="S202" s="22">
        <f t="shared" si="49"/>
        <v>45317882.792384982</v>
      </c>
      <c r="T202" s="21">
        <f t="shared" si="50"/>
        <v>0.9</v>
      </c>
      <c r="U202" s="19" t="e">
        <f t="shared" si="51"/>
        <v>#VALUE!</v>
      </c>
      <c r="V202" s="35" t="s">
        <v>95</v>
      </c>
    </row>
    <row r="203" spans="1:22">
      <c r="A203" s="4">
        <v>44599</v>
      </c>
      <c r="B203" s="5">
        <v>-4.0000000000000001E-3</v>
      </c>
      <c r="C203" s="5">
        <v>-4.0000000000000001E-3</v>
      </c>
      <c r="D203" s="6">
        <f t="shared" si="42"/>
        <v>-4.0000000000000001E-3</v>
      </c>
      <c r="E203" s="8">
        <f t="shared" si="39"/>
        <v>15</v>
      </c>
      <c r="F203" s="9">
        <f t="shared" si="40"/>
        <v>0.82981015489878962</v>
      </c>
      <c r="G203" s="9">
        <f t="shared" si="41"/>
        <v>1.1701898451012125</v>
      </c>
      <c r="H203" s="9">
        <f t="shared" si="43"/>
        <v>-0.34037969020242287</v>
      </c>
      <c r="I203" t="str">
        <f t="shared" si="44"/>
        <v>B</v>
      </c>
      <c r="J203">
        <f t="shared" si="52"/>
        <v>4</v>
      </c>
      <c r="K203" t="str">
        <f>IF(I203="","",IF(J203&gt;=Parameters!$B$5,I203,"HOLD"))</f>
        <v>B</v>
      </c>
      <c r="L203" s="10">
        <f>'Actual Calc'!T203</f>
        <v>386108363.93146509</v>
      </c>
      <c r="M203" s="10">
        <f>'Actual Calc'!U203</f>
        <v>42900932.392384984</v>
      </c>
      <c r="N203" s="12">
        <f t="shared" si="45"/>
        <v>0.89999999356657301</v>
      </c>
      <c r="O203" s="12">
        <f>IF(NOT(ISNUMBER(N203)),"",IF(K203="A",MIN(Parameters!$B$8,N203+Parameters!$B$6),IF(K203="B",MAX(Parameters!$B$7,N203-Parameters!$B$6),N203)))</f>
        <v>0.79999999356657303</v>
      </c>
      <c r="P203" s="13">
        <f t="shared" si="46"/>
        <v>42900929.632385015</v>
      </c>
      <c r="Q203" s="13">
        <f t="shared" si="47"/>
        <v>0</v>
      </c>
      <c r="R203" s="13">
        <f t="shared" si="48"/>
        <v>343207434.29908007</v>
      </c>
      <c r="S203" s="13">
        <f t="shared" si="49"/>
        <v>85801862.024769992</v>
      </c>
      <c r="T203" s="12">
        <f t="shared" si="50"/>
        <v>0.79999999356657303</v>
      </c>
      <c r="U203" t="e">
        <f t="shared" si="51"/>
        <v>#VALUE!</v>
      </c>
      <c r="V203" s="25" t="s">
        <v>95</v>
      </c>
    </row>
    <row r="204" spans="1:22">
      <c r="A204" s="14">
        <v>44606</v>
      </c>
      <c r="B204" s="15">
        <v>1.6330000000000001E-2</v>
      </c>
      <c r="C204" s="15">
        <v>-3.5500000000000002E-3</v>
      </c>
      <c r="D204" s="16">
        <f t="shared" si="42"/>
        <v>6.3899999999999998E-3</v>
      </c>
      <c r="E204" s="17">
        <f t="shared" si="39"/>
        <v>16</v>
      </c>
      <c r="F204" s="18">
        <f t="shared" si="40"/>
        <v>0.77960401976110105</v>
      </c>
      <c r="G204" s="18">
        <f t="shared" si="41"/>
        <v>1.2203959802389017</v>
      </c>
      <c r="H204" s="18">
        <f t="shared" si="43"/>
        <v>-0.44079196047780067</v>
      </c>
      <c r="I204" s="19" t="str">
        <f t="shared" si="44"/>
        <v>B</v>
      </c>
      <c r="J204" s="19">
        <f t="shared" si="52"/>
        <v>5</v>
      </c>
      <c r="K204" s="19" t="str">
        <f>IF(I204="","",IF(J204&gt;=Parameters!$B$5,I204,"HOLD"))</f>
        <v>B</v>
      </c>
      <c r="L204" s="20">
        <f>'Actual Calc'!T204</f>
        <v>417935121.17108011</v>
      </c>
      <c r="M204" s="20">
        <f>'Actual Calc'!U204</f>
        <v>81740574.694769993</v>
      </c>
      <c r="N204" s="21">
        <f t="shared" si="45"/>
        <v>0.83641274656529385</v>
      </c>
      <c r="O204" s="21">
        <f>IF(NOT(ISNUMBER(N204)),"",IF(K204="A",MIN(Parameters!$B$8,N204+Parameters!$B$6),IF(K204="B",MAX(Parameters!$B$7,N204-Parameters!$B$6),N204)))</f>
        <v>0.73641274656529387</v>
      </c>
      <c r="P204" s="22">
        <f t="shared" si="46"/>
        <v>49967569.586584985</v>
      </c>
      <c r="Q204" s="22">
        <f t="shared" si="47"/>
        <v>0</v>
      </c>
      <c r="R204" s="22">
        <f t="shared" si="48"/>
        <v>367967551.58449513</v>
      </c>
      <c r="S204" s="22">
        <f t="shared" si="49"/>
        <v>131708144.28135498</v>
      </c>
      <c r="T204" s="21">
        <f t="shared" si="50"/>
        <v>0.73641274656529387</v>
      </c>
      <c r="U204" s="19" t="e">
        <f t="shared" si="51"/>
        <v>#VALUE!</v>
      </c>
      <c r="V204" s="35" t="s">
        <v>95</v>
      </c>
    </row>
    <row r="205" spans="1:22">
      <c r="A205" s="4">
        <v>44613</v>
      </c>
      <c r="B205" s="5">
        <v>-2.8809999999999999E-2</v>
      </c>
      <c r="C205" s="5">
        <v>-6.6100000000000004E-3</v>
      </c>
      <c r="D205" s="6">
        <f t="shared" si="42"/>
        <v>-1.771E-2</v>
      </c>
      <c r="E205" s="8">
        <f t="shared" si="39"/>
        <v>15</v>
      </c>
      <c r="F205" s="9">
        <f t="shared" si="40"/>
        <v>0.77998144567775285</v>
      </c>
      <c r="G205" s="9">
        <f t="shared" si="41"/>
        <v>1.220018554322249</v>
      </c>
      <c r="H205" s="9">
        <f t="shared" si="43"/>
        <v>-0.44003710864449619</v>
      </c>
      <c r="I205" t="str">
        <f t="shared" si="44"/>
        <v>B</v>
      </c>
      <c r="J205">
        <f t="shared" si="52"/>
        <v>6</v>
      </c>
      <c r="K205" t="str">
        <f>IF(I205="","",IF(J205&gt;=Parameters!$B$5,I205,"HOLD"))</f>
        <v>B</v>
      </c>
      <c r="L205" s="10">
        <f>'Actual Calc'!T205</f>
        <v>226618964.44949514</v>
      </c>
      <c r="M205" s="10">
        <f>'Actual Calc'!U205</f>
        <v>120100273.70635498</v>
      </c>
      <c r="N205" s="12">
        <f t="shared" si="45"/>
        <v>0.65360943238929836</v>
      </c>
      <c r="O205" s="12">
        <f>IF(NOT(ISNUMBER(N205)),"",IF(K205="A",MIN(Parameters!$B$8,N205+Parameters!$B$6),IF(K205="B",MAX(Parameters!$B$7,N205-Parameters!$B$6),N205)))</f>
        <v>0.55360943238929838</v>
      </c>
      <c r="P205" s="13">
        <f t="shared" si="46"/>
        <v>34671923.815584987</v>
      </c>
      <c r="Q205" s="13">
        <f t="shared" si="47"/>
        <v>0</v>
      </c>
      <c r="R205" s="13">
        <f t="shared" si="48"/>
        <v>191947040.63391015</v>
      </c>
      <c r="S205" s="13">
        <f t="shared" si="49"/>
        <v>154772197.52193996</v>
      </c>
      <c r="T205" s="12">
        <f t="shared" si="50"/>
        <v>0.55360943238929838</v>
      </c>
      <c r="U205" t="e">
        <f t="shared" si="51"/>
        <v>#VALUE!</v>
      </c>
      <c r="V205" s="25" t="s">
        <v>95</v>
      </c>
    </row>
    <row r="206" spans="1:22">
      <c r="A206" s="14">
        <v>44620</v>
      </c>
      <c r="B206" s="15">
        <v>1.277E-2</v>
      </c>
      <c r="C206" s="15">
        <v>1.277E-2</v>
      </c>
      <c r="D206" s="16">
        <f t="shared" si="42"/>
        <v>1.277E-2</v>
      </c>
      <c r="E206" s="17">
        <f t="shared" si="39"/>
        <v>15</v>
      </c>
      <c r="F206" s="18">
        <f t="shared" si="40"/>
        <v>0.76664346420639906</v>
      </c>
      <c r="G206" s="18">
        <f t="shared" si="41"/>
        <v>1.2333565357936032</v>
      </c>
      <c r="H206" s="18">
        <f t="shared" si="43"/>
        <v>-0.4667130715872041</v>
      </c>
      <c r="I206" s="19" t="str">
        <f t="shared" si="44"/>
        <v>B</v>
      </c>
      <c r="J206" s="19">
        <f t="shared" si="52"/>
        <v>7</v>
      </c>
      <c r="K206" s="19" t="str">
        <f>IF(I206="","",IF(J206&gt;=Parameters!$B$5,I206,"HOLD"))</f>
        <v>B</v>
      </c>
      <c r="L206" s="20">
        <f>'Actual Calc'!T206</f>
        <v>224629209.68991014</v>
      </c>
      <c r="M206" s="20">
        <f>'Actual Calc'!U206</f>
        <v>181124739.85193998</v>
      </c>
      <c r="N206" s="21">
        <f t="shared" si="45"/>
        <v>0.55360942251713441</v>
      </c>
      <c r="O206" s="21">
        <f>IF(NOT(ISNUMBER(N206)),"",IF(K206="A",MIN(Parameters!$B$8,N206+Parameters!$B$6),IF(K206="B",MAX(Parameters!$B$7,N206-Parameters!$B$6),N206)))</f>
        <v>0.45360942251713443</v>
      </c>
      <c r="P206" s="22">
        <f t="shared" si="46"/>
        <v>40575394.954185009</v>
      </c>
      <c r="Q206" s="22">
        <f t="shared" si="47"/>
        <v>0</v>
      </c>
      <c r="R206" s="22">
        <f t="shared" si="48"/>
        <v>184053814.73572513</v>
      </c>
      <c r="S206" s="22">
        <f t="shared" si="49"/>
        <v>221700134.80612499</v>
      </c>
      <c r="T206" s="21">
        <f t="shared" si="50"/>
        <v>0.45360942251713449</v>
      </c>
      <c r="U206" s="19" t="e">
        <f t="shared" si="51"/>
        <v>#VALUE!</v>
      </c>
      <c r="V206" s="35" t="s">
        <v>95</v>
      </c>
    </row>
    <row r="207" spans="1:22">
      <c r="A207" s="4">
        <v>44627</v>
      </c>
      <c r="B207" s="5">
        <v>-4.0000000000000001E-3</v>
      </c>
      <c r="C207" s="5">
        <v>-1.8280000000000001E-2</v>
      </c>
      <c r="D207" s="6">
        <f t="shared" si="42"/>
        <v>-1.1140000000000001E-2</v>
      </c>
      <c r="E207" s="8">
        <f t="shared" si="39"/>
        <v>15</v>
      </c>
      <c r="F207" s="9">
        <f t="shared" si="40"/>
        <v>0.76664346420639906</v>
      </c>
      <c r="G207" s="9">
        <f t="shared" si="41"/>
        <v>1.2333565357936032</v>
      </c>
      <c r="H207" s="9">
        <f t="shared" si="43"/>
        <v>-0.4667130715872041</v>
      </c>
      <c r="I207" t="str">
        <f t="shared" si="44"/>
        <v>B</v>
      </c>
      <c r="J207">
        <f t="shared" si="52"/>
        <v>8</v>
      </c>
      <c r="K207" t="str">
        <f>IF(I207="","",IF(J207&gt;=Parameters!$B$5,I207,"HOLD"))</f>
        <v>B</v>
      </c>
      <c r="L207" s="10">
        <f>'Actual Calc'!T207</f>
        <v>174237617.13572514</v>
      </c>
      <c r="M207" s="10">
        <f>'Actual Calc'!U207</f>
        <v>167664429.21412498</v>
      </c>
      <c r="N207" s="12">
        <f t="shared" si="45"/>
        <v>0.50961267706902547</v>
      </c>
      <c r="O207" s="12">
        <f>IF(NOT(ISNUMBER(N207)),"",IF(K207="A",MIN(Parameters!$B$8,N207+Parameters!$B$6),IF(K207="B",MAX(Parameters!$B$7,N207-Parameters!$B$6),N207)))</f>
        <v>0.40961267706902549</v>
      </c>
      <c r="P207" s="13">
        <f t="shared" si="46"/>
        <v>34190204.634985</v>
      </c>
      <c r="Q207" s="13">
        <f t="shared" si="47"/>
        <v>0</v>
      </c>
      <c r="R207" s="13">
        <f t="shared" si="48"/>
        <v>140047412.50074014</v>
      </c>
      <c r="S207" s="13">
        <f t="shared" si="49"/>
        <v>201854633.84910998</v>
      </c>
      <c r="T207" s="12">
        <f t="shared" si="50"/>
        <v>0.40961267706902549</v>
      </c>
      <c r="U207" t="e">
        <f t="shared" si="51"/>
        <v>#VALUE!</v>
      </c>
      <c r="V207" s="25" t="s">
        <v>95</v>
      </c>
    </row>
    <row r="208" spans="1:22">
      <c r="A208" s="14">
        <v>44634</v>
      </c>
      <c r="B208" s="15">
        <v>5.2850000000000001E-2</v>
      </c>
      <c r="C208" s="15">
        <v>0</v>
      </c>
      <c r="D208" s="16">
        <f t="shared" si="42"/>
        <v>2.6425000000000001E-2</v>
      </c>
      <c r="E208" s="17">
        <f t="shared" si="39"/>
        <v>16</v>
      </c>
      <c r="F208" s="18">
        <f t="shared" si="40"/>
        <v>1.1217095576437968</v>
      </c>
      <c r="G208" s="18">
        <f t="shared" si="41"/>
        <v>0.87829044235620457</v>
      </c>
      <c r="H208" s="18">
        <f t="shared" si="43"/>
        <v>0.24341911528759219</v>
      </c>
      <c r="I208" s="19" t="str">
        <f t="shared" si="44"/>
        <v>A</v>
      </c>
      <c r="J208" s="19">
        <f t="shared" si="52"/>
        <v>1</v>
      </c>
      <c r="K208" s="19" t="str">
        <f>IF(I208="","",IF(J208&gt;=Parameters!$B$5,I208,"HOLD"))</f>
        <v>HOLD</v>
      </c>
      <c r="L208" s="20">
        <f>'Actual Calc'!T208</f>
        <v>238734148.79574013</v>
      </c>
      <c r="M208" s="20">
        <f>'Actual Calc'!U208</f>
        <v>201854633.84910998</v>
      </c>
      <c r="N208" s="21">
        <f t="shared" si="45"/>
        <v>0.54185253506142705</v>
      </c>
      <c r="O208" s="21">
        <f>IF(NOT(ISNUMBER(N208)),"",IF(K208="A",MIN(Parameters!$B$8,N208+Parameters!$B$6),IF(K208="B",MAX(Parameters!$B$7,N208-Parameters!$B$6),N208)))</f>
        <v>0.54185253506142705</v>
      </c>
      <c r="P208" s="22">
        <f t="shared" si="46"/>
        <v>0</v>
      </c>
      <c r="Q208" s="22">
        <f t="shared" si="47"/>
        <v>0</v>
      </c>
      <c r="R208" s="22">
        <f t="shared" si="48"/>
        <v>238734148.79574013</v>
      </c>
      <c r="S208" s="22">
        <f t="shared" si="49"/>
        <v>201854633.84910998</v>
      </c>
      <c r="T208" s="21">
        <f t="shared" si="50"/>
        <v>0.54185253506142705</v>
      </c>
      <c r="U208" s="19" t="str">
        <f t="shared" si="51"/>
        <v>No transfer</v>
      </c>
      <c r="V208" s="35" t="s">
        <v>96</v>
      </c>
    </row>
    <row r="209" spans="1:22">
      <c r="A209" s="4">
        <v>44641</v>
      </c>
      <c r="B209" s="5">
        <v>2.605E-2</v>
      </c>
      <c r="C209" s="5">
        <v>-5.79E-3</v>
      </c>
      <c r="D209" s="6">
        <f t="shared" si="42"/>
        <v>1.013E-2</v>
      </c>
      <c r="E209" s="8">
        <f t="shared" si="39"/>
        <v>16</v>
      </c>
      <c r="F209" s="9">
        <f t="shared" si="40"/>
        <v>1.1050066205155591</v>
      </c>
      <c r="G209" s="9">
        <f t="shared" si="41"/>
        <v>0.89499337948444224</v>
      </c>
      <c r="H209" s="9">
        <f t="shared" si="43"/>
        <v>0.21001324103111685</v>
      </c>
      <c r="I209" t="str">
        <f t="shared" si="44"/>
        <v>A</v>
      </c>
      <c r="J209">
        <f t="shared" si="52"/>
        <v>2</v>
      </c>
      <c r="K209" t="str">
        <f>IF(I209="","",IF(J209&gt;=Parameters!$B$5,I209,"HOLD"))</f>
        <v>HOLD</v>
      </c>
      <c r="L209" s="10">
        <f>'Actual Calc'!T209</f>
        <v>321654471.68574011</v>
      </c>
      <c r="M209" s="10">
        <f>'Actual Calc'!U209</f>
        <v>186271466.64210999</v>
      </c>
      <c r="N209" s="12">
        <f t="shared" si="45"/>
        <v>0.63327041880291279</v>
      </c>
      <c r="O209" s="12">
        <f>IF(NOT(ISNUMBER(N209)),"",IF(K209="A",MIN(Parameters!$B$8,N209+Parameters!$B$6),IF(K209="B",MAX(Parameters!$B$7,N209-Parameters!$B$6),N209)))</f>
        <v>0.63327041880291279</v>
      </c>
      <c r="P209" s="13">
        <f t="shared" si="46"/>
        <v>0</v>
      </c>
      <c r="Q209" s="13">
        <f t="shared" si="47"/>
        <v>0</v>
      </c>
      <c r="R209" s="13">
        <f t="shared" si="48"/>
        <v>321654471.68574011</v>
      </c>
      <c r="S209" s="13">
        <f t="shared" si="49"/>
        <v>186271466.64210999</v>
      </c>
      <c r="T209" s="12">
        <f t="shared" si="50"/>
        <v>0.63327041880291279</v>
      </c>
      <c r="U209" t="str">
        <f t="shared" si="51"/>
        <v>No transfer</v>
      </c>
      <c r="V209" s="25" t="s">
        <v>95</v>
      </c>
    </row>
    <row r="210" spans="1:22">
      <c r="A210" s="14">
        <v>44648</v>
      </c>
      <c r="B210" s="15">
        <v>1.5800000000000002E-2</v>
      </c>
      <c r="C210" s="15">
        <v>1.5800000000000002E-2</v>
      </c>
      <c r="D210" s="16">
        <f t="shared" si="42"/>
        <v>1.5800000000000002E-2</v>
      </c>
      <c r="E210" s="17">
        <f t="shared" si="39"/>
        <v>17</v>
      </c>
      <c r="F210" s="18">
        <f t="shared" si="40"/>
        <v>1.0945831282137068</v>
      </c>
      <c r="G210" s="18">
        <f t="shared" si="41"/>
        <v>0.90541687178629449</v>
      </c>
      <c r="H210" s="18">
        <f t="shared" si="43"/>
        <v>0.18916625642741236</v>
      </c>
      <c r="I210" s="19" t="str">
        <f t="shared" si="44"/>
        <v>A</v>
      </c>
      <c r="J210" s="19">
        <f t="shared" si="52"/>
        <v>3</v>
      </c>
      <c r="K210" s="19" t="str">
        <f>IF(I210="","",IF(J210&gt;=Parameters!$B$5,I210,"HOLD"))</f>
        <v>A</v>
      </c>
      <c r="L210" s="20">
        <f>'Actual Calc'!T210</f>
        <v>389416325.10574013</v>
      </c>
      <c r="M210" s="20">
        <f>'Actual Calc'!U210</f>
        <v>225512634.20210999</v>
      </c>
      <c r="N210" s="21">
        <f t="shared" si="45"/>
        <v>0.63327042776462861</v>
      </c>
      <c r="O210" s="21">
        <f>IF(NOT(ISNUMBER(N210)),"",IF(K210="A",MIN(Parameters!$B$8,N210+Parameters!$B$6),IF(K210="B",MAX(Parameters!$B$7,N210-Parameters!$B$6),N210)))</f>
        <v>0.73327042776462859</v>
      </c>
      <c r="P210" s="22">
        <f t="shared" si="46"/>
        <v>0</v>
      </c>
      <c r="Q210" s="22">
        <f t="shared" si="47"/>
        <v>61492895.930785</v>
      </c>
      <c r="R210" s="22">
        <f t="shared" si="48"/>
        <v>450909221.03652513</v>
      </c>
      <c r="S210" s="22">
        <f t="shared" si="49"/>
        <v>164019738.27132499</v>
      </c>
      <c r="T210" s="21">
        <f t="shared" si="50"/>
        <v>0.73327042776462859</v>
      </c>
      <c r="U210" s="19" t="e">
        <f t="shared" si="51"/>
        <v>#VALUE!</v>
      </c>
      <c r="V210" s="35" t="s">
        <v>95</v>
      </c>
    </row>
    <row r="211" spans="1:22">
      <c r="A211" s="4">
        <v>44655</v>
      </c>
      <c r="B211" s="5">
        <v>1.7989999999999999E-2</v>
      </c>
      <c r="C211" s="5">
        <v>1.7989999999999999E-2</v>
      </c>
      <c r="D211" s="6">
        <f t="shared" si="42"/>
        <v>1.7989999999999999E-2</v>
      </c>
      <c r="E211" s="8">
        <f t="shared" si="39"/>
        <v>18</v>
      </c>
      <c r="F211" s="9">
        <f t="shared" si="40"/>
        <v>1.0753764702843669</v>
      </c>
      <c r="G211" s="9">
        <f t="shared" si="41"/>
        <v>0.92462352971563411</v>
      </c>
      <c r="H211" s="9">
        <f t="shared" si="43"/>
        <v>0.15075294056873279</v>
      </c>
      <c r="I211" t="str">
        <f t="shared" si="44"/>
        <v>A</v>
      </c>
      <c r="J211">
        <f t="shared" si="52"/>
        <v>4</v>
      </c>
      <c r="K211" t="str">
        <f>IF(I211="","",IF(J211&gt;=Parameters!$B$5,I211,"HOLD"))</f>
        <v>A</v>
      </c>
      <c r="L211" s="10">
        <f>'Actual Calc'!T211</f>
        <v>559067292.21852517</v>
      </c>
      <c r="M211" s="10">
        <f>'Actual Calc'!U211</f>
        <v>203362603.574325</v>
      </c>
      <c r="N211" s="12">
        <f t="shared" si="45"/>
        <v>0.73327042302971557</v>
      </c>
      <c r="O211" s="12">
        <f>IF(NOT(ISNUMBER(N211)),"",IF(K211="A",MIN(Parameters!$B$8,N211+Parameters!$B$6),IF(K211="B",MAX(Parameters!$B$7,N211-Parameters!$B$6),N211)))</f>
        <v>0.83327042302971555</v>
      </c>
      <c r="P211" s="13">
        <f t="shared" si="46"/>
        <v>0</v>
      </c>
      <c r="Q211" s="13">
        <f t="shared" si="47"/>
        <v>76242989.579285026</v>
      </c>
      <c r="R211" s="13">
        <f t="shared" si="48"/>
        <v>635310281.7978102</v>
      </c>
      <c r="S211" s="13">
        <f t="shared" si="49"/>
        <v>127119613.99503997</v>
      </c>
      <c r="T211" s="12">
        <f t="shared" si="50"/>
        <v>0.83327042302971555</v>
      </c>
      <c r="U211" t="e">
        <f t="shared" si="51"/>
        <v>#VALUE!</v>
      </c>
      <c r="V211" s="25" t="s">
        <v>95</v>
      </c>
    </row>
    <row r="212" spans="1:22">
      <c r="A212" s="14">
        <v>44662</v>
      </c>
      <c r="B212" s="15">
        <v>-3.9899999999999996E-3</v>
      </c>
      <c r="C212" s="15">
        <v>0</v>
      </c>
      <c r="D212" s="16">
        <f t="shared" si="42"/>
        <v>-1.9949999999999998E-3</v>
      </c>
      <c r="E212" s="17">
        <f t="shared" si="39"/>
        <v>18</v>
      </c>
      <c r="F212" s="18">
        <f t="shared" si="40"/>
        <v>1.0753764702843669</v>
      </c>
      <c r="G212" s="18">
        <f t="shared" si="41"/>
        <v>0.92462352971563411</v>
      </c>
      <c r="H212" s="18">
        <f t="shared" si="43"/>
        <v>0.15075294056873279</v>
      </c>
      <c r="I212" s="19" t="str">
        <f t="shared" si="44"/>
        <v>A</v>
      </c>
      <c r="J212" s="19">
        <f t="shared" si="52"/>
        <v>5</v>
      </c>
      <c r="K212" s="19" t="str">
        <f>IF(I212="","",IF(J212&gt;=Parameters!$B$5,I212,"HOLD"))</f>
        <v>A</v>
      </c>
      <c r="L212" s="20">
        <f>'Actual Calc'!T212</f>
        <v>601511776.23181021</v>
      </c>
      <c r="M212" s="20">
        <f>'Actual Calc'!U212</f>
        <v>127119613.99503997</v>
      </c>
      <c r="N212" s="21">
        <f t="shared" si="45"/>
        <v>0.82553645684210386</v>
      </c>
      <c r="O212" s="21">
        <f>IF(NOT(ISNUMBER(N212)),"",IF(K212="A",MIN(Parameters!$B$8,N212+Parameters!$B$6),IF(K212="B",MAX(Parameters!$B$7,N212-Parameters!$B$6),N212)))</f>
        <v>0.92553645684210384</v>
      </c>
      <c r="P212" s="22">
        <f t="shared" si="46"/>
        <v>0</v>
      </c>
      <c r="Q212" s="22">
        <f t="shared" si="47"/>
        <v>72863139.022685051</v>
      </c>
      <c r="R212" s="22">
        <f t="shared" si="48"/>
        <v>674374915.25449526</v>
      </c>
      <c r="S212" s="22">
        <f t="shared" si="49"/>
        <v>54256474.972354919</v>
      </c>
      <c r="T212" s="21">
        <f t="shared" si="50"/>
        <v>0.92553645684210395</v>
      </c>
      <c r="U212" s="19" t="e">
        <f t="shared" si="51"/>
        <v>#VALUE!</v>
      </c>
      <c r="V212" s="35" t="s">
        <v>96</v>
      </c>
    </row>
    <row r="213" spans="1:22">
      <c r="A213" s="4">
        <v>44669</v>
      </c>
      <c r="B213" s="5">
        <v>8.4100000000000008E-3</v>
      </c>
      <c r="C213" s="5">
        <v>8.4100000000000008E-3</v>
      </c>
      <c r="D213" s="6">
        <f t="shared" si="42"/>
        <v>8.4100000000000008E-3</v>
      </c>
      <c r="E213" s="8">
        <f t="shared" si="39"/>
        <v>18</v>
      </c>
      <c r="F213" s="9">
        <f t="shared" si="40"/>
        <v>1.0959807797941992</v>
      </c>
      <c r="G213" s="9">
        <f t="shared" si="41"/>
        <v>0.90401922020580039</v>
      </c>
      <c r="H213" s="9">
        <f t="shared" si="43"/>
        <v>0.19196155958839878</v>
      </c>
      <c r="I213" t="str">
        <f t="shared" si="44"/>
        <v>A</v>
      </c>
      <c r="J213">
        <f t="shared" si="52"/>
        <v>6</v>
      </c>
      <c r="K213" t="str">
        <f>IF(I213="","",IF(J213&gt;=Parameters!$B$5,I213,"HOLD"))</f>
        <v>A</v>
      </c>
      <c r="L213" s="10">
        <f>'Actual Calc'!T213</f>
        <v>749994806.97149527</v>
      </c>
      <c r="M213" s="10">
        <f>'Actual Calc'!U213</f>
        <v>60340428.762354918</v>
      </c>
      <c r="N213" s="12">
        <f t="shared" si="45"/>
        <v>0.92553646182285298</v>
      </c>
      <c r="O213" s="12">
        <f>IF(NOT(ISNUMBER(N213)),"",IF(K213="A",MIN(Parameters!$B$8,N213+Parameters!$B$6),IF(K213="B",MAX(Parameters!$B$7,N213-Parameters!$B$6),N213)))</f>
        <v>1</v>
      </c>
      <c r="P213" s="13">
        <f t="shared" si="46"/>
        <v>0</v>
      </c>
      <c r="Q213" s="13">
        <f t="shared" si="47"/>
        <v>60340428.76235497</v>
      </c>
      <c r="R213" s="13">
        <f t="shared" si="48"/>
        <v>810335235.73385024</v>
      </c>
      <c r="S213" s="13">
        <f t="shared" si="49"/>
        <v>-5.2154064178466797E-8</v>
      </c>
      <c r="T213" s="12">
        <f t="shared" si="50"/>
        <v>1</v>
      </c>
      <c r="U213" t="e">
        <f t="shared" si="51"/>
        <v>#VALUE!</v>
      </c>
      <c r="V213" s="25" t="s">
        <v>95</v>
      </c>
    </row>
    <row r="214" spans="1:22">
      <c r="A214" s="14">
        <v>44676</v>
      </c>
      <c r="B214" s="15">
        <v>1.8839999999999999E-2</v>
      </c>
      <c r="C214" s="15">
        <v>1.8839999999999999E-2</v>
      </c>
      <c r="D214" s="16">
        <f t="shared" si="42"/>
        <v>1.8839999999999999E-2</v>
      </c>
      <c r="E214" s="17">
        <f t="shared" si="39"/>
        <v>18</v>
      </c>
      <c r="F214" s="18">
        <f t="shared" si="40"/>
        <v>1.0550166077418053</v>
      </c>
      <c r="G214" s="18">
        <f t="shared" si="41"/>
        <v>0.94498339225819472</v>
      </c>
      <c r="H214" s="18">
        <f t="shared" si="43"/>
        <v>0.11003321548361056</v>
      </c>
      <c r="I214" s="19" t="str">
        <f t="shared" si="44"/>
        <v>A</v>
      </c>
      <c r="J214" s="19">
        <f t="shared" si="52"/>
        <v>7</v>
      </c>
      <c r="K214" s="19" t="str">
        <f>IF(I214="","",IF(J214&gt;=Parameters!$B$5,I214,"HOLD"))</f>
        <v>A</v>
      </c>
      <c r="L214" s="20">
        <f>'Actual Calc'!T214</f>
        <v>1013891422.2738502</v>
      </c>
      <c r="M214" s="20">
        <f>'Actual Calc'!U214</f>
        <v>0</v>
      </c>
      <c r="N214" s="21">
        <f t="shared" si="45"/>
        <v>1</v>
      </c>
      <c r="O214" s="21">
        <f>IF(NOT(ISNUMBER(N214)),"",IF(K214="A",MIN(Parameters!$B$8,N214+Parameters!$B$6),IF(K214="B",MAX(Parameters!$B$7,N214-Parameters!$B$6),N214)))</f>
        <v>1</v>
      </c>
      <c r="P214" s="22">
        <f t="shared" si="46"/>
        <v>0</v>
      </c>
      <c r="Q214" s="22">
        <f t="shared" si="47"/>
        <v>0</v>
      </c>
      <c r="R214" s="22">
        <f t="shared" si="48"/>
        <v>1013891422.2738502</v>
      </c>
      <c r="S214" s="22">
        <f t="shared" si="49"/>
        <v>0</v>
      </c>
      <c r="T214" s="21">
        <f t="shared" si="50"/>
        <v>1</v>
      </c>
      <c r="U214" s="19" t="str">
        <f t="shared" si="51"/>
        <v>No transfer</v>
      </c>
      <c r="V214" s="35" t="s">
        <v>95</v>
      </c>
    </row>
    <row r="215" spans="1:22">
      <c r="A215" s="4">
        <v>44683</v>
      </c>
      <c r="B215" s="5">
        <v>1.839E-2</v>
      </c>
      <c r="C215" s="5">
        <v>1.839E-2</v>
      </c>
      <c r="D215" s="6">
        <f t="shared" si="42"/>
        <v>1.839E-2</v>
      </c>
      <c r="E215" s="8">
        <f t="shared" si="39"/>
        <v>18</v>
      </c>
      <c r="F215" s="9">
        <f t="shared" si="40"/>
        <v>1.1348039213086798</v>
      </c>
      <c r="G215" s="9">
        <f t="shared" si="41"/>
        <v>0.86519607869131909</v>
      </c>
      <c r="H215" s="9">
        <f t="shared" si="43"/>
        <v>0.2696078426173607</v>
      </c>
      <c r="I215" t="str">
        <f t="shared" si="44"/>
        <v>A</v>
      </c>
      <c r="J215">
        <f t="shared" si="52"/>
        <v>8</v>
      </c>
      <c r="K215" t="str">
        <f>IF(I215="","",IF(J215&gt;=Parameters!$B$5,I215,"HOLD"))</f>
        <v>A</v>
      </c>
      <c r="L215" s="10">
        <f>'Actual Calc'!T215</f>
        <v>1262497580.6808503</v>
      </c>
      <c r="M215" s="10">
        <f>'Actual Calc'!U215</f>
        <v>0</v>
      </c>
      <c r="N215" s="12">
        <f t="shared" si="45"/>
        <v>1</v>
      </c>
      <c r="O215" s="12">
        <f>IF(NOT(ISNUMBER(N215)),"",IF(K215="A",MIN(Parameters!$B$8,N215+Parameters!$B$6),IF(K215="B",MAX(Parameters!$B$7,N215-Parameters!$B$6),N215)))</f>
        <v>1</v>
      </c>
      <c r="P215" s="13">
        <f t="shared" si="46"/>
        <v>0</v>
      </c>
      <c r="Q215" s="13">
        <f t="shared" si="47"/>
        <v>0</v>
      </c>
      <c r="R215" s="13">
        <f t="shared" si="48"/>
        <v>1262497580.6808503</v>
      </c>
      <c r="S215" s="13">
        <f t="shared" si="49"/>
        <v>0</v>
      </c>
      <c r="T215" s="12">
        <f t="shared" si="50"/>
        <v>1</v>
      </c>
      <c r="U215" t="str">
        <f t="shared" si="51"/>
        <v>No transfer</v>
      </c>
      <c r="V215" s="25" t="s">
        <v>95</v>
      </c>
    </row>
    <row r="216" spans="1:22">
      <c r="A216" s="14">
        <v>44690</v>
      </c>
      <c r="B216" s="15">
        <v>-3.9899999999999996E-3</v>
      </c>
      <c r="C216" s="15">
        <v>-9.9399999999999992E-3</v>
      </c>
      <c r="D216" s="16">
        <f t="shared" si="42"/>
        <v>-6.964999999999999E-3</v>
      </c>
      <c r="E216" s="17">
        <f t="shared" si="39"/>
        <v>18</v>
      </c>
      <c r="F216" s="18">
        <f t="shared" si="40"/>
        <v>1.1348039213086798</v>
      </c>
      <c r="G216" s="18">
        <f t="shared" si="41"/>
        <v>0.86519607869131909</v>
      </c>
      <c r="H216" s="18">
        <f t="shared" si="43"/>
        <v>0.2696078426173607</v>
      </c>
      <c r="I216" s="19" t="str">
        <f t="shared" si="44"/>
        <v>A</v>
      </c>
      <c r="J216" s="19">
        <f t="shared" si="52"/>
        <v>9</v>
      </c>
      <c r="K216" s="19" t="str">
        <f>IF(I216="","",IF(J216&gt;=Parameters!$B$5,I216,"HOLD"))</f>
        <v>A</v>
      </c>
      <c r="L216" s="20">
        <f>'Actual Calc'!T216</f>
        <v>1195332714.4788504</v>
      </c>
      <c r="M216" s="20">
        <f>'Actual Calc'!U216</f>
        <v>0</v>
      </c>
      <c r="N216" s="21">
        <f t="shared" si="45"/>
        <v>1</v>
      </c>
      <c r="O216" s="21">
        <f>IF(NOT(ISNUMBER(N216)),"",IF(K216="A",MIN(Parameters!$B$8,N216+Parameters!$B$6),IF(K216="B",MAX(Parameters!$B$7,N216-Parameters!$B$6),N216)))</f>
        <v>1</v>
      </c>
      <c r="P216" s="22">
        <f t="shared" si="46"/>
        <v>0</v>
      </c>
      <c r="Q216" s="22">
        <f t="shared" si="47"/>
        <v>0</v>
      </c>
      <c r="R216" s="22">
        <f t="shared" si="48"/>
        <v>1195332714.4788504</v>
      </c>
      <c r="S216" s="22">
        <f t="shared" si="49"/>
        <v>0</v>
      </c>
      <c r="T216" s="21">
        <f t="shared" si="50"/>
        <v>1</v>
      </c>
      <c r="U216" s="19" t="str">
        <f t="shared" si="51"/>
        <v>No transfer</v>
      </c>
      <c r="V216" s="35" t="s">
        <v>95</v>
      </c>
    </row>
    <row r="217" spans="1:22">
      <c r="A217" s="4">
        <v>44697</v>
      </c>
      <c r="B217" s="5">
        <v>1.6039999999999999E-2</v>
      </c>
      <c r="C217" s="5">
        <v>1.6039999999999999E-2</v>
      </c>
      <c r="D217" s="6">
        <f t="shared" si="42"/>
        <v>1.6039999999999999E-2</v>
      </c>
      <c r="E217" s="8">
        <f t="shared" si="39"/>
        <v>18</v>
      </c>
      <c r="F217" s="9">
        <f t="shared" si="40"/>
        <v>1.1661315990791272</v>
      </c>
      <c r="G217" s="9">
        <f t="shared" si="41"/>
        <v>0.833868400920874</v>
      </c>
      <c r="H217" s="9">
        <f t="shared" si="43"/>
        <v>0.33226319815825323</v>
      </c>
      <c r="I217" t="str">
        <f t="shared" si="44"/>
        <v>A</v>
      </c>
      <c r="J217">
        <f t="shared" si="52"/>
        <v>10</v>
      </c>
      <c r="K217" t="str">
        <f>IF(I217="","",IF(J217&gt;=Parameters!$B$5,I217,"HOLD"))</f>
        <v>A</v>
      </c>
      <c r="L217" s="10">
        <f>'Actual Calc'!T217</f>
        <v>1450974537.2588503</v>
      </c>
      <c r="M217" s="10">
        <f>'Actual Calc'!U217</f>
        <v>0</v>
      </c>
      <c r="N217" s="12">
        <f t="shared" si="45"/>
        <v>1</v>
      </c>
      <c r="O217" s="12">
        <f>IF(NOT(ISNUMBER(N217)),"",IF(K217="A",MIN(Parameters!$B$8,N217+Parameters!$B$6),IF(K217="B",MAX(Parameters!$B$7,N217-Parameters!$B$6),N217)))</f>
        <v>1</v>
      </c>
      <c r="P217" s="13">
        <f t="shared" si="46"/>
        <v>0</v>
      </c>
      <c r="Q217" s="13">
        <f t="shared" si="47"/>
        <v>0</v>
      </c>
      <c r="R217" s="13">
        <f t="shared" si="48"/>
        <v>1450974537.2588503</v>
      </c>
      <c r="S217" s="13">
        <f t="shared" si="49"/>
        <v>0</v>
      </c>
      <c r="T217" s="12">
        <f t="shared" si="50"/>
        <v>1</v>
      </c>
      <c r="U217" t="str">
        <f t="shared" si="51"/>
        <v>No transfer</v>
      </c>
      <c r="V217" s="25" t="s">
        <v>95</v>
      </c>
    </row>
    <row r="218" spans="1:22">
      <c r="A218" s="14">
        <v>44704</v>
      </c>
      <c r="B218" s="15">
        <v>1.332E-2</v>
      </c>
      <c r="C218" s="15">
        <v>0</v>
      </c>
      <c r="D218" s="16">
        <f t="shared" si="42"/>
        <v>6.6600000000000001E-3</v>
      </c>
      <c r="E218" s="17">
        <f t="shared" si="39"/>
        <v>19</v>
      </c>
      <c r="F218" s="18">
        <f t="shared" si="40"/>
        <v>1.1360695907548715</v>
      </c>
      <c r="G218" s="18">
        <f t="shared" si="41"/>
        <v>0.86393040924513131</v>
      </c>
      <c r="H218" s="18">
        <f t="shared" si="43"/>
        <v>0.27213918150974015</v>
      </c>
      <c r="I218" s="19" t="str">
        <f t="shared" si="44"/>
        <v>A</v>
      </c>
      <c r="J218" s="19">
        <f t="shared" si="52"/>
        <v>11</v>
      </c>
      <c r="K218" s="19" t="str">
        <f>IF(I218="","",IF(J218&gt;=Parameters!$B$5,I218,"HOLD"))</f>
        <v>A</v>
      </c>
      <c r="L218" s="20">
        <f>'Actual Calc'!T218</f>
        <v>1708667596.9148502</v>
      </c>
      <c r="M218" s="20">
        <f>'Actual Calc'!U218</f>
        <v>0</v>
      </c>
      <c r="N218" s="21">
        <f t="shared" si="45"/>
        <v>1</v>
      </c>
      <c r="O218" s="21">
        <f>IF(NOT(ISNUMBER(N218)),"",IF(K218="A",MIN(Parameters!$B$8,N218+Parameters!$B$6),IF(K218="B",MAX(Parameters!$B$7,N218-Parameters!$B$6),N218)))</f>
        <v>1</v>
      </c>
      <c r="P218" s="22">
        <f t="shared" si="46"/>
        <v>0</v>
      </c>
      <c r="Q218" s="22">
        <f t="shared" si="47"/>
        <v>0</v>
      </c>
      <c r="R218" s="22">
        <f t="shared" si="48"/>
        <v>1708667596.9148502</v>
      </c>
      <c r="S218" s="22">
        <f t="shared" si="49"/>
        <v>0</v>
      </c>
      <c r="T218" s="21">
        <f t="shared" si="50"/>
        <v>1</v>
      </c>
      <c r="U218" s="19" t="str">
        <f t="shared" si="51"/>
        <v>No transfer</v>
      </c>
      <c r="V218" s="35" t="s">
        <v>96</v>
      </c>
    </row>
    <row r="219" spans="1:22">
      <c r="A219" s="4">
        <v>44711</v>
      </c>
      <c r="B219" s="5">
        <v>-9.9600000000000001E-3</v>
      </c>
      <c r="C219" s="5">
        <v>-8.5900000000000004E-3</v>
      </c>
      <c r="D219" s="6">
        <f t="shared" si="42"/>
        <v>-9.2750000000000003E-3</v>
      </c>
      <c r="E219" s="8">
        <f t="shared" si="39"/>
        <v>18</v>
      </c>
      <c r="F219" s="9">
        <f t="shared" si="40"/>
        <v>1.1189458495110698</v>
      </c>
      <c r="G219" s="9">
        <f t="shared" si="41"/>
        <v>0.88105415048892843</v>
      </c>
      <c r="H219" s="9">
        <f t="shared" si="43"/>
        <v>0.23789169902214136</v>
      </c>
      <c r="I219" t="str">
        <f t="shared" si="44"/>
        <v>A</v>
      </c>
      <c r="J219">
        <f t="shared" si="52"/>
        <v>12</v>
      </c>
      <c r="K219" t="str">
        <f>IF(I219="","",IF(J219&gt;=Parameters!$B$5,I219,"HOLD"))</f>
        <v>A</v>
      </c>
      <c r="L219" s="10">
        <f>'Actual Calc'!T219</f>
        <v>1481756549.2628503</v>
      </c>
      <c r="M219" s="10">
        <f>'Actual Calc'!U219</f>
        <v>0</v>
      </c>
      <c r="N219" s="12">
        <f t="shared" si="45"/>
        <v>1</v>
      </c>
      <c r="O219" s="12">
        <f>IF(NOT(ISNUMBER(N219)),"",IF(K219="A",MIN(Parameters!$B$8,N219+Parameters!$B$6),IF(K219="B",MAX(Parameters!$B$7,N219-Parameters!$B$6),N219)))</f>
        <v>1</v>
      </c>
      <c r="P219" s="13">
        <f t="shared" si="46"/>
        <v>0</v>
      </c>
      <c r="Q219" s="13">
        <f t="shared" si="47"/>
        <v>0</v>
      </c>
      <c r="R219" s="13">
        <f t="shared" si="48"/>
        <v>1481756549.2628503</v>
      </c>
      <c r="S219" s="13">
        <f t="shared" si="49"/>
        <v>0</v>
      </c>
      <c r="T219" s="12">
        <f t="shared" si="50"/>
        <v>1</v>
      </c>
      <c r="U219" t="str">
        <f t="shared" si="51"/>
        <v>No transfer</v>
      </c>
      <c r="V219" s="25" t="s">
        <v>95</v>
      </c>
    </row>
    <row r="220" spans="1:22">
      <c r="A220" s="14">
        <v>44718</v>
      </c>
      <c r="B220" s="15">
        <v>-9.7800000000000005E-3</v>
      </c>
      <c r="C220" s="15">
        <v>0</v>
      </c>
      <c r="D220" s="16">
        <f t="shared" si="42"/>
        <v>-4.8900000000000002E-3</v>
      </c>
      <c r="E220" s="17">
        <f t="shared" si="39"/>
        <v>17</v>
      </c>
      <c r="F220" s="18">
        <f t="shared" si="40"/>
        <v>1.0873439302606374</v>
      </c>
      <c r="G220" s="18">
        <f t="shared" si="41"/>
        <v>0.91265606973936075</v>
      </c>
      <c r="H220" s="18">
        <f t="shared" si="43"/>
        <v>0.17468786052127661</v>
      </c>
      <c r="I220" s="19" t="str">
        <f t="shared" si="44"/>
        <v>A</v>
      </c>
      <c r="J220" s="19">
        <f t="shared" si="52"/>
        <v>13</v>
      </c>
      <c r="K220" s="19" t="str">
        <f>IF(I220="","",IF(J220&gt;=Parameters!$B$5,I220,"HOLD"))</f>
        <v>A</v>
      </c>
      <c r="L220" s="20">
        <f>'Actual Calc'!T220</f>
        <v>1288535496.1208503</v>
      </c>
      <c r="M220" s="20">
        <f>'Actual Calc'!U220</f>
        <v>0</v>
      </c>
      <c r="N220" s="21">
        <f t="shared" si="45"/>
        <v>1</v>
      </c>
      <c r="O220" s="21">
        <f>IF(NOT(ISNUMBER(N220)),"",IF(K220="A",MIN(Parameters!$B$8,N220+Parameters!$B$6),IF(K220="B",MAX(Parameters!$B$7,N220-Parameters!$B$6),N220)))</f>
        <v>1</v>
      </c>
      <c r="P220" s="22">
        <f t="shared" si="46"/>
        <v>0</v>
      </c>
      <c r="Q220" s="22">
        <f t="shared" si="47"/>
        <v>0</v>
      </c>
      <c r="R220" s="22">
        <f t="shared" si="48"/>
        <v>1288535496.1208503</v>
      </c>
      <c r="S220" s="22">
        <f t="shared" si="49"/>
        <v>0</v>
      </c>
      <c r="T220" s="21">
        <f t="shared" si="50"/>
        <v>1</v>
      </c>
      <c r="U220" s="19" t="str">
        <f t="shared" si="51"/>
        <v>No transfer</v>
      </c>
      <c r="V220" s="35" t="s">
        <v>96</v>
      </c>
    </row>
    <row r="221" spans="1:22">
      <c r="A221" s="4">
        <v>44725</v>
      </c>
      <c r="B221" s="5">
        <v>-3.79E-3</v>
      </c>
      <c r="C221" s="5">
        <v>0</v>
      </c>
      <c r="D221" s="6">
        <f t="shared" si="42"/>
        <v>-1.895E-3</v>
      </c>
      <c r="E221" s="8">
        <f t="shared" ref="E221:E284" si="53">IF(NOT(ISNUMBER(D221)),"",COUNTIF(D196:D221,"&gt;0"))</f>
        <v>17</v>
      </c>
      <c r="F221" s="9">
        <f t="shared" ref="F221:F284" si="54">IF(OR(NOT(ISNUMBER(E221)),E221&lt;2),"",IFERROR((SUMPRODUCT(--(D196:D221&gt;0),B196:B221,D196:D221)-SUMPRODUCT(--(D196:D221&gt;0),B196:B221)*SUMPRODUCT(--(D196:D221&gt;0),D196:D221)/E221)/(SUMPRODUCT(--(D196:D221&gt;0),D196:D221,D196:D221)-SUMPRODUCT(--(D196:D221&gt;0),D196:D221)^2/E221),""))</f>
        <v>1.0873439302606374</v>
      </c>
      <c r="G221" s="9">
        <f t="shared" ref="G221:G284" si="55">IF(OR(NOT(ISNUMBER(E221)),E221&lt;2),"",IFERROR((SUMPRODUCT(--(D196:D221&gt;0),C196:C221,D196:D221)-SUMPRODUCT(--(D196:D221&gt;0),C196:C221)*SUMPRODUCT(--(D196:D221&gt;0),D196:D221)/E221)/(SUMPRODUCT(--(D196:D221&gt;0),D196:D221,D196:D221)-SUMPRODUCT(--(D196:D221&gt;0),D196:D221)^2/E221),""))</f>
        <v>0.91265606973936075</v>
      </c>
      <c r="H221" s="9">
        <f t="shared" si="43"/>
        <v>0.17468786052127661</v>
      </c>
      <c r="I221" t="str">
        <f t="shared" si="44"/>
        <v>A</v>
      </c>
      <c r="J221">
        <f t="shared" si="52"/>
        <v>14</v>
      </c>
      <c r="K221" t="str">
        <f>IF(I221="","",IF(J221&gt;=Parameters!$B$5,I221,"HOLD"))</f>
        <v>A</v>
      </c>
      <c r="L221" s="10">
        <f>'Actual Calc'!T221</f>
        <v>1223421511.0308504</v>
      </c>
      <c r="M221" s="10">
        <f>'Actual Calc'!U221</f>
        <v>0</v>
      </c>
      <c r="N221" s="12">
        <f t="shared" si="45"/>
        <v>1</v>
      </c>
      <c r="O221" s="12">
        <f>IF(NOT(ISNUMBER(N221)),"",IF(K221="A",MIN(Parameters!$B$8,N221+Parameters!$B$6),IF(K221="B",MAX(Parameters!$B$7,N221-Parameters!$B$6),N221)))</f>
        <v>1</v>
      </c>
      <c r="P221" s="13">
        <f t="shared" si="46"/>
        <v>0</v>
      </c>
      <c r="Q221" s="13">
        <f t="shared" si="47"/>
        <v>0</v>
      </c>
      <c r="R221" s="13">
        <f t="shared" si="48"/>
        <v>1223421511.0308504</v>
      </c>
      <c r="S221" s="13">
        <f t="shared" si="49"/>
        <v>0</v>
      </c>
      <c r="T221" s="12">
        <f t="shared" si="50"/>
        <v>1</v>
      </c>
      <c r="U221" t="str">
        <f t="shared" si="51"/>
        <v>No transfer</v>
      </c>
      <c r="V221" s="25" t="s">
        <v>96</v>
      </c>
    </row>
    <row r="222" spans="1:22">
      <c r="A222" s="14">
        <v>44732</v>
      </c>
      <c r="B222" s="15">
        <v>8.5500000000000003E-3</v>
      </c>
      <c r="C222" s="15">
        <v>0</v>
      </c>
      <c r="D222" s="16">
        <f t="shared" si="42"/>
        <v>4.2750000000000002E-3</v>
      </c>
      <c r="E222" s="17">
        <f t="shared" si="53"/>
        <v>17</v>
      </c>
      <c r="F222" s="18">
        <f t="shared" si="54"/>
        <v>1.0502575101271825</v>
      </c>
      <c r="G222" s="18">
        <f t="shared" si="55"/>
        <v>0.94974248987281584</v>
      </c>
      <c r="H222" s="18">
        <f t="shared" si="43"/>
        <v>0.10051502025436665</v>
      </c>
      <c r="I222" s="19" t="str">
        <f t="shared" si="44"/>
        <v>A</v>
      </c>
      <c r="J222" s="19">
        <f t="shared" si="52"/>
        <v>15</v>
      </c>
      <c r="K222" s="19" t="str">
        <f>IF(I222="","",IF(J222&gt;=Parameters!$B$5,I222,"HOLD"))</f>
        <v>A</v>
      </c>
      <c r="L222" s="20">
        <f>'Actual Calc'!T222</f>
        <v>1362891551.2008505</v>
      </c>
      <c r="M222" s="20">
        <f>'Actual Calc'!U222</f>
        <v>0</v>
      </c>
      <c r="N222" s="21">
        <f t="shared" si="45"/>
        <v>1</v>
      </c>
      <c r="O222" s="21">
        <f>IF(NOT(ISNUMBER(N222)),"",IF(K222="A",MIN(Parameters!$B$8,N222+Parameters!$B$6),IF(K222="B",MAX(Parameters!$B$7,N222-Parameters!$B$6),N222)))</f>
        <v>1</v>
      </c>
      <c r="P222" s="22">
        <f t="shared" si="46"/>
        <v>0</v>
      </c>
      <c r="Q222" s="22">
        <f t="shared" si="47"/>
        <v>0</v>
      </c>
      <c r="R222" s="22">
        <f t="shared" si="48"/>
        <v>1362891551.2008505</v>
      </c>
      <c r="S222" s="22">
        <f t="shared" si="49"/>
        <v>0</v>
      </c>
      <c r="T222" s="21">
        <f t="shared" si="50"/>
        <v>1</v>
      </c>
      <c r="U222" s="19" t="str">
        <f t="shared" si="51"/>
        <v>No transfer</v>
      </c>
      <c r="V222" s="35" t="s">
        <v>96</v>
      </c>
    </row>
    <row r="223" spans="1:22">
      <c r="A223" s="4">
        <v>44739</v>
      </c>
      <c r="B223" s="5">
        <v>-4.0779999999999997E-2</v>
      </c>
      <c r="C223" s="5">
        <v>-1.0370000000000001E-2</v>
      </c>
      <c r="D223" s="6">
        <f t="shared" si="42"/>
        <v>-2.5575000000000001E-2</v>
      </c>
      <c r="E223" s="8">
        <f t="shared" si="53"/>
        <v>16</v>
      </c>
      <c r="F223" s="9">
        <f t="shared" si="54"/>
        <v>1.0495344505249096</v>
      </c>
      <c r="G223" s="9">
        <f t="shared" si="55"/>
        <v>0.95046554947508965</v>
      </c>
      <c r="H223" s="9">
        <f t="shared" si="43"/>
        <v>9.9068901049819913E-2</v>
      </c>
      <c r="I223" t="str">
        <f t="shared" si="44"/>
        <v>A</v>
      </c>
      <c r="J223">
        <f t="shared" si="52"/>
        <v>16</v>
      </c>
      <c r="K223" t="str">
        <f>IF(I223="","",IF(J223&gt;=Parameters!$B$5,I223,"HOLD"))</f>
        <v>A</v>
      </c>
      <c r="L223" s="10">
        <f>'Actual Calc'!T223</f>
        <v>621842040.12085056</v>
      </c>
      <c r="M223" s="10">
        <f>'Actual Calc'!U223</f>
        <v>0</v>
      </c>
      <c r="N223" s="12">
        <f t="shared" si="45"/>
        <v>1</v>
      </c>
      <c r="O223" s="12">
        <f>IF(NOT(ISNUMBER(N223)),"",IF(K223="A",MIN(Parameters!$B$8,N223+Parameters!$B$6),IF(K223="B",MAX(Parameters!$B$7,N223-Parameters!$B$6),N223)))</f>
        <v>1</v>
      </c>
      <c r="P223" s="13">
        <f t="shared" si="46"/>
        <v>0</v>
      </c>
      <c r="Q223" s="13">
        <f t="shared" si="47"/>
        <v>0</v>
      </c>
      <c r="R223" s="13">
        <f t="shared" si="48"/>
        <v>621842040.12085056</v>
      </c>
      <c r="S223" s="13">
        <f t="shared" si="49"/>
        <v>0</v>
      </c>
      <c r="T223" s="12">
        <f t="shared" si="50"/>
        <v>1</v>
      </c>
      <c r="U223" t="str">
        <f t="shared" si="51"/>
        <v>No transfer</v>
      </c>
      <c r="V223" s="25" t="s">
        <v>95</v>
      </c>
    </row>
    <row r="224" spans="1:22">
      <c r="A224" s="14">
        <v>44746</v>
      </c>
      <c r="B224" s="15">
        <v>3.024E-2</v>
      </c>
      <c r="C224" s="15">
        <v>0</v>
      </c>
      <c r="D224" s="16">
        <f t="shared" si="42"/>
        <v>1.512E-2</v>
      </c>
      <c r="E224" s="17">
        <f t="shared" si="53"/>
        <v>16</v>
      </c>
      <c r="F224" s="18">
        <f t="shared" si="54"/>
        <v>1.0228236466340423</v>
      </c>
      <c r="G224" s="18">
        <f t="shared" si="55"/>
        <v>0.9771763533659571</v>
      </c>
      <c r="H224" s="18">
        <f t="shared" si="43"/>
        <v>4.5647293268085254E-2</v>
      </c>
      <c r="I224" s="19" t="str">
        <f t="shared" si="44"/>
        <v>A</v>
      </c>
      <c r="J224" s="19">
        <f t="shared" si="52"/>
        <v>17</v>
      </c>
      <c r="K224" s="19" t="str">
        <f>IF(I224="","",IF(J224&gt;=Parameters!$B$5,I224,"HOLD"))</f>
        <v>A</v>
      </c>
      <c r="L224" s="20">
        <f>'Actual Calc'!T224</f>
        <v>872568723.4328506</v>
      </c>
      <c r="M224" s="20">
        <f>'Actual Calc'!U224</f>
        <v>0</v>
      </c>
      <c r="N224" s="21">
        <f t="shared" si="45"/>
        <v>1</v>
      </c>
      <c r="O224" s="21">
        <f>IF(NOT(ISNUMBER(N224)),"",IF(K224="A",MIN(Parameters!$B$8,N224+Parameters!$B$6),IF(K224="B",MAX(Parameters!$B$7,N224-Parameters!$B$6),N224)))</f>
        <v>1</v>
      </c>
      <c r="P224" s="22">
        <f t="shared" si="46"/>
        <v>0</v>
      </c>
      <c r="Q224" s="22">
        <f t="shared" si="47"/>
        <v>0</v>
      </c>
      <c r="R224" s="22">
        <f t="shared" si="48"/>
        <v>872568723.4328506</v>
      </c>
      <c r="S224" s="22">
        <f t="shared" si="49"/>
        <v>0</v>
      </c>
      <c r="T224" s="21">
        <f t="shared" si="50"/>
        <v>1</v>
      </c>
      <c r="U224" s="19" t="str">
        <f t="shared" si="51"/>
        <v>No transfer</v>
      </c>
      <c r="V224" s="35" t="s">
        <v>96</v>
      </c>
    </row>
    <row r="225" spans="1:22">
      <c r="A225" s="4">
        <v>44753</v>
      </c>
      <c r="B225" s="5">
        <v>-2.6960000000000001E-2</v>
      </c>
      <c r="C225" s="5">
        <v>-1.129E-2</v>
      </c>
      <c r="D225" s="6">
        <f t="shared" si="42"/>
        <v>-1.9125E-2</v>
      </c>
      <c r="E225" s="8">
        <f t="shared" si="53"/>
        <v>15</v>
      </c>
      <c r="F225" s="9">
        <f t="shared" si="54"/>
        <v>1.0354085216748614</v>
      </c>
      <c r="G225" s="9">
        <f t="shared" si="55"/>
        <v>0.96459147832513847</v>
      </c>
      <c r="H225" s="9">
        <f t="shared" si="43"/>
        <v>7.0817043349722941E-2</v>
      </c>
      <c r="I225" t="str">
        <f t="shared" si="44"/>
        <v>A</v>
      </c>
      <c r="J225">
        <f t="shared" si="52"/>
        <v>18</v>
      </c>
      <c r="K225" t="str">
        <f>IF(I225="","",IF(J225&gt;=Parameters!$B$5,I225,"HOLD"))</f>
        <v>A</v>
      </c>
      <c r="L225" s="10">
        <f>'Actual Calc'!T225</f>
        <v>558909378.48085058</v>
      </c>
      <c r="M225" s="10">
        <f>'Actual Calc'!U225</f>
        <v>0</v>
      </c>
      <c r="N225" s="12">
        <f t="shared" si="45"/>
        <v>1</v>
      </c>
      <c r="O225" s="12">
        <f>IF(NOT(ISNUMBER(N225)),"",IF(K225="A",MIN(Parameters!$B$8,N225+Parameters!$B$6),IF(K225="B",MAX(Parameters!$B$7,N225-Parameters!$B$6),N225)))</f>
        <v>1</v>
      </c>
      <c r="P225" s="13">
        <f t="shared" si="46"/>
        <v>0</v>
      </c>
      <c r="Q225" s="13">
        <f t="shared" si="47"/>
        <v>0</v>
      </c>
      <c r="R225" s="13">
        <f t="shared" si="48"/>
        <v>558909378.48085058</v>
      </c>
      <c r="S225" s="13">
        <f t="shared" si="49"/>
        <v>0</v>
      </c>
      <c r="T225" s="12">
        <f t="shared" si="50"/>
        <v>1</v>
      </c>
      <c r="U225" t="str">
        <f t="shared" si="51"/>
        <v>No transfer</v>
      </c>
      <c r="V225" s="25" t="s">
        <v>95</v>
      </c>
    </row>
    <row r="226" spans="1:22">
      <c r="A226" s="14">
        <v>44760</v>
      </c>
      <c r="B226" s="15">
        <v>2.4209999999999999E-2</v>
      </c>
      <c r="C226" s="15">
        <v>2.4209999999999999E-2</v>
      </c>
      <c r="D226" s="16">
        <f t="shared" si="42"/>
        <v>2.4209999999999999E-2</v>
      </c>
      <c r="E226" s="17">
        <f t="shared" si="53"/>
        <v>16</v>
      </c>
      <c r="F226" s="18">
        <f t="shared" si="54"/>
        <v>0.95785828068144574</v>
      </c>
      <c r="G226" s="18">
        <f t="shared" si="55"/>
        <v>1.0421417193185547</v>
      </c>
      <c r="H226" s="18">
        <f t="shared" si="43"/>
        <v>-8.4283438637108965E-2</v>
      </c>
      <c r="I226" s="19" t="str">
        <f t="shared" si="44"/>
        <v>B</v>
      </c>
      <c r="J226" s="19">
        <f t="shared" si="52"/>
        <v>1</v>
      </c>
      <c r="K226" s="19" t="str">
        <f>IF(I226="","",IF(J226&gt;=Parameters!$B$5,I226,"HOLD"))</f>
        <v>HOLD</v>
      </c>
      <c r="L226" s="20">
        <f>'Actual Calc'!T226</f>
        <v>739325305.36285055</v>
      </c>
      <c r="M226" s="20">
        <f>'Actual Calc'!U226</f>
        <v>0</v>
      </c>
      <c r="N226" s="21">
        <f t="shared" si="45"/>
        <v>1</v>
      </c>
      <c r="O226" s="21">
        <f>IF(NOT(ISNUMBER(N226)),"",IF(K226="A",MIN(Parameters!$B$8,N226+Parameters!$B$6),IF(K226="B",MAX(Parameters!$B$7,N226-Parameters!$B$6),N226)))</f>
        <v>1</v>
      </c>
      <c r="P226" s="22">
        <f t="shared" si="46"/>
        <v>0</v>
      </c>
      <c r="Q226" s="22">
        <f t="shared" si="47"/>
        <v>0</v>
      </c>
      <c r="R226" s="22">
        <f t="shared" si="48"/>
        <v>739325305.36285055</v>
      </c>
      <c r="S226" s="22">
        <f t="shared" si="49"/>
        <v>0</v>
      </c>
      <c r="T226" s="21">
        <f t="shared" si="50"/>
        <v>1</v>
      </c>
      <c r="U226" s="19" t="str">
        <f t="shared" si="51"/>
        <v>No transfer</v>
      </c>
      <c r="V226" s="35" t="s">
        <v>95</v>
      </c>
    </row>
    <row r="227" spans="1:22">
      <c r="A227" s="4">
        <v>44767</v>
      </c>
      <c r="B227" s="5">
        <v>-4.0000000000000001E-3</v>
      </c>
      <c r="C227" s="5">
        <v>-4.0000000000000001E-3</v>
      </c>
      <c r="D227" s="6">
        <f t="shared" si="42"/>
        <v>-4.0000000000000001E-3</v>
      </c>
      <c r="E227" s="8">
        <f t="shared" si="53"/>
        <v>15</v>
      </c>
      <c r="F227" s="9">
        <f t="shared" si="54"/>
        <v>1.0252486498670064</v>
      </c>
      <c r="G227" s="9">
        <f t="shared" si="55"/>
        <v>0.97475135013299663</v>
      </c>
      <c r="H227" s="9">
        <f t="shared" si="43"/>
        <v>5.0497299734009737E-2</v>
      </c>
      <c r="I227" t="str">
        <f t="shared" si="44"/>
        <v>A</v>
      </c>
      <c r="J227">
        <f t="shared" si="52"/>
        <v>1</v>
      </c>
      <c r="K227" t="str">
        <f>IF(I227="","",IF(J227&gt;=Parameters!$B$5,I227,"HOLD"))</f>
        <v>HOLD</v>
      </c>
      <c r="L227" s="10">
        <f>'Actual Calc'!T227</f>
        <v>699894629.76285052</v>
      </c>
      <c r="M227" s="10">
        <f>'Actual Calc'!U227</f>
        <v>0</v>
      </c>
      <c r="N227" s="12">
        <f t="shared" si="45"/>
        <v>1</v>
      </c>
      <c r="O227" s="12">
        <f>IF(NOT(ISNUMBER(N227)),"",IF(K227="A",MIN(Parameters!$B$8,N227+Parameters!$B$6),IF(K227="B",MAX(Parameters!$B$7,N227-Parameters!$B$6),N227)))</f>
        <v>1</v>
      </c>
      <c r="P227" s="13">
        <f t="shared" si="46"/>
        <v>0</v>
      </c>
      <c r="Q227" s="13">
        <f t="shared" si="47"/>
        <v>0</v>
      </c>
      <c r="R227" s="13">
        <f t="shared" si="48"/>
        <v>699894629.76285052</v>
      </c>
      <c r="S227" s="13">
        <f t="shared" si="49"/>
        <v>0</v>
      </c>
      <c r="T227" s="12">
        <f t="shared" si="50"/>
        <v>1</v>
      </c>
      <c r="U227" t="str">
        <f t="shared" si="51"/>
        <v>No transfer</v>
      </c>
      <c r="V227" s="25" t="s">
        <v>95</v>
      </c>
    </row>
    <row r="228" spans="1:22">
      <c r="A228" s="14">
        <v>44774</v>
      </c>
      <c r="B228" s="15">
        <v>2.5669999999999998E-2</v>
      </c>
      <c r="C228" s="15">
        <v>2.5669999999999998E-2</v>
      </c>
      <c r="D228" s="16">
        <f t="shared" si="42"/>
        <v>2.5669999999999998E-2</v>
      </c>
      <c r="E228" s="17">
        <f t="shared" si="53"/>
        <v>15</v>
      </c>
      <c r="F228" s="18">
        <f t="shared" si="54"/>
        <v>1.0403939368665474</v>
      </c>
      <c r="G228" s="18">
        <f t="shared" si="55"/>
        <v>0.95960606313345453</v>
      </c>
      <c r="H228" s="18">
        <f t="shared" si="43"/>
        <v>8.0787873733092819E-2</v>
      </c>
      <c r="I228" s="19" t="str">
        <f t="shared" si="44"/>
        <v>A</v>
      </c>
      <c r="J228" s="19">
        <f t="shared" si="52"/>
        <v>2</v>
      </c>
      <c r="K228" s="19" t="str">
        <f>IF(I228="","",IF(J228&gt;=Parameters!$B$5,I228,"HOLD"))</f>
        <v>HOLD</v>
      </c>
      <c r="L228" s="20">
        <f>'Actual Calc'!T228</f>
        <v>939445221.52285051</v>
      </c>
      <c r="M228" s="20">
        <f>'Actual Calc'!U228</f>
        <v>0</v>
      </c>
      <c r="N228" s="21">
        <f t="shared" si="45"/>
        <v>1</v>
      </c>
      <c r="O228" s="21">
        <f>IF(NOT(ISNUMBER(N228)),"",IF(K228="A",MIN(Parameters!$B$8,N228+Parameters!$B$6),IF(K228="B",MAX(Parameters!$B$7,N228-Parameters!$B$6),N228)))</f>
        <v>1</v>
      </c>
      <c r="P228" s="22">
        <f t="shared" si="46"/>
        <v>0</v>
      </c>
      <c r="Q228" s="22">
        <f t="shared" si="47"/>
        <v>0</v>
      </c>
      <c r="R228" s="22">
        <f t="shared" si="48"/>
        <v>939445221.52285051</v>
      </c>
      <c r="S228" s="22">
        <f t="shared" si="49"/>
        <v>0</v>
      </c>
      <c r="T228" s="21">
        <f t="shared" si="50"/>
        <v>1</v>
      </c>
      <c r="U228" s="19" t="str">
        <f t="shared" si="51"/>
        <v>No transfer</v>
      </c>
      <c r="V228" s="35" t="s">
        <v>95</v>
      </c>
    </row>
    <row r="229" spans="1:22">
      <c r="A229" s="4">
        <v>44781</v>
      </c>
      <c r="B229" s="5">
        <v>-1.8000000000000001E-4</v>
      </c>
      <c r="C229" s="5">
        <v>-1.8000000000000001E-4</v>
      </c>
      <c r="D229" s="6">
        <f t="shared" si="42"/>
        <v>-1.8000000000000001E-4</v>
      </c>
      <c r="E229" s="8">
        <f t="shared" si="53"/>
        <v>15</v>
      </c>
      <c r="F229" s="9">
        <f t="shared" si="54"/>
        <v>1.0403939368665474</v>
      </c>
      <c r="G229" s="9">
        <f t="shared" si="55"/>
        <v>0.95960606313345453</v>
      </c>
      <c r="H229" s="9">
        <f t="shared" si="43"/>
        <v>8.0787873733092819E-2</v>
      </c>
      <c r="I229" t="str">
        <f t="shared" si="44"/>
        <v>A</v>
      </c>
      <c r="J229">
        <f t="shared" si="52"/>
        <v>3</v>
      </c>
      <c r="K229" t="str">
        <f>IF(I229="","",IF(J229&gt;=Parameters!$B$5,I229,"HOLD"))</f>
        <v>A</v>
      </c>
      <c r="L229" s="10">
        <f>'Actual Calc'!T229</f>
        <v>937190553.09685051</v>
      </c>
      <c r="M229" s="10">
        <f>'Actual Calc'!U229</f>
        <v>0</v>
      </c>
      <c r="N229" s="12">
        <f t="shared" si="45"/>
        <v>1</v>
      </c>
      <c r="O229" s="12">
        <f>IF(NOT(ISNUMBER(N229)),"",IF(K229="A",MIN(Parameters!$B$8,N229+Parameters!$B$6),IF(K229="B",MAX(Parameters!$B$7,N229-Parameters!$B$6),N229)))</f>
        <v>1</v>
      </c>
      <c r="P229" s="13">
        <f t="shared" si="46"/>
        <v>0</v>
      </c>
      <c r="Q229" s="13">
        <f t="shared" si="47"/>
        <v>0</v>
      </c>
      <c r="R229" s="13">
        <f t="shared" si="48"/>
        <v>937190553.09685051</v>
      </c>
      <c r="S229" s="13">
        <f t="shared" si="49"/>
        <v>0</v>
      </c>
      <c r="T229" s="12">
        <f t="shared" si="50"/>
        <v>1</v>
      </c>
      <c r="U229" t="str">
        <f t="shared" si="51"/>
        <v>No transfer</v>
      </c>
      <c r="V229" s="25" t="s">
        <v>95</v>
      </c>
    </row>
    <row r="230" spans="1:22">
      <c r="A230" s="14">
        <v>44788</v>
      </c>
      <c r="B230" s="15">
        <v>1.093E-2</v>
      </c>
      <c r="C230" s="15">
        <v>1.093E-2</v>
      </c>
      <c r="D230" s="16">
        <f t="shared" si="42"/>
        <v>1.093E-2</v>
      </c>
      <c r="E230" s="17">
        <f t="shared" si="53"/>
        <v>15</v>
      </c>
      <c r="F230" s="18">
        <f t="shared" si="54"/>
        <v>1.1483699376018586</v>
      </c>
      <c r="G230" s="18">
        <f t="shared" si="55"/>
        <v>0.85163006239813877</v>
      </c>
      <c r="H230" s="18">
        <f t="shared" si="43"/>
        <v>0.29673987520371981</v>
      </c>
      <c r="I230" s="19" t="str">
        <f t="shared" si="44"/>
        <v>A</v>
      </c>
      <c r="J230" s="19">
        <f t="shared" si="52"/>
        <v>4</v>
      </c>
      <c r="K230" s="19" t="str">
        <f>IF(I230="","",IF(J230&gt;=Parameters!$B$5,I230,"HOLD"))</f>
        <v>A</v>
      </c>
      <c r="L230" s="20">
        <f>'Actual Calc'!T230</f>
        <v>1073770438.4288507</v>
      </c>
      <c r="M230" s="20">
        <f>'Actual Calc'!U230</f>
        <v>0</v>
      </c>
      <c r="N230" s="21">
        <f t="shared" si="45"/>
        <v>1</v>
      </c>
      <c r="O230" s="21">
        <f>IF(NOT(ISNUMBER(N230)),"",IF(K230="A",MIN(Parameters!$B$8,N230+Parameters!$B$6),IF(K230="B",MAX(Parameters!$B$7,N230-Parameters!$B$6),N230)))</f>
        <v>1</v>
      </c>
      <c r="P230" s="22">
        <f t="shared" si="46"/>
        <v>0</v>
      </c>
      <c r="Q230" s="22">
        <f t="shared" si="47"/>
        <v>0</v>
      </c>
      <c r="R230" s="22">
        <f t="shared" si="48"/>
        <v>1073770438.4288507</v>
      </c>
      <c r="S230" s="22">
        <f t="shared" si="49"/>
        <v>0</v>
      </c>
      <c r="T230" s="21">
        <f t="shared" si="50"/>
        <v>1</v>
      </c>
      <c r="U230" s="19" t="str">
        <f t="shared" si="51"/>
        <v>No transfer</v>
      </c>
      <c r="V230" s="35" t="s">
        <v>95</v>
      </c>
    </row>
    <row r="231" spans="1:22">
      <c r="A231" s="4">
        <v>44795</v>
      </c>
      <c r="B231" s="5">
        <v>-9.8600000000000007E-3</v>
      </c>
      <c r="C231" s="5">
        <v>-9.8600000000000007E-3</v>
      </c>
      <c r="D231" s="6">
        <f t="shared" si="42"/>
        <v>-9.8600000000000007E-3</v>
      </c>
      <c r="E231" s="8">
        <f t="shared" si="53"/>
        <v>15</v>
      </c>
      <c r="F231" s="9">
        <f t="shared" si="54"/>
        <v>1.1483699376018586</v>
      </c>
      <c r="G231" s="9">
        <f t="shared" si="55"/>
        <v>0.85163006239813877</v>
      </c>
      <c r="H231" s="9">
        <f t="shared" si="43"/>
        <v>0.29673987520371981</v>
      </c>
      <c r="I231" t="str">
        <f t="shared" si="44"/>
        <v>A</v>
      </c>
      <c r="J231">
        <f t="shared" si="52"/>
        <v>5</v>
      </c>
      <c r="K231" t="str">
        <f>IF(I231="","",IF(J231&gt;=Parameters!$B$5,I231,"HOLD"))</f>
        <v>A</v>
      </c>
      <c r="L231" s="10">
        <f>'Actual Calc'!T231</f>
        <v>932605421.86085057</v>
      </c>
      <c r="M231" s="10">
        <f>'Actual Calc'!U231</f>
        <v>0</v>
      </c>
      <c r="N231" s="12">
        <f t="shared" si="45"/>
        <v>1</v>
      </c>
      <c r="O231" s="12">
        <f>IF(NOT(ISNUMBER(N231)),"",IF(K231="A",MIN(Parameters!$B$8,N231+Parameters!$B$6),IF(K231="B",MAX(Parameters!$B$7,N231-Parameters!$B$6),N231)))</f>
        <v>1</v>
      </c>
      <c r="P231" s="13">
        <f t="shared" si="46"/>
        <v>0</v>
      </c>
      <c r="Q231" s="13">
        <f t="shared" si="47"/>
        <v>0</v>
      </c>
      <c r="R231" s="13">
        <f t="shared" si="48"/>
        <v>932605421.86085057</v>
      </c>
      <c r="S231" s="13">
        <f t="shared" si="49"/>
        <v>0</v>
      </c>
      <c r="T231" s="12">
        <f t="shared" si="50"/>
        <v>1</v>
      </c>
      <c r="U231" t="str">
        <f t="shared" si="51"/>
        <v>No transfer</v>
      </c>
      <c r="V231" s="25" t="s">
        <v>95</v>
      </c>
    </row>
    <row r="232" spans="1:22">
      <c r="A232" s="14">
        <v>44802</v>
      </c>
      <c r="B232" s="15">
        <v>-2.8E-3</v>
      </c>
      <c r="C232" s="15">
        <v>-1.192E-2</v>
      </c>
      <c r="D232" s="16">
        <f t="shared" si="42"/>
        <v>-7.3600000000000002E-3</v>
      </c>
      <c r="E232" s="17">
        <f t="shared" si="53"/>
        <v>14</v>
      </c>
      <c r="F232" s="18">
        <f t="shared" si="54"/>
        <v>1.1293997869468893</v>
      </c>
      <c r="G232" s="18">
        <f t="shared" si="55"/>
        <v>0.87060021305311353</v>
      </c>
      <c r="H232" s="18">
        <f t="shared" si="43"/>
        <v>0.25879957389377573</v>
      </c>
      <c r="I232" s="19" t="str">
        <f t="shared" si="44"/>
        <v>A</v>
      </c>
      <c r="J232" s="19">
        <f t="shared" si="52"/>
        <v>6</v>
      </c>
      <c r="K232" s="19" t="str">
        <f>IF(I232="","",IF(J232&gt;=Parameters!$B$5,I232,"HOLD"))</f>
        <v>A</v>
      </c>
      <c r="L232" s="20">
        <f>'Actual Calc'!T232</f>
        <v>897788154.34085059</v>
      </c>
      <c r="M232" s="20">
        <f>'Actual Calc'!U232</f>
        <v>0</v>
      </c>
      <c r="N232" s="21">
        <f t="shared" si="45"/>
        <v>1</v>
      </c>
      <c r="O232" s="21">
        <f>IF(NOT(ISNUMBER(N232)),"",IF(K232="A",MIN(Parameters!$B$8,N232+Parameters!$B$6),IF(K232="B",MAX(Parameters!$B$7,N232-Parameters!$B$6),N232)))</f>
        <v>1</v>
      </c>
      <c r="P232" s="22">
        <f t="shared" si="46"/>
        <v>0</v>
      </c>
      <c r="Q232" s="22">
        <f t="shared" si="47"/>
        <v>0</v>
      </c>
      <c r="R232" s="22">
        <f t="shared" si="48"/>
        <v>897788154.34085059</v>
      </c>
      <c r="S232" s="22">
        <f t="shared" si="49"/>
        <v>0</v>
      </c>
      <c r="T232" s="21">
        <f t="shared" si="50"/>
        <v>1</v>
      </c>
      <c r="U232" s="19" t="str">
        <f t="shared" si="51"/>
        <v>No transfer</v>
      </c>
      <c r="V232" s="35" t="s">
        <v>95</v>
      </c>
    </row>
    <row r="233" spans="1:22">
      <c r="A233" s="4">
        <v>44809</v>
      </c>
      <c r="B233" s="5">
        <v>3.8269999999999998E-2</v>
      </c>
      <c r="C233" s="5">
        <v>0</v>
      </c>
      <c r="D233" s="6">
        <f t="shared" si="42"/>
        <v>1.9134999999999999E-2</v>
      </c>
      <c r="E233" s="8">
        <f t="shared" si="53"/>
        <v>15</v>
      </c>
      <c r="F233" s="9">
        <f t="shared" si="54"/>
        <v>1.1997972029639654</v>
      </c>
      <c r="G233" s="9">
        <f t="shared" si="55"/>
        <v>0.80020279703603592</v>
      </c>
      <c r="H233" s="9">
        <f t="shared" si="43"/>
        <v>0.3995944059279295</v>
      </c>
      <c r="I233" t="str">
        <f t="shared" si="44"/>
        <v>A</v>
      </c>
      <c r="J233">
        <f t="shared" si="52"/>
        <v>7</v>
      </c>
      <c r="K233" t="str">
        <f>IF(I233="","",IF(J233&gt;=Parameters!$B$5,I233,"HOLD"))</f>
        <v>A</v>
      </c>
      <c r="L233" s="10">
        <f>'Actual Calc'!T233</f>
        <v>1355899522.2898507</v>
      </c>
      <c r="M233" s="10">
        <f>'Actual Calc'!U233</f>
        <v>0</v>
      </c>
      <c r="N233" s="12">
        <f t="shared" si="45"/>
        <v>1</v>
      </c>
      <c r="O233" s="12">
        <f>IF(NOT(ISNUMBER(N233)),"",IF(K233="A",MIN(Parameters!$B$8,N233+Parameters!$B$6),IF(K233="B",MAX(Parameters!$B$7,N233-Parameters!$B$6),N233)))</f>
        <v>1</v>
      </c>
      <c r="P233" s="13">
        <f t="shared" si="46"/>
        <v>0</v>
      </c>
      <c r="Q233" s="13">
        <f t="shared" si="47"/>
        <v>0</v>
      </c>
      <c r="R233" s="13">
        <f t="shared" si="48"/>
        <v>1355899522.2898507</v>
      </c>
      <c r="S233" s="13">
        <f t="shared" si="49"/>
        <v>0</v>
      </c>
      <c r="T233" s="12">
        <f t="shared" si="50"/>
        <v>1</v>
      </c>
      <c r="U233" t="str">
        <f t="shared" si="51"/>
        <v>No transfer</v>
      </c>
      <c r="V233" s="25" t="s">
        <v>96</v>
      </c>
    </row>
    <row r="234" spans="1:22">
      <c r="A234" s="14">
        <v>44816</v>
      </c>
      <c r="B234" s="15">
        <v>8.0700000000000008E-3</v>
      </c>
      <c r="C234" s="15">
        <v>8.0700000000000008E-3</v>
      </c>
      <c r="D234" s="16">
        <f t="shared" si="42"/>
        <v>8.0700000000000008E-3</v>
      </c>
      <c r="E234" s="17">
        <f t="shared" si="53"/>
        <v>15</v>
      </c>
      <c r="F234" s="18">
        <f t="shared" si="54"/>
        <v>0.86550666203646009</v>
      </c>
      <c r="G234" s="18">
        <f t="shared" si="55"/>
        <v>1.1344933379635391</v>
      </c>
      <c r="H234" s="18">
        <f t="shared" si="43"/>
        <v>-0.26898667592707903</v>
      </c>
      <c r="I234" s="19" t="str">
        <f t="shared" si="44"/>
        <v>B</v>
      </c>
      <c r="J234" s="19">
        <f t="shared" si="52"/>
        <v>1</v>
      </c>
      <c r="K234" s="19" t="str">
        <f>IF(I234="","",IF(J234&gt;=Parameters!$B$5,I234,"HOLD"))</f>
        <v>HOLD</v>
      </c>
      <c r="L234" s="20">
        <f>'Actual Calc'!T234</f>
        <v>1501794309.2968507</v>
      </c>
      <c r="M234" s="20">
        <f>'Actual Calc'!U234</f>
        <v>0</v>
      </c>
      <c r="N234" s="21">
        <f t="shared" si="45"/>
        <v>1</v>
      </c>
      <c r="O234" s="21">
        <f>IF(NOT(ISNUMBER(N234)),"",IF(K234="A",MIN(Parameters!$B$8,N234+Parameters!$B$6),IF(K234="B",MAX(Parameters!$B$7,N234-Parameters!$B$6),N234)))</f>
        <v>1</v>
      </c>
      <c r="P234" s="22">
        <f t="shared" si="46"/>
        <v>0</v>
      </c>
      <c r="Q234" s="22">
        <f t="shared" si="47"/>
        <v>0</v>
      </c>
      <c r="R234" s="22">
        <f t="shared" si="48"/>
        <v>1501794309.2968507</v>
      </c>
      <c r="S234" s="22">
        <f t="shared" si="49"/>
        <v>0</v>
      </c>
      <c r="T234" s="21">
        <f t="shared" si="50"/>
        <v>1</v>
      </c>
      <c r="U234" s="19" t="str">
        <f t="shared" si="51"/>
        <v>No transfer</v>
      </c>
      <c r="V234" s="35" t="s">
        <v>95</v>
      </c>
    </row>
    <row r="235" spans="1:22">
      <c r="A235" s="4">
        <v>44823</v>
      </c>
      <c r="B235" s="5">
        <v>1.865E-2</v>
      </c>
      <c r="C235" s="5">
        <v>1.865E-2</v>
      </c>
      <c r="D235" s="6">
        <f t="shared" si="42"/>
        <v>1.865E-2</v>
      </c>
      <c r="E235" s="8">
        <f t="shared" si="53"/>
        <v>15</v>
      </c>
      <c r="F235" s="9">
        <f t="shared" si="54"/>
        <v>0.94611035195666837</v>
      </c>
      <c r="G235" s="9">
        <f t="shared" si="55"/>
        <v>1.05388964804333</v>
      </c>
      <c r="H235" s="9">
        <f t="shared" si="43"/>
        <v>-0.10777929608666159</v>
      </c>
      <c r="I235" t="str">
        <f t="shared" si="44"/>
        <v>B</v>
      </c>
      <c r="J235">
        <f t="shared" si="52"/>
        <v>2</v>
      </c>
      <c r="K235" t="str">
        <f>IF(I235="","",IF(J235&gt;=Parameters!$B$5,I235,"HOLD"))</f>
        <v>HOLD</v>
      </c>
      <c r="L235" s="10">
        <f>'Actual Calc'!T235</f>
        <v>1875240452.7318506</v>
      </c>
      <c r="M235" s="10">
        <f>'Actual Calc'!U235</f>
        <v>0</v>
      </c>
      <c r="N235" s="12">
        <f t="shared" si="45"/>
        <v>1</v>
      </c>
      <c r="O235" s="12">
        <f>IF(NOT(ISNUMBER(N235)),"",IF(K235="A",MIN(Parameters!$B$8,N235+Parameters!$B$6),IF(K235="B",MAX(Parameters!$B$7,N235-Parameters!$B$6),N235)))</f>
        <v>1</v>
      </c>
      <c r="P235" s="13">
        <f t="shared" si="46"/>
        <v>0</v>
      </c>
      <c r="Q235" s="13">
        <f t="shared" si="47"/>
        <v>0</v>
      </c>
      <c r="R235" s="13">
        <f t="shared" si="48"/>
        <v>1875240452.7318506</v>
      </c>
      <c r="S235" s="13">
        <f t="shared" si="49"/>
        <v>0</v>
      </c>
      <c r="T235" s="12">
        <f t="shared" si="50"/>
        <v>1</v>
      </c>
      <c r="U235" t="str">
        <f t="shared" si="51"/>
        <v>No transfer</v>
      </c>
      <c r="V235" s="25" t="s">
        <v>95</v>
      </c>
    </row>
    <row r="236" spans="1:22">
      <c r="A236" s="14">
        <v>44830</v>
      </c>
      <c r="B236" s="15">
        <v>-4.0000000000000001E-3</v>
      </c>
      <c r="C236" s="15">
        <v>-5.4099999999999999E-3</v>
      </c>
      <c r="D236" s="16">
        <f t="shared" si="42"/>
        <v>-4.705E-3</v>
      </c>
      <c r="E236" s="17">
        <f t="shared" si="53"/>
        <v>14</v>
      </c>
      <c r="F236" s="18">
        <f t="shared" si="54"/>
        <v>0.94947485985138302</v>
      </c>
      <c r="G236" s="18">
        <f t="shared" si="55"/>
        <v>1.0505251401486155</v>
      </c>
      <c r="H236" s="18">
        <f t="shared" si="43"/>
        <v>-0.10105028029723251</v>
      </c>
      <c r="I236" s="19" t="str">
        <f t="shared" si="44"/>
        <v>B</v>
      </c>
      <c r="J236" s="19">
        <f t="shared" si="52"/>
        <v>3</v>
      </c>
      <c r="K236" s="19" t="str">
        <f>IF(I236="","",IF(J236&gt;=Parameters!$B$5,I236,"HOLD"))</f>
        <v>B</v>
      </c>
      <c r="L236" s="20">
        <f>'Actual Calc'!T236</f>
        <v>1775227629.9318507</v>
      </c>
      <c r="M236" s="20">
        <f>'Actual Calc'!U236</f>
        <v>0</v>
      </c>
      <c r="N236" s="21">
        <f t="shared" si="45"/>
        <v>1</v>
      </c>
      <c r="O236" s="21">
        <f>IF(NOT(ISNUMBER(N236)),"",IF(K236="A",MIN(Parameters!$B$8,N236+Parameters!$B$6),IF(K236="B",MAX(Parameters!$B$7,N236-Parameters!$B$6),N236)))</f>
        <v>0.9</v>
      </c>
      <c r="P236" s="22">
        <f t="shared" si="46"/>
        <v>177522762.99318504</v>
      </c>
      <c r="Q236" s="22">
        <f t="shared" si="47"/>
        <v>0</v>
      </c>
      <c r="R236" s="22">
        <f t="shared" si="48"/>
        <v>1597704866.9386656</v>
      </c>
      <c r="S236" s="22">
        <f t="shared" si="49"/>
        <v>177522762.99318504</v>
      </c>
      <c r="T236" s="21">
        <f t="shared" si="50"/>
        <v>0.9</v>
      </c>
      <c r="U236" s="19" t="e">
        <f t="shared" si="51"/>
        <v>#VALUE!</v>
      </c>
      <c r="V236" s="35" t="s">
        <v>95</v>
      </c>
    </row>
    <row r="237" spans="1:22">
      <c r="A237" s="4">
        <v>44837</v>
      </c>
      <c r="B237" s="5">
        <v>1.822E-2</v>
      </c>
      <c r="C237" s="5">
        <v>1.822E-2</v>
      </c>
      <c r="D237" s="6">
        <f t="shared" si="42"/>
        <v>1.822E-2</v>
      </c>
      <c r="E237" s="8">
        <f t="shared" si="53"/>
        <v>14</v>
      </c>
      <c r="F237" s="9">
        <f t="shared" si="54"/>
        <v>0.94826821273841433</v>
      </c>
      <c r="G237" s="9">
        <f t="shared" si="55"/>
        <v>1.0517317872615857</v>
      </c>
      <c r="H237" s="9">
        <f t="shared" si="43"/>
        <v>-0.10346357452317134</v>
      </c>
      <c r="I237" t="str">
        <f t="shared" si="44"/>
        <v>B</v>
      </c>
      <c r="J237">
        <f t="shared" si="52"/>
        <v>4</v>
      </c>
      <c r="K237" t="str">
        <f>IF(I237="","",IF(J237&gt;=Parameters!$B$5,I237,"HOLD"))</f>
        <v>B</v>
      </c>
      <c r="L237" s="10">
        <f>'Actual Calc'!T237</f>
        <v>1985840627.5806656</v>
      </c>
      <c r="M237" s="10">
        <f>'Actual Calc'!U237</f>
        <v>220648939.99518505</v>
      </c>
      <c r="N237" s="12">
        <f t="shared" si="45"/>
        <v>0.90000000759686349</v>
      </c>
      <c r="O237" s="12">
        <f>IF(NOT(ISNUMBER(N237)),"",IF(K237="A",MIN(Parameters!$B$8,N237+Parameters!$B$6),IF(K237="B",MAX(Parameters!$B$7,N237-Parameters!$B$6),N237)))</f>
        <v>0.80000000759686352</v>
      </c>
      <c r="P237" s="13">
        <f t="shared" si="46"/>
        <v>220648956.75758505</v>
      </c>
      <c r="Q237" s="13">
        <f t="shared" si="47"/>
        <v>0</v>
      </c>
      <c r="R237" s="13">
        <f t="shared" si="48"/>
        <v>1765191670.8230805</v>
      </c>
      <c r="S237" s="13">
        <f t="shared" si="49"/>
        <v>441297896.75277007</v>
      </c>
      <c r="T237" s="12">
        <f t="shared" si="50"/>
        <v>0.80000000759686352</v>
      </c>
      <c r="U237" t="e">
        <f t="shared" si="51"/>
        <v>#VALUE!</v>
      </c>
      <c r="V237" s="25" t="s">
        <v>95</v>
      </c>
    </row>
    <row r="238" spans="1:22">
      <c r="A238" s="14">
        <v>44844</v>
      </c>
      <c r="B238" s="15">
        <v>-2.196E-2</v>
      </c>
      <c r="C238" s="15">
        <v>-2.7550000000000002E-2</v>
      </c>
      <c r="D238" s="16">
        <f t="shared" si="42"/>
        <v>-2.4754999999999999E-2</v>
      </c>
      <c r="E238" s="17">
        <f t="shared" si="53"/>
        <v>14</v>
      </c>
      <c r="F238" s="18">
        <f t="shared" si="54"/>
        <v>0.94826821273841433</v>
      </c>
      <c r="G238" s="18">
        <f t="shared" si="55"/>
        <v>1.0517317872615857</v>
      </c>
      <c r="H238" s="18">
        <f t="shared" si="43"/>
        <v>-0.10346357452317134</v>
      </c>
      <c r="I238" s="19" t="str">
        <f t="shared" si="44"/>
        <v>B</v>
      </c>
      <c r="J238" s="19">
        <f t="shared" si="52"/>
        <v>5</v>
      </c>
      <c r="K238" s="19" t="str">
        <f>IF(I238="","",IF(J238&gt;=Parameters!$B$5,I238,"HOLD"))</f>
        <v>B</v>
      </c>
      <c r="L238" s="20">
        <f>'Actual Calc'!T238</f>
        <v>1248343559.3630805</v>
      </c>
      <c r="M238" s="20">
        <f>'Actual Calc'!U238</f>
        <v>279194512.23277009</v>
      </c>
      <c r="N238" s="21">
        <f t="shared" si="45"/>
        <v>0.81722582407318356</v>
      </c>
      <c r="O238" s="21">
        <f>IF(NOT(ISNUMBER(N238)),"",IF(K238="A",MIN(Parameters!$B$8,N238+Parameters!$B$6),IF(K238="B",MAX(Parameters!$B$7,N238-Parameters!$B$6),N238)))</f>
        <v>0.71722582407318358</v>
      </c>
      <c r="P238" s="22">
        <f t="shared" si="46"/>
        <v>152753807.159585</v>
      </c>
      <c r="Q238" s="22">
        <f t="shared" si="47"/>
        <v>0</v>
      </c>
      <c r="R238" s="22">
        <f t="shared" si="48"/>
        <v>1095589752.2034955</v>
      </c>
      <c r="S238" s="22">
        <f t="shared" si="49"/>
        <v>431948319.39235508</v>
      </c>
      <c r="T238" s="21">
        <f t="shared" si="50"/>
        <v>0.71722582407318358</v>
      </c>
      <c r="U238" s="19" t="e">
        <f t="shared" si="51"/>
        <v>#VALUE!</v>
      </c>
      <c r="V238" s="35" t="s">
        <v>95</v>
      </c>
    </row>
    <row r="239" spans="1:22">
      <c r="A239" s="4">
        <v>44851</v>
      </c>
      <c r="B239" s="5">
        <v>1.01E-2</v>
      </c>
      <c r="C239" s="5">
        <v>0</v>
      </c>
      <c r="D239" s="6">
        <f t="shared" si="42"/>
        <v>5.0499999999999998E-3</v>
      </c>
      <c r="E239" s="8">
        <f t="shared" si="53"/>
        <v>14</v>
      </c>
      <c r="F239" s="9">
        <f t="shared" si="54"/>
        <v>0.88934011829193071</v>
      </c>
      <c r="G239" s="9">
        <f t="shared" si="55"/>
        <v>1.1106598817080664</v>
      </c>
      <c r="H239" s="9">
        <f t="shared" si="43"/>
        <v>-0.22131976341613568</v>
      </c>
      <c r="I239" t="str">
        <f t="shared" si="44"/>
        <v>B</v>
      </c>
      <c r="J239">
        <f t="shared" si="52"/>
        <v>6</v>
      </c>
      <c r="K239" t="str">
        <f>IF(I239="","",IF(J239&gt;=Parameters!$B$5,I239,"HOLD"))</f>
        <v>B</v>
      </c>
      <c r="L239" s="10">
        <f>'Actual Calc'!T239</f>
        <v>1243129150.3234954</v>
      </c>
      <c r="M239" s="10">
        <f>'Actual Calc'!U239</f>
        <v>431948319.39235508</v>
      </c>
      <c r="N239" s="12">
        <f t="shared" si="45"/>
        <v>0.74213233286122104</v>
      </c>
      <c r="O239" s="12">
        <f>IF(NOT(ISNUMBER(N239)),"",IF(K239="A",MIN(Parameters!$B$8,N239+Parameters!$B$6),IF(K239="B",MAX(Parameters!$B$7,N239-Parameters!$B$6),N239)))</f>
        <v>0.64213233286122107</v>
      </c>
      <c r="P239" s="13">
        <f t="shared" si="46"/>
        <v>167507746.97158504</v>
      </c>
      <c r="Q239" s="13">
        <f t="shared" si="47"/>
        <v>0</v>
      </c>
      <c r="R239" s="13">
        <f t="shared" si="48"/>
        <v>1075621403.3519104</v>
      </c>
      <c r="S239" s="13">
        <f t="shared" si="49"/>
        <v>599456066.36394012</v>
      </c>
      <c r="T239" s="12">
        <f t="shared" si="50"/>
        <v>0.64213233286122107</v>
      </c>
      <c r="U239" t="e">
        <f t="shared" si="51"/>
        <v>#VALUE!</v>
      </c>
      <c r="V239" s="25" t="s">
        <v>96</v>
      </c>
    </row>
    <row r="240" spans="1:22">
      <c r="A240" s="14">
        <v>44858</v>
      </c>
      <c r="B240" s="15">
        <v>1.082E-2</v>
      </c>
      <c r="C240" s="15">
        <v>-5.6899999999999997E-3</v>
      </c>
      <c r="D240" s="16">
        <f t="shared" si="42"/>
        <v>2.565E-3</v>
      </c>
      <c r="E240" s="17">
        <f t="shared" si="53"/>
        <v>14</v>
      </c>
      <c r="F240" s="18">
        <f t="shared" si="54"/>
        <v>0.86071107878213959</v>
      </c>
      <c r="G240" s="18">
        <f t="shared" si="55"/>
        <v>1.1392889212178603</v>
      </c>
      <c r="H240" s="18">
        <f t="shared" si="43"/>
        <v>-0.2785778424357207</v>
      </c>
      <c r="I240" s="19" t="str">
        <f t="shared" si="44"/>
        <v>B</v>
      </c>
      <c r="J240" s="19">
        <f t="shared" si="52"/>
        <v>7</v>
      </c>
      <c r="K240" s="19" t="str">
        <f>IF(I240="","",IF(J240&gt;=Parameters!$B$5,I240,"HOLD"))</f>
        <v>B</v>
      </c>
      <c r="L240" s="20">
        <f>'Actual Calc'!T240</f>
        <v>1230797707.9479103</v>
      </c>
      <c r="M240" s="20">
        <f>'Actual Calc'!U240</f>
        <v>553977341.0549401</v>
      </c>
      <c r="N240" s="21">
        <f t="shared" si="45"/>
        <v>0.68960943208812453</v>
      </c>
      <c r="O240" s="21">
        <f>IF(NOT(ISNUMBER(N240)),"",IF(K240="A",MIN(Parameters!$B$8,N240+Parameters!$B$6),IF(K240="B",MAX(Parameters!$B$7,N240-Parameters!$B$6),N240)))</f>
        <v>0.58960943208812455</v>
      </c>
      <c r="P240" s="22">
        <f t="shared" si="46"/>
        <v>178477504.90028489</v>
      </c>
      <c r="Q240" s="22">
        <f t="shared" si="47"/>
        <v>0</v>
      </c>
      <c r="R240" s="22">
        <f t="shared" si="48"/>
        <v>1052320203.0476254</v>
      </c>
      <c r="S240" s="22">
        <f t="shared" si="49"/>
        <v>732454845.95522499</v>
      </c>
      <c r="T240" s="21">
        <f t="shared" si="50"/>
        <v>0.58960943208812455</v>
      </c>
      <c r="U240" s="19" t="e">
        <f t="shared" si="51"/>
        <v>#VALUE!</v>
      </c>
      <c r="V240" s="35" t="s">
        <v>95</v>
      </c>
    </row>
    <row r="241" spans="1:22">
      <c r="A241" s="4">
        <v>44865</v>
      </c>
      <c r="B241" s="5">
        <v>-3.9899999999999996E-3</v>
      </c>
      <c r="C241" s="5">
        <v>0</v>
      </c>
      <c r="D241" s="6">
        <f t="shared" si="42"/>
        <v>-1.9949999999999998E-3</v>
      </c>
      <c r="E241" s="8">
        <f t="shared" si="53"/>
        <v>13</v>
      </c>
      <c r="F241" s="9">
        <f t="shared" si="54"/>
        <v>0.88537023078349242</v>
      </c>
      <c r="G241" s="9">
        <f t="shared" si="55"/>
        <v>1.1146297692165088</v>
      </c>
      <c r="H241" s="9">
        <f t="shared" si="43"/>
        <v>-0.22925953843301639</v>
      </c>
      <c r="I241" t="str">
        <f t="shared" si="44"/>
        <v>B</v>
      </c>
      <c r="J241">
        <f t="shared" si="52"/>
        <v>8</v>
      </c>
      <c r="K241" t="str">
        <f>IF(I241="","",IF(J241&gt;=Parameters!$B$5,I241,"HOLD"))</f>
        <v>B</v>
      </c>
      <c r="L241" s="10">
        <f>'Actual Calc'!T241</f>
        <v>996336777.18562543</v>
      </c>
      <c r="M241" s="10">
        <f>'Actual Calc'!U241</f>
        <v>732454845.95522499</v>
      </c>
      <c r="N241" s="12">
        <f t="shared" si="45"/>
        <v>0.57631976222530001</v>
      </c>
      <c r="O241" s="12">
        <f>IF(NOT(ISNUMBER(N241)),"",IF(K241="A",MIN(Parameters!$B$8,N241+Parameters!$B$6),IF(K241="B",MAX(Parameters!$B$7,N241-Parameters!$B$6),N241)))</f>
        <v>0.47631976222530004</v>
      </c>
      <c r="P241" s="13">
        <f t="shared" si="46"/>
        <v>172879162.31408501</v>
      </c>
      <c r="Q241" s="13">
        <f t="shared" si="47"/>
        <v>0</v>
      </c>
      <c r="R241" s="13">
        <f t="shared" si="48"/>
        <v>823457614.87154043</v>
      </c>
      <c r="S241" s="13">
        <f t="shared" si="49"/>
        <v>905334008.26931</v>
      </c>
      <c r="T241" s="12">
        <f t="shared" si="50"/>
        <v>0.47631976222530004</v>
      </c>
      <c r="U241" t="e">
        <f t="shared" si="51"/>
        <v>#VALUE!</v>
      </c>
      <c r="V241" s="25" t="s">
        <v>96</v>
      </c>
    </row>
    <row r="242" spans="1:22">
      <c r="A242" s="14">
        <v>44872</v>
      </c>
      <c r="B242" s="15">
        <v>7.3200000000000001E-3</v>
      </c>
      <c r="C242" s="15">
        <v>7.3200000000000001E-3</v>
      </c>
      <c r="D242" s="16">
        <f t="shared" si="42"/>
        <v>7.3200000000000001E-3</v>
      </c>
      <c r="E242" s="17">
        <f t="shared" si="53"/>
        <v>14</v>
      </c>
      <c r="F242" s="18">
        <f t="shared" si="54"/>
        <v>0.92492061709509443</v>
      </c>
      <c r="G242" s="18">
        <f t="shared" si="55"/>
        <v>1.0750793829049066</v>
      </c>
      <c r="H242" s="18">
        <f t="shared" si="43"/>
        <v>-0.15015876580981213</v>
      </c>
      <c r="I242" s="19" t="str">
        <f t="shared" si="44"/>
        <v>B</v>
      </c>
      <c r="J242" s="19">
        <f t="shared" si="52"/>
        <v>9</v>
      </c>
      <c r="K242" s="19" t="str">
        <f>IF(I242="","",IF(J242&gt;=Parameters!$B$5,I242,"HOLD"))</f>
        <v>B</v>
      </c>
      <c r="L242" s="20">
        <f>'Actual Calc'!T242</f>
        <v>903827072.48354042</v>
      </c>
      <c r="M242" s="20">
        <f>'Actual Calc'!U242</f>
        <v>993694605.93730998</v>
      </c>
      <c r="N242" s="21">
        <f t="shared" si="45"/>
        <v>0.47631976106629814</v>
      </c>
      <c r="O242" s="21">
        <f>IF(NOT(ISNUMBER(N242)),"",IF(K242="A",MIN(Parameters!$B$8,N242+Parameters!$B$6),IF(K242="B",MAX(Parameters!$B$7,N242-Parameters!$B$6),N242)))</f>
        <v>0.37631976106629816</v>
      </c>
      <c r="P242" s="22">
        <f t="shared" si="46"/>
        <v>189752167.842085</v>
      </c>
      <c r="Q242" s="22">
        <f t="shared" si="47"/>
        <v>0</v>
      </c>
      <c r="R242" s="22">
        <f t="shared" si="48"/>
        <v>714074904.64145541</v>
      </c>
      <c r="S242" s="22">
        <f t="shared" si="49"/>
        <v>1183446773.7793951</v>
      </c>
      <c r="T242" s="21">
        <f t="shared" si="50"/>
        <v>0.37631976106629811</v>
      </c>
      <c r="U242" s="19" t="e">
        <f t="shared" si="51"/>
        <v>#VALUE!</v>
      </c>
      <c r="V242" s="35" t="s">
        <v>95</v>
      </c>
    </row>
    <row r="243" spans="1:22">
      <c r="A243" s="4">
        <v>44879</v>
      </c>
      <c r="B243" s="5">
        <v>2.2460000000000001E-2</v>
      </c>
      <c r="C243" s="5">
        <v>2.2460000000000001E-2</v>
      </c>
      <c r="D243" s="6">
        <f t="shared" si="42"/>
        <v>2.2460000000000001E-2</v>
      </c>
      <c r="E243" s="8">
        <f t="shared" si="53"/>
        <v>14</v>
      </c>
      <c r="F243" s="9">
        <f t="shared" si="54"/>
        <v>0.89939895342308385</v>
      </c>
      <c r="G243" s="9">
        <f t="shared" si="55"/>
        <v>1.1006010465769163</v>
      </c>
      <c r="H243" s="9">
        <f t="shared" si="43"/>
        <v>-0.20120209315383242</v>
      </c>
      <c r="I243" t="str">
        <f t="shared" si="44"/>
        <v>B</v>
      </c>
      <c r="J243">
        <f t="shared" si="52"/>
        <v>10</v>
      </c>
      <c r="K243" t="str">
        <f>IF(I243="","",IF(J243&gt;=Parameters!$B$5,I243,"HOLD"))</f>
        <v>B</v>
      </c>
      <c r="L243" s="10">
        <f>'Actual Calc'!T243</f>
        <v>927916501.7534554</v>
      </c>
      <c r="M243" s="10">
        <f>'Actual Calc'!U243</f>
        <v>1537849633.9173951</v>
      </c>
      <c r="N243" s="12">
        <f t="shared" si="45"/>
        <v>0.37631975244116206</v>
      </c>
      <c r="O243" s="12">
        <f>IF(NOT(ISNUMBER(N243)),"",IF(K243="A",MIN(Parameters!$B$8,N243+Parameters!$B$6),IF(K243="B",MAX(Parameters!$B$7,N243-Parameters!$B$6),N243)))</f>
        <v>0.27631975244116203</v>
      </c>
      <c r="P243" s="13">
        <f t="shared" si="46"/>
        <v>246576613.56708515</v>
      </c>
      <c r="Q243" s="13">
        <f t="shared" si="47"/>
        <v>0</v>
      </c>
      <c r="R243" s="13">
        <f t="shared" si="48"/>
        <v>681339888.18637025</v>
      </c>
      <c r="S243" s="13">
        <f t="shared" si="49"/>
        <v>1784426247.4844804</v>
      </c>
      <c r="T243" s="12">
        <f t="shared" si="50"/>
        <v>0.27631975244116203</v>
      </c>
      <c r="U243" t="e">
        <f t="shared" si="51"/>
        <v>#VALUE!</v>
      </c>
      <c r="V243" s="25" t="s">
        <v>95</v>
      </c>
    </row>
    <row r="244" spans="1:22">
      <c r="A244" s="14">
        <v>44886</v>
      </c>
      <c r="B244" s="15">
        <v>1.2749999999999999E-2</v>
      </c>
      <c r="C244" s="15">
        <v>1.2749999999999999E-2</v>
      </c>
      <c r="D244" s="16">
        <f t="shared" si="42"/>
        <v>1.2749999999999999E-2</v>
      </c>
      <c r="E244" s="17">
        <f t="shared" si="53"/>
        <v>14</v>
      </c>
      <c r="F244" s="18">
        <f t="shared" si="54"/>
        <v>0.92240448762929894</v>
      </c>
      <c r="G244" s="18">
        <f t="shared" si="55"/>
        <v>1.0775955123707022</v>
      </c>
      <c r="H244" s="18">
        <f t="shared" si="43"/>
        <v>-0.15519102474140323</v>
      </c>
      <c r="I244" s="19" t="str">
        <f t="shared" si="44"/>
        <v>B</v>
      </c>
      <c r="J244" s="19">
        <f t="shared" si="52"/>
        <v>11</v>
      </c>
      <c r="K244" s="19" t="str">
        <f>IF(I244="","",IF(J244&gt;=Parameters!$B$5,I244,"HOLD"))</f>
        <v>B</v>
      </c>
      <c r="L244" s="20">
        <f>'Actual Calc'!T244</f>
        <v>797167655.88637018</v>
      </c>
      <c r="M244" s="20">
        <f>'Actual Calc'!U244</f>
        <v>2087778680.6594803</v>
      </c>
      <c r="N244" s="21">
        <f t="shared" si="45"/>
        <v>0.27631975187476793</v>
      </c>
      <c r="O244" s="21">
        <f>IF(NOT(ISNUMBER(N244)),"",IF(K244="A",MIN(Parameters!$B$8,N244+Parameters!$B$6),IF(K244="B",MAX(Parameters!$B$7,N244-Parameters!$B$6),N244)))</f>
        <v>0.17631975187476792</v>
      </c>
      <c r="P244" s="22">
        <f t="shared" si="46"/>
        <v>288494633.65458506</v>
      </c>
      <c r="Q244" s="22">
        <f t="shared" si="47"/>
        <v>0</v>
      </c>
      <c r="R244" s="22">
        <f t="shared" si="48"/>
        <v>508673022.23178512</v>
      </c>
      <c r="S244" s="22">
        <f t="shared" si="49"/>
        <v>2376273314.3140655</v>
      </c>
      <c r="T244" s="21">
        <f t="shared" si="50"/>
        <v>0.17631975187476792</v>
      </c>
      <c r="U244" s="19" t="e">
        <f t="shared" si="51"/>
        <v>#VALUE!</v>
      </c>
      <c r="V244" s="35" t="s">
        <v>95</v>
      </c>
    </row>
    <row r="245" spans="1:22">
      <c r="A245" s="4">
        <v>44893</v>
      </c>
      <c r="B245" s="5">
        <v>-4.0000000000000001E-3</v>
      </c>
      <c r="C245" s="5">
        <v>-4.0000000000000001E-3</v>
      </c>
      <c r="D245" s="6">
        <f t="shared" si="42"/>
        <v>-4.0000000000000001E-3</v>
      </c>
      <c r="E245" s="8">
        <f t="shared" si="53"/>
        <v>14</v>
      </c>
      <c r="F245" s="9">
        <f t="shared" si="54"/>
        <v>0.92240448762929894</v>
      </c>
      <c r="G245" s="9">
        <f t="shared" si="55"/>
        <v>1.0775955123707022</v>
      </c>
      <c r="H245" s="9">
        <f t="shared" si="43"/>
        <v>-0.15519102474140323</v>
      </c>
      <c r="I245" t="str">
        <f t="shared" si="44"/>
        <v>B</v>
      </c>
      <c r="J245">
        <f t="shared" si="52"/>
        <v>12</v>
      </c>
      <c r="K245" t="str">
        <f>IF(I245="","",IF(J245&gt;=Parameters!$B$5,I245,"HOLD"))</f>
        <v>B</v>
      </c>
      <c r="L245" s="10">
        <f>'Actual Calc'!T245</f>
        <v>481543795.43178511</v>
      </c>
      <c r="M245" s="10">
        <f>'Actual Calc'!U245</f>
        <v>2249538741.9140654</v>
      </c>
      <c r="N245" s="12">
        <f t="shared" si="45"/>
        <v>0.17631975191045091</v>
      </c>
      <c r="O245" s="12">
        <f>IF(NOT(ISNUMBER(N245)),"",IF(K245="A",MIN(Parameters!$B$8,N245+Parameters!$B$6),IF(K245="B",MAX(Parameters!$B$7,N245-Parameters!$B$6),N245)))</f>
        <v>7.63197519104509E-2</v>
      </c>
      <c r="P245" s="13">
        <f t="shared" si="46"/>
        <v>273108253.73458505</v>
      </c>
      <c r="Q245" s="13">
        <f t="shared" si="47"/>
        <v>0</v>
      </c>
      <c r="R245" s="13">
        <f t="shared" si="48"/>
        <v>208435541.69720006</v>
      </c>
      <c r="S245" s="13">
        <f t="shared" si="49"/>
        <v>2522646995.6486502</v>
      </c>
      <c r="T245" s="12">
        <f t="shared" si="50"/>
        <v>7.6319751910450914E-2</v>
      </c>
      <c r="U245" t="e">
        <f t="shared" si="51"/>
        <v>#VALUE!</v>
      </c>
      <c r="V245" s="25" t="s">
        <v>95</v>
      </c>
    </row>
    <row r="246" spans="1:22">
      <c r="A246" s="14">
        <v>44900</v>
      </c>
      <c r="B246" s="15">
        <v>-3.4970000000000001E-2</v>
      </c>
      <c r="C246" s="15">
        <v>-2.3910000000000001E-2</v>
      </c>
      <c r="D246" s="16">
        <f t="shared" si="42"/>
        <v>-2.9440000000000001E-2</v>
      </c>
      <c r="E246" s="17">
        <f t="shared" si="53"/>
        <v>14</v>
      </c>
      <c r="F246" s="18">
        <f t="shared" si="54"/>
        <v>0.92240448762929894</v>
      </c>
      <c r="G246" s="18">
        <f t="shared" si="55"/>
        <v>1.0775955123707022</v>
      </c>
      <c r="H246" s="18">
        <f t="shared" si="43"/>
        <v>-0.15519102474140323</v>
      </c>
      <c r="I246" s="19" t="str">
        <f t="shared" si="44"/>
        <v>B</v>
      </c>
      <c r="J246" s="19">
        <f t="shared" si="52"/>
        <v>13</v>
      </c>
      <c r="K246" s="19" t="str">
        <f>IF(I246="","",IF(J246&gt;=Parameters!$B$5,I246,"HOLD"))</f>
        <v>B</v>
      </c>
      <c r="L246" s="20">
        <f>'Actual Calc'!T246</f>
        <v>111249075.34620006</v>
      </c>
      <c r="M246" s="20">
        <f>'Actual Calc'!U246</f>
        <v>1718427163.9286501</v>
      </c>
      <c r="N246" s="21">
        <f t="shared" si="45"/>
        <v>6.0802601552223834E-2</v>
      </c>
      <c r="O246" s="21">
        <f>IF(NOT(ISNUMBER(N246)),"",IF(K246="A",MIN(Parameters!$B$8,N246+Parameters!$B$6),IF(K246="B",MAX(Parameters!$B$7,N246-Parameters!$B$6),N246)))</f>
        <v>0</v>
      </c>
      <c r="P246" s="22">
        <f t="shared" si="46"/>
        <v>111249075.34620006</v>
      </c>
      <c r="Q246" s="22">
        <f t="shared" si="47"/>
        <v>0</v>
      </c>
      <c r="R246" s="22">
        <f t="shared" si="48"/>
        <v>0</v>
      </c>
      <c r="S246" s="22">
        <f t="shared" si="49"/>
        <v>1829676239.2748501</v>
      </c>
      <c r="T246" s="21">
        <f t="shared" si="50"/>
        <v>0</v>
      </c>
      <c r="U246" s="19" t="e">
        <f t="shared" si="51"/>
        <v>#VALUE!</v>
      </c>
      <c r="V246" s="35" t="s">
        <v>95</v>
      </c>
    </row>
    <row r="247" spans="1:22">
      <c r="A247" s="4">
        <v>44907</v>
      </c>
      <c r="B247" s="5">
        <v>1.0240000000000001E-2</v>
      </c>
      <c r="C247" s="5">
        <v>1.0240000000000001E-2</v>
      </c>
      <c r="D247" s="6">
        <f t="shared" si="42"/>
        <v>1.0240000000000001E-2</v>
      </c>
      <c r="E247" s="8">
        <f t="shared" si="53"/>
        <v>15</v>
      </c>
      <c r="F247" s="9">
        <f t="shared" si="54"/>
        <v>0.93963355941404658</v>
      </c>
      <c r="G247" s="9">
        <f t="shared" si="55"/>
        <v>1.0603664405859541</v>
      </c>
      <c r="H247" s="9">
        <f t="shared" si="43"/>
        <v>-0.1207328811719075</v>
      </c>
      <c r="I247" t="str">
        <f t="shared" si="44"/>
        <v>B</v>
      </c>
      <c r="J247">
        <f t="shared" si="52"/>
        <v>14</v>
      </c>
      <c r="K247" t="str">
        <f>IF(I247="","",IF(J247&gt;=Parameters!$B$5,I247,"HOLD"))</f>
        <v>B</v>
      </c>
      <c r="L247" s="10">
        <f>'Actual Calc'!T247</f>
        <v>0</v>
      </c>
      <c r="M247" s="10">
        <f>'Actual Calc'!U247</f>
        <v>2079488016.8108501</v>
      </c>
      <c r="N247" s="12">
        <f t="shared" si="45"/>
        <v>0</v>
      </c>
      <c r="O247" s="12">
        <f>IF(NOT(ISNUMBER(N247)),"",IF(K247="A",MIN(Parameters!$B$8,N247+Parameters!$B$6),IF(K247="B",MAX(Parameters!$B$7,N247-Parameters!$B$6),N247)))</f>
        <v>0</v>
      </c>
      <c r="P247" s="13">
        <f t="shared" si="46"/>
        <v>0</v>
      </c>
      <c r="Q247" s="13">
        <f t="shared" si="47"/>
        <v>0</v>
      </c>
      <c r="R247" s="13">
        <f t="shared" si="48"/>
        <v>0</v>
      </c>
      <c r="S247" s="13">
        <f t="shared" si="49"/>
        <v>2079488016.8108501</v>
      </c>
      <c r="T247" s="12">
        <f t="shared" si="50"/>
        <v>0</v>
      </c>
      <c r="U247" t="str">
        <f t="shared" si="51"/>
        <v>No transfer</v>
      </c>
      <c r="V247" s="25" t="s">
        <v>95</v>
      </c>
    </row>
    <row r="248" spans="1:22">
      <c r="A248" s="14">
        <v>44914</v>
      </c>
      <c r="B248" s="15">
        <v>-4.0000000000000001E-3</v>
      </c>
      <c r="C248" s="15">
        <v>-4.0000000000000001E-3</v>
      </c>
      <c r="D248" s="16">
        <f t="shared" si="42"/>
        <v>-4.0000000000000001E-3</v>
      </c>
      <c r="E248" s="17">
        <f t="shared" si="53"/>
        <v>14</v>
      </c>
      <c r="F248" s="18">
        <f t="shared" si="54"/>
        <v>0.94330673980761748</v>
      </c>
      <c r="G248" s="18">
        <f t="shared" si="55"/>
        <v>1.0566932601923826</v>
      </c>
      <c r="H248" s="18">
        <f t="shared" si="43"/>
        <v>-0.11338652038476515</v>
      </c>
      <c r="I248" s="19" t="str">
        <f t="shared" si="44"/>
        <v>B</v>
      </c>
      <c r="J248" s="19">
        <f t="shared" si="52"/>
        <v>15</v>
      </c>
      <c r="K248" s="19" t="str">
        <f>IF(I248="","",IF(J248&gt;=Parameters!$B$5,I248,"HOLD"))</f>
        <v>B</v>
      </c>
      <c r="L248" s="20">
        <f>'Actual Calc'!T248</f>
        <v>0</v>
      </c>
      <c r="M248" s="20">
        <f>'Actual Calc'!U248</f>
        <v>1968581998.41085</v>
      </c>
      <c r="N248" s="21">
        <f t="shared" si="45"/>
        <v>0</v>
      </c>
      <c r="O248" s="21">
        <f>IF(NOT(ISNUMBER(N248)),"",IF(K248="A",MIN(Parameters!$B$8,N248+Parameters!$B$6),IF(K248="B",MAX(Parameters!$B$7,N248-Parameters!$B$6),N248)))</f>
        <v>0</v>
      </c>
      <c r="P248" s="22">
        <f t="shared" si="46"/>
        <v>0</v>
      </c>
      <c r="Q248" s="22">
        <f t="shared" si="47"/>
        <v>0</v>
      </c>
      <c r="R248" s="22">
        <f t="shared" si="48"/>
        <v>0</v>
      </c>
      <c r="S248" s="22">
        <f t="shared" si="49"/>
        <v>1968581998.41085</v>
      </c>
      <c r="T248" s="21">
        <f t="shared" si="50"/>
        <v>0</v>
      </c>
      <c r="U248" s="19" t="str">
        <f t="shared" si="51"/>
        <v>No transfer</v>
      </c>
      <c r="V248" s="35" t="s">
        <v>95</v>
      </c>
    </row>
    <row r="249" spans="1:22">
      <c r="A249" s="4">
        <v>44921</v>
      </c>
      <c r="B249" s="5">
        <v>-2.401E-2</v>
      </c>
      <c r="C249" s="5">
        <v>0</v>
      </c>
      <c r="D249" s="6">
        <f t="shared" si="42"/>
        <v>-1.2005E-2</v>
      </c>
      <c r="E249" s="8">
        <f t="shared" si="53"/>
        <v>14</v>
      </c>
      <c r="F249" s="9">
        <f t="shared" si="54"/>
        <v>0.94330673980761748</v>
      </c>
      <c r="G249" s="9">
        <f t="shared" si="55"/>
        <v>1.0566932601923826</v>
      </c>
      <c r="H249" s="9">
        <f t="shared" si="43"/>
        <v>-0.11338652038476515</v>
      </c>
      <c r="I249" t="str">
        <f t="shared" si="44"/>
        <v>B</v>
      </c>
      <c r="J249">
        <f t="shared" si="52"/>
        <v>16</v>
      </c>
      <c r="K249" t="str">
        <f>IF(I249="","",IF(J249&gt;=Parameters!$B$5,I249,"HOLD"))</f>
        <v>B</v>
      </c>
      <c r="L249" s="10">
        <f>'Actual Calc'!T249</f>
        <v>0</v>
      </c>
      <c r="M249" s="10">
        <f>'Actual Calc'!U249</f>
        <v>1968581998.41085</v>
      </c>
      <c r="N249" s="12">
        <f t="shared" si="45"/>
        <v>0</v>
      </c>
      <c r="O249" s="12">
        <f>IF(NOT(ISNUMBER(N249)),"",IF(K249="A",MIN(Parameters!$B$8,N249+Parameters!$B$6),IF(K249="B",MAX(Parameters!$B$7,N249-Parameters!$B$6),N249)))</f>
        <v>0</v>
      </c>
      <c r="P249" s="13">
        <f t="shared" si="46"/>
        <v>0</v>
      </c>
      <c r="Q249" s="13">
        <f t="shared" si="47"/>
        <v>0</v>
      </c>
      <c r="R249" s="13">
        <f t="shared" si="48"/>
        <v>0</v>
      </c>
      <c r="S249" s="13">
        <f t="shared" si="49"/>
        <v>1968581998.41085</v>
      </c>
      <c r="T249" s="12">
        <f t="shared" si="50"/>
        <v>0</v>
      </c>
      <c r="U249" t="str">
        <f t="shared" si="51"/>
        <v>No transfer</v>
      </c>
      <c r="V249" s="25" t="s">
        <v>96</v>
      </c>
    </row>
    <row r="250" spans="1:22">
      <c r="A250" s="14">
        <v>44928</v>
      </c>
      <c r="B250" s="15">
        <v>-1.15E-2</v>
      </c>
      <c r="C250" s="15">
        <v>-1.5469999999999999E-2</v>
      </c>
      <c r="D250" s="16">
        <f t="shared" si="42"/>
        <v>-1.3485E-2</v>
      </c>
      <c r="E250" s="17">
        <f t="shared" si="53"/>
        <v>13</v>
      </c>
      <c r="F250" s="18">
        <f t="shared" si="54"/>
        <v>0.92855325182931581</v>
      </c>
      <c r="G250" s="18">
        <f t="shared" si="55"/>
        <v>1.0714467481706842</v>
      </c>
      <c r="H250" s="18">
        <f t="shared" si="43"/>
        <v>-0.14289349634136839</v>
      </c>
      <c r="I250" s="19" t="str">
        <f t="shared" si="44"/>
        <v>B</v>
      </c>
      <c r="J250" s="19">
        <f t="shared" si="52"/>
        <v>17</v>
      </c>
      <c r="K250" s="19" t="str">
        <f>IF(I250="","",IF(J250&gt;=Parameters!$B$5,I250,"HOLD"))</f>
        <v>B</v>
      </c>
      <c r="L250" s="20">
        <f>'Actual Calc'!T250</f>
        <v>0</v>
      </c>
      <c r="M250" s="20">
        <f>'Actual Calc'!U250</f>
        <v>1264711035.4130599</v>
      </c>
      <c r="N250" s="21">
        <f t="shared" si="45"/>
        <v>0</v>
      </c>
      <c r="O250" s="21">
        <f>IF(NOT(ISNUMBER(N250)),"",IF(K250="A",MIN(Parameters!$B$8,N250+Parameters!$B$6),IF(K250="B",MAX(Parameters!$B$7,N250-Parameters!$B$6),N250)))</f>
        <v>0</v>
      </c>
      <c r="P250" s="22">
        <f t="shared" si="46"/>
        <v>0</v>
      </c>
      <c r="Q250" s="22">
        <f t="shared" si="47"/>
        <v>0</v>
      </c>
      <c r="R250" s="22">
        <f t="shared" si="48"/>
        <v>0</v>
      </c>
      <c r="S250" s="22">
        <f t="shared" si="49"/>
        <v>1264711035.4130599</v>
      </c>
      <c r="T250" s="21">
        <f t="shared" si="50"/>
        <v>0</v>
      </c>
      <c r="U250" s="19" t="str">
        <f t="shared" si="51"/>
        <v>No transfer</v>
      </c>
      <c r="V250" s="35" t="s">
        <v>95</v>
      </c>
    </row>
    <row r="251" spans="1:22">
      <c r="A251" s="4">
        <v>44935</v>
      </c>
      <c r="B251" s="5">
        <v>3.7179999999999998E-2</v>
      </c>
      <c r="C251" s="5">
        <v>3.7179999999999998E-2</v>
      </c>
      <c r="D251" s="6">
        <f t="shared" si="42"/>
        <v>3.7179999999999998E-2</v>
      </c>
      <c r="E251" s="8">
        <f t="shared" si="53"/>
        <v>14</v>
      </c>
      <c r="F251" s="9">
        <f t="shared" si="54"/>
        <v>0.91309846966824715</v>
      </c>
      <c r="G251" s="9">
        <f t="shared" si="55"/>
        <v>1.0869015303317524</v>
      </c>
      <c r="H251" s="9">
        <f t="shared" si="43"/>
        <v>-0.17380306066350526</v>
      </c>
      <c r="I251" t="str">
        <f t="shared" si="44"/>
        <v>B</v>
      </c>
      <c r="J251">
        <f t="shared" si="52"/>
        <v>18</v>
      </c>
      <c r="K251" t="str">
        <f>IF(I251="","",IF(J251&gt;=Parameters!$B$5,I251,"HOLD"))</f>
        <v>B</v>
      </c>
      <c r="L251" s="10">
        <f>'Actual Calc'!T251</f>
        <v>0</v>
      </c>
      <c r="M251" s="10">
        <f>'Actual Calc'!U251</f>
        <v>1891670437.6250601</v>
      </c>
      <c r="N251" s="12">
        <f t="shared" si="45"/>
        <v>0</v>
      </c>
      <c r="O251" s="12">
        <f>IF(NOT(ISNUMBER(N251)),"",IF(K251="A",MIN(Parameters!$B$8,N251+Parameters!$B$6),IF(K251="B",MAX(Parameters!$B$7,N251-Parameters!$B$6),N251)))</f>
        <v>0</v>
      </c>
      <c r="P251" s="13">
        <f t="shared" si="46"/>
        <v>0</v>
      </c>
      <c r="Q251" s="13">
        <f t="shared" si="47"/>
        <v>0</v>
      </c>
      <c r="R251" s="13">
        <f t="shared" si="48"/>
        <v>0</v>
      </c>
      <c r="S251" s="13">
        <f t="shared" si="49"/>
        <v>1891670437.6250601</v>
      </c>
      <c r="T251" s="12">
        <f t="shared" si="50"/>
        <v>0</v>
      </c>
      <c r="U251" t="str">
        <f t="shared" si="51"/>
        <v>No transfer</v>
      </c>
      <c r="V251" s="25" t="s">
        <v>95</v>
      </c>
    </row>
    <row r="252" spans="1:22">
      <c r="A252" s="14">
        <v>44942</v>
      </c>
      <c r="B252" s="15">
        <v>-1.124E-2</v>
      </c>
      <c r="C252" s="15">
        <v>-1.124E-2</v>
      </c>
      <c r="D252" s="16">
        <f t="shared" si="42"/>
        <v>-1.124E-2</v>
      </c>
      <c r="E252" s="17">
        <f t="shared" si="53"/>
        <v>13</v>
      </c>
      <c r="F252" s="18">
        <f t="shared" si="54"/>
        <v>0.92600929714602442</v>
      </c>
      <c r="G252" s="18">
        <f t="shared" si="55"/>
        <v>1.0739907028539757</v>
      </c>
      <c r="H252" s="18">
        <f t="shared" si="43"/>
        <v>-0.14798140570795126</v>
      </c>
      <c r="I252" s="19" t="str">
        <f t="shared" si="44"/>
        <v>B</v>
      </c>
      <c r="J252" s="19">
        <f t="shared" si="52"/>
        <v>19</v>
      </c>
      <c r="K252" s="19" t="str">
        <f>IF(I252="","",IF(J252&gt;=Parameters!$B$5,I252,"HOLD"))</f>
        <v>B</v>
      </c>
      <c r="L252" s="20">
        <f>'Actual Calc'!T252</f>
        <v>0</v>
      </c>
      <c r="M252" s="20">
        <f>'Actual Calc'!U252</f>
        <v>1608172105.96506</v>
      </c>
      <c r="N252" s="21">
        <f t="shared" si="45"/>
        <v>0</v>
      </c>
      <c r="O252" s="21">
        <f>IF(NOT(ISNUMBER(N252)),"",IF(K252="A",MIN(Parameters!$B$8,N252+Parameters!$B$6),IF(K252="B",MAX(Parameters!$B$7,N252-Parameters!$B$6),N252)))</f>
        <v>0</v>
      </c>
      <c r="P252" s="22">
        <f t="shared" si="46"/>
        <v>0</v>
      </c>
      <c r="Q252" s="22">
        <f t="shared" si="47"/>
        <v>0</v>
      </c>
      <c r="R252" s="22">
        <f t="shared" si="48"/>
        <v>0</v>
      </c>
      <c r="S252" s="22">
        <f t="shared" si="49"/>
        <v>1608172105.96506</v>
      </c>
      <c r="T252" s="21">
        <f t="shared" si="50"/>
        <v>0</v>
      </c>
      <c r="U252" s="19" t="str">
        <f t="shared" si="51"/>
        <v>No transfer</v>
      </c>
      <c r="V252" s="35" t="s">
        <v>95</v>
      </c>
    </row>
    <row r="253" spans="1:22">
      <c r="A253" s="4">
        <v>44949</v>
      </c>
      <c r="B253" s="5">
        <v>1.8290000000000001E-2</v>
      </c>
      <c r="C253" s="5">
        <v>1.8290000000000001E-2</v>
      </c>
      <c r="D253" s="6">
        <f t="shared" si="42"/>
        <v>1.8290000000000001E-2</v>
      </c>
      <c r="E253" s="8">
        <f t="shared" si="53"/>
        <v>14</v>
      </c>
      <c r="F253" s="9">
        <f t="shared" si="54"/>
        <v>0.92025957066967601</v>
      </c>
      <c r="G253" s="9">
        <f t="shared" si="55"/>
        <v>1.0797404293303241</v>
      </c>
      <c r="H253" s="9">
        <f t="shared" si="43"/>
        <v>-0.15948085866064809</v>
      </c>
      <c r="I253" t="str">
        <f t="shared" si="44"/>
        <v>B</v>
      </c>
      <c r="J253">
        <f t="shared" si="52"/>
        <v>20</v>
      </c>
      <c r="K253" t="str">
        <f>IF(I253="","",IF(J253&gt;=Parameters!$B$5,I253,"HOLD"))</f>
        <v>B</v>
      </c>
      <c r="L253" s="10">
        <f>'Actual Calc'!T253</f>
        <v>0</v>
      </c>
      <c r="M253" s="10">
        <f>'Actual Calc'!U253</f>
        <v>2000351641.27706</v>
      </c>
      <c r="N253" s="12">
        <f t="shared" si="45"/>
        <v>0</v>
      </c>
      <c r="O253" s="12">
        <f>IF(NOT(ISNUMBER(N253)),"",IF(K253="A",MIN(Parameters!$B$8,N253+Parameters!$B$6),IF(K253="B",MAX(Parameters!$B$7,N253-Parameters!$B$6),N253)))</f>
        <v>0</v>
      </c>
      <c r="P253" s="13">
        <f t="shared" si="46"/>
        <v>0</v>
      </c>
      <c r="Q253" s="13">
        <f t="shared" si="47"/>
        <v>0</v>
      </c>
      <c r="R253" s="13">
        <f t="shared" si="48"/>
        <v>0</v>
      </c>
      <c r="S253" s="13">
        <f t="shared" si="49"/>
        <v>2000351641.27706</v>
      </c>
      <c r="T253" s="12">
        <f t="shared" si="50"/>
        <v>0</v>
      </c>
      <c r="U253" t="str">
        <f t="shared" si="51"/>
        <v>No transfer</v>
      </c>
      <c r="V253" s="25" t="s">
        <v>95</v>
      </c>
    </row>
    <row r="254" spans="1:22">
      <c r="A254" s="14">
        <v>44956</v>
      </c>
      <c r="B254" s="15">
        <v>6.3920000000000005E-2</v>
      </c>
      <c r="C254" s="15">
        <v>6.3920000000000005E-2</v>
      </c>
      <c r="D254" s="16">
        <f t="shared" si="42"/>
        <v>6.3920000000000005E-2</v>
      </c>
      <c r="E254" s="17">
        <f t="shared" si="53"/>
        <v>14</v>
      </c>
      <c r="F254" s="18">
        <f t="shared" si="54"/>
        <v>0.94544169288084434</v>
      </c>
      <c r="G254" s="18">
        <f t="shared" si="55"/>
        <v>1.054558307119156</v>
      </c>
      <c r="H254" s="18">
        <f t="shared" si="43"/>
        <v>-0.10911661423831165</v>
      </c>
      <c r="I254" s="19" t="str">
        <f t="shared" si="44"/>
        <v>B</v>
      </c>
      <c r="J254" s="19">
        <f t="shared" si="52"/>
        <v>21</v>
      </c>
      <c r="K254" s="19" t="str">
        <f>IF(I254="","",IF(J254&gt;=Parameters!$B$5,I254,"HOLD"))</f>
        <v>B</v>
      </c>
      <c r="L254" s="20">
        <f>'Actual Calc'!T254</f>
        <v>0</v>
      </c>
      <c r="M254" s="20">
        <f>'Actual Calc'!U254</f>
        <v>3705184608.1330605</v>
      </c>
      <c r="N254" s="21">
        <f t="shared" si="45"/>
        <v>0</v>
      </c>
      <c r="O254" s="21">
        <f>IF(NOT(ISNUMBER(N254)),"",IF(K254="A",MIN(Parameters!$B$8,N254+Parameters!$B$6),IF(K254="B",MAX(Parameters!$B$7,N254-Parameters!$B$6),N254)))</f>
        <v>0</v>
      </c>
      <c r="P254" s="22">
        <f t="shared" si="46"/>
        <v>0</v>
      </c>
      <c r="Q254" s="22">
        <f t="shared" si="47"/>
        <v>0</v>
      </c>
      <c r="R254" s="22">
        <f t="shared" si="48"/>
        <v>0</v>
      </c>
      <c r="S254" s="22">
        <f t="shared" si="49"/>
        <v>3705184608.1330605</v>
      </c>
      <c r="T254" s="21">
        <f t="shared" si="50"/>
        <v>0</v>
      </c>
      <c r="U254" s="19" t="str">
        <f t="shared" si="51"/>
        <v>No transfer</v>
      </c>
      <c r="V254" s="35" t="s">
        <v>95</v>
      </c>
    </row>
    <row r="255" spans="1:22">
      <c r="A255" s="4">
        <v>44963</v>
      </c>
      <c r="B255" s="5">
        <v>2.0299999999999999E-2</v>
      </c>
      <c r="C255" s="5">
        <v>2.0299999999999999E-2</v>
      </c>
      <c r="D255" s="6">
        <f t="shared" si="42"/>
        <v>2.0299999999999999E-2</v>
      </c>
      <c r="E255" s="8">
        <f t="shared" si="53"/>
        <v>15</v>
      </c>
      <c r="F255" s="9">
        <f t="shared" si="54"/>
        <v>0.94411586095442468</v>
      </c>
      <c r="G255" s="9">
        <f t="shared" si="55"/>
        <v>1.0558841390455751</v>
      </c>
      <c r="H255" s="9">
        <f t="shared" si="43"/>
        <v>-0.11176827809115042</v>
      </c>
      <c r="I255" t="str">
        <f t="shared" si="44"/>
        <v>B</v>
      </c>
      <c r="J255">
        <f t="shared" si="52"/>
        <v>22</v>
      </c>
      <c r="K255" t="str">
        <f>IF(I255="","",IF(J255&gt;=Parameters!$B$5,I255,"HOLD"))</f>
        <v>B</v>
      </c>
      <c r="L255" s="10">
        <f>'Actual Calc'!T255</f>
        <v>0</v>
      </c>
      <c r="M255" s="10">
        <f>'Actual Calc'!U255</f>
        <v>4708054572.5230608</v>
      </c>
      <c r="N255" s="12">
        <f t="shared" si="45"/>
        <v>0</v>
      </c>
      <c r="O255" s="12">
        <f>IF(NOT(ISNUMBER(N255)),"",IF(K255="A",MIN(Parameters!$B$8,N255+Parameters!$B$6),IF(K255="B",MAX(Parameters!$B$7,N255-Parameters!$B$6),N255)))</f>
        <v>0</v>
      </c>
      <c r="P255" s="13">
        <f t="shared" si="46"/>
        <v>0</v>
      </c>
      <c r="Q255" s="13">
        <f t="shared" si="47"/>
        <v>0</v>
      </c>
      <c r="R255" s="13">
        <f t="shared" si="48"/>
        <v>0</v>
      </c>
      <c r="S255" s="13">
        <f t="shared" si="49"/>
        <v>4708054572.5230608</v>
      </c>
      <c r="T255" s="12">
        <f t="shared" si="50"/>
        <v>0</v>
      </c>
      <c r="U255" t="str">
        <f t="shared" si="51"/>
        <v>No transfer</v>
      </c>
      <c r="V255" s="25" t="s">
        <v>95</v>
      </c>
    </row>
    <row r="256" spans="1:22">
      <c r="A256" s="14">
        <v>44970</v>
      </c>
      <c r="B256" s="15">
        <v>1.167E-2</v>
      </c>
      <c r="C256" s="15">
        <v>1.167E-2</v>
      </c>
      <c r="D256" s="16">
        <f t="shared" si="42"/>
        <v>1.167E-2</v>
      </c>
      <c r="E256" s="17">
        <f t="shared" si="53"/>
        <v>15</v>
      </c>
      <c r="F256" s="18">
        <f t="shared" si="54"/>
        <v>0.94344321817114896</v>
      </c>
      <c r="G256" s="18">
        <f t="shared" si="55"/>
        <v>1.0565567818288499</v>
      </c>
      <c r="H256" s="18">
        <f t="shared" si="43"/>
        <v>-0.11311356365770098</v>
      </c>
      <c r="I256" s="19" t="str">
        <f t="shared" si="44"/>
        <v>B</v>
      </c>
      <c r="J256" s="19">
        <f t="shared" si="52"/>
        <v>23</v>
      </c>
      <c r="K256" s="19" t="str">
        <f>IF(I256="","",IF(J256&gt;=Parameters!$B$5,I256,"HOLD"))</f>
        <v>B</v>
      </c>
      <c r="L256" s="20">
        <f>'Actual Calc'!T256</f>
        <v>0</v>
      </c>
      <c r="M256" s="20">
        <f>'Actual Calc'!U256</f>
        <v>5440627837.5520611</v>
      </c>
      <c r="N256" s="21">
        <f t="shared" si="45"/>
        <v>0</v>
      </c>
      <c r="O256" s="21">
        <f>IF(NOT(ISNUMBER(N256)),"",IF(K256="A",MIN(Parameters!$B$8,N256+Parameters!$B$6),IF(K256="B",MAX(Parameters!$B$7,N256-Parameters!$B$6),N256)))</f>
        <v>0</v>
      </c>
      <c r="P256" s="22">
        <f t="shared" si="46"/>
        <v>0</v>
      </c>
      <c r="Q256" s="22">
        <f t="shared" si="47"/>
        <v>0</v>
      </c>
      <c r="R256" s="22">
        <f t="shared" si="48"/>
        <v>0</v>
      </c>
      <c r="S256" s="22">
        <f t="shared" si="49"/>
        <v>5440627837.5520611</v>
      </c>
      <c r="T256" s="21">
        <f t="shared" si="50"/>
        <v>0</v>
      </c>
      <c r="U256" s="19" t="str">
        <f t="shared" si="51"/>
        <v>No transfer</v>
      </c>
      <c r="V256" s="35" t="s">
        <v>95</v>
      </c>
    </row>
    <row r="257" spans="1:22">
      <c r="A257" s="4">
        <v>44977</v>
      </c>
      <c r="B257" s="5">
        <v>-4.0800000000000003E-3</v>
      </c>
      <c r="C257" s="5">
        <v>0</v>
      </c>
      <c r="D257" s="6">
        <f t="shared" si="42"/>
        <v>-2.0400000000000001E-3</v>
      </c>
      <c r="E257" s="8">
        <f t="shared" si="53"/>
        <v>15</v>
      </c>
      <c r="F257" s="9">
        <f t="shared" si="54"/>
        <v>0.94344321817114896</v>
      </c>
      <c r="G257" s="9">
        <f t="shared" si="55"/>
        <v>1.0565567818288499</v>
      </c>
      <c r="H257" s="9">
        <f t="shared" si="43"/>
        <v>-0.11311356365770098</v>
      </c>
      <c r="I257" t="str">
        <f t="shared" si="44"/>
        <v>B</v>
      </c>
      <c r="J257">
        <f t="shared" si="52"/>
        <v>24</v>
      </c>
      <c r="K257" t="str">
        <f>IF(I257="","",IF(J257&gt;=Parameters!$B$5,I257,"HOLD"))</f>
        <v>B</v>
      </c>
      <c r="L257" s="10">
        <f>'Actual Calc'!T257</f>
        <v>0</v>
      </c>
      <c r="M257" s="10">
        <f>'Actual Calc'!U257</f>
        <v>5440627837.5520611</v>
      </c>
      <c r="N257" s="12">
        <f t="shared" si="45"/>
        <v>0</v>
      </c>
      <c r="O257" s="12">
        <f>IF(NOT(ISNUMBER(N257)),"",IF(K257="A",MIN(Parameters!$B$8,N257+Parameters!$B$6),IF(K257="B",MAX(Parameters!$B$7,N257-Parameters!$B$6),N257)))</f>
        <v>0</v>
      </c>
      <c r="P257" s="13">
        <f t="shared" si="46"/>
        <v>0</v>
      </c>
      <c r="Q257" s="13">
        <f t="shared" si="47"/>
        <v>0</v>
      </c>
      <c r="R257" s="13">
        <f t="shared" si="48"/>
        <v>0</v>
      </c>
      <c r="S257" s="13">
        <f t="shared" si="49"/>
        <v>5440627837.5520611</v>
      </c>
      <c r="T257" s="12">
        <f t="shared" si="50"/>
        <v>0</v>
      </c>
      <c r="U257" t="str">
        <f t="shared" si="51"/>
        <v>No transfer</v>
      </c>
      <c r="V257" s="25" t="s">
        <v>96</v>
      </c>
    </row>
    <row r="258" spans="1:22">
      <c r="A258" s="14">
        <v>44984</v>
      </c>
      <c r="B258" s="15">
        <v>-3.9300000000000003E-3</v>
      </c>
      <c r="C258" s="15">
        <v>-7.1700000000000002E-3</v>
      </c>
      <c r="D258" s="16">
        <f t="shared" si="42"/>
        <v>-5.5500000000000002E-3</v>
      </c>
      <c r="E258" s="17">
        <f t="shared" si="53"/>
        <v>15</v>
      </c>
      <c r="F258" s="18">
        <f t="shared" si="54"/>
        <v>0.94344321817114896</v>
      </c>
      <c r="G258" s="18">
        <f t="shared" si="55"/>
        <v>1.0565567818288499</v>
      </c>
      <c r="H258" s="18">
        <f t="shared" si="43"/>
        <v>-0.11311356365770098</v>
      </c>
      <c r="I258" s="19" t="str">
        <f t="shared" si="44"/>
        <v>B</v>
      </c>
      <c r="J258" s="19">
        <f t="shared" si="52"/>
        <v>25</v>
      </c>
      <c r="K258" s="19" t="str">
        <f>IF(I258="","",IF(J258&gt;=Parameters!$B$5,I258,"HOLD"))</f>
        <v>B</v>
      </c>
      <c r="L258" s="20">
        <f>'Actual Calc'!T258</f>
        <v>0</v>
      </c>
      <c r="M258" s="20">
        <f>'Actual Calc'!U258</f>
        <v>4920503824.8910608</v>
      </c>
      <c r="N258" s="21">
        <f t="shared" si="45"/>
        <v>0</v>
      </c>
      <c r="O258" s="21">
        <f>IF(NOT(ISNUMBER(N258)),"",IF(K258="A",MIN(Parameters!$B$8,N258+Parameters!$B$6),IF(K258="B",MAX(Parameters!$B$7,N258-Parameters!$B$6),N258)))</f>
        <v>0</v>
      </c>
      <c r="P258" s="22">
        <f t="shared" si="46"/>
        <v>0</v>
      </c>
      <c r="Q258" s="22">
        <f t="shared" si="47"/>
        <v>0</v>
      </c>
      <c r="R258" s="22">
        <f t="shared" si="48"/>
        <v>0</v>
      </c>
      <c r="S258" s="22">
        <f t="shared" si="49"/>
        <v>4920503824.8910608</v>
      </c>
      <c r="T258" s="21">
        <f t="shared" si="50"/>
        <v>0</v>
      </c>
      <c r="U258" s="19" t="str">
        <f t="shared" si="51"/>
        <v>No transfer</v>
      </c>
      <c r="V258" s="35" t="s">
        <v>95</v>
      </c>
    </row>
    <row r="259" spans="1:22">
      <c r="A259" s="4">
        <v>44991</v>
      </c>
      <c r="B259" s="5">
        <v>-9.8300000000000002E-3</v>
      </c>
      <c r="C259" s="5">
        <v>-9.8300000000000002E-3</v>
      </c>
      <c r="D259" s="6">
        <f t="shared" si="42"/>
        <v>-9.8300000000000002E-3</v>
      </c>
      <c r="E259" s="8">
        <f t="shared" si="53"/>
        <v>14</v>
      </c>
      <c r="F259" s="9">
        <f t="shared" si="54"/>
        <v>0.93924946057115333</v>
      </c>
      <c r="G259" s="9">
        <f t="shared" si="55"/>
        <v>1.0607505394288459</v>
      </c>
      <c r="H259" s="9">
        <f t="shared" si="43"/>
        <v>-0.12150107885769257</v>
      </c>
      <c r="I259" t="str">
        <f t="shared" si="44"/>
        <v>B</v>
      </c>
      <c r="J259">
        <f t="shared" si="52"/>
        <v>26</v>
      </c>
      <c r="K259" t="str">
        <f>IF(I259="","",IF(J259&gt;=Parameters!$B$5,I259,"HOLD"))</f>
        <v>B</v>
      </c>
      <c r="L259" s="10">
        <f>'Actual Calc'!T259</f>
        <v>0</v>
      </c>
      <c r="M259" s="10">
        <f>'Actual Calc'!U259</f>
        <v>4275589809.560061</v>
      </c>
      <c r="N259" s="12">
        <f t="shared" si="45"/>
        <v>0</v>
      </c>
      <c r="O259" s="12">
        <f>IF(NOT(ISNUMBER(N259)),"",IF(K259="A",MIN(Parameters!$B$8,N259+Parameters!$B$6),IF(K259="B",MAX(Parameters!$B$7,N259-Parameters!$B$6),N259)))</f>
        <v>0</v>
      </c>
      <c r="P259" s="13">
        <f t="shared" si="46"/>
        <v>0</v>
      </c>
      <c r="Q259" s="13">
        <f t="shared" si="47"/>
        <v>0</v>
      </c>
      <c r="R259" s="13">
        <f t="shared" si="48"/>
        <v>0</v>
      </c>
      <c r="S259" s="13">
        <f t="shared" si="49"/>
        <v>4275589809.560061</v>
      </c>
      <c r="T259" s="12">
        <f t="shared" si="50"/>
        <v>0</v>
      </c>
      <c r="U259" t="str">
        <f t="shared" si="51"/>
        <v>No transfer</v>
      </c>
      <c r="V259" s="25" t="s">
        <v>95</v>
      </c>
    </row>
    <row r="260" spans="1:22">
      <c r="A260" s="14">
        <v>44998</v>
      </c>
      <c r="B260" s="15">
        <v>1.3440000000000001E-2</v>
      </c>
      <c r="C260" s="15">
        <v>1.3440000000000001E-2</v>
      </c>
      <c r="D260" s="16">
        <f t="shared" ref="D260:D323" si="56">IF(AND(ISNUMBER(B260),ISNUMBER(C260)),(B260+C260)/2,"")</f>
        <v>1.3440000000000001E-2</v>
      </c>
      <c r="E260" s="17">
        <f t="shared" si="53"/>
        <v>14</v>
      </c>
      <c r="F260" s="18">
        <f t="shared" si="54"/>
        <v>0.93603359526099106</v>
      </c>
      <c r="G260" s="18">
        <f t="shared" si="55"/>
        <v>1.0639664047390096</v>
      </c>
      <c r="H260" s="18">
        <f t="shared" ref="H260:H323" si="57">IF(AND(ISNUMBER(F260),ISNUMBER(G260)),F260-G260,"")</f>
        <v>-0.12793280947801855</v>
      </c>
      <c r="I260" s="19" t="str">
        <f t="shared" ref="I260:I323" si="58">IF(OR(NOT(ISNUMBER(F260)),NOT(ISNUMBER(G260))),"",IF(F260&gt;G260,"A",IF(G260&gt;F260,"B","HOLD")))</f>
        <v>B</v>
      </c>
      <c r="J260" s="19">
        <f t="shared" si="52"/>
        <v>27</v>
      </c>
      <c r="K260" s="19" t="str">
        <f>IF(I260="","",IF(J260&gt;=Parameters!$B$5,I260,"HOLD"))</f>
        <v>B</v>
      </c>
      <c r="L260" s="20">
        <f>'Actual Calc'!T260</f>
        <v>0</v>
      </c>
      <c r="M260" s="20">
        <f>'Actual Calc'!U260</f>
        <v>5041775476.1840611</v>
      </c>
      <c r="N260" s="21">
        <f t="shared" ref="N260:N323" si="59">IF(OR(NOT(ISNUMBER(L260)),NOT(ISNUMBER(M260)),L260+M260=0),"",L260/(L260+M260))</f>
        <v>0</v>
      </c>
      <c r="O260" s="21">
        <f>IF(NOT(ISNUMBER(N260)),"",IF(K260="A",MIN(Parameters!$B$8,N260+Parameters!$B$6),IF(K260="B",MAX(Parameters!$B$7,N260-Parameters!$B$6),N260)))</f>
        <v>0</v>
      </c>
      <c r="P260" s="22">
        <f t="shared" ref="P260:P323" si="60">IF(NOT(ISNUMBER(O260)),"",MAX(0,L260-(L260+M260)*O260))</f>
        <v>0</v>
      </c>
      <c r="Q260" s="22">
        <f t="shared" ref="Q260:Q323" si="61">IF(NOT(ISNUMBER(O260)),"",MAX(0,(L260+M260)*O260-L260))</f>
        <v>0</v>
      </c>
      <c r="R260" s="22">
        <f t="shared" ref="R260:R323" si="62">IF(NOT(ISNUMBER(O260)),"",L260-P260+Q260)</f>
        <v>0</v>
      </c>
      <c r="S260" s="22">
        <f t="shared" ref="S260:S323" si="63">IF(NOT(ISNUMBER(O260)),"",M260+P260-Q260)</f>
        <v>5041775476.1840611</v>
      </c>
      <c r="T260" s="21">
        <f t="shared" ref="T260:T323" si="64">IF(OR(NOT(ISNUMBER(R260)),NOT(ISNUMBER(S260)),R260+S260=0),"",R260/(R260+S260))</f>
        <v>0</v>
      </c>
      <c r="U260" s="19" t="str">
        <f t="shared" ref="U260:U323" si="65">IF(NOT(ISNUMBER(O260)),"",IF(P260&gt;0.005,"Transfer "&amp;TEXT(P260,"#,##0.00")&amp;" A → B",IF(Q260&gt;0.005,"Transfer "&amp;TEXT(Q260,"#,##0.00")&amp;" B → A","No transfer")))</f>
        <v>No transfer</v>
      </c>
      <c r="V260" s="35" t="s">
        <v>95</v>
      </c>
    </row>
    <row r="261" spans="1:22">
      <c r="A261" s="4">
        <v>45005</v>
      </c>
      <c r="B261" s="5">
        <v>2.0279999999999999E-2</v>
      </c>
      <c r="C261" s="5">
        <v>2.0279999999999999E-2</v>
      </c>
      <c r="D261" s="6">
        <f t="shared" si="56"/>
        <v>2.0279999999999999E-2</v>
      </c>
      <c r="E261" s="8">
        <f t="shared" si="53"/>
        <v>14</v>
      </c>
      <c r="F261" s="9">
        <f t="shared" si="54"/>
        <v>0.93558965110134484</v>
      </c>
      <c r="G261" s="9">
        <f t="shared" si="55"/>
        <v>1.064410348898656</v>
      </c>
      <c r="H261" s="9">
        <f t="shared" si="57"/>
        <v>-0.1288206977973112</v>
      </c>
      <c r="I261" t="str">
        <f t="shared" si="58"/>
        <v>B</v>
      </c>
      <c r="J261">
        <f t="shared" ref="J261:J324" si="66">IF(I261="","",IF(I261="HOLD",0,IF(I261=I260,J260+1,1)))</f>
        <v>28</v>
      </c>
      <c r="K261" t="str">
        <f>IF(I261="","",IF(J261&gt;=Parameters!$B$5,I261,"HOLD"))</f>
        <v>B</v>
      </c>
      <c r="L261" s="10">
        <f>'Actual Calc'!T261</f>
        <v>0</v>
      </c>
      <c r="M261" s="10">
        <f>'Actual Calc'!U261</f>
        <v>6405071522.0360613</v>
      </c>
      <c r="N261" s="12">
        <f t="shared" si="59"/>
        <v>0</v>
      </c>
      <c r="O261" s="12">
        <f>IF(NOT(ISNUMBER(N261)),"",IF(K261="A",MIN(Parameters!$B$8,N261+Parameters!$B$6),IF(K261="B",MAX(Parameters!$B$7,N261-Parameters!$B$6),N261)))</f>
        <v>0</v>
      </c>
      <c r="P261" s="13">
        <f t="shared" si="60"/>
        <v>0</v>
      </c>
      <c r="Q261" s="13">
        <f t="shared" si="61"/>
        <v>0</v>
      </c>
      <c r="R261" s="13">
        <f t="shared" si="62"/>
        <v>0</v>
      </c>
      <c r="S261" s="13">
        <f t="shared" si="63"/>
        <v>6405071522.0360613</v>
      </c>
      <c r="T261" s="12">
        <f t="shared" si="64"/>
        <v>0</v>
      </c>
      <c r="U261" t="str">
        <f t="shared" si="65"/>
        <v>No transfer</v>
      </c>
      <c r="V261" s="25" t="s">
        <v>95</v>
      </c>
    </row>
    <row r="262" spans="1:22">
      <c r="A262" s="14">
        <v>45012</v>
      </c>
      <c r="B262" s="15">
        <v>-3.9899999999999996E-3</v>
      </c>
      <c r="C262" s="15">
        <v>-3.9899999999999996E-3</v>
      </c>
      <c r="D262" s="16">
        <f t="shared" si="56"/>
        <v>-3.9899999999999996E-3</v>
      </c>
      <c r="E262" s="17">
        <f t="shared" si="53"/>
        <v>14</v>
      </c>
      <c r="F262" s="18">
        <f t="shared" si="54"/>
        <v>0.93558965110134484</v>
      </c>
      <c r="G262" s="18">
        <f t="shared" si="55"/>
        <v>1.064410348898656</v>
      </c>
      <c r="H262" s="18">
        <f t="shared" si="57"/>
        <v>-0.1288206977973112</v>
      </c>
      <c r="I262" s="19" t="str">
        <f t="shared" si="58"/>
        <v>B</v>
      </c>
      <c r="J262" s="19">
        <f t="shared" si="66"/>
        <v>29</v>
      </c>
      <c r="K262" s="19" t="str">
        <f>IF(I262="","",IF(J262&gt;=Parameters!$B$5,I262,"HOLD"))</f>
        <v>B</v>
      </c>
      <c r="L262" s="20">
        <f>'Actual Calc'!T262</f>
        <v>0</v>
      </c>
      <c r="M262" s="20">
        <f>'Actual Calc'!U262</f>
        <v>6064321720.7630615</v>
      </c>
      <c r="N262" s="21">
        <f t="shared" si="59"/>
        <v>0</v>
      </c>
      <c r="O262" s="21">
        <f>IF(NOT(ISNUMBER(N262)),"",IF(K262="A",MIN(Parameters!$B$8,N262+Parameters!$B$6),IF(K262="B",MAX(Parameters!$B$7,N262-Parameters!$B$6),N262)))</f>
        <v>0</v>
      </c>
      <c r="P262" s="22">
        <f t="shared" si="60"/>
        <v>0</v>
      </c>
      <c r="Q262" s="22">
        <f t="shared" si="61"/>
        <v>0</v>
      </c>
      <c r="R262" s="22">
        <f t="shared" si="62"/>
        <v>0</v>
      </c>
      <c r="S262" s="22">
        <f t="shared" si="63"/>
        <v>6064321720.7630615</v>
      </c>
      <c r="T262" s="21">
        <f t="shared" si="64"/>
        <v>0</v>
      </c>
      <c r="U262" s="19" t="str">
        <f t="shared" si="65"/>
        <v>No transfer</v>
      </c>
      <c r="V262" s="35" t="s">
        <v>95</v>
      </c>
    </row>
    <row r="263" spans="1:22">
      <c r="A263" s="4">
        <v>45019</v>
      </c>
      <c r="B263" s="5">
        <v>-1.026E-2</v>
      </c>
      <c r="C263" s="5">
        <v>-1.026E-2</v>
      </c>
      <c r="D263" s="6">
        <f t="shared" si="56"/>
        <v>-1.026E-2</v>
      </c>
      <c r="E263" s="8">
        <f t="shared" si="53"/>
        <v>13</v>
      </c>
      <c r="F263" s="9">
        <f t="shared" si="54"/>
        <v>0.93538264916430947</v>
      </c>
      <c r="G263" s="9">
        <f t="shared" si="55"/>
        <v>1.0646173508356898</v>
      </c>
      <c r="H263" s="9">
        <f t="shared" si="57"/>
        <v>-0.12923470167138029</v>
      </c>
      <c r="I263" t="str">
        <f t="shared" si="58"/>
        <v>B</v>
      </c>
      <c r="J263">
        <f t="shared" si="66"/>
        <v>30</v>
      </c>
      <c r="K263" t="str">
        <f>IF(I263="","",IF(J263&gt;=Parameters!$B$5,I263,"HOLD"))</f>
        <v>B</v>
      </c>
      <c r="L263" s="10">
        <f>'Actual Calc'!T263</f>
        <v>0</v>
      </c>
      <c r="M263" s="10">
        <f>'Actual Calc'!U263</f>
        <v>5234722514.9390612</v>
      </c>
      <c r="N263" s="12">
        <f t="shared" si="59"/>
        <v>0</v>
      </c>
      <c r="O263" s="12">
        <f>IF(NOT(ISNUMBER(N263)),"",IF(K263="A",MIN(Parameters!$B$8,N263+Parameters!$B$6),IF(K263="B",MAX(Parameters!$B$7,N263-Parameters!$B$6),N263)))</f>
        <v>0</v>
      </c>
      <c r="P263" s="13">
        <f t="shared" si="60"/>
        <v>0</v>
      </c>
      <c r="Q263" s="13">
        <f t="shared" si="61"/>
        <v>0</v>
      </c>
      <c r="R263" s="13">
        <f t="shared" si="62"/>
        <v>0</v>
      </c>
      <c r="S263" s="13">
        <f t="shared" si="63"/>
        <v>5234722514.9390612</v>
      </c>
      <c r="T263" s="12">
        <f t="shared" si="64"/>
        <v>0</v>
      </c>
      <c r="U263" t="str">
        <f t="shared" si="65"/>
        <v>No transfer</v>
      </c>
      <c r="V263" s="25" t="s">
        <v>95</v>
      </c>
    </row>
    <row r="264" spans="1:22">
      <c r="A264" s="14">
        <v>45026</v>
      </c>
      <c r="B264" s="15">
        <v>9.3299999999999998E-3</v>
      </c>
      <c r="C264" s="15">
        <v>0</v>
      </c>
      <c r="D264" s="16">
        <f t="shared" si="56"/>
        <v>4.6649999999999999E-3</v>
      </c>
      <c r="E264" s="17">
        <f t="shared" si="53"/>
        <v>14</v>
      </c>
      <c r="F264" s="18">
        <f t="shared" si="54"/>
        <v>0.92466278021802939</v>
      </c>
      <c r="G264" s="18">
        <f t="shared" si="55"/>
        <v>1.0753372197819702</v>
      </c>
      <c r="H264" s="18">
        <f t="shared" si="57"/>
        <v>-0.15067443956394078</v>
      </c>
      <c r="I264" s="19" t="str">
        <f t="shared" si="58"/>
        <v>B</v>
      </c>
      <c r="J264" s="19">
        <f t="shared" si="66"/>
        <v>31</v>
      </c>
      <c r="K264" s="19" t="str">
        <f>IF(I264="","",IF(J264&gt;=Parameters!$B$5,I264,"HOLD"))</f>
        <v>B</v>
      </c>
      <c r="L264" s="20">
        <f>'Actual Calc'!T264</f>
        <v>0</v>
      </c>
      <c r="M264" s="20">
        <f>'Actual Calc'!U264</f>
        <v>5234722514.9390612</v>
      </c>
      <c r="N264" s="21">
        <f t="shared" si="59"/>
        <v>0</v>
      </c>
      <c r="O264" s="21">
        <f>IF(NOT(ISNUMBER(N264)),"",IF(K264="A",MIN(Parameters!$B$8,N264+Parameters!$B$6),IF(K264="B",MAX(Parameters!$B$7,N264-Parameters!$B$6),N264)))</f>
        <v>0</v>
      </c>
      <c r="P264" s="22">
        <f t="shared" si="60"/>
        <v>0</v>
      </c>
      <c r="Q264" s="22">
        <f t="shared" si="61"/>
        <v>0</v>
      </c>
      <c r="R264" s="22">
        <f t="shared" si="62"/>
        <v>0</v>
      </c>
      <c r="S264" s="22">
        <f t="shared" si="63"/>
        <v>5234722514.9390612</v>
      </c>
      <c r="T264" s="21">
        <f t="shared" si="64"/>
        <v>0</v>
      </c>
      <c r="U264" s="19" t="str">
        <f t="shared" si="65"/>
        <v>No transfer</v>
      </c>
      <c r="V264" s="35" t="s">
        <v>96</v>
      </c>
    </row>
    <row r="265" spans="1:22">
      <c r="A265" s="4">
        <v>45033</v>
      </c>
      <c r="B265" s="5">
        <v>-4.1700000000000001E-3</v>
      </c>
      <c r="C265" s="5">
        <v>-4.1700000000000001E-3</v>
      </c>
      <c r="D265" s="6">
        <f t="shared" si="56"/>
        <v>-4.1700000000000001E-3</v>
      </c>
      <c r="E265" s="8">
        <f t="shared" si="53"/>
        <v>13</v>
      </c>
      <c r="F265" s="9">
        <f t="shared" si="54"/>
        <v>0.93683369006871053</v>
      </c>
      <c r="G265" s="9">
        <f t="shared" si="55"/>
        <v>1.0631663099312896</v>
      </c>
      <c r="H265" s="9">
        <f t="shared" si="57"/>
        <v>-0.12633261986257904</v>
      </c>
      <c r="I265" t="str">
        <f t="shared" si="58"/>
        <v>B</v>
      </c>
      <c r="J265">
        <f t="shared" si="66"/>
        <v>32</v>
      </c>
      <c r="K265" t="str">
        <f>IF(I265="","",IF(J265&gt;=Parameters!$B$5,I265,"HOLD"))</f>
        <v>B</v>
      </c>
      <c r="L265" s="10">
        <f>'Actual Calc'!T265</f>
        <v>0</v>
      </c>
      <c r="M265" s="10">
        <f>'Actual Calc'!U265</f>
        <v>4943671947.6920614</v>
      </c>
      <c r="N265" s="12">
        <f t="shared" si="59"/>
        <v>0</v>
      </c>
      <c r="O265" s="12">
        <f>IF(NOT(ISNUMBER(N265)),"",IF(K265="A",MIN(Parameters!$B$8,N265+Parameters!$B$6),IF(K265="B",MAX(Parameters!$B$7,N265-Parameters!$B$6),N265)))</f>
        <v>0</v>
      </c>
      <c r="P265" s="13">
        <f t="shared" si="60"/>
        <v>0</v>
      </c>
      <c r="Q265" s="13">
        <f t="shared" si="61"/>
        <v>0</v>
      </c>
      <c r="R265" s="13">
        <f t="shared" si="62"/>
        <v>0</v>
      </c>
      <c r="S265" s="13">
        <f t="shared" si="63"/>
        <v>4943671947.6920614</v>
      </c>
      <c r="T265" s="12">
        <f t="shared" si="64"/>
        <v>0</v>
      </c>
      <c r="U265" t="str">
        <f t="shared" si="65"/>
        <v>No transfer</v>
      </c>
      <c r="V265" s="25" t="s">
        <v>95</v>
      </c>
    </row>
    <row r="266" spans="1:22">
      <c r="A266" s="14">
        <v>45040</v>
      </c>
      <c r="B266" s="15">
        <v>-8.1600000000000006E-3</v>
      </c>
      <c r="C266" s="15">
        <v>-8.1600000000000006E-3</v>
      </c>
      <c r="D266" s="16">
        <f t="shared" si="56"/>
        <v>-8.1600000000000006E-3</v>
      </c>
      <c r="E266" s="17">
        <f t="shared" si="53"/>
        <v>12</v>
      </c>
      <c r="F266" s="18">
        <f t="shared" si="54"/>
        <v>0.97489878384617201</v>
      </c>
      <c r="G266" s="18">
        <f t="shared" si="55"/>
        <v>1.0251012161538275</v>
      </c>
      <c r="H266" s="18">
        <f t="shared" si="57"/>
        <v>-5.0202432307655531E-2</v>
      </c>
      <c r="I266" s="19" t="str">
        <f t="shared" si="58"/>
        <v>B</v>
      </c>
      <c r="J266" s="19">
        <f t="shared" si="66"/>
        <v>33</v>
      </c>
      <c r="K266" s="19" t="str">
        <f>IF(I266="","",IF(J266&gt;=Parameters!$B$5,I266,"HOLD"))</f>
        <v>B</v>
      </c>
      <c r="L266" s="20">
        <f>'Actual Calc'!T266</f>
        <v>0</v>
      </c>
      <c r="M266" s="20">
        <f>'Actual Calc'!U266</f>
        <v>4405800455.0360613</v>
      </c>
      <c r="N266" s="21">
        <f t="shared" si="59"/>
        <v>0</v>
      </c>
      <c r="O266" s="21">
        <f>IF(NOT(ISNUMBER(N266)),"",IF(K266="A",MIN(Parameters!$B$8,N266+Parameters!$B$6),IF(K266="B",MAX(Parameters!$B$7,N266-Parameters!$B$6),N266)))</f>
        <v>0</v>
      </c>
      <c r="P266" s="22">
        <f t="shared" si="60"/>
        <v>0</v>
      </c>
      <c r="Q266" s="22">
        <f t="shared" si="61"/>
        <v>0</v>
      </c>
      <c r="R266" s="22">
        <f t="shared" si="62"/>
        <v>0</v>
      </c>
      <c r="S266" s="22">
        <f t="shared" si="63"/>
        <v>4405800455.0360613</v>
      </c>
      <c r="T266" s="21">
        <f t="shared" si="64"/>
        <v>0</v>
      </c>
      <c r="U266" s="19" t="str">
        <f t="shared" si="65"/>
        <v>No transfer</v>
      </c>
      <c r="V266" s="35" t="s">
        <v>95</v>
      </c>
    </row>
    <row r="267" spans="1:22">
      <c r="A267" s="4">
        <v>45047</v>
      </c>
      <c r="B267" s="5">
        <v>-4.0000000000000001E-3</v>
      </c>
      <c r="C267" s="5">
        <v>-4.0000000000000001E-3</v>
      </c>
      <c r="D267" s="6">
        <f t="shared" si="56"/>
        <v>-4.0000000000000001E-3</v>
      </c>
      <c r="E267" s="8">
        <f t="shared" si="53"/>
        <v>12</v>
      </c>
      <c r="F267" s="9">
        <f t="shared" si="54"/>
        <v>0.97489878384617201</v>
      </c>
      <c r="G267" s="9">
        <f t="shared" si="55"/>
        <v>1.0251012161538275</v>
      </c>
      <c r="H267" s="9">
        <f t="shared" si="57"/>
        <v>-5.0202432307655531E-2</v>
      </c>
      <c r="I267" t="str">
        <f t="shared" si="58"/>
        <v>B</v>
      </c>
      <c r="J267">
        <f t="shared" si="66"/>
        <v>34</v>
      </c>
      <c r="K267" t="str">
        <f>IF(I267="","",IF(J267&gt;=Parameters!$B$5,I267,"HOLD"))</f>
        <v>B</v>
      </c>
      <c r="L267" s="10">
        <f>'Actual Calc'!T267</f>
        <v>0</v>
      </c>
      <c r="M267" s="10">
        <f>'Actual Calc'!U267</f>
        <v>4170824432.6360612</v>
      </c>
      <c r="N267" s="12">
        <f t="shared" si="59"/>
        <v>0</v>
      </c>
      <c r="O267" s="12">
        <f>IF(NOT(ISNUMBER(N267)),"",IF(K267="A",MIN(Parameters!$B$8,N267+Parameters!$B$6),IF(K267="B",MAX(Parameters!$B$7,N267-Parameters!$B$6),N267)))</f>
        <v>0</v>
      </c>
      <c r="P267" s="13">
        <f t="shared" si="60"/>
        <v>0</v>
      </c>
      <c r="Q267" s="13">
        <f t="shared" si="61"/>
        <v>0</v>
      </c>
      <c r="R267" s="13">
        <f t="shared" si="62"/>
        <v>0</v>
      </c>
      <c r="S267" s="13">
        <f t="shared" si="63"/>
        <v>4170824432.6360612</v>
      </c>
      <c r="T267" s="12">
        <f t="shared" si="64"/>
        <v>0</v>
      </c>
      <c r="U267" t="str">
        <f t="shared" si="65"/>
        <v>No transfer</v>
      </c>
      <c r="V267" s="25" t="s">
        <v>95</v>
      </c>
    </row>
    <row r="268" spans="1:22">
      <c r="A268" s="14">
        <v>45054</v>
      </c>
      <c r="B268" s="15">
        <v>7.7600000000000004E-3</v>
      </c>
      <c r="C268" s="15">
        <v>7.7600000000000004E-3</v>
      </c>
      <c r="D268" s="16">
        <f t="shared" si="56"/>
        <v>7.7600000000000004E-3</v>
      </c>
      <c r="E268" s="17">
        <f t="shared" si="53"/>
        <v>12</v>
      </c>
      <c r="F268" s="18">
        <f t="shared" si="54"/>
        <v>0.97474195539289499</v>
      </c>
      <c r="G268" s="18">
        <f t="shared" si="55"/>
        <v>1.0252580446071047</v>
      </c>
      <c r="H268" s="18">
        <f t="shared" si="57"/>
        <v>-5.0516089214209692E-2</v>
      </c>
      <c r="I268" s="19" t="str">
        <f t="shared" si="58"/>
        <v>B</v>
      </c>
      <c r="J268" s="19">
        <f t="shared" si="66"/>
        <v>35</v>
      </c>
      <c r="K268" s="19" t="str">
        <f>IF(I268="","",IF(J268&gt;=Parameters!$B$5,I268,"HOLD"))</f>
        <v>B</v>
      </c>
      <c r="L268" s="20">
        <f>'Actual Calc'!T268</f>
        <v>0</v>
      </c>
      <c r="M268" s="20">
        <f>'Actual Calc'!U268</f>
        <v>4602365727.4520617</v>
      </c>
      <c r="N268" s="21">
        <f t="shared" si="59"/>
        <v>0</v>
      </c>
      <c r="O268" s="21">
        <f>IF(NOT(ISNUMBER(N268)),"",IF(K268="A",MIN(Parameters!$B$8,N268+Parameters!$B$6),IF(K268="B",MAX(Parameters!$B$7,N268-Parameters!$B$6),N268)))</f>
        <v>0</v>
      </c>
      <c r="P268" s="22">
        <f t="shared" si="60"/>
        <v>0</v>
      </c>
      <c r="Q268" s="22">
        <f t="shared" si="61"/>
        <v>0</v>
      </c>
      <c r="R268" s="22">
        <f t="shared" si="62"/>
        <v>0</v>
      </c>
      <c r="S268" s="22">
        <f t="shared" si="63"/>
        <v>4602365727.4520617</v>
      </c>
      <c r="T268" s="21">
        <f t="shared" si="64"/>
        <v>0</v>
      </c>
      <c r="U268" s="19" t="str">
        <f t="shared" si="65"/>
        <v>No transfer</v>
      </c>
      <c r="V268" s="35" t="s">
        <v>95</v>
      </c>
    </row>
    <row r="269" spans="1:22">
      <c r="A269" s="4">
        <v>45061</v>
      </c>
      <c r="B269" s="5">
        <v>3.3279999999999997E-2</v>
      </c>
      <c r="C269" s="5">
        <v>3.3279999999999997E-2</v>
      </c>
      <c r="D269" s="6">
        <f t="shared" si="56"/>
        <v>3.3279999999999997E-2</v>
      </c>
      <c r="E269" s="8">
        <f t="shared" si="53"/>
        <v>12</v>
      </c>
      <c r="F269" s="9">
        <f t="shared" si="54"/>
        <v>0.97464776652746921</v>
      </c>
      <c r="G269" s="9">
        <f t="shared" si="55"/>
        <v>1.0253522334725309</v>
      </c>
      <c r="H269" s="9">
        <f t="shared" si="57"/>
        <v>-5.0704466945061699E-2</v>
      </c>
      <c r="I269" t="str">
        <f t="shared" si="58"/>
        <v>B</v>
      </c>
      <c r="J269">
        <f t="shared" si="66"/>
        <v>36</v>
      </c>
      <c r="K269" t="str">
        <f>IF(I269="","",IF(J269&gt;=Parameters!$B$5,I269,"HOLD"))</f>
        <v>B</v>
      </c>
      <c r="L269" s="10">
        <f>'Actual Calc'!T269</f>
        <v>0</v>
      </c>
      <c r="M269" s="10">
        <f>'Actual Calc'!U269</f>
        <v>6644588810.7160616</v>
      </c>
      <c r="N269" s="12">
        <f t="shared" si="59"/>
        <v>0</v>
      </c>
      <c r="O269" s="12">
        <f>IF(NOT(ISNUMBER(N269)),"",IF(K269="A",MIN(Parameters!$B$8,N269+Parameters!$B$6),IF(K269="B",MAX(Parameters!$B$7,N269-Parameters!$B$6),N269)))</f>
        <v>0</v>
      </c>
      <c r="P269" s="13">
        <f t="shared" si="60"/>
        <v>0</v>
      </c>
      <c r="Q269" s="13">
        <f t="shared" si="61"/>
        <v>0</v>
      </c>
      <c r="R269" s="13">
        <f t="shared" si="62"/>
        <v>0</v>
      </c>
      <c r="S269" s="13">
        <f t="shared" si="63"/>
        <v>6644588810.7160616</v>
      </c>
      <c r="T269" s="12">
        <f t="shared" si="64"/>
        <v>0</v>
      </c>
      <c r="U269" t="str">
        <f t="shared" si="65"/>
        <v>No transfer</v>
      </c>
      <c r="V269" s="25" t="s">
        <v>95</v>
      </c>
    </row>
    <row r="270" spans="1:22">
      <c r="A270" s="14">
        <v>45068</v>
      </c>
      <c r="B270" s="15">
        <v>2.6900000000000001E-3</v>
      </c>
      <c r="C270" s="15">
        <v>2.6900000000000001E-3</v>
      </c>
      <c r="D270" s="16">
        <f t="shared" si="56"/>
        <v>2.6900000000000001E-3</v>
      </c>
      <c r="E270" s="17">
        <f t="shared" si="53"/>
        <v>12</v>
      </c>
      <c r="F270" s="18">
        <f t="shared" si="54"/>
        <v>0.9778487767677525</v>
      </c>
      <c r="G270" s="18">
        <f t="shared" si="55"/>
        <v>1.0221512232322476</v>
      </c>
      <c r="H270" s="18">
        <f t="shared" si="57"/>
        <v>-4.4302446464495104E-2</v>
      </c>
      <c r="I270" s="19" t="str">
        <f t="shared" si="58"/>
        <v>B</v>
      </c>
      <c r="J270" s="19">
        <f t="shared" si="66"/>
        <v>37</v>
      </c>
      <c r="K270" s="19" t="str">
        <f>IF(I270="","",IF(J270&gt;=Parameters!$B$5,I270,"HOLD"))</f>
        <v>B</v>
      </c>
      <c r="L270" s="20">
        <f>'Actual Calc'!T270</f>
        <v>0</v>
      </c>
      <c r="M270" s="20">
        <f>'Actual Calc'!U270</f>
        <v>6882908060.1010618</v>
      </c>
      <c r="N270" s="21">
        <f t="shared" si="59"/>
        <v>0</v>
      </c>
      <c r="O270" s="21">
        <f>IF(NOT(ISNUMBER(N270)),"",IF(K270="A",MIN(Parameters!$B$8,N270+Parameters!$B$6),IF(K270="B",MAX(Parameters!$B$7,N270-Parameters!$B$6),N270)))</f>
        <v>0</v>
      </c>
      <c r="P270" s="22">
        <f t="shared" si="60"/>
        <v>0</v>
      </c>
      <c r="Q270" s="22">
        <f t="shared" si="61"/>
        <v>0</v>
      </c>
      <c r="R270" s="22">
        <f t="shared" si="62"/>
        <v>0</v>
      </c>
      <c r="S270" s="22">
        <f t="shared" si="63"/>
        <v>6882908060.1010618</v>
      </c>
      <c r="T270" s="21">
        <f t="shared" si="64"/>
        <v>0</v>
      </c>
      <c r="U270" s="19" t="str">
        <f t="shared" si="65"/>
        <v>No transfer</v>
      </c>
      <c r="V270" s="35" t="s">
        <v>95</v>
      </c>
    </row>
    <row r="271" spans="1:22">
      <c r="A271" s="4">
        <v>45075</v>
      </c>
      <c r="B271" s="5">
        <v>-1.507E-2</v>
      </c>
      <c r="C271" s="5">
        <v>-1.507E-2</v>
      </c>
      <c r="D271" s="6">
        <f t="shared" si="56"/>
        <v>-1.507E-2</v>
      </c>
      <c r="E271" s="8">
        <f t="shared" si="53"/>
        <v>12</v>
      </c>
      <c r="F271" s="9">
        <f t="shared" si="54"/>
        <v>0.9778487767677525</v>
      </c>
      <c r="G271" s="9">
        <f t="shared" si="55"/>
        <v>1.0221512232322476</v>
      </c>
      <c r="H271" s="9">
        <f t="shared" si="57"/>
        <v>-4.4302446464495104E-2</v>
      </c>
      <c r="I271" t="str">
        <f t="shared" si="58"/>
        <v>B</v>
      </c>
      <c r="J271">
        <f t="shared" si="66"/>
        <v>38</v>
      </c>
      <c r="K271" t="str">
        <f>IF(I271="","",IF(J271&gt;=Parameters!$B$5,I271,"HOLD"))</f>
        <v>B</v>
      </c>
      <c r="L271" s="10">
        <f>'Actual Calc'!T271</f>
        <v>0</v>
      </c>
      <c r="M271" s="10">
        <f>'Actual Calc'!U271</f>
        <v>5499902410.625062</v>
      </c>
      <c r="N271" s="12">
        <f t="shared" si="59"/>
        <v>0</v>
      </c>
      <c r="O271" s="12">
        <f>IF(NOT(ISNUMBER(N271)),"",IF(K271="A",MIN(Parameters!$B$8,N271+Parameters!$B$6),IF(K271="B",MAX(Parameters!$B$7,N271-Parameters!$B$6),N271)))</f>
        <v>0</v>
      </c>
      <c r="P271" s="13">
        <f t="shared" si="60"/>
        <v>0</v>
      </c>
      <c r="Q271" s="13">
        <f t="shared" si="61"/>
        <v>0</v>
      </c>
      <c r="R271" s="13">
        <f t="shared" si="62"/>
        <v>0</v>
      </c>
      <c r="S271" s="13">
        <f t="shared" si="63"/>
        <v>5499902410.625062</v>
      </c>
      <c r="T271" s="12">
        <f t="shared" si="64"/>
        <v>0</v>
      </c>
      <c r="U271" t="str">
        <f t="shared" si="65"/>
        <v>No transfer</v>
      </c>
      <c r="V271" s="25" t="s">
        <v>95</v>
      </c>
    </row>
    <row r="272" spans="1:22">
      <c r="A272" s="14">
        <v>45082</v>
      </c>
      <c r="B272" s="15">
        <v>-1.6490000000000001E-2</v>
      </c>
      <c r="C272" s="15">
        <v>-1.6490000000000001E-2</v>
      </c>
      <c r="D272" s="16">
        <f t="shared" si="56"/>
        <v>-1.6490000000000001E-2</v>
      </c>
      <c r="E272" s="17">
        <f t="shared" si="53"/>
        <v>12</v>
      </c>
      <c r="F272" s="18">
        <f t="shared" si="54"/>
        <v>0.9778487767677525</v>
      </c>
      <c r="G272" s="18">
        <f t="shared" si="55"/>
        <v>1.0221512232322476</v>
      </c>
      <c r="H272" s="18">
        <f t="shared" si="57"/>
        <v>-4.4302446464495104E-2</v>
      </c>
      <c r="I272" s="19" t="str">
        <f t="shared" si="58"/>
        <v>B</v>
      </c>
      <c r="J272" s="19">
        <f t="shared" si="66"/>
        <v>39</v>
      </c>
      <c r="K272" s="19" t="str">
        <f>IF(I272="","",IF(J272&gt;=Parameters!$B$5,I272,"HOLD"))</f>
        <v>B</v>
      </c>
      <c r="L272" s="20">
        <f>'Actual Calc'!T272</f>
        <v>0</v>
      </c>
      <c r="M272" s="20">
        <f>'Actual Calc'!U272</f>
        <v>4290657209.5410619</v>
      </c>
      <c r="N272" s="21">
        <f t="shared" si="59"/>
        <v>0</v>
      </c>
      <c r="O272" s="21">
        <f>IF(NOT(ISNUMBER(N272)),"",IF(K272="A",MIN(Parameters!$B$8,N272+Parameters!$B$6),IF(K272="B",MAX(Parameters!$B$7,N272-Parameters!$B$6),N272)))</f>
        <v>0</v>
      </c>
      <c r="P272" s="22">
        <f t="shared" si="60"/>
        <v>0</v>
      </c>
      <c r="Q272" s="22">
        <f t="shared" si="61"/>
        <v>0</v>
      </c>
      <c r="R272" s="22">
        <f t="shared" si="62"/>
        <v>0</v>
      </c>
      <c r="S272" s="22">
        <f t="shared" si="63"/>
        <v>4290657209.5410619</v>
      </c>
      <c r="T272" s="21">
        <f t="shared" si="64"/>
        <v>0</v>
      </c>
      <c r="U272" s="19" t="str">
        <f t="shared" si="65"/>
        <v>No transfer</v>
      </c>
      <c r="V272" s="35" t="s">
        <v>95</v>
      </c>
    </row>
    <row r="273" spans="1:22">
      <c r="A273" s="4">
        <v>45089</v>
      </c>
      <c r="B273" s="5">
        <v>1.2869999999999999E-2</v>
      </c>
      <c r="C273" s="5">
        <v>1.2869999999999999E-2</v>
      </c>
      <c r="D273" s="6">
        <f t="shared" si="56"/>
        <v>1.2869999999999999E-2</v>
      </c>
      <c r="E273" s="8">
        <f t="shared" si="53"/>
        <v>12</v>
      </c>
      <c r="F273" s="9">
        <f t="shared" si="54"/>
        <v>0.97721602808752095</v>
      </c>
      <c r="G273" s="9">
        <f t="shared" si="55"/>
        <v>1.0227839719124789</v>
      </c>
      <c r="H273" s="9">
        <f t="shared" si="57"/>
        <v>-4.556794382495799E-2</v>
      </c>
      <c r="I273" t="str">
        <f t="shared" si="58"/>
        <v>B</v>
      </c>
      <c r="J273">
        <f t="shared" si="66"/>
        <v>40</v>
      </c>
      <c r="K273" t="str">
        <f>IF(I273="","",IF(J273&gt;=Parameters!$B$5,I273,"HOLD"))</f>
        <v>B</v>
      </c>
      <c r="L273" s="10">
        <f>'Actual Calc'!T273</f>
        <v>0</v>
      </c>
      <c r="M273" s="10">
        <f>'Actual Calc'!U273</f>
        <v>5026933982.9160614</v>
      </c>
      <c r="N273" s="12">
        <f t="shared" si="59"/>
        <v>0</v>
      </c>
      <c r="O273" s="12">
        <f>IF(NOT(ISNUMBER(N273)),"",IF(K273="A",MIN(Parameters!$B$8,N273+Parameters!$B$6),IF(K273="B",MAX(Parameters!$B$7,N273-Parameters!$B$6),N273)))</f>
        <v>0</v>
      </c>
      <c r="P273" s="13">
        <f t="shared" si="60"/>
        <v>0</v>
      </c>
      <c r="Q273" s="13">
        <f t="shared" si="61"/>
        <v>0</v>
      </c>
      <c r="R273" s="13">
        <f t="shared" si="62"/>
        <v>0</v>
      </c>
      <c r="S273" s="13">
        <f t="shared" si="63"/>
        <v>5026933982.9160614</v>
      </c>
      <c r="T273" s="12">
        <f t="shared" si="64"/>
        <v>0</v>
      </c>
      <c r="U273" t="str">
        <f t="shared" si="65"/>
        <v>No transfer</v>
      </c>
      <c r="V273" s="25" t="s">
        <v>95</v>
      </c>
    </row>
    <row r="274" spans="1:22">
      <c r="A274" s="14">
        <v>45096</v>
      </c>
      <c r="B274" s="15">
        <v>-1.1209999999999999E-2</v>
      </c>
      <c r="C274" s="15">
        <v>-1.1209999999999999E-2</v>
      </c>
      <c r="D274" s="16">
        <f t="shared" si="56"/>
        <v>-1.1209999999999999E-2</v>
      </c>
      <c r="E274" s="17">
        <f t="shared" si="53"/>
        <v>12</v>
      </c>
      <c r="F274" s="18">
        <f t="shared" si="54"/>
        <v>0.97721602808752095</v>
      </c>
      <c r="G274" s="18">
        <f t="shared" si="55"/>
        <v>1.0227839719124789</v>
      </c>
      <c r="H274" s="18">
        <f t="shared" si="57"/>
        <v>-4.556794382495799E-2</v>
      </c>
      <c r="I274" s="19" t="str">
        <f t="shared" si="58"/>
        <v>B</v>
      </c>
      <c r="J274" s="19">
        <f t="shared" si="66"/>
        <v>41</v>
      </c>
      <c r="K274" s="19" t="str">
        <f>IF(I274="","",IF(J274&gt;=Parameters!$B$5,I274,"HOLD"))</f>
        <v>B</v>
      </c>
      <c r="L274" s="20">
        <f>'Actual Calc'!T274</f>
        <v>0</v>
      </c>
      <c r="M274" s="20">
        <f>'Actual Calc'!U274</f>
        <v>4275574924.0980616</v>
      </c>
      <c r="N274" s="21">
        <f t="shared" si="59"/>
        <v>0</v>
      </c>
      <c r="O274" s="21">
        <f>IF(NOT(ISNUMBER(N274)),"",IF(K274="A",MIN(Parameters!$B$8,N274+Parameters!$B$6),IF(K274="B",MAX(Parameters!$B$7,N274-Parameters!$B$6),N274)))</f>
        <v>0</v>
      </c>
      <c r="P274" s="22">
        <f t="shared" si="60"/>
        <v>0</v>
      </c>
      <c r="Q274" s="22">
        <f t="shared" si="61"/>
        <v>0</v>
      </c>
      <c r="R274" s="22">
        <f t="shared" si="62"/>
        <v>0</v>
      </c>
      <c r="S274" s="22">
        <f t="shared" si="63"/>
        <v>4275574924.0980616</v>
      </c>
      <c r="T274" s="21">
        <f t="shared" si="64"/>
        <v>0</v>
      </c>
      <c r="U274" s="19" t="str">
        <f t="shared" si="65"/>
        <v>No transfer</v>
      </c>
      <c r="V274" s="35" t="s">
        <v>95</v>
      </c>
    </row>
    <row r="275" spans="1:22">
      <c r="A275" s="4">
        <v>45103</v>
      </c>
      <c r="B275" s="5">
        <v>1.924E-2</v>
      </c>
      <c r="C275" s="5">
        <v>1.924E-2</v>
      </c>
      <c r="D275" s="6">
        <f t="shared" si="56"/>
        <v>1.924E-2</v>
      </c>
      <c r="E275" s="8">
        <f t="shared" si="53"/>
        <v>13</v>
      </c>
      <c r="F275" s="9">
        <f t="shared" si="54"/>
        <v>0.97736908997726857</v>
      </c>
      <c r="G275" s="9">
        <f t="shared" si="55"/>
        <v>1.0226309100227307</v>
      </c>
      <c r="H275" s="9">
        <f t="shared" si="57"/>
        <v>-4.5261820045462087E-2</v>
      </c>
      <c r="I275" t="str">
        <f t="shared" si="58"/>
        <v>B</v>
      </c>
      <c r="J275">
        <f t="shared" si="66"/>
        <v>42</v>
      </c>
      <c r="K275" t="str">
        <f>IF(I275="","",IF(J275&gt;=Parameters!$B$5,I275,"HOLD"))</f>
        <v>B</v>
      </c>
      <c r="L275" s="10">
        <f>'Actual Calc'!T275</f>
        <v>0</v>
      </c>
      <c r="M275" s="10">
        <f>'Actual Calc'!U275</f>
        <v>5372402385.2300615</v>
      </c>
      <c r="N275" s="12">
        <f t="shared" si="59"/>
        <v>0</v>
      </c>
      <c r="O275" s="12">
        <f>IF(NOT(ISNUMBER(N275)),"",IF(K275="A",MIN(Parameters!$B$8,N275+Parameters!$B$6),IF(K275="B",MAX(Parameters!$B$7,N275-Parameters!$B$6),N275)))</f>
        <v>0</v>
      </c>
      <c r="P275" s="13">
        <f t="shared" si="60"/>
        <v>0</v>
      </c>
      <c r="Q275" s="13">
        <f t="shared" si="61"/>
        <v>0</v>
      </c>
      <c r="R275" s="13">
        <f t="shared" si="62"/>
        <v>0</v>
      </c>
      <c r="S275" s="13">
        <f t="shared" si="63"/>
        <v>5372402385.2300615</v>
      </c>
      <c r="T275" s="12">
        <f t="shared" si="64"/>
        <v>0</v>
      </c>
      <c r="U275" t="str">
        <f t="shared" si="65"/>
        <v>No transfer</v>
      </c>
      <c r="V275" s="25" t="s">
        <v>95</v>
      </c>
    </row>
    <row r="276" spans="1:22">
      <c r="A276" s="14">
        <v>45110</v>
      </c>
      <c r="B276" s="15">
        <v>-4.1599999999999996E-3</v>
      </c>
      <c r="C276" s="15">
        <v>-4.1599999999999996E-3</v>
      </c>
      <c r="D276" s="16">
        <f t="shared" si="56"/>
        <v>-4.1599999999999996E-3</v>
      </c>
      <c r="E276" s="17">
        <f t="shared" si="53"/>
        <v>13</v>
      </c>
      <c r="F276" s="18">
        <f t="shared" si="54"/>
        <v>0.97736908997726857</v>
      </c>
      <c r="G276" s="18">
        <f t="shared" si="55"/>
        <v>1.0226309100227307</v>
      </c>
      <c r="H276" s="18">
        <f t="shared" si="57"/>
        <v>-4.5261820045462087E-2</v>
      </c>
      <c r="I276" s="19" t="str">
        <f t="shared" si="58"/>
        <v>B</v>
      </c>
      <c r="J276" s="19">
        <f t="shared" si="66"/>
        <v>43</v>
      </c>
      <c r="K276" s="19" t="str">
        <f>IF(I276="","",IF(J276&gt;=Parameters!$B$5,I276,"HOLD"))</f>
        <v>B</v>
      </c>
      <c r="L276" s="20">
        <f>'Actual Calc'!T276</f>
        <v>0</v>
      </c>
      <c r="M276" s="20">
        <f>'Actual Calc'!U276</f>
        <v>5074413139.1820612</v>
      </c>
      <c r="N276" s="21">
        <f t="shared" si="59"/>
        <v>0</v>
      </c>
      <c r="O276" s="21">
        <f>IF(NOT(ISNUMBER(N276)),"",IF(K276="A",MIN(Parameters!$B$8,N276+Parameters!$B$6),IF(K276="B",MAX(Parameters!$B$7,N276-Parameters!$B$6),N276)))</f>
        <v>0</v>
      </c>
      <c r="P276" s="22">
        <f t="shared" si="60"/>
        <v>0</v>
      </c>
      <c r="Q276" s="22">
        <f t="shared" si="61"/>
        <v>0</v>
      </c>
      <c r="R276" s="22">
        <f t="shared" si="62"/>
        <v>0</v>
      </c>
      <c r="S276" s="22">
        <f t="shared" si="63"/>
        <v>5074413139.1820612</v>
      </c>
      <c r="T276" s="21">
        <f t="shared" si="64"/>
        <v>0</v>
      </c>
      <c r="U276" s="19" t="str">
        <f t="shared" si="65"/>
        <v>No transfer</v>
      </c>
      <c r="V276" s="35" t="s">
        <v>95</v>
      </c>
    </row>
    <row r="277" spans="1:22">
      <c r="A277" s="4">
        <v>45117</v>
      </c>
      <c r="B277" s="5">
        <v>3.5929999999999997E-2</v>
      </c>
      <c r="C277" s="5">
        <v>3.5929999999999997E-2</v>
      </c>
      <c r="D277" s="6">
        <f t="shared" si="56"/>
        <v>3.5929999999999997E-2</v>
      </c>
      <c r="E277" s="8">
        <f t="shared" si="53"/>
        <v>13</v>
      </c>
      <c r="F277" s="9">
        <f t="shared" si="54"/>
        <v>0.97722372845227601</v>
      </c>
      <c r="G277" s="9">
        <f t="shared" si="55"/>
        <v>1.022776271547724</v>
      </c>
      <c r="H277" s="9">
        <f t="shared" si="57"/>
        <v>-4.5552543095447984E-2</v>
      </c>
      <c r="I277" t="str">
        <f t="shared" si="58"/>
        <v>B</v>
      </c>
      <c r="J277">
        <f t="shared" si="66"/>
        <v>44</v>
      </c>
      <c r="K277" t="str">
        <f>IF(I277="","",IF(J277&gt;=Parameters!$B$5,I277,"HOLD"))</f>
        <v>B</v>
      </c>
      <c r="L277" s="10">
        <f>'Actual Calc'!T277</f>
        <v>0</v>
      </c>
      <c r="M277" s="10">
        <f>'Actual Calc'!U277</f>
        <v>7505395263.9750614</v>
      </c>
      <c r="N277" s="12">
        <f t="shared" si="59"/>
        <v>0</v>
      </c>
      <c r="O277" s="12">
        <f>IF(NOT(ISNUMBER(N277)),"",IF(K277="A",MIN(Parameters!$B$8,N277+Parameters!$B$6),IF(K277="B",MAX(Parameters!$B$7,N277-Parameters!$B$6),N277)))</f>
        <v>0</v>
      </c>
      <c r="P277" s="13">
        <f t="shared" si="60"/>
        <v>0</v>
      </c>
      <c r="Q277" s="13">
        <f t="shared" si="61"/>
        <v>0</v>
      </c>
      <c r="R277" s="13">
        <f t="shared" si="62"/>
        <v>0</v>
      </c>
      <c r="S277" s="13">
        <f t="shared" si="63"/>
        <v>7505395263.9750614</v>
      </c>
      <c r="T277" s="12">
        <f t="shared" si="64"/>
        <v>0</v>
      </c>
      <c r="U277" t="str">
        <f t="shared" si="65"/>
        <v>No transfer</v>
      </c>
      <c r="V277" s="25" t="s">
        <v>95</v>
      </c>
    </row>
    <row r="278" spans="1:22">
      <c r="A278" s="14">
        <v>45124</v>
      </c>
      <c r="B278" s="15">
        <v>-4.0000000000000001E-3</v>
      </c>
      <c r="C278" s="15">
        <v>-4.0000000000000001E-3</v>
      </c>
      <c r="D278" s="16">
        <f t="shared" si="56"/>
        <v>-4.0000000000000001E-3</v>
      </c>
      <c r="E278" s="17">
        <f t="shared" si="53"/>
        <v>13</v>
      </c>
      <c r="F278" s="18">
        <f t="shared" si="54"/>
        <v>0.97722372845227601</v>
      </c>
      <c r="G278" s="18">
        <f t="shared" si="55"/>
        <v>1.022776271547724</v>
      </c>
      <c r="H278" s="18">
        <f t="shared" si="57"/>
        <v>-4.5552543095447984E-2</v>
      </c>
      <c r="I278" s="19" t="str">
        <f t="shared" si="58"/>
        <v>B</v>
      </c>
      <c r="J278" s="19">
        <f t="shared" si="66"/>
        <v>45</v>
      </c>
      <c r="K278" s="19" t="str">
        <f>IF(I278="","",IF(J278&gt;=Parameters!$B$5,I278,"HOLD"))</f>
        <v>B</v>
      </c>
      <c r="L278" s="20">
        <f>'Actual Calc'!T278</f>
        <v>0</v>
      </c>
      <c r="M278" s="20">
        <f>'Actual Calc'!U278</f>
        <v>7105107523.5750618</v>
      </c>
      <c r="N278" s="21">
        <f t="shared" si="59"/>
        <v>0</v>
      </c>
      <c r="O278" s="21">
        <f>IF(NOT(ISNUMBER(N278)),"",IF(K278="A",MIN(Parameters!$B$8,N278+Parameters!$B$6),IF(K278="B",MAX(Parameters!$B$7,N278-Parameters!$B$6),N278)))</f>
        <v>0</v>
      </c>
      <c r="P278" s="22">
        <f t="shared" si="60"/>
        <v>0</v>
      </c>
      <c r="Q278" s="22">
        <f t="shared" si="61"/>
        <v>0</v>
      </c>
      <c r="R278" s="22">
        <f t="shared" si="62"/>
        <v>0</v>
      </c>
      <c r="S278" s="22">
        <f t="shared" si="63"/>
        <v>7105107523.5750618</v>
      </c>
      <c r="T278" s="21">
        <f t="shared" si="64"/>
        <v>0</v>
      </c>
      <c r="U278" s="19" t="str">
        <f t="shared" si="65"/>
        <v>No transfer</v>
      </c>
      <c r="V278" s="35" t="s">
        <v>95</v>
      </c>
    </row>
    <row r="279" spans="1:22">
      <c r="A279" s="4">
        <v>45131</v>
      </c>
      <c r="B279" s="5">
        <v>1.7330000000000002E-2</v>
      </c>
      <c r="C279" s="5">
        <v>1.7330000000000002E-2</v>
      </c>
      <c r="D279" s="6">
        <f t="shared" si="56"/>
        <v>1.7330000000000002E-2</v>
      </c>
      <c r="E279" s="8">
        <f t="shared" si="53"/>
        <v>13</v>
      </c>
      <c r="F279" s="9">
        <f t="shared" si="54"/>
        <v>0.97736474738439638</v>
      </c>
      <c r="G279" s="9">
        <f t="shared" si="55"/>
        <v>1.0226352526156031</v>
      </c>
      <c r="H279" s="9">
        <f t="shared" si="57"/>
        <v>-4.5270505231206681E-2</v>
      </c>
      <c r="I279" t="str">
        <f t="shared" si="58"/>
        <v>B</v>
      </c>
      <c r="J279">
        <f t="shared" si="66"/>
        <v>46</v>
      </c>
      <c r="K279" t="str">
        <f>IF(I279="","",IF(J279&gt;=Parameters!$B$5,I279,"HOLD"))</f>
        <v>B</v>
      </c>
      <c r="L279" s="10">
        <f>'Actual Calc'!T279</f>
        <v>0</v>
      </c>
      <c r="M279" s="10">
        <f>'Actual Calc'!U279</f>
        <v>8746861030.4860611</v>
      </c>
      <c r="N279" s="12">
        <f t="shared" si="59"/>
        <v>0</v>
      </c>
      <c r="O279" s="12">
        <f>IF(NOT(ISNUMBER(N279)),"",IF(K279="A",MIN(Parameters!$B$8,N279+Parameters!$B$6),IF(K279="B",MAX(Parameters!$B$7,N279-Parameters!$B$6),N279)))</f>
        <v>0</v>
      </c>
      <c r="P279" s="13">
        <f t="shared" si="60"/>
        <v>0</v>
      </c>
      <c r="Q279" s="13">
        <f t="shared" si="61"/>
        <v>0</v>
      </c>
      <c r="R279" s="13">
        <f t="shared" si="62"/>
        <v>0</v>
      </c>
      <c r="S279" s="13">
        <f t="shared" si="63"/>
        <v>8746861030.4860611</v>
      </c>
      <c r="T279" s="12">
        <f t="shared" si="64"/>
        <v>0</v>
      </c>
      <c r="U279" t="str">
        <f t="shared" si="65"/>
        <v>No transfer</v>
      </c>
      <c r="V279" s="25" t="s">
        <v>95</v>
      </c>
    </row>
    <row r="280" spans="1:22">
      <c r="A280" s="14">
        <v>45138</v>
      </c>
      <c r="B280" s="15">
        <v>-2.478E-2</v>
      </c>
      <c r="C280" s="15">
        <v>-2.478E-2</v>
      </c>
      <c r="D280" s="16">
        <f t="shared" si="56"/>
        <v>-2.478E-2</v>
      </c>
      <c r="E280" s="17">
        <f t="shared" si="53"/>
        <v>12</v>
      </c>
      <c r="F280" s="18">
        <f t="shared" si="54"/>
        <v>0.95145201936162505</v>
      </c>
      <c r="G280" s="18">
        <f t="shared" si="55"/>
        <v>1.048547980638374</v>
      </c>
      <c r="H280" s="18">
        <f t="shared" si="57"/>
        <v>-9.709596127674891E-2</v>
      </c>
      <c r="I280" s="19" t="str">
        <f t="shared" si="58"/>
        <v>B</v>
      </c>
      <c r="J280" s="19">
        <f t="shared" si="66"/>
        <v>47</v>
      </c>
      <c r="K280" s="19" t="str">
        <f>IF(I280="","",IF(J280&gt;=Parameters!$B$5,I280,"HOLD"))</f>
        <v>B</v>
      </c>
      <c r="L280" s="20">
        <f>'Actual Calc'!T280</f>
        <v>0</v>
      </c>
      <c r="M280" s="20">
        <f>'Actual Calc'!U280</f>
        <v>5856898189.1260605</v>
      </c>
      <c r="N280" s="21">
        <f t="shared" si="59"/>
        <v>0</v>
      </c>
      <c r="O280" s="21">
        <f>IF(NOT(ISNUMBER(N280)),"",IF(K280="A",MIN(Parameters!$B$8,N280+Parameters!$B$6),IF(K280="B",MAX(Parameters!$B$7,N280-Parameters!$B$6),N280)))</f>
        <v>0</v>
      </c>
      <c r="P280" s="22">
        <f t="shared" si="60"/>
        <v>0</v>
      </c>
      <c r="Q280" s="22">
        <f t="shared" si="61"/>
        <v>0</v>
      </c>
      <c r="R280" s="22">
        <f t="shared" si="62"/>
        <v>0</v>
      </c>
      <c r="S280" s="22">
        <f t="shared" si="63"/>
        <v>5856898189.1260605</v>
      </c>
      <c r="T280" s="21">
        <f t="shared" si="64"/>
        <v>0</v>
      </c>
      <c r="U280" s="19" t="str">
        <f t="shared" si="65"/>
        <v>No transfer</v>
      </c>
      <c r="V280" s="35" t="s">
        <v>95</v>
      </c>
    </row>
    <row r="281" spans="1:22">
      <c r="A281" s="4">
        <v>45145</v>
      </c>
      <c r="B281" s="5">
        <v>-3.8400000000000001E-3</v>
      </c>
      <c r="C281" s="5">
        <v>-3.8400000000000001E-3</v>
      </c>
      <c r="D281" s="6">
        <f t="shared" si="56"/>
        <v>-3.8400000000000001E-3</v>
      </c>
      <c r="E281" s="8">
        <f t="shared" si="53"/>
        <v>11</v>
      </c>
      <c r="F281" s="9">
        <f t="shared" si="54"/>
        <v>0.95219566880720863</v>
      </c>
      <c r="G281" s="9">
        <f t="shared" si="55"/>
        <v>1.0478043311927909</v>
      </c>
      <c r="H281" s="9">
        <f t="shared" si="57"/>
        <v>-9.5608662385582299E-2</v>
      </c>
      <c r="I281" t="str">
        <f t="shared" si="58"/>
        <v>B</v>
      </c>
      <c r="J281">
        <f t="shared" si="66"/>
        <v>48</v>
      </c>
      <c r="K281" t="str">
        <f>IF(I281="","",IF(J281&gt;=Parameters!$B$5,I281,"HOLD"))</f>
        <v>B</v>
      </c>
      <c r="L281" s="10">
        <f>'Actual Calc'!T281</f>
        <v>0</v>
      </c>
      <c r="M281" s="10">
        <f>'Actual Calc'!U281</f>
        <v>5557025010.5020609</v>
      </c>
      <c r="N281" s="12">
        <f t="shared" si="59"/>
        <v>0</v>
      </c>
      <c r="O281" s="12">
        <f>IF(NOT(ISNUMBER(N281)),"",IF(K281="A",MIN(Parameters!$B$8,N281+Parameters!$B$6),IF(K281="B",MAX(Parameters!$B$7,N281-Parameters!$B$6),N281)))</f>
        <v>0</v>
      </c>
      <c r="P281" s="13">
        <f t="shared" si="60"/>
        <v>0</v>
      </c>
      <c r="Q281" s="13">
        <f t="shared" si="61"/>
        <v>0</v>
      </c>
      <c r="R281" s="13">
        <f t="shared" si="62"/>
        <v>0</v>
      </c>
      <c r="S281" s="13">
        <f t="shared" si="63"/>
        <v>5557025010.5020609</v>
      </c>
      <c r="T281" s="12">
        <f t="shared" si="64"/>
        <v>0</v>
      </c>
      <c r="U281" t="str">
        <f t="shared" si="65"/>
        <v>No transfer</v>
      </c>
      <c r="V281" s="25" t="s">
        <v>95</v>
      </c>
    </row>
    <row r="282" spans="1:22">
      <c r="A282" s="14">
        <v>45152</v>
      </c>
      <c r="B282" s="15">
        <v>1.353E-2</v>
      </c>
      <c r="C282" s="15">
        <v>1.353E-2</v>
      </c>
      <c r="D282" s="16">
        <f t="shared" si="56"/>
        <v>1.353E-2</v>
      </c>
      <c r="E282" s="17">
        <f t="shared" si="53"/>
        <v>11</v>
      </c>
      <c r="F282" s="18">
        <f t="shared" si="54"/>
        <v>0.95089266657433302</v>
      </c>
      <c r="G282" s="18">
        <f t="shared" si="55"/>
        <v>1.0491073334256666</v>
      </c>
      <c r="H282" s="18">
        <f t="shared" si="57"/>
        <v>-9.8214666851333621E-2</v>
      </c>
      <c r="I282" s="19" t="str">
        <f t="shared" si="58"/>
        <v>B</v>
      </c>
      <c r="J282" s="19">
        <f t="shared" si="66"/>
        <v>49</v>
      </c>
      <c r="K282" s="19" t="str">
        <f>IF(I282="","",IF(J282&gt;=Parameters!$B$5,I282,"HOLD"))</f>
        <v>B</v>
      </c>
      <c r="L282" s="20">
        <f>'Actual Calc'!T282</f>
        <v>0</v>
      </c>
      <c r="M282" s="20">
        <f>'Actual Calc'!U282</f>
        <v>6559512299.3050613</v>
      </c>
      <c r="N282" s="21">
        <f t="shared" si="59"/>
        <v>0</v>
      </c>
      <c r="O282" s="21">
        <f>IF(NOT(ISNUMBER(N282)),"",IF(K282="A",MIN(Parameters!$B$8,N282+Parameters!$B$6),IF(K282="B",MAX(Parameters!$B$7,N282-Parameters!$B$6),N282)))</f>
        <v>0</v>
      </c>
      <c r="P282" s="22">
        <f t="shared" si="60"/>
        <v>0</v>
      </c>
      <c r="Q282" s="22">
        <f t="shared" si="61"/>
        <v>0</v>
      </c>
      <c r="R282" s="22">
        <f t="shared" si="62"/>
        <v>0</v>
      </c>
      <c r="S282" s="22">
        <f t="shared" si="63"/>
        <v>6559512299.3050613</v>
      </c>
      <c r="T282" s="21">
        <f t="shared" si="64"/>
        <v>0</v>
      </c>
      <c r="U282" s="19" t="str">
        <f t="shared" si="65"/>
        <v>No transfer</v>
      </c>
      <c r="V282" s="35" t="s">
        <v>95</v>
      </c>
    </row>
    <row r="283" spans="1:22">
      <c r="A283" s="4">
        <v>45159</v>
      </c>
      <c r="B283" s="5">
        <v>1.162E-2</v>
      </c>
      <c r="C283" s="5">
        <v>1.162E-2</v>
      </c>
      <c r="D283" s="6">
        <f t="shared" si="56"/>
        <v>1.162E-2</v>
      </c>
      <c r="E283" s="8">
        <f t="shared" si="53"/>
        <v>12</v>
      </c>
      <c r="F283" s="9">
        <f t="shared" si="54"/>
        <v>0.95346175538531264</v>
      </c>
      <c r="G283" s="9">
        <f t="shared" si="55"/>
        <v>1.0465382446146869</v>
      </c>
      <c r="H283" s="9">
        <f t="shared" si="57"/>
        <v>-9.3076489229374282E-2</v>
      </c>
      <c r="I283" t="str">
        <f t="shared" si="58"/>
        <v>B</v>
      </c>
      <c r="J283">
        <f t="shared" si="66"/>
        <v>50</v>
      </c>
      <c r="K283" t="str">
        <f>IF(I283="","",IF(J283&gt;=Parameters!$B$5,I283,"HOLD"))</f>
        <v>B</v>
      </c>
      <c r="L283" s="10">
        <f>'Actual Calc'!T283</f>
        <v>0</v>
      </c>
      <c r="M283" s="10">
        <f>'Actual Calc'!U283</f>
        <v>7575799398.0130615</v>
      </c>
      <c r="N283" s="12">
        <f t="shared" si="59"/>
        <v>0</v>
      </c>
      <c r="O283" s="12">
        <f>IF(NOT(ISNUMBER(N283)),"",IF(K283="A",MIN(Parameters!$B$8,N283+Parameters!$B$6),IF(K283="B",MAX(Parameters!$B$7,N283-Parameters!$B$6),N283)))</f>
        <v>0</v>
      </c>
      <c r="P283" s="13">
        <f t="shared" si="60"/>
        <v>0</v>
      </c>
      <c r="Q283" s="13">
        <f t="shared" si="61"/>
        <v>0</v>
      </c>
      <c r="R283" s="13">
        <f t="shared" si="62"/>
        <v>0</v>
      </c>
      <c r="S283" s="13">
        <f t="shared" si="63"/>
        <v>7575799398.0130615</v>
      </c>
      <c r="T283" s="12">
        <f t="shared" si="64"/>
        <v>0</v>
      </c>
      <c r="U283" t="str">
        <f t="shared" si="65"/>
        <v>No transfer</v>
      </c>
      <c r="V283" s="25" t="s">
        <v>95</v>
      </c>
    </row>
    <row r="284" spans="1:22">
      <c r="A284" s="14">
        <v>45166</v>
      </c>
      <c r="B284" s="15">
        <v>2.1239999999999998E-2</v>
      </c>
      <c r="C284" s="15">
        <v>2.1239999999999998E-2</v>
      </c>
      <c r="D284" s="16">
        <f t="shared" si="56"/>
        <v>2.1239999999999998E-2</v>
      </c>
      <c r="E284" s="17">
        <f t="shared" si="53"/>
        <v>13</v>
      </c>
      <c r="F284" s="18">
        <f t="shared" si="54"/>
        <v>0.95285685432979439</v>
      </c>
      <c r="G284" s="18">
        <f t="shared" si="55"/>
        <v>1.0471431456702052</v>
      </c>
      <c r="H284" s="18">
        <f t="shared" si="57"/>
        <v>-9.4286291340410777E-2</v>
      </c>
      <c r="I284" s="19" t="str">
        <f t="shared" si="58"/>
        <v>B</v>
      </c>
      <c r="J284" s="19">
        <f t="shared" si="66"/>
        <v>51</v>
      </c>
      <c r="K284" s="19" t="str">
        <f>IF(I284="","",IF(J284&gt;=Parameters!$B$5,I284,"HOLD"))</f>
        <v>B</v>
      </c>
      <c r="L284" s="20">
        <f>'Actual Calc'!T284</f>
        <v>0</v>
      </c>
      <c r="M284" s="20">
        <f>'Actual Calc'!U284</f>
        <v>9721265754.8170624</v>
      </c>
      <c r="N284" s="21">
        <f t="shared" si="59"/>
        <v>0</v>
      </c>
      <c r="O284" s="21">
        <f>IF(NOT(ISNUMBER(N284)),"",IF(K284="A",MIN(Parameters!$B$8,N284+Parameters!$B$6),IF(K284="B",MAX(Parameters!$B$7,N284-Parameters!$B$6),N284)))</f>
        <v>0</v>
      </c>
      <c r="P284" s="22">
        <f t="shared" si="60"/>
        <v>0</v>
      </c>
      <c r="Q284" s="22">
        <f t="shared" si="61"/>
        <v>0</v>
      </c>
      <c r="R284" s="22">
        <f t="shared" si="62"/>
        <v>0</v>
      </c>
      <c r="S284" s="22">
        <f t="shared" si="63"/>
        <v>9721265754.8170624</v>
      </c>
      <c r="T284" s="21">
        <f t="shared" si="64"/>
        <v>0</v>
      </c>
      <c r="U284" s="19" t="str">
        <f t="shared" si="65"/>
        <v>No transfer</v>
      </c>
      <c r="V284" s="35" t="s">
        <v>95</v>
      </c>
    </row>
    <row r="285" spans="1:22">
      <c r="A285" s="4">
        <v>45173</v>
      </c>
      <c r="B285" s="5">
        <v>-5.7099999999999998E-3</v>
      </c>
      <c r="C285" s="5">
        <v>-5.7099999999999998E-3</v>
      </c>
      <c r="D285" s="6">
        <f t="shared" si="56"/>
        <v>-5.7099999999999998E-3</v>
      </c>
      <c r="E285" s="8">
        <f t="shared" ref="E285:E348" si="67">IF(NOT(ISNUMBER(D285)),"",COUNTIF(D260:D285,"&gt;0"))</f>
        <v>13</v>
      </c>
      <c r="F285" s="9">
        <f t="shared" ref="F285:F348" si="68">IF(OR(NOT(ISNUMBER(E285)),E285&lt;2),"",IFERROR((SUMPRODUCT(--(D260:D285&gt;0),B260:B285,D260:D285)-SUMPRODUCT(--(D260:D285&gt;0),B260:B285)*SUMPRODUCT(--(D260:D285&gt;0),D260:D285)/E285)/(SUMPRODUCT(--(D260:D285&gt;0),D260:D285,D260:D285)-SUMPRODUCT(--(D260:D285&gt;0),D260:D285)^2/E285),""))</f>
        <v>0.95285685432979439</v>
      </c>
      <c r="G285" s="9">
        <f t="shared" ref="G285:G348" si="69">IF(OR(NOT(ISNUMBER(E285)),E285&lt;2),"",IFERROR((SUMPRODUCT(--(D260:D285&gt;0),C260:C285,D260:D285)-SUMPRODUCT(--(D260:D285&gt;0),C260:C285)*SUMPRODUCT(--(D260:D285&gt;0),D260:D285)/E285)/(SUMPRODUCT(--(D260:D285&gt;0),D260:D285,D260:D285)-SUMPRODUCT(--(D260:D285&gt;0),D260:D285)^2/E285),""))</f>
        <v>1.0471431456702052</v>
      </c>
      <c r="H285" s="9">
        <f t="shared" si="57"/>
        <v>-9.4286291340410777E-2</v>
      </c>
      <c r="I285" t="str">
        <f t="shared" si="58"/>
        <v>B</v>
      </c>
      <c r="J285">
        <f t="shared" si="66"/>
        <v>52</v>
      </c>
      <c r="K285" t="str">
        <f>IF(I285="","",IF(J285&gt;=Parameters!$B$5,I285,"HOLD"))</f>
        <v>B</v>
      </c>
      <c r="L285" s="10">
        <f>'Actual Calc'!T285</f>
        <v>0</v>
      </c>
      <c r="M285" s="10">
        <f>'Actual Calc'!U285</f>
        <v>8981153399.1380615</v>
      </c>
      <c r="N285" s="12">
        <f t="shared" si="59"/>
        <v>0</v>
      </c>
      <c r="O285" s="12">
        <f>IF(NOT(ISNUMBER(N285)),"",IF(K285="A",MIN(Parameters!$B$8,N285+Parameters!$B$6),IF(K285="B",MAX(Parameters!$B$7,N285-Parameters!$B$6),N285)))</f>
        <v>0</v>
      </c>
      <c r="P285" s="13">
        <f t="shared" si="60"/>
        <v>0</v>
      </c>
      <c r="Q285" s="13">
        <f t="shared" si="61"/>
        <v>0</v>
      </c>
      <c r="R285" s="13">
        <f t="shared" si="62"/>
        <v>0</v>
      </c>
      <c r="S285" s="13">
        <f t="shared" si="63"/>
        <v>8981153399.1380615</v>
      </c>
      <c r="T285" s="12">
        <f t="shared" si="64"/>
        <v>0</v>
      </c>
      <c r="U285" t="str">
        <f t="shared" si="65"/>
        <v>No transfer</v>
      </c>
      <c r="V285" s="25" t="s">
        <v>95</v>
      </c>
    </row>
    <row r="286" spans="1:22">
      <c r="A286" s="14">
        <v>45180</v>
      </c>
      <c r="B286" s="15">
        <v>-4.0000000000000001E-3</v>
      </c>
      <c r="C286" s="15">
        <v>-4.0000000000000001E-3</v>
      </c>
      <c r="D286" s="16">
        <f t="shared" si="56"/>
        <v>-4.0000000000000001E-3</v>
      </c>
      <c r="E286" s="17">
        <f t="shared" si="67"/>
        <v>12</v>
      </c>
      <c r="F286" s="18">
        <f t="shared" si="68"/>
        <v>0.95144384748538935</v>
      </c>
      <c r="G286" s="18">
        <f t="shared" si="69"/>
        <v>1.0485561525146099</v>
      </c>
      <c r="H286" s="18">
        <f t="shared" si="57"/>
        <v>-9.7112305029220525E-2</v>
      </c>
      <c r="I286" s="19" t="str">
        <f t="shared" si="58"/>
        <v>B</v>
      </c>
      <c r="J286" s="19">
        <f t="shared" si="66"/>
        <v>53</v>
      </c>
      <c r="K286" s="19" t="str">
        <f>IF(I286="","",IF(J286&gt;=Parameters!$B$5,I286,"HOLD"))</f>
        <v>B</v>
      </c>
      <c r="L286" s="20">
        <f>'Actual Calc'!T286</f>
        <v>0</v>
      </c>
      <c r="M286" s="20">
        <f>'Actual Calc'!U286</f>
        <v>8502158554.7380619</v>
      </c>
      <c r="N286" s="21">
        <f t="shared" si="59"/>
        <v>0</v>
      </c>
      <c r="O286" s="21">
        <f>IF(NOT(ISNUMBER(N286)),"",IF(K286="A",MIN(Parameters!$B$8,N286+Parameters!$B$6),IF(K286="B",MAX(Parameters!$B$7,N286-Parameters!$B$6),N286)))</f>
        <v>0</v>
      </c>
      <c r="P286" s="22">
        <f t="shared" si="60"/>
        <v>0</v>
      </c>
      <c r="Q286" s="22">
        <f t="shared" si="61"/>
        <v>0</v>
      </c>
      <c r="R286" s="22">
        <f t="shared" si="62"/>
        <v>0</v>
      </c>
      <c r="S286" s="22">
        <f t="shared" si="63"/>
        <v>8502158554.7380619</v>
      </c>
      <c r="T286" s="21">
        <f t="shared" si="64"/>
        <v>0</v>
      </c>
      <c r="U286" s="19" t="str">
        <f t="shared" si="65"/>
        <v>No transfer</v>
      </c>
      <c r="V286" s="35" t="s">
        <v>95</v>
      </c>
    </row>
    <row r="287" spans="1:22">
      <c r="A287" s="4">
        <v>45187</v>
      </c>
      <c r="B287" s="5">
        <v>-1.333E-2</v>
      </c>
      <c r="C287" s="5">
        <v>-1.333E-2</v>
      </c>
      <c r="D287" s="6">
        <f t="shared" si="56"/>
        <v>-1.333E-2</v>
      </c>
      <c r="E287" s="8">
        <f t="shared" si="67"/>
        <v>11</v>
      </c>
      <c r="F287" s="9">
        <f t="shared" si="68"/>
        <v>0.95217835009075513</v>
      </c>
      <c r="G287" s="9">
        <f t="shared" si="69"/>
        <v>1.0478216499092456</v>
      </c>
      <c r="H287" s="9">
        <f t="shared" si="57"/>
        <v>-9.5643299818490513E-2</v>
      </c>
      <c r="I287" t="str">
        <f t="shared" si="58"/>
        <v>B</v>
      </c>
      <c r="J287">
        <f t="shared" si="66"/>
        <v>54</v>
      </c>
      <c r="K287" t="str">
        <f>IF(I287="","",IF(J287&gt;=Parameters!$B$5,I287,"HOLD"))</f>
        <v>B</v>
      </c>
      <c r="L287" s="10">
        <f>'Actual Calc'!T287</f>
        <v>0</v>
      </c>
      <c r="M287" s="10">
        <f>'Actual Calc'!U287</f>
        <v>6991041595.1130619</v>
      </c>
      <c r="N287" s="12">
        <f t="shared" si="59"/>
        <v>0</v>
      </c>
      <c r="O287" s="12">
        <f>IF(NOT(ISNUMBER(N287)),"",IF(K287="A",MIN(Parameters!$B$8,N287+Parameters!$B$6),IF(K287="B",MAX(Parameters!$B$7,N287-Parameters!$B$6),N287)))</f>
        <v>0</v>
      </c>
      <c r="P287" s="13">
        <f t="shared" si="60"/>
        <v>0</v>
      </c>
      <c r="Q287" s="13">
        <f t="shared" si="61"/>
        <v>0</v>
      </c>
      <c r="R287" s="13">
        <f t="shared" si="62"/>
        <v>0</v>
      </c>
      <c r="S287" s="13">
        <f t="shared" si="63"/>
        <v>6991041595.1130619</v>
      </c>
      <c r="T287" s="12">
        <f t="shared" si="64"/>
        <v>0</v>
      </c>
      <c r="U287" t="str">
        <f t="shared" si="65"/>
        <v>No transfer</v>
      </c>
      <c r="V287" s="25" t="s">
        <v>95</v>
      </c>
    </row>
    <row r="288" spans="1:22">
      <c r="A288" s="14">
        <v>45194</v>
      </c>
      <c r="B288" s="15">
        <v>8.2199999999999999E-3</v>
      </c>
      <c r="C288" s="15">
        <v>8.2199999999999999E-3</v>
      </c>
      <c r="D288" s="16">
        <f t="shared" si="56"/>
        <v>8.2199999999999999E-3</v>
      </c>
      <c r="E288" s="17">
        <f t="shared" si="67"/>
        <v>12</v>
      </c>
      <c r="F288" s="18">
        <f t="shared" si="68"/>
        <v>0.95723707236130373</v>
      </c>
      <c r="G288" s="18">
        <f t="shared" si="69"/>
        <v>1.0427629276386978</v>
      </c>
      <c r="H288" s="18">
        <f t="shared" si="57"/>
        <v>-8.5525855277394092E-2</v>
      </c>
      <c r="I288" s="19" t="str">
        <f t="shared" si="58"/>
        <v>B</v>
      </c>
      <c r="J288" s="19">
        <f t="shared" si="66"/>
        <v>55</v>
      </c>
      <c r="K288" s="19" t="str">
        <f>IF(I288="","",IF(J288&gt;=Parameters!$B$5,I288,"HOLD"))</f>
        <v>B</v>
      </c>
      <c r="L288" s="20">
        <f>'Actual Calc'!T288</f>
        <v>0</v>
      </c>
      <c r="M288" s="20">
        <f>'Actual Calc'!U288</f>
        <v>7757259747.0750618</v>
      </c>
      <c r="N288" s="21">
        <f t="shared" si="59"/>
        <v>0</v>
      </c>
      <c r="O288" s="21">
        <f>IF(NOT(ISNUMBER(N288)),"",IF(K288="A",MIN(Parameters!$B$8,N288+Parameters!$B$6),IF(K288="B",MAX(Parameters!$B$7,N288-Parameters!$B$6),N288)))</f>
        <v>0</v>
      </c>
      <c r="P288" s="22">
        <f t="shared" si="60"/>
        <v>0</v>
      </c>
      <c r="Q288" s="22">
        <f t="shared" si="61"/>
        <v>0</v>
      </c>
      <c r="R288" s="22">
        <f t="shared" si="62"/>
        <v>0</v>
      </c>
      <c r="S288" s="22">
        <f t="shared" si="63"/>
        <v>7757259747.0750618</v>
      </c>
      <c r="T288" s="21">
        <f t="shared" si="64"/>
        <v>0</v>
      </c>
      <c r="U288" s="19" t="str">
        <f t="shared" si="65"/>
        <v>No transfer</v>
      </c>
      <c r="V288" s="35" t="s">
        <v>95</v>
      </c>
    </row>
    <row r="289" spans="1:22">
      <c r="A289" s="4">
        <v>45201</v>
      </c>
      <c r="B289" s="5">
        <v>8.2400000000000008E-3</v>
      </c>
      <c r="C289" s="5">
        <v>8.2400000000000008E-3</v>
      </c>
      <c r="D289" s="6">
        <f t="shared" si="56"/>
        <v>8.2400000000000008E-3</v>
      </c>
      <c r="E289" s="8">
        <f t="shared" si="67"/>
        <v>13</v>
      </c>
      <c r="F289" s="9">
        <f t="shared" si="68"/>
        <v>0.96111921330058014</v>
      </c>
      <c r="G289" s="9">
        <f t="shared" si="69"/>
        <v>1.0388807866994205</v>
      </c>
      <c r="H289" s="9">
        <f t="shared" si="57"/>
        <v>-7.7761573398840378E-2</v>
      </c>
      <c r="I289" t="str">
        <f t="shared" si="58"/>
        <v>B</v>
      </c>
      <c r="J289">
        <f t="shared" si="66"/>
        <v>56</v>
      </c>
      <c r="K289" t="str">
        <f>IF(I289="","",IF(J289&gt;=Parameters!$B$5,I289,"HOLD"))</f>
        <v>B</v>
      </c>
      <c r="L289" s="10">
        <f>'Actual Calc'!T289</f>
        <v>0</v>
      </c>
      <c r="M289" s="10">
        <f>'Actual Calc'!U289</f>
        <v>8609524004.2670612</v>
      </c>
      <c r="N289" s="12">
        <f t="shared" si="59"/>
        <v>0</v>
      </c>
      <c r="O289" s="12">
        <f>IF(NOT(ISNUMBER(N289)),"",IF(K289="A",MIN(Parameters!$B$8,N289+Parameters!$B$6),IF(K289="B",MAX(Parameters!$B$7,N289-Parameters!$B$6),N289)))</f>
        <v>0</v>
      </c>
      <c r="P289" s="13">
        <f t="shared" si="60"/>
        <v>0</v>
      </c>
      <c r="Q289" s="13">
        <f t="shared" si="61"/>
        <v>0</v>
      </c>
      <c r="R289" s="13">
        <f t="shared" si="62"/>
        <v>0</v>
      </c>
      <c r="S289" s="13">
        <f t="shared" si="63"/>
        <v>8609524004.2670612</v>
      </c>
      <c r="T289" s="12">
        <f t="shared" si="64"/>
        <v>0</v>
      </c>
      <c r="U289" t="str">
        <f t="shared" si="65"/>
        <v>No transfer</v>
      </c>
      <c r="V289" s="25" t="s">
        <v>95</v>
      </c>
    </row>
    <row r="290" spans="1:22">
      <c r="A290" s="14">
        <v>45208</v>
      </c>
      <c r="B290" s="15">
        <v>1.174E-2</v>
      </c>
      <c r="C290" s="15">
        <v>1.174E-2</v>
      </c>
      <c r="D290" s="16">
        <f t="shared" si="56"/>
        <v>1.174E-2</v>
      </c>
      <c r="E290" s="17">
        <f t="shared" si="67"/>
        <v>13</v>
      </c>
      <c r="F290" s="18">
        <f t="shared" si="68"/>
        <v>1</v>
      </c>
      <c r="G290" s="18">
        <f t="shared" si="69"/>
        <v>1</v>
      </c>
      <c r="H290" s="18">
        <f t="shared" si="57"/>
        <v>0</v>
      </c>
      <c r="I290" s="19" t="str">
        <f t="shared" si="58"/>
        <v>HOLD</v>
      </c>
      <c r="J290" s="19">
        <f t="shared" si="66"/>
        <v>0</v>
      </c>
      <c r="K290" s="19" t="str">
        <f>IF(I290="","",IF(J290&gt;=Parameters!$B$5,I290,"HOLD"))</f>
        <v>HOLD</v>
      </c>
      <c r="L290" s="20">
        <f>'Actual Calc'!T290</f>
        <v>0</v>
      </c>
      <c r="M290" s="20">
        <f>'Actual Calc'!U290</f>
        <v>9957201492.835062</v>
      </c>
      <c r="N290" s="21">
        <f t="shared" si="59"/>
        <v>0</v>
      </c>
      <c r="O290" s="21">
        <f>IF(NOT(ISNUMBER(N290)),"",IF(K290="A",MIN(Parameters!$B$8,N290+Parameters!$B$6),IF(K290="B",MAX(Parameters!$B$7,N290-Parameters!$B$6),N290)))</f>
        <v>0</v>
      </c>
      <c r="P290" s="22">
        <f t="shared" si="60"/>
        <v>0</v>
      </c>
      <c r="Q290" s="22">
        <f t="shared" si="61"/>
        <v>0</v>
      </c>
      <c r="R290" s="22">
        <f t="shared" si="62"/>
        <v>0</v>
      </c>
      <c r="S290" s="22">
        <f t="shared" si="63"/>
        <v>9957201492.835062</v>
      </c>
      <c r="T290" s="21">
        <f t="shared" si="64"/>
        <v>0</v>
      </c>
      <c r="U290" s="19" t="str">
        <f t="shared" si="65"/>
        <v>No transfer</v>
      </c>
      <c r="V290" s="35" t="s">
        <v>95</v>
      </c>
    </row>
    <row r="291" spans="1:22">
      <c r="A291" s="4">
        <v>45215</v>
      </c>
      <c r="B291" s="5">
        <v>7.3499999999999998E-3</v>
      </c>
      <c r="C291" s="5">
        <v>7.3499999999999998E-3</v>
      </c>
      <c r="D291" s="6">
        <f t="shared" si="56"/>
        <v>7.3499999999999998E-3</v>
      </c>
      <c r="E291" s="8">
        <f t="shared" si="67"/>
        <v>14</v>
      </c>
      <c r="F291" s="9">
        <f t="shared" si="68"/>
        <v>1</v>
      </c>
      <c r="G291" s="9">
        <f t="shared" si="69"/>
        <v>1</v>
      </c>
      <c r="H291" s="9">
        <f t="shared" si="57"/>
        <v>0</v>
      </c>
      <c r="I291" t="str">
        <f t="shared" si="58"/>
        <v>HOLD</v>
      </c>
      <c r="J291">
        <f t="shared" si="66"/>
        <v>0</v>
      </c>
      <c r="K291" t="str">
        <f>IF(I291="","",IF(J291&gt;=Parameters!$B$5,I291,"HOLD"))</f>
        <v>HOLD</v>
      </c>
      <c r="L291" s="10">
        <f>'Actual Calc'!T291</f>
        <v>0</v>
      </c>
      <c r="M291" s="10">
        <f>'Actual Calc'!U291</f>
        <v>10933007235.670061</v>
      </c>
      <c r="N291" s="12">
        <f t="shared" si="59"/>
        <v>0</v>
      </c>
      <c r="O291" s="12">
        <f>IF(NOT(ISNUMBER(N291)),"",IF(K291="A",MIN(Parameters!$B$8,N291+Parameters!$B$6),IF(K291="B",MAX(Parameters!$B$7,N291-Parameters!$B$6),N291)))</f>
        <v>0</v>
      </c>
      <c r="P291" s="13">
        <f t="shared" si="60"/>
        <v>0</v>
      </c>
      <c r="Q291" s="13">
        <f t="shared" si="61"/>
        <v>0</v>
      </c>
      <c r="R291" s="13">
        <f t="shared" si="62"/>
        <v>0</v>
      </c>
      <c r="S291" s="13">
        <f t="shared" si="63"/>
        <v>10933007235.670061</v>
      </c>
      <c r="T291" s="12">
        <f t="shared" si="64"/>
        <v>0</v>
      </c>
      <c r="U291" t="str">
        <f t="shared" si="65"/>
        <v>No transfer</v>
      </c>
      <c r="V291" s="25" t="s">
        <v>95</v>
      </c>
    </row>
    <row r="292" spans="1:22">
      <c r="A292" s="14">
        <v>45222</v>
      </c>
      <c r="B292" s="15">
        <v>8.0199999999999994E-3</v>
      </c>
      <c r="C292" s="15">
        <v>8.0199999999999994E-3</v>
      </c>
      <c r="D292" s="16">
        <f t="shared" si="56"/>
        <v>8.0199999999999994E-3</v>
      </c>
      <c r="E292" s="17">
        <f t="shared" si="67"/>
        <v>15</v>
      </c>
      <c r="F292" s="18">
        <f t="shared" si="68"/>
        <v>1</v>
      </c>
      <c r="G292" s="18">
        <f t="shared" si="69"/>
        <v>1</v>
      </c>
      <c r="H292" s="18">
        <f t="shared" si="57"/>
        <v>0</v>
      </c>
      <c r="I292" s="19" t="str">
        <f t="shared" si="58"/>
        <v>HOLD</v>
      </c>
      <c r="J292" s="19">
        <f t="shared" si="66"/>
        <v>0</v>
      </c>
      <c r="K292" s="19" t="str">
        <f>IF(I292="","",IF(J292&gt;=Parameters!$B$5,I292,"HOLD"))</f>
        <v>HOLD</v>
      </c>
      <c r="L292" s="20">
        <f>'Actual Calc'!T292</f>
        <v>0</v>
      </c>
      <c r="M292" s="20">
        <f>'Actual Calc'!U292</f>
        <v>12102110141.062061</v>
      </c>
      <c r="N292" s="21">
        <f t="shared" si="59"/>
        <v>0</v>
      </c>
      <c r="O292" s="21">
        <f>IF(NOT(ISNUMBER(N292)),"",IF(K292="A",MIN(Parameters!$B$8,N292+Parameters!$B$6),IF(K292="B",MAX(Parameters!$B$7,N292-Parameters!$B$6),N292)))</f>
        <v>0</v>
      </c>
      <c r="P292" s="22">
        <f t="shared" si="60"/>
        <v>0</v>
      </c>
      <c r="Q292" s="22">
        <f t="shared" si="61"/>
        <v>0</v>
      </c>
      <c r="R292" s="22">
        <f t="shared" si="62"/>
        <v>0</v>
      </c>
      <c r="S292" s="22">
        <f t="shared" si="63"/>
        <v>12102110141.062061</v>
      </c>
      <c r="T292" s="21">
        <f t="shared" si="64"/>
        <v>0</v>
      </c>
      <c r="U292" s="19" t="str">
        <f t="shared" si="65"/>
        <v>No transfer</v>
      </c>
      <c r="V292" s="35" t="s">
        <v>95</v>
      </c>
    </row>
    <row r="293" spans="1:22">
      <c r="A293" s="4">
        <v>45229</v>
      </c>
      <c r="B293" s="5">
        <v>5.7520000000000002E-2</v>
      </c>
      <c r="C293" s="5">
        <v>5.7520000000000002E-2</v>
      </c>
      <c r="D293" s="6">
        <f t="shared" si="56"/>
        <v>5.7520000000000002E-2</v>
      </c>
      <c r="E293" s="8">
        <f t="shared" si="67"/>
        <v>16</v>
      </c>
      <c r="F293" s="9">
        <f t="shared" si="68"/>
        <v>1</v>
      </c>
      <c r="G293" s="9">
        <f t="shared" si="69"/>
        <v>1</v>
      </c>
      <c r="H293" s="9">
        <f t="shared" si="57"/>
        <v>0</v>
      </c>
      <c r="I293" t="str">
        <f t="shared" si="58"/>
        <v>HOLD</v>
      </c>
      <c r="J293">
        <f t="shared" si="66"/>
        <v>0</v>
      </c>
      <c r="K293" t="str">
        <f>IF(I293="","",IF(J293&gt;=Parameters!$B$5,I293,"HOLD"))</f>
        <v>HOLD</v>
      </c>
      <c r="L293" s="10">
        <f>'Actual Calc'!T293</f>
        <v>0</v>
      </c>
      <c r="M293" s="10">
        <f>'Actual Calc'!U293</f>
        <v>21383621780.422062</v>
      </c>
      <c r="N293" s="12">
        <f t="shared" si="59"/>
        <v>0</v>
      </c>
      <c r="O293" s="12">
        <f>IF(NOT(ISNUMBER(N293)),"",IF(K293="A",MIN(Parameters!$B$8,N293+Parameters!$B$6),IF(K293="B",MAX(Parameters!$B$7,N293-Parameters!$B$6),N293)))</f>
        <v>0</v>
      </c>
      <c r="P293" s="13">
        <f t="shared" si="60"/>
        <v>0</v>
      </c>
      <c r="Q293" s="13">
        <f t="shared" si="61"/>
        <v>0</v>
      </c>
      <c r="R293" s="13">
        <f t="shared" si="62"/>
        <v>0</v>
      </c>
      <c r="S293" s="13">
        <f t="shared" si="63"/>
        <v>21383621780.422062</v>
      </c>
      <c r="T293" s="12">
        <f t="shared" si="64"/>
        <v>0</v>
      </c>
      <c r="U293" t="str">
        <f t="shared" si="65"/>
        <v>No transfer</v>
      </c>
      <c r="V293" s="25" t="s">
        <v>95</v>
      </c>
    </row>
    <row r="294" spans="1:22">
      <c r="A294" s="14">
        <v>45236</v>
      </c>
      <c r="B294" s="15">
        <v>2.6720000000000001E-2</v>
      </c>
      <c r="C294" s="15">
        <v>2.6720000000000001E-2</v>
      </c>
      <c r="D294" s="16">
        <f t="shared" si="56"/>
        <v>2.6720000000000001E-2</v>
      </c>
      <c r="E294" s="17">
        <f t="shared" si="67"/>
        <v>16</v>
      </c>
      <c r="F294" s="18">
        <f t="shared" si="68"/>
        <v>1</v>
      </c>
      <c r="G294" s="18">
        <f t="shared" si="69"/>
        <v>1</v>
      </c>
      <c r="H294" s="18">
        <f t="shared" si="57"/>
        <v>0</v>
      </c>
      <c r="I294" s="19" t="str">
        <f t="shared" si="58"/>
        <v>HOLD</v>
      </c>
      <c r="J294" s="19">
        <f t="shared" si="66"/>
        <v>0</v>
      </c>
      <c r="K294" s="19" t="str">
        <f>IF(I294="","",IF(J294&gt;=Parameters!$B$5,I294,"HOLD"))</f>
        <v>HOLD</v>
      </c>
      <c r="L294" s="20">
        <f>'Actual Calc'!T294</f>
        <v>0</v>
      </c>
      <c r="M294" s="20">
        <f>'Actual Calc'!U294</f>
        <v>29001893383.366062</v>
      </c>
      <c r="N294" s="21">
        <f t="shared" si="59"/>
        <v>0</v>
      </c>
      <c r="O294" s="21">
        <f>IF(NOT(ISNUMBER(N294)),"",IF(K294="A",MIN(Parameters!$B$8,N294+Parameters!$B$6),IF(K294="B",MAX(Parameters!$B$7,N294-Parameters!$B$6),N294)))</f>
        <v>0</v>
      </c>
      <c r="P294" s="22">
        <f t="shared" si="60"/>
        <v>0</v>
      </c>
      <c r="Q294" s="22">
        <f t="shared" si="61"/>
        <v>0</v>
      </c>
      <c r="R294" s="22">
        <f t="shared" si="62"/>
        <v>0</v>
      </c>
      <c r="S294" s="22">
        <f t="shared" si="63"/>
        <v>29001893383.366062</v>
      </c>
      <c r="T294" s="21">
        <f t="shared" si="64"/>
        <v>0</v>
      </c>
      <c r="U294" s="19" t="str">
        <f t="shared" si="65"/>
        <v>No transfer</v>
      </c>
      <c r="V294" s="35" t="s">
        <v>95</v>
      </c>
    </row>
    <row r="295" spans="1:22">
      <c r="A295" s="4">
        <v>45243</v>
      </c>
      <c r="B295" s="5">
        <v>2.0289999999999999E-2</v>
      </c>
      <c r="C295" s="5">
        <v>2.0289999999999999E-2</v>
      </c>
      <c r="D295" s="6">
        <f t="shared" si="56"/>
        <v>2.0289999999999999E-2</v>
      </c>
      <c r="E295" s="8">
        <f t="shared" si="67"/>
        <v>16</v>
      </c>
      <c r="F295" s="9">
        <f t="shared" si="68"/>
        <v>1</v>
      </c>
      <c r="G295" s="9">
        <f t="shared" si="69"/>
        <v>1</v>
      </c>
      <c r="H295" s="9">
        <f t="shared" si="57"/>
        <v>0</v>
      </c>
      <c r="I295" t="str">
        <f t="shared" si="58"/>
        <v>HOLD</v>
      </c>
      <c r="J295">
        <f t="shared" si="66"/>
        <v>0</v>
      </c>
      <c r="K295" t="str">
        <f>IF(I295="","",IF(J295&gt;=Parameters!$B$5,I295,"HOLD"))</f>
        <v>HOLD</v>
      </c>
      <c r="L295" s="10">
        <f>'Actual Calc'!T295</f>
        <v>0</v>
      </c>
      <c r="M295" s="10">
        <f>'Actual Calc'!U295</f>
        <v>36847872265.672058</v>
      </c>
      <c r="N295" s="12">
        <f t="shared" si="59"/>
        <v>0</v>
      </c>
      <c r="O295" s="12">
        <f>IF(NOT(ISNUMBER(N295)),"",IF(K295="A",MIN(Parameters!$B$8,N295+Parameters!$B$6),IF(K295="B",MAX(Parameters!$B$7,N295-Parameters!$B$6),N295)))</f>
        <v>0</v>
      </c>
      <c r="P295" s="13">
        <f t="shared" si="60"/>
        <v>0</v>
      </c>
      <c r="Q295" s="13">
        <f t="shared" si="61"/>
        <v>0</v>
      </c>
      <c r="R295" s="13">
        <f t="shared" si="62"/>
        <v>0</v>
      </c>
      <c r="S295" s="13">
        <f t="shared" si="63"/>
        <v>36847872265.672058</v>
      </c>
      <c r="T295" s="12">
        <f t="shared" si="64"/>
        <v>0</v>
      </c>
      <c r="U295" t="str">
        <f t="shared" si="65"/>
        <v>No transfer</v>
      </c>
      <c r="V295" s="25" t="s">
        <v>95</v>
      </c>
    </row>
    <row r="296" spans="1:22">
      <c r="A296" s="14">
        <v>45250</v>
      </c>
      <c r="B296" s="15">
        <v>1.206E-2</v>
      </c>
      <c r="C296" s="15">
        <v>1.206E-2</v>
      </c>
      <c r="D296" s="16">
        <f t="shared" si="56"/>
        <v>1.206E-2</v>
      </c>
      <c r="E296" s="17">
        <f t="shared" si="67"/>
        <v>16</v>
      </c>
      <c r="F296" s="18">
        <f t="shared" si="68"/>
        <v>1</v>
      </c>
      <c r="G296" s="18">
        <f t="shared" si="69"/>
        <v>1</v>
      </c>
      <c r="H296" s="18">
        <f t="shared" si="57"/>
        <v>0</v>
      </c>
      <c r="I296" s="19" t="str">
        <f t="shared" si="58"/>
        <v>HOLD</v>
      </c>
      <c r="J296" s="19">
        <f t="shared" si="66"/>
        <v>0</v>
      </c>
      <c r="K296" s="19" t="str">
        <f>IF(I296="","",IF(J296&gt;=Parameters!$B$5,I296,"HOLD"))</f>
        <v>HOLD</v>
      </c>
      <c r="L296" s="20">
        <f>'Actual Calc'!T296</f>
        <v>0</v>
      </c>
      <c r="M296" s="20">
        <f>'Actual Calc'!U296</f>
        <v>42773010106.186058</v>
      </c>
      <c r="N296" s="21">
        <f t="shared" si="59"/>
        <v>0</v>
      </c>
      <c r="O296" s="21">
        <f>IF(NOT(ISNUMBER(N296)),"",IF(K296="A",MIN(Parameters!$B$8,N296+Parameters!$B$6),IF(K296="B",MAX(Parameters!$B$7,N296-Parameters!$B$6),N296)))</f>
        <v>0</v>
      </c>
      <c r="P296" s="22">
        <f t="shared" si="60"/>
        <v>0</v>
      </c>
      <c r="Q296" s="22">
        <f t="shared" si="61"/>
        <v>0</v>
      </c>
      <c r="R296" s="22">
        <f t="shared" si="62"/>
        <v>0</v>
      </c>
      <c r="S296" s="22">
        <f t="shared" si="63"/>
        <v>42773010106.186058</v>
      </c>
      <c r="T296" s="21">
        <f t="shared" si="64"/>
        <v>0</v>
      </c>
      <c r="U296" s="19" t="str">
        <f t="shared" si="65"/>
        <v>No transfer</v>
      </c>
      <c r="V296" s="35" t="s">
        <v>95</v>
      </c>
    </row>
    <row r="297" spans="1:22">
      <c r="A297" s="4">
        <v>45257</v>
      </c>
      <c r="B297" s="5">
        <v>-4.0000000000000001E-3</v>
      </c>
      <c r="C297" s="5">
        <v>-4.0000000000000001E-3</v>
      </c>
      <c r="D297" s="6">
        <f t="shared" si="56"/>
        <v>-4.0000000000000001E-3</v>
      </c>
      <c r="E297" s="8">
        <f t="shared" si="67"/>
        <v>16</v>
      </c>
      <c r="F297" s="9">
        <f t="shared" si="68"/>
        <v>1</v>
      </c>
      <c r="G297" s="9">
        <f t="shared" si="69"/>
        <v>1</v>
      </c>
      <c r="H297" s="9">
        <f t="shared" si="57"/>
        <v>0</v>
      </c>
      <c r="I297" t="str">
        <f t="shared" si="58"/>
        <v>HOLD</v>
      </c>
      <c r="J297">
        <f t="shared" si="66"/>
        <v>0</v>
      </c>
      <c r="K297" t="str">
        <f>IF(I297="","",IF(J297&gt;=Parameters!$B$5,I297,"HOLD"))</f>
        <v>HOLD</v>
      </c>
      <c r="L297" s="10">
        <f>'Actual Calc'!T297</f>
        <v>0</v>
      </c>
      <c r="M297" s="10">
        <f>'Actual Calc'!U297</f>
        <v>40491782908.58606</v>
      </c>
      <c r="N297" s="12">
        <f t="shared" si="59"/>
        <v>0</v>
      </c>
      <c r="O297" s="12">
        <f>IF(NOT(ISNUMBER(N297)),"",IF(K297="A",MIN(Parameters!$B$8,N297+Parameters!$B$6),IF(K297="B",MAX(Parameters!$B$7,N297-Parameters!$B$6),N297)))</f>
        <v>0</v>
      </c>
      <c r="P297" s="13">
        <f t="shared" si="60"/>
        <v>0</v>
      </c>
      <c r="Q297" s="13">
        <f t="shared" si="61"/>
        <v>0</v>
      </c>
      <c r="R297" s="13">
        <f t="shared" si="62"/>
        <v>0</v>
      </c>
      <c r="S297" s="13">
        <f t="shared" si="63"/>
        <v>40491782908.58606</v>
      </c>
      <c r="T297" s="12">
        <f t="shared" si="64"/>
        <v>0</v>
      </c>
      <c r="U297" t="str">
        <f t="shared" si="65"/>
        <v>No transfer</v>
      </c>
      <c r="V297" s="25" t="s">
        <v>95</v>
      </c>
    </row>
    <row r="298" spans="1:22">
      <c r="A298" s="14">
        <v>45264</v>
      </c>
      <c r="B298" s="15">
        <v>1.5769999999999999E-2</v>
      </c>
      <c r="C298" s="15">
        <v>0</v>
      </c>
      <c r="D298" s="16">
        <f t="shared" si="56"/>
        <v>7.8849999999999996E-3</v>
      </c>
      <c r="E298" s="17">
        <f t="shared" si="67"/>
        <v>17</v>
      </c>
      <c r="F298" s="18">
        <f t="shared" si="68"/>
        <v>0.97090549572915086</v>
      </c>
      <c r="G298" s="18">
        <f t="shared" si="69"/>
        <v>1.0290945042708486</v>
      </c>
      <c r="H298" s="18">
        <f t="shared" si="57"/>
        <v>-5.8189008541697729E-2</v>
      </c>
      <c r="I298" s="19" t="str">
        <f t="shared" si="58"/>
        <v>B</v>
      </c>
      <c r="J298" s="19">
        <f t="shared" si="66"/>
        <v>1</v>
      </c>
      <c r="K298" s="19" t="str">
        <f>IF(I298="","",IF(J298&gt;=Parameters!$B$5,I298,"HOLD"))</f>
        <v>HOLD</v>
      </c>
      <c r="L298" s="20">
        <f>'Actual Calc'!T298</f>
        <v>0</v>
      </c>
      <c r="M298" s="20">
        <f>'Actual Calc'!U298</f>
        <v>40491782908.58606</v>
      </c>
      <c r="N298" s="21">
        <f t="shared" si="59"/>
        <v>0</v>
      </c>
      <c r="O298" s="21">
        <f>IF(NOT(ISNUMBER(N298)),"",IF(K298="A",MIN(Parameters!$B$8,N298+Parameters!$B$6),IF(K298="B",MAX(Parameters!$B$7,N298-Parameters!$B$6),N298)))</f>
        <v>0</v>
      </c>
      <c r="P298" s="22">
        <f t="shared" si="60"/>
        <v>0</v>
      </c>
      <c r="Q298" s="22">
        <f t="shared" si="61"/>
        <v>0</v>
      </c>
      <c r="R298" s="22">
        <f t="shared" si="62"/>
        <v>0</v>
      </c>
      <c r="S298" s="22">
        <f t="shared" si="63"/>
        <v>40491782908.58606</v>
      </c>
      <c r="T298" s="21">
        <f t="shared" si="64"/>
        <v>0</v>
      </c>
      <c r="U298" s="19" t="str">
        <f t="shared" si="65"/>
        <v>No transfer</v>
      </c>
      <c r="V298" s="35" t="s">
        <v>96</v>
      </c>
    </row>
    <row r="299" spans="1:22">
      <c r="A299" s="4">
        <v>45271</v>
      </c>
      <c r="B299" s="5">
        <v>1.01E-2</v>
      </c>
      <c r="C299" s="5">
        <v>1.01E-2</v>
      </c>
      <c r="D299" s="6">
        <f t="shared" si="56"/>
        <v>1.01E-2</v>
      </c>
      <c r="E299" s="8">
        <f t="shared" si="67"/>
        <v>17</v>
      </c>
      <c r="F299" s="9">
        <f t="shared" si="68"/>
        <v>0.97175112183285151</v>
      </c>
      <c r="G299" s="9">
        <f t="shared" si="69"/>
        <v>1.0282488781671475</v>
      </c>
      <c r="H299" s="9">
        <f t="shared" si="57"/>
        <v>-5.649775633429599E-2</v>
      </c>
      <c r="I299" t="str">
        <f t="shared" si="58"/>
        <v>B</v>
      </c>
      <c r="J299">
        <f t="shared" si="66"/>
        <v>2</v>
      </c>
      <c r="K299" t="str">
        <f>IF(I299="","",IF(J299&gt;=Parameters!$B$5,I299,"HOLD"))</f>
        <v>HOLD</v>
      </c>
      <c r="L299" s="10">
        <f>'Actual Calc'!T299</f>
        <v>0</v>
      </c>
      <c r="M299" s="10">
        <f>'Actual Calc'!U299</f>
        <v>45944676331.37606</v>
      </c>
      <c r="N299" s="12">
        <f t="shared" si="59"/>
        <v>0</v>
      </c>
      <c r="O299" s="12">
        <f>IF(NOT(ISNUMBER(N299)),"",IF(K299="A",MIN(Parameters!$B$8,N299+Parameters!$B$6),IF(K299="B",MAX(Parameters!$B$7,N299-Parameters!$B$6),N299)))</f>
        <v>0</v>
      </c>
      <c r="P299" s="13">
        <f t="shared" si="60"/>
        <v>0</v>
      </c>
      <c r="Q299" s="13">
        <f t="shared" si="61"/>
        <v>0</v>
      </c>
      <c r="R299" s="13">
        <f t="shared" si="62"/>
        <v>0</v>
      </c>
      <c r="S299" s="13">
        <f t="shared" si="63"/>
        <v>45944676331.37606</v>
      </c>
      <c r="T299" s="12">
        <f t="shared" si="64"/>
        <v>0</v>
      </c>
      <c r="U299" t="str">
        <f t="shared" si="65"/>
        <v>No transfer</v>
      </c>
      <c r="V299" s="25" t="s">
        <v>95</v>
      </c>
    </row>
    <row r="300" spans="1:22">
      <c r="A300" s="14">
        <v>45278</v>
      </c>
      <c r="B300" s="15">
        <v>-2.6900000000000001E-3</v>
      </c>
      <c r="C300" s="15">
        <v>-2.6900000000000001E-3</v>
      </c>
      <c r="D300" s="16">
        <f t="shared" si="56"/>
        <v>-2.6900000000000001E-3</v>
      </c>
      <c r="E300" s="17">
        <f t="shared" si="67"/>
        <v>17</v>
      </c>
      <c r="F300" s="18">
        <f t="shared" si="68"/>
        <v>0.97175112183285151</v>
      </c>
      <c r="G300" s="18">
        <f t="shared" si="69"/>
        <v>1.0282488781671475</v>
      </c>
      <c r="H300" s="18">
        <f t="shared" si="57"/>
        <v>-5.649775633429599E-2</v>
      </c>
      <c r="I300" s="19" t="str">
        <f t="shared" si="58"/>
        <v>B</v>
      </c>
      <c r="J300" s="19">
        <f t="shared" si="66"/>
        <v>3</v>
      </c>
      <c r="K300" s="19" t="str">
        <f>IF(I300="","",IF(J300&gt;=Parameters!$B$5,I300,"HOLD"))</f>
        <v>B</v>
      </c>
      <c r="L300" s="20">
        <f>'Actual Calc'!T300</f>
        <v>0</v>
      </c>
      <c r="M300" s="20">
        <f>'Actual Calc'!U300</f>
        <v>44296793944.913063</v>
      </c>
      <c r="N300" s="21">
        <f t="shared" si="59"/>
        <v>0</v>
      </c>
      <c r="O300" s="21">
        <f>IF(NOT(ISNUMBER(N300)),"",IF(K300="A",MIN(Parameters!$B$8,N300+Parameters!$B$6),IF(K300="B",MAX(Parameters!$B$7,N300-Parameters!$B$6),N300)))</f>
        <v>0</v>
      </c>
      <c r="P300" s="22">
        <f t="shared" si="60"/>
        <v>0</v>
      </c>
      <c r="Q300" s="22">
        <f t="shared" si="61"/>
        <v>0</v>
      </c>
      <c r="R300" s="22">
        <f t="shared" si="62"/>
        <v>0</v>
      </c>
      <c r="S300" s="22">
        <f t="shared" si="63"/>
        <v>44296793944.913063</v>
      </c>
      <c r="T300" s="21">
        <f t="shared" si="64"/>
        <v>0</v>
      </c>
      <c r="U300" s="19" t="str">
        <f t="shared" si="65"/>
        <v>No transfer</v>
      </c>
      <c r="V300" s="35" t="s">
        <v>95</v>
      </c>
    </row>
    <row r="301" spans="1:22">
      <c r="A301" s="4">
        <v>45285</v>
      </c>
      <c r="B301" s="5">
        <v>6.8999999999999997E-4</v>
      </c>
      <c r="C301" s="5">
        <v>6.8999999999999997E-4</v>
      </c>
      <c r="D301" s="6">
        <f t="shared" si="56"/>
        <v>6.8999999999999997E-4</v>
      </c>
      <c r="E301" s="8">
        <f t="shared" si="67"/>
        <v>17</v>
      </c>
      <c r="F301" s="9">
        <f t="shared" si="68"/>
        <v>0.97716963923769251</v>
      </c>
      <c r="G301" s="9">
        <f t="shared" si="69"/>
        <v>1.0228303607623066</v>
      </c>
      <c r="H301" s="9">
        <f t="shared" si="57"/>
        <v>-4.566072152461409E-2</v>
      </c>
      <c r="I301" t="str">
        <f t="shared" si="58"/>
        <v>B</v>
      </c>
      <c r="J301">
        <f t="shared" si="66"/>
        <v>4</v>
      </c>
      <c r="K301" t="str">
        <f>IF(I301="","",IF(J301&gt;=Parameters!$B$5,I301,"HOLD"))</f>
        <v>B</v>
      </c>
      <c r="L301" s="10">
        <f>'Actual Calc'!T301</f>
        <v>0</v>
      </c>
      <c r="M301" s="10">
        <f>'Actual Calc'!U301</f>
        <v>44704324448.609062</v>
      </c>
      <c r="N301" s="12">
        <f t="shared" si="59"/>
        <v>0</v>
      </c>
      <c r="O301" s="12">
        <f>IF(NOT(ISNUMBER(N301)),"",IF(K301="A",MIN(Parameters!$B$8,N301+Parameters!$B$6),IF(K301="B",MAX(Parameters!$B$7,N301-Parameters!$B$6),N301)))</f>
        <v>0</v>
      </c>
      <c r="P301" s="13">
        <f t="shared" si="60"/>
        <v>0</v>
      </c>
      <c r="Q301" s="13">
        <f t="shared" si="61"/>
        <v>0</v>
      </c>
      <c r="R301" s="13">
        <f t="shared" si="62"/>
        <v>0</v>
      </c>
      <c r="S301" s="13">
        <f t="shared" si="63"/>
        <v>44704324448.609062</v>
      </c>
      <c r="T301" s="12">
        <f t="shared" si="64"/>
        <v>0</v>
      </c>
      <c r="U301" t="str">
        <f t="shared" si="65"/>
        <v>No transfer</v>
      </c>
      <c r="V301" s="25" t="s">
        <v>95</v>
      </c>
    </row>
    <row r="302" spans="1:22">
      <c r="A302" s="14">
        <v>45292</v>
      </c>
      <c r="B302" s="15">
        <v>-1.745E-2</v>
      </c>
      <c r="C302" s="15">
        <v>-1.745E-2</v>
      </c>
      <c r="D302" s="16">
        <f t="shared" si="56"/>
        <v>-1.745E-2</v>
      </c>
      <c r="E302" s="17">
        <f t="shared" si="67"/>
        <v>17</v>
      </c>
      <c r="F302" s="18">
        <f t="shared" si="68"/>
        <v>0.97716963923769251</v>
      </c>
      <c r="G302" s="18">
        <f t="shared" si="69"/>
        <v>1.0228303607623066</v>
      </c>
      <c r="H302" s="18">
        <f t="shared" si="57"/>
        <v>-4.566072152461409E-2</v>
      </c>
      <c r="I302" s="19" t="str">
        <f t="shared" si="58"/>
        <v>B</v>
      </c>
      <c r="J302" s="19">
        <f t="shared" si="66"/>
        <v>5</v>
      </c>
      <c r="K302" s="19" t="str">
        <f>IF(I302="","",IF(J302&gt;=Parameters!$B$5,I302,"HOLD"))</f>
        <v>B</v>
      </c>
      <c r="L302" s="20">
        <f>'Actual Calc'!T302</f>
        <v>0</v>
      </c>
      <c r="M302" s="20">
        <f>'Actual Calc'!U302</f>
        <v>28017828594.293739</v>
      </c>
      <c r="N302" s="21">
        <f t="shared" si="59"/>
        <v>0</v>
      </c>
      <c r="O302" s="21">
        <f>IF(NOT(ISNUMBER(N302)),"",IF(K302="A",MIN(Parameters!$B$8,N302+Parameters!$B$6),IF(K302="B",MAX(Parameters!$B$7,N302-Parameters!$B$6),N302)))</f>
        <v>0</v>
      </c>
      <c r="P302" s="22">
        <f t="shared" si="60"/>
        <v>0</v>
      </c>
      <c r="Q302" s="22">
        <f t="shared" si="61"/>
        <v>0</v>
      </c>
      <c r="R302" s="22">
        <f t="shared" si="62"/>
        <v>0</v>
      </c>
      <c r="S302" s="22">
        <f t="shared" si="63"/>
        <v>28017828594.293739</v>
      </c>
      <c r="T302" s="21">
        <f t="shared" si="64"/>
        <v>0</v>
      </c>
      <c r="U302" s="19" t="str">
        <f t="shared" si="65"/>
        <v>No transfer</v>
      </c>
      <c r="V302" s="35" t="s">
        <v>95</v>
      </c>
    </row>
    <row r="303" spans="1:22">
      <c r="A303" s="4">
        <v>45299</v>
      </c>
      <c r="B303" s="5">
        <v>1.7809999999999999E-2</v>
      </c>
      <c r="C303" s="5">
        <v>1.7809999999999999E-2</v>
      </c>
      <c r="D303" s="6">
        <f t="shared" si="56"/>
        <v>1.7809999999999999E-2</v>
      </c>
      <c r="E303" s="8">
        <f t="shared" si="67"/>
        <v>17</v>
      </c>
      <c r="F303" s="9">
        <f t="shared" si="68"/>
        <v>0.97688783790531175</v>
      </c>
      <c r="G303" s="9">
        <f t="shared" si="69"/>
        <v>1.0231121620946879</v>
      </c>
      <c r="H303" s="9">
        <f t="shared" si="57"/>
        <v>-4.6224324189376165E-2</v>
      </c>
      <c r="I303" t="str">
        <f t="shared" si="58"/>
        <v>B</v>
      </c>
      <c r="J303">
        <f t="shared" si="66"/>
        <v>6</v>
      </c>
      <c r="K303" t="str">
        <f>IF(I303="","",IF(J303&gt;=Parameters!$B$5,I303,"HOLD"))</f>
        <v>B</v>
      </c>
      <c r="L303" s="10">
        <f>'Actual Calc'!T303</f>
        <v>0</v>
      </c>
      <c r="M303" s="10">
        <f>'Actual Calc'!U303</f>
        <v>34671128927.115738</v>
      </c>
      <c r="N303" s="12">
        <f t="shared" si="59"/>
        <v>0</v>
      </c>
      <c r="O303" s="12">
        <f>IF(NOT(ISNUMBER(N303)),"",IF(K303="A",MIN(Parameters!$B$8,N303+Parameters!$B$6),IF(K303="B",MAX(Parameters!$B$7,N303-Parameters!$B$6),N303)))</f>
        <v>0</v>
      </c>
      <c r="P303" s="13">
        <f t="shared" si="60"/>
        <v>0</v>
      </c>
      <c r="Q303" s="13">
        <f t="shared" si="61"/>
        <v>0</v>
      </c>
      <c r="R303" s="13">
        <f t="shared" si="62"/>
        <v>0</v>
      </c>
      <c r="S303" s="13">
        <f t="shared" si="63"/>
        <v>34671128927.115738</v>
      </c>
      <c r="T303" s="12">
        <f t="shared" si="64"/>
        <v>0</v>
      </c>
      <c r="U303" t="str">
        <f t="shared" si="65"/>
        <v>No transfer</v>
      </c>
      <c r="V303" s="25" t="s">
        <v>95</v>
      </c>
    </row>
    <row r="304" spans="1:22">
      <c r="A304" s="14">
        <v>45306</v>
      </c>
      <c r="B304" s="15">
        <v>3.2160000000000001E-2</v>
      </c>
      <c r="C304" s="15">
        <v>3.2160000000000001E-2</v>
      </c>
      <c r="D304" s="16">
        <f t="shared" si="56"/>
        <v>3.2160000000000001E-2</v>
      </c>
      <c r="E304" s="17">
        <f t="shared" si="67"/>
        <v>18</v>
      </c>
      <c r="F304" s="18">
        <f t="shared" si="68"/>
        <v>0.97646493711142357</v>
      </c>
      <c r="G304" s="18">
        <f t="shared" si="69"/>
        <v>1.0235350628885767</v>
      </c>
      <c r="H304" s="18">
        <f t="shared" si="57"/>
        <v>-4.7070125777153082E-2</v>
      </c>
      <c r="I304" s="19" t="str">
        <f t="shared" si="58"/>
        <v>B</v>
      </c>
      <c r="J304" s="19">
        <f t="shared" si="66"/>
        <v>7</v>
      </c>
      <c r="K304" s="19" t="str">
        <f>IF(I304="","",IF(J304&gt;=Parameters!$B$5,I304,"HOLD"))</f>
        <v>B</v>
      </c>
      <c r="L304" s="20">
        <f>'Actual Calc'!T304</f>
        <v>0</v>
      </c>
      <c r="M304" s="20">
        <f>'Actual Calc'!U304</f>
        <v>49538108955.483734</v>
      </c>
      <c r="N304" s="21">
        <f t="shared" si="59"/>
        <v>0</v>
      </c>
      <c r="O304" s="21">
        <f>IF(NOT(ISNUMBER(N304)),"",IF(K304="A",MIN(Parameters!$B$8,N304+Parameters!$B$6),IF(K304="B",MAX(Parameters!$B$7,N304-Parameters!$B$6),N304)))</f>
        <v>0</v>
      </c>
      <c r="P304" s="22">
        <f t="shared" si="60"/>
        <v>0</v>
      </c>
      <c r="Q304" s="22">
        <f t="shared" si="61"/>
        <v>0</v>
      </c>
      <c r="R304" s="22">
        <f t="shared" si="62"/>
        <v>0</v>
      </c>
      <c r="S304" s="22">
        <f t="shared" si="63"/>
        <v>49538108955.483734</v>
      </c>
      <c r="T304" s="21">
        <f t="shared" si="64"/>
        <v>0</v>
      </c>
      <c r="U304" s="19" t="str">
        <f t="shared" si="65"/>
        <v>No transfer</v>
      </c>
      <c r="V304" s="35" t="s">
        <v>95</v>
      </c>
    </row>
    <row r="305" spans="1:22">
      <c r="A305" s="4">
        <v>45313</v>
      </c>
      <c r="B305" s="5">
        <v>7.3999999999999999E-4</v>
      </c>
      <c r="C305" s="5">
        <v>7.3999999999999999E-4</v>
      </c>
      <c r="D305" s="6">
        <f t="shared" si="56"/>
        <v>7.3999999999999999E-4</v>
      </c>
      <c r="E305" s="8">
        <f t="shared" si="67"/>
        <v>18</v>
      </c>
      <c r="F305" s="9">
        <f t="shared" si="68"/>
        <v>0.98060833229681754</v>
      </c>
      <c r="G305" s="9">
        <f t="shared" si="69"/>
        <v>1.0193916677031822</v>
      </c>
      <c r="H305" s="9">
        <f t="shared" si="57"/>
        <v>-3.8783335406364694E-2</v>
      </c>
      <c r="I305" t="str">
        <f t="shared" si="58"/>
        <v>B</v>
      </c>
      <c r="J305">
        <f t="shared" si="66"/>
        <v>8</v>
      </c>
      <c r="K305" t="str">
        <f>IF(I305="","",IF(J305&gt;=Parameters!$B$5,I305,"HOLD"))</f>
        <v>B</v>
      </c>
      <c r="L305" s="10">
        <f>'Actual Calc'!T305</f>
        <v>0</v>
      </c>
      <c r="M305" s="10">
        <f>'Actual Calc'!U305</f>
        <v>50026884963.469734</v>
      </c>
      <c r="N305" s="12">
        <f t="shared" si="59"/>
        <v>0</v>
      </c>
      <c r="O305" s="12">
        <f>IF(NOT(ISNUMBER(N305)),"",IF(K305="A",MIN(Parameters!$B$8,N305+Parameters!$B$6),IF(K305="B",MAX(Parameters!$B$7,N305-Parameters!$B$6),N305)))</f>
        <v>0</v>
      </c>
      <c r="P305" s="13">
        <f t="shared" si="60"/>
        <v>0</v>
      </c>
      <c r="Q305" s="13">
        <f t="shared" si="61"/>
        <v>0</v>
      </c>
      <c r="R305" s="13">
        <f t="shared" si="62"/>
        <v>0</v>
      </c>
      <c r="S305" s="13">
        <f t="shared" si="63"/>
        <v>50026884963.469734</v>
      </c>
      <c r="T305" s="12">
        <f t="shared" si="64"/>
        <v>0</v>
      </c>
      <c r="U305" t="str">
        <f t="shared" si="65"/>
        <v>No transfer</v>
      </c>
      <c r="V305" s="25" t="s">
        <v>95</v>
      </c>
    </row>
    <row r="306" spans="1:22">
      <c r="A306" s="14">
        <v>45320</v>
      </c>
      <c r="B306" s="15">
        <v>8.9599999999999992E-3</v>
      </c>
      <c r="C306" s="15">
        <v>8.9599999999999992E-3</v>
      </c>
      <c r="D306" s="16">
        <f t="shared" si="56"/>
        <v>8.9599999999999992E-3</v>
      </c>
      <c r="E306" s="17">
        <f t="shared" si="67"/>
        <v>19</v>
      </c>
      <c r="F306" s="18">
        <f t="shared" si="68"/>
        <v>0.98171376517810882</v>
      </c>
      <c r="G306" s="18">
        <f t="shared" si="69"/>
        <v>1.0182862348218906</v>
      </c>
      <c r="H306" s="18">
        <f t="shared" si="57"/>
        <v>-3.6572469643781802E-2</v>
      </c>
      <c r="I306" s="19" t="str">
        <f t="shared" si="58"/>
        <v>B</v>
      </c>
      <c r="J306" s="19">
        <f t="shared" si="66"/>
        <v>9</v>
      </c>
      <c r="K306" s="19" t="str">
        <f>IF(I306="","",IF(J306&gt;=Parameters!$B$5,I306,"HOLD"))</f>
        <v>B</v>
      </c>
      <c r="L306" s="20">
        <f>'Actual Calc'!T306</f>
        <v>0</v>
      </c>
      <c r="M306" s="20">
        <f>'Actual Calc'!U306</f>
        <v>56003430147.085732</v>
      </c>
      <c r="N306" s="21">
        <f t="shared" si="59"/>
        <v>0</v>
      </c>
      <c r="O306" s="21">
        <f>IF(NOT(ISNUMBER(N306)),"",IF(K306="A",MIN(Parameters!$B$8,N306+Parameters!$B$6),IF(K306="B",MAX(Parameters!$B$7,N306-Parameters!$B$6),N306)))</f>
        <v>0</v>
      </c>
      <c r="P306" s="22">
        <f t="shared" si="60"/>
        <v>0</v>
      </c>
      <c r="Q306" s="22">
        <f t="shared" si="61"/>
        <v>0</v>
      </c>
      <c r="R306" s="22">
        <f t="shared" si="62"/>
        <v>0</v>
      </c>
      <c r="S306" s="22">
        <f t="shared" si="63"/>
        <v>56003430147.085732</v>
      </c>
      <c r="T306" s="21">
        <f t="shared" si="64"/>
        <v>0</v>
      </c>
      <c r="U306" s="19" t="str">
        <f t="shared" si="65"/>
        <v>No transfer</v>
      </c>
      <c r="V306" s="35" t="s">
        <v>95</v>
      </c>
    </row>
    <row r="307" spans="1:22">
      <c r="A307" s="4">
        <v>45327</v>
      </c>
      <c r="B307" s="5">
        <v>1.8149999999999999E-2</v>
      </c>
      <c r="C307" s="5">
        <v>1.8149999999999999E-2</v>
      </c>
      <c r="D307" s="6">
        <f t="shared" si="56"/>
        <v>1.8149999999999999E-2</v>
      </c>
      <c r="E307" s="8">
        <f t="shared" si="67"/>
        <v>20</v>
      </c>
      <c r="F307" s="9">
        <f t="shared" si="68"/>
        <v>0.98136545011148413</v>
      </c>
      <c r="G307" s="9">
        <f t="shared" si="69"/>
        <v>1.0186345498885152</v>
      </c>
      <c r="H307" s="9">
        <f t="shared" si="57"/>
        <v>-3.7269099777031078E-2</v>
      </c>
      <c r="I307" t="str">
        <f t="shared" si="58"/>
        <v>B</v>
      </c>
      <c r="J307">
        <f t="shared" si="66"/>
        <v>10</v>
      </c>
      <c r="K307" t="str">
        <f>IF(I307="","",IF(J307&gt;=Parameters!$B$5,I307,"HOLD"))</f>
        <v>B</v>
      </c>
      <c r="L307" s="10">
        <f>'Actual Calc'!T307</f>
        <v>0</v>
      </c>
      <c r="M307" s="10">
        <f>'Actual Calc'!U307</f>
        <v>69556260239.755737</v>
      </c>
      <c r="N307" s="12">
        <f t="shared" si="59"/>
        <v>0</v>
      </c>
      <c r="O307" s="12">
        <f>IF(NOT(ISNUMBER(N307)),"",IF(K307="A",MIN(Parameters!$B$8,N307+Parameters!$B$6),IF(K307="B",MAX(Parameters!$B$7,N307-Parameters!$B$6),N307)))</f>
        <v>0</v>
      </c>
      <c r="P307" s="13">
        <f t="shared" si="60"/>
        <v>0</v>
      </c>
      <c r="Q307" s="13">
        <f t="shared" si="61"/>
        <v>0</v>
      </c>
      <c r="R307" s="13">
        <f t="shared" si="62"/>
        <v>0</v>
      </c>
      <c r="S307" s="13">
        <f t="shared" si="63"/>
        <v>69556260239.755737</v>
      </c>
      <c r="T307" s="12">
        <f t="shared" si="64"/>
        <v>0</v>
      </c>
      <c r="U307" t="str">
        <f t="shared" si="65"/>
        <v>No transfer</v>
      </c>
      <c r="V307" s="25" t="s">
        <v>95</v>
      </c>
    </row>
    <row r="308" spans="1:22">
      <c r="A308" s="14">
        <v>45334</v>
      </c>
      <c r="B308" s="15">
        <v>-8.2400000000000008E-3</v>
      </c>
      <c r="C308" s="15">
        <v>-8.2400000000000008E-3</v>
      </c>
      <c r="D308" s="16">
        <f t="shared" si="56"/>
        <v>-8.2400000000000008E-3</v>
      </c>
      <c r="E308" s="17">
        <f t="shared" si="67"/>
        <v>19</v>
      </c>
      <c r="F308" s="18">
        <f t="shared" si="68"/>
        <v>0.98112951649131408</v>
      </c>
      <c r="G308" s="18">
        <f t="shared" si="69"/>
        <v>1.0188704835086857</v>
      </c>
      <c r="H308" s="18">
        <f t="shared" si="57"/>
        <v>-3.7740967017371618E-2</v>
      </c>
      <c r="I308" s="19" t="str">
        <f t="shared" si="58"/>
        <v>B</v>
      </c>
      <c r="J308" s="19">
        <f t="shared" si="66"/>
        <v>11</v>
      </c>
      <c r="K308" s="19" t="str">
        <f>IF(I308="","",IF(J308&gt;=Parameters!$B$5,I308,"HOLD"))</f>
        <v>B</v>
      </c>
      <c r="L308" s="20">
        <f>'Actual Calc'!T308</f>
        <v>0</v>
      </c>
      <c r="M308" s="20">
        <f>'Actual Calc'!U308</f>
        <v>61914345782.211739</v>
      </c>
      <c r="N308" s="21">
        <f t="shared" si="59"/>
        <v>0</v>
      </c>
      <c r="O308" s="21">
        <f>IF(NOT(ISNUMBER(N308)),"",IF(K308="A",MIN(Parameters!$B$8,N308+Parameters!$B$6),IF(K308="B",MAX(Parameters!$B$7,N308-Parameters!$B$6),N308)))</f>
        <v>0</v>
      </c>
      <c r="P308" s="22">
        <f t="shared" si="60"/>
        <v>0</v>
      </c>
      <c r="Q308" s="22">
        <f t="shared" si="61"/>
        <v>0</v>
      </c>
      <c r="R308" s="22">
        <f t="shared" si="62"/>
        <v>0</v>
      </c>
      <c r="S308" s="22">
        <f t="shared" si="63"/>
        <v>61914345782.211739</v>
      </c>
      <c r="T308" s="21">
        <f t="shared" si="64"/>
        <v>0</v>
      </c>
      <c r="U308" s="19" t="str">
        <f t="shared" si="65"/>
        <v>No transfer</v>
      </c>
      <c r="V308" s="35" t="s">
        <v>95</v>
      </c>
    </row>
    <row r="309" spans="1:22">
      <c r="A309" s="4">
        <v>45341</v>
      </c>
      <c r="B309" s="5">
        <v>2.5200000000000001E-3</v>
      </c>
      <c r="C309" s="5">
        <v>2.5200000000000001E-3</v>
      </c>
      <c r="D309" s="6">
        <f t="shared" si="56"/>
        <v>2.5200000000000001E-3</v>
      </c>
      <c r="E309" s="8">
        <f t="shared" si="67"/>
        <v>19</v>
      </c>
      <c r="F309" s="9">
        <f t="shared" si="68"/>
        <v>0.98315010177649853</v>
      </c>
      <c r="G309" s="9">
        <f t="shared" si="69"/>
        <v>1.0168498982235017</v>
      </c>
      <c r="H309" s="9">
        <f t="shared" si="57"/>
        <v>-3.3699796447003161E-2</v>
      </c>
      <c r="I309" t="str">
        <f t="shared" si="58"/>
        <v>B</v>
      </c>
      <c r="J309">
        <f t="shared" si="66"/>
        <v>12</v>
      </c>
      <c r="K309" t="str">
        <f>IF(I309="","",IF(J309&gt;=Parameters!$B$5,I309,"HOLD"))</f>
        <v>B</v>
      </c>
      <c r="L309" s="10">
        <f>'Actual Calc'!T309</f>
        <v>0</v>
      </c>
      <c r="M309" s="10">
        <f>'Actual Calc'!U309</f>
        <v>63994667796.63974</v>
      </c>
      <c r="N309" s="12">
        <f t="shared" si="59"/>
        <v>0</v>
      </c>
      <c r="O309" s="12">
        <f>IF(NOT(ISNUMBER(N309)),"",IF(K309="A",MIN(Parameters!$B$8,N309+Parameters!$B$6),IF(K309="B",MAX(Parameters!$B$7,N309-Parameters!$B$6),N309)))</f>
        <v>0</v>
      </c>
      <c r="P309" s="13">
        <f t="shared" si="60"/>
        <v>0</v>
      </c>
      <c r="Q309" s="13">
        <f t="shared" si="61"/>
        <v>0</v>
      </c>
      <c r="R309" s="13">
        <f t="shared" si="62"/>
        <v>0</v>
      </c>
      <c r="S309" s="13">
        <f t="shared" si="63"/>
        <v>63994667796.63974</v>
      </c>
      <c r="T309" s="12">
        <f t="shared" si="64"/>
        <v>0</v>
      </c>
      <c r="U309" t="str">
        <f t="shared" si="65"/>
        <v>No transfer</v>
      </c>
      <c r="V309" s="25" t="s">
        <v>95</v>
      </c>
    </row>
    <row r="310" spans="1:22">
      <c r="A310" s="14">
        <v>45348</v>
      </c>
      <c r="B310" s="15">
        <v>-8.1200000000000005E-3</v>
      </c>
      <c r="C310" s="15">
        <v>-8.1200000000000005E-3</v>
      </c>
      <c r="D310" s="16">
        <f t="shared" si="56"/>
        <v>-8.1200000000000005E-3</v>
      </c>
      <c r="E310" s="17">
        <f t="shared" si="67"/>
        <v>18</v>
      </c>
      <c r="F310" s="18">
        <f t="shared" si="68"/>
        <v>0.98380958347693015</v>
      </c>
      <c r="G310" s="18">
        <f t="shared" si="69"/>
        <v>1.01619041652307</v>
      </c>
      <c r="H310" s="18">
        <f t="shared" si="57"/>
        <v>-3.2380833046139812E-2</v>
      </c>
      <c r="I310" s="19" t="str">
        <f t="shared" si="58"/>
        <v>B</v>
      </c>
      <c r="J310" s="19">
        <f t="shared" si="66"/>
        <v>13</v>
      </c>
      <c r="K310" s="19" t="str">
        <f>IF(I310="","",IF(J310&gt;=Parameters!$B$5,I310,"HOLD"))</f>
        <v>B</v>
      </c>
      <c r="L310" s="20">
        <f>'Actual Calc'!T310</f>
        <v>0</v>
      </c>
      <c r="M310" s="20">
        <f>'Actual Calc'!U310</f>
        <v>57066178437.883743</v>
      </c>
      <c r="N310" s="21">
        <f t="shared" si="59"/>
        <v>0</v>
      </c>
      <c r="O310" s="21">
        <f>IF(NOT(ISNUMBER(N310)),"",IF(K310="A",MIN(Parameters!$B$8,N310+Parameters!$B$6),IF(K310="B",MAX(Parameters!$B$7,N310-Parameters!$B$6),N310)))</f>
        <v>0</v>
      </c>
      <c r="P310" s="22">
        <f t="shared" si="60"/>
        <v>0</v>
      </c>
      <c r="Q310" s="22">
        <f t="shared" si="61"/>
        <v>0</v>
      </c>
      <c r="R310" s="22">
        <f t="shared" si="62"/>
        <v>0</v>
      </c>
      <c r="S310" s="22">
        <f t="shared" si="63"/>
        <v>57066178437.883743</v>
      </c>
      <c r="T310" s="21">
        <f t="shared" si="64"/>
        <v>0</v>
      </c>
      <c r="U310" s="19" t="str">
        <f t="shared" si="65"/>
        <v>No transfer</v>
      </c>
      <c r="V310" s="35" t="s">
        <v>95</v>
      </c>
    </row>
    <row r="311" spans="1:22">
      <c r="A311" s="4">
        <v>45355</v>
      </c>
      <c r="B311" s="5">
        <v>-1.4760000000000001E-2</v>
      </c>
      <c r="C311" s="5">
        <v>-1.4760000000000001E-2</v>
      </c>
      <c r="D311" s="6">
        <f t="shared" si="56"/>
        <v>-1.4760000000000001E-2</v>
      </c>
      <c r="E311" s="8">
        <f t="shared" si="67"/>
        <v>18</v>
      </c>
      <c r="F311" s="9">
        <f t="shared" si="68"/>
        <v>0.98380958347693015</v>
      </c>
      <c r="G311" s="9">
        <f t="shared" si="69"/>
        <v>1.01619041652307</v>
      </c>
      <c r="H311" s="9">
        <f t="shared" si="57"/>
        <v>-3.2380833046139812E-2</v>
      </c>
      <c r="I311" t="str">
        <f t="shared" si="58"/>
        <v>B</v>
      </c>
      <c r="J311">
        <f t="shared" si="66"/>
        <v>14</v>
      </c>
      <c r="K311" t="str">
        <f>IF(I311="","",IF(J311&gt;=Parameters!$B$5,I311,"HOLD"))</f>
        <v>B</v>
      </c>
      <c r="L311" s="10">
        <f>'Actual Calc'!T311</f>
        <v>0</v>
      </c>
      <c r="M311" s="10">
        <f>'Actual Calc'!U311</f>
        <v>45835554545.983742</v>
      </c>
      <c r="N311" s="12">
        <f t="shared" si="59"/>
        <v>0</v>
      </c>
      <c r="O311" s="12">
        <f>IF(NOT(ISNUMBER(N311)),"",IF(K311="A",MIN(Parameters!$B$8,N311+Parameters!$B$6),IF(K311="B",MAX(Parameters!$B$7,N311-Parameters!$B$6),N311)))</f>
        <v>0</v>
      </c>
      <c r="P311" s="13">
        <f t="shared" si="60"/>
        <v>0</v>
      </c>
      <c r="Q311" s="13">
        <f t="shared" si="61"/>
        <v>0</v>
      </c>
      <c r="R311" s="13">
        <f t="shared" si="62"/>
        <v>0</v>
      </c>
      <c r="S311" s="13">
        <f t="shared" si="63"/>
        <v>45835554545.983742</v>
      </c>
      <c r="T311" s="12">
        <f t="shared" si="64"/>
        <v>0</v>
      </c>
      <c r="U311" t="str">
        <f t="shared" si="65"/>
        <v>No transfer</v>
      </c>
      <c r="V311" s="25" t="s">
        <v>95</v>
      </c>
    </row>
    <row r="312" spans="1:22">
      <c r="A312" s="14">
        <v>45362</v>
      </c>
      <c r="B312" s="15">
        <v>-4.0000000000000001E-3</v>
      </c>
      <c r="C312" s="15">
        <v>-4.0000000000000001E-3</v>
      </c>
      <c r="D312" s="16">
        <f t="shared" si="56"/>
        <v>-4.0000000000000001E-3</v>
      </c>
      <c r="E312" s="17">
        <f t="shared" si="67"/>
        <v>18</v>
      </c>
      <c r="F312" s="18">
        <f t="shared" si="68"/>
        <v>0.98380958347693015</v>
      </c>
      <c r="G312" s="18">
        <f t="shared" si="69"/>
        <v>1.01619041652307</v>
      </c>
      <c r="H312" s="18">
        <f t="shared" si="57"/>
        <v>-3.2380833046139812E-2</v>
      </c>
      <c r="I312" s="19" t="str">
        <f t="shared" si="58"/>
        <v>B</v>
      </c>
      <c r="J312" s="19">
        <f t="shared" si="66"/>
        <v>15</v>
      </c>
      <c r="K312" s="19" t="str">
        <f>IF(I312="","",IF(J312&gt;=Parameters!$B$5,I312,"HOLD"))</f>
        <v>B</v>
      </c>
      <c r="L312" s="20">
        <f>'Actual Calc'!T312</f>
        <v>0</v>
      </c>
      <c r="M312" s="20">
        <f>'Actual Calc'!U312</f>
        <v>43390991643.183739</v>
      </c>
      <c r="N312" s="21">
        <f t="shared" si="59"/>
        <v>0</v>
      </c>
      <c r="O312" s="21">
        <f>IF(NOT(ISNUMBER(N312)),"",IF(K312="A",MIN(Parameters!$B$8,N312+Parameters!$B$6),IF(K312="B",MAX(Parameters!$B$7,N312-Parameters!$B$6),N312)))</f>
        <v>0</v>
      </c>
      <c r="P312" s="22">
        <f t="shared" si="60"/>
        <v>0</v>
      </c>
      <c r="Q312" s="22">
        <f t="shared" si="61"/>
        <v>0</v>
      </c>
      <c r="R312" s="22">
        <f t="shared" si="62"/>
        <v>0</v>
      </c>
      <c r="S312" s="22">
        <f t="shared" si="63"/>
        <v>43390991643.183739</v>
      </c>
      <c r="T312" s="21">
        <f t="shared" si="64"/>
        <v>0</v>
      </c>
      <c r="U312" s="19" t="str">
        <f t="shared" si="65"/>
        <v>No transfer</v>
      </c>
      <c r="V312" s="35" t="s">
        <v>95</v>
      </c>
    </row>
    <row r="313" spans="1:22">
      <c r="A313" s="4">
        <v>45369</v>
      </c>
      <c r="B313" s="5">
        <v>1.6240000000000001E-2</v>
      </c>
      <c r="C313" s="5">
        <v>1.6240000000000001E-2</v>
      </c>
      <c r="D313" s="6">
        <f t="shared" si="56"/>
        <v>1.6240000000000001E-2</v>
      </c>
      <c r="E313" s="8">
        <f t="shared" si="67"/>
        <v>19</v>
      </c>
      <c r="F313" s="9">
        <f t="shared" si="68"/>
        <v>0.98358531005979244</v>
      </c>
      <c r="G313" s="9">
        <f t="shared" si="69"/>
        <v>1.0164146899402073</v>
      </c>
      <c r="H313" s="9">
        <f t="shared" si="57"/>
        <v>-3.28293798804149E-2</v>
      </c>
      <c r="I313" t="str">
        <f t="shared" si="58"/>
        <v>B</v>
      </c>
      <c r="J313">
        <f t="shared" si="66"/>
        <v>16</v>
      </c>
      <c r="K313" t="str">
        <f>IF(I313="","",IF(J313&gt;=Parameters!$B$5,I313,"HOLD"))</f>
        <v>B</v>
      </c>
      <c r="L313" s="10">
        <f>'Actual Calc'!T313</f>
        <v>0</v>
      </c>
      <c r="M313" s="10">
        <f>'Actual Calc'!U313</f>
        <v>52786587680.143738</v>
      </c>
      <c r="N313" s="12">
        <f t="shared" si="59"/>
        <v>0</v>
      </c>
      <c r="O313" s="12">
        <f>IF(NOT(ISNUMBER(N313)),"",IF(K313="A",MIN(Parameters!$B$8,N313+Parameters!$B$6),IF(K313="B",MAX(Parameters!$B$7,N313-Parameters!$B$6),N313)))</f>
        <v>0</v>
      </c>
      <c r="P313" s="13">
        <f t="shared" si="60"/>
        <v>0</v>
      </c>
      <c r="Q313" s="13">
        <f t="shared" si="61"/>
        <v>0</v>
      </c>
      <c r="R313" s="13">
        <f t="shared" si="62"/>
        <v>0</v>
      </c>
      <c r="S313" s="13">
        <f t="shared" si="63"/>
        <v>52786587680.143738</v>
      </c>
      <c r="T313" s="12">
        <f t="shared" si="64"/>
        <v>0</v>
      </c>
      <c r="U313" t="str">
        <f t="shared" si="65"/>
        <v>No transfer</v>
      </c>
      <c r="V313" s="25" t="s">
        <v>95</v>
      </c>
    </row>
    <row r="314" spans="1:22">
      <c r="A314" s="14">
        <v>45376</v>
      </c>
      <c r="B314" s="15">
        <v>6.3000000000000003E-4</v>
      </c>
      <c r="C314" s="15">
        <v>6.3000000000000003E-4</v>
      </c>
      <c r="D314" s="16">
        <f t="shared" si="56"/>
        <v>6.3000000000000003E-4</v>
      </c>
      <c r="E314" s="17">
        <f t="shared" si="67"/>
        <v>19</v>
      </c>
      <c r="F314" s="18">
        <f t="shared" si="68"/>
        <v>0.98527220325750853</v>
      </c>
      <c r="G314" s="18">
        <f t="shared" si="69"/>
        <v>1.0147277967424915</v>
      </c>
      <c r="H314" s="18">
        <f t="shared" si="57"/>
        <v>-2.9455593484982945E-2</v>
      </c>
      <c r="I314" s="19" t="str">
        <f t="shared" si="58"/>
        <v>B</v>
      </c>
      <c r="J314" s="19">
        <f t="shared" si="66"/>
        <v>17</v>
      </c>
      <c r="K314" s="19" t="str">
        <f>IF(I314="","",IF(J314&gt;=Parameters!$B$5,I314,"HOLD"))</f>
        <v>B</v>
      </c>
      <c r="L314" s="20">
        <f>'Actual Calc'!T314</f>
        <v>0</v>
      </c>
      <c r="M314" s="20">
        <f>'Actual Calc'!U314</f>
        <v>53229995015.290741</v>
      </c>
      <c r="N314" s="21">
        <f t="shared" si="59"/>
        <v>0</v>
      </c>
      <c r="O314" s="21">
        <f>IF(NOT(ISNUMBER(N314)),"",IF(K314="A",MIN(Parameters!$B$8,N314+Parameters!$B$6),IF(K314="B",MAX(Parameters!$B$7,N314-Parameters!$B$6),N314)))</f>
        <v>0</v>
      </c>
      <c r="P314" s="22">
        <f t="shared" si="60"/>
        <v>0</v>
      </c>
      <c r="Q314" s="22">
        <f t="shared" si="61"/>
        <v>0</v>
      </c>
      <c r="R314" s="22">
        <f t="shared" si="62"/>
        <v>0</v>
      </c>
      <c r="S314" s="22">
        <f t="shared" si="63"/>
        <v>53229995015.290741</v>
      </c>
      <c r="T314" s="21">
        <f t="shared" si="64"/>
        <v>0</v>
      </c>
      <c r="U314" s="19" t="str">
        <f t="shared" si="65"/>
        <v>No transfer</v>
      </c>
      <c r="V314" s="35" t="s">
        <v>95</v>
      </c>
    </row>
    <row r="315" spans="1:22">
      <c r="A315" s="4">
        <v>45383</v>
      </c>
      <c r="B315" s="5">
        <v>-4.0000000000000001E-3</v>
      </c>
      <c r="C315" s="5">
        <v>-4.0000000000000001E-3</v>
      </c>
      <c r="D315" s="6">
        <f t="shared" si="56"/>
        <v>-4.0000000000000001E-3</v>
      </c>
      <c r="E315" s="8">
        <f t="shared" si="67"/>
        <v>18</v>
      </c>
      <c r="F315" s="9">
        <f t="shared" si="68"/>
        <v>0.98433017898174013</v>
      </c>
      <c r="G315" s="9">
        <f t="shared" si="69"/>
        <v>1.0156698210182598</v>
      </c>
      <c r="H315" s="9">
        <f t="shared" si="57"/>
        <v>-3.1339642036519622E-2</v>
      </c>
      <c r="I315" t="str">
        <f t="shared" si="58"/>
        <v>B</v>
      </c>
      <c r="J315">
        <f t="shared" si="66"/>
        <v>18</v>
      </c>
      <c r="K315" t="str">
        <f>IF(I315="","",IF(J315&gt;=Parameters!$B$5,I315,"HOLD"))</f>
        <v>B</v>
      </c>
      <c r="L315" s="10">
        <f>'Actual Calc'!T315</f>
        <v>0</v>
      </c>
      <c r="M315" s="10">
        <f>'Actual Calc'!U315</f>
        <v>50391061950.090744</v>
      </c>
      <c r="N315" s="12">
        <f t="shared" si="59"/>
        <v>0</v>
      </c>
      <c r="O315" s="12">
        <f>IF(NOT(ISNUMBER(N315)),"",IF(K315="A",MIN(Parameters!$B$8,N315+Parameters!$B$6),IF(K315="B",MAX(Parameters!$B$7,N315-Parameters!$B$6),N315)))</f>
        <v>0</v>
      </c>
      <c r="P315" s="13">
        <f t="shared" si="60"/>
        <v>0</v>
      </c>
      <c r="Q315" s="13">
        <f t="shared" si="61"/>
        <v>0</v>
      </c>
      <c r="R315" s="13">
        <f t="shared" si="62"/>
        <v>0</v>
      </c>
      <c r="S315" s="13">
        <f t="shared" si="63"/>
        <v>50391061950.090744</v>
      </c>
      <c r="T315" s="12">
        <f t="shared" si="64"/>
        <v>0</v>
      </c>
      <c r="U315" t="str">
        <f t="shared" si="65"/>
        <v>No transfer</v>
      </c>
      <c r="V315" s="25" t="s">
        <v>95</v>
      </c>
    </row>
    <row r="316" spans="1:22">
      <c r="A316" s="14">
        <v>45390</v>
      </c>
      <c r="B316" s="15">
        <v>-8.1399999999999997E-3</v>
      </c>
      <c r="C316" s="15">
        <v>-8.1399999999999997E-3</v>
      </c>
      <c r="D316" s="16">
        <f t="shared" si="56"/>
        <v>-8.1399999999999997E-3</v>
      </c>
      <c r="E316" s="17">
        <f t="shared" si="67"/>
        <v>17</v>
      </c>
      <c r="F316" s="18">
        <f t="shared" si="68"/>
        <v>0.98391482250917195</v>
      </c>
      <c r="G316" s="18">
        <f t="shared" si="69"/>
        <v>1.0160851774908279</v>
      </c>
      <c r="H316" s="18">
        <f t="shared" si="57"/>
        <v>-3.2170354981655991E-2</v>
      </c>
      <c r="I316" s="19" t="str">
        <f t="shared" si="58"/>
        <v>B</v>
      </c>
      <c r="J316" s="19">
        <f t="shared" si="66"/>
        <v>19</v>
      </c>
      <c r="K316" s="19" t="str">
        <f>IF(I316="","",IF(J316&gt;=Parameters!$B$5,I316,"HOLD"))</f>
        <v>B</v>
      </c>
      <c r="L316" s="20">
        <f>'Actual Calc'!T316</f>
        <v>0</v>
      </c>
      <c r="M316" s="20">
        <f>'Actual Calc'!U316</f>
        <v>44921952031.334747</v>
      </c>
      <c r="N316" s="21">
        <f t="shared" si="59"/>
        <v>0</v>
      </c>
      <c r="O316" s="21">
        <f>IF(NOT(ISNUMBER(N316)),"",IF(K316="A",MIN(Parameters!$B$8,N316+Parameters!$B$6),IF(K316="B",MAX(Parameters!$B$7,N316-Parameters!$B$6),N316)))</f>
        <v>0</v>
      </c>
      <c r="P316" s="22">
        <f t="shared" si="60"/>
        <v>0</v>
      </c>
      <c r="Q316" s="22">
        <f t="shared" si="61"/>
        <v>0</v>
      </c>
      <c r="R316" s="22">
        <f t="shared" si="62"/>
        <v>0</v>
      </c>
      <c r="S316" s="22">
        <f t="shared" si="63"/>
        <v>44921952031.334747</v>
      </c>
      <c r="T316" s="21">
        <f t="shared" si="64"/>
        <v>0</v>
      </c>
      <c r="U316" s="19" t="str">
        <f t="shared" si="65"/>
        <v>No transfer</v>
      </c>
      <c r="V316" s="35" t="s">
        <v>95</v>
      </c>
    </row>
    <row r="317" spans="1:22">
      <c r="A317" s="4">
        <v>45397</v>
      </c>
      <c r="B317" s="5">
        <v>-3.524E-2</v>
      </c>
      <c r="C317" s="5">
        <v>-3.524E-2</v>
      </c>
      <c r="D317" s="6">
        <f t="shared" si="56"/>
        <v>-3.524E-2</v>
      </c>
      <c r="E317" s="8">
        <f t="shared" si="67"/>
        <v>16</v>
      </c>
      <c r="F317" s="9">
        <f t="shared" si="68"/>
        <v>0.98253360065420081</v>
      </c>
      <c r="G317" s="9">
        <f t="shared" si="69"/>
        <v>1.0174663993457991</v>
      </c>
      <c r="H317" s="9">
        <f t="shared" si="57"/>
        <v>-3.4932798691598266E-2</v>
      </c>
      <c r="I317" t="str">
        <f t="shared" si="58"/>
        <v>B</v>
      </c>
      <c r="J317">
        <f t="shared" si="66"/>
        <v>20</v>
      </c>
      <c r="K317" t="str">
        <f>IF(I317="","",IF(J317&gt;=Parameters!$B$5,I317,"HOLD"))</f>
        <v>B</v>
      </c>
      <c r="L317" s="10">
        <f>'Actual Calc'!T317</f>
        <v>0</v>
      </c>
      <c r="M317" s="10">
        <f>'Actual Calc'!U317</f>
        <v>23814624188.458748</v>
      </c>
      <c r="N317" s="12">
        <f t="shared" si="59"/>
        <v>0</v>
      </c>
      <c r="O317" s="12">
        <f>IF(NOT(ISNUMBER(N317)),"",IF(K317="A",MIN(Parameters!$B$8,N317+Parameters!$B$6),IF(K317="B",MAX(Parameters!$B$7,N317-Parameters!$B$6),N317)))</f>
        <v>0</v>
      </c>
      <c r="P317" s="13">
        <f t="shared" si="60"/>
        <v>0</v>
      </c>
      <c r="Q317" s="13">
        <f t="shared" si="61"/>
        <v>0</v>
      </c>
      <c r="R317" s="13">
        <f t="shared" si="62"/>
        <v>0</v>
      </c>
      <c r="S317" s="13">
        <f t="shared" si="63"/>
        <v>23814624188.458748</v>
      </c>
      <c r="T317" s="12">
        <f t="shared" si="64"/>
        <v>0</v>
      </c>
      <c r="U317" t="str">
        <f t="shared" si="65"/>
        <v>No transfer</v>
      </c>
      <c r="V317" s="25" t="s">
        <v>95</v>
      </c>
    </row>
    <row r="318" spans="1:22">
      <c r="A318" s="14">
        <v>45404</v>
      </c>
      <c r="B318" s="15">
        <v>3.3340000000000002E-2</v>
      </c>
      <c r="C318" s="15">
        <v>3.3340000000000002E-2</v>
      </c>
      <c r="D318" s="16">
        <f t="shared" si="56"/>
        <v>3.3340000000000002E-2</v>
      </c>
      <c r="E318" s="17">
        <f t="shared" si="67"/>
        <v>16</v>
      </c>
      <c r="F318" s="18">
        <f t="shared" si="68"/>
        <v>0.98017720509728778</v>
      </c>
      <c r="G318" s="18">
        <f t="shared" si="69"/>
        <v>1.0198227949027123</v>
      </c>
      <c r="H318" s="18">
        <f t="shared" si="57"/>
        <v>-3.9645589805424541E-2</v>
      </c>
      <c r="I318" s="19" t="str">
        <f t="shared" si="58"/>
        <v>B</v>
      </c>
      <c r="J318" s="19">
        <f t="shared" si="66"/>
        <v>21</v>
      </c>
      <c r="K318" s="19" t="str">
        <f>IF(I318="","",IF(J318&gt;=Parameters!$B$5,I318,"HOLD"))</f>
        <v>B</v>
      </c>
      <c r="L318" s="20">
        <f>'Actual Calc'!T318</f>
        <v>0</v>
      </c>
      <c r="M318" s="20">
        <f>'Actual Calc'!U318</f>
        <v>34401018430.602753</v>
      </c>
      <c r="N318" s="21">
        <f t="shared" si="59"/>
        <v>0</v>
      </c>
      <c r="O318" s="21">
        <f>IF(NOT(ISNUMBER(N318)),"",IF(K318="A",MIN(Parameters!$B$8,N318+Parameters!$B$6),IF(K318="B",MAX(Parameters!$B$7,N318-Parameters!$B$6),N318)))</f>
        <v>0</v>
      </c>
      <c r="P318" s="22">
        <f t="shared" si="60"/>
        <v>0</v>
      </c>
      <c r="Q318" s="22">
        <f t="shared" si="61"/>
        <v>0</v>
      </c>
      <c r="R318" s="22">
        <f t="shared" si="62"/>
        <v>0</v>
      </c>
      <c r="S318" s="22">
        <f t="shared" si="63"/>
        <v>34401018430.602753</v>
      </c>
      <c r="T318" s="21">
        <f t="shared" si="64"/>
        <v>0</v>
      </c>
      <c r="U318" s="19" t="str">
        <f t="shared" si="65"/>
        <v>No transfer</v>
      </c>
      <c r="V318" s="35" t="s">
        <v>95</v>
      </c>
    </row>
    <row r="319" spans="1:22">
      <c r="A319" s="4">
        <v>45411</v>
      </c>
      <c r="B319" s="5">
        <v>-2.2450000000000001E-2</v>
      </c>
      <c r="C319" s="5">
        <v>-2.521E-2</v>
      </c>
      <c r="D319" s="6">
        <f t="shared" si="56"/>
        <v>-2.383E-2</v>
      </c>
      <c r="E319" s="8">
        <f t="shared" si="67"/>
        <v>15</v>
      </c>
      <c r="F319" s="9">
        <f t="shared" si="68"/>
        <v>0.97195066008661402</v>
      </c>
      <c r="G319" s="9">
        <f t="shared" si="69"/>
        <v>1.0280493399133863</v>
      </c>
      <c r="H319" s="9">
        <f t="shared" si="57"/>
        <v>-5.6098679826772302E-2</v>
      </c>
      <c r="I319" t="str">
        <f t="shared" si="58"/>
        <v>B</v>
      </c>
      <c r="J319">
        <f t="shared" si="66"/>
        <v>22</v>
      </c>
      <c r="K319" t="str">
        <f>IF(I319="","",IF(J319&gt;=Parameters!$B$5,I319,"HOLD"))</f>
        <v>B</v>
      </c>
      <c r="L319" s="10">
        <f>'Actual Calc'!T319</f>
        <v>0</v>
      </c>
      <c r="M319" s="10">
        <f>'Actual Calc'!U319</f>
        <v>22837689481.883751</v>
      </c>
      <c r="N319" s="12">
        <f t="shared" si="59"/>
        <v>0</v>
      </c>
      <c r="O319" s="12">
        <f>IF(NOT(ISNUMBER(N319)),"",IF(K319="A",MIN(Parameters!$B$8,N319+Parameters!$B$6),IF(K319="B",MAX(Parameters!$B$7,N319-Parameters!$B$6),N319)))</f>
        <v>0</v>
      </c>
      <c r="P319" s="13">
        <f t="shared" si="60"/>
        <v>0</v>
      </c>
      <c r="Q319" s="13">
        <f t="shared" si="61"/>
        <v>0</v>
      </c>
      <c r="R319" s="13">
        <f t="shared" si="62"/>
        <v>0</v>
      </c>
      <c r="S319" s="13">
        <f t="shared" si="63"/>
        <v>22837689481.883751</v>
      </c>
      <c r="T319" s="12">
        <f t="shared" si="64"/>
        <v>0</v>
      </c>
      <c r="U319" t="str">
        <f t="shared" si="65"/>
        <v>No transfer</v>
      </c>
      <c r="V319" s="25" t="s">
        <v>95</v>
      </c>
    </row>
    <row r="320" spans="1:22">
      <c r="A320" s="14">
        <v>45418</v>
      </c>
      <c r="B320" s="15">
        <v>1.0840000000000001E-2</v>
      </c>
      <c r="C320" s="15">
        <v>1.0840000000000001E-2</v>
      </c>
      <c r="D320" s="16">
        <f t="shared" si="56"/>
        <v>1.0840000000000001E-2</v>
      </c>
      <c r="E320" s="17">
        <f t="shared" si="67"/>
        <v>15</v>
      </c>
      <c r="F320" s="18">
        <f t="shared" si="68"/>
        <v>0.97427208704466028</v>
      </c>
      <c r="G320" s="18">
        <f t="shared" si="69"/>
        <v>1.0257279129553389</v>
      </c>
      <c r="H320" s="18">
        <f t="shared" si="57"/>
        <v>-5.1455825910678654E-2</v>
      </c>
      <c r="I320" s="19" t="str">
        <f t="shared" si="58"/>
        <v>B</v>
      </c>
      <c r="J320" s="19">
        <f t="shared" si="66"/>
        <v>23</v>
      </c>
      <c r="K320" s="19" t="str">
        <f>IF(I320="","",IF(J320&gt;=Parameters!$B$5,I320,"HOLD"))</f>
        <v>B</v>
      </c>
      <c r="L320" s="20">
        <f>'Actual Calc'!T320</f>
        <v>0</v>
      </c>
      <c r="M320" s="20">
        <f>'Actual Calc'!U320</f>
        <v>26138496848.547752</v>
      </c>
      <c r="N320" s="21">
        <f t="shared" si="59"/>
        <v>0</v>
      </c>
      <c r="O320" s="21">
        <f>IF(NOT(ISNUMBER(N320)),"",IF(K320="A",MIN(Parameters!$B$8,N320+Parameters!$B$6),IF(K320="B",MAX(Parameters!$B$7,N320-Parameters!$B$6),N320)))</f>
        <v>0</v>
      </c>
      <c r="P320" s="22">
        <f t="shared" si="60"/>
        <v>0</v>
      </c>
      <c r="Q320" s="22">
        <f t="shared" si="61"/>
        <v>0</v>
      </c>
      <c r="R320" s="22">
        <f t="shared" si="62"/>
        <v>0</v>
      </c>
      <c r="S320" s="22">
        <f t="shared" si="63"/>
        <v>26138496848.547752</v>
      </c>
      <c r="T320" s="21">
        <f t="shared" si="64"/>
        <v>0</v>
      </c>
      <c r="U320" s="19" t="str">
        <f t="shared" si="65"/>
        <v>No transfer</v>
      </c>
      <c r="V320" s="35" t="s">
        <v>95</v>
      </c>
    </row>
    <row r="321" spans="1:22">
      <c r="A321" s="4">
        <v>45425</v>
      </c>
      <c r="B321" s="5">
        <v>1.6289999999999999E-2</v>
      </c>
      <c r="C321" s="5">
        <v>1.6289999999999999E-2</v>
      </c>
      <c r="D321" s="6">
        <f t="shared" si="56"/>
        <v>1.6289999999999999E-2</v>
      </c>
      <c r="E321" s="8">
        <f t="shared" si="67"/>
        <v>15</v>
      </c>
      <c r="F321" s="9">
        <f t="shared" si="68"/>
        <v>0.9749189703767781</v>
      </c>
      <c r="G321" s="9">
        <f t="shared" si="69"/>
        <v>1.0250810296232213</v>
      </c>
      <c r="H321" s="9">
        <f t="shared" si="57"/>
        <v>-5.0162059246443236E-2</v>
      </c>
      <c r="I321" t="str">
        <f t="shared" si="58"/>
        <v>B</v>
      </c>
      <c r="J321">
        <f t="shared" si="66"/>
        <v>24</v>
      </c>
      <c r="K321" t="str">
        <f>IF(I321="","",IF(J321&gt;=Parameters!$B$5,I321,"HOLD"))</f>
        <v>B</v>
      </c>
      <c r="L321" s="10">
        <f>'Actual Calc'!T321</f>
        <v>0</v>
      </c>
      <c r="M321" s="10">
        <f>'Actual Calc'!U321</f>
        <v>31815778327.986752</v>
      </c>
      <c r="N321" s="12">
        <f t="shared" si="59"/>
        <v>0</v>
      </c>
      <c r="O321" s="12">
        <f>IF(NOT(ISNUMBER(N321)),"",IF(K321="A",MIN(Parameters!$B$8,N321+Parameters!$B$6),IF(K321="B",MAX(Parameters!$B$7,N321-Parameters!$B$6),N321)))</f>
        <v>0</v>
      </c>
      <c r="P321" s="13">
        <f t="shared" si="60"/>
        <v>0</v>
      </c>
      <c r="Q321" s="13">
        <f t="shared" si="61"/>
        <v>0</v>
      </c>
      <c r="R321" s="13">
        <f t="shared" si="62"/>
        <v>0</v>
      </c>
      <c r="S321" s="13">
        <f t="shared" si="63"/>
        <v>31815778327.986752</v>
      </c>
      <c r="T321" s="12">
        <f t="shared" si="64"/>
        <v>0</v>
      </c>
      <c r="U321" t="str">
        <f t="shared" si="65"/>
        <v>No transfer</v>
      </c>
      <c r="V321" s="25" t="s">
        <v>95</v>
      </c>
    </row>
    <row r="322" spans="1:22">
      <c r="A322" s="14">
        <v>45432</v>
      </c>
      <c r="B322" s="15">
        <v>1.337E-2</v>
      </c>
      <c r="C322" s="15">
        <v>1.337E-2</v>
      </c>
      <c r="D322" s="16">
        <f t="shared" si="56"/>
        <v>1.337E-2</v>
      </c>
      <c r="E322" s="17">
        <f t="shared" si="67"/>
        <v>15</v>
      </c>
      <c r="F322" s="18">
        <f t="shared" si="68"/>
        <v>0.97445555681667051</v>
      </c>
      <c r="G322" s="18">
        <f t="shared" si="69"/>
        <v>1.0255444431833314</v>
      </c>
      <c r="H322" s="18">
        <f t="shared" si="57"/>
        <v>-5.1088886366660868E-2</v>
      </c>
      <c r="I322" s="19" t="str">
        <f t="shared" si="58"/>
        <v>B</v>
      </c>
      <c r="J322" s="19">
        <f t="shared" si="66"/>
        <v>25</v>
      </c>
      <c r="K322" s="19" t="str">
        <f>IF(I322="","",IF(J322&gt;=Parameters!$B$5,I322,"HOLD"))</f>
        <v>B</v>
      </c>
      <c r="L322" s="20">
        <f>'Actual Calc'!T322</f>
        <v>0</v>
      </c>
      <c r="M322" s="20">
        <f>'Actual Calc'!U322</f>
        <v>37487471057.780754</v>
      </c>
      <c r="N322" s="21">
        <f t="shared" si="59"/>
        <v>0</v>
      </c>
      <c r="O322" s="21">
        <f>IF(NOT(ISNUMBER(N322)),"",IF(K322="A",MIN(Parameters!$B$8,N322+Parameters!$B$6),IF(K322="B",MAX(Parameters!$B$7,N322-Parameters!$B$6),N322)))</f>
        <v>0</v>
      </c>
      <c r="P322" s="22">
        <f t="shared" si="60"/>
        <v>0</v>
      </c>
      <c r="Q322" s="22">
        <f t="shared" si="61"/>
        <v>0</v>
      </c>
      <c r="R322" s="22">
        <f t="shared" si="62"/>
        <v>0</v>
      </c>
      <c r="S322" s="22">
        <f t="shared" si="63"/>
        <v>37487471057.780754</v>
      </c>
      <c r="T322" s="21">
        <f t="shared" si="64"/>
        <v>0</v>
      </c>
      <c r="U322" s="19" t="str">
        <f t="shared" si="65"/>
        <v>No transfer</v>
      </c>
      <c r="V322" s="35" t="s">
        <v>95</v>
      </c>
    </row>
    <row r="323" spans="1:22">
      <c r="A323" s="4">
        <v>45439</v>
      </c>
      <c r="B323" s="5">
        <v>-8.9099999999999995E-3</v>
      </c>
      <c r="C323" s="5">
        <v>-8.9099999999999995E-3</v>
      </c>
      <c r="D323" s="6">
        <f t="shared" si="56"/>
        <v>-8.9099999999999995E-3</v>
      </c>
      <c r="E323" s="8">
        <f t="shared" si="67"/>
        <v>15</v>
      </c>
      <c r="F323" s="9">
        <f t="shared" si="68"/>
        <v>0.97445555681667051</v>
      </c>
      <c r="G323" s="9">
        <f t="shared" si="69"/>
        <v>1.0255444431833314</v>
      </c>
      <c r="H323" s="9">
        <f t="shared" si="57"/>
        <v>-5.1088886366660868E-2</v>
      </c>
      <c r="I323" t="str">
        <f t="shared" si="58"/>
        <v>B</v>
      </c>
      <c r="J323">
        <f t="shared" si="66"/>
        <v>26</v>
      </c>
      <c r="K323" t="str">
        <f>IF(I323="","",IF(J323&gt;=Parameters!$B$5,I323,"HOLD"))</f>
        <v>B</v>
      </c>
      <c r="L323" s="10">
        <f>'Actual Calc'!T323</f>
        <v>0</v>
      </c>
      <c r="M323" s="10">
        <f>'Actual Calc'!U323</f>
        <v>33033959512.484756</v>
      </c>
      <c r="N323" s="12">
        <f t="shared" si="59"/>
        <v>0</v>
      </c>
      <c r="O323" s="12">
        <f>IF(NOT(ISNUMBER(N323)),"",IF(K323="A",MIN(Parameters!$B$8,N323+Parameters!$B$6),IF(K323="B",MAX(Parameters!$B$7,N323-Parameters!$B$6),N323)))</f>
        <v>0</v>
      </c>
      <c r="P323" s="13">
        <f t="shared" si="60"/>
        <v>0</v>
      </c>
      <c r="Q323" s="13">
        <f t="shared" si="61"/>
        <v>0</v>
      </c>
      <c r="R323" s="13">
        <f t="shared" si="62"/>
        <v>0</v>
      </c>
      <c r="S323" s="13">
        <f t="shared" si="63"/>
        <v>33033959512.484756</v>
      </c>
      <c r="T323" s="12">
        <f t="shared" si="64"/>
        <v>0</v>
      </c>
      <c r="U323" t="str">
        <f t="shared" si="65"/>
        <v>No transfer</v>
      </c>
      <c r="V323" s="25" t="s">
        <v>95</v>
      </c>
    </row>
    <row r="324" spans="1:22">
      <c r="A324" s="14">
        <v>45446</v>
      </c>
      <c r="B324" s="15">
        <v>1.8270000000000002E-2</v>
      </c>
      <c r="C324" s="15">
        <v>1.8270000000000002E-2</v>
      </c>
      <c r="D324" s="16">
        <f t="shared" ref="D324:D387" si="70">IF(AND(ISNUMBER(B324),ISNUMBER(C324)),(B324+C324)/2,"")</f>
        <v>1.8270000000000002E-2</v>
      </c>
      <c r="E324" s="17">
        <f t="shared" si="67"/>
        <v>15</v>
      </c>
      <c r="F324" s="18">
        <f t="shared" si="68"/>
        <v>1</v>
      </c>
      <c r="G324" s="18">
        <f t="shared" si="69"/>
        <v>1</v>
      </c>
      <c r="H324" s="18">
        <f t="shared" ref="H324:H387" si="71">IF(AND(ISNUMBER(F324),ISNUMBER(G324)),F324-G324,"")</f>
        <v>0</v>
      </c>
      <c r="I324" s="19" t="str">
        <f t="shared" ref="I324:I387" si="72">IF(OR(NOT(ISNUMBER(F324)),NOT(ISNUMBER(G324))),"",IF(F324&gt;G324,"A",IF(G324&gt;F324,"B","HOLD")))</f>
        <v>HOLD</v>
      </c>
      <c r="J324" s="19">
        <f t="shared" si="66"/>
        <v>0</v>
      </c>
      <c r="K324" s="19" t="str">
        <f>IF(I324="","",IF(J324&gt;=Parameters!$B$5,I324,"HOLD"))</f>
        <v>HOLD</v>
      </c>
      <c r="L324" s="20">
        <f>'Actual Calc'!T324</f>
        <v>0</v>
      </c>
      <c r="M324" s="20">
        <f>'Actual Calc'!U324</f>
        <v>41081032025.97876</v>
      </c>
      <c r="N324" s="21">
        <f t="shared" ref="N324:N387" si="73">IF(OR(NOT(ISNUMBER(L324)),NOT(ISNUMBER(M324)),L324+M324=0),"",L324/(L324+M324))</f>
        <v>0</v>
      </c>
      <c r="O324" s="21">
        <f>IF(NOT(ISNUMBER(N324)),"",IF(K324="A",MIN(Parameters!$B$8,N324+Parameters!$B$6),IF(K324="B",MAX(Parameters!$B$7,N324-Parameters!$B$6),N324)))</f>
        <v>0</v>
      </c>
      <c r="P324" s="22">
        <f t="shared" ref="P324:P387" si="74">IF(NOT(ISNUMBER(O324)),"",MAX(0,L324-(L324+M324)*O324))</f>
        <v>0</v>
      </c>
      <c r="Q324" s="22">
        <f t="shared" ref="Q324:Q387" si="75">IF(NOT(ISNUMBER(O324)),"",MAX(0,(L324+M324)*O324-L324))</f>
        <v>0</v>
      </c>
      <c r="R324" s="22">
        <f t="shared" ref="R324:R387" si="76">IF(NOT(ISNUMBER(O324)),"",L324-P324+Q324)</f>
        <v>0</v>
      </c>
      <c r="S324" s="22">
        <f t="shared" ref="S324:S387" si="77">IF(NOT(ISNUMBER(O324)),"",M324+P324-Q324)</f>
        <v>41081032025.97876</v>
      </c>
      <c r="T324" s="21">
        <f t="shared" ref="T324:T387" si="78">IF(OR(NOT(ISNUMBER(R324)),NOT(ISNUMBER(S324)),R324+S324=0),"",R324/(R324+S324))</f>
        <v>0</v>
      </c>
      <c r="U324" s="19" t="str">
        <f t="shared" ref="U324:U387" si="79">IF(NOT(ISNUMBER(O324)),"",IF(P324&gt;0.005,"Transfer "&amp;TEXT(P324,"#,##0.00")&amp;" A → B",IF(Q324&gt;0.005,"Transfer "&amp;TEXT(Q324,"#,##0.00")&amp;" B → A","No transfer")))</f>
        <v>No transfer</v>
      </c>
      <c r="V324" s="35" t="s">
        <v>95</v>
      </c>
    </row>
    <row r="325" spans="1:22">
      <c r="A325" s="4">
        <v>45453</v>
      </c>
      <c r="B325" s="5">
        <v>3.746E-2</v>
      </c>
      <c r="C325" s="5">
        <v>3.746E-2</v>
      </c>
      <c r="D325" s="6">
        <f t="shared" si="70"/>
        <v>3.746E-2</v>
      </c>
      <c r="E325" s="8">
        <f t="shared" si="67"/>
        <v>15</v>
      </c>
      <c r="F325" s="9">
        <f t="shared" si="68"/>
        <v>1</v>
      </c>
      <c r="G325" s="9">
        <f t="shared" si="69"/>
        <v>1</v>
      </c>
      <c r="H325" s="9">
        <f t="shared" si="71"/>
        <v>0</v>
      </c>
      <c r="I325" t="str">
        <f t="shared" si="72"/>
        <v>HOLD</v>
      </c>
      <c r="J325">
        <f t="shared" ref="J325:J388" si="80">IF(I325="","",IF(I325="HOLD",0,IF(I325=I324,J324+1,1)))</f>
        <v>0</v>
      </c>
      <c r="K325" t="str">
        <f>IF(I325="","",IF(J325&gt;=Parameters!$B$5,I325,"HOLD"))</f>
        <v>HOLD</v>
      </c>
      <c r="L325" s="10">
        <f>'Actual Calc'!T325</f>
        <v>0</v>
      </c>
      <c r="M325" s="10">
        <f>'Actual Calc'!U325</f>
        <v>61599638129.758759</v>
      </c>
      <c r="N325" s="12">
        <f t="shared" si="73"/>
        <v>0</v>
      </c>
      <c r="O325" s="12">
        <f>IF(NOT(ISNUMBER(N325)),"",IF(K325="A",MIN(Parameters!$B$8,N325+Parameters!$B$6),IF(K325="B",MAX(Parameters!$B$7,N325-Parameters!$B$6),N325)))</f>
        <v>0</v>
      </c>
      <c r="P325" s="13">
        <f t="shared" si="74"/>
        <v>0</v>
      </c>
      <c r="Q325" s="13">
        <f t="shared" si="75"/>
        <v>0</v>
      </c>
      <c r="R325" s="13">
        <f t="shared" si="76"/>
        <v>0</v>
      </c>
      <c r="S325" s="13">
        <f t="shared" si="77"/>
        <v>61599638129.758759</v>
      </c>
      <c r="T325" s="12">
        <f t="shared" si="78"/>
        <v>0</v>
      </c>
      <c r="U325" t="str">
        <f t="shared" si="79"/>
        <v>No transfer</v>
      </c>
      <c r="V325" s="25" t="s">
        <v>95</v>
      </c>
    </row>
    <row r="326" spans="1:22">
      <c r="A326" s="14">
        <v>45460</v>
      </c>
      <c r="B326" s="15">
        <v>1.1259999999999999E-2</v>
      </c>
      <c r="C326" s="15">
        <v>1.1259999999999999E-2</v>
      </c>
      <c r="D326" s="16">
        <f t="shared" si="70"/>
        <v>1.1259999999999999E-2</v>
      </c>
      <c r="E326" s="17">
        <f t="shared" si="67"/>
        <v>16</v>
      </c>
      <c r="F326" s="18">
        <f t="shared" si="68"/>
        <v>1</v>
      </c>
      <c r="G326" s="18">
        <f t="shared" si="69"/>
        <v>1</v>
      </c>
      <c r="H326" s="18">
        <f t="shared" si="71"/>
        <v>0</v>
      </c>
      <c r="I326" s="19" t="str">
        <f t="shared" si="72"/>
        <v>HOLD</v>
      </c>
      <c r="J326" s="19">
        <f t="shared" si="80"/>
        <v>0</v>
      </c>
      <c r="K326" s="19" t="str">
        <f>IF(I326="","",IF(J326&gt;=Parameters!$B$5,I326,"HOLD"))</f>
        <v>HOLD</v>
      </c>
      <c r="L326" s="20">
        <f>'Actual Calc'!T326</f>
        <v>0</v>
      </c>
      <c r="M326" s="20">
        <f>'Actual Calc'!U326</f>
        <v>70847797121.956757</v>
      </c>
      <c r="N326" s="21">
        <f t="shared" si="73"/>
        <v>0</v>
      </c>
      <c r="O326" s="21">
        <f>IF(NOT(ISNUMBER(N326)),"",IF(K326="A",MIN(Parameters!$B$8,N326+Parameters!$B$6),IF(K326="B",MAX(Parameters!$B$7,N326-Parameters!$B$6),N326)))</f>
        <v>0</v>
      </c>
      <c r="P326" s="22">
        <f t="shared" si="74"/>
        <v>0</v>
      </c>
      <c r="Q326" s="22">
        <f t="shared" si="75"/>
        <v>0</v>
      </c>
      <c r="R326" s="22">
        <f t="shared" si="76"/>
        <v>0</v>
      </c>
      <c r="S326" s="22">
        <f t="shared" si="77"/>
        <v>70847797121.956757</v>
      </c>
      <c r="T326" s="21">
        <f t="shared" si="78"/>
        <v>0</v>
      </c>
      <c r="U326" s="19" t="str">
        <f t="shared" si="79"/>
        <v>No transfer</v>
      </c>
      <c r="V326" s="35" t="s">
        <v>95</v>
      </c>
    </row>
    <row r="327" spans="1:22">
      <c r="A327" s="4">
        <v>45467</v>
      </c>
      <c r="B327" s="5">
        <v>2.5799999999999998E-3</v>
      </c>
      <c r="C327" s="5">
        <v>2.5799999999999998E-3</v>
      </c>
      <c r="D327" s="6">
        <f t="shared" si="70"/>
        <v>2.5799999999999998E-3</v>
      </c>
      <c r="E327" s="8">
        <f t="shared" si="67"/>
        <v>16</v>
      </c>
      <c r="F327" s="9">
        <f t="shared" si="68"/>
        <v>1</v>
      </c>
      <c r="G327" s="9">
        <f t="shared" si="69"/>
        <v>1</v>
      </c>
      <c r="H327" s="9">
        <f t="shared" si="71"/>
        <v>0</v>
      </c>
      <c r="I327" t="str">
        <f t="shared" si="72"/>
        <v>HOLD</v>
      </c>
      <c r="J327">
        <f t="shared" si="80"/>
        <v>0</v>
      </c>
      <c r="K327" t="str">
        <f>IF(I327="","",IF(J327&gt;=Parameters!$B$5,I327,"HOLD"))</f>
        <v>HOLD</v>
      </c>
      <c r="L327" s="10">
        <f>'Actual Calc'!T327</f>
        <v>0</v>
      </c>
      <c r="M327" s="10">
        <f>'Actual Calc'!U327</f>
        <v>73284961340.734756</v>
      </c>
      <c r="N327" s="12">
        <f t="shared" si="73"/>
        <v>0</v>
      </c>
      <c r="O327" s="12">
        <f>IF(NOT(ISNUMBER(N327)),"",IF(K327="A",MIN(Parameters!$B$8,N327+Parameters!$B$6),IF(K327="B",MAX(Parameters!$B$7,N327-Parameters!$B$6),N327)))</f>
        <v>0</v>
      </c>
      <c r="P327" s="13">
        <f t="shared" si="74"/>
        <v>0</v>
      </c>
      <c r="Q327" s="13">
        <f t="shared" si="75"/>
        <v>0</v>
      </c>
      <c r="R327" s="13">
        <f t="shared" si="76"/>
        <v>0</v>
      </c>
      <c r="S327" s="13">
        <f t="shared" si="77"/>
        <v>73284961340.734756</v>
      </c>
      <c r="T327" s="12">
        <f t="shared" si="78"/>
        <v>0</v>
      </c>
      <c r="U327" t="str">
        <f t="shared" si="79"/>
        <v>No transfer</v>
      </c>
      <c r="V327" s="25" t="s">
        <v>95</v>
      </c>
    </row>
    <row r="328" spans="1:22">
      <c r="A328" s="14">
        <v>45474</v>
      </c>
      <c r="B328" s="15">
        <v>3.3009999999999998E-2</v>
      </c>
      <c r="C328" s="15">
        <v>3.3009999999999998E-2</v>
      </c>
      <c r="D328" s="16">
        <f t="shared" si="70"/>
        <v>3.3009999999999998E-2</v>
      </c>
      <c r="E328" s="17">
        <f t="shared" si="67"/>
        <v>17</v>
      </c>
      <c r="F328" s="18">
        <f t="shared" si="68"/>
        <v>1</v>
      </c>
      <c r="G328" s="18">
        <f t="shared" si="69"/>
        <v>1</v>
      </c>
      <c r="H328" s="18">
        <f t="shared" si="71"/>
        <v>0</v>
      </c>
      <c r="I328" s="19" t="str">
        <f t="shared" si="72"/>
        <v>HOLD</v>
      </c>
      <c r="J328" s="19">
        <f t="shared" si="80"/>
        <v>0</v>
      </c>
      <c r="K328" s="19" t="str">
        <f>IF(I328="","",IF(J328&gt;=Parameters!$B$5,I328,"HOLD"))</f>
        <v>HOLD</v>
      </c>
      <c r="L328" s="20">
        <f>'Actual Calc'!T328</f>
        <v>0</v>
      </c>
      <c r="M328" s="20">
        <f>'Actual Calc'!U328</f>
        <v>105540115613.39975</v>
      </c>
      <c r="N328" s="21">
        <f t="shared" si="73"/>
        <v>0</v>
      </c>
      <c r="O328" s="21">
        <f>IF(NOT(ISNUMBER(N328)),"",IF(K328="A",MIN(Parameters!$B$8,N328+Parameters!$B$6),IF(K328="B",MAX(Parameters!$B$7,N328-Parameters!$B$6),N328)))</f>
        <v>0</v>
      </c>
      <c r="P328" s="22">
        <f t="shared" si="74"/>
        <v>0</v>
      </c>
      <c r="Q328" s="22">
        <f t="shared" si="75"/>
        <v>0</v>
      </c>
      <c r="R328" s="22">
        <f t="shared" si="76"/>
        <v>0</v>
      </c>
      <c r="S328" s="22">
        <f t="shared" si="77"/>
        <v>105540115613.39975</v>
      </c>
      <c r="T328" s="21">
        <f t="shared" si="78"/>
        <v>0</v>
      </c>
      <c r="U328" s="19" t="str">
        <f t="shared" si="79"/>
        <v>No transfer</v>
      </c>
      <c r="V328" s="35" t="s">
        <v>95</v>
      </c>
    </row>
    <row r="329" spans="1:22">
      <c r="A329" s="4">
        <v>45481</v>
      </c>
      <c r="B329" s="5">
        <v>-4.0000000000000001E-3</v>
      </c>
      <c r="C329" s="5">
        <v>-4.0000000000000001E-3</v>
      </c>
      <c r="D329" s="6">
        <f t="shared" si="70"/>
        <v>-4.0000000000000001E-3</v>
      </c>
      <c r="E329" s="8">
        <f t="shared" si="67"/>
        <v>16</v>
      </c>
      <c r="F329" s="9">
        <f t="shared" si="68"/>
        <v>1</v>
      </c>
      <c r="G329" s="9">
        <f t="shared" si="69"/>
        <v>1</v>
      </c>
      <c r="H329" s="9">
        <f t="shared" si="71"/>
        <v>0</v>
      </c>
      <c r="I329" t="str">
        <f t="shared" si="72"/>
        <v>HOLD</v>
      </c>
      <c r="J329">
        <f t="shared" si="80"/>
        <v>0</v>
      </c>
      <c r="K329" t="str">
        <f>IF(I329="","",IF(J329&gt;=Parameters!$B$5,I329,"HOLD"))</f>
        <v>HOLD</v>
      </c>
      <c r="L329" s="10">
        <f>'Actual Calc'!T329</f>
        <v>0</v>
      </c>
      <c r="M329" s="10">
        <f>'Actual Calc'!U329</f>
        <v>99911309448.999756</v>
      </c>
      <c r="N329" s="12">
        <f t="shared" si="73"/>
        <v>0</v>
      </c>
      <c r="O329" s="12">
        <f>IF(NOT(ISNUMBER(N329)),"",IF(K329="A",MIN(Parameters!$B$8,N329+Parameters!$B$6),IF(K329="B",MAX(Parameters!$B$7,N329-Parameters!$B$6),N329)))</f>
        <v>0</v>
      </c>
      <c r="P329" s="13">
        <f t="shared" si="74"/>
        <v>0</v>
      </c>
      <c r="Q329" s="13">
        <f t="shared" si="75"/>
        <v>0</v>
      </c>
      <c r="R329" s="13">
        <f t="shared" si="76"/>
        <v>0</v>
      </c>
      <c r="S329" s="13">
        <f t="shared" si="77"/>
        <v>99911309448.999756</v>
      </c>
      <c r="T329" s="12">
        <f t="shared" si="78"/>
        <v>0</v>
      </c>
      <c r="U329" t="str">
        <f t="shared" si="79"/>
        <v>No transfer</v>
      </c>
      <c r="V329" s="25" t="s">
        <v>95</v>
      </c>
    </row>
    <row r="330" spans="1:22">
      <c r="A330" s="14">
        <v>45488</v>
      </c>
      <c r="B330" s="15">
        <v>-2.7529999999999999E-2</v>
      </c>
      <c r="C330" s="15">
        <v>-2.7529999999999999E-2</v>
      </c>
      <c r="D330" s="16">
        <f t="shared" si="70"/>
        <v>-2.7529999999999999E-2</v>
      </c>
      <c r="E330" s="17">
        <f t="shared" si="67"/>
        <v>15</v>
      </c>
      <c r="F330" s="18">
        <f t="shared" si="68"/>
        <v>1</v>
      </c>
      <c r="G330" s="18">
        <f t="shared" si="69"/>
        <v>1</v>
      </c>
      <c r="H330" s="18">
        <f t="shared" si="71"/>
        <v>0</v>
      </c>
      <c r="I330" s="19" t="str">
        <f t="shared" si="72"/>
        <v>HOLD</v>
      </c>
      <c r="J330" s="19">
        <f t="shared" si="80"/>
        <v>0</v>
      </c>
      <c r="K330" s="19" t="str">
        <f>IF(I330="","",IF(J330&gt;=Parameters!$B$5,I330,"HOLD"))</f>
        <v>HOLD</v>
      </c>
      <c r="L330" s="20">
        <f>'Actual Calc'!T330</f>
        <v>0</v>
      </c>
      <c r="M330" s="20">
        <f>'Actual Calc'!U330</f>
        <v>63237198178.275757</v>
      </c>
      <c r="N330" s="21">
        <f t="shared" si="73"/>
        <v>0</v>
      </c>
      <c r="O330" s="21">
        <f>IF(NOT(ISNUMBER(N330)),"",IF(K330="A",MIN(Parameters!$B$8,N330+Parameters!$B$6),IF(K330="B",MAX(Parameters!$B$7,N330-Parameters!$B$6),N330)))</f>
        <v>0</v>
      </c>
      <c r="P330" s="22">
        <f t="shared" si="74"/>
        <v>0</v>
      </c>
      <c r="Q330" s="22">
        <f t="shared" si="75"/>
        <v>0</v>
      </c>
      <c r="R330" s="22">
        <f t="shared" si="76"/>
        <v>0</v>
      </c>
      <c r="S330" s="22">
        <f t="shared" si="77"/>
        <v>63237198178.275757</v>
      </c>
      <c r="T330" s="21">
        <f t="shared" si="78"/>
        <v>0</v>
      </c>
      <c r="U330" s="19" t="str">
        <f t="shared" si="79"/>
        <v>No transfer</v>
      </c>
      <c r="V330" s="35" t="s">
        <v>95</v>
      </c>
    </row>
    <row r="331" spans="1:22">
      <c r="A331" s="4">
        <v>45495</v>
      </c>
      <c r="B331" s="5">
        <v>-3.4380000000000001E-2</v>
      </c>
      <c r="C331" s="5">
        <v>0</v>
      </c>
      <c r="D331" s="6">
        <f t="shared" si="70"/>
        <v>-1.719E-2</v>
      </c>
      <c r="E331" s="8">
        <f t="shared" si="67"/>
        <v>14</v>
      </c>
      <c r="F331" s="9">
        <f t="shared" si="68"/>
        <v>1</v>
      </c>
      <c r="G331" s="9">
        <f t="shared" si="69"/>
        <v>1</v>
      </c>
      <c r="H331" s="9">
        <f t="shared" si="71"/>
        <v>0</v>
      </c>
      <c r="I331" t="str">
        <f t="shared" si="72"/>
        <v>HOLD</v>
      </c>
      <c r="J331">
        <f t="shared" si="80"/>
        <v>0</v>
      </c>
      <c r="K331" t="str">
        <f>IF(I331="","",IF(J331&gt;=Parameters!$B$5,I331,"HOLD"))</f>
        <v>HOLD</v>
      </c>
      <c r="L331" s="10">
        <f>'Actual Calc'!T331</f>
        <v>0</v>
      </c>
      <c r="M331" s="10">
        <f>'Actual Calc'!U331</f>
        <v>63237198178.275757</v>
      </c>
      <c r="N331" s="12">
        <f t="shared" si="73"/>
        <v>0</v>
      </c>
      <c r="O331" s="12">
        <f>IF(NOT(ISNUMBER(N331)),"",IF(K331="A",MIN(Parameters!$B$8,N331+Parameters!$B$6),IF(K331="B",MAX(Parameters!$B$7,N331-Parameters!$B$6),N331)))</f>
        <v>0</v>
      </c>
      <c r="P331" s="13">
        <f t="shared" si="74"/>
        <v>0</v>
      </c>
      <c r="Q331" s="13">
        <f t="shared" si="75"/>
        <v>0</v>
      </c>
      <c r="R331" s="13">
        <f t="shared" si="76"/>
        <v>0</v>
      </c>
      <c r="S331" s="13">
        <f t="shared" si="77"/>
        <v>63237198178.275757</v>
      </c>
      <c r="T331" s="12">
        <f t="shared" si="78"/>
        <v>0</v>
      </c>
      <c r="U331" t="str">
        <f t="shared" si="79"/>
        <v>No transfer</v>
      </c>
      <c r="V331" s="25" t="s">
        <v>96</v>
      </c>
    </row>
    <row r="332" spans="1:22">
      <c r="A332" s="14">
        <v>45502</v>
      </c>
      <c r="B332" s="15">
        <v>-3.7699999999999999E-3</v>
      </c>
      <c r="C332" s="15">
        <v>-3.7699999999999999E-3</v>
      </c>
      <c r="D332" s="16">
        <f t="shared" si="70"/>
        <v>-3.7699999999999999E-3</v>
      </c>
      <c r="E332" s="17">
        <f t="shared" si="67"/>
        <v>13</v>
      </c>
      <c r="F332" s="18">
        <f t="shared" si="68"/>
        <v>1</v>
      </c>
      <c r="G332" s="18">
        <f t="shared" si="69"/>
        <v>1</v>
      </c>
      <c r="H332" s="18">
        <f t="shared" si="71"/>
        <v>0</v>
      </c>
      <c r="I332" s="19" t="str">
        <f t="shared" si="72"/>
        <v>HOLD</v>
      </c>
      <c r="J332" s="19">
        <f t="shared" si="80"/>
        <v>0</v>
      </c>
      <c r="K332" s="19" t="str">
        <f>IF(I332="","",IF(J332&gt;=Parameters!$B$5,I332,"HOLD"))</f>
        <v>HOLD</v>
      </c>
      <c r="L332" s="20">
        <f>'Actual Calc'!T332</f>
        <v>0</v>
      </c>
      <c r="M332" s="20">
        <f>'Actual Calc'!U332</f>
        <v>60058475018.312759</v>
      </c>
      <c r="N332" s="21">
        <f t="shared" si="73"/>
        <v>0</v>
      </c>
      <c r="O332" s="21">
        <f>IF(NOT(ISNUMBER(N332)),"",IF(K332="A",MIN(Parameters!$B$8,N332+Parameters!$B$6),IF(K332="B",MAX(Parameters!$B$7,N332-Parameters!$B$6),N332)))</f>
        <v>0</v>
      </c>
      <c r="P332" s="22">
        <f t="shared" si="74"/>
        <v>0</v>
      </c>
      <c r="Q332" s="22">
        <f t="shared" si="75"/>
        <v>0</v>
      </c>
      <c r="R332" s="22">
        <f t="shared" si="76"/>
        <v>0</v>
      </c>
      <c r="S332" s="22">
        <f t="shared" si="77"/>
        <v>60058475018.312759</v>
      </c>
      <c r="T332" s="21">
        <f t="shared" si="78"/>
        <v>0</v>
      </c>
      <c r="U332" s="19" t="str">
        <f t="shared" si="79"/>
        <v>No transfer</v>
      </c>
      <c r="V332" s="35" t="s">
        <v>95</v>
      </c>
    </row>
    <row r="333" spans="1:22">
      <c r="A333" s="4">
        <v>45509</v>
      </c>
      <c r="B333" s="5">
        <v>2.8209999999999999E-2</v>
      </c>
      <c r="C333" s="5">
        <v>2.8209999999999999E-2</v>
      </c>
      <c r="D333" s="6">
        <f t="shared" si="70"/>
        <v>2.8209999999999999E-2</v>
      </c>
      <c r="E333" s="8">
        <f t="shared" si="67"/>
        <v>13</v>
      </c>
      <c r="F333" s="9">
        <f t="shared" si="68"/>
        <v>1</v>
      </c>
      <c r="G333" s="9">
        <f t="shared" si="69"/>
        <v>1</v>
      </c>
      <c r="H333" s="9">
        <f t="shared" si="71"/>
        <v>0</v>
      </c>
      <c r="I333" t="str">
        <f t="shared" si="72"/>
        <v>HOLD</v>
      </c>
      <c r="J333">
        <f t="shared" si="80"/>
        <v>0</v>
      </c>
      <c r="K333" t="str">
        <f>IF(I333="","",IF(J333&gt;=Parameters!$B$5,I333,"HOLD"))</f>
        <v>HOLD</v>
      </c>
      <c r="L333" s="10">
        <f>'Actual Calc'!T333</f>
        <v>0</v>
      </c>
      <c r="M333" s="10">
        <f>'Actual Calc'!U333</f>
        <v>82648469384.888763</v>
      </c>
      <c r="N333" s="12">
        <f t="shared" si="73"/>
        <v>0</v>
      </c>
      <c r="O333" s="12">
        <f>IF(NOT(ISNUMBER(N333)),"",IF(K333="A",MIN(Parameters!$B$8,N333+Parameters!$B$6),IF(K333="B",MAX(Parameters!$B$7,N333-Parameters!$B$6),N333)))</f>
        <v>0</v>
      </c>
      <c r="P333" s="13">
        <f t="shared" si="74"/>
        <v>0</v>
      </c>
      <c r="Q333" s="13">
        <f t="shared" si="75"/>
        <v>0</v>
      </c>
      <c r="R333" s="13">
        <f t="shared" si="76"/>
        <v>0</v>
      </c>
      <c r="S333" s="13">
        <f t="shared" si="77"/>
        <v>82648469384.888763</v>
      </c>
      <c r="T333" s="12">
        <f t="shared" si="78"/>
        <v>0</v>
      </c>
      <c r="U333" t="str">
        <f t="shared" si="79"/>
        <v>No transfer</v>
      </c>
      <c r="V333" s="25" t="s">
        <v>95</v>
      </c>
    </row>
    <row r="334" spans="1:22">
      <c r="A334" s="14">
        <v>45516</v>
      </c>
      <c r="B334" s="15">
        <v>2.409E-2</v>
      </c>
      <c r="C334" s="15">
        <v>2.409E-2</v>
      </c>
      <c r="D334" s="16">
        <f t="shared" si="70"/>
        <v>2.409E-2</v>
      </c>
      <c r="E334" s="17">
        <f t="shared" si="67"/>
        <v>14</v>
      </c>
      <c r="F334" s="18">
        <f t="shared" si="68"/>
        <v>1</v>
      </c>
      <c r="G334" s="18">
        <f t="shared" si="69"/>
        <v>1</v>
      </c>
      <c r="H334" s="18">
        <f t="shared" si="71"/>
        <v>0</v>
      </c>
      <c r="I334" s="19" t="str">
        <f t="shared" si="72"/>
        <v>HOLD</v>
      </c>
      <c r="J334" s="19">
        <f t="shared" si="80"/>
        <v>0</v>
      </c>
      <c r="K334" s="19" t="str">
        <f>IF(I334="","",IF(J334&gt;=Parameters!$B$5,I334,"HOLD"))</f>
        <v>HOLD</v>
      </c>
      <c r="L334" s="20">
        <f>'Actual Calc'!T334</f>
        <v>0</v>
      </c>
      <c r="M334" s="20">
        <f>'Actual Calc'!U334</f>
        <v>109195157715.21576</v>
      </c>
      <c r="N334" s="21">
        <f t="shared" si="73"/>
        <v>0</v>
      </c>
      <c r="O334" s="21">
        <f>IF(NOT(ISNUMBER(N334)),"",IF(K334="A",MIN(Parameters!$B$8,N334+Parameters!$B$6),IF(K334="B",MAX(Parameters!$B$7,N334-Parameters!$B$6),N334)))</f>
        <v>0</v>
      </c>
      <c r="P334" s="22">
        <f t="shared" si="74"/>
        <v>0</v>
      </c>
      <c r="Q334" s="22">
        <f t="shared" si="75"/>
        <v>0</v>
      </c>
      <c r="R334" s="22">
        <f t="shared" si="76"/>
        <v>0</v>
      </c>
      <c r="S334" s="22">
        <f t="shared" si="77"/>
        <v>109195157715.21576</v>
      </c>
      <c r="T334" s="21">
        <f t="shared" si="78"/>
        <v>0</v>
      </c>
      <c r="U334" s="19" t="str">
        <f t="shared" si="79"/>
        <v>No transfer</v>
      </c>
      <c r="V334" s="35" t="s">
        <v>95</v>
      </c>
    </row>
    <row r="335" spans="1:22">
      <c r="A335" s="4">
        <v>45523</v>
      </c>
      <c r="B335" s="5">
        <v>1.2359999999999999E-2</v>
      </c>
      <c r="C335" s="5">
        <v>1.2359999999999999E-2</v>
      </c>
      <c r="D335" s="6">
        <f t="shared" si="70"/>
        <v>1.2359999999999999E-2</v>
      </c>
      <c r="E335" s="8">
        <f t="shared" si="67"/>
        <v>14</v>
      </c>
      <c r="F335" s="9">
        <f t="shared" si="68"/>
        <v>1</v>
      </c>
      <c r="G335" s="9">
        <f t="shared" si="69"/>
        <v>1</v>
      </c>
      <c r="H335" s="9">
        <f t="shared" si="71"/>
        <v>0</v>
      </c>
      <c r="I335" t="str">
        <f t="shared" si="72"/>
        <v>HOLD</v>
      </c>
      <c r="J335">
        <f t="shared" si="80"/>
        <v>0</v>
      </c>
      <c r="K335" t="str">
        <f>IF(I335="","",IF(J335&gt;=Parameters!$B$5,I335,"HOLD"))</f>
        <v>HOLD</v>
      </c>
      <c r="L335" s="10">
        <f>'Actual Calc'!T335</f>
        <v>0</v>
      </c>
      <c r="M335" s="10">
        <f>'Actual Calc'!U335</f>
        <v>127190519705.41176</v>
      </c>
      <c r="N335" s="12">
        <f t="shared" si="73"/>
        <v>0</v>
      </c>
      <c r="O335" s="12">
        <f>IF(NOT(ISNUMBER(N335)),"",IF(K335="A",MIN(Parameters!$B$8,N335+Parameters!$B$6),IF(K335="B",MAX(Parameters!$B$7,N335-Parameters!$B$6),N335)))</f>
        <v>0</v>
      </c>
      <c r="P335" s="13">
        <f t="shared" si="74"/>
        <v>0</v>
      </c>
      <c r="Q335" s="13">
        <f t="shared" si="75"/>
        <v>0</v>
      </c>
      <c r="R335" s="13">
        <f t="shared" si="76"/>
        <v>0</v>
      </c>
      <c r="S335" s="13">
        <f t="shared" si="77"/>
        <v>127190519705.41176</v>
      </c>
      <c r="T335" s="12">
        <f t="shared" si="78"/>
        <v>0</v>
      </c>
      <c r="U335" t="str">
        <f t="shared" si="79"/>
        <v>No transfer</v>
      </c>
      <c r="V335" s="25" t="s">
        <v>95</v>
      </c>
    </row>
    <row r="336" spans="1:22">
      <c r="A336" s="14">
        <v>45530</v>
      </c>
      <c r="B336" s="15">
        <v>-3.8899999999999998E-3</v>
      </c>
      <c r="C336" s="15">
        <v>-3.8899999999999998E-3</v>
      </c>
      <c r="D336" s="16">
        <f t="shared" si="70"/>
        <v>-3.8899999999999998E-3</v>
      </c>
      <c r="E336" s="17">
        <f t="shared" si="67"/>
        <v>14</v>
      </c>
      <c r="F336" s="18">
        <f t="shared" si="68"/>
        <v>1</v>
      </c>
      <c r="G336" s="18">
        <f t="shared" si="69"/>
        <v>1</v>
      </c>
      <c r="H336" s="18">
        <f t="shared" si="71"/>
        <v>0</v>
      </c>
      <c r="I336" s="19" t="str">
        <f t="shared" si="72"/>
        <v>HOLD</v>
      </c>
      <c r="J336" s="19">
        <f t="shared" si="80"/>
        <v>0</v>
      </c>
      <c r="K336" s="19" t="str">
        <f>IF(I336="","",IF(J336&gt;=Parameters!$B$5,I336,"HOLD"))</f>
        <v>HOLD</v>
      </c>
      <c r="L336" s="20">
        <f>'Actual Calc'!T336</f>
        <v>0</v>
      </c>
      <c r="M336" s="20">
        <f>'Actual Calc'!U336</f>
        <v>120593571417.74976</v>
      </c>
      <c r="N336" s="21">
        <f t="shared" si="73"/>
        <v>0</v>
      </c>
      <c r="O336" s="21">
        <f>IF(NOT(ISNUMBER(N336)),"",IF(K336="A",MIN(Parameters!$B$8,N336+Parameters!$B$6),IF(K336="B",MAX(Parameters!$B$7,N336-Parameters!$B$6),N336)))</f>
        <v>0</v>
      </c>
      <c r="P336" s="22">
        <f t="shared" si="74"/>
        <v>0</v>
      </c>
      <c r="Q336" s="22">
        <f t="shared" si="75"/>
        <v>0</v>
      </c>
      <c r="R336" s="22">
        <f t="shared" si="76"/>
        <v>0</v>
      </c>
      <c r="S336" s="22">
        <f t="shared" si="77"/>
        <v>120593571417.74976</v>
      </c>
      <c r="T336" s="21">
        <f t="shared" si="78"/>
        <v>0</v>
      </c>
      <c r="U336" s="19" t="str">
        <f t="shared" si="79"/>
        <v>No transfer</v>
      </c>
      <c r="V336" s="35" t="s">
        <v>95</v>
      </c>
    </row>
    <row r="337" spans="1:22">
      <c r="A337" s="4">
        <v>45537</v>
      </c>
      <c r="B337" s="5">
        <v>-2.562E-2</v>
      </c>
      <c r="C337" s="5">
        <v>0</v>
      </c>
      <c r="D337" s="6">
        <f t="shared" si="70"/>
        <v>-1.281E-2</v>
      </c>
      <c r="E337" s="8">
        <f t="shared" si="67"/>
        <v>14</v>
      </c>
      <c r="F337" s="9">
        <f t="shared" si="68"/>
        <v>1</v>
      </c>
      <c r="G337" s="9">
        <f t="shared" si="69"/>
        <v>1</v>
      </c>
      <c r="H337" s="9">
        <f t="shared" si="71"/>
        <v>0</v>
      </c>
      <c r="I337" t="str">
        <f t="shared" si="72"/>
        <v>HOLD</v>
      </c>
      <c r="J337">
        <f t="shared" si="80"/>
        <v>0</v>
      </c>
      <c r="K337" t="str">
        <f>IF(I337="","",IF(J337&gt;=Parameters!$B$5,I337,"HOLD"))</f>
        <v>HOLD</v>
      </c>
      <c r="L337" s="10">
        <f>'Actual Calc'!T337</f>
        <v>0</v>
      </c>
      <c r="M337" s="10">
        <f>'Actual Calc'!U337</f>
        <v>120593571417.74976</v>
      </c>
      <c r="N337" s="12">
        <f t="shared" si="73"/>
        <v>0</v>
      </c>
      <c r="O337" s="12">
        <f>IF(NOT(ISNUMBER(N337)),"",IF(K337="A",MIN(Parameters!$B$8,N337+Parameters!$B$6),IF(K337="B",MAX(Parameters!$B$7,N337-Parameters!$B$6),N337)))</f>
        <v>0</v>
      </c>
      <c r="P337" s="13">
        <f t="shared" si="74"/>
        <v>0</v>
      </c>
      <c r="Q337" s="13">
        <f t="shared" si="75"/>
        <v>0</v>
      </c>
      <c r="R337" s="13">
        <f t="shared" si="76"/>
        <v>0</v>
      </c>
      <c r="S337" s="13">
        <f t="shared" si="77"/>
        <v>120593571417.74976</v>
      </c>
      <c r="T337" s="12">
        <f t="shared" si="78"/>
        <v>0</v>
      </c>
      <c r="U337" t="str">
        <f t="shared" si="79"/>
        <v>No transfer</v>
      </c>
      <c r="V337" s="25" t="s">
        <v>96</v>
      </c>
    </row>
    <row r="338" spans="1:22">
      <c r="A338" s="14">
        <v>45544</v>
      </c>
      <c r="B338" s="15">
        <v>4.8559999999999999E-2</v>
      </c>
      <c r="C338" s="15">
        <v>4.8559999999999999E-2</v>
      </c>
      <c r="D338" s="16">
        <f t="shared" si="70"/>
        <v>4.8559999999999999E-2</v>
      </c>
      <c r="E338" s="17">
        <f t="shared" si="67"/>
        <v>15</v>
      </c>
      <c r="F338" s="18">
        <f t="shared" si="68"/>
        <v>1</v>
      </c>
      <c r="G338" s="18">
        <f t="shared" si="69"/>
        <v>1</v>
      </c>
      <c r="H338" s="18">
        <f t="shared" si="71"/>
        <v>0</v>
      </c>
      <c r="I338" s="19" t="str">
        <f t="shared" si="72"/>
        <v>HOLD</v>
      </c>
      <c r="J338" s="19">
        <f t="shared" si="80"/>
        <v>0</v>
      </c>
      <c r="K338" s="19" t="str">
        <f>IF(I338="","",IF(J338&gt;=Parameters!$B$5,I338,"HOLD"))</f>
        <v>HOLD</v>
      </c>
      <c r="L338" s="20">
        <f>'Actual Calc'!T338</f>
        <v>0</v>
      </c>
      <c r="M338" s="20">
        <f>'Actual Calc'!U338</f>
        <v>198673889053.64575</v>
      </c>
      <c r="N338" s="21">
        <f t="shared" si="73"/>
        <v>0</v>
      </c>
      <c r="O338" s="21">
        <f>IF(NOT(ISNUMBER(N338)),"",IF(K338="A",MIN(Parameters!$B$8,N338+Parameters!$B$6),IF(K338="B",MAX(Parameters!$B$7,N338-Parameters!$B$6),N338)))</f>
        <v>0</v>
      </c>
      <c r="P338" s="22">
        <f t="shared" si="74"/>
        <v>0</v>
      </c>
      <c r="Q338" s="22">
        <f t="shared" si="75"/>
        <v>0</v>
      </c>
      <c r="R338" s="22">
        <f t="shared" si="76"/>
        <v>0</v>
      </c>
      <c r="S338" s="22">
        <f t="shared" si="77"/>
        <v>198673889053.64575</v>
      </c>
      <c r="T338" s="21">
        <f t="shared" si="78"/>
        <v>0</v>
      </c>
      <c r="U338" s="19" t="str">
        <f t="shared" si="79"/>
        <v>No transfer</v>
      </c>
      <c r="V338" s="35" t="s">
        <v>95</v>
      </c>
    </row>
    <row r="339" spans="1:22">
      <c r="A339" s="4">
        <v>45551</v>
      </c>
      <c r="B339" s="5">
        <v>1.968E-2</v>
      </c>
      <c r="C339" s="5">
        <v>1.968E-2</v>
      </c>
      <c r="D339" s="6">
        <f t="shared" si="70"/>
        <v>1.968E-2</v>
      </c>
      <c r="E339" s="8">
        <f t="shared" si="67"/>
        <v>15</v>
      </c>
      <c r="F339" s="9">
        <f t="shared" si="68"/>
        <v>1</v>
      </c>
      <c r="G339" s="9">
        <f t="shared" si="69"/>
        <v>1</v>
      </c>
      <c r="H339" s="9">
        <f t="shared" si="71"/>
        <v>0</v>
      </c>
      <c r="I339" t="str">
        <f t="shared" si="72"/>
        <v>HOLD</v>
      </c>
      <c r="J339">
        <f t="shared" si="80"/>
        <v>0</v>
      </c>
      <c r="K339" t="str">
        <f>IF(I339="","",IF(J339&gt;=Parameters!$B$5,I339,"HOLD"))</f>
        <v>HOLD</v>
      </c>
      <c r="L339" s="10">
        <f>'Actual Calc'!T339</f>
        <v>0</v>
      </c>
      <c r="M339" s="10">
        <f>'Actual Calc'!U339</f>
        <v>250805917533.80576</v>
      </c>
      <c r="N339" s="12">
        <f t="shared" si="73"/>
        <v>0</v>
      </c>
      <c r="O339" s="12">
        <f>IF(NOT(ISNUMBER(N339)),"",IF(K339="A",MIN(Parameters!$B$8,N339+Parameters!$B$6),IF(K339="B",MAX(Parameters!$B$7,N339-Parameters!$B$6),N339)))</f>
        <v>0</v>
      </c>
      <c r="P339" s="13">
        <f t="shared" si="74"/>
        <v>0</v>
      </c>
      <c r="Q339" s="13">
        <f t="shared" si="75"/>
        <v>0</v>
      </c>
      <c r="R339" s="13">
        <f t="shared" si="76"/>
        <v>0</v>
      </c>
      <c r="S339" s="13">
        <f t="shared" si="77"/>
        <v>250805917533.80576</v>
      </c>
      <c r="T339" s="12">
        <f t="shared" si="78"/>
        <v>0</v>
      </c>
      <c r="U339" t="str">
        <f t="shared" si="79"/>
        <v>No transfer</v>
      </c>
      <c r="V339" s="25" t="s">
        <v>95</v>
      </c>
    </row>
    <row r="340" spans="1:22">
      <c r="A340" s="14">
        <v>45558</v>
      </c>
      <c r="B340" s="15">
        <v>7.7499999999999999E-3</v>
      </c>
      <c r="C340" s="15">
        <v>7.7499999999999999E-3</v>
      </c>
      <c r="D340" s="16">
        <f t="shared" si="70"/>
        <v>7.7499999999999999E-3</v>
      </c>
      <c r="E340" s="17">
        <f t="shared" si="67"/>
        <v>15</v>
      </c>
      <c r="F340" s="18">
        <f t="shared" si="68"/>
        <v>1</v>
      </c>
      <c r="G340" s="18">
        <f t="shared" si="69"/>
        <v>1</v>
      </c>
      <c r="H340" s="18">
        <f t="shared" si="71"/>
        <v>0</v>
      </c>
      <c r="I340" s="19" t="str">
        <f t="shared" si="72"/>
        <v>HOLD</v>
      </c>
      <c r="J340" s="19">
        <f t="shared" si="80"/>
        <v>0</v>
      </c>
      <c r="K340" s="19" t="str">
        <f>IF(I340="","",IF(J340&gt;=Parameters!$B$5,I340,"HOLD"))</f>
        <v>HOLD</v>
      </c>
      <c r="L340" s="20">
        <f>'Actual Calc'!T340</f>
        <v>0</v>
      </c>
      <c r="M340" s="20">
        <f>'Actual Calc'!U340</f>
        <v>276722529011.90576</v>
      </c>
      <c r="N340" s="21">
        <f t="shared" si="73"/>
        <v>0</v>
      </c>
      <c r="O340" s="21">
        <f>IF(NOT(ISNUMBER(N340)),"",IF(K340="A",MIN(Parameters!$B$8,N340+Parameters!$B$6),IF(K340="B",MAX(Parameters!$B$7,N340-Parameters!$B$6),N340)))</f>
        <v>0</v>
      </c>
      <c r="P340" s="22">
        <f t="shared" si="74"/>
        <v>0</v>
      </c>
      <c r="Q340" s="22">
        <f t="shared" si="75"/>
        <v>0</v>
      </c>
      <c r="R340" s="22">
        <f t="shared" si="76"/>
        <v>0</v>
      </c>
      <c r="S340" s="22">
        <f t="shared" si="77"/>
        <v>276722529011.90576</v>
      </c>
      <c r="T340" s="21">
        <f t="shared" si="78"/>
        <v>0</v>
      </c>
      <c r="U340" s="19" t="str">
        <f t="shared" si="79"/>
        <v>No transfer</v>
      </c>
      <c r="V340" s="35" t="s">
        <v>95</v>
      </c>
    </row>
    <row r="341" spans="1:22">
      <c r="A341" s="4">
        <v>45565</v>
      </c>
      <c r="B341" s="5">
        <v>-3.9899999999999996E-3</v>
      </c>
      <c r="C341" s="5">
        <v>-1.018E-2</v>
      </c>
      <c r="D341" s="6">
        <f t="shared" si="70"/>
        <v>-7.0849999999999993E-3</v>
      </c>
      <c r="E341" s="8">
        <f t="shared" si="67"/>
        <v>15</v>
      </c>
      <c r="F341" s="9">
        <f t="shared" si="68"/>
        <v>1</v>
      </c>
      <c r="G341" s="9">
        <f t="shared" si="69"/>
        <v>1</v>
      </c>
      <c r="H341" s="9">
        <f t="shared" si="71"/>
        <v>0</v>
      </c>
      <c r="I341" t="str">
        <f t="shared" si="72"/>
        <v>HOLD</v>
      </c>
      <c r="J341">
        <f t="shared" si="80"/>
        <v>0</v>
      </c>
      <c r="K341" t="str">
        <f>IF(I341="","",IF(J341&gt;=Parameters!$B$5,I341,"HOLD"))</f>
        <v>HOLD</v>
      </c>
      <c r="L341" s="10">
        <f>'Actual Calc'!T341</f>
        <v>0</v>
      </c>
      <c r="M341" s="10">
        <f>'Actual Calc'!U341</f>
        <v>239162057763.68378</v>
      </c>
      <c r="N341" s="12">
        <f t="shared" si="73"/>
        <v>0</v>
      </c>
      <c r="O341" s="12">
        <f>IF(NOT(ISNUMBER(N341)),"",IF(K341="A",MIN(Parameters!$B$8,N341+Parameters!$B$6),IF(K341="B",MAX(Parameters!$B$7,N341-Parameters!$B$6),N341)))</f>
        <v>0</v>
      </c>
      <c r="P341" s="13">
        <f t="shared" si="74"/>
        <v>0</v>
      </c>
      <c r="Q341" s="13">
        <f t="shared" si="75"/>
        <v>0</v>
      </c>
      <c r="R341" s="13">
        <f t="shared" si="76"/>
        <v>0</v>
      </c>
      <c r="S341" s="13">
        <f t="shared" si="77"/>
        <v>239162057763.68378</v>
      </c>
      <c r="T341" s="12">
        <f t="shared" si="78"/>
        <v>0</v>
      </c>
      <c r="U341" t="str">
        <f t="shared" si="79"/>
        <v>No transfer</v>
      </c>
      <c r="V341" s="25" t="s">
        <v>95</v>
      </c>
    </row>
    <row r="342" spans="1:22">
      <c r="A342" s="14">
        <v>45572</v>
      </c>
      <c r="B342" s="15">
        <v>1.6559999999999998E-2</v>
      </c>
      <c r="C342" s="15">
        <v>1.6559999999999998E-2</v>
      </c>
      <c r="D342" s="16">
        <f t="shared" si="70"/>
        <v>1.6559999999999998E-2</v>
      </c>
      <c r="E342" s="17">
        <f t="shared" si="67"/>
        <v>16</v>
      </c>
      <c r="F342" s="18">
        <f t="shared" si="68"/>
        <v>1</v>
      </c>
      <c r="G342" s="18">
        <f t="shared" si="69"/>
        <v>1</v>
      </c>
      <c r="H342" s="18">
        <f t="shared" si="71"/>
        <v>0</v>
      </c>
      <c r="I342" s="19" t="str">
        <f t="shared" si="72"/>
        <v>HOLD</v>
      </c>
      <c r="J342" s="19">
        <f t="shared" si="80"/>
        <v>0</v>
      </c>
      <c r="K342" s="19" t="str">
        <f>IF(I342="","",IF(J342&gt;=Parameters!$B$5,I342,"HOLD"))</f>
        <v>HOLD</v>
      </c>
      <c r="L342" s="20">
        <f>'Actual Calc'!T342</f>
        <v>0</v>
      </c>
      <c r="M342" s="20">
        <f>'Actual Calc'!U342</f>
        <v>291969040092.25177</v>
      </c>
      <c r="N342" s="21">
        <f t="shared" si="73"/>
        <v>0</v>
      </c>
      <c r="O342" s="21">
        <f>IF(NOT(ISNUMBER(N342)),"",IF(K342="A",MIN(Parameters!$B$8,N342+Parameters!$B$6),IF(K342="B",MAX(Parameters!$B$7,N342-Parameters!$B$6),N342)))</f>
        <v>0</v>
      </c>
      <c r="P342" s="22">
        <f t="shared" si="74"/>
        <v>0</v>
      </c>
      <c r="Q342" s="22">
        <f t="shared" si="75"/>
        <v>0</v>
      </c>
      <c r="R342" s="22">
        <f t="shared" si="76"/>
        <v>0</v>
      </c>
      <c r="S342" s="22">
        <f t="shared" si="77"/>
        <v>291969040092.25177</v>
      </c>
      <c r="T342" s="21">
        <f t="shared" si="78"/>
        <v>0</v>
      </c>
      <c r="U342" s="19" t="str">
        <f t="shared" si="79"/>
        <v>No transfer</v>
      </c>
      <c r="V342" s="35" t="s">
        <v>95</v>
      </c>
    </row>
    <row r="343" spans="1:22">
      <c r="A343" s="4">
        <v>45579</v>
      </c>
      <c r="B343" s="5">
        <v>-1.081E-2</v>
      </c>
      <c r="C343" s="5">
        <v>-5.64E-3</v>
      </c>
      <c r="D343" s="6">
        <f t="shared" si="70"/>
        <v>-8.2249999999999997E-3</v>
      </c>
      <c r="E343" s="8">
        <f t="shared" si="67"/>
        <v>16</v>
      </c>
      <c r="F343" s="9">
        <f t="shared" si="68"/>
        <v>1</v>
      </c>
      <c r="G343" s="9">
        <f t="shared" si="69"/>
        <v>1</v>
      </c>
      <c r="H343" s="9">
        <f t="shared" si="71"/>
        <v>0</v>
      </c>
      <c r="I343" t="str">
        <f t="shared" si="72"/>
        <v>HOLD</v>
      </c>
      <c r="J343">
        <f t="shared" si="80"/>
        <v>0</v>
      </c>
      <c r="K343" t="str">
        <f>IF(I343="","",IF(J343&gt;=Parameters!$B$5,I343,"HOLD"))</f>
        <v>HOLD</v>
      </c>
      <c r="L343" s="10">
        <f>'Actual Calc'!T343</f>
        <v>0</v>
      </c>
      <c r="M343" s="10">
        <f>'Actual Calc'!U343</f>
        <v>270012968283.31177</v>
      </c>
      <c r="N343" s="12">
        <f t="shared" si="73"/>
        <v>0</v>
      </c>
      <c r="O343" s="12">
        <f>IF(NOT(ISNUMBER(N343)),"",IF(K343="A",MIN(Parameters!$B$8,N343+Parameters!$B$6),IF(K343="B",MAX(Parameters!$B$7,N343-Parameters!$B$6),N343)))</f>
        <v>0</v>
      </c>
      <c r="P343" s="13">
        <f t="shared" si="74"/>
        <v>0</v>
      </c>
      <c r="Q343" s="13">
        <f t="shared" si="75"/>
        <v>0</v>
      </c>
      <c r="R343" s="13">
        <f t="shared" si="76"/>
        <v>0</v>
      </c>
      <c r="S343" s="13">
        <f t="shared" si="77"/>
        <v>270012968283.31177</v>
      </c>
      <c r="T343" s="12">
        <f t="shared" si="78"/>
        <v>0</v>
      </c>
      <c r="U343" t="str">
        <f t="shared" si="79"/>
        <v>No transfer</v>
      </c>
      <c r="V343" s="25" t="s">
        <v>95</v>
      </c>
    </row>
    <row r="344" spans="1:22">
      <c r="A344" s="14">
        <v>45586</v>
      </c>
      <c r="B344" s="15">
        <v>-6.2199999999999998E-3</v>
      </c>
      <c r="C344" s="15">
        <v>-6.2199999999999998E-3</v>
      </c>
      <c r="D344" s="16">
        <f t="shared" si="70"/>
        <v>-6.2199999999999998E-3</v>
      </c>
      <c r="E344" s="17">
        <f t="shared" si="67"/>
        <v>15</v>
      </c>
      <c r="F344" s="18">
        <f t="shared" si="68"/>
        <v>1</v>
      </c>
      <c r="G344" s="18">
        <f t="shared" si="69"/>
        <v>1</v>
      </c>
      <c r="H344" s="18">
        <f t="shared" si="71"/>
        <v>0</v>
      </c>
      <c r="I344" s="19" t="str">
        <f t="shared" si="72"/>
        <v>HOLD</v>
      </c>
      <c r="J344" s="19">
        <f t="shared" si="80"/>
        <v>0</v>
      </c>
      <c r="K344" s="19" t="str">
        <f>IF(I344="","",IF(J344&gt;=Parameters!$B$5,I344,"HOLD"))</f>
        <v>HOLD</v>
      </c>
      <c r="L344" s="20">
        <f>'Actual Calc'!T344</f>
        <v>0</v>
      </c>
      <c r="M344" s="20">
        <f>'Actual Calc'!U344</f>
        <v>247619892791.19775</v>
      </c>
      <c r="N344" s="21">
        <f t="shared" si="73"/>
        <v>0</v>
      </c>
      <c r="O344" s="21">
        <f>IF(NOT(ISNUMBER(N344)),"",IF(K344="A",MIN(Parameters!$B$8,N344+Parameters!$B$6),IF(K344="B",MAX(Parameters!$B$7,N344-Parameters!$B$6),N344)))</f>
        <v>0</v>
      </c>
      <c r="P344" s="22">
        <f t="shared" si="74"/>
        <v>0</v>
      </c>
      <c r="Q344" s="22">
        <f t="shared" si="75"/>
        <v>0</v>
      </c>
      <c r="R344" s="22">
        <f t="shared" si="76"/>
        <v>0</v>
      </c>
      <c r="S344" s="22">
        <f t="shared" si="77"/>
        <v>247619892791.19775</v>
      </c>
      <c r="T344" s="21">
        <f t="shared" si="78"/>
        <v>0</v>
      </c>
      <c r="U344" s="19" t="str">
        <f t="shared" si="79"/>
        <v>No transfer</v>
      </c>
      <c r="V344" s="35" t="s">
        <v>95</v>
      </c>
    </row>
    <row r="345" spans="1:22">
      <c r="A345" s="4">
        <v>45593</v>
      </c>
      <c r="B345" s="5">
        <v>-8.2500000000000004E-3</v>
      </c>
      <c r="C345" s="5">
        <v>-8.2500000000000004E-3</v>
      </c>
      <c r="D345" s="6">
        <f t="shared" si="70"/>
        <v>-8.2500000000000004E-3</v>
      </c>
      <c r="E345" s="8">
        <f t="shared" si="67"/>
        <v>15</v>
      </c>
      <c r="F345" s="9">
        <f t="shared" si="68"/>
        <v>1</v>
      </c>
      <c r="G345" s="9">
        <f t="shared" si="69"/>
        <v>1</v>
      </c>
      <c r="H345" s="9">
        <f t="shared" si="71"/>
        <v>0</v>
      </c>
      <c r="I345" t="str">
        <f t="shared" si="72"/>
        <v>HOLD</v>
      </c>
      <c r="J345">
        <f t="shared" si="80"/>
        <v>0</v>
      </c>
      <c r="K345" t="str">
        <f>IF(I345="","",IF(J345&gt;=Parameters!$B$5,I345,"HOLD"))</f>
        <v>HOLD</v>
      </c>
      <c r="L345" s="10">
        <f>'Actual Calc'!T345</f>
        <v>0</v>
      </c>
      <c r="M345" s="10">
        <f>'Actual Calc'!U345</f>
        <v>220381704591.17276</v>
      </c>
      <c r="N345" s="12">
        <f t="shared" si="73"/>
        <v>0</v>
      </c>
      <c r="O345" s="12">
        <f>IF(NOT(ISNUMBER(N345)),"",IF(K345="A",MIN(Parameters!$B$8,N345+Parameters!$B$6),IF(K345="B",MAX(Parameters!$B$7,N345-Parameters!$B$6),N345)))</f>
        <v>0</v>
      </c>
      <c r="P345" s="13">
        <f t="shared" si="74"/>
        <v>0</v>
      </c>
      <c r="Q345" s="13">
        <f t="shared" si="75"/>
        <v>0</v>
      </c>
      <c r="R345" s="13">
        <f t="shared" si="76"/>
        <v>0</v>
      </c>
      <c r="S345" s="13">
        <f t="shared" si="77"/>
        <v>220381704591.17276</v>
      </c>
      <c r="T345" s="12">
        <f t="shared" si="78"/>
        <v>0</v>
      </c>
      <c r="U345" t="str">
        <f t="shared" si="79"/>
        <v>No transfer</v>
      </c>
      <c r="V345" s="25" t="s">
        <v>95</v>
      </c>
    </row>
    <row r="346" spans="1:22">
      <c r="A346" s="14">
        <v>45600</v>
      </c>
      <c r="B346" s="15">
        <v>5.5030000000000003E-2</v>
      </c>
      <c r="C346" s="15">
        <v>5.5030000000000003E-2</v>
      </c>
      <c r="D346" s="16">
        <f t="shared" si="70"/>
        <v>5.5030000000000003E-2</v>
      </c>
      <c r="E346" s="17">
        <f t="shared" si="67"/>
        <v>15</v>
      </c>
      <c r="F346" s="18">
        <f t="shared" si="68"/>
        <v>1</v>
      </c>
      <c r="G346" s="18">
        <f t="shared" si="69"/>
        <v>1</v>
      </c>
      <c r="H346" s="18">
        <f t="shared" si="71"/>
        <v>0</v>
      </c>
      <c r="I346" s="19" t="str">
        <f t="shared" si="72"/>
        <v>HOLD</v>
      </c>
      <c r="J346" s="19">
        <f t="shared" si="80"/>
        <v>0</v>
      </c>
      <c r="K346" s="19" t="str">
        <f>IF(I346="","",IF(J346&gt;=Parameters!$B$5,I346,"HOLD"))</f>
        <v>HOLD</v>
      </c>
      <c r="L346" s="20">
        <f>'Actual Calc'!T346</f>
        <v>0</v>
      </c>
      <c r="M346" s="20">
        <f>'Actual Calc'!U346</f>
        <v>382083107296.50378</v>
      </c>
      <c r="N346" s="21">
        <f t="shared" si="73"/>
        <v>0</v>
      </c>
      <c r="O346" s="21">
        <f>IF(NOT(ISNUMBER(N346)),"",IF(K346="A",MIN(Parameters!$B$8,N346+Parameters!$B$6),IF(K346="B",MAX(Parameters!$B$7,N346-Parameters!$B$6),N346)))</f>
        <v>0</v>
      </c>
      <c r="P346" s="22">
        <f t="shared" si="74"/>
        <v>0</v>
      </c>
      <c r="Q346" s="22">
        <f t="shared" si="75"/>
        <v>0</v>
      </c>
      <c r="R346" s="22">
        <f t="shared" si="76"/>
        <v>0</v>
      </c>
      <c r="S346" s="22">
        <f t="shared" si="77"/>
        <v>382083107296.50378</v>
      </c>
      <c r="T346" s="21">
        <f t="shared" si="78"/>
        <v>0</v>
      </c>
      <c r="U346" s="19" t="str">
        <f t="shared" si="79"/>
        <v>No transfer</v>
      </c>
      <c r="V346" s="35" t="s">
        <v>95</v>
      </c>
    </row>
    <row r="347" spans="1:22">
      <c r="A347" s="4">
        <v>45607</v>
      </c>
      <c r="B347" s="5">
        <v>-3.7399999999999998E-3</v>
      </c>
      <c r="C347" s="5">
        <v>-3.7399999999999998E-3</v>
      </c>
      <c r="D347" s="6">
        <f t="shared" si="70"/>
        <v>-3.7399999999999998E-3</v>
      </c>
      <c r="E347" s="8">
        <f t="shared" si="67"/>
        <v>14</v>
      </c>
      <c r="F347" s="9">
        <f t="shared" si="68"/>
        <v>1</v>
      </c>
      <c r="G347" s="9">
        <f t="shared" si="69"/>
        <v>1</v>
      </c>
      <c r="H347" s="9">
        <f t="shared" si="71"/>
        <v>0</v>
      </c>
      <c r="I347" t="str">
        <f t="shared" si="72"/>
        <v>HOLD</v>
      </c>
      <c r="J347">
        <f t="shared" si="80"/>
        <v>0</v>
      </c>
      <c r="K347" t="str">
        <f>IF(I347="","",IF(J347&gt;=Parameters!$B$5,I347,"HOLD"))</f>
        <v>HOLD</v>
      </c>
      <c r="L347" s="10">
        <f>'Actual Calc'!T347</f>
        <v>0</v>
      </c>
      <c r="M347" s="10">
        <f>'Actual Calc'!U347</f>
        <v>363029896346.43378</v>
      </c>
      <c r="N347" s="12">
        <f t="shared" si="73"/>
        <v>0</v>
      </c>
      <c r="O347" s="12">
        <f>IF(NOT(ISNUMBER(N347)),"",IF(K347="A",MIN(Parameters!$B$8,N347+Parameters!$B$6),IF(K347="B",MAX(Parameters!$B$7,N347-Parameters!$B$6),N347)))</f>
        <v>0</v>
      </c>
      <c r="P347" s="13">
        <f t="shared" si="74"/>
        <v>0</v>
      </c>
      <c r="Q347" s="13">
        <f t="shared" si="75"/>
        <v>0</v>
      </c>
      <c r="R347" s="13">
        <f t="shared" si="76"/>
        <v>0</v>
      </c>
      <c r="S347" s="13">
        <f t="shared" si="77"/>
        <v>363029896346.43378</v>
      </c>
      <c r="T347" s="12">
        <f t="shared" si="78"/>
        <v>0</v>
      </c>
      <c r="U347" t="str">
        <f t="shared" si="79"/>
        <v>No transfer</v>
      </c>
      <c r="V347" s="25" t="s">
        <v>95</v>
      </c>
    </row>
    <row r="348" spans="1:22">
      <c r="A348" s="14">
        <v>45614</v>
      </c>
      <c r="B348" s="15">
        <v>1.546E-2</v>
      </c>
      <c r="C348" s="15">
        <v>1.546E-2</v>
      </c>
      <c r="D348" s="16">
        <f t="shared" si="70"/>
        <v>1.546E-2</v>
      </c>
      <c r="E348" s="17">
        <f t="shared" si="67"/>
        <v>14</v>
      </c>
      <c r="F348" s="18">
        <f t="shared" si="68"/>
        <v>1</v>
      </c>
      <c r="G348" s="18">
        <f t="shared" si="69"/>
        <v>1</v>
      </c>
      <c r="H348" s="18">
        <f t="shared" si="71"/>
        <v>0</v>
      </c>
      <c r="I348" s="19" t="str">
        <f t="shared" si="72"/>
        <v>HOLD</v>
      </c>
      <c r="J348" s="19">
        <f t="shared" si="80"/>
        <v>0</v>
      </c>
      <c r="K348" s="19" t="str">
        <f>IF(I348="","",IF(J348&gt;=Parameters!$B$5,I348,"HOLD"))</f>
        <v>HOLD</v>
      </c>
      <c r="L348" s="20">
        <f>'Actual Calc'!T348</f>
        <v>0</v>
      </c>
      <c r="M348" s="20">
        <f>'Actual Calc'!U348</f>
        <v>437862458971.43774</v>
      </c>
      <c r="N348" s="21">
        <f t="shared" si="73"/>
        <v>0</v>
      </c>
      <c r="O348" s="21">
        <f>IF(NOT(ISNUMBER(N348)),"",IF(K348="A",MIN(Parameters!$B$8,N348+Parameters!$B$6),IF(K348="B",MAX(Parameters!$B$7,N348-Parameters!$B$6),N348)))</f>
        <v>0</v>
      </c>
      <c r="P348" s="22">
        <f t="shared" si="74"/>
        <v>0</v>
      </c>
      <c r="Q348" s="22">
        <f t="shared" si="75"/>
        <v>0</v>
      </c>
      <c r="R348" s="22">
        <f t="shared" si="76"/>
        <v>0</v>
      </c>
      <c r="S348" s="22">
        <f t="shared" si="77"/>
        <v>437862458971.43774</v>
      </c>
      <c r="T348" s="21">
        <f t="shared" si="78"/>
        <v>0</v>
      </c>
      <c r="U348" s="19" t="str">
        <f t="shared" si="79"/>
        <v>No transfer</v>
      </c>
      <c r="V348" s="35" t="s">
        <v>95</v>
      </c>
    </row>
    <row r="349" spans="1:22">
      <c r="A349" s="4">
        <v>45621</v>
      </c>
      <c r="B349" s="5">
        <v>-3.9300000000000003E-3</v>
      </c>
      <c r="C349" s="5">
        <v>-3.9300000000000003E-3</v>
      </c>
      <c r="D349" s="6">
        <f t="shared" si="70"/>
        <v>-3.9300000000000003E-3</v>
      </c>
      <c r="E349" s="8">
        <f t="shared" ref="E349:E412" si="81">IF(NOT(ISNUMBER(D349)),"",COUNTIF(D324:D349,"&gt;0"))</f>
        <v>14</v>
      </c>
      <c r="F349" s="9">
        <f t="shared" ref="F349:F412" si="82">IF(OR(NOT(ISNUMBER(E349)),E349&lt;2),"",IFERROR((SUMPRODUCT(--(D324:D349&gt;0),B324:B349,D324:D349)-SUMPRODUCT(--(D324:D349&gt;0),B324:B349)*SUMPRODUCT(--(D324:D349&gt;0),D324:D349)/E349)/(SUMPRODUCT(--(D324:D349&gt;0),D324:D349,D324:D349)-SUMPRODUCT(--(D324:D349&gt;0),D324:D349)^2/E349),""))</f>
        <v>1</v>
      </c>
      <c r="G349" s="9">
        <f t="shared" ref="G349:G412" si="83">IF(OR(NOT(ISNUMBER(E349)),E349&lt;2),"",IFERROR((SUMPRODUCT(--(D324:D349&gt;0),C324:C349,D324:D349)-SUMPRODUCT(--(D324:D349&gt;0),C324:C349)*SUMPRODUCT(--(D324:D349&gt;0),D324:D349)/E349)/(SUMPRODUCT(--(D324:D349&gt;0),D324:D349,D324:D349)-SUMPRODUCT(--(D324:D349&gt;0),D324:D349)^2/E349),""))</f>
        <v>1</v>
      </c>
      <c r="H349" s="9">
        <f t="shared" si="71"/>
        <v>0</v>
      </c>
      <c r="I349" t="str">
        <f t="shared" si="72"/>
        <v>HOLD</v>
      </c>
      <c r="J349">
        <f t="shared" si="80"/>
        <v>0</v>
      </c>
      <c r="K349" t="str">
        <f>IF(I349="","",IF(J349&gt;=Parameters!$B$5,I349,"HOLD"))</f>
        <v>HOLD</v>
      </c>
      <c r="L349" s="10">
        <f>'Actual Calc'!T349</f>
        <v>0</v>
      </c>
      <c r="M349" s="10">
        <f>'Actual Calc'!U349</f>
        <v>414918466125.73273</v>
      </c>
      <c r="N349" s="12">
        <f t="shared" si="73"/>
        <v>0</v>
      </c>
      <c r="O349" s="12">
        <f>IF(NOT(ISNUMBER(N349)),"",IF(K349="A",MIN(Parameters!$B$8,N349+Parameters!$B$6),IF(K349="B",MAX(Parameters!$B$7,N349-Parameters!$B$6),N349)))</f>
        <v>0</v>
      </c>
      <c r="P349" s="13">
        <f t="shared" si="74"/>
        <v>0</v>
      </c>
      <c r="Q349" s="13">
        <f t="shared" si="75"/>
        <v>0</v>
      </c>
      <c r="R349" s="13">
        <f t="shared" si="76"/>
        <v>0</v>
      </c>
      <c r="S349" s="13">
        <f t="shared" si="77"/>
        <v>414918466125.73273</v>
      </c>
      <c r="T349" s="12">
        <f t="shared" si="78"/>
        <v>0</v>
      </c>
      <c r="U349" t="str">
        <f t="shared" si="79"/>
        <v>No transfer</v>
      </c>
      <c r="V349" s="25" t="s">
        <v>95</v>
      </c>
    </row>
    <row r="350" spans="1:22">
      <c r="A350" s="14">
        <v>45628</v>
      </c>
      <c r="B350" s="15">
        <v>8.4600000000000005E-3</v>
      </c>
      <c r="C350" s="15">
        <v>8.4600000000000005E-3</v>
      </c>
      <c r="D350" s="16">
        <f t="shared" si="70"/>
        <v>8.4600000000000005E-3</v>
      </c>
      <c r="E350" s="17">
        <f t="shared" si="81"/>
        <v>14</v>
      </c>
      <c r="F350" s="18">
        <f t="shared" si="82"/>
        <v>1</v>
      </c>
      <c r="G350" s="18">
        <f t="shared" si="83"/>
        <v>1</v>
      </c>
      <c r="H350" s="18">
        <f t="shared" si="71"/>
        <v>0</v>
      </c>
      <c r="I350" s="19" t="str">
        <f t="shared" si="72"/>
        <v>HOLD</v>
      </c>
      <c r="J350" s="19">
        <f t="shared" si="80"/>
        <v>0</v>
      </c>
      <c r="K350" s="19" t="str">
        <f>IF(I350="","",IF(J350&gt;=Parameters!$B$5,I350,"HOLD"))</f>
        <v>HOLD</v>
      </c>
      <c r="L350" s="20">
        <f>'Actual Calc'!T350</f>
        <v>0</v>
      </c>
      <c r="M350" s="20">
        <f>'Actual Calc'!U350</f>
        <v>461721269098.71075</v>
      </c>
      <c r="N350" s="21">
        <f t="shared" si="73"/>
        <v>0</v>
      </c>
      <c r="O350" s="21">
        <f>IF(NOT(ISNUMBER(N350)),"",IF(K350="A",MIN(Parameters!$B$8,N350+Parameters!$B$6),IF(K350="B",MAX(Parameters!$B$7,N350-Parameters!$B$6),N350)))</f>
        <v>0</v>
      </c>
      <c r="P350" s="22">
        <f t="shared" si="74"/>
        <v>0</v>
      </c>
      <c r="Q350" s="22">
        <f t="shared" si="75"/>
        <v>0</v>
      </c>
      <c r="R350" s="22">
        <f t="shared" si="76"/>
        <v>0</v>
      </c>
      <c r="S350" s="22">
        <f t="shared" si="77"/>
        <v>461721269098.71075</v>
      </c>
      <c r="T350" s="21">
        <f t="shared" si="78"/>
        <v>0</v>
      </c>
      <c r="U350" s="19" t="str">
        <f t="shared" si="79"/>
        <v>No transfer</v>
      </c>
      <c r="V350" s="35" t="s">
        <v>95</v>
      </c>
    </row>
    <row r="351" spans="1:22">
      <c r="A351" s="4">
        <v>45635</v>
      </c>
      <c r="B351" s="5">
        <v>-3.9399999999999999E-3</v>
      </c>
      <c r="C351" s="5">
        <v>-3.9399999999999999E-3</v>
      </c>
      <c r="D351" s="6">
        <f t="shared" si="70"/>
        <v>-3.9399999999999999E-3</v>
      </c>
      <c r="E351" s="8">
        <f t="shared" si="81"/>
        <v>13</v>
      </c>
      <c r="F351" s="9">
        <f t="shared" si="82"/>
        <v>1</v>
      </c>
      <c r="G351" s="9">
        <f t="shared" si="83"/>
        <v>1</v>
      </c>
      <c r="H351" s="9">
        <f t="shared" si="71"/>
        <v>0</v>
      </c>
      <c r="I351" t="str">
        <f t="shared" si="72"/>
        <v>HOLD</v>
      </c>
      <c r="J351">
        <f t="shared" si="80"/>
        <v>0</v>
      </c>
      <c r="K351" t="str">
        <f>IF(I351="","",IF(J351&gt;=Parameters!$B$5,I351,"HOLD"))</f>
        <v>HOLD</v>
      </c>
      <c r="L351" s="10">
        <f>'Actual Calc'!T351</f>
        <v>0</v>
      </c>
      <c r="M351" s="10">
        <f>'Actual Calc'!U351</f>
        <v>437465511764.35474</v>
      </c>
      <c r="N351" s="12">
        <f t="shared" si="73"/>
        <v>0</v>
      </c>
      <c r="O351" s="12">
        <f>IF(NOT(ISNUMBER(N351)),"",IF(K351="A",MIN(Parameters!$B$8,N351+Parameters!$B$6),IF(K351="B",MAX(Parameters!$B$7,N351-Parameters!$B$6),N351)))</f>
        <v>0</v>
      </c>
      <c r="P351" s="13">
        <f t="shared" si="74"/>
        <v>0</v>
      </c>
      <c r="Q351" s="13">
        <f t="shared" si="75"/>
        <v>0</v>
      </c>
      <c r="R351" s="13">
        <f t="shared" si="76"/>
        <v>0</v>
      </c>
      <c r="S351" s="13">
        <f t="shared" si="77"/>
        <v>437465511764.35474</v>
      </c>
      <c r="T351" s="12">
        <f t="shared" si="78"/>
        <v>0</v>
      </c>
      <c r="U351" t="str">
        <f t="shared" si="79"/>
        <v>No transfer</v>
      </c>
      <c r="V351" s="25" t="s">
        <v>95</v>
      </c>
    </row>
    <row r="352" spans="1:22">
      <c r="A352" s="14">
        <v>45642</v>
      </c>
      <c r="B352" s="15">
        <v>9.8899999999999995E-3</v>
      </c>
      <c r="C352" s="15">
        <v>9.8899999999999995E-3</v>
      </c>
      <c r="D352" s="16">
        <f t="shared" si="70"/>
        <v>9.8899999999999995E-3</v>
      </c>
      <c r="E352" s="17">
        <f t="shared" si="81"/>
        <v>13</v>
      </c>
      <c r="F352" s="18">
        <f t="shared" si="82"/>
        <v>1</v>
      </c>
      <c r="G352" s="18">
        <f t="shared" si="83"/>
        <v>1</v>
      </c>
      <c r="H352" s="18">
        <f t="shared" si="71"/>
        <v>0</v>
      </c>
      <c r="I352" s="19" t="str">
        <f t="shared" si="72"/>
        <v>HOLD</v>
      </c>
      <c r="J352" s="19">
        <f t="shared" si="80"/>
        <v>0</v>
      </c>
      <c r="K352" s="19" t="str">
        <f>IF(I352="","",IF(J352&gt;=Parameters!$B$5,I352,"HOLD"))</f>
        <v>HOLD</v>
      </c>
      <c r="L352" s="20">
        <f>'Actual Calc'!T352</f>
        <v>0</v>
      </c>
      <c r="M352" s="20">
        <f>'Actual Calc'!U352</f>
        <v>495152630576.49872</v>
      </c>
      <c r="N352" s="21">
        <f t="shared" si="73"/>
        <v>0</v>
      </c>
      <c r="O352" s="21">
        <f>IF(NOT(ISNUMBER(N352)),"",IF(K352="A",MIN(Parameters!$B$8,N352+Parameters!$B$6),IF(K352="B",MAX(Parameters!$B$7,N352-Parameters!$B$6),N352)))</f>
        <v>0</v>
      </c>
      <c r="P352" s="22">
        <f t="shared" si="74"/>
        <v>0</v>
      </c>
      <c r="Q352" s="22">
        <f t="shared" si="75"/>
        <v>0</v>
      </c>
      <c r="R352" s="22">
        <f t="shared" si="76"/>
        <v>0</v>
      </c>
      <c r="S352" s="22">
        <f t="shared" si="77"/>
        <v>495152630576.49872</v>
      </c>
      <c r="T352" s="21">
        <f t="shared" si="78"/>
        <v>0</v>
      </c>
      <c r="U352" s="19" t="str">
        <f t="shared" si="79"/>
        <v>No transfer</v>
      </c>
      <c r="V352" s="35" t="s">
        <v>95</v>
      </c>
    </row>
    <row r="353" spans="1:22">
      <c r="A353" s="4">
        <v>45649</v>
      </c>
      <c r="B353" s="5">
        <v>7.0400000000000003E-3</v>
      </c>
      <c r="C353" s="5">
        <v>7.0400000000000003E-3</v>
      </c>
      <c r="D353" s="6">
        <f t="shared" si="70"/>
        <v>7.0400000000000003E-3</v>
      </c>
      <c r="E353" s="8">
        <f t="shared" si="81"/>
        <v>13</v>
      </c>
      <c r="F353" s="9">
        <f t="shared" si="82"/>
        <v>1</v>
      </c>
      <c r="G353" s="9">
        <f t="shared" si="83"/>
        <v>1</v>
      </c>
      <c r="H353" s="9">
        <f t="shared" si="71"/>
        <v>0</v>
      </c>
      <c r="I353" t="str">
        <f t="shared" si="72"/>
        <v>HOLD</v>
      </c>
      <c r="J353">
        <f t="shared" si="80"/>
        <v>0</v>
      </c>
      <c r="K353" t="str">
        <f>IF(I353="","",IF(J353&gt;=Parameters!$B$5,I353,"HOLD"))</f>
        <v>HOLD</v>
      </c>
      <c r="L353" s="10">
        <f>'Actual Calc'!T353</f>
        <v>0</v>
      </c>
      <c r="M353" s="10">
        <f>'Actual Calc'!U353</f>
        <v>541630957494.6427</v>
      </c>
      <c r="N353" s="12">
        <f t="shared" si="73"/>
        <v>0</v>
      </c>
      <c r="O353" s="12">
        <f>IF(NOT(ISNUMBER(N353)),"",IF(K353="A",MIN(Parameters!$B$8,N353+Parameters!$B$6),IF(K353="B",MAX(Parameters!$B$7,N353-Parameters!$B$6),N353)))</f>
        <v>0</v>
      </c>
      <c r="P353" s="13">
        <f t="shared" si="74"/>
        <v>0</v>
      </c>
      <c r="Q353" s="13">
        <f t="shared" si="75"/>
        <v>0</v>
      </c>
      <c r="R353" s="13">
        <f t="shared" si="76"/>
        <v>0</v>
      </c>
      <c r="S353" s="13">
        <f t="shared" si="77"/>
        <v>541630957494.6427</v>
      </c>
      <c r="T353" s="12">
        <f t="shared" si="78"/>
        <v>0</v>
      </c>
      <c r="U353" t="str">
        <f t="shared" si="79"/>
        <v>No transfer</v>
      </c>
      <c r="V353" s="25" t="s">
        <v>95</v>
      </c>
    </row>
    <row r="354" spans="1:22">
      <c r="A354" s="14">
        <v>45656</v>
      </c>
      <c r="B354" s="15">
        <v>-5.5599999999999998E-3</v>
      </c>
      <c r="C354" s="15">
        <v>0</v>
      </c>
      <c r="D354" s="16">
        <f t="shared" si="70"/>
        <v>-2.7799999999999999E-3</v>
      </c>
      <c r="E354" s="17">
        <f t="shared" si="81"/>
        <v>12</v>
      </c>
      <c r="F354" s="18">
        <f t="shared" si="82"/>
        <v>1</v>
      </c>
      <c r="G354" s="18">
        <f t="shared" si="83"/>
        <v>1</v>
      </c>
      <c r="H354" s="18">
        <f t="shared" si="71"/>
        <v>0</v>
      </c>
      <c r="I354" s="19" t="str">
        <f t="shared" si="72"/>
        <v>HOLD</v>
      </c>
      <c r="J354" s="19">
        <f t="shared" si="80"/>
        <v>0</v>
      </c>
      <c r="K354" s="19" t="str">
        <f>IF(I354="","",IF(J354&gt;=Parameters!$B$5,I354,"HOLD"))</f>
        <v>HOLD</v>
      </c>
      <c r="L354" s="20">
        <f>'Actual Calc'!T354</f>
        <v>0</v>
      </c>
      <c r="M354" s="20">
        <f>'Actual Calc'!U354</f>
        <v>541630957494.6427</v>
      </c>
      <c r="N354" s="21">
        <f t="shared" si="73"/>
        <v>0</v>
      </c>
      <c r="O354" s="21">
        <f>IF(NOT(ISNUMBER(N354)),"",IF(K354="A",MIN(Parameters!$B$8,N354+Parameters!$B$6),IF(K354="B",MAX(Parameters!$B$7,N354-Parameters!$B$6),N354)))</f>
        <v>0</v>
      </c>
      <c r="P354" s="22">
        <f t="shared" si="74"/>
        <v>0</v>
      </c>
      <c r="Q354" s="22">
        <f t="shared" si="75"/>
        <v>0</v>
      </c>
      <c r="R354" s="22">
        <f t="shared" si="76"/>
        <v>0</v>
      </c>
      <c r="S354" s="22">
        <f t="shared" si="77"/>
        <v>541630957494.6427</v>
      </c>
      <c r="T354" s="21">
        <f t="shared" si="78"/>
        <v>0</v>
      </c>
      <c r="U354" s="19" t="str">
        <f t="shared" si="79"/>
        <v>No transfer</v>
      </c>
      <c r="V354" s="35" t="s">
        <v>96</v>
      </c>
    </row>
    <row r="355" spans="1:22">
      <c r="A355" s="4">
        <v>45663</v>
      </c>
      <c r="B355" s="5">
        <v>-2.4049999999999998E-2</v>
      </c>
      <c r="C355" s="5">
        <v>0</v>
      </c>
      <c r="D355" s="6">
        <f t="shared" si="70"/>
        <v>-1.2024999999999999E-2</v>
      </c>
      <c r="E355" s="8">
        <f t="shared" si="81"/>
        <v>12</v>
      </c>
      <c r="F355" s="9">
        <f t="shared" si="82"/>
        <v>1</v>
      </c>
      <c r="G355" s="9">
        <f t="shared" si="83"/>
        <v>1</v>
      </c>
      <c r="H355" s="9">
        <f t="shared" si="71"/>
        <v>0</v>
      </c>
      <c r="I355" t="str">
        <f t="shared" si="72"/>
        <v>HOLD</v>
      </c>
      <c r="J355">
        <f t="shared" si="80"/>
        <v>0</v>
      </c>
      <c r="K355" t="str">
        <f>IF(I355="","",IF(J355&gt;=Parameters!$B$5,I355,"HOLD"))</f>
        <v>HOLD</v>
      </c>
      <c r="L355" s="10">
        <f>'Actual Calc'!T355</f>
        <v>0</v>
      </c>
      <c r="M355" s="10">
        <f>'Actual Calc'!U355</f>
        <v>541630957494.6427</v>
      </c>
      <c r="N355" s="12">
        <f t="shared" si="73"/>
        <v>0</v>
      </c>
      <c r="O355" s="12">
        <f>IF(NOT(ISNUMBER(N355)),"",IF(K355="A",MIN(Parameters!$B$8,N355+Parameters!$B$6),IF(K355="B",MAX(Parameters!$B$7,N355-Parameters!$B$6),N355)))</f>
        <v>0</v>
      </c>
      <c r="P355" s="13">
        <f t="shared" si="74"/>
        <v>0</v>
      </c>
      <c r="Q355" s="13">
        <f t="shared" si="75"/>
        <v>0</v>
      </c>
      <c r="R355" s="13">
        <f t="shared" si="76"/>
        <v>0</v>
      </c>
      <c r="S355" s="13">
        <f t="shared" si="77"/>
        <v>541630957494.6427</v>
      </c>
      <c r="T355" s="12">
        <f t="shared" si="78"/>
        <v>0</v>
      </c>
      <c r="U355" t="str">
        <f t="shared" si="79"/>
        <v>No transfer</v>
      </c>
      <c r="V355" s="25" t="s">
        <v>96</v>
      </c>
    </row>
    <row r="356" spans="1:22">
      <c r="A356" s="14">
        <v>45670</v>
      </c>
      <c r="B356" s="15">
        <v>9.2899999999999996E-3</v>
      </c>
      <c r="C356" s="15">
        <v>9.2899999999999996E-3</v>
      </c>
      <c r="D356" s="16">
        <f t="shared" si="70"/>
        <v>9.2899999999999996E-3</v>
      </c>
      <c r="E356" s="17">
        <f t="shared" si="81"/>
        <v>13</v>
      </c>
      <c r="F356" s="18">
        <f t="shared" si="82"/>
        <v>1</v>
      </c>
      <c r="G356" s="18">
        <f t="shared" si="83"/>
        <v>1</v>
      </c>
      <c r="H356" s="18">
        <f t="shared" si="71"/>
        <v>0</v>
      </c>
      <c r="I356" s="19" t="str">
        <f t="shared" si="72"/>
        <v>HOLD</v>
      </c>
      <c r="J356" s="19">
        <f t="shared" si="80"/>
        <v>0</v>
      </c>
      <c r="K356" s="19" t="str">
        <f>IF(I356="","",IF(J356&gt;=Parameters!$B$5,I356,"HOLD"))</f>
        <v>HOLD</v>
      </c>
      <c r="L356" s="20">
        <f>'Actual Calc'!T356</f>
        <v>0</v>
      </c>
      <c r="M356" s="20">
        <f>'Actual Calc'!U356</f>
        <v>500860835995.41547</v>
      </c>
      <c r="N356" s="21">
        <f t="shared" si="73"/>
        <v>0</v>
      </c>
      <c r="O356" s="21">
        <f>IF(NOT(ISNUMBER(N356)),"",IF(K356="A",MIN(Parameters!$B$8,N356+Parameters!$B$6),IF(K356="B",MAX(Parameters!$B$7,N356-Parameters!$B$6),N356)))</f>
        <v>0</v>
      </c>
      <c r="P356" s="22">
        <f t="shared" si="74"/>
        <v>0</v>
      </c>
      <c r="Q356" s="22">
        <f t="shared" si="75"/>
        <v>0</v>
      </c>
      <c r="R356" s="22">
        <f t="shared" si="76"/>
        <v>0</v>
      </c>
      <c r="S356" s="22">
        <f t="shared" si="77"/>
        <v>500860835995.41547</v>
      </c>
      <c r="T356" s="21">
        <f t="shared" si="78"/>
        <v>0</v>
      </c>
      <c r="U356" s="19" t="str">
        <f t="shared" si="79"/>
        <v>No transfer</v>
      </c>
      <c r="V356" s="35" t="s">
        <v>95</v>
      </c>
    </row>
    <row r="357" spans="1:22">
      <c r="A357" s="4">
        <v>45677</v>
      </c>
      <c r="B357" s="5">
        <v>9.92E-3</v>
      </c>
      <c r="C357" s="5">
        <v>9.92E-3</v>
      </c>
      <c r="D357" s="6">
        <f t="shared" si="70"/>
        <v>9.92E-3</v>
      </c>
      <c r="E357" s="8">
        <f t="shared" si="81"/>
        <v>14</v>
      </c>
      <c r="F357" s="9">
        <f t="shared" si="82"/>
        <v>1</v>
      </c>
      <c r="G357" s="9">
        <f t="shared" si="83"/>
        <v>1</v>
      </c>
      <c r="H357" s="9">
        <f t="shared" si="71"/>
        <v>0</v>
      </c>
      <c r="I357" t="str">
        <f t="shared" si="72"/>
        <v>HOLD</v>
      </c>
      <c r="J357">
        <f t="shared" si="80"/>
        <v>0</v>
      </c>
      <c r="K357" t="str">
        <f>IF(I357="","",IF(J357&gt;=Parameters!$B$5,I357,"HOLD"))</f>
        <v>HOLD</v>
      </c>
      <c r="L357" s="10">
        <f>'Actual Calc'!T357</f>
        <v>0</v>
      </c>
      <c r="M357" s="10">
        <f>'Actual Calc'!U357</f>
        <v>567108029231.06348</v>
      </c>
      <c r="N357" s="12">
        <f t="shared" si="73"/>
        <v>0</v>
      </c>
      <c r="O357" s="12">
        <f>IF(NOT(ISNUMBER(N357)),"",IF(K357="A",MIN(Parameters!$B$8,N357+Parameters!$B$6),IF(K357="B",MAX(Parameters!$B$7,N357-Parameters!$B$6),N357)))</f>
        <v>0</v>
      </c>
      <c r="P357" s="13">
        <f t="shared" si="74"/>
        <v>0</v>
      </c>
      <c r="Q357" s="13">
        <f t="shared" si="75"/>
        <v>0</v>
      </c>
      <c r="R357" s="13">
        <f t="shared" si="76"/>
        <v>0</v>
      </c>
      <c r="S357" s="13">
        <f t="shared" si="77"/>
        <v>567108029231.06348</v>
      </c>
      <c r="T357" s="12">
        <f t="shared" si="78"/>
        <v>0</v>
      </c>
      <c r="U357" t="str">
        <f t="shared" si="79"/>
        <v>No transfer</v>
      </c>
      <c r="V357" s="25" t="s">
        <v>95</v>
      </c>
    </row>
    <row r="358" spans="1:22">
      <c r="A358" s="14">
        <v>45684</v>
      </c>
      <c r="B358" s="15">
        <v>1.0789999999999999E-2</v>
      </c>
      <c r="C358" s="15">
        <v>1.0789999999999999E-2</v>
      </c>
      <c r="D358" s="16">
        <f t="shared" si="70"/>
        <v>1.0789999999999999E-2</v>
      </c>
      <c r="E358" s="17">
        <f t="shared" si="81"/>
        <v>15</v>
      </c>
      <c r="F358" s="18">
        <f t="shared" si="82"/>
        <v>1</v>
      </c>
      <c r="G358" s="18">
        <f t="shared" si="83"/>
        <v>1</v>
      </c>
      <c r="H358" s="18">
        <f t="shared" si="71"/>
        <v>0</v>
      </c>
      <c r="I358" s="19" t="str">
        <f t="shared" si="72"/>
        <v>HOLD</v>
      </c>
      <c r="J358" s="19">
        <f t="shared" si="80"/>
        <v>0</v>
      </c>
      <c r="K358" s="19" t="str">
        <f>IF(I358="","",IF(J358&gt;=Parameters!$B$5,I358,"HOLD"))</f>
        <v>HOLD</v>
      </c>
      <c r="L358" s="20">
        <f>'Actual Calc'!T358</f>
        <v>0</v>
      </c>
      <c r="M358" s="20">
        <f>'Actual Calc'!U358</f>
        <v>648695971032.68945</v>
      </c>
      <c r="N358" s="21">
        <f t="shared" si="73"/>
        <v>0</v>
      </c>
      <c r="O358" s="21">
        <f>IF(NOT(ISNUMBER(N358)),"",IF(K358="A",MIN(Parameters!$B$8,N358+Parameters!$B$6),IF(K358="B",MAX(Parameters!$B$7,N358-Parameters!$B$6),N358)))</f>
        <v>0</v>
      </c>
      <c r="P358" s="22">
        <f t="shared" si="74"/>
        <v>0</v>
      </c>
      <c r="Q358" s="22">
        <f t="shared" si="75"/>
        <v>0</v>
      </c>
      <c r="R358" s="22">
        <f t="shared" si="76"/>
        <v>0</v>
      </c>
      <c r="S358" s="22">
        <f t="shared" si="77"/>
        <v>648695971032.68945</v>
      </c>
      <c r="T358" s="21">
        <f t="shared" si="78"/>
        <v>0</v>
      </c>
      <c r="U358" s="19" t="str">
        <f t="shared" si="79"/>
        <v>No transfer</v>
      </c>
      <c r="V358" s="35" t="s">
        <v>95</v>
      </c>
    </row>
    <row r="359" spans="1:22">
      <c r="A359" s="4">
        <v>45691</v>
      </c>
      <c r="B359" s="5">
        <v>8.5000000000000006E-3</v>
      </c>
      <c r="C359" s="5">
        <v>8.5000000000000006E-3</v>
      </c>
      <c r="D359" s="6">
        <f t="shared" si="70"/>
        <v>8.5000000000000006E-3</v>
      </c>
      <c r="E359" s="8">
        <f t="shared" si="81"/>
        <v>15</v>
      </c>
      <c r="F359" s="9">
        <f t="shared" si="82"/>
        <v>1</v>
      </c>
      <c r="G359" s="9">
        <f t="shared" si="83"/>
        <v>1</v>
      </c>
      <c r="H359" s="9">
        <f t="shared" si="71"/>
        <v>0</v>
      </c>
      <c r="I359" t="str">
        <f t="shared" si="72"/>
        <v>HOLD</v>
      </c>
      <c r="J359">
        <f t="shared" si="80"/>
        <v>0</v>
      </c>
      <c r="K359" t="str">
        <f>IF(I359="","",IF(J359&gt;=Parameters!$B$5,I359,"HOLD"))</f>
        <v>HOLD</v>
      </c>
      <c r="L359" s="10">
        <f>'Actual Calc'!T359</f>
        <v>0</v>
      </c>
      <c r="M359" s="10">
        <f>'Actual Calc'!U359</f>
        <v>722214847733.83948</v>
      </c>
      <c r="N359" s="12">
        <f t="shared" si="73"/>
        <v>0</v>
      </c>
      <c r="O359" s="12">
        <f>IF(NOT(ISNUMBER(N359)),"",IF(K359="A",MIN(Parameters!$B$8,N359+Parameters!$B$6),IF(K359="B",MAX(Parameters!$B$7,N359-Parameters!$B$6),N359)))</f>
        <v>0</v>
      </c>
      <c r="P359" s="13">
        <f t="shared" si="74"/>
        <v>0</v>
      </c>
      <c r="Q359" s="13">
        <f t="shared" si="75"/>
        <v>0</v>
      </c>
      <c r="R359" s="13">
        <f t="shared" si="76"/>
        <v>0</v>
      </c>
      <c r="S359" s="13">
        <f t="shared" si="77"/>
        <v>722214847733.83948</v>
      </c>
      <c r="T359" s="12">
        <f t="shared" si="78"/>
        <v>0</v>
      </c>
      <c r="U359" t="str">
        <f t="shared" si="79"/>
        <v>No transfer</v>
      </c>
      <c r="V359" s="25" t="s">
        <v>95</v>
      </c>
    </row>
    <row r="360" spans="1:22">
      <c r="A360" s="14">
        <v>45698</v>
      </c>
      <c r="B360" s="15">
        <v>2.009E-2</v>
      </c>
      <c r="C360" s="15">
        <v>2.009E-2</v>
      </c>
      <c r="D360" s="16">
        <f t="shared" si="70"/>
        <v>2.009E-2</v>
      </c>
      <c r="E360" s="17">
        <f t="shared" si="81"/>
        <v>15</v>
      </c>
      <c r="F360" s="18">
        <f t="shared" si="82"/>
        <v>1</v>
      </c>
      <c r="G360" s="18">
        <f t="shared" si="83"/>
        <v>1</v>
      </c>
      <c r="H360" s="18">
        <f t="shared" si="71"/>
        <v>0</v>
      </c>
      <c r="I360" s="19" t="str">
        <f t="shared" si="72"/>
        <v>HOLD</v>
      </c>
      <c r="J360" s="19">
        <f t="shared" si="80"/>
        <v>0</v>
      </c>
      <c r="K360" s="19" t="str">
        <f>IF(I360="","",IF(J360&gt;=Parameters!$B$5,I360,"HOLD"))</f>
        <v>HOLD</v>
      </c>
      <c r="L360" s="20">
        <f>'Actual Calc'!T360</f>
        <v>0</v>
      </c>
      <c r="M360" s="20">
        <f>'Actual Calc'!U360</f>
        <v>915672131591.01953</v>
      </c>
      <c r="N360" s="21">
        <f t="shared" si="73"/>
        <v>0</v>
      </c>
      <c r="O360" s="21">
        <f>IF(NOT(ISNUMBER(N360)),"",IF(K360="A",MIN(Parameters!$B$8,N360+Parameters!$B$6),IF(K360="B",MAX(Parameters!$B$7,N360-Parameters!$B$6),N360)))</f>
        <v>0</v>
      </c>
      <c r="P360" s="22">
        <f t="shared" si="74"/>
        <v>0</v>
      </c>
      <c r="Q360" s="22">
        <f t="shared" si="75"/>
        <v>0</v>
      </c>
      <c r="R360" s="22">
        <f t="shared" si="76"/>
        <v>0</v>
      </c>
      <c r="S360" s="22">
        <f t="shared" si="77"/>
        <v>915672131591.01953</v>
      </c>
      <c r="T360" s="21">
        <f t="shared" si="78"/>
        <v>0</v>
      </c>
      <c r="U360" s="19" t="str">
        <f t="shared" si="79"/>
        <v>No transfer</v>
      </c>
      <c r="V360" s="35" t="s">
        <v>95</v>
      </c>
    </row>
    <row r="361" spans="1:22">
      <c r="A361" s="4">
        <v>45705</v>
      </c>
      <c r="B361" s="5">
        <v>-4.1900000000000001E-3</v>
      </c>
      <c r="C361" s="5">
        <v>-4.1900000000000001E-3</v>
      </c>
      <c r="D361" s="6">
        <f t="shared" si="70"/>
        <v>-4.1900000000000001E-3</v>
      </c>
      <c r="E361" s="8">
        <f t="shared" si="81"/>
        <v>14</v>
      </c>
      <c r="F361" s="9">
        <f t="shared" si="82"/>
        <v>1</v>
      </c>
      <c r="G361" s="9">
        <f t="shared" si="83"/>
        <v>1</v>
      </c>
      <c r="H361" s="9">
        <f t="shared" si="71"/>
        <v>0</v>
      </c>
      <c r="I361" t="str">
        <f t="shared" si="72"/>
        <v>HOLD</v>
      </c>
      <c r="J361">
        <f t="shared" si="80"/>
        <v>0</v>
      </c>
      <c r="K361" t="str">
        <f>IF(I361="","",IF(J361&gt;=Parameters!$B$5,I361,"HOLD"))</f>
        <v>HOLD</v>
      </c>
      <c r="L361" s="10">
        <f>'Actual Calc'!T361</f>
        <v>0</v>
      </c>
      <c r="M361" s="10">
        <f>'Actual Calc'!U361</f>
        <v>864516581840.50256</v>
      </c>
      <c r="N361" s="12">
        <f t="shared" si="73"/>
        <v>0</v>
      </c>
      <c r="O361" s="12">
        <f>IF(NOT(ISNUMBER(N361)),"",IF(K361="A",MIN(Parameters!$B$8,N361+Parameters!$B$6),IF(K361="B",MAX(Parameters!$B$7,N361-Parameters!$B$6),N361)))</f>
        <v>0</v>
      </c>
      <c r="P361" s="13">
        <f t="shared" si="74"/>
        <v>0</v>
      </c>
      <c r="Q361" s="13">
        <f t="shared" si="75"/>
        <v>0</v>
      </c>
      <c r="R361" s="13">
        <f t="shared" si="76"/>
        <v>0</v>
      </c>
      <c r="S361" s="13">
        <f t="shared" si="77"/>
        <v>864516581840.50256</v>
      </c>
      <c r="T361" s="12">
        <f t="shared" si="78"/>
        <v>0</v>
      </c>
      <c r="U361" t="str">
        <f t="shared" si="79"/>
        <v>No transfer</v>
      </c>
      <c r="V361" s="25" t="s">
        <v>95</v>
      </c>
    </row>
    <row r="362" spans="1:22">
      <c r="A362" s="14">
        <v>45712</v>
      </c>
      <c r="B362" s="15">
        <v>-2.3439999999999999E-2</v>
      </c>
      <c r="C362" s="15">
        <v>-1.12E-2</v>
      </c>
      <c r="D362" s="16">
        <f t="shared" si="70"/>
        <v>-1.7319999999999999E-2</v>
      </c>
      <c r="E362" s="17">
        <f t="shared" si="81"/>
        <v>14</v>
      </c>
      <c r="F362" s="18">
        <f t="shared" si="82"/>
        <v>1</v>
      </c>
      <c r="G362" s="18">
        <f t="shared" si="83"/>
        <v>1</v>
      </c>
      <c r="H362" s="18">
        <f t="shared" si="71"/>
        <v>0</v>
      </c>
      <c r="I362" s="19" t="str">
        <f t="shared" si="72"/>
        <v>HOLD</v>
      </c>
      <c r="J362" s="19">
        <f t="shared" si="80"/>
        <v>0</v>
      </c>
      <c r="K362" s="19" t="str">
        <f>IF(I362="","",IF(J362&gt;=Parameters!$B$5,I362,"HOLD"))</f>
        <v>HOLD</v>
      </c>
      <c r="L362" s="20">
        <f>'Actual Calc'!T362</f>
        <v>0</v>
      </c>
      <c r="M362" s="20">
        <f>'Actual Calc'!U362</f>
        <v>735415438965.46252</v>
      </c>
      <c r="N362" s="21">
        <f t="shared" si="73"/>
        <v>0</v>
      </c>
      <c r="O362" s="21">
        <f>IF(NOT(ISNUMBER(N362)),"",IF(K362="A",MIN(Parameters!$B$8,N362+Parameters!$B$6),IF(K362="B",MAX(Parameters!$B$7,N362-Parameters!$B$6),N362)))</f>
        <v>0</v>
      </c>
      <c r="P362" s="22">
        <f t="shared" si="74"/>
        <v>0</v>
      </c>
      <c r="Q362" s="22">
        <f t="shared" si="75"/>
        <v>0</v>
      </c>
      <c r="R362" s="22">
        <f t="shared" si="76"/>
        <v>0</v>
      </c>
      <c r="S362" s="22">
        <f t="shared" si="77"/>
        <v>735415438965.46252</v>
      </c>
      <c r="T362" s="21">
        <f t="shared" si="78"/>
        <v>0</v>
      </c>
      <c r="U362" s="19" t="str">
        <f t="shared" si="79"/>
        <v>No transfer</v>
      </c>
      <c r="V362" s="35" t="s">
        <v>95</v>
      </c>
    </row>
    <row r="363" spans="1:22">
      <c r="A363" s="4">
        <v>45719</v>
      </c>
      <c r="B363" s="5">
        <v>-2.0709999999999999E-2</v>
      </c>
      <c r="C363" s="5">
        <v>-5.5799999999999999E-3</v>
      </c>
      <c r="D363" s="6">
        <f t="shared" si="70"/>
        <v>-1.3145E-2</v>
      </c>
      <c r="E363" s="8">
        <f t="shared" si="81"/>
        <v>14</v>
      </c>
      <c r="F363" s="9">
        <f t="shared" si="82"/>
        <v>1</v>
      </c>
      <c r="G363" s="9">
        <f t="shared" si="83"/>
        <v>1</v>
      </c>
      <c r="H363" s="9">
        <f t="shared" si="71"/>
        <v>0</v>
      </c>
      <c r="I363" t="str">
        <f t="shared" si="72"/>
        <v>HOLD</v>
      </c>
      <c r="J363">
        <f t="shared" si="80"/>
        <v>0</v>
      </c>
      <c r="K363" t="str">
        <f>IF(I363="","",IF(J363&gt;=Parameters!$B$5,I363,"HOLD"))</f>
        <v>HOLD</v>
      </c>
      <c r="L363" s="10">
        <f>'Actual Calc'!T363</f>
        <v>0</v>
      </c>
      <c r="M363" s="10">
        <f>'Actual Calc'!U363</f>
        <v>680700530307.02454</v>
      </c>
      <c r="N363" s="12">
        <f t="shared" si="73"/>
        <v>0</v>
      </c>
      <c r="O363" s="12">
        <f>IF(NOT(ISNUMBER(N363)),"",IF(K363="A",MIN(Parameters!$B$8,N363+Parameters!$B$6),IF(K363="B",MAX(Parameters!$B$7,N363-Parameters!$B$6),N363)))</f>
        <v>0</v>
      </c>
      <c r="P363" s="13">
        <f t="shared" si="74"/>
        <v>0</v>
      </c>
      <c r="Q363" s="13">
        <f t="shared" si="75"/>
        <v>0</v>
      </c>
      <c r="R363" s="13">
        <f t="shared" si="76"/>
        <v>0</v>
      </c>
      <c r="S363" s="13">
        <f t="shared" si="77"/>
        <v>680700530307.02454</v>
      </c>
      <c r="T363" s="12">
        <f t="shared" si="78"/>
        <v>0</v>
      </c>
      <c r="U363" t="str">
        <f t="shared" si="79"/>
        <v>No transfer</v>
      </c>
      <c r="V363" s="25" t="s">
        <v>95</v>
      </c>
    </row>
    <row r="364" spans="1:22">
      <c r="A364" s="14">
        <v>45726</v>
      </c>
      <c r="B364" s="15">
        <v>-1.453E-2</v>
      </c>
      <c r="C364" s="15">
        <v>0</v>
      </c>
      <c r="D364" s="16">
        <f t="shared" si="70"/>
        <v>-7.2649999999999998E-3</v>
      </c>
      <c r="E364" s="17">
        <f t="shared" si="81"/>
        <v>13</v>
      </c>
      <c r="F364" s="18">
        <f t="shared" si="82"/>
        <v>1</v>
      </c>
      <c r="G364" s="18">
        <f t="shared" si="83"/>
        <v>1</v>
      </c>
      <c r="H364" s="18">
        <f t="shared" si="71"/>
        <v>0</v>
      </c>
      <c r="I364" s="19" t="str">
        <f t="shared" si="72"/>
        <v>HOLD</v>
      </c>
      <c r="J364" s="19">
        <f t="shared" si="80"/>
        <v>0</v>
      </c>
      <c r="K364" s="19" t="str">
        <f>IF(I364="","",IF(J364&gt;=Parameters!$B$5,I364,"HOLD"))</f>
        <v>HOLD</v>
      </c>
      <c r="L364" s="20">
        <f>'Actual Calc'!T364</f>
        <v>0</v>
      </c>
      <c r="M364" s="20">
        <f>'Actual Calc'!U364</f>
        <v>680700530307.02454</v>
      </c>
      <c r="N364" s="21">
        <f t="shared" si="73"/>
        <v>0</v>
      </c>
      <c r="O364" s="21">
        <f>IF(NOT(ISNUMBER(N364)),"",IF(K364="A",MIN(Parameters!$B$8,N364+Parameters!$B$6),IF(K364="B",MAX(Parameters!$B$7,N364-Parameters!$B$6),N364)))</f>
        <v>0</v>
      </c>
      <c r="P364" s="22">
        <f t="shared" si="74"/>
        <v>0</v>
      </c>
      <c r="Q364" s="22">
        <f t="shared" si="75"/>
        <v>0</v>
      </c>
      <c r="R364" s="22">
        <f t="shared" si="76"/>
        <v>0</v>
      </c>
      <c r="S364" s="22">
        <f t="shared" si="77"/>
        <v>680700530307.02454</v>
      </c>
      <c r="T364" s="21">
        <f t="shared" si="78"/>
        <v>0</v>
      </c>
      <c r="U364" s="19" t="str">
        <f t="shared" si="79"/>
        <v>No transfer</v>
      </c>
      <c r="V364" s="35" t="s">
        <v>96</v>
      </c>
    </row>
    <row r="365" spans="1:22">
      <c r="A365" s="4">
        <v>45733</v>
      </c>
      <c r="B365" s="5">
        <v>7.5500000000000003E-3</v>
      </c>
      <c r="C365" s="5">
        <v>7.5500000000000003E-3</v>
      </c>
      <c r="D365" s="6">
        <f t="shared" si="70"/>
        <v>7.5500000000000003E-3</v>
      </c>
      <c r="E365" s="8">
        <f t="shared" si="81"/>
        <v>13</v>
      </c>
      <c r="F365" s="9">
        <f t="shared" si="82"/>
        <v>1</v>
      </c>
      <c r="G365" s="9">
        <f t="shared" si="83"/>
        <v>1</v>
      </c>
      <c r="H365" s="9">
        <f t="shared" si="71"/>
        <v>0</v>
      </c>
      <c r="I365" t="str">
        <f t="shared" si="72"/>
        <v>HOLD</v>
      </c>
      <c r="J365">
        <f t="shared" si="80"/>
        <v>0</v>
      </c>
      <c r="K365" t="str">
        <f>IF(I365="","",IF(J365&gt;=Parameters!$B$5,I365,"HOLD"))</f>
        <v>HOLD</v>
      </c>
      <c r="L365" s="10">
        <f>'Actual Calc'!T365</f>
        <v>0</v>
      </c>
      <c r="M365" s="10">
        <f>'Actual Calc'!U365</f>
        <v>749224383677.97449</v>
      </c>
      <c r="N365" s="12">
        <f t="shared" si="73"/>
        <v>0</v>
      </c>
      <c r="O365" s="12">
        <f>IF(NOT(ISNUMBER(N365)),"",IF(K365="A",MIN(Parameters!$B$8,N365+Parameters!$B$6),IF(K365="B",MAX(Parameters!$B$7,N365-Parameters!$B$6),N365)))</f>
        <v>0</v>
      </c>
      <c r="P365" s="13">
        <f t="shared" si="74"/>
        <v>0</v>
      </c>
      <c r="Q365" s="13">
        <f t="shared" si="75"/>
        <v>0</v>
      </c>
      <c r="R365" s="13">
        <f t="shared" si="76"/>
        <v>0</v>
      </c>
      <c r="S365" s="13">
        <f t="shared" si="77"/>
        <v>749224383677.97449</v>
      </c>
      <c r="T365" s="12">
        <f t="shared" si="78"/>
        <v>0</v>
      </c>
      <c r="U365" t="str">
        <f t="shared" si="79"/>
        <v>No transfer</v>
      </c>
      <c r="V365" s="25" t="s">
        <v>95</v>
      </c>
    </row>
    <row r="366" spans="1:22">
      <c r="A366" s="14">
        <v>45740</v>
      </c>
      <c r="B366" s="15">
        <v>-1.1480000000000001E-2</v>
      </c>
      <c r="C366" s="15">
        <v>0</v>
      </c>
      <c r="D366" s="16">
        <f t="shared" si="70"/>
        <v>-5.7400000000000003E-3</v>
      </c>
      <c r="E366" s="17">
        <f t="shared" si="81"/>
        <v>12</v>
      </c>
      <c r="F366" s="18">
        <f t="shared" si="82"/>
        <v>1</v>
      </c>
      <c r="G366" s="18">
        <f t="shared" si="83"/>
        <v>1</v>
      </c>
      <c r="H366" s="18">
        <f t="shared" si="71"/>
        <v>0</v>
      </c>
      <c r="I366" s="19" t="str">
        <f t="shared" si="72"/>
        <v>HOLD</v>
      </c>
      <c r="J366" s="19">
        <f t="shared" si="80"/>
        <v>0</v>
      </c>
      <c r="K366" s="19" t="str">
        <f>IF(I366="","",IF(J366&gt;=Parameters!$B$5,I366,"HOLD"))</f>
        <v>HOLD</v>
      </c>
      <c r="L366" s="20">
        <f>'Actual Calc'!T366</f>
        <v>0</v>
      </c>
      <c r="M366" s="20">
        <f>'Actual Calc'!U366</f>
        <v>749224383677.97449</v>
      </c>
      <c r="N366" s="21">
        <f t="shared" si="73"/>
        <v>0</v>
      </c>
      <c r="O366" s="21">
        <f>IF(NOT(ISNUMBER(N366)),"",IF(K366="A",MIN(Parameters!$B$8,N366+Parameters!$B$6),IF(K366="B",MAX(Parameters!$B$7,N366-Parameters!$B$6),N366)))</f>
        <v>0</v>
      </c>
      <c r="P366" s="22">
        <f t="shared" si="74"/>
        <v>0</v>
      </c>
      <c r="Q366" s="22">
        <f t="shared" si="75"/>
        <v>0</v>
      </c>
      <c r="R366" s="22">
        <f t="shared" si="76"/>
        <v>0</v>
      </c>
      <c r="S366" s="22">
        <f t="shared" si="77"/>
        <v>749224383677.97449</v>
      </c>
      <c r="T366" s="21">
        <f t="shared" si="78"/>
        <v>0</v>
      </c>
      <c r="U366" s="19" t="str">
        <f t="shared" si="79"/>
        <v>No transfer</v>
      </c>
      <c r="V366" s="35" t="s">
        <v>96</v>
      </c>
    </row>
    <row r="367" spans="1:22">
      <c r="A367" s="4">
        <v>45747</v>
      </c>
      <c r="B367" s="5">
        <v>1.282E-2</v>
      </c>
      <c r="C367" s="5">
        <v>1.282E-2</v>
      </c>
      <c r="D367" s="6">
        <f t="shared" si="70"/>
        <v>1.282E-2</v>
      </c>
      <c r="E367" s="8">
        <f t="shared" si="81"/>
        <v>13</v>
      </c>
      <c r="F367" s="9">
        <f t="shared" si="82"/>
        <v>1</v>
      </c>
      <c r="G367" s="9">
        <f t="shared" si="83"/>
        <v>1</v>
      </c>
      <c r="H367" s="9">
        <f t="shared" si="71"/>
        <v>0</v>
      </c>
      <c r="I367" t="str">
        <f t="shared" si="72"/>
        <v>HOLD</v>
      </c>
      <c r="J367">
        <f t="shared" si="80"/>
        <v>0</v>
      </c>
      <c r="K367" t="str">
        <f>IF(I367="","",IF(J367&gt;=Parameters!$B$5,I367,"HOLD"))</f>
        <v>HOLD</v>
      </c>
      <c r="L367" s="10">
        <f>'Actual Calc'!T367</f>
        <v>0</v>
      </c>
      <c r="M367" s="10">
        <f>'Actual Calc'!U367</f>
        <v>877291804981.33447</v>
      </c>
      <c r="N367" s="12">
        <f t="shared" si="73"/>
        <v>0</v>
      </c>
      <c r="O367" s="12">
        <f>IF(NOT(ISNUMBER(N367)),"",IF(K367="A",MIN(Parameters!$B$8,N367+Parameters!$B$6),IF(K367="B",MAX(Parameters!$B$7,N367-Parameters!$B$6),N367)))</f>
        <v>0</v>
      </c>
      <c r="P367" s="13">
        <f t="shared" si="74"/>
        <v>0</v>
      </c>
      <c r="Q367" s="13">
        <f t="shared" si="75"/>
        <v>0</v>
      </c>
      <c r="R367" s="13">
        <f t="shared" si="76"/>
        <v>0</v>
      </c>
      <c r="S367" s="13">
        <f t="shared" si="77"/>
        <v>877291804981.33447</v>
      </c>
      <c r="T367" s="12">
        <f t="shared" si="78"/>
        <v>0</v>
      </c>
      <c r="U367" t="str">
        <f t="shared" si="79"/>
        <v>No transfer</v>
      </c>
      <c r="V367" s="25" t="s">
        <v>95</v>
      </c>
    </row>
    <row r="368" spans="1:22">
      <c r="A368" s="14">
        <v>45754</v>
      </c>
      <c r="B368" s="15">
        <v>3.977E-2</v>
      </c>
      <c r="C368" s="15">
        <v>3.977E-2</v>
      </c>
      <c r="D368" s="16">
        <f t="shared" si="70"/>
        <v>3.977E-2</v>
      </c>
      <c r="E368" s="17">
        <f t="shared" si="81"/>
        <v>13</v>
      </c>
      <c r="F368" s="18">
        <f t="shared" si="82"/>
        <v>1</v>
      </c>
      <c r="G368" s="18">
        <f t="shared" si="83"/>
        <v>1</v>
      </c>
      <c r="H368" s="18">
        <f t="shared" si="71"/>
        <v>0</v>
      </c>
      <c r="I368" s="19" t="str">
        <f t="shared" si="72"/>
        <v>HOLD</v>
      </c>
      <c r="J368" s="19">
        <f t="shared" si="80"/>
        <v>0</v>
      </c>
      <c r="K368" s="19" t="str">
        <f>IF(I368="","",IF(J368&gt;=Parameters!$B$5,I368,"HOLD"))</f>
        <v>HOLD</v>
      </c>
      <c r="L368" s="20">
        <f>'Actual Calc'!T368</f>
        <v>0</v>
      </c>
      <c r="M368" s="20">
        <f>'Actual Calc'!U368</f>
        <v>1342490406094.1084</v>
      </c>
      <c r="N368" s="21">
        <f t="shared" si="73"/>
        <v>0</v>
      </c>
      <c r="O368" s="21">
        <f>IF(NOT(ISNUMBER(N368)),"",IF(K368="A",MIN(Parameters!$B$8,N368+Parameters!$B$6),IF(K368="B",MAX(Parameters!$B$7,N368-Parameters!$B$6),N368)))</f>
        <v>0</v>
      </c>
      <c r="P368" s="22">
        <f t="shared" si="74"/>
        <v>0</v>
      </c>
      <c r="Q368" s="22">
        <f t="shared" si="75"/>
        <v>0</v>
      </c>
      <c r="R368" s="22">
        <f t="shared" si="76"/>
        <v>0</v>
      </c>
      <c r="S368" s="22">
        <f t="shared" si="77"/>
        <v>1342490406094.1084</v>
      </c>
      <c r="T368" s="21">
        <f t="shared" si="78"/>
        <v>0</v>
      </c>
      <c r="U368" s="19" t="str">
        <f t="shared" si="79"/>
        <v>No transfer</v>
      </c>
      <c r="V368" s="35" t="s">
        <v>95</v>
      </c>
    </row>
    <row r="369" spans="1:22">
      <c r="A369" s="4">
        <v>45761</v>
      </c>
      <c r="B369" s="5">
        <v>-5.4300000000000001E-2</v>
      </c>
      <c r="C369" s="5">
        <v>0</v>
      </c>
      <c r="D369" s="6">
        <f t="shared" si="70"/>
        <v>-2.7150000000000001E-2</v>
      </c>
      <c r="E369" s="8">
        <f t="shared" si="81"/>
        <v>13</v>
      </c>
      <c r="F369" s="9">
        <f t="shared" si="82"/>
        <v>1</v>
      </c>
      <c r="G369" s="9">
        <f t="shared" si="83"/>
        <v>1</v>
      </c>
      <c r="H369" s="9">
        <f t="shared" si="71"/>
        <v>0</v>
      </c>
      <c r="I369" t="str">
        <f t="shared" si="72"/>
        <v>HOLD</v>
      </c>
      <c r="J369">
        <f t="shared" si="80"/>
        <v>0</v>
      </c>
      <c r="K369" t="str">
        <f>IF(I369="","",IF(J369&gt;=Parameters!$B$5,I369,"HOLD"))</f>
        <v>HOLD</v>
      </c>
      <c r="L369" s="10">
        <f>'Actual Calc'!T369</f>
        <v>0</v>
      </c>
      <c r="M369" s="10">
        <f>'Actual Calc'!U369</f>
        <v>1342490406094.1084</v>
      </c>
      <c r="N369" s="12">
        <f t="shared" si="73"/>
        <v>0</v>
      </c>
      <c r="O369" s="12">
        <f>IF(NOT(ISNUMBER(N369)),"",IF(K369="A",MIN(Parameters!$B$8,N369+Parameters!$B$6),IF(K369="B",MAX(Parameters!$B$7,N369-Parameters!$B$6),N369)))</f>
        <v>0</v>
      </c>
      <c r="P369" s="13">
        <f t="shared" si="74"/>
        <v>0</v>
      </c>
      <c r="Q369" s="13">
        <f t="shared" si="75"/>
        <v>0</v>
      </c>
      <c r="R369" s="13">
        <f t="shared" si="76"/>
        <v>0</v>
      </c>
      <c r="S369" s="13">
        <f t="shared" si="77"/>
        <v>1342490406094.1084</v>
      </c>
      <c r="T369" s="12">
        <f t="shared" si="78"/>
        <v>0</v>
      </c>
      <c r="U369" t="str">
        <f t="shared" si="79"/>
        <v>No transfer</v>
      </c>
      <c r="V369" s="25" t="s">
        <v>96</v>
      </c>
    </row>
    <row r="370" spans="1:22">
      <c r="A370" s="14">
        <v>45768</v>
      </c>
      <c r="B370" s="15">
        <v>6.6460000000000005E-2</v>
      </c>
      <c r="C370" s="15">
        <v>6.6460000000000005E-2</v>
      </c>
      <c r="D370" s="16">
        <f t="shared" si="70"/>
        <v>6.6460000000000005E-2</v>
      </c>
      <c r="E370" s="17">
        <f t="shared" si="81"/>
        <v>14</v>
      </c>
      <c r="F370" s="18">
        <f t="shared" si="82"/>
        <v>1</v>
      </c>
      <c r="G370" s="18">
        <f t="shared" si="83"/>
        <v>1</v>
      </c>
      <c r="H370" s="18">
        <f t="shared" si="71"/>
        <v>0</v>
      </c>
      <c r="I370" s="19" t="str">
        <f t="shared" si="72"/>
        <v>HOLD</v>
      </c>
      <c r="J370" s="19">
        <f t="shared" si="80"/>
        <v>0</v>
      </c>
      <c r="K370" s="19" t="str">
        <f>IF(I370="","",IF(J370&gt;=Parameters!$B$5,I370,"HOLD"))</f>
        <v>HOLD</v>
      </c>
      <c r="L370" s="20">
        <f>'Actual Calc'!T370</f>
        <v>0</v>
      </c>
      <c r="M370" s="20">
        <f>'Actual Calc'!U370</f>
        <v>2532115904491.0322</v>
      </c>
      <c r="N370" s="21">
        <f t="shared" si="73"/>
        <v>0</v>
      </c>
      <c r="O370" s="21">
        <f>IF(NOT(ISNUMBER(N370)),"",IF(K370="A",MIN(Parameters!$B$8,N370+Parameters!$B$6),IF(K370="B",MAX(Parameters!$B$7,N370-Parameters!$B$6),N370)))</f>
        <v>0</v>
      </c>
      <c r="P370" s="22">
        <f t="shared" si="74"/>
        <v>0</v>
      </c>
      <c r="Q370" s="22">
        <f t="shared" si="75"/>
        <v>0</v>
      </c>
      <c r="R370" s="22">
        <f t="shared" si="76"/>
        <v>0</v>
      </c>
      <c r="S370" s="22">
        <f t="shared" si="77"/>
        <v>2532115904491.0322</v>
      </c>
      <c r="T370" s="21">
        <f t="shared" si="78"/>
        <v>0</v>
      </c>
      <c r="U370" s="19" t="str">
        <f t="shared" si="79"/>
        <v>No transfer</v>
      </c>
      <c r="V370" s="35" t="s">
        <v>95</v>
      </c>
    </row>
    <row r="371" spans="1:22">
      <c r="A371" s="4">
        <v>45775</v>
      </c>
      <c r="B371" s="5">
        <v>3.3410000000000002E-2</v>
      </c>
      <c r="C371" s="5">
        <v>3.3410000000000002E-2</v>
      </c>
      <c r="D371" s="6">
        <f t="shared" si="70"/>
        <v>3.3410000000000002E-2</v>
      </c>
      <c r="E371" s="8">
        <f t="shared" si="81"/>
        <v>15</v>
      </c>
      <c r="F371" s="9">
        <f t="shared" si="82"/>
        <v>1</v>
      </c>
      <c r="G371" s="9">
        <f t="shared" si="83"/>
        <v>1</v>
      </c>
      <c r="H371" s="9">
        <f t="shared" si="71"/>
        <v>0</v>
      </c>
      <c r="I371" t="str">
        <f t="shared" si="72"/>
        <v>HOLD</v>
      </c>
      <c r="J371">
        <f t="shared" si="80"/>
        <v>0</v>
      </c>
      <c r="K371" t="str">
        <f>IF(I371="","",IF(J371&gt;=Parameters!$B$5,I371,"HOLD"))</f>
        <v>HOLD</v>
      </c>
      <c r="L371" s="10">
        <f>'Actual Calc'!T371</f>
        <v>0</v>
      </c>
      <c r="M371" s="10">
        <f>'Actual Calc'!U371</f>
        <v>3660089136027.7295</v>
      </c>
      <c r="N371" s="12">
        <f t="shared" si="73"/>
        <v>0</v>
      </c>
      <c r="O371" s="12">
        <f>IF(NOT(ISNUMBER(N371)),"",IF(K371="A",MIN(Parameters!$B$8,N371+Parameters!$B$6),IF(K371="B",MAX(Parameters!$B$7,N371-Parameters!$B$6),N371)))</f>
        <v>0</v>
      </c>
      <c r="P371" s="13">
        <f t="shared" si="74"/>
        <v>0</v>
      </c>
      <c r="Q371" s="13">
        <f t="shared" si="75"/>
        <v>0</v>
      </c>
      <c r="R371" s="13">
        <f t="shared" si="76"/>
        <v>0</v>
      </c>
      <c r="S371" s="13">
        <f t="shared" si="77"/>
        <v>3660089136027.7295</v>
      </c>
      <c r="T371" s="12">
        <f t="shared" si="78"/>
        <v>0</v>
      </c>
      <c r="U371" t="str">
        <f t="shared" si="79"/>
        <v>No transfer</v>
      </c>
      <c r="V371" s="25" t="s">
        <v>95</v>
      </c>
    </row>
    <row r="372" spans="1:22">
      <c r="A372" s="14">
        <v>45782</v>
      </c>
      <c r="B372" s="15">
        <v>4.8399999999999997E-3</v>
      </c>
      <c r="C372" s="15">
        <v>4.8399999999999997E-3</v>
      </c>
      <c r="D372" s="16">
        <f t="shared" si="70"/>
        <v>4.8399999999999997E-3</v>
      </c>
      <c r="E372" s="17">
        <f t="shared" si="81"/>
        <v>15</v>
      </c>
      <c r="F372" s="18">
        <f t="shared" si="82"/>
        <v>1</v>
      </c>
      <c r="G372" s="18">
        <f t="shared" si="83"/>
        <v>1</v>
      </c>
      <c r="H372" s="18">
        <f t="shared" si="71"/>
        <v>0</v>
      </c>
      <c r="I372" s="19" t="str">
        <f t="shared" si="72"/>
        <v>HOLD</v>
      </c>
      <c r="J372" s="19">
        <f t="shared" si="80"/>
        <v>0</v>
      </c>
      <c r="K372" s="19" t="str">
        <f>IF(I372="","",IF(J372&gt;=Parameters!$B$5,I372,"HOLD"))</f>
        <v>HOLD</v>
      </c>
      <c r="L372" s="20">
        <f>'Actual Calc'!T372</f>
        <v>0</v>
      </c>
      <c r="M372" s="20">
        <f>'Actual Calc'!U372</f>
        <v>3896286888262.2173</v>
      </c>
      <c r="N372" s="21">
        <f t="shared" si="73"/>
        <v>0</v>
      </c>
      <c r="O372" s="21">
        <f>IF(NOT(ISNUMBER(N372)),"",IF(K372="A",MIN(Parameters!$B$8,N372+Parameters!$B$6),IF(K372="B",MAX(Parameters!$B$7,N372-Parameters!$B$6),N372)))</f>
        <v>0</v>
      </c>
      <c r="P372" s="22">
        <f t="shared" si="74"/>
        <v>0</v>
      </c>
      <c r="Q372" s="22">
        <f t="shared" si="75"/>
        <v>0</v>
      </c>
      <c r="R372" s="22">
        <f t="shared" si="76"/>
        <v>0</v>
      </c>
      <c r="S372" s="22">
        <f t="shared" si="77"/>
        <v>3896286888262.2173</v>
      </c>
      <c r="T372" s="21">
        <f t="shared" si="78"/>
        <v>0</v>
      </c>
      <c r="U372" s="19" t="str">
        <f t="shared" si="79"/>
        <v>No transfer</v>
      </c>
      <c r="V372" s="35" t="s">
        <v>95</v>
      </c>
    </row>
    <row r="373" spans="1:22">
      <c r="A373" s="4">
        <v>45789</v>
      </c>
      <c r="B373" s="5">
        <v>2.7390000000000001E-2</v>
      </c>
      <c r="C373" s="5">
        <v>2.7390000000000001E-2</v>
      </c>
      <c r="D373" s="6">
        <f t="shared" si="70"/>
        <v>2.7390000000000001E-2</v>
      </c>
      <c r="E373" s="8">
        <f t="shared" si="81"/>
        <v>16</v>
      </c>
      <c r="F373" s="9">
        <f t="shared" si="82"/>
        <v>1</v>
      </c>
      <c r="G373" s="9">
        <f t="shared" si="83"/>
        <v>1</v>
      </c>
      <c r="H373" s="9">
        <f t="shared" si="71"/>
        <v>0</v>
      </c>
      <c r="I373" t="str">
        <f t="shared" si="72"/>
        <v>HOLD</v>
      </c>
      <c r="J373">
        <f t="shared" si="80"/>
        <v>0</v>
      </c>
      <c r="K373" t="str">
        <f>IF(I373="","",IF(J373&gt;=Parameters!$B$5,I373,"HOLD"))</f>
        <v>HOLD</v>
      </c>
      <c r="L373" s="10">
        <f>'Actual Calc'!T373</f>
        <v>0</v>
      </c>
      <c r="M373" s="10">
        <f>'Actual Calc'!U373</f>
        <v>5319210859809.1191</v>
      </c>
      <c r="N373" s="12">
        <f t="shared" si="73"/>
        <v>0</v>
      </c>
      <c r="O373" s="12">
        <f>IF(NOT(ISNUMBER(N373)),"",IF(K373="A",MIN(Parameters!$B$8,N373+Parameters!$B$6),IF(K373="B",MAX(Parameters!$B$7,N373-Parameters!$B$6),N373)))</f>
        <v>0</v>
      </c>
      <c r="P373" s="13">
        <f t="shared" si="74"/>
        <v>0</v>
      </c>
      <c r="Q373" s="13">
        <f t="shared" si="75"/>
        <v>0</v>
      </c>
      <c r="R373" s="13">
        <f t="shared" si="76"/>
        <v>0</v>
      </c>
      <c r="S373" s="13">
        <f t="shared" si="77"/>
        <v>5319210859809.1191</v>
      </c>
      <c r="T373" s="12">
        <f t="shared" si="78"/>
        <v>0</v>
      </c>
      <c r="U373" t="str">
        <f t="shared" si="79"/>
        <v>No transfer</v>
      </c>
      <c r="V373" s="25" t="s">
        <v>95</v>
      </c>
    </row>
    <row r="374" spans="1:22">
      <c r="A374" s="14">
        <v>45796</v>
      </c>
      <c r="B374" s="15">
        <v>1.423E-2</v>
      </c>
      <c r="C374" s="15">
        <v>1.423E-2</v>
      </c>
      <c r="D374" s="16">
        <f t="shared" si="70"/>
        <v>1.423E-2</v>
      </c>
      <c r="E374" s="17">
        <f t="shared" si="81"/>
        <v>16</v>
      </c>
      <c r="F374" s="18">
        <f t="shared" si="82"/>
        <v>1</v>
      </c>
      <c r="G374" s="18">
        <f t="shared" si="83"/>
        <v>1</v>
      </c>
      <c r="H374" s="18">
        <f t="shared" si="71"/>
        <v>0</v>
      </c>
      <c r="I374" s="19" t="str">
        <f t="shared" si="72"/>
        <v>HOLD</v>
      </c>
      <c r="J374" s="19">
        <f t="shared" si="80"/>
        <v>0</v>
      </c>
      <c r="K374" s="19" t="str">
        <f>IF(I374="","",IF(J374&gt;=Parameters!$B$5,I374,"HOLD"))</f>
        <v>HOLD</v>
      </c>
      <c r="L374" s="20">
        <f>'Actual Calc'!T374</f>
        <v>0</v>
      </c>
      <c r="M374" s="20">
        <f>'Actual Calc'!U374</f>
        <v>6328442466930.4551</v>
      </c>
      <c r="N374" s="21">
        <f t="shared" si="73"/>
        <v>0</v>
      </c>
      <c r="O374" s="21">
        <f>IF(NOT(ISNUMBER(N374)),"",IF(K374="A",MIN(Parameters!$B$8,N374+Parameters!$B$6),IF(K374="B",MAX(Parameters!$B$7,N374-Parameters!$B$6),N374)))</f>
        <v>0</v>
      </c>
      <c r="P374" s="22">
        <f t="shared" si="74"/>
        <v>0</v>
      </c>
      <c r="Q374" s="22">
        <f t="shared" si="75"/>
        <v>0</v>
      </c>
      <c r="R374" s="22">
        <f t="shared" si="76"/>
        <v>0</v>
      </c>
      <c r="S374" s="22">
        <f t="shared" si="77"/>
        <v>6328442466930.4551</v>
      </c>
      <c r="T374" s="21">
        <f t="shared" si="78"/>
        <v>0</v>
      </c>
      <c r="U374" s="19" t="str">
        <f t="shared" si="79"/>
        <v>No transfer</v>
      </c>
      <c r="V374" s="35" t="s">
        <v>95</v>
      </c>
    </row>
    <row r="375" spans="1:22">
      <c r="A375" s="4">
        <v>45803</v>
      </c>
      <c r="B375" s="5">
        <v>8.9899999999999997E-3</v>
      </c>
      <c r="C375" s="5">
        <v>8.9899999999999997E-3</v>
      </c>
      <c r="D375" s="6">
        <f t="shared" si="70"/>
        <v>8.9899999999999997E-3</v>
      </c>
      <c r="E375" s="8">
        <f t="shared" si="81"/>
        <v>17</v>
      </c>
      <c r="F375" s="9">
        <f t="shared" si="82"/>
        <v>1</v>
      </c>
      <c r="G375" s="9">
        <f t="shared" si="83"/>
        <v>1</v>
      </c>
      <c r="H375" s="9">
        <f t="shared" si="71"/>
        <v>0</v>
      </c>
      <c r="I375" t="str">
        <f t="shared" si="72"/>
        <v>HOLD</v>
      </c>
      <c r="J375">
        <f t="shared" si="80"/>
        <v>0</v>
      </c>
      <c r="K375" t="str">
        <f>IF(I375="","",IF(J375&gt;=Parameters!$B$5,I375,"HOLD"))</f>
        <v>HOLD</v>
      </c>
      <c r="L375" s="10">
        <f>'Actual Calc'!T375</f>
        <v>0</v>
      </c>
      <c r="M375" s="10">
        <f>'Actual Calc'!U375</f>
        <v>7087011770618.7471</v>
      </c>
      <c r="N375" s="12">
        <f t="shared" si="73"/>
        <v>0</v>
      </c>
      <c r="O375" s="12">
        <f>IF(NOT(ISNUMBER(N375)),"",IF(K375="A",MIN(Parameters!$B$8,N375+Parameters!$B$6),IF(K375="B",MAX(Parameters!$B$7,N375-Parameters!$B$6),N375)))</f>
        <v>0</v>
      </c>
      <c r="P375" s="13">
        <f t="shared" si="74"/>
        <v>0</v>
      </c>
      <c r="Q375" s="13">
        <f t="shared" si="75"/>
        <v>0</v>
      </c>
      <c r="R375" s="13">
        <f t="shared" si="76"/>
        <v>0</v>
      </c>
      <c r="S375" s="13">
        <f t="shared" si="77"/>
        <v>7087011770618.7471</v>
      </c>
      <c r="T375" s="12">
        <f t="shared" si="78"/>
        <v>0</v>
      </c>
      <c r="U375" t="str">
        <f t="shared" si="79"/>
        <v>No transfer</v>
      </c>
      <c r="V375" s="25" t="s">
        <v>95</v>
      </c>
    </row>
    <row r="376" spans="1:22">
      <c r="A376" s="14">
        <v>45810</v>
      </c>
      <c r="B376" s="15">
        <v>1.163E-2</v>
      </c>
      <c r="C376" s="15">
        <v>1.163E-2</v>
      </c>
      <c r="D376" s="16">
        <f t="shared" si="70"/>
        <v>1.163E-2</v>
      </c>
      <c r="E376" s="17">
        <f t="shared" si="81"/>
        <v>17</v>
      </c>
      <c r="F376" s="18">
        <f t="shared" si="82"/>
        <v>1</v>
      </c>
      <c r="G376" s="18">
        <f t="shared" si="83"/>
        <v>1</v>
      </c>
      <c r="H376" s="18">
        <f t="shared" si="71"/>
        <v>0</v>
      </c>
      <c r="I376" s="19" t="str">
        <f t="shared" si="72"/>
        <v>HOLD</v>
      </c>
      <c r="J376" s="19">
        <f t="shared" si="80"/>
        <v>0</v>
      </c>
      <c r="K376" s="19" t="str">
        <f>IF(I376="","",IF(J376&gt;=Parameters!$B$5,I376,"HOLD"))</f>
        <v>HOLD</v>
      </c>
      <c r="L376" s="20">
        <f>'Actual Calc'!T376</f>
        <v>0</v>
      </c>
      <c r="M376" s="20">
        <f>'Actual Calc'!U376</f>
        <v>8185971062503.041</v>
      </c>
      <c r="N376" s="21">
        <f t="shared" si="73"/>
        <v>0</v>
      </c>
      <c r="O376" s="21">
        <f>IF(NOT(ISNUMBER(N376)),"",IF(K376="A",MIN(Parameters!$B$8,N376+Parameters!$B$6),IF(K376="B",MAX(Parameters!$B$7,N376-Parameters!$B$6),N376)))</f>
        <v>0</v>
      </c>
      <c r="P376" s="22">
        <f t="shared" si="74"/>
        <v>0</v>
      </c>
      <c r="Q376" s="22">
        <f t="shared" si="75"/>
        <v>0</v>
      </c>
      <c r="R376" s="22">
        <f t="shared" si="76"/>
        <v>0</v>
      </c>
      <c r="S376" s="22">
        <f t="shared" si="77"/>
        <v>8185971062503.041</v>
      </c>
      <c r="T376" s="21">
        <f t="shared" si="78"/>
        <v>0</v>
      </c>
      <c r="U376" s="19" t="str">
        <f t="shared" si="79"/>
        <v>No transfer</v>
      </c>
      <c r="V376" s="35" t="s">
        <v>95</v>
      </c>
    </row>
    <row r="377" spans="1:22">
      <c r="A377" s="4">
        <v>45817</v>
      </c>
      <c r="B377" s="5">
        <v>-4.8300000000000001E-3</v>
      </c>
      <c r="C377" s="5">
        <v>-4.8300000000000001E-3</v>
      </c>
      <c r="D377" s="6">
        <f t="shared" si="70"/>
        <v>-4.8300000000000001E-3</v>
      </c>
      <c r="E377" s="8">
        <f t="shared" si="81"/>
        <v>17</v>
      </c>
      <c r="F377" s="9">
        <f t="shared" si="82"/>
        <v>1</v>
      </c>
      <c r="G377" s="9">
        <f t="shared" si="83"/>
        <v>1</v>
      </c>
      <c r="H377" s="9">
        <f t="shared" si="71"/>
        <v>0</v>
      </c>
      <c r="I377" t="str">
        <f t="shared" si="72"/>
        <v>HOLD</v>
      </c>
      <c r="J377">
        <f t="shared" si="80"/>
        <v>0</v>
      </c>
      <c r="K377" t="str">
        <f>IF(I377="","",IF(J377&gt;=Parameters!$B$5,I377,"HOLD"))</f>
        <v>HOLD</v>
      </c>
      <c r="L377" s="10">
        <f>'Actual Calc'!T377</f>
        <v>0</v>
      </c>
      <c r="M377" s="10">
        <f>'Actual Calc'!U377</f>
        <v>7658794526079.6514</v>
      </c>
      <c r="N377" s="12">
        <f t="shared" si="73"/>
        <v>0</v>
      </c>
      <c r="O377" s="12">
        <f>IF(NOT(ISNUMBER(N377)),"",IF(K377="A",MIN(Parameters!$B$8,N377+Parameters!$B$6),IF(K377="B",MAX(Parameters!$B$7,N377-Parameters!$B$6),N377)))</f>
        <v>0</v>
      </c>
      <c r="P377" s="13">
        <f t="shared" si="74"/>
        <v>0</v>
      </c>
      <c r="Q377" s="13">
        <f t="shared" si="75"/>
        <v>0</v>
      </c>
      <c r="R377" s="13">
        <f t="shared" si="76"/>
        <v>0</v>
      </c>
      <c r="S377" s="13">
        <f t="shared" si="77"/>
        <v>7658794526079.6514</v>
      </c>
      <c r="T377" s="12">
        <f t="shared" si="78"/>
        <v>0</v>
      </c>
      <c r="U377" t="str">
        <f t="shared" si="79"/>
        <v>No transfer</v>
      </c>
      <c r="V377" s="25" t="s">
        <v>95</v>
      </c>
    </row>
    <row r="378" spans="1:22">
      <c r="A378" s="14">
        <v>45824</v>
      </c>
      <c r="B378" s="15">
        <v>7.1399999999999996E-3</v>
      </c>
      <c r="C378" s="15">
        <v>7.1399999999999996E-3</v>
      </c>
      <c r="D378" s="16">
        <f t="shared" si="70"/>
        <v>7.1399999999999996E-3</v>
      </c>
      <c r="E378" s="17">
        <f t="shared" si="81"/>
        <v>17</v>
      </c>
      <c r="F378" s="18">
        <f t="shared" si="82"/>
        <v>1</v>
      </c>
      <c r="G378" s="18">
        <f t="shared" si="83"/>
        <v>1</v>
      </c>
      <c r="H378" s="18">
        <f t="shared" si="71"/>
        <v>0</v>
      </c>
      <c r="I378" s="19" t="str">
        <f t="shared" si="72"/>
        <v>HOLD</v>
      </c>
      <c r="J378" s="19">
        <f t="shared" si="80"/>
        <v>0</v>
      </c>
      <c r="K378" s="19" t="str">
        <f>IF(I378="","",IF(J378&gt;=Parameters!$B$5,I378,"HOLD"))</f>
        <v>HOLD</v>
      </c>
      <c r="L378" s="20">
        <f>'Actual Calc'!T378</f>
        <v>0</v>
      </c>
      <c r="M378" s="20">
        <f>'Actual Calc'!U378</f>
        <v>8387911764948.6631</v>
      </c>
      <c r="N378" s="21">
        <f t="shared" si="73"/>
        <v>0</v>
      </c>
      <c r="O378" s="21">
        <f>IF(NOT(ISNUMBER(N378)),"",IF(K378="A",MIN(Parameters!$B$8,N378+Parameters!$B$6),IF(K378="B",MAX(Parameters!$B$7,N378-Parameters!$B$6),N378)))</f>
        <v>0</v>
      </c>
      <c r="P378" s="22">
        <f t="shared" si="74"/>
        <v>0</v>
      </c>
      <c r="Q378" s="22">
        <f t="shared" si="75"/>
        <v>0</v>
      </c>
      <c r="R378" s="22">
        <f t="shared" si="76"/>
        <v>0</v>
      </c>
      <c r="S378" s="22">
        <f t="shared" si="77"/>
        <v>8387911764948.6631</v>
      </c>
      <c r="T378" s="21">
        <f t="shared" si="78"/>
        <v>0</v>
      </c>
      <c r="U378" s="19" t="str">
        <f t="shared" si="79"/>
        <v>No transfer</v>
      </c>
      <c r="V378" s="35" t="s">
        <v>95</v>
      </c>
    </row>
    <row r="379" spans="1:22">
      <c r="A379" s="4">
        <v>45831</v>
      </c>
      <c r="B379" s="5">
        <v>8.6499999999999997E-3</v>
      </c>
      <c r="C379" s="5">
        <v>8.6499999999999997E-3</v>
      </c>
      <c r="D379" s="6">
        <f t="shared" si="70"/>
        <v>8.6499999999999997E-3</v>
      </c>
      <c r="E379" s="8">
        <f t="shared" si="81"/>
        <v>17</v>
      </c>
      <c r="F379" s="9">
        <f t="shared" si="82"/>
        <v>1</v>
      </c>
      <c r="G379" s="9">
        <f t="shared" si="83"/>
        <v>1</v>
      </c>
      <c r="H379" s="9">
        <f t="shared" si="71"/>
        <v>0</v>
      </c>
      <c r="I379" t="str">
        <f t="shared" si="72"/>
        <v>HOLD</v>
      </c>
      <c r="J379">
        <f t="shared" si="80"/>
        <v>0</v>
      </c>
      <c r="K379" t="str">
        <f>IF(I379="","",IF(J379&gt;=Parameters!$B$5,I379,"HOLD"))</f>
        <v>HOLD</v>
      </c>
      <c r="L379" s="10">
        <f>'Actual Calc'!T379</f>
        <v>0</v>
      </c>
      <c r="M379" s="10">
        <f>'Actual Calc'!U379</f>
        <v>9355317588486.623</v>
      </c>
      <c r="N379" s="12">
        <f t="shared" si="73"/>
        <v>0</v>
      </c>
      <c r="O379" s="12">
        <f>IF(NOT(ISNUMBER(N379)),"",IF(K379="A",MIN(Parameters!$B$8,N379+Parameters!$B$6),IF(K379="B",MAX(Parameters!$B$7,N379-Parameters!$B$6),N379)))</f>
        <v>0</v>
      </c>
      <c r="P379" s="13">
        <f t="shared" si="74"/>
        <v>0</v>
      </c>
      <c r="Q379" s="13">
        <f t="shared" si="75"/>
        <v>0</v>
      </c>
      <c r="R379" s="13">
        <f t="shared" si="76"/>
        <v>0</v>
      </c>
      <c r="S379" s="13">
        <f t="shared" si="77"/>
        <v>9355317588486.623</v>
      </c>
      <c r="T379" s="12">
        <f t="shared" si="78"/>
        <v>0</v>
      </c>
      <c r="U379" t="str">
        <f t="shared" si="79"/>
        <v>No transfer</v>
      </c>
      <c r="V379" s="25" t="s">
        <v>95</v>
      </c>
    </row>
    <row r="380" spans="1:22">
      <c r="A380" s="14">
        <v>45838</v>
      </c>
      <c r="B380" s="15">
        <v>-3.8899999999999998E-3</v>
      </c>
      <c r="C380" s="15">
        <v>-3.8899999999999998E-3</v>
      </c>
      <c r="D380" s="16">
        <f t="shared" si="70"/>
        <v>-3.8899999999999998E-3</v>
      </c>
      <c r="E380" s="17">
        <f t="shared" si="81"/>
        <v>17</v>
      </c>
      <c r="F380" s="18">
        <f t="shared" si="82"/>
        <v>1</v>
      </c>
      <c r="G380" s="18">
        <f t="shared" si="83"/>
        <v>1</v>
      </c>
      <c r="H380" s="18">
        <f t="shared" si="71"/>
        <v>0</v>
      </c>
      <c r="I380" s="19" t="str">
        <f t="shared" si="72"/>
        <v>HOLD</v>
      </c>
      <c r="J380" s="19">
        <f t="shared" si="80"/>
        <v>0</v>
      </c>
      <c r="K380" s="19" t="str">
        <f>IF(I380="","",IF(J380&gt;=Parameters!$B$5,I380,"HOLD"))</f>
        <v>HOLD</v>
      </c>
      <c r="L380" s="20">
        <f>'Actual Calc'!T380</f>
        <v>0</v>
      </c>
      <c r="M380" s="20">
        <f>'Actual Calc'!U380</f>
        <v>8870088449569.5723</v>
      </c>
      <c r="N380" s="21">
        <f t="shared" si="73"/>
        <v>0</v>
      </c>
      <c r="O380" s="21">
        <f>IF(NOT(ISNUMBER(N380)),"",IF(K380="A",MIN(Parameters!$B$8,N380+Parameters!$B$6),IF(K380="B",MAX(Parameters!$B$7,N380-Parameters!$B$6),N380)))</f>
        <v>0</v>
      </c>
      <c r="P380" s="22">
        <f t="shared" si="74"/>
        <v>0</v>
      </c>
      <c r="Q380" s="22">
        <f t="shared" si="75"/>
        <v>0</v>
      </c>
      <c r="R380" s="22">
        <f t="shared" si="76"/>
        <v>0</v>
      </c>
      <c r="S380" s="22">
        <f t="shared" si="77"/>
        <v>8870088449569.5723</v>
      </c>
      <c r="T380" s="21">
        <f t="shared" si="78"/>
        <v>0</v>
      </c>
      <c r="U380" s="19" t="str">
        <f t="shared" si="79"/>
        <v>No transfer</v>
      </c>
      <c r="V380" s="35" t="s">
        <v>95</v>
      </c>
    </row>
    <row r="381" spans="1:22">
      <c r="A381" s="4">
        <v>45845</v>
      </c>
      <c r="B381" s="5">
        <v>8.7000000000000001E-4</v>
      </c>
      <c r="C381" s="5">
        <v>8.7000000000000001E-4</v>
      </c>
      <c r="D381" s="6">
        <f t="shared" si="70"/>
        <v>8.7000000000000001E-4</v>
      </c>
      <c r="E381" s="8">
        <f t="shared" si="81"/>
        <v>18</v>
      </c>
      <c r="F381" s="9">
        <f t="shared" si="82"/>
        <v>1</v>
      </c>
      <c r="G381" s="9">
        <f t="shared" si="83"/>
        <v>1</v>
      </c>
      <c r="H381" s="9">
        <f t="shared" si="71"/>
        <v>0</v>
      </c>
      <c r="I381" t="str">
        <f t="shared" si="72"/>
        <v>HOLD</v>
      </c>
      <c r="J381">
        <f t="shared" si="80"/>
        <v>0</v>
      </c>
      <c r="K381" t="str">
        <f>IF(I381="","",IF(J381&gt;=Parameters!$B$5,I381,"HOLD"))</f>
        <v>HOLD</v>
      </c>
      <c r="L381" s="10">
        <f>'Actual Calc'!T381</f>
        <v>0</v>
      </c>
      <c r="M381" s="10">
        <f>'Actual Calc'!U381</f>
        <v>8972981475584.1777</v>
      </c>
      <c r="N381" s="12">
        <f t="shared" si="73"/>
        <v>0</v>
      </c>
      <c r="O381" s="12">
        <f>IF(NOT(ISNUMBER(N381)),"",IF(K381="A",MIN(Parameters!$B$8,N381+Parameters!$B$6),IF(K381="B",MAX(Parameters!$B$7,N381-Parameters!$B$6),N381)))</f>
        <v>0</v>
      </c>
      <c r="P381" s="13">
        <f t="shared" si="74"/>
        <v>0</v>
      </c>
      <c r="Q381" s="13">
        <f t="shared" si="75"/>
        <v>0</v>
      </c>
      <c r="R381" s="13">
        <f t="shared" si="76"/>
        <v>0</v>
      </c>
      <c r="S381" s="13">
        <f t="shared" si="77"/>
        <v>8972981475584.1777</v>
      </c>
      <c r="T381" s="12">
        <f t="shared" si="78"/>
        <v>0</v>
      </c>
      <c r="U381" t="str">
        <f t="shared" si="79"/>
        <v>No transfer</v>
      </c>
      <c r="V381" s="25" t="s">
        <v>95</v>
      </c>
    </row>
    <row r="382" spans="1:22">
      <c r="A382" s="14">
        <v>45852</v>
      </c>
      <c r="B382" s="15">
        <v>1.3220000000000001E-2</v>
      </c>
      <c r="C382" s="15">
        <v>1.3220000000000001E-2</v>
      </c>
      <c r="D382" s="16">
        <f t="shared" si="70"/>
        <v>1.3220000000000001E-2</v>
      </c>
      <c r="E382" s="17">
        <f t="shared" si="81"/>
        <v>18</v>
      </c>
      <c r="F382" s="18">
        <f t="shared" si="82"/>
        <v>1</v>
      </c>
      <c r="G382" s="18">
        <f t="shared" si="83"/>
        <v>1</v>
      </c>
      <c r="H382" s="18">
        <f t="shared" si="71"/>
        <v>0</v>
      </c>
      <c r="I382" s="19" t="str">
        <f t="shared" si="72"/>
        <v>HOLD</v>
      </c>
      <c r="J382" s="19">
        <f t="shared" si="80"/>
        <v>0</v>
      </c>
      <c r="K382" s="19" t="str">
        <f>IF(I382="","",IF(J382&gt;=Parameters!$B$5,I382,"HOLD"))</f>
        <v>HOLD</v>
      </c>
      <c r="L382" s="20">
        <f>'Actual Calc'!T382</f>
        <v>0</v>
      </c>
      <c r="M382" s="20">
        <f>'Actual Calc'!U382</f>
        <v>10554619010334.074</v>
      </c>
      <c r="N382" s="21">
        <f t="shared" si="73"/>
        <v>0</v>
      </c>
      <c r="O382" s="21">
        <f>IF(NOT(ISNUMBER(N382)),"",IF(K382="A",MIN(Parameters!$B$8,N382+Parameters!$B$6),IF(K382="B",MAX(Parameters!$B$7,N382-Parameters!$B$6),N382)))</f>
        <v>0</v>
      </c>
      <c r="P382" s="22">
        <f t="shared" si="74"/>
        <v>0</v>
      </c>
      <c r="Q382" s="22">
        <f t="shared" si="75"/>
        <v>0</v>
      </c>
      <c r="R382" s="22">
        <f t="shared" si="76"/>
        <v>0</v>
      </c>
      <c r="S382" s="22">
        <f t="shared" si="77"/>
        <v>10554619010334.074</v>
      </c>
      <c r="T382" s="21">
        <f t="shared" si="78"/>
        <v>0</v>
      </c>
      <c r="U382" s="19" t="str">
        <f t="shared" si="79"/>
        <v>No transfer</v>
      </c>
      <c r="V382" s="35" t="s">
        <v>95</v>
      </c>
    </row>
    <row r="383" spans="1:22">
      <c r="A383" s="4">
        <v>45859</v>
      </c>
      <c r="B383" s="5">
        <v>7.6400000000000001E-3</v>
      </c>
      <c r="C383" s="5">
        <v>7.6400000000000001E-3</v>
      </c>
      <c r="D383" s="6">
        <f t="shared" si="70"/>
        <v>7.6400000000000001E-3</v>
      </c>
      <c r="E383" s="8">
        <f t="shared" si="81"/>
        <v>18</v>
      </c>
      <c r="F383" s="9">
        <f t="shared" si="82"/>
        <v>1</v>
      </c>
      <c r="G383" s="9">
        <f t="shared" si="83"/>
        <v>1</v>
      </c>
      <c r="H383" s="9">
        <f t="shared" si="71"/>
        <v>0</v>
      </c>
      <c r="I383" t="str">
        <f t="shared" si="72"/>
        <v>HOLD</v>
      </c>
      <c r="J383">
        <f t="shared" si="80"/>
        <v>0</v>
      </c>
      <c r="K383" t="str">
        <f>IF(I383="","",IF(J383&gt;=Parameters!$B$5,I383,"HOLD"))</f>
        <v>HOLD</v>
      </c>
      <c r="L383" s="10">
        <f>'Actual Calc'!T383</f>
        <v>0</v>
      </c>
      <c r="M383" s="10">
        <f>'Actual Calc'!U383</f>
        <v>11629782866847.166</v>
      </c>
      <c r="N383" s="12">
        <f t="shared" si="73"/>
        <v>0</v>
      </c>
      <c r="O383" s="12">
        <f>IF(NOT(ISNUMBER(N383)),"",IF(K383="A",MIN(Parameters!$B$8,N383+Parameters!$B$6),IF(K383="B",MAX(Parameters!$B$7,N383-Parameters!$B$6),N383)))</f>
        <v>0</v>
      </c>
      <c r="P383" s="13">
        <f t="shared" si="74"/>
        <v>0</v>
      </c>
      <c r="Q383" s="13">
        <f t="shared" si="75"/>
        <v>0</v>
      </c>
      <c r="R383" s="13">
        <f t="shared" si="76"/>
        <v>0</v>
      </c>
      <c r="S383" s="13">
        <f t="shared" si="77"/>
        <v>11629782866847.166</v>
      </c>
      <c r="T383" s="12">
        <f t="shared" si="78"/>
        <v>0</v>
      </c>
      <c r="U383" t="str">
        <f t="shared" si="79"/>
        <v>No transfer</v>
      </c>
      <c r="V383" s="25" t="s">
        <v>95</v>
      </c>
    </row>
    <row r="384" spans="1:22">
      <c r="A384" s="14">
        <v>45866</v>
      </c>
      <c r="B384" s="15">
        <v>-4.0000000000000001E-3</v>
      </c>
      <c r="C384" s="15">
        <v>-4.0000000000000001E-3</v>
      </c>
      <c r="D384" s="16">
        <f t="shared" si="70"/>
        <v>-4.0000000000000001E-3</v>
      </c>
      <c r="E384" s="17">
        <f t="shared" si="81"/>
        <v>17</v>
      </c>
      <c r="F384" s="18">
        <f t="shared" si="82"/>
        <v>1</v>
      </c>
      <c r="G384" s="18">
        <f t="shared" si="83"/>
        <v>1</v>
      </c>
      <c r="H384" s="18">
        <f t="shared" si="71"/>
        <v>0</v>
      </c>
      <c r="I384" s="19" t="str">
        <f t="shared" si="72"/>
        <v>HOLD</v>
      </c>
      <c r="J384" s="19">
        <f t="shared" si="80"/>
        <v>0</v>
      </c>
      <c r="K384" s="19" t="str">
        <f>IF(I384="","",IF(J384&gt;=Parameters!$B$5,I384,"HOLD"))</f>
        <v>HOLD</v>
      </c>
      <c r="L384" s="20">
        <f>'Actual Calc'!T384</f>
        <v>0</v>
      </c>
      <c r="M384" s="20">
        <f>'Actual Calc'!U384</f>
        <v>11009527780616.766</v>
      </c>
      <c r="N384" s="21">
        <f t="shared" si="73"/>
        <v>0</v>
      </c>
      <c r="O384" s="21">
        <f>IF(NOT(ISNUMBER(N384)),"",IF(K384="A",MIN(Parameters!$B$8,N384+Parameters!$B$6),IF(K384="B",MAX(Parameters!$B$7,N384-Parameters!$B$6),N384)))</f>
        <v>0</v>
      </c>
      <c r="P384" s="22">
        <f t="shared" si="74"/>
        <v>0</v>
      </c>
      <c r="Q384" s="22">
        <f t="shared" si="75"/>
        <v>0</v>
      </c>
      <c r="R384" s="22">
        <f t="shared" si="76"/>
        <v>0</v>
      </c>
      <c r="S384" s="22">
        <f t="shared" si="77"/>
        <v>11009527780616.766</v>
      </c>
      <c r="T384" s="21">
        <f t="shared" si="78"/>
        <v>0</v>
      </c>
      <c r="U384" s="19" t="str">
        <f t="shared" si="79"/>
        <v>No transfer</v>
      </c>
      <c r="V384" s="35" t="s">
        <v>95</v>
      </c>
    </row>
    <row r="385" spans="1:22">
      <c r="A385" s="4">
        <v>45873</v>
      </c>
      <c r="B385" s="5">
        <v>8.7799999999999996E-3</v>
      </c>
      <c r="C385" s="5">
        <v>8.7799999999999996E-3</v>
      </c>
      <c r="D385" s="6">
        <f t="shared" si="70"/>
        <v>8.7799999999999996E-3</v>
      </c>
      <c r="E385" s="8">
        <f t="shared" si="81"/>
        <v>17</v>
      </c>
      <c r="F385" s="9">
        <f t="shared" si="82"/>
        <v>1</v>
      </c>
      <c r="G385" s="9">
        <f t="shared" si="83"/>
        <v>1</v>
      </c>
      <c r="H385" s="9">
        <f t="shared" si="71"/>
        <v>0</v>
      </c>
      <c r="I385" t="str">
        <f t="shared" si="72"/>
        <v>HOLD</v>
      </c>
      <c r="J385">
        <f t="shared" si="80"/>
        <v>0</v>
      </c>
      <c r="K385" t="str">
        <f>IF(I385="","",IF(J385&gt;=Parameters!$B$5,I385,"HOLD"))</f>
        <v>HOLD</v>
      </c>
      <c r="L385" s="10">
        <f>'Actual Calc'!T385</f>
        <v>0</v>
      </c>
      <c r="M385" s="10">
        <f>'Actual Calc'!U385</f>
        <v>12298376499450.453</v>
      </c>
      <c r="N385" s="12">
        <f t="shared" si="73"/>
        <v>0</v>
      </c>
      <c r="O385" s="12">
        <f>IF(NOT(ISNUMBER(N385)),"",IF(K385="A",MIN(Parameters!$B$8,N385+Parameters!$B$6),IF(K385="B",MAX(Parameters!$B$7,N385-Parameters!$B$6),N385)))</f>
        <v>0</v>
      </c>
      <c r="P385" s="13">
        <f t="shared" si="74"/>
        <v>0</v>
      </c>
      <c r="Q385" s="13">
        <f t="shared" si="75"/>
        <v>0</v>
      </c>
      <c r="R385" s="13">
        <f t="shared" si="76"/>
        <v>0</v>
      </c>
      <c r="S385" s="13">
        <f t="shared" si="77"/>
        <v>12298376499450.453</v>
      </c>
      <c r="T385" s="12">
        <f t="shared" si="78"/>
        <v>0</v>
      </c>
      <c r="U385" t="str">
        <f t="shared" si="79"/>
        <v>No transfer</v>
      </c>
      <c r="V385" s="25" t="s">
        <v>95</v>
      </c>
    </row>
    <row r="386" spans="1:22">
      <c r="A386" s="14">
        <v>45880</v>
      </c>
      <c r="B386" s="15">
        <v>4.1000000000000003E-3</v>
      </c>
      <c r="C386" s="15">
        <v>4.1000000000000003E-3</v>
      </c>
      <c r="D386" s="16">
        <f t="shared" si="70"/>
        <v>4.1000000000000003E-3</v>
      </c>
      <c r="E386" s="17">
        <f t="shared" si="81"/>
        <v>17</v>
      </c>
      <c r="F386" s="18">
        <f t="shared" si="82"/>
        <v>1</v>
      </c>
      <c r="G386" s="18">
        <f t="shared" si="83"/>
        <v>1</v>
      </c>
      <c r="H386" s="18">
        <f t="shared" si="71"/>
        <v>0</v>
      </c>
      <c r="I386" s="19" t="str">
        <f t="shared" si="72"/>
        <v>HOLD</v>
      </c>
      <c r="J386" s="19">
        <f t="shared" si="80"/>
        <v>0</v>
      </c>
      <c r="K386" s="19" t="str">
        <f>IF(I386="","",IF(J386&gt;=Parameters!$B$5,I386,"HOLD"))</f>
        <v>HOLD</v>
      </c>
      <c r="L386" s="20">
        <f>'Actual Calc'!T386</f>
        <v>0</v>
      </c>
      <c r="M386" s="20">
        <f>'Actual Calc'!U386</f>
        <v>12970687748080.492</v>
      </c>
      <c r="N386" s="21">
        <f t="shared" si="73"/>
        <v>0</v>
      </c>
      <c r="O386" s="21">
        <f>IF(NOT(ISNUMBER(N386)),"",IF(K386="A",MIN(Parameters!$B$8,N386+Parameters!$B$6),IF(K386="B",MAX(Parameters!$B$7,N386-Parameters!$B$6),N386)))</f>
        <v>0</v>
      </c>
      <c r="P386" s="22">
        <f t="shared" si="74"/>
        <v>0</v>
      </c>
      <c r="Q386" s="22">
        <f t="shared" si="75"/>
        <v>0</v>
      </c>
      <c r="R386" s="22">
        <f t="shared" si="76"/>
        <v>0</v>
      </c>
      <c r="S386" s="22">
        <f t="shared" si="77"/>
        <v>12970687748080.492</v>
      </c>
      <c r="T386" s="21">
        <f t="shared" si="78"/>
        <v>0</v>
      </c>
      <c r="U386" s="19" t="str">
        <f t="shared" si="79"/>
        <v>No transfer</v>
      </c>
      <c r="V386" s="35" t="s">
        <v>95</v>
      </c>
    </row>
    <row r="387" spans="1:22">
      <c r="A387" s="4">
        <v>45887</v>
      </c>
      <c r="B387" s="5">
        <v>-1.8509999999999999E-2</v>
      </c>
      <c r="C387" s="5">
        <v>-2.6550000000000001E-2</v>
      </c>
      <c r="D387" s="6">
        <f t="shared" si="70"/>
        <v>-2.2530000000000001E-2</v>
      </c>
      <c r="E387" s="8">
        <f t="shared" si="81"/>
        <v>17</v>
      </c>
      <c r="F387" s="9">
        <f t="shared" si="82"/>
        <v>1</v>
      </c>
      <c r="G387" s="9">
        <f t="shared" si="83"/>
        <v>1</v>
      </c>
      <c r="H387" s="9">
        <f t="shared" si="71"/>
        <v>0</v>
      </c>
      <c r="I387" t="str">
        <f t="shared" si="72"/>
        <v>HOLD</v>
      </c>
      <c r="J387">
        <f t="shared" si="80"/>
        <v>0</v>
      </c>
      <c r="K387" t="str">
        <f>IF(I387="","",IF(J387&gt;=Parameters!$B$5,I387,"HOLD"))</f>
        <v>HOLD</v>
      </c>
      <c r="L387" s="10">
        <f>'Actual Calc'!T387</f>
        <v>0</v>
      </c>
      <c r="M387" s="10">
        <f>'Actual Calc'!U387</f>
        <v>8379064285290.2617</v>
      </c>
      <c r="N387" s="12">
        <f t="shared" si="73"/>
        <v>0</v>
      </c>
      <c r="O387" s="12">
        <f>IF(NOT(ISNUMBER(N387)),"",IF(K387="A",MIN(Parameters!$B$8,N387+Parameters!$B$6),IF(K387="B",MAX(Parameters!$B$7,N387-Parameters!$B$6),N387)))</f>
        <v>0</v>
      </c>
      <c r="P387" s="13">
        <f t="shared" si="74"/>
        <v>0</v>
      </c>
      <c r="Q387" s="13">
        <f t="shared" si="75"/>
        <v>0</v>
      </c>
      <c r="R387" s="13">
        <f t="shared" si="76"/>
        <v>0</v>
      </c>
      <c r="S387" s="13">
        <f t="shared" si="77"/>
        <v>8379064285290.2617</v>
      </c>
      <c r="T387" s="12">
        <f t="shared" si="78"/>
        <v>0</v>
      </c>
      <c r="U387" t="str">
        <f t="shared" si="79"/>
        <v>No transfer</v>
      </c>
      <c r="V387" s="25" t="s">
        <v>95</v>
      </c>
    </row>
    <row r="388" spans="1:22">
      <c r="A388" s="14">
        <v>45894</v>
      </c>
      <c r="B388" s="15">
        <v>-3.6000000000000002E-4</v>
      </c>
      <c r="C388" s="15">
        <v>-3.6000000000000002E-4</v>
      </c>
      <c r="D388" s="16">
        <f t="shared" ref="D388:D451" si="84">IF(AND(ISNUMBER(B388),ISNUMBER(C388)),(B388+C388)/2,"")</f>
        <v>-3.6000000000000002E-4</v>
      </c>
      <c r="E388" s="17">
        <f t="shared" si="81"/>
        <v>17</v>
      </c>
      <c r="F388" s="18">
        <f t="shared" si="82"/>
        <v>1</v>
      </c>
      <c r="G388" s="18">
        <f t="shared" si="83"/>
        <v>1</v>
      </c>
      <c r="H388" s="18">
        <f t="shared" ref="H388:H451" si="85">IF(AND(ISNUMBER(F388),ISNUMBER(G388)),F388-G388,"")</f>
        <v>0</v>
      </c>
      <c r="I388" s="19" t="str">
        <f t="shared" ref="I388:I451" si="86">IF(OR(NOT(ISNUMBER(F388)),NOT(ISNUMBER(G388))),"",IF(F388&gt;G388,"A",IF(G388&gt;F388,"B","HOLD")))</f>
        <v>HOLD</v>
      </c>
      <c r="J388" s="19">
        <f t="shared" si="80"/>
        <v>0</v>
      </c>
      <c r="K388" s="19" t="str">
        <f>IF(I388="","",IF(J388&gt;=Parameters!$B$5,I388,"HOLD"))</f>
        <v>HOLD</v>
      </c>
      <c r="L388" s="20">
        <f>'Actual Calc'!T388</f>
        <v>0</v>
      </c>
      <c r="M388" s="20">
        <f>'Actual Calc'!U388</f>
        <v>8338844776721.5537</v>
      </c>
      <c r="N388" s="21">
        <f t="shared" ref="N388:N451" si="87">IF(OR(NOT(ISNUMBER(L388)),NOT(ISNUMBER(M388)),L388+M388=0),"",L388/(L388+M388))</f>
        <v>0</v>
      </c>
      <c r="O388" s="21">
        <f>IF(NOT(ISNUMBER(N388)),"",IF(K388="A",MIN(Parameters!$B$8,N388+Parameters!$B$6),IF(K388="B",MAX(Parameters!$B$7,N388-Parameters!$B$6),N388)))</f>
        <v>0</v>
      </c>
      <c r="P388" s="22">
        <f t="shared" ref="P388:P451" si="88">IF(NOT(ISNUMBER(O388)),"",MAX(0,L388-(L388+M388)*O388))</f>
        <v>0</v>
      </c>
      <c r="Q388" s="22">
        <f t="shared" ref="Q388:Q451" si="89">IF(NOT(ISNUMBER(O388)),"",MAX(0,(L388+M388)*O388-L388))</f>
        <v>0</v>
      </c>
      <c r="R388" s="22">
        <f t="shared" ref="R388:R451" si="90">IF(NOT(ISNUMBER(O388)),"",L388-P388+Q388)</f>
        <v>0</v>
      </c>
      <c r="S388" s="22">
        <f t="shared" ref="S388:S451" si="91">IF(NOT(ISNUMBER(O388)),"",M388+P388-Q388)</f>
        <v>8338844776721.5537</v>
      </c>
      <c r="T388" s="21">
        <f t="shared" ref="T388:T451" si="92">IF(OR(NOT(ISNUMBER(R388)),NOT(ISNUMBER(S388)),R388+S388=0),"",R388/(R388+S388))</f>
        <v>0</v>
      </c>
      <c r="U388" s="19" t="str">
        <f t="shared" ref="U388:U451" si="93">IF(NOT(ISNUMBER(O388)),"",IF(P388&gt;0.005,"Transfer "&amp;TEXT(P388,"#,##0.00")&amp;" A → B",IF(Q388&gt;0.005,"Transfer "&amp;TEXT(Q388,"#,##0.00")&amp;" B → A","No transfer")))</f>
        <v>No transfer</v>
      </c>
      <c r="V388" s="35" t="s">
        <v>95</v>
      </c>
    </row>
    <row r="389" spans="1:22">
      <c r="A389" s="4">
        <v>45901</v>
      </c>
      <c r="B389" s="5">
        <v>7.5100000000000002E-3</v>
      </c>
      <c r="C389" s="5">
        <v>0</v>
      </c>
      <c r="D389" s="6">
        <f t="shared" si="84"/>
        <v>3.7550000000000001E-3</v>
      </c>
      <c r="E389" s="8">
        <f t="shared" si="81"/>
        <v>18</v>
      </c>
      <c r="F389" s="9">
        <f t="shared" si="82"/>
        <v>0.99031426422809743</v>
      </c>
      <c r="G389" s="9">
        <f t="shared" si="83"/>
        <v>1.0096857357719027</v>
      </c>
      <c r="H389" s="9">
        <f t="shared" si="85"/>
        <v>-1.9371471543805252E-2</v>
      </c>
      <c r="I389" t="str">
        <f t="shared" si="86"/>
        <v>B</v>
      </c>
      <c r="J389">
        <f t="shared" ref="J389:J452" si="94">IF(I389="","",IF(I389="HOLD",0,IF(I389=I388,J388+1,1)))</f>
        <v>1</v>
      </c>
      <c r="K389" t="str">
        <f>IF(I389="","",IF(J389&gt;=Parameters!$B$5,I389,"HOLD"))</f>
        <v>HOLD</v>
      </c>
      <c r="L389" s="10">
        <f>'Actual Calc'!T389</f>
        <v>0</v>
      </c>
      <c r="M389" s="10">
        <f>'Actual Calc'!U389</f>
        <v>8338844776721.5537</v>
      </c>
      <c r="N389" s="12">
        <f t="shared" si="87"/>
        <v>0</v>
      </c>
      <c r="O389" s="12">
        <f>IF(NOT(ISNUMBER(N389)),"",IF(K389="A",MIN(Parameters!$B$8,N389+Parameters!$B$6),IF(K389="B",MAX(Parameters!$B$7,N389-Parameters!$B$6),N389)))</f>
        <v>0</v>
      </c>
      <c r="P389" s="13">
        <f t="shared" si="88"/>
        <v>0</v>
      </c>
      <c r="Q389" s="13">
        <f t="shared" si="89"/>
        <v>0</v>
      </c>
      <c r="R389" s="13">
        <f t="shared" si="90"/>
        <v>0</v>
      </c>
      <c r="S389" s="13">
        <f t="shared" si="91"/>
        <v>8338844776721.5537</v>
      </c>
      <c r="T389" s="12">
        <f t="shared" si="92"/>
        <v>0</v>
      </c>
      <c r="U389" t="str">
        <f t="shared" si="93"/>
        <v>No transfer</v>
      </c>
      <c r="V389" s="25" t="s">
        <v>96</v>
      </c>
    </row>
    <row r="390" spans="1:22">
      <c r="A390" s="14">
        <v>45908</v>
      </c>
      <c r="B390" s="15">
        <v>1.3769999999999999E-2</v>
      </c>
      <c r="C390" s="15">
        <v>1.3769999999999999E-2</v>
      </c>
      <c r="D390" s="16">
        <f t="shared" si="84"/>
        <v>1.3769999999999999E-2</v>
      </c>
      <c r="E390" s="17">
        <f t="shared" si="81"/>
        <v>19</v>
      </c>
      <c r="F390" s="18">
        <f t="shared" si="82"/>
        <v>0.99040071827168863</v>
      </c>
      <c r="G390" s="18">
        <f t="shared" si="83"/>
        <v>1.0095992817283113</v>
      </c>
      <c r="H390" s="18">
        <f t="shared" si="85"/>
        <v>-1.919856345662263E-2</v>
      </c>
      <c r="I390" s="19" t="str">
        <f t="shared" si="86"/>
        <v>B</v>
      </c>
      <c r="J390" s="19">
        <f t="shared" si="94"/>
        <v>2</v>
      </c>
      <c r="K390" s="19" t="str">
        <f>IF(I390="","",IF(J390&gt;=Parameters!$B$5,I390,"HOLD"))</f>
        <v>HOLD</v>
      </c>
      <c r="L390" s="20">
        <f>'Actual Calc'!T390</f>
        <v>0</v>
      </c>
      <c r="M390" s="20">
        <f>'Actual Calc'!U390</f>
        <v>9869856677714.4941</v>
      </c>
      <c r="N390" s="21">
        <f t="shared" si="87"/>
        <v>0</v>
      </c>
      <c r="O390" s="21">
        <f>IF(NOT(ISNUMBER(N390)),"",IF(K390="A",MIN(Parameters!$B$8,N390+Parameters!$B$6),IF(K390="B",MAX(Parameters!$B$7,N390-Parameters!$B$6),N390)))</f>
        <v>0</v>
      </c>
      <c r="P390" s="22">
        <f t="shared" si="88"/>
        <v>0</v>
      </c>
      <c r="Q390" s="22">
        <f t="shared" si="89"/>
        <v>0</v>
      </c>
      <c r="R390" s="22">
        <f t="shared" si="90"/>
        <v>0</v>
      </c>
      <c r="S390" s="22">
        <f t="shared" si="91"/>
        <v>9869856677714.4941</v>
      </c>
      <c r="T390" s="21">
        <f t="shared" si="92"/>
        <v>0</v>
      </c>
      <c r="U390" s="19" t="str">
        <f t="shared" si="93"/>
        <v>No transfer</v>
      </c>
      <c r="V390" s="35" t="s">
        <v>95</v>
      </c>
    </row>
    <row r="391" spans="1:22">
      <c r="A391" s="4">
        <v>45915</v>
      </c>
      <c r="B391" s="5">
        <v>1.8610000000000002E-2</v>
      </c>
      <c r="C391" s="5">
        <v>1.8610000000000002E-2</v>
      </c>
      <c r="D391" s="6">
        <f t="shared" si="84"/>
        <v>1.8610000000000002E-2</v>
      </c>
      <c r="E391" s="8">
        <f t="shared" si="81"/>
        <v>19</v>
      </c>
      <c r="F391" s="9">
        <f t="shared" si="82"/>
        <v>0.98979178786557442</v>
      </c>
      <c r="G391" s="9">
        <f t="shared" si="83"/>
        <v>1.0102082121344251</v>
      </c>
      <c r="H391" s="9">
        <f t="shared" si="85"/>
        <v>-2.0416424268850708E-2</v>
      </c>
      <c r="I391" t="str">
        <f t="shared" si="86"/>
        <v>B</v>
      </c>
      <c r="J391">
        <f t="shared" si="94"/>
        <v>3</v>
      </c>
      <c r="K391" t="str">
        <f>IF(I391="","",IF(J391&gt;=Parameters!$B$5,I391,"HOLD"))</f>
        <v>B</v>
      </c>
      <c r="L391" s="10">
        <f>'Actual Calc'!T391</f>
        <v>0</v>
      </c>
      <c r="M391" s="10">
        <f>'Actual Calc'!U391</f>
        <v>12318897114655.844</v>
      </c>
      <c r="N391" s="12">
        <f t="shared" si="87"/>
        <v>0</v>
      </c>
      <c r="O391" s="12">
        <f>IF(NOT(ISNUMBER(N391)),"",IF(K391="A",MIN(Parameters!$B$8,N391+Parameters!$B$6),IF(K391="B",MAX(Parameters!$B$7,N391-Parameters!$B$6),N391)))</f>
        <v>0</v>
      </c>
      <c r="P391" s="13">
        <f t="shared" si="88"/>
        <v>0</v>
      </c>
      <c r="Q391" s="13">
        <f t="shared" si="89"/>
        <v>0</v>
      </c>
      <c r="R391" s="13">
        <f t="shared" si="90"/>
        <v>0</v>
      </c>
      <c r="S391" s="13">
        <f t="shared" si="91"/>
        <v>12318897114655.844</v>
      </c>
      <c r="T391" s="12">
        <f t="shared" si="92"/>
        <v>0</v>
      </c>
      <c r="U391" t="str">
        <f t="shared" si="93"/>
        <v>No transfer</v>
      </c>
      <c r="V391" s="25" t="s">
        <v>95</v>
      </c>
    </row>
    <row r="392" spans="1:22">
      <c r="A392" s="14">
        <v>45922</v>
      </c>
      <c r="B392" s="15">
        <v>7.3099999999999997E-3</v>
      </c>
      <c r="C392" s="15">
        <v>7.3099999999999997E-3</v>
      </c>
      <c r="D392" s="16">
        <f t="shared" si="84"/>
        <v>7.3099999999999997E-3</v>
      </c>
      <c r="E392" s="17">
        <f t="shared" si="81"/>
        <v>20</v>
      </c>
      <c r="F392" s="18">
        <f t="shared" si="82"/>
        <v>0.99031213116858385</v>
      </c>
      <c r="G392" s="18">
        <f t="shared" si="83"/>
        <v>1.0096878688314159</v>
      </c>
      <c r="H392" s="18">
        <f t="shared" si="85"/>
        <v>-1.9375737662832071E-2</v>
      </c>
      <c r="I392" s="19" t="str">
        <f t="shared" si="86"/>
        <v>B</v>
      </c>
      <c r="J392" s="19">
        <f t="shared" si="94"/>
        <v>4</v>
      </c>
      <c r="K392" s="19" t="str">
        <f>IF(I392="","",IF(J392&gt;=Parameters!$B$5,I392,"HOLD"))</f>
        <v>B</v>
      </c>
      <c r="L392" s="20">
        <f>'Actual Calc'!T392</f>
        <v>0</v>
      </c>
      <c r="M392" s="20">
        <f>'Actual Calc'!U392</f>
        <v>13519578953416.752</v>
      </c>
      <c r="N392" s="21">
        <f t="shared" si="87"/>
        <v>0</v>
      </c>
      <c r="O392" s="21">
        <f>IF(NOT(ISNUMBER(N392)),"",IF(K392="A",MIN(Parameters!$B$8,N392+Parameters!$B$6),IF(K392="B",MAX(Parameters!$B$7,N392-Parameters!$B$6),N392)))</f>
        <v>0</v>
      </c>
      <c r="P392" s="22">
        <f t="shared" si="88"/>
        <v>0</v>
      </c>
      <c r="Q392" s="22">
        <f t="shared" si="89"/>
        <v>0</v>
      </c>
      <c r="R392" s="22">
        <f t="shared" si="90"/>
        <v>0</v>
      </c>
      <c r="S392" s="22">
        <f t="shared" si="91"/>
        <v>13519578953416.752</v>
      </c>
      <c r="T392" s="21">
        <f t="shared" si="92"/>
        <v>0</v>
      </c>
      <c r="U392" s="19" t="str">
        <f t="shared" si="93"/>
        <v>No transfer</v>
      </c>
      <c r="V392" s="35" t="s">
        <v>95</v>
      </c>
    </row>
    <row r="393" spans="1:22">
      <c r="A393" s="4">
        <v>45929</v>
      </c>
      <c r="B393" s="5">
        <v>6.9100000000000003E-3</v>
      </c>
      <c r="C393" s="5">
        <v>6.9100000000000003E-3</v>
      </c>
      <c r="D393" s="6">
        <f t="shared" si="84"/>
        <v>6.9100000000000003E-3</v>
      </c>
      <c r="E393" s="8">
        <f t="shared" si="81"/>
        <v>20</v>
      </c>
      <c r="F393" s="9">
        <f t="shared" si="82"/>
        <v>0.99068724459319246</v>
      </c>
      <c r="G393" s="9">
        <f t="shared" si="83"/>
        <v>1.0093127554068075</v>
      </c>
      <c r="H393" s="9">
        <f t="shared" si="85"/>
        <v>-1.8625510813615076E-2</v>
      </c>
      <c r="I393" t="str">
        <f t="shared" si="86"/>
        <v>B</v>
      </c>
      <c r="J393">
        <f t="shared" si="94"/>
        <v>5</v>
      </c>
      <c r="K393" t="str">
        <f>IF(I393="","",IF(J393&gt;=Parameters!$B$5,I393,"HOLD"))</f>
        <v>B</v>
      </c>
      <c r="L393" s="10">
        <f>'Actual Calc'!T393</f>
        <v>0</v>
      </c>
      <c r="M393" s="10">
        <f>'Actual Calc'!U393</f>
        <v>14765182827651.145</v>
      </c>
      <c r="N393" s="12">
        <f t="shared" si="87"/>
        <v>0</v>
      </c>
      <c r="O393" s="12">
        <f>IF(NOT(ISNUMBER(N393)),"",IF(K393="A",MIN(Parameters!$B$8,N393+Parameters!$B$6),IF(K393="B",MAX(Parameters!$B$7,N393-Parameters!$B$6),N393)))</f>
        <v>0</v>
      </c>
      <c r="P393" s="13">
        <f t="shared" si="88"/>
        <v>0</v>
      </c>
      <c r="Q393" s="13">
        <f t="shared" si="89"/>
        <v>0</v>
      </c>
      <c r="R393" s="13">
        <f t="shared" si="90"/>
        <v>0</v>
      </c>
      <c r="S393" s="13">
        <f t="shared" si="91"/>
        <v>14765182827651.145</v>
      </c>
      <c r="T393" s="12">
        <f t="shared" si="92"/>
        <v>0</v>
      </c>
      <c r="U393" t="str">
        <f t="shared" si="93"/>
        <v>No transfer</v>
      </c>
      <c r="V393" s="25" t="s">
        <v>95</v>
      </c>
    </row>
    <row r="394" spans="1:22">
      <c r="A394" s="14">
        <v>45936</v>
      </c>
      <c r="B394" s="15">
        <v>-3.96E-3</v>
      </c>
      <c r="C394" s="15">
        <v>-3.96E-3</v>
      </c>
      <c r="D394" s="16">
        <f t="shared" si="84"/>
        <v>-3.96E-3</v>
      </c>
      <c r="E394" s="17">
        <f t="shared" si="81"/>
        <v>19</v>
      </c>
      <c r="F394" s="18">
        <f t="shared" si="82"/>
        <v>0.99043763469082391</v>
      </c>
      <c r="G394" s="18">
        <f t="shared" si="83"/>
        <v>1.0095623653091763</v>
      </c>
      <c r="H394" s="18">
        <f t="shared" si="85"/>
        <v>-1.9124730618352404E-2</v>
      </c>
      <c r="I394" s="19" t="str">
        <f t="shared" si="86"/>
        <v>B</v>
      </c>
      <c r="J394" s="19">
        <f t="shared" si="94"/>
        <v>6</v>
      </c>
      <c r="K394" s="19" t="str">
        <f>IF(I394="","",IF(J394&gt;=Parameters!$B$5,I394,"HOLD"))</f>
        <v>B</v>
      </c>
      <c r="L394" s="20">
        <f>'Actual Calc'!T394</f>
        <v>0</v>
      </c>
      <c r="M394" s="20">
        <f>'Actual Calc'!U394</f>
        <v>13985581174360.201</v>
      </c>
      <c r="N394" s="21">
        <f t="shared" si="87"/>
        <v>0</v>
      </c>
      <c r="O394" s="21">
        <f>IF(NOT(ISNUMBER(N394)),"",IF(K394="A",MIN(Parameters!$B$8,N394+Parameters!$B$6),IF(K394="B",MAX(Parameters!$B$7,N394-Parameters!$B$6),N394)))</f>
        <v>0</v>
      </c>
      <c r="P394" s="22">
        <f t="shared" si="88"/>
        <v>0</v>
      </c>
      <c r="Q394" s="22">
        <f t="shared" si="89"/>
        <v>0</v>
      </c>
      <c r="R394" s="22">
        <f t="shared" si="90"/>
        <v>0</v>
      </c>
      <c r="S394" s="22">
        <f t="shared" si="91"/>
        <v>13985581174360.201</v>
      </c>
      <c r="T394" s="21">
        <f t="shared" si="92"/>
        <v>0</v>
      </c>
      <c r="U394" s="19" t="str">
        <f t="shared" si="93"/>
        <v>No transfer</v>
      </c>
      <c r="V394" s="35" t="s">
        <v>95</v>
      </c>
    </row>
    <row r="395" spans="1:22">
      <c r="A395" s="4">
        <v>45943</v>
      </c>
      <c r="B395" s="5">
        <v>-4.0000000000000001E-3</v>
      </c>
      <c r="C395" s="5">
        <v>-4.0000000000000001E-3</v>
      </c>
      <c r="D395" s="6">
        <f t="shared" si="84"/>
        <v>-4.0000000000000001E-3</v>
      </c>
      <c r="E395" s="8">
        <f t="shared" si="81"/>
        <v>19</v>
      </c>
      <c r="F395" s="9">
        <f t="shared" si="82"/>
        <v>0.99043763469082391</v>
      </c>
      <c r="G395" s="9">
        <f t="shared" si="83"/>
        <v>1.0095623653091763</v>
      </c>
      <c r="H395" s="9">
        <f t="shared" si="85"/>
        <v>-1.9124730618352404E-2</v>
      </c>
      <c r="I395" t="str">
        <f t="shared" si="86"/>
        <v>B</v>
      </c>
      <c r="J395">
        <f t="shared" si="94"/>
        <v>7</v>
      </c>
      <c r="K395" t="str">
        <f>IF(I395="","",IF(J395&gt;=Parameters!$B$5,I395,"HOLD"))</f>
        <v>B</v>
      </c>
      <c r="L395" s="10">
        <f>'Actual Calc'!T395</f>
        <v>0</v>
      </c>
      <c r="M395" s="10">
        <f>'Actual Calc'!U395</f>
        <v>13239683511735.4</v>
      </c>
      <c r="N395" s="12">
        <f t="shared" si="87"/>
        <v>0</v>
      </c>
      <c r="O395" s="12">
        <f>IF(NOT(ISNUMBER(N395)),"",IF(K395="A",MIN(Parameters!$B$8,N395+Parameters!$B$6),IF(K395="B",MAX(Parameters!$B$7,N395-Parameters!$B$6),N395)))</f>
        <v>0</v>
      </c>
      <c r="P395" s="13">
        <f t="shared" si="88"/>
        <v>0</v>
      </c>
      <c r="Q395" s="13">
        <f t="shared" si="89"/>
        <v>0</v>
      </c>
      <c r="R395" s="13">
        <f t="shared" si="90"/>
        <v>0</v>
      </c>
      <c r="S395" s="13">
        <f t="shared" si="91"/>
        <v>13239683511735.4</v>
      </c>
      <c r="T395" s="12">
        <f t="shared" si="92"/>
        <v>0</v>
      </c>
      <c r="U395" t="str">
        <f t="shared" si="93"/>
        <v>No transfer</v>
      </c>
      <c r="V395" s="25" t="s">
        <v>95</v>
      </c>
    </row>
    <row r="396" spans="1:22">
      <c r="A396" s="14">
        <v>45950</v>
      </c>
      <c r="B396" s="15">
        <v>7.2100000000000003E-3</v>
      </c>
      <c r="C396" s="15">
        <v>7.2100000000000003E-3</v>
      </c>
      <c r="D396" s="16">
        <f t="shared" si="84"/>
        <v>7.2100000000000003E-3</v>
      </c>
      <c r="E396" s="17">
        <f t="shared" si="81"/>
        <v>19</v>
      </c>
      <c r="F396" s="18">
        <f t="shared" si="82"/>
        <v>0.97700149923677959</v>
      </c>
      <c r="G396" s="18">
        <f t="shared" si="83"/>
        <v>1.0229985007632207</v>
      </c>
      <c r="H396" s="18">
        <f t="shared" si="85"/>
        <v>-4.599700152644115E-2</v>
      </c>
      <c r="I396" s="19" t="str">
        <f t="shared" si="86"/>
        <v>B</v>
      </c>
      <c r="J396" s="19">
        <f t="shared" si="94"/>
        <v>8</v>
      </c>
      <c r="K396" s="19" t="str">
        <f>IF(I396="","",IF(J396&gt;=Parameters!$B$5,I396,"HOLD"))</f>
        <v>B</v>
      </c>
      <c r="L396" s="20">
        <f>'Actual Calc'!T396</f>
        <v>0</v>
      </c>
      <c r="M396" s="20">
        <f>'Actual Calc'!U396</f>
        <v>14512458419983.16</v>
      </c>
      <c r="N396" s="21">
        <f t="shared" si="87"/>
        <v>0</v>
      </c>
      <c r="O396" s="21">
        <f>IF(NOT(ISNUMBER(N396)),"",IF(K396="A",MIN(Parameters!$B$8,N396+Parameters!$B$6),IF(K396="B",MAX(Parameters!$B$7,N396-Parameters!$B$6),N396)))</f>
        <v>0</v>
      </c>
      <c r="P396" s="22">
        <f t="shared" si="88"/>
        <v>0</v>
      </c>
      <c r="Q396" s="22">
        <f t="shared" si="89"/>
        <v>0</v>
      </c>
      <c r="R396" s="22">
        <f t="shared" si="90"/>
        <v>0</v>
      </c>
      <c r="S396" s="22">
        <f t="shared" si="91"/>
        <v>14512458419983.16</v>
      </c>
      <c r="T396" s="21">
        <f t="shared" si="92"/>
        <v>0</v>
      </c>
      <c r="U396" s="19" t="str">
        <f t="shared" si="93"/>
        <v>No transfer</v>
      </c>
      <c r="V396" s="35" t="s">
        <v>95</v>
      </c>
    </row>
    <row r="397" spans="1:22">
      <c r="A397" s="4">
        <v>45957</v>
      </c>
      <c r="B397" s="5">
        <v>7.1700000000000002E-3</v>
      </c>
      <c r="C397" s="5">
        <v>7.1700000000000002E-3</v>
      </c>
      <c r="D397" s="6">
        <f t="shared" si="84"/>
        <v>7.1700000000000002E-3</v>
      </c>
      <c r="E397" s="8">
        <f t="shared" si="81"/>
        <v>19</v>
      </c>
      <c r="F397" s="9">
        <f t="shared" si="82"/>
        <v>0.96644168418025345</v>
      </c>
      <c r="G397" s="9">
        <f t="shared" si="83"/>
        <v>1.0335583158197468</v>
      </c>
      <c r="H397" s="9">
        <f t="shared" si="85"/>
        <v>-6.7116631639493329E-2</v>
      </c>
      <c r="I397" t="str">
        <f t="shared" si="86"/>
        <v>B</v>
      </c>
      <c r="J397">
        <f t="shared" si="94"/>
        <v>9</v>
      </c>
      <c r="K397" t="str">
        <f>IF(I397="","",IF(J397&gt;=Parameters!$B$5,I397,"HOLD"))</f>
        <v>B</v>
      </c>
      <c r="L397" s="10">
        <f>'Actual Calc'!T397</f>
        <v>0</v>
      </c>
      <c r="M397" s="10">
        <f>'Actual Calc'!U397</f>
        <v>15899849444933.01</v>
      </c>
      <c r="N397" s="12">
        <f t="shared" si="87"/>
        <v>0</v>
      </c>
      <c r="O397" s="12">
        <f>IF(NOT(ISNUMBER(N397)),"",IF(K397="A",MIN(Parameters!$B$8,N397+Parameters!$B$6),IF(K397="B",MAX(Parameters!$B$7,N397-Parameters!$B$6),N397)))</f>
        <v>0</v>
      </c>
      <c r="P397" s="13">
        <f t="shared" si="88"/>
        <v>0</v>
      </c>
      <c r="Q397" s="13">
        <f t="shared" si="89"/>
        <v>0</v>
      </c>
      <c r="R397" s="13">
        <f t="shared" si="90"/>
        <v>0</v>
      </c>
      <c r="S397" s="13">
        <f t="shared" si="91"/>
        <v>15899849444933.01</v>
      </c>
      <c r="T397" s="12">
        <f t="shared" si="92"/>
        <v>0</v>
      </c>
      <c r="U397" t="str">
        <f t="shared" si="93"/>
        <v>No transfer</v>
      </c>
      <c r="V397" s="25" t="s">
        <v>95</v>
      </c>
    </row>
    <row r="398" spans="1:22">
      <c r="A398" s="14">
        <v>45964</v>
      </c>
      <c r="B398" s="15">
        <v>-1.7999999999999999E-2</v>
      </c>
      <c r="C398" s="15">
        <v>-1.7999999999999999E-2</v>
      </c>
      <c r="D398" s="16">
        <f t="shared" si="84"/>
        <v>-1.7999999999999999E-2</v>
      </c>
      <c r="E398" s="17">
        <f t="shared" si="81"/>
        <v>18</v>
      </c>
      <c r="F398" s="18">
        <f t="shared" si="82"/>
        <v>0.96359599619930103</v>
      </c>
      <c r="G398" s="18">
        <f t="shared" si="83"/>
        <v>1.0364040038006987</v>
      </c>
      <c r="H398" s="18">
        <f t="shared" si="85"/>
        <v>-7.2808007601397717E-2</v>
      </c>
      <c r="I398" s="19" t="str">
        <f t="shared" si="86"/>
        <v>B</v>
      </c>
      <c r="J398" s="19">
        <f t="shared" si="94"/>
        <v>10</v>
      </c>
      <c r="K398" s="19" t="str">
        <f>IF(I398="","",IF(J398&gt;=Parameters!$B$5,I398,"HOLD"))</f>
        <v>B</v>
      </c>
      <c r="L398" s="20">
        <f>'Actual Calc'!T398</f>
        <v>0</v>
      </c>
      <c r="M398" s="20">
        <f>'Actual Calc'!U398</f>
        <v>12083885578169.01</v>
      </c>
      <c r="N398" s="21">
        <f t="shared" si="87"/>
        <v>0</v>
      </c>
      <c r="O398" s="21">
        <f>IF(NOT(ISNUMBER(N398)),"",IF(K398="A",MIN(Parameters!$B$8,N398+Parameters!$B$6),IF(K398="B",MAX(Parameters!$B$7,N398-Parameters!$B$6),N398)))</f>
        <v>0</v>
      </c>
      <c r="P398" s="22">
        <f t="shared" si="88"/>
        <v>0</v>
      </c>
      <c r="Q398" s="22">
        <f t="shared" si="89"/>
        <v>0</v>
      </c>
      <c r="R398" s="22">
        <f t="shared" si="90"/>
        <v>0</v>
      </c>
      <c r="S398" s="22">
        <f t="shared" si="91"/>
        <v>12083885578169.01</v>
      </c>
      <c r="T398" s="21">
        <f t="shared" si="92"/>
        <v>0</v>
      </c>
      <c r="U398" s="19" t="str">
        <f t="shared" si="93"/>
        <v>No transfer</v>
      </c>
      <c r="V398" s="35" t="s">
        <v>95</v>
      </c>
    </row>
    <row r="399" spans="1:22">
      <c r="A399" s="4">
        <v>45971</v>
      </c>
      <c r="B399" s="5">
        <v>7.7200000000000003E-3</v>
      </c>
      <c r="C399" s="5">
        <v>7.7200000000000003E-3</v>
      </c>
      <c r="D399" s="6">
        <f t="shared" si="84"/>
        <v>7.7200000000000003E-3</v>
      </c>
      <c r="E399" s="8">
        <f t="shared" si="81"/>
        <v>18</v>
      </c>
      <c r="F399" s="9">
        <f t="shared" si="82"/>
        <v>0.93829742670813188</v>
      </c>
      <c r="G399" s="9">
        <f t="shared" si="83"/>
        <v>1.0617025732918675</v>
      </c>
      <c r="H399" s="9">
        <f t="shared" si="85"/>
        <v>-0.12340514658373558</v>
      </c>
      <c r="I399" t="str">
        <f t="shared" si="86"/>
        <v>B</v>
      </c>
      <c r="J399">
        <f t="shared" si="94"/>
        <v>11</v>
      </c>
      <c r="K399" t="str">
        <f>IF(I399="","",IF(J399&gt;=Parameters!$B$5,I399,"HOLD"))</f>
        <v>B</v>
      </c>
      <c r="L399" s="10">
        <f>'Actual Calc'!T399</f>
        <v>0</v>
      </c>
      <c r="M399" s="10">
        <f>'Actual Calc'!U399</f>
        <v>13327720200347.098</v>
      </c>
      <c r="N399" s="12">
        <f t="shared" si="87"/>
        <v>0</v>
      </c>
      <c r="O399" s="12">
        <f>IF(NOT(ISNUMBER(N399)),"",IF(K399="A",MIN(Parameters!$B$8,N399+Parameters!$B$6),IF(K399="B",MAX(Parameters!$B$7,N399-Parameters!$B$6),N399)))</f>
        <v>0</v>
      </c>
      <c r="P399" s="13">
        <f t="shared" si="88"/>
        <v>0</v>
      </c>
      <c r="Q399" s="13">
        <f t="shared" si="89"/>
        <v>0</v>
      </c>
      <c r="R399" s="13">
        <f t="shared" si="90"/>
        <v>0</v>
      </c>
      <c r="S399" s="13">
        <f t="shared" si="91"/>
        <v>13327720200347.098</v>
      </c>
      <c r="T399" s="12">
        <f t="shared" si="92"/>
        <v>0</v>
      </c>
      <c r="U399" t="str">
        <f t="shared" si="93"/>
        <v>No transfer</v>
      </c>
      <c r="V399" s="25" t="s">
        <v>95</v>
      </c>
    </row>
    <row r="400" spans="1:22">
      <c r="A400" s="14">
        <v>45978</v>
      </c>
      <c r="B400" s="15">
        <v>-4.0000000000000001E-3</v>
      </c>
      <c r="C400" s="15">
        <v>0</v>
      </c>
      <c r="D400" s="16">
        <f t="shared" si="84"/>
        <v>-2E-3</v>
      </c>
      <c r="E400" s="17">
        <f t="shared" si="81"/>
        <v>17</v>
      </c>
      <c r="F400" s="18">
        <f t="shared" si="82"/>
        <v>0.93556531290452372</v>
      </c>
      <c r="G400" s="18">
        <f t="shared" si="83"/>
        <v>1.0644346870954771</v>
      </c>
      <c r="H400" s="18">
        <f t="shared" si="85"/>
        <v>-0.12886937419095335</v>
      </c>
      <c r="I400" s="19" t="str">
        <f t="shared" si="86"/>
        <v>B</v>
      </c>
      <c r="J400" s="19">
        <f t="shared" si="94"/>
        <v>12</v>
      </c>
      <c r="K400" s="19" t="str">
        <f>IF(I400="","",IF(J400&gt;=Parameters!$B$5,I400,"HOLD"))</f>
        <v>B</v>
      </c>
      <c r="L400" s="20">
        <f>'Actual Calc'!T400</f>
        <v>0</v>
      </c>
      <c r="M400" s="20">
        <f>'Actual Calc'!U400</f>
        <v>13327720200347.098</v>
      </c>
      <c r="N400" s="21">
        <f t="shared" si="87"/>
        <v>0</v>
      </c>
      <c r="O400" s="21">
        <f>IF(NOT(ISNUMBER(N400)),"",IF(K400="A",MIN(Parameters!$B$8,N400+Parameters!$B$6),IF(K400="B",MAX(Parameters!$B$7,N400-Parameters!$B$6),N400)))</f>
        <v>0</v>
      </c>
      <c r="P400" s="22">
        <f t="shared" si="88"/>
        <v>0</v>
      </c>
      <c r="Q400" s="22">
        <f t="shared" si="89"/>
        <v>0</v>
      </c>
      <c r="R400" s="22">
        <f t="shared" si="90"/>
        <v>0</v>
      </c>
      <c r="S400" s="22">
        <f t="shared" si="91"/>
        <v>13327720200347.098</v>
      </c>
      <c r="T400" s="21">
        <f t="shared" si="92"/>
        <v>0</v>
      </c>
      <c r="U400" s="19" t="str">
        <f t="shared" si="93"/>
        <v>No transfer</v>
      </c>
      <c r="V400" s="35" t="s">
        <v>96</v>
      </c>
    </row>
    <row r="401" spans="1:22">
      <c r="A401" s="4">
        <v>45985</v>
      </c>
      <c r="B401" s="5">
        <v>1.6719999999999999E-2</v>
      </c>
      <c r="C401" s="5">
        <v>1.6719999999999999E-2</v>
      </c>
      <c r="D401" s="6">
        <f t="shared" si="84"/>
        <v>1.6719999999999999E-2</v>
      </c>
      <c r="E401" s="8">
        <f t="shared" si="81"/>
        <v>17</v>
      </c>
      <c r="F401" s="9">
        <f t="shared" si="82"/>
        <v>0.94286191365204564</v>
      </c>
      <c r="G401" s="9">
        <f t="shared" si="83"/>
        <v>1.0571380863479543</v>
      </c>
      <c r="H401" s="9">
        <f t="shared" si="85"/>
        <v>-0.11427617269590862</v>
      </c>
      <c r="I401" t="str">
        <f t="shared" si="86"/>
        <v>B</v>
      </c>
      <c r="J401">
        <f t="shared" si="94"/>
        <v>13</v>
      </c>
      <c r="K401" t="str">
        <f>IF(I401="","",IF(J401&gt;=Parameters!$B$5,I401,"HOLD"))</f>
        <v>B</v>
      </c>
      <c r="L401" s="10">
        <f>'Actual Calc'!T401</f>
        <v>0</v>
      </c>
      <c r="M401" s="10">
        <f>'Actual Calc'!U401</f>
        <v>16298913290307.227</v>
      </c>
      <c r="N401" s="12">
        <f t="shared" si="87"/>
        <v>0</v>
      </c>
      <c r="O401" s="12">
        <f>IF(NOT(ISNUMBER(N401)),"",IF(K401="A",MIN(Parameters!$B$8,N401+Parameters!$B$6),IF(K401="B",MAX(Parameters!$B$7,N401-Parameters!$B$6),N401)))</f>
        <v>0</v>
      </c>
      <c r="P401" s="13">
        <f t="shared" si="88"/>
        <v>0</v>
      </c>
      <c r="Q401" s="13">
        <f t="shared" si="89"/>
        <v>0</v>
      </c>
      <c r="R401" s="13">
        <f t="shared" si="90"/>
        <v>0</v>
      </c>
      <c r="S401" s="13">
        <f t="shared" si="91"/>
        <v>16298913290307.227</v>
      </c>
      <c r="T401" s="12">
        <f t="shared" si="92"/>
        <v>0</v>
      </c>
      <c r="U401" t="str">
        <f t="shared" si="93"/>
        <v>No transfer</v>
      </c>
      <c r="V401" s="25" t="s">
        <v>95</v>
      </c>
    </row>
    <row r="402" spans="1:22">
      <c r="A402" s="14">
        <v>45992</v>
      </c>
      <c r="B402" s="15">
        <v>1.9570000000000001E-2</v>
      </c>
      <c r="C402" s="15">
        <v>1.9570000000000001E-2</v>
      </c>
      <c r="D402" s="16">
        <f t="shared" si="84"/>
        <v>1.9570000000000001E-2</v>
      </c>
      <c r="E402" s="17">
        <f t="shared" si="81"/>
        <v>17</v>
      </c>
      <c r="F402" s="18">
        <f t="shared" si="82"/>
        <v>0.9522112264324476</v>
      </c>
      <c r="G402" s="18">
        <f t="shared" si="83"/>
        <v>1.0477887735675524</v>
      </c>
      <c r="H402" s="18">
        <f t="shared" si="85"/>
        <v>-9.5577547135104801E-2</v>
      </c>
      <c r="I402" s="19" t="str">
        <f t="shared" si="86"/>
        <v>B</v>
      </c>
      <c r="J402" s="19">
        <f t="shared" si="94"/>
        <v>14</v>
      </c>
      <c r="K402" s="19" t="str">
        <f>IF(I402="","",IF(J402&gt;=Parameters!$B$5,I402,"HOLD"))</f>
        <v>B</v>
      </c>
      <c r="L402" s="20">
        <f>'Actual Calc'!T402</f>
        <v>0</v>
      </c>
      <c r="M402" s="20">
        <f>'Actual Calc'!U402</f>
        <v>20551843064819.641</v>
      </c>
      <c r="N402" s="21">
        <f t="shared" si="87"/>
        <v>0</v>
      </c>
      <c r="O402" s="21">
        <f>IF(NOT(ISNUMBER(N402)),"",IF(K402="A",MIN(Parameters!$B$8,N402+Parameters!$B$6),IF(K402="B",MAX(Parameters!$B$7,N402-Parameters!$B$6),N402)))</f>
        <v>0</v>
      </c>
      <c r="P402" s="22">
        <f t="shared" si="88"/>
        <v>0</v>
      </c>
      <c r="Q402" s="22">
        <f t="shared" si="89"/>
        <v>0</v>
      </c>
      <c r="R402" s="22">
        <f t="shared" si="90"/>
        <v>0</v>
      </c>
      <c r="S402" s="22">
        <f t="shared" si="91"/>
        <v>20551843064819.641</v>
      </c>
      <c r="T402" s="21">
        <f t="shared" si="92"/>
        <v>0</v>
      </c>
      <c r="U402" s="19" t="str">
        <f t="shared" si="93"/>
        <v>No transfer</v>
      </c>
      <c r="V402" s="35" t="s">
        <v>95</v>
      </c>
    </row>
    <row r="403" spans="1:22">
      <c r="A403" s="4">
        <v>45999</v>
      </c>
      <c r="B403" s="5">
        <v>-4.0499999999999998E-3</v>
      </c>
      <c r="C403" s="5">
        <v>-4.0499999999999998E-3</v>
      </c>
      <c r="D403" s="6">
        <f t="shared" si="84"/>
        <v>-4.0499999999999998E-3</v>
      </c>
      <c r="E403" s="8">
        <f t="shared" si="81"/>
        <v>17</v>
      </c>
      <c r="F403" s="9">
        <f t="shared" si="82"/>
        <v>0.9522112264324476</v>
      </c>
      <c r="G403" s="9">
        <f t="shared" si="83"/>
        <v>1.0477887735675524</v>
      </c>
      <c r="H403" s="9">
        <f t="shared" si="85"/>
        <v>-9.5577547135104801E-2</v>
      </c>
      <c r="I403" t="str">
        <f t="shared" si="86"/>
        <v>B</v>
      </c>
      <c r="J403">
        <f t="shared" si="94"/>
        <v>15</v>
      </c>
      <c r="K403" t="str">
        <f>IF(I403="","",IF(J403&gt;=Parameters!$B$5,I403,"HOLD"))</f>
        <v>B</v>
      </c>
      <c r="L403" s="10">
        <f>'Actual Calc'!T403</f>
        <v>0</v>
      </c>
      <c r="M403" s="10">
        <f>'Actual Calc'!U403</f>
        <v>19442043539322.602</v>
      </c>
      <c r="N403" s="12">
        <f t="shared" si="87"/>
        <v>0</v>
      </c>
      <c r="O403" s="12">
        <f>IF(NOT(ISNUMBER(N403)),"",IF(K403="A",MIN(Parameters!$B$8,N403+Parameters!$B$6),IF(K403="B",MAX(Parameters!$B$7,N403-Parameters!$B$6),N403)))</f>
        <v>0</v>
      </c>
      <c r="P403" s="13">
        <f t="shared" si="88"/>
        <v>0</v>
      </c>
      <c r="Q403" s="13">
        <f t="shared" si="89"/>
        <v>0</v>
      </c>
      <c r="R403" s="13">
        <f t="shared" si="90"/>
        <v>0</v>
      </c>
      <c r="S403" s="13">
        <f t="shared" si="91"/>
        <v>19442043539322.602</v>
      </c>
      <c r="T403" s="12">
        <f t="shared" si="92"/>
        <v>0</v>
      </c>
      <c r="U403" t="str">
        <f t="shared" si="93"/>
        <v>No transfer</v>
      </c>
      <c r="V403" s="25" t="s">
        <v>95</v>
      </c>
    </row>
    <row r="404" spans="1:22">
      <c r="A404" s="14">
        <v>46006</v>
      </c>
      <c r="B404" s="15">
        <v>-2.528E-2</v>
      </c>
      <c r="C404" s="15">
        <v>-2.528E-2</v>
      </c>
      <c r="D404" s="16">
        <f t="shared" si="84"/>
        <v>-2.528E-2</v>
      </c>
      <c r="E404" s="17">
        <f t="shared" si="81"/>
        <v>16</v>
      </c>
      <c r="F404" s="18">
        <f t="shared" si="82"/>
        <v>0.95043784613636295</v>
      </c>
      <c r="G404" s="18">
        <f t="shared" si="83"/>
        <v>1.049562153863637</v>
      </c>
      <c r="H404" s="18">
        <f t="shared" si="85"/>
        <v>-9.9124307727274097E-2</v>
      </c>
      <c r="I404" s="19" t="str">
        <f t="shared" si="86"/>
        <v>B</v>
      </c>
      <c r="J404" s="19">
        <f t="shared" si="94"/>
        <v>16</v>
      </c>
      <c r="K404" s="19" t="str">
        <f>IF(I404="","",IF(J404&gt;=Parameters!$B$5,I404,"HOLD"))</f>
        <v>B</v>
      </c>
      <c r="L404" s="20">
        <f>'Actual Calc'!T404</f>
        <v>0</v>
      </c>
      <c r="M404" s="20">
        <f>'Actual Calc'!U404</f>
        <v>12888778730374.57</v>
      </c>
      <c r="N404" s="21">
        <f t="shared" si="87"/>
        <v>0</v>
      </c>
      <c r="O404" s="21">
        <f>IF(NOT(ISNUMBER(N404)),"",IF(K404="A",MIN(Parameters!$B$8,N404+Parameters!$B$6),IF(K404="B",MAX(Parameters!$B$7,N404-Parameters!$B$6),N404)))</f>
        <v>0</v>
      </c>
      <c r="P404" s="22">
        <f t="shared" si="88"/>
        <v>0</v>
      </c>
      <c r="Q404" s="22">
        <f t="shared" si="89"/>
        <v>0</v>
      </c>
      <c r="R404" s="22">
        <f t="shared" si="90"/>
        <v>0</v>
      </c>
      <c r="S404" s="22">
        <f t="shared" si="91"/>
        <v>12888778730374.57</v>
      </c>
      <c r="T404" s="21">
        <f t="shared" si="92"/>
        <v>0</v>
      </c>
      <c r="U404" s="19" t="str">
        <f t="shared" si="93"/>
        <v>No transfer</v>
      </c>
      <c r="V404" s="35" t="s">
        <v>95</v>
      </c>
    </row>
    <row r="405" spans="1:22">
      <c r="A405" s="4">
        <v>46013</v>
      </c>
      <c r="B405" s="5">
        <v>4.3E-3</v>
      </c>
      <c r="C405" s="5">
        <v>4.3E-3</v>
      </c>
      <c r="D405" s="6">
        <f t="shared" si="84"/>
        <v>4.3E-3</v>
      </c>
      <c r="E405" s="8">
        <f t="shared" si="81"/>
        <v>16</v>
      </c>
      <c r="F405" s="9">
        <f t="shared" si="82"/>
        <v>0.95536107082512023</v>
      </c>
      <c r="G405" s="9">
        <f t="shared" si="83"/>
        <v>1.0446389291748792</v>
      </c>
      <c r="H405" s="9">
        <f t="shared" si="85"/>
        <v>-8.9277858349758987E-2</v>
      </c>
      <c r="I405" t="str">
        <f t="shared" si="86"/>
        <v>B</v>
      </c>
      <c r="J405">
        <f t="shared" si="94"/>
        <v>17</v>
      </c>
      <c r="K405" t="str">
        <f>IF(I405="","",IF(J405&gt;=Parameters!$B$5,I405,"HOLD"))</f>
        <v>B</v>
      </c>
      <c r="L405" s="10">
        <f>'Actual Calc'!T405</f>
        <v>0</v>
      </c>
      <c r="M405" s="10">
        <f>'Actual Calc'!U405</f>
        <v>13627735377580.301</v>
      </c>
      <c r="N405" s="12">
        <f t="shared" si="87"/>
        <v>0</v>
      </c>
      <c r="O405" s="12">
        <f>IF(NOT(ISNUMBER(N405)),"",IF(K405="A",MIN(Parameters!$B$8,N405+Parameters!$B$6),IF(K405="B",MAX(Parameters!$B$7,N405-Parameters!$B$6),N405)))</f>
        <v>0</v>
      </c>
      <c r="P405" s="13">
        <f t="shared" si="88"/>
        <v>0</v>
      </c>
      <c r="Q405" s="13">
        <f t="shared" si="89"/>
        <v>0</v>
      </c>
      <c r="R405" s="13">
        <f t="shared" si="90"/>
        <v>0</v>
      </c>
      <c r="S405" s="13">
        <f t="shared" si="91"/>
        <v>13627735377580.301</v>
      </c>
      <c r="T405" s="12">
        <f t="shared" si="92"/>
        <v>0</v>
      </c>
      <c r="U405" t="str">
        <f t="shared" si="93"/>
        <v>No transfer</v>
      </c>
      <c r="V405" s="25" t="s">
        <v>95</v>
      </c>
    </row>
    <row r="406" spans="1:22">
      <c r="A406" s="14">
        <v>46020</v>
      </c>
      <c r="B406" s="15">
        <v>-3.9699999999999996E-3</v>
      </c>
      <c r="C406" s="15">
        <v>-3.9699999999999996E-3</v>
      </c>
      <c r="D406" s="16">
        <f t="shared" si="84"/>
        <v>-3.9699999999999996E-3</v>
      </c>
      <c r="E406" s="17">
        <f t="shared" si="81"/>
        <v>16</v>
      </c>
      <c r="F406" s="18">
        <f t="shared" si="82"/>
        <v>0.95536107082512023</v>
      </c>
      <c r="G406" s="18">
        <f t="shared" si="83"/>
        <v>1.0446389291748792</v>
      </c>
      <c r="H406" s="18">
        <f t="shared" si="85"/>
        <v>-8.9277858349758987E-2</v>
      </c>
      <c r="I406" s="19" t="str">
        <f t="shared" si="86"/>
        <v>B</v>
      </c>
      <c r="J406" s="19">
        <f t="shared" si="94"/>
        <v>18</v>
      </c>
      <c r="K406" s="19" t="str">
        <f>IF(I406="","",IF(J406&gt;=Parameters!$B$5,I406,"HOLD"))</f>
        <v>B</v>
      </c>
      <c r="L406" s="20">
        <f>'Actual Calc'!T406</f>
        <v>0</v>
      </c>
      <c r="M406" s="20">
        <f>'Actual Calc'!U406</f>
        <v>12906373918266.885</v>
      </c>
      <c r="N406" s="21">
        <f t="shared" si="87"/>
        <v>0</v>
      </c>
      <c r="O406" s="21">
        <f>IF(NOT(ISNUMBER(N406)),"",IF(K406="A",MIN(Parameters!$B$8,N406+Parameters!$B$6),IF(K406="B",MAX(Parameters!$B$7,N406-Parameters!$B$6),N406)))</f>
        <v>0</v>
      </c>
      <c r="P406" s="22">
        <f t="shared" si="88"/>
        <v>0</v>
      </c>
      <c r="Q406" s="22">
        <f t="shared" si="89"/>
        <v>0</v>
      </c>
      <c r="R406" s="22">
        <f t="shared" si="90"/>
        <v>0</v>
      </c>
      <c r="S406" s="22">
        <f t="shared" si="91"/>
        <v>12906373918266.885</v>
      </c>
      <c r="T406" s="21">
        <f t="shared" si="92"/>
        <v>0</v>
      </c>
      <c r="U406" s="19" t="str">
        <f t="shared" si="93"/>
        <v>No transfer</v>
      </c>
      <c r="V406" s="35" t="s">
        <v>95</v>
      </c>
    </row>
    <row r="407" spans="1:22">
      <c r="A407" s="4">
        <v>46027</v>
      </c>
      <c r="B407" s="5">
        <v>1.163E-2</v>
      </c>
      <c r="C407" s="5">
        <v>1.163E-2</v>
      </c>
      <c r="D407" s="6">
        <f t="shared" si="84"/>
        <v>1.163E-2</v>
      </c>
      <c r="E407" s="8">
        <f t="shared" si="81"/>
        <v>16</v>
      </c>
      <c r="F407" s="9">
        <f t="shared" si="82"/>
        <v>0.94068728879892838</v>
      </c>
      <c r="G407" s="9">
        <f t="shared" si="83"/>
        <v>1.059312711201071</v>
      </c>
      <c r="H407" s="9">
        <f t="shared" si="85"/>
        <v>-0.11862542240214258</v>
      </c>
      <c r="I407" t="str">
        <f t="shared" si="86"/>
        <v>B</v>
      </c>
      <c r="J407">
        <f t="shared" si="94"/>
        <v>19</v>
      </c>
      <c r="K407" t="str">
        <f>IF(I407="","",IF(J407&gt;=Parameters!$B$5,I407,"HOLD"))</f>
        <v>B</v>
      </c>
      <c r="L407" s="10">
        <f>'Actual Calc'!T407</f>
        <v>0</v>
      </c>
      <c r="M407" s="10">
        <f>'Actual Calc'!U407</f>
        <v>12173060486381.973</v>
      </c>
      <c r="N407" s="12">
        <f t="shared" si="87"/>
        <v>0</v>
      </c>
      <c r="O407" s="12">
        <f>IF(NOT(ISNUMBER(N407)),"",IF(K407="A",MIN(Parameters!$B$8,N407+Parameters!$B$6),IF(K407="B",MAX(Parameters!$B$7,N407-Parameters!$B$6),N407)))</f>
        <v>0</v>
      </c>
      <c r="P407" s="13">
        <f t="shared" si="88"/>
        <v>0</v>
      </c>
      <c r="Q407" s="13">
        <f t="shared" si="89"/>
        <v>0</v>
      </c>
      <c r="R407" s="13">
        <f t="shared" si="90"/>
        <v>0</v>
      </c>
      <c r="S407" s="13">
        <f t="shared" si="91"/>
        <v>12173060486381.973</v>
      </c>
      <c r="T407" s="12">
        <f t="shared" si="92"/>
        <v>0</v>
      </c>
      <c r="U407" t="str">
        <f t="shared" si="93"/>
        <v>No transfer</v>
      </c>
      <c r="V407" s="25" t="s">
        <v>95</v>
      </c>
    </row>
    <row r="408" spans="1:22">
      <c r="A408" s="14">
        <v>46034</v>
      </c>
      <c r="B408" s="15">
        <v>8.1300000000000001E-3</v>
      </c>
      <c r="C408" s="15">
        <v>8.1300000000000001E-3</v>
      </c>
      <c r="D408" s="16">
        <f t="shared" si="84"/>
        <v>8.1300000000000001E-3</v>
      </c>
      <c r="E408" s="17">
        <f t="shared" si="81"/>
        <v>16</v>
      </c>
      <c r="F408" s="18">
        <f t="shared" si="82"/>
        <v>0.94234996080629319</v>
      </c>
      <c r="G408" s="18">
        <f t="shared" si="83"/>
        <v>1.0576500391937056</v>
      </c>
      <c r="H408" s="18">
        <f t="shared" si="85"/>
        <v>-0.11530007838741241</v>
      </c>
      <c r="I408" s="19" t="str">
        <f t="shared" si="86"/>
        <v>B</v>
      </c>
      <c r="J408" s="19">
        <f t="shared" si="94"/>
        <v>20</v>
      </c>
      <c r="K408" s="19" t="str">
        <f>IF(I408="","",IF(J408&gt;=Parameters!$B$5,I408,"HOLD"))</f>
        <v>B</v>
      </c>
      <c r="L408" s="20">
        <f>'Actual Calc'!T408</f>
        <v>0</v>
      </c>
      <c r="M408" s="20">
        <f>'Actual Calc'!U408</f>
        <v>13492620243092.285</v>
      </c>
      <c r="N408" s="21">
        <f t="shared" si="87"/>
        <v>0</v>
      </c>
      <c r="O408" s="21">
        <f>IF(NOT(ISNUMBER(N408)),"",IF(K408="A",MIN(Parameters!$B$8,N408+Parameters!$B$6),IF(K408="B",MAX(Parameters!$B$7,N408-Parameters!$B$6),N408)))</f>
        <v>0</v>
      </c>
      <c r="P408" s="22">
        <f t="shared" si="88"/>
        <v>0</v>
      </c>
      <c r="Q408" s="22">
        <f t="shared" si="89"/>
        <v>0</v>
      </c>
      <c r="R408" s="22">
        <f t="shared" si="90"/>
        <v>0</v>
      </c>
      <c r="S408" s="22">
        <f t="shared" si="91"/>
        <v>13492620243092.285</v>
      </c>
      <c r="T408" s="21">
        <f t="shared" si="92"/>
        <v>0</v>
      </c>
      <c r="U408" s="19" t="str">
        <f t="shared" si="93"/>
        <v>No transfer</v>
      </c>
      <c r="V408" s="35" t="s">
        <v>95</v>
      </c>
    </row>
    <row r="409" spans="1:22">
      <c r="A409" s="4">
        <v>46041</v>
      </c>
      <c r="B409" s="5">
        <v>2.0219999999999998E-2</v>
      </c>
      <c r="C409" s="5">
        <v>2.0219999999999998E-2</v>
      </c>
      <c r="D409" s="6">
        <f t="shared" si="84"/>
        <v>2.0219999999999998E-2</v>
      </c>
      <c r="E409" s="8">
        <f t="shared" si="81"/>
        <v>16</v>
      </c>
      <c r="F409" s="9">
        <f t="shared" si="82"/>
        <v>0.94815886082083245</v>
      </c>
      <c r="G409" s="9">
        <f t="shared" si="83"/>
        <v>1.051841139179168</v>
      </c>
      <c r="H409" s="9">
        <f t="shared" si="85"/>
        <v>-0.10368227835833554</v>
      </c>
      <c r="I409" t="str">
        <f t="shared" si="86"/>
        <v>B</v>
      </c>
      <c r="J409">
        <f t="shared" si="94"/>
        <v>21</v>
      </c>
      <c r="K409" t="str">
        <f>IF(I409="","",IF(J409&gt;=Parameters!$B$5,I409,"HOLD"))</f>
        <v>B</v>
      </c>
      <c r="L409" s="10">
        <f>'Actual Calc'!T409</f>
        <v>0</v>
      </c>
      <c r="M409" s="10">
        <f>'Actual Calc'!U409</f>
        <v>17130230660594.975</v>
      </c>
      <c r="N409" s="12">
        <f t="shared" si="87"/>
        <v>0</v>
      </c>
      <c r="O409" s="12">
        <f>IF(NOT(ISNUMBER(N409)),"",IF(K409="A",MIN(Parameters!$B$8,N409+Parameters!$B$6),IF(K409="B",MAX(Parameters!$B$7,N409-Parameters!$B$6),N409)))</f>
        <v>0</v>
      </c>
      <c r="P409" s="13">
        <f t="shared" si="88"/>
        <v>0</v>
      </c>
      <c r="Q409" s="13">
        <f t="shared" si="89"/>
        <v>0</v>
      </c>
      <c r="R409" s="13">
        <f t="shared" si="90"/>
        <v>0</v>
      </c>
      <c r="S409" s="13">
        <f t="shared" si="91"/>
        <v>17130230660594.975</v>
      </c>
      <c r="T409" s="12">
        <f t="shared" si="92"/>
        <v>0</v>
      </c>
      <c r="U409" t="str">
        <f t="shared" si="93"/>
        <v>No transfer</v>
      </c>
      <c r="V409" s="25" t="s">
        <v>95</v>
      </c>
    </row>
    <row r="410" spans="1:22">
      <c r="A410" s="14">
        <v>46048</v>
      </c>
      <c r="B410" s="15">
        <v>-4.0000000000000001E-3</v>
      </c>
      <c r="C410" s="15">
        <v>-4.0000000000000001E-3</v>
      </c>
      <c r="D410" s="16">
        <f t="shared" si="84"/>
        <v>-4.0000000000000001E-3</v>
      </c>
      <c r="E410" s="17">
        <f t="shared" si="81"/>
        <v>16</v>
      </c>
      <c r="F410" s="18">
        <f t="shared" si="82"/>
        <v>0.94815886082083245</v>
      </c>
      <c r="G410" s="18">
        <f t="shared" si="83"/>
        <v>1.051841139179168</v>
      </c>
      <c r="H410" s="18">
        <f t="shared" si="85"/>
        <v>-0.10368227835833554</v>
      </c>
      <c r="I410" s="19" t="str">
        <f t="shared" si="86"/>
        <v>B</v>
      </c>
      <c r="J410" s="19">
        <f t="shared" si="94"/>
        <v>22</v>
      </c>
      <c r="K410" s="19" t="str">
        <f>IF(I410="","",IF(J410&gt;=Parameters!$B$5,I410,"HOLD"))</f>
        <v>B</v>
      </c>
      <c r="L410" s="20">
        <f>'Actual Calc'!T410</f>
        <v>0</v>
      </c>
      <c r="M410" s="20">
        <f>'Actual Calc'!U410</f>
        <v>16216618358705.375</v>
      </c>
      <c r="N410" s="21">
        <f t="shared" si="87"/>
        <v>0</v>
      </c>
      <c r="O410" s="21">
        <f>IF(NOT(ISNUMBER(N410)),"",IF(K410="A",MIN(Parameters!$B$8,N410+Parameters!$B$6),IF(K410="B",MAX(Parameters!$B$7,N410-Parameters!$B$6),N410)))</f>
        <v>0</v>
      </c>
      <c r="P410" s="22">
        <f t="shared" si="88"/>
        <v>0</v>
      </c>
      <c r="Q410" s="22">
        <f t="shared" si="89"/>
        <v>0</v>
      </c>
      <c r="R410" s="22">
        <f t="shared" si="90"/>
        <v>0</v>
      </c>
      <c r="S410" s="22">
        <f t="shared" si="91"/>
        <v>16216618358705.375</v>
      </c>
      <c r="T410" s="21">
        <f t="shared" si="92"/>
        <v>0</v>
      </c>
      <c r="U410" s="19" t="str">
        <f t="shared" si="93"/>
        <v>No transfer</v>
      </c>
      <c r="V410" s="35" t="s">
        <v>95</v>
      </c>
    </row>
    <row r="411" spans="1:22">
      <c r="A411" s="4">
        <v>46055</v>
      </c>
      <c r="B411" s="5">
        <v>1.158E-2</v>
      </c>
      <c r="C411" s="5">
        <v>1.158E-2</v>
      </c>
      <c r="D411" s="6">
        <f t="shared" si="84"/>
        <v>1.158E-2</v>
      </c>
      <c r="E411" s="8">
        <f t="shared" si="81"/>
        <v>16</v>
      </c>
      <c r="F411" s="9">
        <f t="shared" si="82"/>
        <v>0.94661462395727525</v>
      </c>
      <c r="G411" s="9">
        <f t="shared" si="83"/>
        <v>1.0533853760427252</v>
      </c>
      <c r="H411" s="9">
        <f t="shared" si="85"/>
        <v>-0.10677075208544995</v>
      </c>
      <c r="I411" t="str">
        <f t="shared" si="86"/>
        <v>B</v>
      </c>
      <c r="J411">
        <f t="shared" si="94"/>
        <v>23</v>
      </c>
      <c r="K411" t="str">
        <f>IF(I411="","",IF(J411&gt;=Parameters!$B$5,I411,"HOLD"))</f>
        <v>B</v>
      </c>
      <c r="L411" s="10">
        <f>'Actual Calc'!T411</f>
        <v>0</v>
      </c>
      <c r="M411" s="10">
        <f>'Actual Calc'!U411</f>
        <v>18720464233273.602</v>
      </c>
      <c r="N411" s="12">
        <f t="shared" si="87"/>
        <v>0</v>
      </c>
      <c r="O411" s="12">
        <f>IF(NOT(ISNUMBER(N411)),"",IF(K411="A",MIN(Parameters!$B$8,N411+Parameters!$B$6),IF(K411="B",MAX(Parameters!$B$7,N411-Parameters!$B$6),N411)))</f>
        <v>0</v>
      </c>
      <c r="P411" s="13">
        <f t="shared" si="88"/>
        <v>0</v>
      </c>
      <c r="Q411" s="13">
        <f t="shared" si="89"/>
        <v>0</v>
      </c>
      <c r="R411" s="13">
        <f t="shared" si="90"/>
        <v>0</v>
      </c>
      <c r="S411" s="13">
        <f t="shared" si="91"/>
        <v>18720464233273.602</v>
      </c>
      <c r="T411" s="12">
        <f t="shared" si="92"/>
        <v>0</v>
      </c>
      <c r="U411" t="str">
        <f t="shared" si="93"/>
        <v>No transfer</v>
      </c>
      <c r="V411" s="25" t="s">
        <v>95</v>
      </c>
    </row>
    <row r="412" spans="1:22">
      <c r="A412" s="14">
        <v>46062</v>
      </c>
      <c r="B412" s="15">
        <v>1.176E-2</v>
      </c>
      <c r="C412" s="15">
        <v>1.176E-2</v>
      </c>
      <c r="D412" s="16">
        <f t="shared" si="84"/>
        <v>1.176E-2</v>
      </c>
      <c r="E412" s="17">
        <f t="shared" si="81"/>
        <v>16</v>
      </c>
      <c r="F412" s="18">
        <f t="shared" si="82"/>
        <v>0.93709107028486716</v>
      </c>
      <c r="G412" s="18">
        <f t="shared" si="83"/>
        <v>1.0629089297151333</v>
      </c>
      <c r="H412" s="18">
        <f t="shared" si="85"/>
        <v>-0.12581785943026613</v>
      </c>
      <c r="I412" s="19" t="str">
        <f t="shared" si="86"/>
        <v>B</v>
      </c>
      <c r="J412" s="19">
        <f t="shared" si="94"/>
        <v>24</v>
      </c>
      <c r="K412" s="19" t="str">
        <f>IF(I412="","",IF(J412&gt;=Parameters!$B$5,I412,"HOLD"))</f>
        <v>B</v>
      </c>
      <c r="L412" s="20">
        <f>'Actual Calc'!T412</f>
        <v>0</v>
      </c>
      <c r="M412" s="20">
        <f>'Actual Calc'!U412</f>
        <v>21655833025028.777</v>
      </c>
      <c r="N412" s="21">
        <f t="shared" si="87"/>
        <v>0</v>
      </c>
      <c r="O412" s="21">
        <f>IF(NOT(ISNUMBER(N412)),"",IF(K412="A",MIN(Parameters!$B$8,N412+Parameters!$B$6),IF(K412="B",MAX(Parameters!$B$7,N412-Parameters!$B$6),N412)))</f>
        <v>0</v>
      </c>
      <c r="P412" s="22">
        <f t="shared" si="88"/>
        <v>0</v>
      </c>
      <c r="Q412" s="22">
        <f t="shared" si="89"/>
        <v>0</v>
      </c>
      <c r="R412" s="22">
        <f t="shared" si="90"/>
        <v>0</v>
      </c>
      <c r="S412" s="22">
        <f t="shared" si="91"/>
        <v>21655833025028.777</v>
      </c>
      <c r="T412" s="21">
        <f t="shared" si="92"/>
        <v>0</v>
      </c>
      <c r="U412" s="19" t="str">
        <f t="shared" si="93"/>
        <v>No transfer</v>
      </c>
      <c r="V412" s="35" t="s">
        <v>95</v>
      </c>
    </row>
    <row r="413" spans="1:22">
      <c r="A413" s="4">
        <v>46069</v>
      </c>
      <c r="B413" s="5">
        <v>1.712E-2</v>
      </c>
      <c r="C413" s="5">
        <v>1.712E-2</v>
      </c>
      <c r="D413" s="6">
        <f t="shared" si="84"/>
        <v>1.712E-2</v>
      </c>
      <c r="E413" s="8">
        <f t="shared" ref="E413:E476" si="95">IF(NOT(ISNUMBER(D413)),"",COUNTIF(D388:D413,"&gt;0"))</f>
        <v>17</v>
      </c>
      <c r="F413" s="9">
        <f t="shared" ref="F413:F476" si="96">IF(OR(NOT(ISNUMBER(E413)),E413&lt;2),"",IFERROR((SUMPRODUCT(--(D388:D413&gt;0),B388:B413,D388:D413)-SUMPRODUCT(--(D388:D413&gt;0),B388:B413)*SUMPRODUCT(--(D388:D413&gt;0),D388:D413)/E413)/(SUMPRODUCT(--(D388:D413&gt;0),D388:D413,D388:D413)-SUMPRODUCT(--(D388:D413&gt;0),D388:D413)^2/E413),""))</f>
        <v>0.93891349185807982</v>
      </c>
      <c r="G413" s="9">
        <f t="shared" ref="G413:G476" si="97">IF(OR(NOT(ISNUMBER(E413)),E413&lt;2),"",IFERROR((SUMPRODUCT(--(D388:D413&gt;0),C388:C413,D388:D413)-SUMPRODUCT(--(D388:D413&gt;0),C388:C413)*SUMPRODUCT(--(D388:D413&gt;0),D388:D413)/E413)/(SUMPRODUCT(--(D388:D413&gt;0),D388:D413,D388:D413)-SUMPRODUCT(--(D388:D413&gt;0),D388:D413)^2/E413),""))</f>
        <v>1.0610865081419221</v>
      </c>
      <c r="H413" s="9">
        <f t="shared" si="85"/>
        <v>-0.12217301628384225</v>
      </c>
      <c r="I413" t="str">
        <f t="shared" si="86"/>
        <v>B</v>
      </c>
      <c r="J413">
        <f t="shared" si="94"/>
        <v>25</v>
      </c>
      <c r="K413" t="str">
        <f>IF(I413="","",IF(J413&gt;=Parameters!$B$5,I413,"HOLD"))</f>
        <v>B</v>
      </c>
      <c r="L413" s="10">
        <f>'Actual Calc'!T413</f>
        <v>0</v>
      </c>
      <c r="M413" s="10">
        <f>'Actual Calc'!U413</f>
        <v>26599137843516.039</v>
      </c>
      <c r="N413" s="12">
        <f t="shared" si="87"/>
        <v>0</v>
      </c>
      <c r="O413" s="12">
        <f>IF(NOT(ISNUMBER(N413)),"",IF(K413="A",MIN(Parameters!$B$8,N413+Parameters!$B$6),IF(K413="B",MAX(Parameters!$B$7,N413-Parameters!$B$6),N413)))</f>
        <v>0</v>
      </c>
      <c r="P413" s="13">
        <f t="shared" si="88"/>
        <v>0</v>
      </c>
      <c r="Q413" s="13">
        <f t="shared" si="89"/>
        <v>0</v>
      </c>
      <c r="R413" s="13">
        <f t="shared" si="90"/>
        <v>0</v>
      </c>
      <c r="S413" s="13">
        <f t="shared" si="91"/>
        <v>26599137843516.039</v>
      </c>
      <c r="T413" s="12">
        <f t="shared" si="92"/>
        <v>0</v>
      </c>
      <c r="U413" t="str">
        <f t="shared" si="93"/>
        <v>No transfer</v>
      </c>
      <c r="V413" s="25" t="s">
        <v>95</v>
      </c>
    </row>
    <row r="414" spans="1:22">
      <c r="A414" s="14">
        <v>46076</v>
      </c>
      <c r="B414" s="15">
        <v>-4.0000000000000001E-3</v>
      </c>
      <c r="C414" s="15">
        <v>-4.0000000000000001E-3</v>
      </c>
      <c r="D414" s="16">
        <f t="shared" si="84"/>
        <v>-4.0000000000000001E-3</v>
      </c>
      <c r="E414" s="17">
        <f t="shared" si="95"/>
        <v>17</v>
      </c>
      <c r="F414" s="18">
        <f t="shared" si="96"/>
        <v>0.93891349185807982</v>
      </c>
      <c r="G414" s="18">
        <f t="shared" si="97"/>
        <v>1.0610865081419221</v>
      </c>
      <c r="H414" s="18">
        <f t="shared" si="85"/>
        <v>-0.12217301628384225</v>
      </c>
      <c r="I414" s="19" t="str">
        <f t="shared" si="86"/>
        <v>B</v>
      </c>
      <c r="J414" s="19">
        <f t="shared" si="94"/>
        <v>26</v>
      </c>
      <c r="K414" s="19" t="str">
        <f>IF(I414="","",IF(J414&gt;=Parameters!$B$5,I414,"HOLD"))</f>
        <v>B</v>
      </c>
      <c r="L414" s="20">
        <f>'Actual Calc'!T414</f>
        <v>0</v>
      </c>
      <c r="M414" s="20">
        <f>'Actual Calc'!U414</f>
        <v>25180517158529.641</v>
      </c>
      <c r="N414" s="21">
        <f t="shared" si="87"/>
        <v>0</v>
      </c>
      <c r="O414" s="21">
        <f>IF(NOT(ISNUMBER(N414)),"",IF(K414="A",MIN(Parameters!$B$8,N414+Parameters!$B$6),IF(K414="B",MAX(Parameters!$B$7,N414-Parameters!$B$6),N414)))</f>
        <v>0</v>
      </c>
      <c r="P414" s="22">
        <f t="shared" si="88"/>
        <v>0</v>
      </c>
      <c r="Q414" s="22">
        <f t="shared" si="89"/>
        <v>0</v>
      </c>
      <c r="R414" s="22">
        <f t="shared" si="90"/>
        <v>0</v>
      </c>
      <c r="S414" s="22">
        <f t="shared" si="91"/>
        <v>25180517158529.641</v>
      </c>
      <c r="T414" s="21">
        <f t="shared" si="92"/>
        <v>0</v>
      </c>
      <c r="U414" s="19" t="str">
        <f t="shared" si="93"/>
        <v>No transfer</v>
      </c>
      <c r="V414" s="35" t="s">
        <v>95</v>
      </c>
    </row>
    <row r="415" spans="1:22">
      <c r="A415" s="4">
        <v>46083</v>
      </c>
      <c r="B415" s="5">
        <v>1.5180000000000001E-2</v>
      </c>
      <c r="C415" s="5">
        <v>1.5180000000000001E-2</v>
      </c>
      <c r="D415" s="6">
        <f t="shared" si="84"/>
        <v>1.5180000000000001E-2</v>
      </c>
      <c r="E415" s="8">
        <f t="shared" si="95"/>
        <v>17</v>
      </c>
      <c r="F415" s="9">
        <f t="shared" si="96"/>
        <v>1</v>
      </c>
      <c r="G415" s="9">
        <f t="shared" si="97"/>
        <v>1</v>
      </c>
      <c r="H415" s="9">
        <f t="shared" si="85"/>
        <v>0</v>
      </c>
      <c r="I415" t="str">
        <f t="shared" si="86"/>
        <v>HOLD</v>
      </c>
      <c r="J415">
        <f t="shared" si="94"/>
        <v>0</v>
      </c>
      <c r="K415" t="str">
        <f>IF(I415="","",IF(J415&gt;=Parameters!$B$5,I415,"HOLD"))</f>
        <v>HOLD</v>
      </c>
      <c r="L415" s="10">
        <f>'Actual Calc'!T415</f>
        <v>0</v>
      </c>
      <c r="M415" s="10">
        <f>'Actual Calc'!U415</f>
        <v>30277053831408.523</v>
      </c>
      <c r="N415" s="12">
        <f t="shared" si="87"/>
        <v>0</v>
      </c>
      <c r="O415" s="12">
        <f>IF(NOT(ISNUMBER(N415)),"",IF(K415="A",MIN(Parameters!$B$8,N415+Parameters!$B$6),IF(K415="B",MAX(Parameters!$B$7,N415-Parameters!$B$6),N415)))</f>
        <v>0</v>
      </c>
      <c r="P415" s="13">
        <f t="shared" si="88"/>
        <v>0</v>
      </c>
      <c r="Q415" s="13">
        <f t="shared" si="89"/>
        <v>0</v>
      </c>
      <c r="R415" s="13">
        <f t="shared" si="90"/>
        <v>0</v>
      </c>
      <c r="S415" s="13">
        <f t="shared" si="91"/>
        <v>30277053831408.523</v>
      </c>
      <c r="T415" s="12">
        <f t="shared" si="92"/>
        <v>0</v>
      </c>
      <c r="U415" t="str">
        <f t="shared" si="93"/>
        <v>No transfer</v>
      </c>
      <c r="V415" s="25" t="s">
        <v>95</v>
      </c>
    </row>
    <row r="416" spans="1:22">
      <c r="A416" s="14">
        <v>46090</v>
      </c>
      <c r="B416" s="15">
        <v>2.3779999999999999E-2</v>
      </c>
      <c r="C416" s="15">
        <v>2.3779999999999999E-2</v>
      </c>
      <c r="D416" s="16">
        <f t="shared" si="84"/>
        <v>2.3779999999999999E-2</v>
      </c>
      <c r="E416" s="17">
        <f t="shared" si="95"/>
        <v>17</v>
      </c>
      <c r="F416" s="18">
        <f t="shared" si="96"/>
        <v>1</v>
      </c>
      <c r="G416" s="18">
        <f t="shared" si="97"/>
        <v>1</v>
      </c>
      <c r="H416" s="18">
        <f t="shared" si="85"/>
        <v>0</v>
      </c>
      <c r="I416" s="19" t="str">
        <f t="shared" si="86"/>
        <v>HOLD</v>
      </c>
      <c r="J416" s="19">
        <f t="shared" si="94"/>
        <v>0</v>
      </c>
      <c r="K416" s="19" t="str">
        <f>IF(I416="","",IF(J416&gt;=Parameters!$B$5,I416,"HOLD"))</f>
        <v>HOLD</v>
      </c>
      <c r="L416" s="20">
        <f>'Actual Calc'!T416</f>
        <v>0</v>
      </c>
      <c r="M416" s="20">
        <f>'Actual Calc'!U416</f>
        <v>39876898366174.156</v>
      </c>
      <c r="N416" s="21">
        <f t="shared" si="87"/>
        <v>0</v>
      </c>
      <c r="O416" s="21">
        <f>IF(NOT(ISNUMBER(N416)),"",IF(K416="A",MIN(Parameters!$B$8,N416+Parameters!$B$6),IF(K416="B",MAX(Parameters!$B$7,N416-Parameters!$B$6),N416)))</f>
        <v>0</v>
      </c>
      <c r="P416" s="22">
        <f t="shared" si="88"/>
        <v>0</v>
      </c>
      <c r="Q416" s="22">
        <f t="shared" si="89"/>
        <v>0</v>
      </c>
      <c r="R416" s="22">
        <f t="shared" si="90"/>
        <v>0</v>
      </c>
      <c r="S416" s="22">
        <f t="shared" si="91"/>
        <v>39876898366174.156</v>
      </c>
      <c r="T416" s="21">
        <f t="shared" si="92"/>
        <v>0</v>
      </c>
      <c r="U416" s="19" t="str">
        <f t="shared" si="93"/>
        <v>No transfer</v>
      </c>
      <c r="V416" s="35" t="s">
        <v>95</v>
      </c>
    </row>
    <row r="417" spans="1:22">
      <c r="A417" s="4">
        <v>46097</v>
      </c>
      <c r="B417" s="5">
        <v>-9.6500000000000006E-3</v>
      </c>
      <c r="C417" s="5">
        <v>0</v>
      </c>
      <c r="D417" s="6">
        <f t="shared" si="84"/>
        <v>-4.8250000000000003E-3</v>
      </c>
      <c r="E417" s="8">
        <f t="shared" si="95"/>
        <v>16</v>
      </c>
      <c r="F417" s="9">
        <f t="shared" si="96"/>
        <v>1</v>
      </c>
      <c r="G417" s="9">
        <f t="shared" si="97"/>
        <v>1</v>
      </c>
      <c r="H417" s="9">
        <f t="shared" si="85"/>
        <v>0</v>
      </c>
      <c r="I417" t="str">
        <f t="shared" si="86"/>
        <v>HOLD</v>
      </c>
      <c r="J417">
        <f t="shared" si="94"/>
        <v>0</v>
      </c>
      <c r="K417" t="str">
        <f>IF(I417="","",IF(J417&gt;=Parameters!$B$5,I417,"HOLD"))</f>
        <v>HOLD</v>
      </c>
      <c r="L417" s="10">
        <f>'Actual Calc'!T417</f>
        <v>0</v>
      </c>
      <c r="M417" s="10">
        <f>'Actual Calc'!U417</f>
        <v>39876898366174.156</v>
      </c>
      <c r="N417" s="12">
        <f t="shared" si="87"/>
        <v>0</v>
      </c>
      <c r="O417" s="12">
        <f>IF(NOT(ISNUMBER(N417)),"",IF(K417="A",MIN(Parameters!$B$8,N417+Parameters!$B$6),IF(K417="B",MAX(Parameters!$B$7,N417-Parameters!$B$6),N417)))</f>
        <v>0</v>
      </c>
      <c r="P417" s="13">
        <f t="shared" si="88"/>
        <v>0</v>
      </c>
      <c r="Q417" s="13">
        <f t="shared" si="89"/>
        <v>0</v>
      </c>
      <c r="R417" s="13">
        <f t="shared" si="90"/>
        <v>0</v>
      </c>
      <c r="S417" s="13">
        <f t="shared" si="91"/>
        <v>39876898366174.156</v>
      </c>
      <c r="T417" s="12">
        <f t="shared" si="92"/>
        <v>0</v>
      </c>
      <c r="U417" t="str">
        <f t="shared" si="93"/>
        <v>No transfer</v>
      </c>
      <c r="V417" s="25" t="s">
        <v>96</v>
      </c>
    </row>
    <row r="418" spans="1:22">
      <c r="A418" s="14">
        <v>46104</v>
      </c>
      <c r="B418" s="15">
        <v>-2.0400000000000001E-3</v>
      </c>
      <c r="C418" s="15">
        <v>-5.3200000000000001E-3</v>
      </c>
      <c r="D418" s="16">
        <f t="shared" si="84"/>
        <v>-3.6800000000000001E-3</v>
      </c>
      <c r="E418" s="17">
        <f t="shared" si="95"/>
        <v>15</v>
      </c>
      <c r="F418" s="18">
        <f t="shared" si="96"/>
        <v>1</v>
      </c>
      <c r="G418" s="18">
        <f t="shared" si="97"/>
        <v>1</v>
      </c>
      <c r="H418" s="18">
        <f t="shared" si="85"/>
        <v>0</v>
      </c>
      <c r="I418" s="19" t="str">
        <f t="shared" si="86"/>
        <v>HOLD</v>
      </c>
      <c r="J418" s="19">
        <f t="shared" si="94"/>
        <v>0</v>
      </c>
      <c r="K418" s="19" t="str">
        <f>IF(I418="","",IF(J418&gt;=Parameters!$B$5,I418,"HOLD"))</f>
        <v>HOLD</v>
      </c>
      <c r="L418" s="20">
        <f>'Actual Calc'!T418</f>
        <v>0</v>
      </c>
      <c r="M418" s="20">
        <f>'Actual Calc'!U418</f>
        <v>37048297042068.758</v>
      </c>
      <c r="N418" s="21">
        <f t="shared" si="87"/>
        <v>0</v>
      </c>
      <c r="O418" s="21">
        <f>IF(NOT(ISNUMBER(N418)),"",IF(K418="A",MIN(Parameters!$B$8,N418+Parameters!$B$6),IF(K418="B",MAX(Parameters!$B$7,N418-Parameters!$B$6),N418)))</f>
        <v>0</v>
      </c>
      <c r="P418" s="22">
        <f t="shared" si="88"/>
        <v>0</v>
      </c>
      <c r="Q418" s="22">
        <f t="shared" si="89"/>
        <v>0</v>
      </c>
      <c r="R418" s="22">
        <f t="shared" si="90"/>
        <v>0</v>
      </c>
      <c r="S418" s="22">
        <f t="shared" si="91"/>
        <v>37048297042068.758</v>
      </c>
      <c r="T418" s="21">
        <f t="shared" si="92"/>
        <v>0</v>
      </c>
      <c r="U418" s="19" t="str">
        <f t="shared" si="93"/>
        <v>No transfer</v>
      </c>
      <c r="V418" s="35" t="s">
        <v>95</v>
      </c>
    </row>
    <row r="419" spans="1:22">
      <c r="A419" s="4">
        <v>46111</v>
      </c>
      <c r="B419" s="5">
        <v>3.0620000000000001E-2</v>
      </c>
      <c r="C419" s="5">
        <v>3.0620000000000001E-2</v>
      </c>
      <c r="D419" s="6">
        <f t="shared" si="84"/>
        <v>3.0620000000000001E-2</v>
      </c>
      <c r="E419" s="8">
        <f t="shared" si="95"/>
        <v>15</v>
      </c>
      <c r="F419" s="9">
        <f t="shared" si="96"/>
        <v>1</v>
      </c>
      <c r="G419" s="9">
        <f t="shared" si="97"/>
        <v>1</v>
      </c>
      <c r="H419" s="9">
        <f t="shared" si="85"/>
        <v>0</v>
      </c>
      <c r="I419" t="str">
        <f t="shared" si="86"/>
        <v>HOLD</v>
      </c>
      <c r="J419">
        <f t="shared" si="94"/>
        <v>0</v>
      </c>
      <c r="K419" t="str">
        <f>IF(I419="","",IF(J419&gt;=Parameters!$B$5,I419,"HOLD"))</f>
        <v>HOLD</v>
      </c>
      <c r="L419" s="10">
        <f>'Actual Calc'!T419</f>
        <v>0</v>
      </c>
      <c r="M419" s="10">
        <f>'Actual Calc'!U419</f>
        <v>52173881781057.109</v>
      </c>
      <c r="N419" s="12">
        <f t="shared" si="87"/>
        <v>0</v>
      </c>
      <c r="O419" s="12">
        <f>IF(NOT(ISNUMBER(N419)),"",IF(K419="A",MIN(Parameters!$B$8,N419+Parameters!$B$6),IF(K419="B",MAX(Parameters!$B$7,N419-Parameters!$B$6),N419)))</f>
        <v>0</v>
      </c>
      <c r="P419" s="13">
        <f t="shared" si="88"/>
        <v>0</v>
      </c>
      <c r="Q419" s="13">
        <f t="shared" si="89"/>
        <v>0</v>
      </c>
      <c r="R419" s="13">
        <f t="shared" si="90"/>
        <v>0</v>
      </c>
      <c r="S419" s="13">
        <f t="shared" si="91"/>
        <v>52173881781057.109</v>
      </c>
      <c r="T419" s="12">
        <f t="shared" si="92"/>
        <v>0</v>
      </c>
      <c r="U419" t="str">
        <f t="shared" si="93"/>
        <v>No transfer</v>
      </c>
      <c r="V419" s="25" t="s">
        <v>95</v>
      </c>
    </row>
    <row r="420" spans="1:22">
      <c r="A420" s="14">
        <v>46118</v>
      </c>
      <c r="B420" s="15">
        <v>4.2340000000000003E-2</v>
      </c>
      <c r="C420" s="15">
        <v>4.2340000000000003E-2</v>
      </c>
      <c r="D420" s="16">
        <f t="shared" si="84"/>
        <v>4.2340000000000003E-2</v>
      </c>
      <c r="E420" s="17">
        <f t="shared" si="95"/>
        <v>16</v>
      </c>
      <c r="F420" s="18">
        <f t="shared" si="96"/>
        <v>1</v>
      </c>
      <c r="G420" s="18">
        <f t="shared" si="97"/>
        <v>1</v>
      </c>
      <c r="H420" s="18">
        <f t="shared" si="85"/>
        <v>0</v>
      </c>
      <c r="I420" s="19" t="str">
        <f t="shared" si="86"/>
        <v>HOLD</v>
      </c>
      <c r="J420" s="19">
        <f t="shared" si="94"/>
        <v>0</v>
      </c>
      <c r="K420" s="19" t="str">
        <f>IF(I420="","",IF(J420&gt;=Parameters!$B$5,I420,"HOLD"))</f>
        <v>HOLD</v>
      </c>
      <c r="L420" s="20">
        <f>'Actual Calc'!T420</f>
        <v>0</v>
      </c>
      <c r="M420" s="20">
        <f>'Actual Calc'!U420</f>
        <v>81627777175828.547</v>
      </c>
      <c r="N420" s="21">
        <f t="shared" si="87"/>
        <v>0</v>
      </c>
      <c r="O420" s="21">
        <f>IF(NOT(ISNUMBER(N420)),"",IF(K420="A",MIN(Parameters!$B$8,N420+Parameters!$B$6),IF(K420="B",MAX(Parameters!$B$7,N420-Parameters!$B$6),N420)))</f>
        <v>0</v>
      </c>
      <c r="P420" s="22">
        <f t="shared" si="88"/>
        <v>0</v>
      </c>
      <c r="Q420" s="22">
        <f t="shared" si="89"/>
        <v>0</v>
      </c>
      <c r="R420" s="22">
        <f t="shared" si="90"/>
        <v>0</v>
      </c>
      <c r="S420" s="22">
        <f t="shared" si="91"/>
        <v>81627777175828.547</v>
      </c>
      <c r="T420" s="21">
        <f t="shared" si="92"/>
        <v>0</v>
      </c>
      <c r="U420" s="19" t="str">
        <f t="shared" si="93"/>
        <v>No transfer</v>
      </c>
      <c r="V420" s="35" t="s">
        <v>95</v>
      </c>
    </row>
    <row r="421" spans="1:22">
      <c r="A421" s="4">
        <v>46125</v>
      </c>
      <c r="B421" s="5">
        <v>1.29E-2</v>
      </c>
      <c r="C421" s="5">
        <v>1.29E-2</v>
      </c>
      <c r="D421" s="6">
        <f t="shared" si="84"/>
        <v>1.29E-2</v>
      </c>
      <c r="E421" s="8">
        <f t="shared" si="95"/>
        <v>17</v>
      </c>
      <c r="F421" s="9">
        <f t="shared" si="96"/>
        <v>1</v>
      </c>
      <c r="G421" s="9">
        <f t="shared" si="97"/>
        <v>1</v>
      </c>
      <c r="H421" s="9">
        <f t="shared" si="85"/>
        <v>0</v>
      </c>
      <c r="I421" t="str">
        <f t="shared" si="86"/>
        <v>HOLD</v>
      </c>
      <c r="J421">
        <f t="shared" si="94"/>
        <v>0</v>
      </c>
      <c r="K421" t="str">
        <f>IF(I421="","",IF(J421&gt;=Parameters!$B$5,I421,"HOLD"))</f>
        <v>HOLD</v>
      </c>
      <c r="L421" s="10">
        <f>'Actual Calc'!T421</f>
        <v>0</v>
      </c>
      <c r="M421" s="10">
        <f>'Actual Calc'!U421</f>
        <v>95667754850067.438</v>
      </c>
      <c r="N421" s="12">
        <f t="shared" si="87"/>
        <v>0</v>
      </c>
      <c r="O421" s="12">
        <f>IF(NOT(ISNUMBER(N421)),"",IF(K421="A",MIN(Parameters!$B$8,N421+Parameters!$B$6),IF(K421="B",MAX(Parameters!$B$7,N421-Parameters!$B$6),N421)))</f>
        <v>0</v>
      </c>
      <c r="P421" s="13">
        <f t="shared" si="88"/>
        <v>0</v>
      </c>
      <c r="Q421" s="13">
        <f t="shared" si="89"/>
        <v>0</v>
      </c>
      <c r="R421" s="13">
        <f t="shared" si="90"/>
        <v>0</v>
      </c>
      <c r="S421" s="13">
        <f t="shared" si="91"/>
        <v>95667754850067.438</v>
      </c>
      <c r="T421" s="12">
        <f t="shared" si="92"/>
        <v>0</v>
      </c>
      <c r="U421" t="str">
        <f t="shared" si="93"/>
        <v>No transfer</v>
      </c>
      <c r="V421" s="25" t="s">
        <v>95</v>
      </c>
    </row>
    <row r="422" spans="1:22">
      <c r="A422" s="14">
        <v>46132</v>
      </c>
      <c r="B422" s="15">
        <v>-2.0100000000000001E-3</v>
      </c>
      <c r="C422" s="15">
        <v>-2.0100000000000001E-3</v>
      </c>
      <c r="D422" s="16">
        <f t="shared" si="84"/>
        <v>-2.0100000000000001E-3</v>
      </c>
      <c r="E422" s="17">
        <f t="shared" si="95"/>
        <v>16</v>
      </c>
      <c r="F422" s="18">
        <f t="shared" si="96"/>
        <v>1</v>
      </c>
      <c r="G422" s="18">
        <f t="shared" si="97"/>
        <v>1</v>
      </c>
      <c r="H422" s="18">
        <f t="shared" si="85"/>
        <v>0</v>
      </c>
      <c r="I422" s="19" t="str">
        <f t="shared" si="86"/>
        <v>HOLD</v>
      </c>
      <c r="J422" s="19">
        <f t="shared" si="94"/>
        <v>0</v>
      </c>
      <c r="K422" s="19" t="str">
        <f>IF(I422="","",IF(J422&gt;=Parameters!$B$5,I422,"HOLD"))</f>
        <v>HOLD</v>
      </c>
      <c r="L422" s="20">
        <f>'Actual Calc'!T422</f>
        <v>0</v>
      </c>
      <c r="M422" s="20">
        <f>'Actual Calc'!U422</f>
        <v>93103859020086.766</v>
      </c>
      <c r="N422" s="21">
        <f t="shared" si="87"/>
        <v>0</v>
      </c>
      <c r="O422" s="21">
        <f>IF(NOT(ISNUMBER(N422)),"",IF(K422="A",MIN(Parameters!$B$8,N422+Parameters!$B$6),IF(K422="B",MAX(Parameters!$B$7,N422-Parameters!$B$6),N422)))</f>
        <v>0</v>
      </c>
      <c r="P422" s="22">
        <f t="shared" si="88"/>
        <v>0</v>
      </c>
      <c r="Q422" s="22">
        <f t="shared" si="89"/>
        <v>0</v>
      </c>
      <c r="R422" s="22">
        <f t="shared" si="90"/>
        <v>0</v>
      </c>
      <c r="S422" s="22">
        <f t="shared" si="91"/>
        <v>93103859020086.766</v>
      </c>
      <c r="T422" s="21">
        <f t="shared" si="92"/>
        <v>0</v>
      </c>
      <c r="U422" s="19" t="str">
        <f t="shared" si="93"/>
        <v>No transfer</v>
      </c>
      <c r="V422" s="35" t="s">
        <v>95</v>
      </c>
    </row>
    <row r="423" spans="1:22">
      <c r="A423" s="4">
        <v>46139</v>
      </c>
      <c r="B423" s="5">
        <v>-3.9100000000000003E-3</v>
      </c>
      <c r="C423" s="5">
        <v>-3.9100000000000003E-3</v>
      </c>
      <c r="D423" s="6">
        <f t="shared" si="84"/>
        <v>-3.9100000000000003E-3</v>
      </c>
      <c r="E423" s="8">
        <f t="shared" si="95"/>
        <v>15</v>
      </c>
      <c r="F423" s="9">
        <f t="shared" si="96"/>
        <v>1</v>
      </c>
      <c r="G423" s="9">
        <f t="shared" si="97"/>
        <v>1</v>
      </c>
      <c r="H423" s="9">
        <f t="shared" si="85"/>
        <v>0</v>
      </c>
      <c r="I423" t="str">
        <f t="shared" si="86"/>
        <v>HOLD</v>
      </c>
      <c r="J423">
        <f t="shared" si="94"/>
        <v>0</v>
      </c>
      <c r="K423" t="str">
        <f>IF(I423="","",IF(J423&gt;=Parameters!$B$5,I423,"HOLD"))</f>
        <v>HOLD</v>
      </c>
      <c r="L423" s="10">
        <f>'Actual Calc'!T423</f>
        <v>0</v>
      </c>
      <c r="M423" s="10">
        <f>'Actual Calc'!U423</f>
        <v>88250044503177.172</v>
      </c>
      <c r="N423" s="12">
        <f t="shared" si="87"/>
        <v>0</v>
      </c>
      <c r="O423" s="12">
        <f>IF(NOT(ISNUMBER(N423)),"",IF(K423="A",MIN(Parameters!$B$8,N423+Parameters!$B$6),IF(K423="B",MAX(Parameters!$B$7,N423-Parameters!$B$6),N423)))</f>
        <v>0</v>
      </c>
      <c r="P423" s="13">
        <f t="shared" si="88"/>
        <v>0</v>
      </c>
      <c r="Q423" s="13">
        <f t="shared" si="89"/>
        <v>0</v>
      </c>
      <c r="R423" s="13">
        <f t="shared" si="90"/>
        <v>0</v>
      </c>
      <c r="S423" s="13">
        <f t="shared" si="91"/>
        <v>88250044503177.172</v>
      </c>
      <c r="T423" s="12">
        <f t="shared" si="92"/>
        <v>0</v>
      </c>
      <c r="U423" t="str">
        <f t="shared" si="93"/>
        <v>No transfer</v>
      </c>
      <c r="V423" s="25" t="s">
        <v>95</v>
      </c>
    </row>
    <row r="424" spans="1:22">
      <c r="A424" s="14">
        <v>46146</v>
      </c>
      <c r="B424" s="15">
        <v>5.3609999999999998E-2</v>
      </c>
      <c r="C424" s="15">
        <v>5.3609999999999998E-2</v>
      </c>
      <c r="D424" s="16">
        <f t="shared" si="84"/>
        <v>5.3609999999999998E-2</v>
      </c>
      <c r="E424" s="17">
        <f t="shared" si="95"/>
        <v>16</v>
      </c>
      <c r="F424" s="18">
        <f t="shared" si="96"/>
        <v>1</v>
      </c>
      <c r="G424" s="18">
        <f t="shared" si="97"/>
        <v>1</v>
      </c>
      <c r="H424" s="18">
        <f t="shared" si="85"/>
        <v>0</v>
      </c>
      <c r="I424" s="19" t="str">
        <f t="shared" si="86"/>
        <v>HOLD</v>
      </c>
      <c r="J424" s="19">
        <f t="shared" si="94"/>
        <v>0</v>
      </c>
      <c r="K424" s="19" t="str">
        <f>IF(I424="","",IF(J424&gt;=Parameters!$B$5,I424,"HOLD"))</f>
        <v>HOLD</v>
      </c>
      <c r="L424" s="20">
        <f>'Actual Calc'!T424</f>
        <v>0</v>
      </c>
      <c r="M424" s="20">
        <f>'Actual Calc'!U424</f>
        <v>151331176313926.94</v>
      </c>
      <c r="N424" s="21">
        <f t="shared" si="87"/>
        <v>0</v>
      </c>
      <c r="O424" s="21">
        <f>IF(NOT(ISNUMBER(N424)),"",IF(K424="A",MIN(Parameters!$B$8,N424+Parameters!$B$6),IF(K424="B",MAX(Parameters!$B$7,N424-Parameters!$B$6),N424)))</f>
        <v>0</v>
      </c>
      <c r="P424" s="22">
        <f t="shared" si="88"/>
        <v>0</v>
      </c>
      <c r="Q424" s="22">
        <f t="shared" si="89"/>
        <v>0</v>
      </c>
      <c r="R424" s="22">
        <f t="shared" si="90"/>
        <v>0</v>
      </c>
      <c r="S424" s="22">
        <f t="shared" si="91"/>
        <v>151331176313926.94</v>
      </c>
      <c r="T424" s="21">
        <f t="shared" si="92"/>
        <v>0</v>
      </c>
      <c r="U424" s="19" t="str">
        <f t="shared" si="93"/>
        <v>No transfer</v>
      </c>
      <c r="V424" s="35" t="s">
        <v>95</v>
      </c>
    </row>
    <row r="425" spans="1:22">
      <c r="A425" s="4">
        <v>46153</v>
      </c>
      <c r="B425" s="5">
        <v>-3.98E-3</v>
      </c>
      <c r="C425" s="5">
        <v>-3.98E-3</v>
      </c>
      <c r="D425" s="6">
        <f t="shared" si="84"/>
        <v>-3.98E-3</v>
      </c>
      <c r="E425" s="8">
        <f t="shared" si="95"/>
        <v>15</v>
      </c>
      <c r="F425" s="9">
        <f t="shared" si="96"/>
        <v>1</v>
      </c>
      <c r="G425" s="9">
        <f t="shared" si="97"/>
        <v>1</v>
      </c>
      <c r="H425" s="9">
        <f t="shared" si="85"/>
        <v>0</v>
      </c>
      <c r="I425" t="str">
        <f t="shared" si="86"/>
        <v>HOLD</v>
      </c>
      <c r="J425">
        <f t="shared" si="94"/>
        <v>0</v>
      </c>
      <c r="K425" t="str">
        <f>IF(I425="","",IF(J425&gt;=Parameters!$B$5,I425,"HOLD"))</f>
        <v>HOLD</v>
      </c>
      <c r="L425" s="10">
        <f>'Actual Calc'!T425</f>
        <v>0</v>
      </c>
      <c r="M425" s="10">
        <f>'Actual Calc'!U425</f>
        <v>143300535224201.31</v>
      </c>
      <c r="N425" s="12">
        <f t="shared" si="87"/>
        <v>0</v>
      </c>
      <c r="O425" s="12">
        <f>IF(NOT(ISNUMBER(N425)),"",IF(K425="A",MIN(Parameters!$B$8,N425+Parameters!$B$6),IF(K425="B",MAX(Parameters!$B$7,N425-Parameters!$B$6),N425)))</f>
        <v>0</v>
      </c>
      <c r="P425" s="13">
        <f t="shared" si="88"/>
        <v>0</v>
      </c>
      <c r="Q425" s="13">
        <f t="shared" si="89"/>
        <v>0</v>
      </c>
      <c r="R425" s="13">
        <f t="shared" si="90"/>
        <v>0</v>
      </c>
      <c r="S425" s="13">
        <f t="shared" si="91"/>
        <v>143300535224201.31</v>
      </c>
      <c r="T425" s="12">
        <f t="shared" si="92"/>
        <v>0</v>
      </c>
      <c r="U425" t="str">
        <f t="shared" si="93"/>
        <v>No transfer</v>
      </c>
      <c r="V425" s="25" t="s">
        <v>95</v>
      </c>
    </row>
    <row r="426" spans="1:22">
      <c r="A426" s="14">
        <v>46160</v>
      </c>
      <c r="B426" s="15">
        <v>-4.0000000000000001E-3</v>
      </c>
      <c r="C426" s="15">
        <v>-4.0000000000000001E-3</v>
      </c>
      <c r="D426" s="16">
        <f t="shared" si="84"/>
        <v>-4.0000000000000001E-3</v>
      </c>
      <c r="E426" s="17">
        <f t="shared" si="95"/>
        <v>15</v>
      </c>
      <c r="F426" s="18">
        <f t="shared" si="96"/>
        <v>1</v>
      </c>
      <c r="G426" s="18">
        <f t="shared" si="97"/>
        <v>1</v>
      </c>
      <c r="H426" s="18">
        <f t="shared" si="85"/>
        <v>0</v>
      </c>
      <c r="I426" s="19" t="str">
        <f t="shared" si="86"/>
        <v>HOLD</v>
      </c>
      <c r="J426" s="19">
        <f t="shared" si="94"/>
        <v>0</v>
      </c>
      <c r="K426" s="19" t="str">
        <f>IF(I426="","",IF(J426&gt;=Parameters!$B$5,I426,"HOLD"))</f>
        <v>HOLD</v>
      </c>
      <c r="L426" s="20">
        <f>'Actual Calc'!T426</f>
        <v>0</v>
      </c>
      <c r="M426" s="20">
        <f>'Actual Calc'!U426</f>
        <v>135657840012245.31</v>
      </c>
      <c r="N426" s="21">
        <f t="shared" si="87"/>
        <v>0</v>
      </c>
      <c r="O426" s="21">
        <f>IF(NOT(ISNUMBER(N426)),"",IF(K426="A",MIN(Parameters!$B$8,N426+Parameters!$B$6),IF(K426="B",MAX(Parameters!$B$7,N426-Parameters!$B$6),N426)))</f>
        <v>0</v>
      </c>
      <c r="P426" s="22">
        <f t="shared" si="88"/>
        <v>0</v>
      </c>
      <c r="Q426" s="22">
        <f t="shared" si="89"/>
        <v>0</v>
      </c>
      <c r="R426" s="22">
        <f t="shared" si="90"/>
        <v>0</v>
      </c>
      <c r="S426" s="22">
        <f t="shared" si="91"/>
        <v>135657840012245.31</v>
      </c>
      <c r="T426" s="21">
        <f t="shared" si="92"/>
        <v>0</v>
      </c>
      <c r="U426" s="19" t="str">
        <f t="shared" si="93"/>
        <v>No transfer</v>
      </c>
      <c r="V426" s="35" t="s">
        <v>95</v>
      </c>
    </row>
    <row r="427" spans="1:22">
      <c r="A427" s="4">
        <v>46167</v>
      </c>
      <c r="B427" s="5">
        <v>-4.0299999999999997E-3</v>
      </c>
      <c r="C427" s="5">
        <v>-4.0299999999999997E-3</v>
      </c>
      <c r="D427" s="6">
        <f t="shared" si="84"/>
        <v>-4.0299999999999997E-3</v>
      </c>
      <c r="E427" s="8">
        <f t="shared" si="95"/>
        <v>14</v>
      </c>
      <c r="F427" s="9">
        <f t="shared" si="96"/>
        <v>1</v>
      </c>
      <c r="G427" s="9">
        <f t="shared" si="97"/>
        <v>1</v>
      </c>
      <c r="H427" s="9">
        <f t="shared" si="85"/>
        <v>0</v>
      </c>
      <c r="I427" t="str">
        <f t="shared" si="86"/>
        <v>HOLD</v>
      </c>
      <c r="J427">
        <f t="shared" si="94"/>
        <v>0</v>
      </c>
      <c r="K427" t="str">
        <f>IF(I427="","",IF(J427&gt;=Parameters!$B$5,I427,"HOLD"))</f>
        <v>HOLD</v>
      </c>
      <c r="L427" s="10">
        <f>'Actual Calc'!T427</f>
        <v>0</v>
      </c>
      <c r="M427" s="10">
        <f>'Actual Calc'!U427</f>
        <v>128368492075592.45</v>
      </c>
      <c r="N427" s="12">
        <f t="shared" si="87"/>
        <v>0</v>
      </c>
      <c r="O427" s="12">
        <f>IF(NOT(ISNUMBER(N427)),"",IF(K427="A",MIN(Parameters!$B$8,N427+Parameters!$B$6),IF(K427="B",MAX(Parameters!$B$7,N427-Parameters!$B$6),N427)))</f>
        <v>0</v>
      </c>
      <c r="P427" s="13">
        <f t="shared" si="88"/>
        <v>0</v>
      </c>
      <c r="Q427" s="13">
        <f t="shared" si="89"/>
        <v>0</v>
      </c>
      <c r="R427" s="13">
        <f t="shared" si="90"/>
        <v>0</v>
      </c>
      <c r="S427" s="13">
        <f t="shared" si="91"/>
        <v>128368492075592.45</v>
      </c>
      <c r="T427" s="12">
        <f t="shared" si="92"/>
        <v>0</v>
      </c>
      <c r="U427" t="str">
        <f t="shared" si="93"/>
        <v>No transfer</v>
      </c>
      <c r="V427" s="25" t="s">
        <v>95</v>
      </c>
    </row>
    <row r="428" spans="1:22">
      <c r="A428" s="14">
        <v>46174</v>
      </c>
      <c r="B428" s="15">
        <v>7.2399999999999999E-3</v>
      </c>
      <c r="C428" s="15">
        <v>7.2399999999999999E-3</v>
      </c>
      <c r="D428" s="16">
        <f t="shared" si="84"/>
        <v>7.2399999999999999E-3</v>
      </c>
      <c r="E428" s="17">
        <f t="shared" si="95"/>
        <v>14</v>
      </c>
      <c r="F428" s="18">
        <f t="shared" si="96"/>
        <v>1</v>
      </c>
      <c r="G428" s="18">
        <f t="shared" si="97"/>
        <v>1</v>
      </c>
      <c r="H428" s="18">
        <f t="shared" si="85"/>
        <v>0</v>
      </c>
      <c r="I428" s="19" t="str">
        <f t="shared" si="86"/>
        <v>HOLD</v>
      </c>
      <c r="J428" s="19">
        <f t="shared" si="94"/>
        <v>0</v>
      </c>
      <c r="K428" s="19" t="str">
        <f>IF(I428="","",IF(J428&gt;=Parameters!$B$5,I428,"HOLD"))</f>
        <v>HOLD</v>
      </c>
      <c r="L428" s="20">
        <f>'Actual Calc'!T428</f>
        <v>0</v>
      </c>
      <c r="M428" s="20">
        <f>'Actual Calc'!U428</f>
        <v>140760330510611.16</v>
      </c>
      <c r="N428" s="21">
        <f t="shared" si="87"/>
        <v>0</v>
      </c>
      <c r="O428" s="21">
        <f>IF(NOT(ISNUMBER(N428)),"",IF(K428="A",MIN(Parameters!$B$8,N428+Parameters!$B$6),IF(K428="B",MAX(Parameters!$B$7,N428-Parameters!$B$6),N428)))</f>
        <v>0</v>
      </c>
      <c r="P428" s="22">
        <f t="shared" si="88"/>
        <v>0</v>
      </c>
      <c r="Q428" s="22">
        <f t="shared" si="89"/>
        <v>0</v>
      </c>
      <c r="R428" s="22">
        <f t="shared" si="90"/>
        <v>0</v>
      </c>
      <c r="S428" s="22">
        <f t="shared" si="91"/>
        <v>140760330510611.16</v>
      </c>
      <c r="T428" s="21">
        <f t="shared" si="92"/>
        <v>0</v>
      </c>
      <c r="U428" s="19" t="str">
        <f t="shared" si="93"/>
        <v>No transfer</v>
      </c>
      <c r="V428" s="35" t="s">
        <v>95</v>
      </c>
    </row>
    <row r="429" spans="1:22">
      <c r="A429" s="4">
        <v>46181</v>
      </c>
      <c r="B429" s="5">
        <v>-3.6290000000000003E-2</v>
      </c>
      <c r="C429" s="5">
        <v>-7.9900000000000006E-3</v>
      </c>
      <c r="D429" s="6">
        <f t="shared" si="84"/>
        <v>-2.214E-2</v>
      </c>
      <c r="E429" s="8">
        <f t="shared" si="95"/>
        <v>14</v>
      </c>
      <c r="F429" s="9">
        <f t="shared" si="96"/>
        <v>1</v>
      </c>
      <c r="G429" s="9">
        <f t="shared" si="97"/>
        <v>1</v>
      </c>
      <c r="H429" s="9">
        <f t="shared" si="85"/>
        <v>0</v>
      </c>
      <c r="I429" t="str">
        <f t="shared" si="86"/>
        <v>HOLD</v>
      </c>
      <c r="J429">
        <f t="shared" si="94"/>
        <v>0</v>
      </c>
      <c r="K429" t="str">
        <f>IF(I429="","",IF(J429&gt;=Parameters!$B$5,I429,"HOLD"))</f>
        <v>HOLD</v>
      </c>
      <c r="L429" s="10">
        <f>'Actual Calc'!T429</f>
        <v>0</v>
      </c>
      <c r="M429" s="10">
        <f>'Actual Calc'!U429</f>
        <v>125764663300224.03</v>
      </c>
      <c r="N429" s="12">
        <f t="shared" si="87"/>
        <v>0</v>
      </c>
      <c r="O429" s="12">
        <f>IF(NOT(ISNUMBER(N429)),"",IF(K429="A",MIN(Parameters!$B$8,N429+Parameters!$B$6),IF(K429="B",MAX(Parameters!$B$7,N429-Parameters!$B$6),N429)))</f>
        <v>0</v>
      </c>
      <c r="P429" s="13">
        <f t="shared" si="88"/>
        <v>0</v>
      </c>
      <c r="Q429" s="13">
        <f t="shared" si="89"/>
        <v>0</v>
      </c>
      <c r="R429" s="13">
        <f t="shared" si="90"/>
        <v>0</v>
      </c>
      <c r="S429" s="13">
        <f t="shared" si="91"/>
        <v>125764663300224.03</v>
      </c>
      <c r="T429" s="12">
        <f t="shared" si="92"/>
        <v>0</v>
      </c>
      <c r="U429" t="str">
        <f t="shared" si="93"/>
        <v>No transfer</v>
      </c>
      <c r="V429" s="25" t="s">
        <v>95</v>
      </c>
    </row>
    <row r="430" spans="1:22">
      <c r="A430" s="14">
        <v>46188</v>
      </c>
      <c r="B430" s="15">
        <v>8.3400000000000002E-3</v>
      </c>
      <c r="C430" s="15">
        <v>8.3400000000000002E-3</v>
      </c>
      <c r="D430" s="16">
        <f t="shared" si="84"/>
        <v>8.3400000000000002E-3</v>
      </c>
      <c r="E430" s="17">
        <f t="shared" si="95"/>
        <v>15</v>
      </c>
      <c r="F430" s="18">
        <f t="shared" si="96"/>
        <v>1</v>
      </c>
      <c r="G430" s="18">
        <f t="shared" si="97"/>
        <v>1</v>
      </c>
      <c r="H430" s="18">
        <f t="shared" si="85"/>
        <v>0</v>
      </c>
      <c r="I430" s="19" t="str">
        <f t="shared" si="86"/>
        <v>HOLD</v>
      </c>
      <c r="J430" s="19">
        <f t="shared" si="94"/>
        <v>0</v>
      </c>
      <c r="K430" s="19" t="str">
        <f>IF(I430="","",IF(J430&gt;=Parameters!$B$5,I430,"HOLD"))</f>
        <v>HOLD</v>
      </c>
      <c r="L430" s="20">
        <f>'Actual Calc'!T430</f>
        <v>0</v>
      </c>
      <c r="M430" s="20">
        <f>'Actual Calc'!U430</f>
        <v>139749693859202.09</v>
      </c>
      <c r="N430" s="21">
        <f t="shared" si="87"/>
        <v>0</v>
      </c>
      <c r="O430" s="21">
        <f>IF(NOT(ISNUMBER(N430)),"",IF(K430="A",MIN(Parameters!$B$8,N430+Parameters!$B$6),IF(K430="B",MAX(Parameters!$B$7,N430-Parameters!$B$6),N430)))</f>
        <v>0</v>
      </c>
      <c r="P430" s="22">
        <f t="shared" si="88"/>
        <v>0</v>
      </c>
      <c r="Q430" s="22">
        <f t="shared" si="89"/>
        <v>0</v>
      </c>
      <c r="R430" s="22">
        <f t="shared" si="90"/>
        <v>0</v>
      </c>
      <c r="S430" s="22">
        <f t="shared" si="91"/>
        <v>139749693859202.09</v>
      </c>
      <c r="T430" s="21">
        <f t="shared" si="92"/>
        <v>0</v>
      </c>
      <c r="U430" s="19" t="str">
        <f t="shared" si="93"/>
        <v>No transfer</v>
      </c>
      <c r="V430" s="35" t="s">
        <v>95</v>
      </c>
    </row>
    <row r="431" spans="1:22">
      <c r="A431" s="4">
        <v>46195</v>
      </c>
      <c r="B431" s="5">
        <v>-2.3869999999999999E-2</v>
      </c>
      <c r="C431" s="5">
        <v>-2.3869999999999999E-2</v>
      </c>
      <c r="D431" s="6">
        <f t="shared" si="84"/>
        <v>-2.3869999999999999E-2</v>
      </c>
      <c r="E431" s="8">
        <f t="shared" si="95"/>
        <v>14</v>
      </c>
      <c r="F431" s="9">
        <f t="shared" si="96"/>
        <v>1</v>
      </c>
      <c r="G431" s="9">
        <f t="shared" si="97"/>
        <v>1</v>
      </c>
      <c r="H431" s="9">
        <f t="shared" si="85"/>
        <v>0</v>
      </c>
      <c r="I431" t="str">
        <f t="shared" si="86"/>
        <v>HOLD</v>
      </c>
      <c r="J431">
        <f t="shared" si="94"/>
        <v>0</v>
      </c>
      <c r="K431" t="str">
        <f>IF(I431="","",IF(J431&gt;=Parameters!$B$5,I431,"HOLD"))</f>
        <v>HOLD</v>
      </c>
      <c r="L431" s="10">
        <f>'Actual Calc'!T431</f>
        <v>0</v>
      </c>
      <c r="M431" s="10">
        <f>'Actual Calc'!U431</f>
        <v>95272024626999.891</v>
      </c>
      <c r="N431" s="12">
        <f t="shared" si="87"/>
        <v>0</v>
      </c>
      <c r="O431" s="12">
        <f>IF(NOT(ISNUMBER(N431)),"",IF(K431="A",MIN(Parameters!$B$8,N431+Parameters!$B$6),IF(K431="B",MAX(Parameters!$B$7,N431-Parameters!$B$6),N431)))</f>
        <v>0</v>
      </c>
      <c r="P431" s="13">
        <f t="shared" si="88"/>
        <v>0</v>
      </c>
      <c r="Q431" s="13">
        <f t="shared" si="89"/>
        <v>0</v>
      </c>
      <c r="R431" s="13">
        <f t="shared" si="90"/>
        <v>0</v>
      </c>
      <c r="S431" s="13">
        <f t="shared" si="91"/>
        <v>95272024626999.891</v>
      </c>
      <c r="T431" s="12">
        <f t="shared" si="92"/>
        <v>0</v>
      </c>
      <c r="U431" t="str">
        <f t="shared" si="93"/>
        <v>No transfer</v>
      </c>
      <c r="V431" s="25" t="s">
        <v>95</v>
      </c>
    </row>
    <row r="432" spans="1:22">
      <c r="A432" s="14">
        <v>46202</v>
      </c>
      <c r="B432" s="15">
        <v>1.2529999999999999E-2</v>
      </c>
      <c r="C432" s="15">
        <v>1.2529999999999999E-2</v>
      </c>
      <c r="D432" s="16">
        <f t="shared" si="84"/>
        <v>1.2529999999999999E-2</v>
      </c>
      <c r="E432" s="17">
        <f t="shared" si="95"/>
        <v>15</v>
      </c>
      <c r="F432" s="18">
        <f t="shared" si="96"/>
        <v>1</v>
      </c>
      <c r="G432" s="18">
        <f t="shared" si="97"/>
        <v>1</v>
      </c>
      <c r="H432" s="18">
        <f t="shared" si="85"/>
        <v>0</v>
      </c>
      <c r="I432" s="19" t="str">
        <f t="shared" si="86"/>
        <v>HOLD</v>
      </c>
      <c r="J432" s="19">
        <f t="shared" si="94"/>
        <v>0</v>
      </c>
      <c r="K432" s="19" t="str">
        <f>IF(I432="","",IF(J432&gt;=Parameters!$B$5,I432,"HOLD"))</f>
        <v>HOLD</v>
      </c>
      <c r="L432" s="20">
        <f>'Actual Calc'!T432</f>
        <v>0</v>
      </c>
      <c r="M432" s="20">
        <f>'Actual Calc'!U432</f>
        <v>111188804208000.66</v>
      </c>
      <c r="N432" s="21">
        <f t="shared" si="87"/>
        <v>0</v>
      </c>
      <c r="O432" s="21">
        <f>IF(NOT(ISNUMBER(N432)),"",IF(K432="A",MIN(Parameters!$B$8,N432+Parameters!$B$6),IF(K432="B",MAX(Parameters!$B$7,N432-Parameters!$B$6),N432)))</f>
        <v>0</v>
      </c>
      <c r="P432" s="22">
        <f t="shared" si="88"/>
        <v>0</v>
      </c>
      <c r="Q432" s="22">
        <f t="shared" si="89"/>
        <v>0</v>
      </c>
      <c r="R432" s="22">
        <f t="shared" si="90"/>
        <v>0</v>
      </c>
      <c r="S432" s="22">
        <f t="shared" si="91"/>
        <v>111188804208000.66</v>
      </c>
      <c r="T432" s="21">
        <f t="shared" si="92"/>
        <v>0</v>
      </c>
      <c r="U432" s="19" t="str">
        <f t="shared" si="93"/>
        <v>No transfer</v>
      </c>
      <c r="V432" s="35" t="s">
        <v>95</v>
      </c>
    </row>
    <row r="433" spans="1:22">
      <c r="A433" s="4">
        <v>46209</v>
      </c>
      <c r="B433" s="5">
        <v>-1.3270000000000001E-2</v>
      </c>
      <c r="C433" s="5">
        <v>-5.3400000000000001E-3</v>
      </c>
      <c r="D433" s="6">
        <f t="shared" si="84"/>
        <v>-9.3050000000000008E-3</v>
      </c>
      <c r="E433" s="8">
        <f t="shared" si="95"/>
        <v>14</v>
      </c>
      <c r="F433" s="9">
        <f t="shared" si="96"/>
        <v>1</v>
      </c>
      <c r="G433" s="9">
        <f t="shared" si="97"/>
        <v>1</v>
      </c>
      <c r="H433" s="9">
        <f t="shared" si="85"/>
        <v>0</v>
      </c>
      <c r="I433" t="str">
        <f t="shared" si="86"/>
        <v>HOLD</v>
      </c>
      <c r="J433">
        <f t="shared" si="94"/>
        <v>0</v>
      </c>
      <c r="K433" t="str">
        <f>IF(I433="","",IF(J433&gt;=Parameters!$B$5,I433,"HOLD"))</f>
        <v>HOLD</v>
      </c>
      <c r="L433" s="10">
        <f>'Actual Calc'!T433</f>
        <v>0</v>
      </c>
      <c r="M433" s="10">
        <f>'Actual Calc'!U433</f>
        <v>103272161348395.86</v>
      </c>
      <c r="N433" s="12">
        <f t="shared" si="87"/>
        <v>0</v>
      </c>
      <c r="O433" s="12">
        <f>IF(NOT(ISNUMBER(N433)),"",IF(K433="A",MIN(Parameters!$B$8,N433+Parameters!$B$6),IF(K433="B",MAX(Parameters!$B$7,N433-Parameters!$B$6),N433)))</f>
        <v>0</v>
      </c>
      <c r="P433" s="13">
        <f t="shared" si="88"/>
        <v>0</v>
      </c>
      <c r="Q433" s="13">
        <f t="shared" si="89"/>
        <v>0</v>
      </c>
      <c r="R433" s="13">
        <f t="shared" si="90"/>
        <v>0</v>
      </c>
      <c r="S433" s="13">
        <f t="shared" si="91"/>
        <v>103272161348395.86</v>
      </c>
      <c r="T433" s="12">
        <f t="shared" si="92"/>
        <v>0</v>
      </c>
      <c r="U433" t="str">
        <f t="shared" si="93"/>
        <v>No transfer</v>
      </c>
      <c r="V433" s="25" t="s">
        <v>95</v>
      </c>
    </row>
    <row r="434" spans="1:22">
      <c r="A434" s="14">
        <v>46216</v>
      </c>
      <c r="B434" s="15">
        <v>-4.1399999999999996E-3</v>
      </c>
      <c r="C434" s="15">
        <v>-4.1399999999999996E-3</v>
      </c>
      <c r="D434" s="16">
        <f t="shared" si="84"/>
        <v>-4.1399999999999996E-3</v>
      </c>
      <c r="E434" s="17">
        <f t="shared" si="95"/>
        <v>13</v>
      </c>
      <c r="F434" s="18">
        <f t="shared" si="96"/>
        <v>1</v>
      </c>
      <c r="G434" s="18">
        <f t="shared" si="97"/>
        <v>1</v>
      </c>
      <c r="H434" s="18">
        <f t="shared" si="85"/>
        <v>0</v>
      </c>
      <c r="I434" s="19" t="str">
        <f t="shared" si="86"/>
        <v>HOLD</v>
      </c>
      <c r="J434" s="19">
        <f t="shared" si="94"/>
        <v>0</v>
      </c>
      <c r="K434" s="19" t="str">
        <f>IF(I434="","",IF(J434&gt;=Parameters!$B$5,I434,"HOLD"))</f>
        <v>HOLD</v>
      </c>
      <c r="L434" s="20">
        <f>'Actual Calc'!T434</f>
        <v>0</v>
      </c>
      <c r="M434" s="20">
        <f>'Actual Calc'!U434</f>
        <v>97571538041969.969</v>
      </c>
      <c r="N434" s="21">
        <f t="shared" si="87"/>
        <v>0</v>
      </c>
      <c r="O434" s="21">
        <f>IF(NOT(ISNUMBER(N434)),"",IF(K434="A",MIN(Parameters!$B$8,N434+Parameters!$B$6),IF(K434="B",MAX(Parameters!$B$7,N434-Parameters!$B$6),N434)))</f>
        <v>0</v>
      </c>
      <c r="P434" s="22">
        <f t="shared" si="88"/>
        <v>0</v>
      </c>
      <c r="Q434" s="22">
        <f t="shared" si="89"/>
        <v>0</v>
      </c>
      <c r="R434" s="22">
        <f t="shared" si="90"/>
        <v>0</v>
      </c>
      <c r="S434" s="22">
        <f t="shared" si="91"/>
        <v>97571538041969.969</v>
      </c>
      <c r="T434" s="21">
        <f t="shared" si="92"/>
        <v>0</v>
      </c>
      <c r="U434" s="19" t="str">
        <f t="shared" si="93"/>
        <v>No transfer</v>
      </c>
      <c r="V434" s="35" t="s">
        <v>95</v>
      </c>
    </row>
    <row r="435" spans="1:22">
      <c r="A435" s="4">
        <v>46223</v>
      </c>
      <c r="B435" s="5">
        <v>-4.0800000000000003E-3</v>
      </c>
      <c r="C435" s="5">
        <v>0</v>
      </c>
      <c r="D435" s="6">
        <f t="shared" si="84"/>
        <v>-2.0400000000000001E-3</v>
      </c>
      <c r="E435" s="8">
        <f t="shared" si="95"/>
        <v>12</v>
      </c>
      <c r="F435" s="9">
        <f t="shared" si="96"/>
        <v>1</v>
      </c>
      <c r="G435" s="9">
        <f t="shared" si="97"/>
        <v>1</v>
      </c>
      <c r="H435" s="9">
        <f t="shared" si="85"/>
        <v>0</v>
      </c>
      <c r="I435" t="str">
        <f t="shared" si="86"/>
        <v>HOLD</v>
      </c>
      <c r="J435">
        <f t="shared" si="94"/>
        <v>0</v>
      </c>
      <c r="K435" t="str">
        <f>IF(I435="","",IF(J435&gt;=Parameters!$B$5,I435,"HOLD"))</f>
        <v>HOLD</v>
      </c>
      <c r="L435" s="10">
        <f>'Actual Calc'!T435</f>
        <v>0</v>
      </c>
      <c r="M435" s="10">
        <f>'Actual Calc'!U435</f>
        <v>97571538041969.969</v>
      </c>
      <c r="N435" s="12">
        <f t="shared" si="87"/>
        <v>0</v>
      </c>
      <c r="O435" s="12">
        <f>IF(NOT(ISNUMBER(N435)),"",IF(K435="A",MIN(Parameters!$B$8,N435+Parameters!$B$6),IF(K435="B",MAX(Parameters!$B$7,N435-Parameters!$B$6),N435)))</f>
        <v>0</v>
      </c>
      <c r="P435" s="13">
        <f t="shared" si="88"/>
        <v>0</v>
      </c>
      <c r="Q435" s="13">
        <f t="shared" si="89"/>
        <v>0</v>
      </c>
      <c r="R435" s="13">
        <f t="shared" si="90"/>
        <v>0</v>
      </c>
      <c r="S435" s="13">
        <f t="shared" si="91"/>
        <v>97571538041969.969</v>
      </c>
      <c r="T435" s="12">
        <f t="shared" si="92"/>
        <v>0</v>
      </c>
      <c r="U435" t="str">
        <f t="shared" si="93"/>
        <v>No transfer</v>
      </c>
      <c r="V435" s="25" t="s">
        <v>96</v>
      </c>
    </row>
    <row r="436" spans="1:22">
      <c r="A436" s="14">
        <v>46230</v>
      </c>
      <c r="B436" s="15">
        <v>-4.7019999999999999E-2</v>
      </c>
      <c r="C436" s="15">
        <v>0</v>
      </c>
      <c r="D436" s="16">
        <f t="shared" si="84"/>
        <v>-2.351E-2</v>
      </c>
      <c r="E436" s="17">
        <f t="shared" si="95"/>
        <v>12</v>
      </c>
      <c r="F436" s="18">
        <f t="shared" si="96"/>
        <v>1</v>
      </c>
      <c r="G436" s="18">
        <f t="shared" si="97"/>
        <v>1</v>
      </c>
      <c r="H436" s="18">
        <f t="shared" si="85"/>
        <v>0</v>
      </c>
      <c r="I436" s="19" t="str">
        <f t="shared" si="86"/>
        <v>HOLD</v>
      </c>
      <c r="J436" s="19">
        <f t="shared" si="94"/>
        <v>0</v>
      </c>
      <c r="K436" s="19" t="str">
        <f>IF(I436="","",IF(J436&gt;=Parameters!$B$5,I436,"HOLD"))</f>
        <v>HOLD</v>
      </c>
      <c r="L436" s="20">
        <f>'Actual Calc'!T436</f>
        <v>0</v>
      </c>
      <c r="M436" s="20">
        <f>'Actual Calc'!U436</f>
        <v>97571538041969.969</v>
      </c>
      <c r="N436" s="21">
        <f t="shared" si="87"/>
        <v>0</v>
      </c>
      <c r="O436" s="21">
        <f>IF(NOT(ISNUMBER(N436)),"",IF(K436="A",MIN(Parameters!$B$8,N436+Parameters!$B$6),IF(K436="B",MAX(Parameters!$B$7,N436-Parameters!$B$6),N436)))</f>
        <v>0</v>
      </c>
      <c r="P436" s="22">
        <f t="shared" si="88"/>
        <v>0</v>
      </c>
      <c r="Q436" s="22">
        <f t="shared" si="89"/>
        <v>0</v>
      </c>
      <c r="R436" s="22">
        <f t="shared" si="90"/>
        <v>0</v>
      </c>
      <c r="S436" s="22">
        <f t="shared" si="91"/>
        <v>97571538041969.969</v>
      </c>
      <c r="T436" s="21">
        <f t="shared" si="92"/>
        <v>0</v>
      </c>
      <c r="U436" s="19" t="str">
        <f t="shared" si="93"/>
        <v>No transfer</v>
      </c>
      <c r="V436" s="35" t="s">
        <v>96</v>
      </c>
    </row>
    <row r="437" spans="1:22">
      <c r="A437" s="37">
        <v>46237</v>
      </c>
      <c r="B437" s="38">
        <v>1.6140000000000002E-2</v>
      </c>
      <c r="C437" s="38">
        <v>0</v>
      </c>
      <c r="D437" s="39">
        <f t="shared" si="84"/>
        <v>8.0700000000000008E-3</v>
      </c>
      <c r="E437" s="40">
        <f t="shared" si="95"/>
        <v>12</v>
      </c>
      <c r="F437" s="41">
        <f t="shared" si="96"/>
        <v>0.95893309576688834</v>
      </c>
      <c r="G437" s="41">
        <f t="shared" si="97"/>
        <v>1.0410669042331127</v>
      </c>
      <c r="H437" s="41">
        <f t="shared" si="85"/>
        <v>-8.2133808466224312E-2</v>
      </c>
      <c r="I437" s="42" t="str">
        <f t="shared" si="86"/>
        <v>B</v>
      </c>
      <c r="J437" s="42">
        <f t="shared" si="94"/>
        <v>1</v>
      </c>
      <c r="K437" s="42" t="str">
        <f>IF(I437="","",IF(J437&gt;=Parameters!$B$5,I437,"HOLD"))</f>
        <v>HOLD</v>
      </c>
      <c r="L437" s="43">
        <f>'Actual Calc'!T437</f>
        <v>0</v>
      </c>
      <c r="M437" s="43">
        <f>'Actual Calc'!U437</f>
        <v>97571538041969.969</v>
      </c>
      <c r="N437" s="44">
        <f t="shared" si="87"/>
        <v>0</v>
      </c>
      <c r="O437" s="44">
        <f>IF(NOT(ISNUMBER(N437)),"",IF(K437="A",MIN(Parameters!$B$8,N437+Parameters!$B$6),IF(K437="B",MAX(Parameters!$B$7,N437-Parameters!$B$6),N437)))</f>
        <v>0</v>
      </c>
      <c r="P437" s="45">
        <f t="shared" si="88"/>
        <v>0</v>
      </c>
      <c r="Q437" s="45">
        <f t="shared" si="89"/>
        <v>0</v>
      </c>
      <c r="R437" s="45">
        <f t="shared" si="90"/>
        <v>0</v>
      </c>
      <c r="S437" s="45">
        <f t="shared" si="91"/>
        <v>97571538041969.969</v>
      </c>
      <c r="T437" s="44">
        <f t="shared" si="92"/>
        <v>0</v>
      </c>
      <c r="U437" s="42" t="str">
        <f t="shared" si="93"/>
        <v>No transfer</v>
      </c>
      <c r="V437" s="46" t="s">
        <v>96</v>
      </c>
    </row>
    <row r="438" spans="1:22">
      <c r="A438" s="47">
        <v>46244</v>
      </c>
      <c r="B438" s="48">
        <v>-4.0000000000000001E-3</v>
      </c>
      <c r="C438" s="48">
        <v>-4.0000000000000001E-3</v>
      </c>
      <c r="D438" s="49">
        <f t="shared" si="84"/>
        <v>-4.0000000000000001E-3</v>
      </c>
      <c r="E438" s="50">
        <f t="shared" si="95"/>
        <v>11</v>
      </c>
      <c r="F438" s="51">
        <f t="shared" si="96"/>
        <v>0.95483385737654147</v>
      </c>
      <c r="G438" s="51">
        <f t="shared" si="97"/>
        <v>1.0451661426234593</v>
      </c>
      <c r="H438" s="51">
        <f t="shared" si="85"/>
        <v>-9.0332285246917832E-2</v>
      </c>
      <c r="I438" s="52" t="str">
        <f t="shared" si="86"/>
        <v>B</v>
      </c>
      <c r="J438" s="52">
        <f t="shared" si="94"/>
        <v>2</v>
      </c>
      <c r="K438" s="52" t="str">
        <f>IF(I438="","",IF(J438&gt;=Parameters!$B$5,I438,"HOLD"))</f>
        <v>HOLD</v>
      </c>
      <c r="L438" s="53"/>
      <c r="M438" s="53"/>
      <c r="N438" s="54" t="str">
        <f t="shared" si="87"/>
        <v/>
      </c>
      <c r="O438" s="54" t="str">
        <f>IF(NOT(ISNUMBER(N438)),"",IF(K438="A",MIN(Parameters!$B$8,N438+Parameters!$B$6),IF(K438="B",MAX(Parameters!$B$7,N438-Parameters!$B$6),N438)))</f>
        <v/>
      </c>
      <c r="P438" s="55" t="str">
        <f t="shared" si="88"/>
        <v/>
      </c>
      <c r="Q438" s="55" t="str">
        <f t="shared" si="89"/>
        <v/>
      </c>
      <c r="R438" s="55" t="str">
        <f t="shared" si="90"/>
        <v/>
      </c>
      <c r="S438" s="55" t="str">
        <f t="shared" si="91"/>
        <v/>
      </c>
      <c r="T438" s="54" t="e">
        <f t="shared" si="92"/>
        <v>#VALUE!</v>
      </c>
      <c r="U438" s="52" t="str">
        <f t="shared" si="93"/>
        <v/>
      </c>
      <c r="V438" s="56" t="s">
        <v>98</v>
      </c>
    </row>
    <row r="439" spans="1:22">
      <c r="A439" s="4">
        <v>46251</v>
      </c>
      <c r="B439" s="7"/>
      <c r="C439" s="7"/>
      <c r="D439" s="6" t="str">
        <f t="shared" si="84"/>
        <v/>
      </c>
      <c r="E439" s="8" t="str">
        <f t="shared" si="95"/>
        <v/>
      </c>
      <c r="F439" s="9" t="str">
        <f t="shared" si="96"/>
        <v/>
      </c>
      <c r="G439" s="9" t="str">
        <f t="shared" si="97"/>
        <v/>
      </c>
      <c r="H439" s="9" t="str">
        <f t="shared" si="85"/>
        <v/>
      </c>
      <c r="I439" t="str">
        <f t="shared" si="86"/>
        <v/>
      </c>
      <c r="J439" t="str">
        <f t="shared" si="94"/>
        <v/>
      </c>
      <c r="K439" t="str">
        <f>IF(I439="","",IF(J439&gt;=Parameters!$B$5,I439,"HOLD"))</f>
        <v/>
      </c>
      <c r="L439" s="11"/>
      <c r="M439" s="11"/>
      <c r="N439" s="12" t="str">
        <f t="shared" si="87"/>
        <v/>
      </c>
      <c r="O439" s="12" t="str">
        <f>IF(NOT(ISNUMBER(N439)),"",IF(K439="A",MIN(Parameters!$B$8,N439+Parameters!$B$6),IF(K439="B",MAX(Parameters!$B$7,N439-Parameters!$B$6),N439)))</f>
        <v/>
      </c>
      <c r="P439" s="13" t="str">
        <f t="shared" si="88"/>
        <v/>
      </c>
      <c r="Q439" s="13" t="str">
        <f t="shared" si="89"/>
        <v/>
      </c>
      <c r="R439" s="13" t="str">
        <f t="shared" si="90"/>
        <v/>
      </c>
      <c r="S439" s="13" t="str">
        <f t="shared" si="91"/>
        <v/>
      </c>
      <c r="T439" s="12" t="e">
        <f t="shared" si="92"/>
        <v>#VALUE!</v>
      </c>
      <c r="U439" t="str">
        <f t="shared" si="93"/>
        <v/>
      </c>
      <c r="V439" s="25" t="s">
        <v>98</v>
      </c>
    </row>
    <row r="440" spans="1:22">
      <c r="A440" s="14">
        <v>46258</v>
      </c>
      <c r="B440" s="7"/>
      <c r="C440" s="7"/>
      <c r="D440" s="16" t="str">
        <f t="shared" si="84"/>
        <v/>
      </c>
      <c r="E440" s="17" t="str">
        <f t="shared" si="95"/>
        <v/>
      </c>
      <c r="F440" s="18" t="str">
        <f t="shared" si="96"/>
        <v/>
      </c>
      <c r="G440" s="18" t="str">
        <f t="shared" si="97"/>
        <v/>
      </c>
      <c r="H440" s="18" t="str">
        <f t="shared" si="85"/>
        <v/>
      </c>
      <c r="I440" s="19" t="str">
        <f t="shared" si="86"/>
        <v/>
      </c>
      <c r="J440" s="19" t="str">
        <f t="shared" si="94"/>
        <v/>
      </c>
      <c r="K440" s="19" t="str">
        <f>IF(I440="","",IF(J440&gt;=Parameters!$B$5,I440,"HOLD"))</f>
        <v/>
      </c>
      <c r="L440" s="11"/>
      <c r="M440" s="11"/>
      <c r="N440" s="21" t="str">
        <f t="shared" si="87"/>
        <v/>
      </c>
      <c r="O440" s="21" t="str">
        <f>IF(NOT(ISNUMBER(N440)),"",IF(K440="A",MIN(Parameters!$B$8,N440+Parameters!$B$6),IF(K440="B",MAX(Parameters!$B$7,N440-Parameters!$B$6),N440)))</f>
        <v/>
      </c>
      <c r="P440" s="22" t="str">
        <f t="shared" si="88"/>
        <v/>
      </c>
      <c r="Q440" s="22" t="str">
        <f t="shared" si="89"/>
        <v/>
      </c>
      <c r="R440" s="22" t="str">
        <f t="shared" si="90"/>
        <v/>
      </c>
      <c r="S440" s="22" t="str">
        <f t="shared" si="91"/>
        <v/>
      </c>
      <c r="T440" s="21" t="e">
        <f t="shared" si="92"/>
        <v>#VALUE!</v>
      </c>
      <c r="U440" s="19" t="str">
        <f t="shared" si="93"/>
        <v/>
      </c>
      <c r="V440" s="35" t="s">
        <v>98</v>
      </c>
    </row>
    <row r="441" spans="1:22">
      <c r="A441" s="4">
        <v>46265</v>
      </c>
      <c r="B441" s="7"/>
      <c r="C441" s="7"/>
      <c r="D441" s="6" t="str">
        <f t="shared" si="84"/>
        <v/>
      </c>
      <c r="E441" s="8" t="str">
        <f t="shared" si="95"/>
        <v/>
      </c>
      <c r="F441" s="9" t="str">
        <f t="shared" si="96"/>
        <v/>
      </c>
      <c r="G441" s="9" t="str">
        <f t="shared" si="97"/>
        <v/>
      </c>
      <c r="H441" s="9" t="str">
        <f t="shared" si="85"/>
        <v/>
      </c>
      <c r="I441" t="str">
        <f t="shared" si="86"/>
        <v/>
      </c>
      <c r="J441" t="str">
        <f t="shared" si="94"/>
        <v/>
      </c>
      <c r="K441" t="str">
        <f>IF(I441="","",IF(J441&gt;=Parameters!$B$5,I441,"HOLD"))</f>
        <v/>
      </c>
      <c r="L441" s="11"/>
      <c r="M441" s="11"/>
      <c r="N441" s="12" t="str">
        <f t="shared" si="87"/>
        <v/>
      </c>
      <c r="O441" s="12" t="str">
        <f>IF(NOT(ISNUMBER(N441)),"",IF(K441="A",MIN(Parameters!$B$8,N441+Parameters!$B$6),IF(K441="B",MAX(Parameters!$B$7,N441-Parameters!$B$6),N441)))</f>
        <v/>
      </c>
      <c r="P441" s="13" t="str">
        <f t="shared" si="88"/>
        <v/>
      </c>
      <c r="Q441" s="13" t="str">
        <f t="shared" si="89"/>
        <v/>
      </c>
      <c r="R441" s="13" t="str">
        <f t="shared" si="90"/>
        <v/>
      </c>
      <c r="S441" s="13" t="str">
        <f t="shared" si="91"/>
        <v/>
      </c>
      <c r="T441" s="12" t="e">
        <f t="shared" si="92"/>
        <v>#VALUE!</v>
      </c>
      <c r="U441" t="str">
        <f t="shared" si="93"/>
        <v/>
      </c>
      <c r="V441" s="25" t="s">
        <v>98</v>
      </c>
    </row>
    <row r="442" spans="1:22">
      <c r="A442" s="14">
        <v>46272</v>
      </c>
      <c r="B442" s="7"/>
      <c r="C442" s="7"/>
      <c r="D442" s="16" t="str">
        <f t="shared" si="84"/>
        <v/>
      </c>
      <c r="E442" s="17" t="str">
        <f t="shared" si="95"/>
        <v/>
      </c>
      <c r="F442" s="18" t="str">
        <f t="shared" si="96"/>
        <v/>
      </c>
      <c r="G442" s="18" t="str">
        <f t="shared" si="97"/>
        <v/>
      </c>
      <c r="H442" s="18" t="str">
        <f t="shared" si="85"/>
        <v/>
      </c>
      <c r="I442" s="19" t="str">
        <f t="shared" si="86"/>
        <v/>
      </c>
      <c r="J442" s="19" t="str">
        <f t="shared" si="94"/>
        <v/>
      </c>
      <c r="K442" s="19" t="str">
        <f>IF(I442="","",IF(J442&gt;=Parameters!$B$5,I442,"HOLD"))</f>
        <v/>
      </c>
      <c r="L442" s="11"/>
      <c r="M442" s="11"/>
      <c r="N442" s="21" t="str">
        <f t="shared" si="87"/>
        <v/>
      </c>
      <c r="O442" s="21" t="str">
        <f>IF(NOT(ISNUMBER(N442)),"",IF(K442="A",MIN(Parameters!$B$8,N442+Parameters!$B$6),IF(K442="B",MAX(Parameters!$B$7,N442-Parameters!$B$6),N442)))</f>
        <v/>
      </c>
      <c r="P442" s="22" t="str">
        <f t="shared" si="88"/>
        <v/>
      </c>
      <c r="Q442" s="22" t="str">
        <f t="shared" si="89"/>
        <v/>
      </c>
      <c r="R442" s="22" t="str">
        <f t="shared" si="90"/>
        <v/>
      </c>
      <c r="S442" s="22" t="str">
        <f t="shared" si="91"/>
        <v/>
      </c>
      <c r="T442" s="21" t="e">
        <f t="shared" si="92"/>
        <v>#VALUE!</v>
      </c>
      <c r="U442" s="19" t="str">
        <f t="shared" si="93"/>
        <v/>
      </c>
      <c r="V442" s="35" t="s">
        <v>98</v>
      </c>
    </row>
    <row r="443" spans="1:22">
      <c r="A443" s="4">
        <v>46279</v>
      </c>
      <c r="B443" s="7"/>
      <c r="C443" s="7"/>
      <c r="D443" s="6" t="str">
        <f t="shared" si="84"/>
        <v/>
      </c>
      <c r="E443" s="8" t="str">
        <f t="shared" si="95"/>
        <v/>
      </c>
      <c r="F443" s="9" t="str">
        <f t="shared" si="96"/>
        <v/>
      </c>
      <c r="G443" s="9" t="str">
        <f t="shared" si="97"/>
        <v/>
      </c>
      <c r="H443" s="9" t="str">
        <f t="shared" si="85"/>
        <v/>
      </c>
      <c r="I443" t="str">
        <f t="shared" si="86"/>
        <v/>
      </c>
      <c r="J443" t="str">
        <f t="shared" si="94"/>
        <v/>
      </c>
      <c r="K443" t="str">
        <f>IF(I443="","",IF(J443&gt;=Parameters!$B$5,I443,"HOLD"))</f>
        <v/>
      </c>
      <c r="L443" s="11"/>
      <c r="M443" s="11"/>
      <c r="N443" s="12" t="str">
        <f t="shared" si="87"/>
        <v/>
      </c>
      <c r="O443" s="12" t="str">
        <f>IF(NOT(ISNUMBER(N443)),"",IF(K443="A",MIN(Parameters!$B$8,N443+Parameters!$B$6),IF(K443="B",MAX(Parameters!$B$7,N443-Parameters!$B$6),N443)))</f>
        <v/>
      </c>
      <c r="P443" s="13" t="str">
        <f t="shared" si="88"/>
        <v/>
      </c>
      <c r="Q443" s="13" t="str">
        <f t="shared" si="89"/>
        <v/>
      </c>
      <c r="R443" s="13" t="str">
        <f t="shared" si="90"/>
        <v/>
      </c>
      <c r="S443" s="13" t="str">
        <f t="shared" si="91"/>
        <v/>
      </c>
      <c r="T443" s="12" t="e">
        <f t="shared" si="92"/>
        <v>#VALUE!</v>
      </c>
      <c r="U443" t="str">
        <f t="shared" si="93"/>
        <v/>
      </c>
      <c r="V443" s="25" t="s">
        <v>98</v>
      </c>
    </row>
    <row r="444" spans="1:22">
      <c r="A444" s="14">
        <v>46286</v>
      </c>
      <c r="B444" s="7"/>
      <c r="C444" s="7"/>
      <c r="D444" s="16" t="str">
        <f t="shared" si="84"/>
        <v/>
      </c>
      <c r="E444" s="17" t="str">
        <f t="shared" si="95"/>
        <v/>
      </c>
      <c r="F444" s="18" t="str">
        <f t="shared" si="96"/>
        <v/>
      </c>
      <c r="G444" s="18" t="str">
        <f t="shared" si="97"/>
        <v/>
      </c>
      <c r="H444" s="18" t="str">
        <f t="shared" si="85"/>
        <v/>
      </c>
      <c r="I444" s="19" t="str">
        <f t="shared" si="86"/>
        <v/>
      </c>
      <c r="J444" s="19" t="str">
        <f t="shared" si="94"/>
        <v/>
      </c>
      <c r="K444" s="19" t="str">
        <f>IF(I444="","",IF(J444&gt;=Parameters!$B$5,I444,"HOLD"))</f>
        <v/>
      </c>
      <c r="L444" s="11"/>
      <c r="M444" s="11"/>
      <c r="N444" s="21" t="str">
        <f t="shared" si="87"/>
        <v/>
      </c>
      <c r="O444" s="21" t="str">
        <f>IF(NOT(ISNUMBER(N444)),"",IF(K444="A",MIN(Parameters!$B$8,N444+Parameters!$B$6),IF(K444="B",MAX(Parameters!$B$7,N444-Parameters!$B$6),N444)))</f>
        <v/>
      </c>
      <c r="P444" s="22" t="str">
        <f t="shared" si="88"/>
        <v/>
      </c>
      <c r="Q444" s="22" t="str">
        <f t="shared" si="89"/>
        <v/>
      </c>
      <c r="R444" s="22" t="str">
        <f t="shared" si="90"/>
        <v/>
      </c>
      <c r="S444" s="22" t="str">
        <f t="shared" si="91"/>
        <v/>
      </c>
      <c r="T444" s="21" t="e">
        <f t="shared" si="92"/>
        <v>#VALUE!</v>
      </c>
      <c r="U444" s="19" t="str">
        <f t="shared" si="93"/>
        <v/>
      </c>
      <c r="V444" s="35" t="s">
        <v>98</v>
      </c>
    </row>
    <row r="445" spans="1:22">
      <c r="A445" s="4">
        <v>46293</v>
      </c>
      <c r="B445" s="7"/>
      <c r="C445" s="7"/>
      <c r="D445" s="6" t="str">
        <f t="shared" si="84"/>
        <v/>
      </c>
      <c r="E445" s="8" t="str">
        <f t="shared" si="95"/>
        <v/>
      </c>
      <c r="F445" s="9" t="str">
        <f t="shared" si="96"/>
        <v/>
      </c>
      <c r="G445" s="9" t="str">
        <f t="shared" si="97"/>
        <v/>
      </c>
      <c r="H445" s="9" t="str">
        <f t="shared" si="85"/>
        <v/>
      </c>
      <c r="I445" t="str">
        <f t="shared" si="86"/>
        <v/>
      </c>
      <c r="J445" t="str">
        <f t="shared" si="94"/>
        <v/>
      </c>
      <c r="K445" t="str">
        <f>IF(I445="","",IF(J445&gt;=Parameters!$B$5,I445,"HOLD"))</f>
        <v/>
      </c>
      <c r="L445" s="11"/>
      <c r="M445" s="11"/>
      <c r="N445" s="12" t="str">
        <f t="shared" si="87"/>
        <v/>
      </c>
      <c r="O445" s="12" t="str">
        <f>IF(NOT(ISNUMBER(N445)),"",IF(K445="A",MIN(Parameters!$B$8,N445+Parameters!$B$6),IF(K445="B",MAX(Parameters!$B$7,N445-Parameters!$B$6),N445)))</f>
        <v/>
      </c>
      <c r="P445" s="13" t="str">
        <f t="shared" si="88"/>
        <v/>
      </c>
      <c r="Q445" s="13" t="str">
        <f t="shared" si="89"/>
        <v/>
      </c>
      <c r="R445" s="13" t="str">
        <f t="shared" si="90"/>
        <v/>
      </c>
      <c r="S445" s="13" t="str">
        <f t="shared" si="91"/>
        <v/>
      </c>
      <c r="T445" s="12" t="e">
        <f t="shared" si="92"/>
        <v>#VALUE!</v>
      </c>
      <c r="U445" t="str">
        <f t="shared" si="93"/>
        <v/>
      </c>
      <c r="V445" s="25" t="s">
        <v>98</v>
      </c>
    </row>
    <row r="446" spans="1:22">
      <c r="A446" s="14">
        <v>46300</v>
      </c>
      <c r="B446" s="7"/>
      <c r="C446" s="7"/>
      <c r="D446" s="16" t="str">
        <f t="shared" si="84"/>
        <v/>
      </c>
      <c r="E446" s="17" t="str">
        <f t="shared" si="95"/>
        <v/>
      </c>
      <c r="F446" s="18" t="str">
        <f t="shared" si="96"/>
        <v/>
      </c>
      <c r="G446" s="18" t="str">
        <f t="shared" si="97"/>
        <v/>
      </c>
      <c r="H446" s="18" t="str">
        <f t="shared" si="85"/>
        <v/>
      </c>
      <c r="I446" s="19" t="str">
        <f t="shared" si="86"/>
        <v/>
      </c>
      <c r="J446" s="19" t="str">
        <f t="shared" si="94"/>
        <v/>
      </c>
      <c r="K446" s="19" t="str">
        <f>IF(I446="","",IF(J446&gt;=Parameters!$B$5,I446,"HOLD"))</f>
        <v/>
      </c>
      <c r="L446" s="11"/>
      <c r="M446" s="11"/>
      <c r="N446" s="21" t="str">
        <f t="shared" si="87"/>
        <v/>
      </c>
      <c r="O446" s="21" t="str">
        <f>IF(NOT(ISNUMBER(N446)),"",IF(K446="A",MIN(Parameters!$B$8,N446+Parameters!$B$6),IF(K446="B",MAX(Parameters!$B$7,N446-Parameters!$B$6),N446)))</f>
        <v/>
      </c>
      <c r="P446" s="22" t="str">
        <f t="shared" si="88"/>
        <v/>
      </c>
      <c r="Q446" s="22" t="str">
        <f t="shared" si="89"/>
        <v/>
      </c>
      <c r="R446" s="22" t="str">
        <f t="shared" si="90"/>
        <v/>
      </c>
      <c r="S446" s="22" t="str">
        <f t="shared" si="91"/>
        <v/>
      </c>
      <c r="T446" s="21" t="e">
        <f t="shared" si="92"/>
        <v>#VALUE!</v>
      </c>
      <c r="U446" s="19" t="str">
        <f t="shared" si="93"/>
        <v/>
      </c>
      <c r="V446" s="35" t="s">
        <v>98</v>
      </c>
    </row>
    <row r="447" spans="1:22">
      <c r="A447" s="4">
        <v>46307</v>
      </c>
      <c r="B447" s="7"/>
      <c r="C447" s="7"/>
      <c r="D447" s="6" t="str">
        <f t="shared" si="84"/>
        <v/>
      </c>
      <c r="E447" s="8" t="str">
        <f t="shared" si="95"/>
        <v/>
      </c>
      <c r="F447" s="9" t="str">
        <f t="shared" si="96"/>
        <v/>
      </c>
      <c r="G447" s="9" t="str">
        <f t="shared" si="97"/>
        <v/>
      </c>
      <c r="H447" s="9" t="str">
        <f t="shared" si="85"/>
        <v/>
      </c>
      <c r="I447" t="str">
        <f t="shared" si="86"/>
        <v/>
      </c>
      <c r="J447" t="str">
        <f t="shared" si="94"/>
        <v/>
      </c>
      <c r="K447" t="str">
        <f>IF(I447="","",IF(J447&gt;=Parameters!$B$5,I447,"HOLD"))</f>
        <v/>
      </c>
      <c r="L447" s="11"/>
      <c r="M447" s="11"/>
      <c r="N447" s="12" t="str">
        <f t="shared" si="87"/>
        <v/>
      </c>
      <c r="O447" s="12" t="str">
        <f>IF(NOT(ISNUMBER(N447)),"",IF(K447="A",MIN(Parameters!$B$8,N447+Parameters!$B$6),IF(K447="B",MAX(Parameters!$B$7,N447-Parameters!$B$6),N447)))</f>
        <v/>
      </c>
      <c r="P447" s="13" t="str">
        <f t="shared" si="88"/>
        <v/>
      </c>
      <c r="Q447" s="13" t="str">
        <f t="shared" si="89"/>
        <v/>
      </c>
      <c r="R447" s="13" t="str">
        <f t="shared" si="90"/>
        <v/>
      </c>
      <c r="S447" s="13" t="str">
        <f t="shared" si="91"/>
        <v/>
      </c>
      <c r="T447" s="12" t="e">
        <f t="shared" si="92"/>
        <v>#VALUE!</v>
      </c>
      <c r="U447" t="str">
        <f t="shared" si="93"/>
        <v/>
      </c>
      <c r="V447" s="25" t="s">
        <v>98</v>
      </c>
    </row>
    <row r="448" spans="1:22">
      <c r="A448" s="14">
        <v>46314</v>
      </c>
      <c r="B448" s="7"/>
      <c r="C448" s="7"/>
      <c r="D448" s="16" t="str">
        <f t="shared" si="84"/>
        <v/>
      </c>
      <c r="E448" s="17" t="str">
        <f t="shared" si="95"/>
        <v/>
      </c>
      <c r="F448" s="18" t="str">
        <f t="shared" si="96"/>
        <v/>
      </c>
      <c r="G448" s="18" t="str">
        <f t="shared" si="97"/>
        <v/>
      </c>
      <c r="H448" s="18" t="str">
        <f t="shared" si="85"/>
        <v/>
      </c>
      <c r="I448" s="19" t="str">
        <f t="shared" si="86"/>
        <v/>
      </c>
      <c r="J448" s="19" t="str">
        <f t="shared" si="94"/>
        <v/>
      </c>
      <c r="K448" s="19" t="str">
        <f>IF(I448="","",IF(J448&gt;=Parameters!$B$5,I448,"HOLD"))</f>
        <v/>
      </c>
      <c r="L448" s="11"/>
      <c r="M448" s="11"/>
      <c r="N448" s="21" t="str">
        <f t="shared" si="87"/>
        <v/>
      </c>
      <c r="O448" s="21" t="str">
        <f>IF(NOT(ISNUMBER(N448)),"",IF(K448="A",MIN(Parameters!$B$8,N448+Parameters!$B$6),IF(K448="B",MAX(Parameters!$B$7,N448-Parameters!$B$6),N448)))</f>
        <v/>
      </c>
      <c r="P448" s="22" t="str">
        <f t="shared" si="88"/>
        <v/>
      </c>
      <c r="Q448" s="22" t="str">
        <f t="shared" si="89"/>
        <v/>
      </c>
      <c r="R448" s="22" t="str">
        <f t="shared" si="90"/>
        <v/>
      </c>
      <c r="S448" s="22" t="str">
        <f t="shared" si="91"/>
        <v/>
      </c>
      <c r="T448" s="21" t="e">
        <f t="shared" si="92"/>
        <v>#VALUE!</v>
      </c>
      <c r="U448" s="19" t="str">
        <f t="shared" si="93"/>
        <v/>
      </c>
      <c r="V448" s="35" t="s">
        <v>98</v>
      </c>
    </row>
    <row r="449" spans="1:22">
      <c r="A449" s="4">
        <v>46321</v>
      </c>
      <c r="B449" s="7"/>
      <c r="C449" s="7"/>
      <c r="D449" s="6" t="str">
        <f t="shared" si="84"/>
        <v/>
      </c>
      <c r="E449" s="8" t="str">
        <f t="shared" si="95"/>
        <v/>
      </c>
      <c r="F449" s="9" t="str">
        <f t="shared" si="96"/>
        <v/>
      </c>
      <c r="G449" s="9" t="str">
        <f t="shared" si="97"/>
        <v/>
      </c>
      <c r="H449" s="9" t="str">
        <f t="shared" si="85"/>
        <v/>
      </c>
      <c r="I449" t="str">
        <f t="shared" si="86"/>
        <v/>
      </c>
      <c r="J449" t="str">
        <f t="shared" si="94"/>
        <v/>
      </c>
      <c r="K449" t="str">
        <f>IF(I449="","",IF(J449&gt;=Parameters!$B$5,I449,"HOLD"))</f>
        <v/>
      </c>
      <c r="L449" s="11"/>
      <c r="M449" s="11"/>
      <c r="N449" s="12" t="str">
        <f t="shared" si="87"/>
        <v/>
      </c>
      <c r="O449" s="12" t="str">
        <f>IF(NOT(ISNUMBER(N449)),"",IF(K449="A",MIN(Parameters!$B$8,N449+Parameters!$B$6),IF(K449="B",MAX(Parameters!$B$7,N449-Parameters!$B$6),N449)))</f>
        <v/>
      </c>
      <c r="P449" s="13" t="str">
        <f t="shared" si="88"/>
        <v/>
      </c>
      <c r="Q449" s="13" t="str">
        <f t="shared" si="89"/>
        <v/>
      </c>
      <c r="R449" s="13" t="str">
        <f t="shared" si="90"/>
        <v/>
      </c>
      <c r="S449" s="13" t="str">
        <f t="shared" si="91"/>
        <v/>
      </c>
      <c r="T449" s="12" t="e">
        <f t="shared" si="92"/>
        <v>#VALUE!</v>
      </c>
      <c r="U449" t="str">
        <f t="shared" si="93"/>
        <v/>
      </c>
      <c r="V449" s="25" t="s">
        <v>98</v>
      </c>
    </row>
    <row r="450" spans="1:22">
      <c r="A450" s="14">
        <v>46328</v>
      </c>
      <c r="B450" s="7"/>
      <c r="C450" s="7"/>
      <c r="D450" s="16" t="str">
        <f t="shared" si="84"/>
        <v/>
      </c>
      <c r="E450" s="17" t="str">
        <f t="shared" si="95"/>
        <v/>
      </c>
      <c r="F450" s="18" t="str">
        <f t="shared" si="96"/>
        <v/>
      </c>
      <c r="G450" s="18" t="str">
        <f t="shared" si="97"/>
        <v/>
      </c>
      <c r="H450" s="18" t="str">
        <f t="shared" si="85"/>
        <v/>
      </c>
      <c r="I450" s="19" t="str">
        <f t="shared" si="86"/>
        <v/>
      </c>
      <c r="J450" s="19" t="str">
        <f t="shared" si="94"/>
        <v/>
      </c>
      <c r="K450" s="19" t="str">
        <f>IF(I450="","",IF(J450&gt;=Parameters!$B$5,I450,"HOLD"))</f>
        <v/>
      </c>
      <c r="L450" s="11"/>
      <c r="M450" s="11"/>
      <c r="N450" s="21" t="str">
        <f t="shared" si="87"/>
        <v/>
      </c>
      <c r="O450" s="21" t="str">
        <f>IF(NOT(ISNUMBER(N450)),"",IF(K450="A",MIN(Parameters!$B$8,N450+Parameters!$B$6),IF(K450="B",MAX(Parameters!$B$7,N450-Parameters!$B$6),N450)))</f>
        <v/>
      </c>
      <c r="P450" s="22" t="str">
        <f t="shared" si="88"/>
        <v/>
      </c>
      <c r="Q450" s="22" t="str">
        <f t="shared" si="89"/>
        <v/>
      </c>
      <c r="R450" s="22" t="str">
        <f t="shared" si="90"/>
        <v/>
      </c>
      <c r="S450" s="22" t="str">
        <f t="shared" si="91"/>
        <v/>
      </c>
      <c r="T450" s="21" t="e">
        <f t="shared" si="92"/>
        <v>#VALUE!</v>
      </c>
      <c r="U450" s="19" t="str">
        <f t="shared" si="93"/>
        <v/>
      </c>
      <c r="V450" s="35" t="s">
        <v>98</v>
      </c>
    </row>
    <row r="451" spans="1:22">
      <c r="A451" s="4">
        <v>46335</v>
      </c>
      <c r="B451" s="7"/>
      <c r="C451" s="7"/>
      <c r="D451" s="6" t="str">
        <f t="shared" si="84"/>
        <v/>
      </c>
      <c r="E451" s="8" t="str">
        <f t="shared" si="95"/>
        <v/>
      </c>
      <c r="F451" s="9" t="str">
        <f t="shared" si="96"/>
        <v/>
      </c>
      <c r="G451" s="9" t="str">
        <f t="shared" si="97"/>
        <v/>
      </c>
      <c r="H451" s="9" t="str">
        <f t="shared" si="85"/>
        <v/>
      </c>
      <c r="I451" t="str">
        <f t="shared" si="86"/>
        <v/>
      </c>
      <c r="J451" t="str">
        <f t="shared" si="94"/>
        <v/>
      </c>
      <c r="K451" t="str">
        <f>IF(I451="","",IF(J451&gt;=Parameters!$B$5,I451,"HOLD"))</f>
        <v/>
      </c>
      <c r="L451" s="11"/>
      <c r="M451" s="11"/>
      <c r="N451" s="12" t="str">
        <f t="shared" si="87"/>
        <v/>
      </c>
      <c r="O451" s="12" t="str">
        <f>IF(NOT(ISNUMBER(N451)),"",IF(K451="A",MIN(Parameters!$B$8,N451+Parameters!$B$6),IF(K451="B",MAX(Parameters!$B$7,N451-Parameters!$B$6),N451)))</f>
        <v/>
      </c>
      <c r="P451" s="13" t="str">
        <f t="shared" si="88"/>
        <v/>
      </c>
      <c r="Q451" s="13" t="str">
        <f t="shared" si="89"/>
        <v/>
      </c>
      <c r="R451" s="13" t="str">
        <f t="shared" si="90"/>
        <v/>
      </c>
      <c r="S451" s="13" t="str">
        <f t="shared" si="91"/>
        <v/>
      </c>
      <c r="T451" s="12" t="e">
        <f t="shared" si="92"/>
        <v>#VALUE!</v>
      </c>
      <c r="U451" t="str">
        <f t="shared" si="93"/>
        <v/>
      </c>
      <c r="V451" s="25" t="s">
        <v>98</v>
      </c>
    </row>
    <row r="452" spans="1:22">
      <c r="A452" s="14">
        <v>46342</v>
      </c>
      <c r="B452" s="7"/>
      <c r="C452" s="7"/>
      <c r="D452" s="16" t="str">
        <f t="shared" ref="D452:D515" si="98">IF(AND(ISNUMBER(B452),ISNUMBER(C452)),(B452+C452)/2,"")</f>
        <v/>
      </c>
      <c r="E452" s="17" t="str">
        <f t="shared" si="95"/>
        <v/>
      </c>
      <c r="F452" s="18" t="str">
        <f t="shared" si="96"/>
        <v/>
      </c>
      <c r="G452" s="18" t="str">
        <f t="shared" si="97"/>
        <v/>
      </c>
      <c r="H452" s="18" t="str">
        <f t="shared" ref="H452:H515" si="99">IF(AND(ISNUMBER(F452),ISNUMBER(G452)),F452-G452,"")</f>
        <v/>
      </c>
      <c r="I452" s="19" t="str">
        <f t="shared" ref="I452:I515" si="100">IF(OR(NOT(ISNUMBER(F452)),NOT(ISNUMBER(G452))),"",IF(F452&gt;G452,"A",IF(G452&gt;F452,"B","HOLD")))</f>
        <v/>
      </c>
      <c r="J452" s="19" t="str">
        <f t="shared" si="94"/>
        <v/>
      </c>
      <c r="K452" s="19" t="str">
        <f>IF(I452="","",IF(J452&gt;=Parameters!$B$5,I452,"HOLD"))</f>
        <v/>
      </c>
      <c r="L452" s="11"/>
      <c r="M452" s="11"/>
      <c r="N452" s="21" t="str">
        <f t="shared" ref="N452:N515" si="101">IF(OR(NOT(ISNUMBER(L452)),NOT(ISNUMBER(M452)),L452+M452=0),"",L452/(L452+M452))</f>
        <v/>
      </c>
      <c r="O452" s="21" t="str">
        <f>IF(NOT(ISNUMBER(N452)),"",IF(K452="A",MIN(Parameters!$B$8,N452+Parameters!$B$6),IF(K452="B",MAX(Parameters!$B$7,N452-Parameters!$B$6),N452)))</f>
        <v/>
      </c>
      <c r="P452" s="22" t="str">
        <f t="shared" ref="P452:P515" si="102">IF(NOT(ISNUMBER(O452)),"",MAX(0,L452-(L452+M452)*O452))</f>
        <v/>
      </c>
      <c r="Q452" s="22" t="str">
        <f t="shared" ref="Q452:Q515" si="103">IF(NOT(ISNUMBER(O452)),"",MAX(0,(L452+M452)*O452-L452))</f>
        <v/>
      </c>
      <c r="R452" s="22" t="str">
        <f t="shared" ref="R452:R515" si="104">IF(NOT(ISNUMBER(O452)),"",L452-P452+Q452)</f>
        <v/>
      </c>
      <c r="S452" s="22" t="str">
        <f t="shared" ref="S452:S515" si="105">IF(NOT(ISNUMBER(O452)),"",M452+P452-Q452)</f>
        <v/>
      </c>
      <c r="T452" s="21" t="e">
        <f t="shared" ref="T452:T515" si="106">IF(OR(NOT(ISNUMBER(R452)),NOT(ISNUMBER(S452)),R452+S452=0),"",R452/(R452+S452))</f>
        <v>#VALUE!</v>
      </c>
      <c r="U452" s="19" t="str">
        <f t="shared" ref="U452:U515" si="107">IF(NOT(ISNUMBER(O452)),"",IF(P452&gt;0.005,"Transfer "&amp;TEXT(P452,"#,##0.00")&amp;" A → B",IF(Q452&gt;0.005,"Transfer "&amp;TEXT(Q452,"#,##0.00")&amp;" B → A","No transfer")))</f>
        <v/>
      </c>
      <c r="V452" s="35" t="s">
        <v>98</v>
      </c>
    </row>
    <row r="453" spans="1:22">
      <c r="A453" s="4">
        <v>46349</v>
      </c>
      <c r="B453" s="7"/>
      <c r="C453" s="7"/>
      <c r="D453" s="6" t="str">
        <f t="shared" si="98"/>
        <v/>
      </c>
      <c r="E453" s="8" t="str">
        <f t="shared" si="95"/>
        <v/>
      </c>
      <c r="F453" s="9" t="str">
        <f t="shared" si="96"/>
        <v/>
      </c>
      <c r="G453" s="9" t="str">
        <f t="shared" si="97"/>
        <v/>
      </c>
      <c r="H453" s="9" t="str">
        <f t="shared" si="99"/>
        <v/>
      </c>
      <c r="I453" t="str">
        <f t="shared" si="100"/>
        <v/>
      </c>
      <c r="J453" t="str">
        <f t="shared" ref="J453:J516" si="108">IF(I453="","",IF(I453="HOLD",0,IF(I453=I452,J452+1,1)))</f>
        <v/>
      </c>
      <c r="K453" t="str">
        <f>IF(I453="","",IF(J453&gt;=Parameters!$B$5,I453,"HOLD"))</f>
        <v/>
      </c>
      <c r="L453" s="11"/>
      <c r="M453" s="11"/>
      <c r="N453" s="12" t="str">
        <f t="shared" si="101"/>
        <v/>
      </c>
      <c r="O453" s="12" t="str">
        <f>IF(NOT(ISNUMBER(N453)),"",IF(K453="A",MIN(Parameters!$B$8,N453+Parameters!$B$6),IF(K453="B",MAX(Parameters!$B$7,N453-Parameters!$B$6),N453)))</f>
        <v/>
      </c>
      <c r="P453" s="13" t="str">
        <f t="shared" si="102"/>
        <v/>
      </c>
      <c r="Q453" s="13" t="str">
        <f t="shared" si="103"/>
        <v/>
      </c>
      <c r="R453" s="13" t="str">
        <f t="shared" si="104"/>
        <v/>
      </c>
      <c r="S453" s="13" t="str">
        <f t="shared" si="105"/>
        <v/>
      </c>
      <c r="T453" s="12" t="e">
        <f t="shared" si="106"/>
        <v>#VALUE!</v>
      </c>
      <c r="U453" t="str">
        <f t="shared" si="107"/>
        <v/>
      </c>
      <c r="V453" s="25" t="s">
        <v>98</v>
      </c>
    </row>
    <row r="454" spans="1:22">
      <c r="A454" s="14">
        <v>46356</v>
      </c>
      <c r="B454" s="7"/>
      <c r="C454" s="7"/>
      <c r="D454" s="16" t="str">
        <f t="shared" si="98"/>
        <v/>
      </c>
      <c r="E454" s="17" t="str">
        <f t="shared" si="95"/>
        <v/>
      </c>
      <c r="F454" s="18" t="str">
        <f t="shared" si="96"/>
        <v/>
      </c>
      <c r="G454" s="18" t="str">
        <f t="shared" si="97"/>
        <v/>
      </c>
      <c r="H454" s="18" t="str">
        <f t="shared" si="99"/>
        <v/>
      </c>
      <c r="I454" s="19" t="str">
        <f t="shared" si="100"/>
        <v/>
      </c>
      <c r="J454" s="19" t="str">
        <f t="shared" si="108"/>
        <v/>
      </c>
      <c r="K454" s="19" t="str">
        <f>IF(I454="","",IF(J454&gt;=Parameters!$B$5,I454,"HOLD"))</f>
        <v/>
      </c>
      <c r="L454" s="11"/>
      <c r="M454" s="11"/>
      <c r="N454" s="21" t="str">
        <f t="shared" si="101"/>
        <v/>
      </c>
      <c r="O454" s="21" t="str">
        <f>IF(NOT(ISNUMBER(N454)),"",IF(K454="A",MIN(Parameters!$B$8,N454+Parameters!$B$6),IF(K454="B",MAX(Parameters!$B$7,N454-Parameters!$B$6),N454)))</f>
        <v/>
      </c>
      <c r="P454" s="22" t="str">
        <f t="shared" si="102"/>
        <v/>
      </c>
      <c r="Q454" s="22" t="str">
        <f t="shared" si="103"/>
        <v/>
      </c>
      <c r="R454" s="22" t="str">
        <f t="shared" si="104"/>
        <v/>
      </c>
      <c r="S454" s="22" t="str">
        <f t="shared" si="105"/>
        <v/>
      </c>
      <c r="T454" s="21" t="e">
        <f t="shared" si="106"/>
        <v>#VALUE!</v>
      </c>
      <c r="U454" s="19" t="str">
        <f t="shared" si="107"/>
        <v/>
      </c>
      <c r="V454" s="35" t="s">
        <v>98</v>
      </c>
    </row>
    <row r="455" spans="1:22">
      <c r="A455" s="4">
        <v>46363</v>
      </c>
      <c r="B455" s="7"/>
      <c r="C455" s="7"/>
      <c r="D455" s="6" t="str">
        <f t="shared" si="98"/>
        <v/>
      </c>
      <c r="E455" s="8" t="str">
        <f t="shared" si="95"/>
        <v/>
      </c>
      <c r="F455" s="9" t="str">
        <f t="shared" si="96"/>
        <v/>
      </c>
      <c r="G455" s="9" t="str">
        <f t="shared" si="97"/>
        <v/>
      </c>
      <c r="H455" s="9" t="str">
        <f t="shared" si="99"/>
        <v/>
      </c>
      <c r="I455" t="str">
        <f t="shared" si="100"/>
        <v/>
      </c>
      <c r="J455" t="str">
        <f t="shared" si="108"/>
        <v/>
      </c>
      <c r="K455" t="str">
        <f>IF(I455="","",IF(J455&gt;=Parameters!$B$5,I455,"HOLD"))</f>
        <v/>
      </c>
      <c r="L455" s="11"/>
      <c r="M455" s="11"/>
      <c r="N455" s="12" t="str">
        <f t="shared" si="101"/>
        <v/>
      </c>
      <c r="O455" s="12" t="str">
        <f>IF(NOT(ISNUMBER(N455)),"",IF(K455="A",MIN(Parameters!$B$8,N455+Parameters!$B$6),IF(K455="B",MAX(Parameters!$B$7,N455-Parameters!$B$6),N455)))</f>
        <v/>
      </c>
      <c r="P455" s="13" t="str">
        <f t="shared" si="102"/>
        <v/>
      </c>
      <c r="Q455" s="13" t="str">
        <f t="shared" si="103"/>
        <v/>
      </c>
      <c r="R455" s="13" t="str">
        <f t="shared" si="104"/>
        <v/>
      </c>
      <c r="S455" s="13" t="str">
        <f t="shared" si="105"/>
        <v/>
      </c>
      <c r="T455" s="12" t="e">
        <f t="shared" si="106"/>
        <v>#VALUE!</v>
      </c>
      <c r="U455" t="str">
        <f t="shared" si="107"/>
        <v/>
      </c>
      <c r="V455" s="25" t="s">
        <v>98</v>
      </c>
    </row>
    <row r="456" spans="1:22">
      <c r="A456" s="14">
        <v>46370</v>
      </c>
      <c r="B456" s="7"/>
      <c r="C456" s="7"/>
      <c r="D456" s="16" t="str">
        <f t="shared" si="98"/>
        <v/>
      </c>
      <c r="E456" s="17" t="str">
        <f t="shared" si="95"/>
        <v/>
      </c>
      <c r="F456" s="18" t="str">
        <f t="shared" si="96"/>
        <v/>
      </c>
      <c r="G456" s="18" t="str">
        <f t="shared" si="97"/>
        <v/>
      </c>
      <c r="H456" s="18" t="str">
        <f t="shared" si="99"/>
        <v/>
      </c>
      <c r="I456" s="19" t="str">
        <f t="shared" si="100"/>
        <v/>
      </c>
      <c r="J456" s="19" t="str">
        <f t="shared" si="108"/>
        <v/>
      </c>
      <c r="K456" s="19" t="str">
        <f>IF(I456="","",IF(J456&gt;=Parameters!$B$5,I456,"HOLD"))</f>
        <v/>
      </c>
      <c r="L456" s="11"/>
      <c r="M456" s="11"/>
      <c r="N456" s="21" t="str">
        <f t="shared" si="101"/>
        <v/>
      </c>
      <c r="O456" s="21" t="str">
        <f>IF(NOT(ISNUMBER(N456)),"",IF(K456="A",MIN(Parameters!$B$8,N456+Parameters!$B$6),IF(K456="B",MAX(Parameters!$B$7,N456-Parameters!$B$6),N456)))</f>
        <v/>
      </c>
      <c r="P456" s="22" t="str">
        <f t="shared" si="102"/>
        <v/>
      </c>
      <c r="Q456" s="22" t="str">
        <f t="shared" si="103"/>
        <v/>
      </c>
      <c r="R456" s="22" t="str">
        <f t="shared" si="104"/>
        <v/>
      </c>
      <c r="S456" s="22" t="str">
        <f t="shared" si="105"/>
        <v/>
      </c>
      <c r="T456" s="21" t="e">
        <f t="shared" si="106"/>
        <v>#VALUE!</v>
      </c>
      <c r="U456" s="19" t="str">
        <f t="shared" si="107"/>
        <v/>
      </c>
      <c r="V456" s="35" t="s">
        <v>98</v>
      </c>
    </row>
    <row r="457" spans="1:22">
      <c r="A457" s="4">
        <v>46377</v>
      </c>
      <c r="B457" s="7"/>
      <c r="C457" s="7"/>
      <c r="D457" s="6" t="str">
        <f t="shared" si="98"/>
        <v/>
      </c>
      <c r="E457" s="8" t="str">
        <f t="shared" si="95"/>
        <v/>
      </c>
      <c r="F457" s="9" t="str">
        <f t="shared" si="96"/>
        <v/>
      </c>
      <c r="G457" s="9" t="str">
        <f t="shared" si="97"/>
        <v/>
      </c>
      <c r="H457" s="9" t="str">
        <f t="shared" si="99"/>
        <v/>
      </c>
      <c r="I457" t="str">
        <f t="shared" si="100"/>
        <v/>
      </c>
      <c r="J457" t="str">
        <f t="shared" si="108"/>
        <v/>
      </c>
      <c r="K457" t="str">
        <f>IF(I457="","",IF(J457&gt;=Parameters!$B$5,I457,"HOLD"))</f>
        <v/>
      </c>
      <c r="L457" s="11"/>
      <c r="M457" s="11"/>
      <c r="N457" s="12" t="str">
        <f t="shared" si="101"/>
        <v/>
      </c>
      <c r="O457" s="12" t="str">
        <f>IF(NOT(ISNUMBER(N457)),"",IF(K457="A",MIN(Parameters!$B$8,N457+Parameters!$B$6),IF(K457="B",MAX(Parameters!$B$7,N457-Parameters!$B$6),N457)))</f>
        <v/>
      </c>
      <c r="P457" s="13" t="str">
        <f t="shared" si="102"/>
        <v/>
      </c>
      <c r="Q457" s="13" t="str">
        <f t="shared" si="103"/>
        <v/>
      </c>
      <c r="R457" s="13" t="str">
        <f t="shared" si="104"/>
        <v/>
      </c>
      <c r="S457" s="13" t="str">
        <f t="shared" si="105"/>
        <v/>
      </c>
      <c r="T457" s="12" t="e">
        <f t="shared" si="106"/>
        <v>#VALUE!</v>
      </c>
      <c r="U457" t="str">
        <f t="shared" si="107"/>
        <v/>
      </c>
      <c r="V457" s="25" t="s">
        <v>98</v>
      </c>
    </row>
    <row r="458" spans="1:22">
      <c r="A458" s="14">
        <v>46384</v>
      </c>
      <c r="B458" s="7"/>
      <c r="C458" s="7"/>
      <c r="D458" s="16" t="str">
        <f t="shared" si="98"/>
        <v/>
      </c>
      <c r="E458" s="17" t="str">
        <f t="shared" si="95"/>
        <v/>
      </c>
      <c r="F458" s="18" t="str">
        <f t="shared" si="96"/>
        <v/>
      </c>
      <c r="G458" s="18" t="str">
        <f t="shared" si="97"/>
        <v/>
      </c>
      <c r="H458" s="18" t="str">
        <f t="shared" si="99"/>
        <v/>
      </c>
      <c r="I458" s="19" t="str">
        <f t="shared" si="100"/>
        <v/>
      </c>
      <c r="J458" s="19" t="str">
        <f t="shared" si="108"/>
        <v/>
      </c>
      <c r="K458" s="19" t="str">
        <f>IF(I458="","",IF(J458&gt;=Parameters!$B$5,I458,"HOLD"))</f>
        <v/>
      </c>
      <c r="L458" s="11"/>
      <c r="M458" s="11"/>
      <c r="N458" s="21" t="str">
        <f t="shared" si="101"/>
        <v/>
      </c>
      <c r="O458" s="21" t="str">
        <f>IF(NOT(ISNUMBER(N458)),"",IF(K458="A",MIN(Parameters!$B$8,N458+Parameters!$B$6),IF(K458="B",MAX(Parameters!$B$7,N458-Parameters!$B$6),N458)))</f>
        <v/>
      </c>
      <c r="P458" s="22" t="str">
        <f t="shared" si="102"/>
        <v/>
      </c>
      <c r="Q458" s="22" t="str">
        <f t="shared" si="103"/>
        <v/>
      </c>
      <c r="R458" s="22" t="str">
        <f t="shared" si="104"/>
        <v/>
      </c>
      <c r="S458" s="22" t="str">
        <f t="shared" si="105"/>
        <v/>
      </c>
      <c r="T458" s="21" t="e">
        <f t="shared" si="106"/>
        <v>#VALUE!</v>
      </c>
      <c r="U458" s="19" t="str">
        <f t="shared" si="107"/>
        <v/>
      </c>
      <c r="V458" s="35" t="s">
        <v>98</v>
      </c>
    </row>
    <row r="459" spans="1:22">
      <c r="A459" s="4">
        <v>46391</v>
      </c>
      <c r="B459" s="7"/>
      <c r="C459" s="7"/>
      <c r="D459" s="6" t="str">
        <f t="shared" si="98"/>
        <v/>
      </c>
      <c r="E459" s="8" t="str">
        <f t="shared" si="95"/>
        <v/>
      </c>
      <c r="F459" s="9" t="str">
        <f t="shared" si="96"/>
        <v/>
      </c>
      <c r="G459" s="9" t="str">
        <f t="shared" si="97"/>
        <v/>
      </c>
      <c r="H459" s="9" t="str">
        <f t="shared" si="99"/>
        <v/>
      </c>
      <c r="I459" t="str">
        <f t="shared" si="100"/>
        <v/>
      </c>
      <c r="J459" t="str">
        <f t="shared" si="108"/>
        <v/>
      </c>
      <c r="K459" t="str">
        <f>IF(I459="","",IF(J459&gt;=Parameters!$B$5,I459,"HOLD"))</f>
        <v/>
      </c>
      <c r="L459" s="11"/>
      <c r="M459" s="11"/>
      <c r="N459" s="12" t="str">
        <f t="shared" si="101"/>
        <v/>
      </c>
      <c r="O459" s="12" t="str">
        <f>IF(NOT(ISNUMBER(N459)),"",IF(K459="A",MIN(Parameters!$B$8,N459+Parameters!$B$6),IF(K459="B",MAX(Parameters!$B$7,N459-Parameters!$B$6),N459)))</f>
        <v/>
      </c>
      <c r="P459" s="13" t="str">
        <f t="shared" si="102"/>
        <v/>
      </c>
      <c r="Q459" s="13" t="str">
        <f t="shared" si="103"/>
        <v/>
      </c>
      <c r="R459" s="13" t="str">
        <f t="shared" si="104"/>
        <v/>
      </c>
      <c r="S459" s="13" t="str">
        <f t="shared" si="105"/>
        <v/>
      </c>
      <c r="T459" s="12" t="e">
        <f t="shared" si="106"/>
        <v>#VALUE!</v>
      </c>
      <c r="U459" t="str">
        <f t="shared" si="107"/>
        <v/>
      </c>
      <c r="V459" s="25" t="s">
        <v>98</v>
      </c>
    </row>
    <row r="460" spans="1:22">
      <c r="A460" s="14">
        <v>46398</v>
      </c>
      <c r="B460" s="7"/>
      <c r="C460" s="7"/>
      <c r="D460" s="16" t="str">
        <f t="shared" si="98"/>
        <v/>
      </c>
      <c r="E460" s="17" t="str">
        <f t="shared" si="95"/>
        <v/>
      </c>
      <c r="F460" s="18" t="str">
        <f t="shared" si="96"/>
        <v/>
      </c>
      <c r="G460" s="18" t="str">
        <f t="shared" si="97"/>
        <v/>
      </c>
      <c r="H460" s="18" t="str">
        <f t="shared" si="99"/>
        <v/>
      </c>
      <c r="I460" s="19" t="str">
        <f t="shared" si="100"/>
        <v/>
      </c>
      <c r="J460" s="19" t="str">
        <f t="shared" si="108"/>
        <v/>
      </c>
      <c r="K460" s="19" t="str">
        <f>IF(I460="","",IF(J460&gt;=Parameters!$B$5,I460,"HOLD"))</f>
        <v/>
      </c>
      <c r="L460" s="11"/>
      <c r="M460" s="11"/>
      <c r="N460" s="21" t="str">
        <f t="shared" si="101"/>
        <v/>
      </c>
      <c r="O460" s="21" t="str">
        <f>IF(NOT(ISNUMBER(N460)),"",IF(K460="A",MIN(Parameters!$B$8,N460+Parameters!$B$6),IF(K460="B",MAX(Parameters!$B$7,N460-Parameters!$B$6),N460)))</f>
        <v/>
      </c>
      <c r="P460" s="22" t="str">
        <f t="shared" si="102"/>
        <v/>
      </c>
      <c r="Q460" s="22" t="str">
        <f t="shared" si="103"/>
        <v/>
      </c>
      <c r="R460" s="22" t="str">
        <f t="shared" si="104"/>
        <v/>
      </c>
      <c r="S460" s="22" t="str">
        <f t="shared" si="105"/>
        <v/>
      </c>
      <c r="T460" s="21" t="e">
        <f t="shared" si="106"/>
        <v>#VALUE!</v>
      </c>
      <c r="U460" s="19" t="str">
        <f t="shared" si="107"/>
        <v/>
      </c>
      <c r="V460" s="35" t="s">
        <v>98</v>
      </c>
    </row>
    <row r="461" spans="1:22">
      <c r="A461" s="4">
        <v>46405</v>
      </c>
      <c r="B461" s="7"/>
      <c r="C461" s="7"/>
      <c r="D461" s="6" t="str">
        <f t="shared" si="98"/>
        <v/>
      </c>
      <c r="E461" s="8" t="str">
        <f t="shared" si="95"/>
        <v/>
      </c>
      <c r="F461" s="9" t="str">
        <f t="shared" si="96"/>
        <v/>
      </c>
      <c r="G461" s="9" t="str">
        <f t="shared" si="97"/>
        <v/>
      </c>
      <c r="H461" s="9" t="str">
        <f t="shared" si="99"/>
        <v/>
      </c>
      <c r="I461" t="str">
        <f t="shared" si="100"/>
        <v/>
      </c>
      <c r="J461" t="str">
        <f t="shared" si="108"/>
        <v/>
      </c>
      <c r="K461" t="str">
        <f>IF(I461="","",IF(J461&gt;=Parameters!$B$5,I461,"HOLD"))</f>
        <v/>
      </c>
      <c r="L461" s="11"/>
      <c r="M461" s="11"/>
      <c r="N461" s="12" t="str">
        <f t="shared" si="101"/>
        <v/>
      </c>
      <c r="O461" s="12" t="str">
        <f>IF(NOT(ISNUMBER(N461)),"",IF(K461="A",MIN(Parameters!$B$8,N461+Parameters!$B$6),IF(K461="B",MAX(Parameters!$B$7,N461-Parameters!$B$6),N461)))</f>
        <v/>
      </c>
      <c r="P461" s="13" t="str">
        <f t="shared" si="102"/>
        <v/>
      </c>
      <c r="Q461" s="13" t="str">
        <f t="shared" si="103"/>
        <v/>
      </c>
      <c r="R461" s="13" t="str">
        <f t="shared" si="104"/>
        <v/>
      </c>
      <c r="S461" s="13" t="str">
        <f t="shared" si="105"/>
        <v/>
      </c>
      <c r="T461" s="12" t="e">
        <f t="shared" si="106"/>
        <v>#VALUE!</v>
      </c>
      <c r="U461" t="str">
        <f t="shared" si="107"/>
        <v/>
      </c>
      <c r="V461" s="25" t="s">
        <v>98</v>
      </c>
    </row>
    <row r="462" spans="1:22">
      <c r="A462" s="14">
        <v>46412</v>
      </c>
      <c r="B462" s="7"/>
      <c r="C462" s="7"/>
      <c r="D462" s="16" t="str">
        <f t="shared" si="98"/>
        <v/>
      </c>
      <c r="E462" s="17" t="str">
        <f t="shared" si="95"/>
        <v/>
      </c>
      <c r="F462" s="18" t="str">
        <f t="shared" si="96"/>
        <v/>
      </c>
      <c r="G462" s="18" t="str">
        <f t="shared" si="97"/>
        <v/>
      </c>
      <c r="H462" s="18" t="str">
        <f t="shared" si="99"/>
        <v/>
      </c>
      <c r="I462" s="19" t="str">
        <f t="shared" si="100"/>
        <v/>
      </c>
      <c r="J462" s="19" t="str">
        <f t="shared" si="108"/>
        <v/>
      </c>
      <c r="K462" s="19" t="str">
        <f>IF(I462="","",IF(J462&gt;=Parameters!$B$5,I462,"HOLD"))</f>
        <v/>
      </c>
      <c r="L462" s="11"/>
      <c r="M462" s="11"/>
      <c r="N462" s="21" t="str">
        <f t="shared" si="101"/>
        <v/>
      </c>
      <c r="O462" s="21" t="str">
        <f>IF(NOT(ISNUMBER(N462)),"",IF(K462="A",MIN(Parameters!$B$8,N462+Parameters!$B$6),IF(K462="B",MAX(Parameters!$B$7,N462-Parameters!$B$6),N462)))</f>
        <v/>
      </c>
      <c r="P462" s="22" t="str">
        <f t="shared" si="102"/>
        <v/>
      </c>
      <c r="Q462" s="22" t="str">
        <f t="shared" si="103"/>
        <v/>
      </c>
      <c r="R462" s="22" t="str">
        <f t="shared" si="104"/>
        <v/>
      </c>
      <c r="S462" s="22" t="str">
        <f t="shared" si="105"/>
        <v/>
      </c>
      <c r="T462" s="21" t="e">
        <f t="shared" si="106"/>
        <v>#VALUE!</v>
      </c>
      <c r="U462" s="19" t="str">
        <f t="shared" si="107"/>
        <v/>
      </c>
      <c r="V462" s="35" t="s">
        <v>98</v>
      </c>
    </row>
    <row r="463" spans="1:22">
      <c r="A463" s="4">
        <v>46419</v>
      </c>
      <c r="B463" s="7"/>
      <c r="C463" s="7"/>
      <c r="D463" s="6" t="str">
        <f t="shared" si="98"/>
        <v/>
      </c>
      <c r="E463" s="8" t="str">
        <f t="shared" si="95"/>
        <v/>
      </c>
      <c r="F463" s="9" t="str">
        <f t="shared" si="96"/>
        <v/>
      </c>
      <c r="G463" s="9" t="str">
        <f t="shared" si="97"/>
        <v/>
      </c>
      <c r="H463" s="9" t="str">
        <f t="shared" si="99"/>
        <v/>
      </c>
      <c r="I463" t="str">
        <f t="shared" si="100"/>
        <v/>
      </c>
      <c r="J463" t="str">
        <f t="shared" si="108"/>
        <v/>
      </c>
      <c r="K463" t="str">
        <f>IF(I463="","",IF(J463&gt;=Parameters!$B$5,I463,"HOLD"))</f>
        <v/>
      </c>
      <c r="L463" s="11"/>
      <c r="M463" s="11"/>
      <c r="N463" s="12" t="str">
        <f t="shared" si="101"/>
        <v/>
      </c>
      <c r="O463" s="12" t="str">
        <f>IF(NOT(ISNUMBER(N463)),"",IF(K463="A",MIN(Parameters!$B$8,N463+Parameters!$B$6),IF(K463="B",MAX(Parameters!$B$7,N463-Parameters!$B$6),N463)))</f>
        <v/>
      </c>
      <c r="P463" s="13" t="str">
        <f t="shared" si="102"/>
        <v/>
      </c>
      <c r="Q463" s="13" t="str">
        <f t="shared" si="103"/>
        <v/>
      </c>
      <c r="R463" s="13" t="str">
        <f t="shared" si="104"/>
        <v/>
      </c>
      <c r="S463" s="13" t="str">
        <f t="shared" si="105"/>
        <v/>
      </c>
      <c r="T463" s="12" t="e">
        <f t="shared" si="106"/>
        <v>#VALUE!</v>
      </c>
      <c r="U463" t="str">
        <f t="shared" si="107"/>
        <v/>
      </c>
      <c r="V463" s="25" t="s">
        <v>98</v>
      </c>
    </row>
    <row r="464" spans="1:22">
      <c r="A464" s="14">
        <v>46426</v>
      </c>
      <c r="B464" s="7"/>
      <c r="C464" s="7"/>
      <c r="D464" s="16" t="str">
        <f t="shared" si="98"/>
        <v/>
      </c>
      <c r="E464" s="17" t="str">
        <f t="shared" si="95"/>
        <v/>
      </c>
      <c r="F464" s="18" t="str">
        <f t="shared" si="96"/>
        <v/>
      </c>
      <c r="G464" s="18" t="str">
        <f t="shared" si="97"/>
        <v/>
      </c>
      <c r="H464" s="18" t="str">
        <f t="shared" si="99"/>
        <v/>
      </c>
      <c r="I464" s="19" t="str">
        <f t="shared" si="100"/>
        <v/>
      </c>
      <c r="J464" s="19" t="str">
        <f t="shared" si="108"/>
        <v/>
      </c>
      <c r="K464" s="19" t="str">
        <f>IF(I464="","",IF(J464&gt;=Parameters!$B$5,I464,"HOLD"))</f>
        <v/>
      </c>
      <c r="L464" s="11"/>
      <c r="M464" s="11"/>
      <c r="N464" s="21" t="str">
        <f t="shared" si="101"/>
        <v/>
      </c>
      <c r="O464" s="21" t="str">
        <f>IF(NOT(ISNUMBER(N464)),"",IF(K464="A",MIN(Parameters!$B$8,N464+Parameters!$B$6),IF(K464="B",MAX(Parameters!$B$7,N464-Parameters!$B$6),N464)))</f>
        <v/>
      </c>
      <c r="P464" s="22" t="str">
        <f t="shared" si="102"/>
        <v/>
      </c>
      <c r="Q464" s="22" t="str">
        <f t="shared" si="103"/>
        <v/>
      </c>
      <c r="R464" s="22" t="str">
        <f t="shared" si="104"/>
        <v/>
      </c>
      <c r="S464" s="22" t="str">
        <f t="shared" si="105"/>
        <v/>
      </c>
      <c r="T464" s="21" t="e">
        <f t="shared" si="106"/>
        <v>#VALUE!</v>
      </c>
      <c r="U464" s="19" t="str">
        <f t="shared" si="107"/>
        <v/>
      </c>
      <c r="V464" s="35" t="s">
        <v>98</v>
      </c>
    </row>
    <row r="465" spans="1:22">
      <c r="A465" s="4">
        <v>46433</v>
      </c>
      <c r="B465" s="7"/>
      <c r="C465" s="7"/>
      <c r="D465" s="6" t="str">
        <f t="shared" si="98"/>
        <v/>
      </c>
      <c r="E465" s="8" t="str">
        <f t="shared" si="95"/>
        <v/>
      </c>
      <c r="F465" s="9" t="str">
        <f t="shared" si="96"/>
        <v/>
      </c>
      <c r="G465" s="9" t="str">
        <f t="shared" si="97"/>
        <v/>
      </c>
      <c r="H465" s="9" t="str">
        <f t="shared" si="99"/>
        <v/>
      </c>
      <c r="I465" t="str">
        <f t="shared" si="100"/>
        <v/>
      </c>
      <c r="J465" t="str">
        <f t="shared" si="108"/>
        <v/>
      </c>
      <c r="K465" t="str">
        <f>IF(I465="","",IF(J465&gt;=Parameters!$B$5,I465,"HOLD"))</f>
        <v/>
      </c>
      <c r="L465" s="11"/>
      <c r="M465" s="11"/>
      <c r="N465" s="12" t="str">
        <f t="shared" si="101"/>
        <v/>
      </c>
      <c r="O465" s="12" t="str">
        <f>IF(NOT(ISNUMBER(N465)),"",IF(K465="A",MIN(Parameters!$B$8,N465+Parameters!$B$6),IF(K465="B",MAX(Parameters!$B$7,N465-Parameters!$B$6),N465)))</f>
        <v/>
      </c>
      <c r="P465" s="13" t="str">
        <f t="shared" si="102"/>
        <v/>
      </c>
      <c r="Q465" s="13" t="str">
        <f t="shared" si="103"/>
        <v/>
      </c>
      <c r="R465" s="13" t="str">
        <f t="shared" si="104"/>
        <v/>
      </c>
      <c r="S465" s="13" t="str">
        <f t="shared" si="105"/>
        <v/>
      </c>
      <c r="T465" s="12" t="e">
        <f t="shared" si="106"/>
        <v>#VALUE!</v>
      </c>
      <c r="U465" t="str">
        <f t="shared" si="107"/>
        <v/>
      </c>
      <c r="V465" s="25" t="s">
        <v>98</v>
      </c>
    </row>
    <row r="466" spans="1:22">
      <c r="A466" s="14">
        <v>46440</v>
      </c>
      <c r="B466" s="7"/>
      <c r="C466" s="7"/>
      <c r="D466" s="16" t="str">
        <f t="shared" si="98"/>
        <v/>
      </c>
      <c r="E466" s="17" t="str">
        <f t="shared" si="95"/>
        <v/>
      </c>
      <c r="F466" s="18" t="str">
        <f t="shared" si="96"/>
        <v/>
      </c>
      <c r="G466" s="18" t="str">
        <f t="shared" si="97"/>
        <v/>
      </c>
      <c r="H466" s="18" t="str">
        <f t="shared" si="99"/>
        <v/>
      </c>
      <c r="I466" s="19" t="str">
        <f t="shared" si="100"/>
        <v/>
      </c>
      <c r="J466" s="19" t="str">
        <f t="shared" si="108"/>
        <v/>
      </c>
      <c r="K466" s="19" t="str">
        <f>IF(I466="","",IF(J466&gt;=Parameters!$B$5,I466,"HOLD"))</f>
        <v/>
      </c>
      <c r="L466" s="11"/>
      <c r="M466" s="11"/>
      <c r="N466" s="21" t="str">
        <f t="shared" si="101"/>
        <v/>
      </c>
      <c r="O466" s="21" t="str">
        <f>IF(NOT(ISNUMBER(N466)),"",IF(K466="A",MIN(Parameters!$B$8,N466+Parameters!$B$6),IF(K466="B",MAX(Parameters!$B$7,N466-Parameters!$B$6),N466)))</f>
        <v/>
      </c>
      <c r="P466" s="22" t="str">
        <f t="shared" si="102"/>
        <v/>
      </c>
      <c r="Q466" s="22" t="str">
        <f t="shared" si="103"/>
        <v/>
      </c>
      <c r="R466" s="22" t="str">
        <f t="shared" si="104"/>
        <v/>
      </c>
      <c r="S466" s="22" t="str">
        <f t="shared" si="105"/>
        <v/>
      </c>
      <c r="T466" s="21" t="e">
        <f t="shared" si="106"/>
        <v>#VALUE!</v>
      </c>
      <c r="U466" s="19" t="str">
        <f t="shared" si="107"/>
        <v/>
      </c>
      <c r="V466" s="35" t="s">
        <v>98</v>
      </c>
    </row>
    <row r="467" spans="1:22">
      <c r="A467" s="4">
        <v>46447</v>
      </c>
      <c r="B467" s="7"/>
      <c r="C467" s="7"/>
      <c r="D467" s="6" t="str">
        <f t="shared" si="98"/>
        <v/>
      </c>
      <c r="E467" s="8" t="str">
        <f t="shared" si="95"/>
        <v/>
      </c>
      <c r="F467" s="9" t="str">
        <f t="shared" si="96"/>
        <v/>
      </c>
      <c r="G467" s="9" t="str">
        <f t="shared" si="97"/>
        <v/>
      </c>
      <c r="H467" s="9" t="str">
        <f t="shared" si="99"/>
        <v/>
      </c>
      <c r="I467" t="str">
        <f t="shared" si="100"/>
        <v/>
      </c>
      <c r="J467" t="str">
        <f t="shared" si="108"/>
        <v/>
      </c>
      <c r="K467" t="str">
        <f>IF(I467="","",IF(J467&gt;=Parameters!$B$5,I467,"HOLD"))</f>
        <v/>
      </c>
      <c r="L467" s="11"/>
      <c r="M467" s="11"/>
      <c r="N467" s="12" t="str">
        <f t="shared" si="101"/>
        <v/>
      </c>
      <c r="O467" s="12" t="str">
        <f>IF(NOT(ISNUMBER(N467)),"",IF(K467="A",MIN(Parameters!$B$8,N467+Parameters!$B$6),IF(K467="B",MAX(Parameters!$B$7,N467-Parameters!$B$6),N467)))</f>
        <v/>
      </c>
      <c r="P467" s="13" t="str">
        <f t="shared" si="102"/>
        <v/>
      </c>
      <c r="Q467" s="13" t="str">
        <f t="shared" si="103"/>
        <v/>
      </c>
      <c r="R467" s="13" t="str">
        <f t="shared" si="104"/>
        <v/>
      </c>
      <c r="S467" s="13" t="str">
        <f t="shared" si="105"/>
        <v/>
      </c>
      <c r="T467" s="12" t="e">
        <f t="shared" si="106"/>
        <v>#VALUE!</v>
      </c>
      <c r="U467" t="str">
        <f t="shared" si="107"/>
        <v/>
      </c>
      <c r="V467" s="25" t="s">
        <v>98</v>
      </c>
    </row>
    <row r="468" spans="1:22">
      <c r="A468" s="14">
        <v>46454</v>
      </c>
      <c r="B468" s="7"/>
      <c r="C468" s="7"/>
      <c r="D468" s="16" t="str">
        <f t="shared" si="98"/>
        <v/>
      </c>
      <c r="E468" s="17" t="str">
        <f t="shared" si="95"/>
        <v/>
      </c>
      <c r="F468" s="18" t="str">
        <f t="shared" si="96"/>
        <v/>
      </c>
      <c r="G468" s="18" t="str">
        <f t="shared" si="97"/>
        <v/>
      </c>
      <c r="H468" s="18" t="str">
        <f t="shared" si="99"/>
        <v/>
      </c>
      <c r="I468" s="19" t="str">
        <f t="shared" si="100"/>
        <v/>
      </c>
      <c r="J468" s="19" t="str">
        <f t="shared" si="108"/>
        <v/>
      </c>
      <c r="K468" s="19" t="str">
        <f>IF(I468="","",IF(J468&gt;=Parameters!$B$5,I468,"HOLD"))</f>
        <v/>
      </c>
      <c r="L468" s="11"/>
      <c r="M468" s="11"/>
      <c r="N468" s="21" t="str">
        <f t="shared" si="101"/>
        <v/>
      </c>
      <c r="O468" s="21" t="str">
        <f>IF(NOT(ISNUMBER(N468)),"",IF(K468="A",MIN(Parameters!$B$8,N468+Parameters!$B$6),IF(K468="B",MAX(Parameters!$B$7,N468-Parameters!$B$6),N468)))</f>
        <v/>
      </c>
      <c r="P468" s="22" t="str">
        <f t="shared" si="102"/>
        <v/>
      </c>
      <c r="Q468" s="22" t="str">
        <f t="shared" si="103"/>
        <v/>
      </c>
      <c r="R468" s="22" t="str">
        <f t="shared" si="104"/>
        <v/>
      </c>
      <c r="S468" s="22" t="str">
        <f t="shared" si="105"/>
        <v/>
      </c>
      <c r="T468" s="21" t="e">
        <f t="shared" si="106"/>
        <v>#VALUE!</v>
      </c>
      <c r="U468" s="19" t="str">
        <f t="shared" si="107"/>
        <v/>
      </c>
      <c r="V468" s="35" t="s">
        <v>98</v>
      </c>
    </row>
    <row r="469" spans="1:22">
      <c r="A469" s="4">
        <v>46461</v>
      </c>
      <c r="B469" s="7"/>
      <c r="C469" s="7"/>
      <c r="D469" s="6" t="str">
        <f t="shared" si="98"/>
        <v/>
      </c>
      <c r="E469" s="8" t="str">
        <f t="shared" si="95"/>
        <v/>
      </c>
      <c r="F469" s="9" t="str">
        <f t="shared" si="96"/>
        <v/>
      </c>
      <c r="G469" s="9" t="str">
        <f t="shared" si="97"/>
        <v/>
      </c>
      <c r="H469" s="9" t="str">
        <f t="shared" si="99"/>
        <v/>
      </c>
      <c r="I469" t="str">
        <f t="shared" si="100"/>
        <v/>
      </c>
      <c r="J469" t="str">
        <f t="shared" si="108"/>
        <v/>
      </c>
      <c r="K469" t="str">
        <f>IF(I469="","",IF(J469&gt;=Parameters!$B$5,I469,"HOLD"))</f>
        <v/>
      </c>
      <c r="L469" s="11"/>
      <c r="M469" s="11"/>
      <c r="N469" s="12" t="str">
        <f t="shared" si="101"/>
        <v/>
      </c>
      <c r="O469" s="12" t="str">
        <f>IF(NOT(ISNUMBER(N469)),"",IF(K469="A",MIN(Parameters!$B$8,N469+Parameters!$B$6),IF(K469="B",MAX(Parameters!$B$7,N469-Parameters!$B$6),N469)))</f>
        <v/>
      </c>
      <c r="P469" s="13" t="str">
        <f t="shared" si="102"/>
        <v/>
      </c>
      <c r="Q469" s="13" t="str">
        <f t="shared" si="103"/>
        <v/>
      </c>
      <c r="R469" s="13" t="str">
        <f t="shared" si="104"/>
        <v/>
      </c>
      <c r="S469" s="13" t="str">
        <f t="shared" si="105"/>
        <v/>
      </c>
      <c r="T469" s="12" t="e">
        <f t="shared" si="106"/>
        <v>#VALUE!</v>
      </c>
      <c r="U469" t="str">
        <f t="shared" si="107"/>
        <v/>
      </c>
      <c r="V469" s="25" t="s">
        <v>98</v>
      </c>
    </row>
    <row r="470" spans="1:22">
      <c r="A470" s="14">
        <v>46468</v>
      </c>
      <c r="B470" s="7"/>
      <c r="C470" s="7"/>
      <c r="D470" s="16" t="str">
        <f t="shared" si="98"/>
        <v/>
      </c>
      <c r="E470" s="17" t="str">
        <f t="shared" si="95"/>
        <v/>
      </c>
      <c r="F470" s="18" t="str">
        <f t="shared" si="96"/>
        <v/>
      </c>
      <c r="G470" s="18" t="str">
        <f t="shared" si="97"/>
        <v/>
      </c>
      <c r="H470" s="18" t="str">
        <f t="shared" si="99"/>
        <v/>
      </c>
      <c r="I470" s="19" t="str">
        <f t="shared" si="100"/>
        <v/>
      </c>
      <c r="J470" s="19" t="str">
        <f t="shared" si="108"/>
        <v/>
      </c>
      <c r="K470" s="19" t="str">
        <f>IF(I470="","",IF(J470&gt;=Parameters!$B$5,I470,"HOLD"))</f>
        <v/>
      </c>
      <c r="L470" s="11"/>
      <c r="M470" s="11"/>
      <c r="N470" s="21" t="str">
        <f t="shared" si="101"/>
        <v/>
      </c>
      <c r="O470" s="21" t="str">
        <f>IF(NOT(ISNUMBER(N470)),"",IF(K470="A",MIN(Parameters!$B$8,N470+Parameters!$B$6),IF(K470="B",MAX(Parameters!$B$7,N470-Parameters!$B$6),N470)))</f>
        <v/>
      </c>
      <c r="P470" s="22" t="str">
        <f t="shared" si="102"/>
        <v/>
      </c>
      <c r="Q470" s="22" t="str">
        <f t="shared" si="103"/>
        <v/>
      </c>
      <c r="R470" s="22" t="str">
        <f t="shared" si="104"/>
        <v/>
      </c>
      <c r="S470" s="22" t="str">
        <f t="shared" si="105"/>
        <v/>
      </c>
      <c r="T470" s="21" t="e">
        <f t="shared" si="106"/>
        <v>#VALUE!</v>
      </c>
      <c r="U470" s="19" t="str">
        <f t="shared" si="107"/>
        <v/>
      </c>
      <c r="V470" s="35" t="s">
        <v>98</v>
      </c>
    </row>
    <row r="471" spans="1:22">
      <c r="A471" s="4">
        <v>46475</v>
      </c>
      <c r="B471" s="7"/>
      <c r="C471" s="7"/>
      <c r="D471" s="6" t="str">
        <f t="shared" si="98"/>
        <v/>
      </c>
      <c r="E471" s="8" t="str">
        <f t="shared" si="95"/>
        <v/>
      </c>
      <c r="F471" s="9" t="str">
        <f t="shared" si="96"/>
        <v/>
      </c>
      <c r="G471" s="9" t="str">
        <f t="shared" si="97"/>
        <v/>
      </c>
      <c r="H471" s="9" t="str">
        <f t="shared" si="99"/>
        <v/>
      </c>
      <c r="I471" t="str">
        <f t="shared" si="100"/>
        <v/>
      </c>
      <c r="J471" t="str">
        <f t="shared" si="108"/>
        <v/>
      </c>
      <c r="K471" t="str">
        <f>IF(I471="","",IF(J471&gt;=Parameters!$B$5,I471,"HOLD"))</f>
        <v/>
      </c>
      <c r="L471" s="11"/>
      <c r="M471" s="11"/>
      <c r="N471" s="12" t="str">
        <f t="shared" si="101"/>
        <v/>
      </c>
      <c r="O471" s="12" t="str">
        <f>IF(NOT(ISNUMBER(N471)),"",IF(K471="A",MIN(Parameters!$B$8,N471+Parameters!$B$6),IF(K471="B",MAX(Parameters!$B$7,N471-Parameters!$B$6),N471)))</f>
        <v/>
      </c>
      <c r="P471" s="13" t="str">
        <f t="shared" si="102"/>
        <v/>
      </c>
      <c r="Q471" s="13" t="str">
        <f t="shared" si="103"/>
        <v/>
      </c>
      <c r="R471" s="13" t="str">
        <f t="shared" si="104"/>
        <v/>
      </c>
      <c r="S471" s="13" t="str">
        <f t="shared" si="105"/>
        <v/>
      </c>
      <c r="T471" s="12" t="e">
        <f t="shared" si="106"/>
        <v>#VALUE!</v>
      </c>
      <c r="U471" t="str">
        <f t="shared" si="107"/>
        <v/>
      </c>
      <c r="V471" s="25" t="s">
        <v>98</v>
      </c>
    </row>
    <row r="472" spans="1:22">
      <c r="A472" s="14">
        <v>46482</v>
      </c>
      <c r="B472" s="7"/>
      <c r="C472" s="7"/>
      <c r="D472" s="16" t="str">
        <f t="shared" si="98"/>
        <v/>
      </c>
      <c r="E472" s="17" t="str">
        <f t="shared" si="95"/>
        <v/>
      </c>
      <c r="F472" s="18" t="str">
        <f t="shared" si="96"/>
        <v/>
      </c>
      <c r="G472" s="18" t="str">
        <f t="shared" si="97"/>
        <v/>
      </c>
      <c r="H472" s="18" t="str">
        <f t="shared" si="99"/>
        <v/>
      </c>
      <c r="I472" s="19" t="str">
        <f t="shared" si="100"/>
        <v/>
      </c>
      <c r="J472" s="19" t="str">
        <f t="shared" si="108"/>
        <v/>
      </c>
      <c r="K472" s="19" t="str">
        <f>IF(I472="","",IF(J472&gt;=Parameters!$B$5,I472,"HOLD"))</f>
        <v/>
      </c>
      <c r="L472" s="11"/>
      <c r="M472" s="11"/>
      <c r="N472" s="21" t="str">
        <f t="shared" si="101"/>
        <v/>
      </c>
      <c r="O472" s="21" t="str">
        <f>IF(NOT(ISNUMBER(N472)),"",IF(K472="A",MIN(Parameters!$B$8,N472+Parameters!$B$6),IF(K472="B",MAX(Parameters!$B$7,N472-Parameters!$B$6),N472)))</f>
        <v/>
      </c>
      <c r="P472" s="22" t="str">
        <f t="shared" si="102"/>
        <v/>
      </c>
      <c r="Q472" s="22" t="str">
        <f t="shared" si="103"/>
        <v/>
      </c>
      <c r="R472" s="22" t="str">
        <f t="shared" si="104"/>
        <v/>
      </c>
      <c r="S472" s="22" t="str">
        <f t="shared" si="105"/>
        <v/>
      </c>
      <c r="T472" s="21" t="e">
        <f t="shared" si="106"/>
        <v>#VALUE!</v>
      </c>
      <c r="U472" s="19" t="str">
        <f t="shared" si="107"/>
        <v/>
      </c>
      <c r="V472" s="35" t="s">
        <v>98</v>
      </c>
    </row>
    <row r="473" spans="1:22">
      <c r="A473" s="4">
        <v>46489</v>
      </c>
      <c r="B473" s="7"/>
      <c r="C473" s="7"/>
      <c r="D473" s="6" t="str">
        <f t="shared" si="98"/>
        <v/>
      </c>
      <c r="E473" s="8" t="str">
        <f t="shared" si="95"/>
        <v/>
      </c>
      <c r="F473" s="9" t="str">
        <f t="shared" si="96"/>
        <v/>
      </c>
      <c r="G473" s="9" t="str">
        <f t="shared" si="97"/>
        <v/>
      </c>
      <c r="H473" s="9" t="str">
        <f t="shared" si="99"/>
        <v/>
      </c>
      <c r="I473" t="str">
        <f t="shared" si="100"/>
        <v/>
      </c>
      <c r="J473" t="str">
        <f t="shared" si="108"/>
        <v/>
      </c>
      <c r="K473" t="str">
        <f>IF(I473="","",IF(J473&gt;=Parameters!$B$5,I473,"HOLD"))</f>
        <v/>
      </c>
      <c r="L473" s="11"/>
      <c r="M473" s="11"/>
      <c r="N473" s="12" t="str">
        <f t="shared" si="101"/>
        <v/>
      </c>
      <c r="O473" s="12" t="str">
        <f>IF(NOT(ISNUMBER(N473)),"",IF(K473="A",MIN(Parameters!$B$8,N473+Parameters!$B$6),IF(K473="B",MAX(Parameters!$B$7,N473-Parameters!$B$6),N473)))</f>
        <v/>
      </c>
      <c r="P473" s="13" t="str">
        <f t="shared" si="102"/>
        <v/>
      </c>
      <c r="Q473" s="13" t="str">
        <f t="shared" si="103"/>
        <v/>
      </c>
      <c r="R473" s="13" t="str">
        <f t="shared" si="104"/>
        <v/>
      </c>
      <c r="S473" s="13" t="str">
        <f t="shared" si="105"/>
        <v/>
      </c>
      <c r="T473" s="12" t="e">
        <f t="shared" si="106"/>
        <v>#VALUE!</v>
      </c>
      <c r="U473" t="str">
        <f t="shared" si="107"/>
        <v/>
      </c>
      <c r="V473" s="25" t="s">
        <v>98</v>
      </c>
    </row>
    <row r="474" spans="1:22">
      <c r="A474" s="14">
        <v>46496</v>
      </c>
      <c r="B474" s="7"/>
      <c r="C474" s="7"/>
      <c r="D474" s="16" t="str">
        <f t="shared" si="98"/>
        <v/>
      </c>
      <c r="E474" s="17" t="str">
        <f t="shared" si="95"/>
        <v/>
      </c>
      <c r="F474" s="18" t="str">
        <f t="shared" si="96"/>
        <v/>
      </c>
      <c r="G474" s="18" t="str">
        <f t="shared" si="97"/>
        <v/>
      </c>
      <c r="H474" s="18" t="str">
        <f t="shared" si="99"/>
        <v/>
      </c>
      <c r="I474" s="19" t="str">
        <f t="shared" si="100"/>
        <v/>
      </c>
      <c r="J474" s="19" t="str">
        <f t="shared" si="108"/>
        <v/>
      </c>
      <c r="K474" s="19" t="str">
        <f>IF(I474="","",IF(J474&gt;=Parameters!$B$5,I474,"HOLD"))</f>
        <v/>
      </c>
      <c r="L474" s="11"/>
      <c r="M474" s="11"/>
      <c r="N474" s="21" t="str">
        <f t="shared" si="101"/>
        <v/>
      </c>
      <c r="O474" s="21" t="str">
        <f>IF(NOT(ISNUMBER(N474)),"",IF(K474="A",MIN(Parameters!$B$8,N474+Parameters!$B$6),IF(K474="B",MAX(Parameters!$B$7,N474-Parameters!$B$6),N474)))</f>
        <v/>
      </c>
      <c r="P474" s="22" t="str">
        <f t="shared" si="102"/>
        <v/>
      </c>
      <c r="Q474" s="22" t="str">
        <f t="shared" si="103"/>
        <v/>
      </c>
      <c r="R474" s="22" t="str">
        <f t="shared" si="104"/>
        <v/>
      </c>
      <c r="S474" s="22" t="str">
        <f t="shared" si="105"/>
        <v/>
      </c>
      <c r="T474" s="21" t="e">
        <f t="shared" si="106"/>
        <v>#VALUE!</v>
      </c>
      <c r="U474" s="19" t="str">
        <f t="shared" si="107"/>
        <v/>
      </c>
      <c r="V474" s="35" t="s">
        <v>98</v>
      </c>
    </row>
    <row r="475" spans="1:22">
      <c r="A475" s="4">
        <v>46503</v>
      </c>
      <c r="B475" s="7"/>
      <c r="C475" s="7"/>
      <c r="D475" s="6" t="str">
        <f t="shared" si="98"/>
        <v/>
      </c>
      <c r="E475" s="8" t="str">
        <f t="shared" si="95"/>
        <v/>
      </c>
      <c r="F475" s="9" t="str">
        <f t="shared" si="96"/>
        <v/>
      </c>
      <c r="G475" s="9" t="str">
        <f t="shared" si="97"/>
        <v/>
      </c>
      <c r="H475" s="9" t="str">
        <f t="shared" si="99"/>
        <v/>
      </c>
      <c r="I475" t="str">
        <f t="shared" si="100"/>
        <v/>
      </c>
      <c r="J475" t="str">
        <f t="shared" si="108"/>
        <v/>
      </c>
      <c r="K475" t="str">
        <f>IF(I475="","",IF(J475&gt;=Parameters!$B$5,I475,"HOLD"))</f>
        <v/>
      </c>
      <c r="L475" s="11"/>
      <c r="M475" s="11"/>
      <c r="N475" s="12" t="str">
        <f t="shared" si="101"/>
        <v/>
      </c>
      <c r="O475" s="12" t="str">
        <f>IF(NOT(ISNUMBER(N475)),"",IF(K475="A",MIN(Parameters!$B$8,N475+Parameters!$B$6),IF(K475="B",MAX(Parameters!$B$7,N475-Parameters!$B$6),N475)))</f>
        <v/>
      </c>
      <c r="P475" s="13" t="str">
        <f t="shared" si="102"/>
        <v/>
      </c>
      <c r="Q475" s="13" t="str">
        <f t="shared" si="103"/>
        <v/>
      </c>
      <c r="R475" s="13" t="str">
        <f t="shared" si="104"/>
        <v/>
      </c>
      <c r="S475" s="13" t="str">
        <f t="shared" si="105"/>
        <v/>
      </c>
      <c r="T475" s="12" t="e">
        <f t="shared" si="106"/>
        <v>#VALUE!</v>
      </c>
      <c r="U475" t="str">
        <f t="shared" si="107"/>
        <v/>
      </c>
      <c r="V475" s="25" t="s">
        <v>98</v>
      </c>
    </row>
    <row r="476" spans="1:22">
      <c r="A476" s="14">
        <v>46510</v>
      </c>
      <c r="B476" s="7"/>
      <c r="C476" s="7"/>
      <c r="D476" s="16" t="str">
        <f t="shared" si="98"/>
        <v/>
      </c>
      <c r="E476" s="17" t="str">
        <f t="shared" si="95"/>
        <v/>
      </c>
      <c r="F476" s="18" t="str">
        <f t="shared" si="96"/>
        <v/>
      </c>
      <c r="G476" s="18" t="str">
        <f t="shared" si="97"/>
        <v/>
      </c>
      <c r="H476" s="18" t="str">
        <f t="shared" si="99"/>
        <v/>
      </c>
      <c r="I476" s="19" t="str">
        <f t="shared" si="100"/>
        <v/>
      </c>
      <c r="J476" s="19" t="str">
        <f t="shared" si="108"/>
        <v/>
      </c>
      <c r="K476" s="19" t="str">
        <f>IF(I476="","",IF(J476&gt;=Parameters!$B$5,I476,"HOLD"))</f>
        <v/>
      </c>
      <c r="L476" s="11"/>
      <c r="M476" s="11"/>
      <c r="N476" s="21" t="str">
        <f t="shared" si="101"/>
        <v/>
      </c>
      <c r="O476" s="21" t="str">
        <f>IF(NOT(ISNUMBER(N476)),"",IF(K476="A",MIN(Parameters!$B$8,N476+Parameters!$B$6),IF(K476="B",MAX(Parameters!$B$7,N476-Parameters!$B$6),N476)))</f>
        <v/>
      </c>
      <c r="P476" s="22" t="str">
        <f t="shared" si="102"/>
        <v/>
      </c>
      <c r="Q476" s="22" t="str">
        <f t="shared" si="103"/>
        <v/>
      </c>
      <c r="R476" s="22" t="str">
        <f t="shared" si="104"/>
        <v/>
      </c>
      <c r="S476" s="22" t="str">
        <f t="shared" si="105"/>
        <v/>
      </c>
      <c r="T476" s="21" t="e">
        <f t="shared" si="106"/>
        <v>#VALUE!</v>
      </c>
      <c r="U476" s="19" t="str">
        <f t="shared" si="107"/>
        <v/>
      </c>
      <c r="V476" s="35" t="s">
        <v>98</v>
      </c>
    </row>
    <row r="477" spans="1:22">
      <c r="A477" s="4">
        <v>46517</v>
      </c>
      <c r="B477" s="7"/>
      <c r="C477" s="7"/>
      <c r="D477" s="6" t="str">
        <f t="shared" si="98"/>
        <v/>
      </c>
      <c r="E477" s="8" t="str">
        <f t="shared" ref="E477:E540" si="109">IF(NOT(ISNUMBER(D477)),"",COUNTIF(D452:D477,"&gt;0"))</f>
        <v/>
      </c>
      <c r="F477" s="9" t="str">
        <f t="shared" ref="F477:F540" si="110">IF(OR(NOT(ISNUMBER(E477)),E477&lt;2),"",IFERROR((SUMPRODUCT(--(D452:D477&gt;0),B452:B477,D452:D477)-SUMPRODUCT(--(D452:D477&gt;0),B452:B477)*SUMPRODUCT(--(D452:D477&gt;0),D452:D477)/E477)/(SUMPRODUCT(--(D452:D477&gt;0),D452:D477,D452:D477)-SUMPRODUCT(--(D452:D477&gt;0),D452:D477)^2/E477),""))</f>
        <v/>
      </c>
      <c r="G477" s="9" t="str">
        <f t="shared" ref="G477:G540" si="111">IF(OR(NOT(ISNUMBER(E477)),E477&lt;2),"",IFERROR((SUMPRODUCT(--(D452:D477&gt;0),C452:C477,D452:D477)-SUMPRODUCT(--(D452:D477&gt;0),C452:C477)*SUMPRODUCT(--(D452:D477&gt;0),D452:D477)/E477)/(SUMPRODUCT(--(D452:D477&gt;0),D452:D477,D452:D477)-SUMPRODUCT(--(D452:D477&gt;0),D452:D477)^2/E477),""))</f>
        <v/>
      </c>
      <c r="H477" s="9" t="str">
        <f t="shared" si="99"/>
        <v/>
      </c>
      <c r="I477" t="str">
        <f t="shared" si="100"/>
        <v/>
      </c>
      <c r="J477" t="str">
        <f t="shared" si="108"/>
        <v/>
      </c>
      <c r="K477" t="str">
        <f>IF(I477="","",IF(J477&gt;=Parameters!$B$5,I477,"HOLD"))</f>
        <v/>
      </c>
      <c r="L477" s="11"/>
      <c r="M477" s="11"/>
      <c r="N477" s="12" t="str">
        <f t="shared" si="101"/>
        <v/>
      </c>
      <c r="O477" s="12" t="str">
        <f>IF(NOT(ISNUMBER(N477)),"",IF(K477="A",MIN(Parameters!$B$8,N477+Parameters!$B$6),IF(K477="B",MAX(Parameters!$B$7,N477-Parameters!$B$6),N477)))</f>
        <v/>
      </c>
      <c r="P477" s="13" t="str">
        <f t="shared" si="102"/>
        <v/>
      </c>
      <c r="Q477" s="13" t="str">
        <f t="shared" si="103"/>
        <v/>
      </c>
      <c r="R477" s="13" t="str">
        <f t="shared" si="104"/>
        <v/>
      </c>
      <c r="S477" s="13" t="str">
        <f t="shared" si="105"/>
        <v/>
      </c>
      <c r="T477" s="12" t="e">
        <f t="shared" si="106"/>
        <v>#VALUE!</v>
      </c>
      <c r="U477" t="str">
        <f t="shared" si="107"/>
        <v/>
      </c>
      <c r="V477" s="25" t="s">
        <v>98</v>
      </c>
    </row>
    <row r="478" spans="1:22">
      <c r="A478" s="14">
        <v>46524</v>
      </c>
      <c r="B478" s="7"/>
      <c r="C478" s="7"/>
      <c r="D478" s="16" t="str">
        <f t="shared" si="98"/>
        <v/>
      </c>
      <c r="E478" s="17" t="str">
        <f t="shared" si="109"/>
        <v/>
      </c>
      <c r="F478" s="18" t="str">
        <f t="shared" si="110"/>
        <v/>
      </c>
      <c r="G478" s="18" t="str">
        <f t="shared" si="111"/>
        <v/>
      </c>
      <c r="H478" s="18" t="str">
        <f t="shared" si="99"/>
        <v/>
      </c>
      <c r="I478" s="19" t="str">
        <f t="shared" si="100"/>
        <v/>
      </c>
      <c r="J478" s="19" t="str">
        <f t="shared" si="108"/>
        <v/>
      </c>
      <c r="K478" s="19" t="str">
        <f>IF(I478="","",IF(J478&gt;=Parameters!$B$5,I478,"HOLD"))</f>
        <v/>
      </c>
      <c r="L478" s="11"/>
      <c r="M478" s="11"/>
      <c r="N478" s="21" t="str">
        <f t="shared" si="101"/>
        <v/>
      </c>
      <c r="O478" s="21" t="str">
        <f>IF(NOT(ISNUMBER(N478)),"",IF(K478="A",MIN(Parameters!$B$8,N478+Parameters!$B$6),IF(K478="B",MAX(Parameters!$B$7,N478-Parameters!$B$6),N478)))</f>
        <v/>
      </c>
      <c r="P478" s="22" t="str">
        <f t="shared" si="102"/>
        <v/>
      </c>
      <c r="Q478" s="22" t="str">
        <f t="shared" si="103"/>
        <v/>
      </c>
      <c r="R478" s="22" t="str">
        <f t="shared" si="104"/>
        <v/>
      </c>
      <c r="S478" s="22" t="str">
        <f t="shared" si="105"/>
        <v/>
      </c>
      <c r="T478" s="21" t="e">
        <f t="shared" si="106"/>
        <v>#VALUE!</v>
      </c>
      <c r="U478" s="19" t="str">
        <f t="shared" si="107"/>
        <v/>
      </c>
      <c r="V478" s="35" t="s">
        <v>98</v>
      </c>
    </row>
    <row r="479" spans="1:22">
      <c r="A479" s="4">
        <v>46531</v>
      </c>
      <c r="B479" s="7"/>
      <c r="C479" s="7"/>
      <c r="D479" s="6" t="str">
        <f t="shared" si="98"/>
        <v/>
      </c>
      <c r="E479" s="8" t="str">
        <f t="shared" si="109"/>
        <v/>
      </c>
      <c r="F479" s="9" t="str">
        <f t="shared" si="110"/>
        <v/>
      </c>
      <c r="G479" s="9" t="str">
        <f t="shared" si="111"/>
        <v/>
      </c>
      <c r="H479" s="9" t="str">
        <f t="shared" si="99"/>
        <v/>
      </c>
      <c r="I479" t="str">
        <f t="shared" si="100"/>
        <v/>
      </c>
      <c r="J479" t="str">
        <f t="shared" si="108"/>
        <v/>
      </c>
      <c r="K479" t="str">
        <f>IF(I479="","",IF(J479&gt;=Parameters!$B$5,I479,"HOLD"))</f>
        <v/>
      </c>
      <c r="L479" s="11"/>
      <c r="M479" s="11"/>
      <c r="N479" s="12" t="str">
        <f t="shared" si="101"/>
        <v/>
      </c>
      <c r="O479" s="12" t="str">
        <f>IF(NOT(ISNUMBER(N479)),"",IF(K479="A",MIN(Parameters!$B$8,N479+Parameters!$B$6),IF(K479="B",MAX(Parameters!$B$7,N479-Parameters!$B$6),N479)))</f>
        <v/>
      </c>
      <c r="P479" s="13" t="str">
        <f t="shared" si="102"/>
        <v/>
      </c>
      <c r="Q479" s="13" t="str">
        <f t="shared" si="103"/>
        <v/>
      </c>
      <c r="R479" s="13" t="str">
        <f t="shared" si="104"/>
        <v/>
      </c>
      <c r="S479" s="13" t="str">
        <f t="shared" si="105"/>
        <v/>
      </c>
      <c r="T479" s="12" t="e">
        <f t="shared" si="106"/>
        <v>#VALUE!</v>
      </c>
      <c r="U479" t="str">
        <f t="shared" si="107"/>
        <v/>
      </c>
      <c r="V479" s="25" t="s">
        <v>98</v>
      </c>
    </row>
    <row r="480" spans="1:22">
      <c r="A480" s="14">
        <v>46538</v>
      </c>
      <c r="B480" s="7"/>
      <c r="C480" s="7"/>
      <c r="D480" s="16" t="str">
        <f t="shared" si="98"/>
        <v/>
      </c>
      <c r="E480" s="17" t="str">
        <f t="shared" si="109"/>
        <v/>
      </c>
      <c r="F480" s="18" t="str">
        <f t="shared" si="110"/>
        <v/>
      </c>
      <c r="G480" s="18" t="str">
        <f t="shared" si="111"/>
        <v/>
      </c>
      <c r="H480" s="18" t="str">
        <f t="shared" si="99"/>
        <v/>
      </c>
      <c r="I480" s="19" t="str">
        <f t="shared" si="100"/>
        <v/>
      </c>
      <c r="J480" s="19" t="str">
        <f t="shared" si="108"/>
        <v/>
      </c>
      <c r="K480" s="19" t="str">
        <f>IF(I480="","",IF(J480&gt;=Parameters!$B$5,I480,"HOLD"))</f>
        <v/>
      </c>
      <c r="L480" s="11"/>
      <c r="M480" s="11"/>
      <c r="N480" s="21" t="str">
        <f t="shared" si="101"/>
        <v/>
      </c>
      <c r="O480" s="21" t="str">
        <f>IF(NOT(ISNUMBER(N480)),"",IF(K480="A",MIN(Parameters!$B$8,N480+Parameters!$B$6),IF(K480="B",MAX(Parameters!$B$7,N480-Parameters!$B$6),N480)))</f>
        <v/>
      </c>
      <c r="P480" s="22" t="str">
        <f t="shared" si="102"/>
        <v/>
      </c>
      <c r="Q480" s="22" t="str">
        <f t="shared" si="103"/>
        <v/>
      </c>
      <c r="R480" s="22" t="str">
        <f t="shared" si="104"/>
        <v/>
      </c>
      <c r="S480" s="22" t="str">
        <f t="shared" si="105"/>
        <v/>
      </c>
      <c r="T480" s="21" t="e">
        <f t="shared" si="106"/>
        <v>#VALUE!</v>
      </c>
      <c r="U480" s="19" t="str">
        <f t="shared" si="107"/>
        <v/>
      </c>
      <c r="V480" s="35" t="s">
        <v>98</v>
      </c>
    </row>
    <row r="481" spans="1:22">
      <c r="A481" s="4">
        <v>46545</v>
      </c>
      <c r="B481" s="7"/>
      <c r="C481" s="7"/>
      <c r="D481" s="6" t="str">
        <f t="shared" si="98"/>
        <v/>
      </c>
      <c r="E481" s="8" t="str">
        <f t="shared" si="109"/>
        <v/>
      </c>
      <c r="F481" s="9" t="str">
        <f t="shared" si="110"/>
        <v/>
      </c>
      <c r="G481" s="9" t="str">
        <f t="shared" si="111"/>
        <v/>
      </c>
      <c r="H481" s="9" t="str">
        <f t="shared" si="99"/>
        <v/>
      </c>
      <c r="I481" t="str">
        <f t="shared" si="100"/>
        <v/>
      </c>
      <c r="J481" t="str">
        <f t="shared" si="108"/>
        <v/>
      </c>
      <c r="K481" t="str">
        <f>IF(I481="","",IF(J481&gt;=Parameters!$B$5,I481,"HOLD"))</f>
        <v/>
      </c>
      <c r="L481" s="11"/>
      <c r="M481" s="11"/>
      <c r="N481" s="12" t="str">
        <f t="shared" si="101"/>
        <v/>
      </c>
      <c r="O481" s="12" t="str">
        <f>IF(NOT(ISNUMBER(N481)),"",IF(K481="A",MIN(Parameters!$B$8,N481+Parameters!$B$6),IF(K481="B",MAX(Parameters!$B$7,N481-Parameters!$B$6),N481)))</f>
        <v/>
      </c>
      <c r="P481" s="13" t="str">
        <f t="shared" si="102"/>
        <v/>
      </c>
      <c r="Q481" s="13" t="str">
        <f t="shared" si="103"/>
        <v/>
      </c>
      <c r="R481" s="13" t="str">
        <f t="shared" si="104"/>
        <v/>
      </c>
      <c r="S481" s="13" t="str">
        <f t="shared" si="105"/>
        <v/>
      </c>
      <c r="T481" s="12" t="e">
        <f t="shared" si="106"/>
        <v>#VALUE!</v>
      </c>
      <c r="U481" t="str">
        <f t="shared" si="107"/>
        <v/>
      </c>
      <c r="V481" s="25" t="s">
        <v>98</v>
      </c>
    </row>
    <row r="482" spans="1:22">
      <c r="A482" s="14">
        <v>46552</v>
      </c>
      <c r="B482" s="7"/>
      <c r="C482" s="7"/>
      <c r="D482" s="16" t="str">
        <f t="shared" si="98"/>
        <v/>
      </c>
      <c r="E482" s="17" t="str">
        <f t="shared" si="109"/>
        <v/>
      </c>
      <c r="F482" s="18" t="str">
        <f t="shared" si="110"/>
        <v/>
      </c>
      <c r="G482" s="18" t="str">
        <f t="shared" si="111"/>
        <v/>
      </c>
      <c r="H482" s="18" t="str">
        <f t="shared" si="99"/>
        <v/>
      </c>
      <c r="I482" s="19" t="str">
        <f t="shared" si="100"/>
        <v/>
      </c>
      <c r="J482" s="19" t="str">
        <f t="shared" si="108"/>
        <v/>
      </c>
      <c r="K482" s="19" t="str">
        <f>IF(I482="","",IF(J482&gt;=Parameters!$B$5,I482,"HOLD"))</f>
        <v/>
      </c>
      <c r="L482" s="11"/>
      <c r="M482" s="11"/>
      <c r="N482" s="21" t="str">
        <f t="shared" si="101"/>
        <v/>
      </c>
      <c r="O482" s="21" t="str">
        <f>IF(NOT(ISNUMBER(N482)),"",IF(K482="A",MIN(Parameters!$B$8,N482+Parameters!$B$6),IF(K482="B",MAX(Parameters!$B$7,N482-Parameters!$B$6),N482)))</f>
        <v/>
      </c>
      <c r="P482" s="22" t="str">
        <f t="shared" si="102"/>
        <v/>
      </c>
      <c r="Q482" s="22" t="str">
        <f t="shared" si="103"/>
        <v/>
      </c>
      <c r="R482" s="22" t="str">
        <f t="shared" si="104"/>
        <v/>
      </c>
      <c r="S482" s="22" t="str">
        <f t="shared" si="105"/>
        <v/>
      </c>
      <c r="T482" s="21" t="e">
        <f t="shared" si="106"/>
        <v>#VALUE!</v>
      </c>
      <c r="U482" s="19" t="str">
        <f t="shared" si="107"/>
        <v/>
      </c>
      <c r="V482" s="35" t="s">
        <v>98</v>
      </c>
    </row>
    <row r="483" spans="1:22">
      <c r="A483" s="4">
        <v>46559</v>
      </c>
      <c r="B483" s="7"/>
      <c r="C483" s="7"/>
      <c r="D483" s="6" t="str">
        <f t="shared" si="98"/>
        <v/>
      </c>
      <c r="E483" s="8" t="str">
        <f t="shared" si="109"/>
        <v/>
      </c>
      <c r="F483" s="9" t="str">
        <f t="shared" si="110"/>
        <v/>
      </c>
      <c r="G483" s="9" t="str">
        <f t="shared" si="111"/>
        <v/>
      </c>
      <c r="H483" s="9" t="str">
        <f t="shared" si="99"/>
        <v/>
      </c>
      <c r="I483" t="str">
        <f t="shared" si="100"/>
        <v/>
      </c>
      <c r="J483" t="str">
        <f t="shared" si="108"/>
        <v/>
      </c>
      <c r="K483" t="str">
        <f>IF(I483="","",IF(J483&gt;=Parameters!$B$5,I483,"HOLD"))</f>
        <v/>
      </c>
      <c r="L483" s="11"/>
      <c r="M483" s="11"/>
      <c r="N483" s="12" t="str">
        <f t="shared" si="101"/>
        <v/>
      </c>
      <c r="O483" s="12" t="str">
        <f>IF(NOT(ISNUMBER(N483)),"",IF(K483="A",MIN(Parameters!$B$8,N483+Parameters!$B$6),IF(K483="B",MAX(Parameters!$B$7,N483-Parameters!$B$6),N483)))</f>
        <v/>
      </c>
      <c r="P483" s="13" t="str">
        <f t="shared" si="102"/>
        <v/>
      </c>
      <c r="Q483" s="13" t="str">
        <f t="shared" si="103"/>
        <v/>
      </c>
      <c r="R483" s="13" t="str">
        <f t="shared" si="104"/>
        <v/>
      </c>
      <c r="S483" s="13" t="str">
        <f t="shared" si="105"/>
        <v/>
      </c>
      <c r="T483" s="12" t="e">
        <f t="shared" si="106"/>
        <v>#VALUE!</v>
      </c>
      <c r="U483" t="str">
        <f t="shared" si="107"/>
        <v/>
      </c>
      <c r="V483" s="25" t="s">
        <v>98</v>
      </c>
    </row>
    <row r="484" spans="1:22">
      <c r="A484" s="14">
        <v>46566</v>
      </c>
      <c r="B484" s="7"/>
      <c r="C484" s="7"/>
      <c r="D484" s="16" t="str">
        <f t="shared" si="98"/>
        <v/>
      </c>
      <c r="E484" s="17" t="str">
        <f t="shared" si="109"/>
        <v/>
      </c>
      <c r="F484" s="18" t="str">
        <f t="shared" si="110"/>
        <v/>
      </c>
      <c r="G484" s="18" t="str">
        <f t="shared" si="111"/>
        <v/>
      </c>
      <c r="H484" s="18" t="str">
        <f t="shared" si="99"/>
        <v/>
      </c>
      <c r="I484" s="19" t="str">
        <f t="shared" si="100"/>
        <v/>
      </c>
      <c r="J484" s="19" t="str">
        <f t="shared" si="108"/>
        <v/>
      </c>
      <c r="K484" s="19" t="str">
        <f>IF(I484="","",IF(J484&gt;=Parameters!$B$5,I484,"HOLD"))</f>
        <v/>
      </c>
      <c r="L484" s="11"/>
      <c r="M484" s="11"/>
      <c r="N484" s="21" t="str">
        <f t="shared" si="101"/>
        <v/>
      </c>
      <c r="O484" s="21" t="str">
        <f>IF(NOT(ISNUMBER(N484)),"",IF(K484="A",MIN(Parameters!$B$8,N484+Parameters!$B$6),IF(K484="B",MAX(Parameters!$B$7,N484-Parameters!$B$6),N484)))</f>
        <v/>
      </c>
      <c r="P484" s="22" t="str">
        <f t="shared" si="102"/>
        <v/>
      </c>
      <c r="Q484" s="22" t="str">
        <f t="shared" si="103"/>
        <v/>
      </c>
      <c r="R484" s="22" t="str">
        <f t="shared" si="104"/>
        <v/>
      </c>
      <c r="S484" s="22" t="str">
        <f t="shared" si="105"/>
        <v/>
      </c>
      <c r="T484" s="21" t="e">
        <f t="shared" si="106"/>
        <v>#VALUE!</v>
      </c>
      <c r="U484" s="19" t="str">
        <f t="shared" si="107"/>
        <v/>
      </c>
      <c r="V484" s="35" t="s">
        <v>98</v>
      </c>
    </row>
    <row r="485" spans="1:22">
      <c r="A485" s="4">
        <v>46573</v>
      </c>
      <c r="B485" s="7"/>
      <c r="C485" s="7"/>
      <c r="D485" s="6" t="str">
        <f t="shared" si="98"/>
        <v/>
      </c>
      <c r="E485" s="8" t="str">
        <f t="shared" si="109"/>
        <v/>
      </c>
      <c r="F485" s="9" t="str">
        <f t="shared" si="110"/>
        <v/>
      </c>
      <c r="G485" s="9" t="str">
        <f t="shared" si="111"/>
        <v/>
      </c>
      <c r="H485" s="9" t="str">
        <f t="shared" si="99"/>
        <v/>
      </c>
      <c r="I485" t="str">
        <f t="shared" si="100"/>
        <v/>
      </c>
      <c r="J485" t="str">
        <f t="shared" si="108"/>
        <v/>
      </c>
      <c r="K485" t="str">
        <f>IF(I485="","",IF(J485&gt;=Parameters!$B$5,I485,"HOLD"))</f>
        <v/>
      </c>
      <c r="L485" s="11"/>
      <c r="M485" s="11"/>
      <c r="N485" s="12" t="str">
        <f t="shared" si="101"/>
        <v/>
      </c>
      <c r="O485" s="12" t="str">
        <f>IF(NOT(ISNUMBER(N485)),"",IF(K485="A",MIN(Parameters!$B$8,N485+Parameters!$B$6),IF(K485="B",MAX(Parameters!$B$7,N485-Parameters!$B$6),N485)))</f>
        <v/>
      </c>
      <c r="P485" s="13" t="str">
        <f t="shared" si="102"/>
        <v/>
      </c>
      <c r="Q485" s="13" t="str">
        <f t="shared" si="103"/>
        <v/>
      </c>
      <c r="R485" s="13" t="str">
        <f t="shared" si="104"/>
        <v/>
      </c>
      <c r="S485" s="13" t="str">
        <f t="shared" si="105"/>
        <v/>
      </c>
      <c r="T485" s="12" t="e">
        <f t="shared" si="106"/>
        <v>#VALUE!</v>
      </c>
      <c r="U485" t="str">
        <f t="shared" si="107"/>
        <v/>
      </c>
      <c r="V485" s="25" t="s">
        <v>98</v>
      </c>
    </row>
    <row r="486" spans="1:22">
      <c r="A486" s="14">
        <v>46580</v>
      </c>
      <c r="B486" s="7"/>
      <c r="C486" s="7"/>
      <c r="D486" s="16" t="str">
        <f t="shared" si="98"/>
        <v/>
      </c>
      <c r="E486" s="17" t="str">
        <f t="shared" si="109"/>
        <v/>
      </c>
      <c r="F486" s="18" t="str">
        <f t="shared" si="110"/>
        <v/>
      </c>
      <c r="G486" s="18" t="str">
        <f t="shared" si="111"/>
        <v/>
      </c>
      <c r="H486" s="18" t="str">
        <f t="shared" si="99"/>
        <v/>
      </c>
      <c r="I486" s="19" t="str">
        <f t="shared" si="100"/>
        <v/>
      </c>
      <c r="J486" s="19" t="str">
        <f t="shared" si="108"/>
        <v/>
      </c>
      <c r="K486" s="19" t="str">
        <f>IF(I486="","",IF(J486&gt;=Parameters!$B$5,I486,"HOLD"))</f>
        <v/>
      </c>
      <c r="L486" s="11"/>
      <c r="M486" s="11"/>
      <c r="N486" s="21" t="str">
        <f t="shared" si="101"/>
        <v/>
      </c>
      <c r="O486" s="21" t="str">
        <f>IF(NOT(ISNUMBER(N486)),"",IF(K486="A",MIN(Parameters!$B$8,N486+Parameters!$B$6),IF(K486="B",MAX(Parameters!$B$7,N486-Parameters!$B$6),N486)))</f>
        <v/>
      </c>
      <c r="P486" s="22" t="str">
        <f t="shared" si="102"/>
        <v/>
      </c>
      <c r="Q486" s="22" t="str">
        <f t="shared" si="103"/>
        <v/>
      </c>
      <c r="R486" s="22" t="str">
        <f t="shared" si="104"/>
        <v/>
      </c>
      <c r="S486" s="22" t="str">
        <f t="shared" si="105"/>
        <v/>
      </c>
      <c r="T486" s="21" t="e">
        <f t="shared" si="106"/>
        <v>#VALUE!</v>
      </c>
      <c r="U486" s="19" t="str">
        <f t="shared" si="107"/>
        <v/>
      </c>
      <c r="V486" s="35" t="s">
        <v>98</v>
      </c>
    </row>
    <row r="487" spans="1:22">
      <c r="A487" s="4">
        <v>46587</v>
      </c>
      <c r="B487" s="7"/>
      <c r="C487" s="7"/>
      <c r="D487" s="6" t="str">
        <f t="shared" si="98"/>
        <v/>
      </c>
      <c r="E487" s="8" t="str">
        <f t="shared" si="109"/>
        <v/>
      </c>
      <c r="F487" s="9" t="str">
        <f t="shared" si="110"/>
        <v/>
      </c>
      <c r="G487" s="9" t="str">
        <f t="shared" si="111"/>
        <v/>
      </c>
      <c r="H487" s="9" t="str">
        <f t="shared" si="99"/>
        <v/>
      </c>
      <c r="I487" t="str">
        <f t="shared" si="100"/>
        <v/>
      </c>
      <c r="J487" t="str">
        <f t="shared" si="108"/>
        <v/>
      </c>
      <c r="K487" t="str">
        <f>IF(I487="","",IF(J487&gt;=Parameters!$B$5,I487,"HOLD"))</f>
        <v/>
      </c>
      <c r="L487" s="11"/>
      <c r="M487" s="11"/>
      <c r="N487" s="12" t="str">
        <f t="shared" si="101"/>
        <v/>
      </c>
      <c r="O487" s="12" t="str">
        <f>IF(NOT(ISNUMBER(N487)),"",IF(K487="A",MIN(Parameters!$B$8,N487+Parameters!$B$6),IF(K487="B",MAX(Parameters!$B$7,N487-Parameters!$B$6),N487)))</f>
        <v/>
      </c>
      <c r="P487" s="13" t="str">
        <f t="shared" si="102"/>
        <v/>
      </c>
      <c r="Q487" s="13" t="str">
        <f t="shared" si="103"/>
        <v/>
      </c>
      <c r="R487" s="13" t="str">
        <f t="shared" si="104"/>
        <v/>
      </c>
      <c r="S487" s="13" t="str">
        <f t="shared" si="105"/>
        <v/>
      </c>
      <c r="T487" s="12" t="e">
        <f t="shared" si="106"/>
        <v>#VALUE!</v>
      </c>
      <c r="U487" t="str">
        <f t="shared" si="107"/>
        <v/>
      </c>
      <c r="V487" s="25" t="s">
        <v>98</v>
      </c>
    </row>
    <row r="488" spans="1:22">
      <c r="A488" s="14">
        <v>46594</v>
      </c>
      <c r="B488" s="7"/>
      <c r="C488" s="7"/>
      <c r="D488" s="16" t="str">
        <f t="shared" si="98"/>
        <v/>
      </c>
      <c r="E488" s="17" t="str">
        <f t="shared" si="109"/>
        <v/>
      </c>
      <c r="F488" s="18" t="str">
        <f t="shared" si="110"/>
        <v/>
      </c>
      <c r="G488" s="18" t="str">
        <f t="shared" si="111"/>
        <v/>
      </c>
      <c r="H488" s="18" t="str">
        <f t="shared" si="99"/>
        <v/>
      </c>
      <c r="I488" s="19" t="str">
        <f t="shared" si="100"/>
        <v/>
      </c>
      <c r="J488" s="19" t="str">
        <f t="shared" si="108"/>
        <v/>
      </c>
      <c r="K488" s="19" t="str">
        <f>IF(I488="","",IF(J488&gt;=Parameters!$B$5,I488,"HOLD"))</f>
        <v/>
      </c>
      <c r="L488" s="11"/>
      <c r="M488" s="11"/>
      <c r="N488" s="21" t="str">
        <f t="shared" si="101"/>
        <v/>
      </c>
      <c r="O488" s="21" t="str">
        <f>IF(NOT(ISNUMBER(N488)),"",IF(K488="A",MIN(Parameters!$B$8,N488+Parameters!$B$6),IF(K488="B",MAX(Parameters!$B$7,N488-Parameters!$B$6),N488)))</f>
        <v/>
      </c>
      <c r="P488" s="22" t="str">
        <f t="shared" si="102"/>
        <v/>
      </c>
      <c r="Q488" s="22" t="str">
        <f t="shared" si="103"/>
        <v/>
      </c>
      <c r="R488" s="22" t="str">
        <f t="shared" si="104"/>
        <v/>
      </c>
      <c r="S488" s="22" t="str">
        <f t="shared" si="105"/>
        <v/>
      </c>
      <c r="T488" s="21" t="e">
        <f t="shared" si="106"/>
        <v>#VALUE!</v>
      </c>
      <c r="U488" s="19" t="str">
        <f t="shared" si="107"/>
        <v/>
      </c>
      <c r="V488" s="35" t="s">
        <v>98</v>
      </c>
    </row>
    <row r="489" spans="1:22">
      <c r="A489" s="4">
        <v>46601</v>
      </c>
      <c r="B489" s="7"/>
      <c r="C489" s="7"/>
      <c r="D489" s="6" t="str">
        <f t="shared" si="98"/>
        <v/>
      </c>
      <c r="E489" s="8" t="str">
        <f t="shared" si="109"/>
        <v/>
      </c>
      <c r="F489" s="9" t="str">
        <f t="shared" si="110"/>
        <v/>
      </c>
      <c r="G489" s="9" t="str">
        <f t="shared" si="111"/>
        <v/>
      </c>
      <c r="H489" s="9" t="str">
        <f t="shared" si="99"/>
        <v/>
      </c>
      <c r="I489" t="str">
        <f t="shared" si="100"/>
        <v/>
      </c>
      <c r="J489" t="str">
        <f t="shared" si="108"/>
        <v/>
      </c>
      <c r="K489" t="str">
        <f>IF(I489="","",IF(J489&gt;=Parameters!$B$5,I489,"HOLD"))</f>
        <v/>
      </c>
      <c r="L489" s="11"/>
      <c r="M489" s="11"/>
      <c r="N489" s="12" t="str">
        <f t="shared" si="101"/>
        <v/>
      </c>
      <c r="O489" s="12" t="str">
        <f>IF(NOT(ISNUMBER(N489)),"",IF(K489="A",MIN(Parameters!$B$8,N489+Parameters!$B$6),IF(K489="B",MAX(Parameters!$B$7,N489-Parameters!$B$6),N489)))</f>
        <v/>
      </c>
      <c r="P489" s="13" t="str">
        <f t="shared" si="102"/>
        <v/>
      </c>
      <c r="Q489" s="13" t="str">
        <f t="shared" si="103"/>
        <v/>
      </c>
      <c r="R489" s="13" t="str">
        <f t="shared" si="104"/>
        <v/>
      </c>
      <c r="S489" s="13" t="str">
        <f t="shared" si="105"/>
        <v/>
      </c>
      <c r="T489" s="12" t="e">
        <f t="shared" si="106"/>
        <v>#VALUE!</v>
      </c>
      <c r="U489" t="str">
        <f t="shared" si="107"/>
        <v/>
      </c>
      <c r="V489" s="25" t="s">
        <v>98</v>
      </c>
    </row>
    <row r="490" spans="1:22">
      <c r="A490" s="14">
        <v>46608</v>
      </c>
      <c r="B490" s="7"/>
      <c r="C490" s="7"/>
      <c r="D490" s="16" t="str">
        <f t="shared" si="98"/>
        <v/>
      </c>
      <c r="E490" s="17" t="str">
        <f t="shared" si="109"/>
        <v/>
      </c>
      <c r="F490" s="18" t="str">
        <f t="shared" si="110"/>
        <v/>
      </c>
      <c r="G490" s="18" t="str">
        <f t="shared" si="111"/>
        <v/>
      </c>
      <c r="H490" s="18" t="str">
        <f t="shared" si="99"/>
        <v/>
      </c>
      <c r="I490" s="19" t="str">
        <f t="shared" si="100"/>
        <v/>
      </c>
      <c r="J490" s="19" t="str">
        <f t="shared" si="108"/>
        <v/>
      </c>
      <c r="K490" s="19" t="str">
        <f>IF(I490="","",IF(J490&gt;=Parameters!$B$5,I490,"HOLD"))</f>
        <v/>
      </c>
      <c r="L490" s="11"/>
      <c r="M490" s="11"/>
      <c r="N490" s="21" t="str">
        <f t="shared" si="101"/>
        <v/>
      </c>
      <c r="O490" s="21" t="str">
        <f>IF(NOT(ISNUMBER(N490)),"",IF(K490="A",MIN(Parameters!$B$8,N490+Parameters!$B$6),IF(K490="B",MAX(Parameters!$B$7,N490-Parameters!$B$6),N490)))</f>
        <v/>
      </c>
      <c r="P490" s="22" t="str">
        <f t="shared" si="102"/>
        <v/>
      </c>
      <c r="Q490" s="22" t="str">
        <f t="shared" si="103"/>
        <v/>
      </c>
      <c r="R490" s="22" t="str">
        <f t="shared" si="104"/>
        <v/>
      </c>
      <c r="S490" s="22" t="str">
        <f t="shared" si="105"/>
        <v/>
      </c>
      <c r="T490" s="21" t="e">
        <f t="shared" si="106"/>
        <v>#VALUE!</v>
      </c>
      <c r="U490" s="19" t="str">
        <f t="shared" si="107"/>
        <v/>
      </c>
      <c r="V490" s="35" t="s">
        <v>98</v>
      </c>
    </row>
    <row r="491" spans="1:22">
      <c r="A491" s="4">
        <v>46615</v>
      </c>
      <c r="B491" s="7"/>
      <c r="C491" s="7"/>
      <c r="D491" s="6" t="str">
        <f t="shared" si="98"/>
        <v/>
      </c>
      <c r="E491" s="8" t="str">
        <f t="shared" si="109"/>
        <v/>
      </c>
      <c r="F491" s="9" t="str">
        <f t="shared" si="110"/>
        <v/>
      </c>
      <c r="G491" s="9" t="str">
        <f t="shared" si="111"/>
        <v/>
      </c>
      <c r="H491" s="9" t="str">
        <f t="shared" si="99"/>
        <v/>
      </c>
      <c r="I491" t="str">
        <f t="shared" si="100"/>
        <v/>
      </c>
      <c r="J491" t="str">
        <f t="shared" si="108"/>
        <v/>
      </c>
      <c r="K491" t="str">
        <f>IF(I491="","",IF(J491&gt;=Parameters!$B$5,I491,"HOLD"))</f>
        <v/>
      </c>
      <c r="L491" s="11"/>
      <c r="M491" s="11"/>
      <c r="N491" s="12" t="str">
        <f t="shared" si="101"/>
        <v/>
      </c>
      <c r="O491" s="12" t="str">
        <f>IF(NOT(ISNUMBER(N491)),"",IF(K491="A",MIN(Parameters!$B$8,N491+Parameters!$B$6),IF(K491="B",MAX(Parameters!$B$7,N491-Parameters!$B$6),N491)))</f>
        <v/>
      </c>
      <c r="P491" s="13" t="str">
        <f t="shared" si="102"/>
        <v/>
      </c>
      <c r="Q491" s="13" t="str">
        <f t="shared" si="103"/>
        <v/>
      </c>
      <c r="R491" s="13" t="str">
        <f t="shared" si="104"/>
        <v/>
      </c>
      <c r="S491" s="13" t="str">
        <f t="shared" si="105"/>
        <v/>
      </c>
      <c r="T491" s="12" t="e">
        <f t="shared" si="106"/>
        <v>#VALUE!</v>
      </c>
      <c r="U491" t="str">
        <f t="shared" si="107"/>
        <v/>
      </c>
      <c r="V491" s="25" t="s">
        <v>98</v>
      </c>
    </row>
    <row r="492" spans="1:22">
      <c r="A492" s="14">
        <v>46622</v>
      </c>
      <c r="B492" s="7"/>
      <c r="C492" s="7"/>
      <c r="D492" s="16" t="str">
        <f t="shared" si="98"/>
        <v/>
      </c>
      <c r="E492" s="17" t="str">
        <f t="shared" si="109"/>
        <v/>
      </c>
      <c r="F492" s="18" t="str">
        <f t="shared" si="110"/>
        <v/>
      </c>
      <c r="G492" s="18" t="str">
        <f t="shared" si="111"/>
        <v/>
      </c>
      <c r="H492" s="18" t="str">
        <f t="shared" si="99"/>
        <v/>
      </c>
      <c r="I492" s="19" t="str">
        <f t="shared" si="100"/>
        <v/>
      </c>
      <c r="J492" s="19" t="str">
        <f t="shared" si="108"/>
        <v/>
      </c>
      <c r="K492" s="19" t="str">
        <f>IF(I492="","",IF(J492&gt;=Parameters!$B$5,I492,"HOLD"))</f>
        <v/>
      </c>
      <c r="L492" s="11"/>
      <c r="M492" s="11"/>
      <c r="N492" s="21" t="str">
        <f t="shared" si="101"/>
        <v/>
      </c>
      <c r="O492" s="21" t="str">
        <f>IF(NOT(ISNUMBER(N492)),"",IF(K492="A",MIN(Parameters!$B$8,N492+Parameters!$B$6),IF(K492="B",MAX(Parameters!$B$7,N492-Parameters!$B$6),N492)))</f>
        <v/>
      </c>
      <c r="P492" s="22" t="str">
        <f t="shared" si="102"/>
        <v/>
      </c>
      <c r="Q492" s="22" t="str">
        <f t="shared" si="103"/>
        <v/>
      </c>
      <c r="R492" s="22" t="str">
        <f t="shared" si="104"/>
        <v/>
      </c>
      <c r="S492" s="22" t="str">
        <f t="shared" si="105"/>
        <v/>
      </c>
      <c r="T492" s="21" t="e">
        <f t="shared" si="106"/>
        <v>#VALUE!</v>
      </c>
      <c r="U492" s="19" t="str">
        <f t="shared" si="107"/>
        <v/>
      </c>
      <c r="V492" s="35" t="s">
        <v>98</v>
      </c>
    </row>
    <row r="493" spans="1:22">
      <c r="A493" s="4">
        <v>46629</v>
      </c>
      <c r="B493" s="7"/>
      <c r="C493" s="7"/>
      <c r="D493" s="6" t="str">
        <f t="shared" si="98"/>
        <v/>
      </c>
      <c r="E493" s="8" t="str">
        <f t="shared" si="109"/>
        <v/>
      </c>
      <c r="F493" s="9" t="str">
        <f t="shared" si="110"/>
        <v/>
      </c>
      <c r="G493" s="9" t="str">
        <f t="shared" si="111"/>
        <v/>
      </c>
      <c r="H493" s="9" t="str">
        <f t="shared" si="99"/>
        <v/>
      </c>
      <c r="I493" t="str">
        <f t="shared" si="100"/>
        <v/>
      </c>
      <c r="J493" t="str">
        <f t="shared" si="108"/>
        <v/>
      </c>
      <c r="K493" t="str">
        <f>IF(I493="","",IF(J493&gt;=Parameters!$B$5,I493,"HOLD"))</f>
        <v/>
      </c>
      <c r="L493" s="11"/>
      <c r="M493" s="11"/>
      <c r="N493" s="12" t="str">
        <f t="shared" si="101"/>
        <v/>
      </c>
      <c r="O493" s="12" t="str">
        <f>IF(NOT(ISNUMBER(N493)),"",IF(K493="A",MIN(Parameters!$B$8,N493+Parameters!$B$6),IF(K493="B",MAX(Parameters!$B$7,N493-Parameters!$B$6),N493)))</f>
        <v/>
      </c>
      <c r="P493" s="13" t="str">
        <f t="shared" si="102"/>
        <v/>
      </c>
      <c r="Q493" s="13" t="str">
        <f t="shared" si="103"/>
        <v/>
      </c>
      <c r="R493" s="13" t="str">
        <f t="shared" si="104"/>
        <v/>
      </c>
      <c r="S493" s="13" t="str">
        <f t="shared" si="105"/>
        <v/>
      </c>
      <c r="T493" s="12" t="e">
        <f t="shared" si="106"/>
        <v>#VALUE!</v>
      </c>
      <c r="U493" t="str">
        <f t="shared" si="107"/>
        <v/>
      </c>
      <c r="V493" s="25" t="s">
        <v>98</v>
      </c>
    </row>
    <row r="494" spans="1:22">
      <c r="A494" s="14">
        <v>46636</v>
      </c>
      <c r="B494" s="7"/>
      <c r="C494" s="7"/>
      <c r="D494" s="16" t="str">
        <f t="shared" si="98"/>
        <v/>
      </c>
      <c r="E494" s="17" t="str">
        <f t="shared" si="109"/>
        <v/>
      </c>
      <c r="F494" s="18" t="str">
        <f t="shared" si="110"/>
        <v/>
      </c>
      <c r="G494" s="18" t="str">
        <f t="shared" si="111"/>
        <v/>
      </c>
      <c r="H494" s="18" t="str">
        <f t="shared" si="99"/>
        <v/>
      </c>
      <c r="I494" s="19" t="str">
        <f t="shared" si="100"/>
        <v/>
      </c>
      <c r="J494" s="19" t="str">
        <f t="shared" si="108"/>
        <v/>
      </c>
      <c r="K494" s="19" t="str">
        <f>IF(I494="","",IF(J494&gt;=Parameters!$B$5,I494,"HOLD"))</f>
        <v/>
      </c>
      <c r="L494" s="11"/>
      <c r="M494" s="11"/>
      <c r="N494" s="21" t="str">
        <f t="shared" si="101"/>
        <v/>
      </c>
      <c r="O494" s="21" t="str">
        <f>IF(NOT(ISNUMBER(N494)),"",IF(K494="A",MIN(Parameters!$B$8,N494+Parameters!$B$6),IF(K494="B",MAX(Parameters!$B$7,N494-Parameters!$B$6),N494)))</f>
        <v/>
      </c>
      <c r="P494" s="22" t="str">
        <f t="shared" si="102"/>
        <v/>
      </c>
      <c r="Q494" s="22" t="str">
        <f t="shared" si="103"/>
        <v/>
      </c>
      <c r="R494" s="22" t="str">
        <f t="shared" si="104"/>
        <v/>
      </c>
      <c r="S494" s="22" t="str">
        <f t="shared" si="105"/>
        <v/>
      </c>
      <c r="T494" s="21" t="e">
        <f t="shared" si="106"/>
        <v>#VALUE!</v>
      </c>
      <c r="U494" s="19" t="str">
        <f t="shared" si="107"/>
        <v/>
      </c>
      <c r="V494" s="35" t="s">
        <v>98</v>
      </c>
    </row>
    <row r="495" spans="1:22">
      <c r="A495" s="4">
        <v>46643</v>
      </c>
      <c r="B495" s="7"/>
      <c r="C495" s="7"/>
      <c r="D495" s="6" t="str">
        <f t="shared" si="98"/>
        <v/>
      </c>
      <c r="E495" s="8" t="str">
        <f t="shared" si="109"/>
        <v/>
      </c>
      <c r="F495" s="9" t="str">
        <f t="shared" si="110"/>
        <v/>
      </c>
      <c r="G495" s="9" t="str">
        <f t="shared" si="111"/>
        <v/>
      </c>
      <c r="H495" s="9" t="str">
        <f t="shared" si="99"/>
        <v/>
      </c>
      <c r="I495" t="str">
        <f t="shared" si="100"/>
        <v/>
      </c>
      <c r="J495" t="str">
        <f t="shared" si="108"/>
        <v/>
      </c>
      <c r="K495" t="str">
        <f>IF(I495="","",IF(J495&gt;=Parameters!$B$5,I495,"HOLD"))</f>
        <v/>
      </c>
      <c r="L495" s="11"/>
      <c r="M495" s="11"/>
      <c r="N495" s="12" t="str">
        <f t="shared" si="101"/>
        <v/>
      </c>
      <c r="O495" s="12" t="str">
        <f>IF(NOT(ISNUMBER(N495)),"",IF(K495="A",MIN(Parameters!$B$8,N495+Parameters!$B$6),IF(K495="B",MAX(Parameters!$B$7,N495-Parameters!$B$6),N495)))</f>
        <v/>
      </c>
      <c r="P495" s="13" t="str">
        <f t="shared" si="102"/>
        <v/>
      </c>
      <c r="Q495" s="13" t="str">
        <f t="shared" si="103"/>
        <v/>
      </c>
      <c r="R495" s="13" t="str">
        <f t="shared" si="104"/>
        <v/>
      </c>
      <c r="S495" s="13" t="str">
        <f t="shared" si="105"/>
        <v/>
      </c>
      <c r="T495" s="12" t="e">
        <f t="shared" si="106"/>
        <v>#VALUE!</v>
      </c>
      <c r="U495" t="str">
        <f t="shared" si="107"/>
        <v/>
      </c>
      <c r="V495" s="25" t="s">
        <v>98</v>
      </c>
    </row>
    <row r="496" spans="1:22">
      <c r="A496" s="14">
        <v>46650</v>
      </c>
      <c r="B496" s="7"/>
      <c r="C496" s="7"/>
      <c r="D496" s="16" t="str">
        <f t="shared" si="98"/>
        <v/>
      </c>
      <c r="E496" s="17" t="str">
        <f t="shared" si="109"/>
        <v/>
      </c>
      <c r="F496" s="18" t="str">
        <f t="shared" si="110"/>
        <v/>
      </c>
      <c r="G496" s="18" t="str">
        <f t="shared" si="111"/>
        <v/>
      </c>
      <c r="H496" s="18" t="str">
        <f t="shared" si="99"/>
        <v/>
      </c>
      <c r="I496" s="19" t="str">
        <f t="shared" si="100"/>
        <v/>
      </c>
      <c r="J496" s="19" t="str">
        <f t="shared" si="108"/>
        <v/>
      </c>
      <c r="K496" s="19" t="str">
        <f>IF(I496="","",IF(J496&gt;=Parameters!$B$5,I496,"HOLD"))</f>
        <v/>
      </c>
      <c r="L496" s="11"/>
      <c r="M496" s="11"/>
      <c r="N496" s="21" t="str">
        <f t="shared" si="101"/>
        <v/>
      </c>
      <c r="O496" s="21" t="str">
        <f>IF(NOT(ISNUMBER(N496)),"",IF(K496="A",MIN(Parameters!$B$8,N496+Parameters!$B$6),IF(K496="B",MAX(Parameters!$B$7,N496-Parameters!$B$6),N496)))</f>
        <v/>
      </c>
      <c r="P496" s="22" t="str">
        <f t="shared" si="102"/>
        <v/>
      </c>
      <c r="Q496" s="22" t="str">
        <f t="shared" si="103"/>
        <v/>
      </c>
      <c r="R496" s="22" t="str">
        <f t="shared" si="104"/>
        <v/>
      </c>
      <c r="S496" s="22" t="str">
        <f t="shared" si="105"/>
        <v/>
      </c>
      <c r="T496" s="21" t="e">
        <f t="shared" si="106"/>
        <v>#VALUE!</v>
      </c>
      <c r="U496" s="19" t="str">
        <f t="shared" si="107"/>
        <v/>
      </c>
      <c r="V496" s="35" t="s">
        <v>98</v>
      </c>
    </row>
    <row r="497" spans="1:22">
      <c r="A497" s="4">
        <v>46657</v>
      </c>
      <c r="B497" s="7"/>
      <c r="C497" s="7"/>
      <c r="D497" s="6" t="str">
        <f t="shared" si="98"/>
        <v/>
      </c>
      <c r="E497" s="8" t="str">
        <f t="shared" si="109"/>
        <v/>
      </c>
      <c r="F497" s="9" t="str">
        <f t="shared" si="110"/>
        <v/>
      </c>
      <c r="G497" s="9" t="str">
        <f t="shared" si="111"/>
        <v/>
      </c>
      <c r="H497" s="9" t="str">
        <f t="shared" si="99"/>
        <v/>
      </c>
      <c r="I497" t="str">
        <f t="shared" si="100"/>
        <v/>
      </c>
      <c r="J497" t="str">
        <f t="shared" si="108"/>
        <v/>
      </c>
      <c r="K497" t="str">
        <f>IF(I497="","",IF(J497&gt;=Parameters!$B$5,I497,"HOLD"))</f>
        <v/>
      </c>
      <c r="L497" s="11"/>
      <c r="M497" s="11"/>
      <c r="N497" s="12" t="str">
        <f t="shared" si="101"/>
        <v/>
      </c>
      <c r="O497" s="12" t="str">
        <f>IF(NOT(ISNUMBER(N497)),"",IF(K497="A",MIN(Parameters!$B$8,N497+Parameters!$B$6),IF(K497="B",MAX(Parameters!$B$7,N497-Parameters!$B$6),N497)))</f>
        <v/>
      </c>
      <c r="P497" s="13" t="str">
        <f t="shared" si="102"/>
        <v/>
      </c>
      <c r="Q497" s="13" t="str">
        <f t="shared" si="103"/>
        <v/>
      </c>
      <c r="R497" s="13" t="str">
        <f t="shared" si="104"/>
        <v/>
      </c>
      <c r="S497" s="13" t="str">
        <f t="shared" si="105"/>
        <v/>
      </c>
      <c r="T497" s="12" t="e">
        <f t="shared" si="106"/>
        <v>#VALUE!</v>
      </c>
      <c r="U497" t="str">
        <f t="shared" si="107"/>
        <v/>
      </c>
      <c r="V497" s="25" t="s">
        <v>98</v>
      </c>
    </row>
    <row r="498" spans="1:22">
      <c r="A498" s="14">
        <v>46664</v>
      </c>
      <c r="B498" s="7"/>
      <c r="C498" s="7"/>
      <c r="D498" s="16" t="str">
        <f t="shared" si="98"/>
        <v/>
      </c>
      <c r="E498" s="17" t="str">
        <f t="shared" si="109"/>
        <v/>
      </c>
      <c r="F498" s="18" t="str">
        <f t="shared" si="110"/>
        <v/>
      </c>
      <c r="G498" s="18" t="str">
        <f t="shared" si="111"/>
        <v/>
      </c>
      <c r="H498" s="18" t="str">
        <f t="shared" si="99"/>
        <v/>
      </c>
      <c r="I498" s="19" t="str">
        <f t="shared" si="100"/>
        <v/>
      </c>
      <c r="J498" s="19" t="str">
        <f t="shared" si="108"/>
        <v/>
      </c>
      <c r="K498" s="19" t="str">
        <f>IF(I498="","",IF(J498&gt;=Parameters!$B$5,I498,"HOLD"))</f>
        <v/>
      </c>
      <c r="L498" s="11"/>
      <c r="M498" s="11"/>
      <c r="N498" s="21" t="str">
        <f t="shared" si="101"/>
        <v/>
      </c>
      <c r="O498" s="21" t="str">
        <f>IF(NOT(ISNUMBER(N498)),"",IF(K498="A",MIN(Parameters!$B$8,N498+Parameters!$B$6),IF(K498="B",MAX(Parameters!$B$7,N498-Parameters!$B$6),N498)))</f>
        <v/>
      </c>
      <c r="P498" s="22" t="str">
        <f t="shared" si="102"/>
        <v/>
      </c>
      <c r="Q498" s="22" t="str">
        <f t="shared" si="103"/>
        <v/>
      </c>
      <c r="R498" s="22" t="str">
        <f t="shared" si="104"/>
        <v/>
      </c>
      <c r="S498" s="22" t="str">
        <f t="shared" si="105"/>
        <v/>
      </c>
      <c r="T498" s="21" t="e">
        <f t="shared" si="106"/>
        <v>#VALUE!</v>
      </c>
      <c r="U498" s="19" t="str">
        <f t="shared" si="107"/>
        <v/>
      </c>
      <c r="V498" s="35" t="s">
        <v>98</v>
      </c>
    </row>
    <row r="499" spans="1:22">
      <c r="A499" s="4">
        <v>46671</v>
      </c>
      <c r="B499" s="7"/>
      <c r="C499" s="7"/>
      <c r="D499" s="6" t="str">
        <f t="shared" si="98"/>
        <v/>
      </c>
      <c r="E499" s="8" t="str">
        <f t="shared" si="109"/>
        <v/>
      </c>
      <c r="F499" s="9" t="str">
        <f t="shared" si="110"/>
        <v/>
      </c>
      <c r="G499" s="9" t="str">
        <f t="shared" si="111"/>
        <v/>
      </c>
      <c r="H499" s="9" t="str">
        <f t="shared" si="99"/>
        <v/>
      </c>
      <c r="I499" t="str">
        <f t="shared" si="100"/>
        <v/>
      </c>
      <c r="J499" t="str">
        <f t="shared" si="108"/>
        <v/>
      </c>
      <c r="K499" t="str">
        <f>IF(I499="","",IF(J499&gt;=Parameters!$B$5,I499,"HOLD"))</f>
        <v/>
      </c>
      <c r="L499" s="11"/>
      <c r="M499" s="11"/>
      <c r="N499" s="12" t="str">
        <f t="shared" si="101"/>
        <v/>
      </c>
      <c r="O499" s="12" t="str">
        <f>IF(NOT(ISNUMBER(N499)),"",IF(K499="A",MIN(Parameters!$B$8,N499+Parameters!$B$6),IF(K499="B",MAX(Parameters!$B$7,N499-Parameters!$B$6),N499)))</f>
        <v/>
      </c>
      <c r="P499" s="13" t="str">
        <f t="shared" si="102"/>
        <v/>
      </c>
      <c r="Q499" s="13" t="str">
        <f t="shared" si="103"/>
        <v/>
      </c>
      <c r="R499" s="13" t="str">
        <f t="shared" si="104"/>
        <v/>
      </c>
      <c r="S499" s="13" t="str">
        <f t="shared" si="105"/>
        <v/>
      </c>
      <c r="T499" s="12" t="e">
        <f t="shared" si="106"/>
        <v>#VALUE!</v>
      </c>
      <c r="U499" t="str">
        <f t="shared" si="107"/>
        <v/>
      </c>
      <c r="V499" s="25" t="s">
        <v>98</v>
      </c>
    </row>
    <row r="500" spans="1:22">
      <c r="A500" s="14">
        <v>46678</v>
      </c>
      <c r="B500" s="7"/>
      <c r="C500" s="7"/>
      <c r="D500" s="16" t="str">
        <f t="shared" si="98"/>
        <v/>
      </c>
      <c r="E500" s="17" t="str">
        <f t="shared" si="109"/>
        <v/>
      </c>
      <c r="F500" s="18" t="str">
        <f t="shared" si="110"/>
        <v/>
      </c>
      <c r="G500" s="18" t="str">
        <f t="shared" si="111"/>
        <v/>
      </c>
      <c r="H500" s="18" t="str">
        <f t="shared" si="99"/>
        <v/>
      </c>
      <c r="I500" s="19" t="str">
        <f t="shared" si="100"/>
        <v/>
      </c>
      <c r="J500" s="19" t="str">
        <f t="shared" si="108"/>
        <v/>
      </c>
      <c r="K500" s="19" t="str">
        <f>IF(I500="","",IF(J500&gt;=Parameters!$B$5,I500,"HOLD"))</f>
        <v/>
      </c>
      <c r="L500" s="11"/>
      <c r="M500" s="11"/>
      <c r="N500" s="21" t="str">
        <f t="shared" si="101"/>
        <v/>
      </c>
      <c r="O500" s="21" t="str">
        <f>IF(NOT(ISNUMBER(N500)),"",IF(K500="A",MIN(Parameters!$B$8,N500+Parameters!$B$6),IF(K500="B",MAX(Parameters!$B$7,N500-Parameters!$B$6),N500)))</f>
        <v/>
      </c>
      <c r="P500" s="22" t="str">
        <f t="shared" si="102"/>
        <v/>
      </c>
      <c r="Q500" s="22" t="str">
        <f t="shared" si="103"/>
        <v/>
      </c>
      <c r="R500" s="22" t="str">
        <f t="shared" si="104"/>
        <v/>
      </c>
      <c r="S500" s="22" t="str">
        <f t="shared" si="105"/>
        <v/>
      </c>
      <c r="T500" s="21" t="e">
        <f t="shared" si="106"/>
        <v>#VALUE!</v>
      </c>
      <c r="U500" s="19" t="str">
        <f t="shared" si="107"/>
        <v/>
      </c>
      <c r="V500" s="35" t="s">
        <v>98</v>
      </c>
    </row>
    <row r="501" spans="1:22">
      <c r="A501" s="4">
        <v>46685</v>
      </c>
      <c r="B501" s="7"/>
      <c r="C501" s="7"/>
      <c r="D501" s="6" t="str">
        <f t="shared" si="98"/>
        <v/>
      </c>
      <c r="E501" s="8" t="str">
        <f t="shared" si="109"/>
        <v/>
      </c>
      <c r="F501" s="9" t="str">
        <f t="shared" si="110"/>
        <v/>
      </c>
      <c r="G501" s="9" t="str">
        <f t="shared" si="111"/>
        <v/>
      </c>
      <c r="H501" s="9" t="str">
        <f t="shared" si="99"/>
        <v/>
      </c>
      <c r="I501" t="str">
        <f t="shared" si="100"/>
        <v/>
      </c>
      <c r="J501" t="str">
        <f t="shared" si="108"/>
        <v/>
      </c>
      <c r="K501" t="str">
        <f>IF(I501="","",IF(J501&gt;=Parameters!$B$5,I501,"HOLD"))</f>
        <v/>
      </c>
      <c r="L501" s="11"/>
      <c r="M501" s="11"/>
      <c r="N501" s="12" t="str">
        <f t="shared" si="101"/>
        <v/>
      </c>
      <c r="O501" s="12" t="str">
        <f>IF(NOT(ISNUMBER(N501)),"",IF(K501="A",MIN(Parameters!$B$8,N501+Parameters!$B$6),IF(K501="B",MAX(Parameters!$B$7,N501-Parameters!$B$6),N501)))</f>
        <v/>
      </c>
      <c r="P501" s="13" t="str">
        <f t="shared" si="102"/>
        <v/>
      </c>
      <c r="Q501" s="13" t="str">
        <f t="shared" si="103"/>
        <v/>
      </c>
      <c r="R501" s="13" t="str">
        <f t="shared" si="104"/>
        <v/>
      </c>
      <c r="S501" s="13" t="str">
        <f t="shared" si="105"/>
        <v/>
      </c>
      <c r="T501" s="12" t="e">
        <f t="shared" si="106"/>
        <v>#VALUE!</v>
      </c>
      <c r="U501" t="str">
        <f t="shared" si="107"/>
        <v/>
      </c>
      <c r="V501" s="25" t="s">
        <v>98</v>
      </c>
    </row>
    <row r="502" spans="1:22">
      <c r="A502" s="14">
        <v>46692</v>
      </c>
      <c r="B502" s="7"/>
      <c r="C502" s="7"/>
      <c r="D502" s="16" t="str">
        <f t="shared" si="98"/>
        <v/>
      </c>
      <c r="E502" s="17" t="str">
        <f t="shared" si="109"/>
        <v/>
      </c>
      <c r="F502" s="18" t="str">
        <f t="shared" si="110"/>
        <v/>
      </c>
      <c r="G502" s="18" t="str">
        <f t="shared" si="111"/>
        <v/>
      </c>
      <c r="H502" s="18" t="str">
        <f t="shared" si="99"/>
        <v/>
      </c>
      <c r="I502" s="19" t="str">
        <f t="shared" si="100"/>
        <v/>
      </c>
      <c r="J502" s="19" t="str">
        <f t="shared" si="108"/>
        <v/>
      </c>
      <c r="K502" s="19" t="str">
        <f>IF(I502="","",IF(J502&gt;=Parameters!$B$5,I502,"HOLD"))</f>
        <v/>
      </c>
      <c r="L502" s="11"/>
      <c r="M502" s="11"/>
      <c r="N502" s="21" t="str">
        <f t="shared" si="101"/>
        <v/>
      </c>
      <c r="O502" s="21" t="str">
        <f>IF(NOT(ISNUMBER(N502)),"",IF(K502="A",MIN(Parameters!$B$8,N502+Parameters!$B$6),IF(K502="B",MAX(Parameters!$B$7,N502-Parameters!$B$6),N502)))</f>
        <v/>
      </c>
      <c r="P502" s="22" t="str">
        <f t="shared" si="102"/>
        <v/>
      </c>
      <c r="Q502" s="22" t="str">
        <f t="shared" si="103"/>
        <v/>
      </c>
      <c r="R502" s="22" t="str">
        <f t="shared" si="104"/>
        <v/>
      </c>
      <c r="S502" s="22" t="str">
        <f t="shared" si="105"/>
        <v/>
      </c>
      <c r="T502" s="21" t="e">
        <f t="shared" si="106"/>
        <v>#VALUE!</v>
      </c>
      <c r="U502" s="19" t="str">
        <f t="shared" si="107"/>
        <v/>
      </c>
      <c r="V502" s="35" t="s">
        <v>98</v>
      </c>
    </row>
    <row r="503" spans="1:22">
      <c r="A503" s="4">
        <v>46699</v>
      </c>
      <c r="B503" s="7"/>
      <c r="C503" s="7"/>
      <c r="D503" s="6" t="str">
        <f t="shared" si="98"/>
        <v/>
      </c>
      <c r="E503" s="8" t="str">
        <f t="shared" si="109"/>
        <v/>
      </c>
      <c r="F503" s="9" t="str">
        <f t="shared" si="110"/>
        <v/>
      </c>
      <c r="G503" s="9" t="str">
        <f t="shared" si="111"/>
        <v/>
      </c>
      <c r="H503" s="9" t="str">
        <f t="shared" si="99"/>
        <v/>
      </c>
      <c r="I503" t="str">
        <f t="shared" si="100"/>
        <v/>
      </c>
      <c r="J503" t="str">
        <f t="shared" si="108"/>
        <v/>
      </c>
      <c r="K503" t="str">
        <f>IF(I503="","",IF(J503&gt;=Parameters!$B$5,I503,"HOLD"))</f>
        <v/>
      </c>
      <c r="L503" s="11"/>
      <c r="M503" s="11"/>
      <c r="N503" s="12" t="str">
        <f t="shared" si="101"/>
        <v/>
      </c>
      <c r="O503" s="12" t="str">
        <f>IF(NOT(ISNUMBER(N503)),"",IF(K503="A",MIN(Parameters!$B$8,N503+Parameters!$B$6),IF(K503="B",MAX(Parameters!$B$7,N503-Parameters!$B$6),N503)))</f>
        <v/>
      </c>
      <c r="P503" s="13" t="str">
        <f t="shared" si="102"/>
        <v/>
      </c>
      <c r="Q503" s="13" t="str">
        <f t="shared" si="103"/>
        <v/>
      </c>
      <c r="R503" s="13" t="str">
        <f t="shared" si="104"/>
        <v/>
      </c>
      <c r="S503" s="13" t="str">
        <f t="shared" si="105"/>
        <v/>
      </c>
      <c r="T503" s="12" t="e">
        <f t="shared" si="106"/>
        <v>#VALUE!</v>
      </c>
      <c r="U503" t="str">
        <f t="shared" si="107"/>
        <v/>
      </c>
      <c r="V503" s="25" t="s">
        <v>98</v>
      </c>
    </row>
    <row r="504" spans="1:22">
      <c r="A504" s="14">
        <v>46706</v>
      </c>
      <c r="B504" s="7"/>
      <c r="C504" s="7"/>
      <c r="D504" s="16" t="str">
        <f t="shared" si="98"/>
        <v/>
      </c>
      <c r="E504" s="17" t="str">
        <f t="shared" si="109"/>
        <v/>
      </c>
      <c r="F504" s="18" t="str">
        <f t="shared" si="110"/>
        <v/>
      </c>
      <c r="G504" s="18" t="str">
        <f t="shared" si="111"/>
        <v/>
      </c>
      <c r="H504" s="18" t="str">
        <f t="shared" si="99"/>
        <v/>
      </c>
      <c r="I504" s="19" t="str">
        <f t="shared" si="100"/>
        <v/>
      </c>
      <c r="J504" s="19" t="str">
        <f t="shared" si="108"/>
        <v/>
      </c>
      <c r="K504" s="19" t="str">
        <f>IF(I504="","",IF(J504&gt;=Parameters!$B$5,I504,"HOLD"))</f>
        <v/>
      </c>
      <c r="L504" s="11"/>
      <c r="M504" s="11"/>
      <c r="N504" s="21" t="str">
        <f t="shared" si="101"/>
        <v/>
      </c>
      <c r="O504" s="21" t="str">
        <f>IF(NOT(ISNUMBER(N504)),"",IF(K504="A",MIN(Parameters!$B$8,N504+Parameters!$B$6),IF(K504="B",MAX(Parameters!$B$7,N504-Parameters!$B$6),N504)))</f>
        <v/>
      </c>
      <c r="P504" s="22" t="str">
        <f t="shared" si="102"/>
        <v/>
      </c>
      <c r="Q504" s="22" t="str">
        <f t="shared" si="103"/>
        <v/>
      </c>
      <c r="R504" s="22" t="str">
        <f t="shared" si="104"/>
        <v/>
      </c>
      <c r="S504" s="22" t="str">
        <f t="shared" si="105"/>
        <v/>
      </c>
      <c r="T504" s="21" t="e">
        <f t="shared" si="106"/>
        <v>#VALUE!</v>
      </c>
      <c r="U504" s="19" t="str">
        <f t="shared" si="107"/>
        <v/>
      </c>
      <c r="V504" s="35" t="s">
        <v>98</v>
      </c>
    </row>
    <row r="505" spans="1:22">
      <c r="A505" s="4">
        <v>46713</v>
      </c>
      <c r="B505" s="7"/>
      <c r="C505" s="7"/>
      <c r="D505" s="6" t="str">
        <f t="shared" si="98"/>
        <v/>
      </c>
      <c r="E505" s="8" t="str">
        <f t="shared" si="109"/>
        <v/>
      </c>
      <c r="F505" s="9" t="str">
        <f t="shared" si="110"/>
        <v/>
      </c>
      <c r="G505" s="9" t="str">
        <f t="shared" si="111"/>
        <v/>
      </c>
      <c r="H505" s="9" t="str">
        <f t="shared" si="99"/>
        <v/>
      </c>
      <c r="I505" t="str">
        <f t="shared" si="100"/>
        <v/>
      </c>
      <c r="J505" t="str">
        <f t="shared" si="108"/>
        <v/>
      </c>
      <c r="K505" t="str">
        <f>IF(I505="","",IF(J505&gt;=Parameters!$B$5,I505,"HOLD"))</f>
        <v/>
      </c>
      <c r="L505" s="11"/>
      <c r="M505" s="11"/>
      <c r="N505" s="12" t="str">
        <f t="shared" si="101"/>
        <v/>
      </c>
      <c r="O505" s="12" t="str">
        <f>IF(NOT(ISNUMBER(N505)),"",IF(K505="A",MIN(Parameters!$B$8,N505+Parameters!$B$6),IF(K505="B",MAX(Parameters!$B$7,N505-Parameters!$B$6),N505)))</f>
        <v/>
      </c>
      <c r="P505" s="13" t="str">
        <f t="shared" si="102"/>
        <v/>
      </c>
      <c r="Q505" s="13" t="str">
        <f t="shared" si="103"/>
        <v/>
      </c>
      <c r="R505" s="13" t="str">
        <f t="shared" si="104"/>
        <v/>
      </c>
      <c r="S505" s="13" t="str">
        <f t="shared" si="105"/>
        <v/>
      </c>
      <c r="T505" s="12" t="e">
        <f t="shared" si="106"/>
        <v>#VALUE!</v>
      </c>
      <c r="U505" t="str">
        <f t="shared" si="107"/>
        <v/>
      </c>
      <c r="V505" s="25" t="s">
        <v>98</v>
      </c>
    </row>
    <row r="506" spans="1:22">
      <c r="A506" s="14">
        <v>46720</v>
      </c>
      <c r="B506" s="7"/>
      <c r="C506" s="7"/>
      <c r="D506" s="16" t="str">
        <f t="shared" si="98"/>
        <v/>
      </c>
      <c r="E506" s="17" t="str">
        <f t="shared" si="109"/>
        <v/>
      </c>
      <c r="F506" s="18" t="str">
        <f t="shared" si="110"/>
        <v/>
      </c>
      <c r="G506" s="18" t="str">
        <f t="shared" si="111"/>
        <v/>
      </c>
      <c r="H506" s="18" t="str">
        <f t="shared" si="99"/>
        <v/>
      </c>
      <c r="I506" s="19" t="str">
        <f t="shared" si="100"/>
        <v/>
      </c>
      <c r="J506" s="19" t="str">
        <f t="shared" si="108"/>
        <v/>
      </c>
      <c r="K506" s="19" t="str">
        <f>IF(I506="","",IF(J506&gt;=Parameters!$B$5,I506,"HOLD"))</f>
        <v/>
      </c>
      <c r="L506" s="11"/>
      <c r="M506" s="11"/>
      <c r="N506" s="21" t="str">
        <f t="shared" si="101"/>
        <v/>
      </c>
      <c r="O506" s="21" t="str">
        <f>IF(NOT(ISNUMBER(N506)),"",IF(K506="A",MIN(Parameters!$B$8,N506+Parameters!$B$6),IF(K506="B",MAX(Parameters!$B$7,N506-Parameters!$B$6),N506)))</f>
        <v/>
      </c>
      <c r="P506" s="22" t="str">
        <f t="shared" si="102"/>
        <v/>
      </c>
      <c r="Q506" s="22" t="str">
        <f t="shared" si="103"/>
        <v/>
      </c>
      <c r="R506" s="22" t="str">
        <f t="shared" si="104"/>
        <v/>
      </c>
      <c r="S506" s="22" t="str">
        <f t="shared" si="105"/>
        <v/>
      </c>
      <c r="T506" s="21" t="e">
        <f t="shared" si="106"/>
        <v>#VALUE!</v>
      </c>
      <c r="U506" s="19" t="str">
        <f t="shared" si="107"/>
        <v/>
      </c>
      <c r="V506" s="35" t="s">
        <v>98</v>
      </c>
    </row>
    <row r="507" spans="1:22">
      <c r="A507" s="4">
        <v>46727</v>
      </c>
      <c r="B507" s="7"/>
      <c r="C507" s="7"/>
      <c r="D507" s="6" t="str">
        <f t="shared" si="98"/>
        <v/>
      </c>
      <c r="E507" s="8" t="str">
        <f t="shared" si="109"/>
        <v/>
      </c>
      <c r="F507" s="9" t="str">
        <f t="shared" si="110"/>
        <v/>
      </c>
      <c r="G507" s="9" t="str">
        <f t="shared" si="111"/>
        <v/>
      </c>
      <c r="H507" s="9" t="str">
        <f t="shared" si="99"/>
        <v/>
      </c>
      <c r="I507" t="str">
        <f t="shared" si="100"/>
        <v/>
      </c>
      <c r="J507" t="str">
        <f t="shared" si="108"/>
        <v/>
      </c>
      <c r="K507" t="str">
        <f>IF(I507="","",IF(J507&gt;=Parameters!$B$5,I507,"HOLD"))</f>
        <v/>
      </c>
      <c r="L507" s="11"/>
      <c r="M507" s="11"/>
      <c r="N507" s="12" t="str">
        <f t="shared" si="101"/>
        <v/>
      </c>
      <c r="O507" s="12" t="str">
        <f>IF(NOT(ISNUMBER(N507)),"",IF(K507="A",MIN(Parameters!$B$8,N507+Parameters!$B$6),IF(K507="B",MAX(Parameters!$B$7,N507-Parameters!$B$6),N507)))</f>
        <v/>
      </c>
      <c r="P507" s="13" t="str">
        <f t="shared" si="102"/>
        <v/>
      </c>
      <c r="Q507" s="13" t="str">
        <f t="shared" si="103"/>
        <v/>
      </c>
      <c r="R507" s="13" t="str">
        <f t="shared" si="104"/>
        <v/>
      </c>
      <c r="S507" s="13" t="str">
        <f t="shared" si="105"/>
        <v/>
      </c>
      <c r="T507" s="12" t="e">
        <f t="shared" si="106"/>
        <v>#VALUE!</v>
      </c>
      <c r="U507" t="str">
        <f t="shared" si="107"/>
        <v/>
      </c>
      <c r="V507" s="25" t="s">
        <v>98</v>
      </c>
    </row>
    <row r="508" spans="1:22">
      <c r="A508" s="14">
        <v>46734</v>
      </c>
      <c r="B508" s="7"/>
      <c r="C508" s="7"/>
      <c r="D508" s="16" t="str">
        <f t="shared" si="98"/>
        <v/>
      </c>
      <c r="E508" s="17" t="str">
        <f t="shared" si="109"/>
        <v/>
      </c>
      <c r="F508" s="18" t="str">
        <f t="shared" si="110"/>
        <v/>
      </c>
      <c r="G508" s="18" t="str">
        <f t="shared" si="111"/>
        <v/>
      </c>
      <c r="H508" s="18" t="str">
        <f t="shared" si="99"/>
        <v/>
      </c>
      <c r="I508" s="19" t="str">
        <f t="shared" si="100"/>
        <v/>
      </c>
      <c r="J508" s="19" t="str">
        <f t="shared" si="108"/>
        <v/>
      </c>
      <c r="K508" s="19" t="str">
        <f>IF(I508="","",IF(J508&gt;=Parameters!$B$5,I508,"HOLD"))</f>
        <v/>
      </c>
      <c r="L508" s="11"/>
      <c r="M508" s="11"/>
      <c r="N508" s="21" t="str">
        <f t="shared" si="101"/>
        <v/>
      </c>
      <c r="O508" s="21" t="str">
        <f>IF(NOT(ISNUMBER(N508)),"",IF(K508="A",MIN(Parameters!$B$8,N508+Parameters!$B$6),IF(K508="B",MAX(Parameters!$B$7,N508-Parameters!$B$6),N508)))</f>
        <v/>
      </c>
      <c r="P508" s="22" t="str">
        <f t="shared" si="102"/>
        <v/>
      </c>
      <c r="Q508" s="22" t="str">
        <f t="shared" si="103"/>
        <v/>
      </c>
      <c r="R508" s="22" t="str">
        <f t="shared" si="104"/>
        <v/>
      </c>
      <c r="S508" s="22" t="str">
        <f t="shared" si="105"/>
        <v/>
      </c>
      <c r="T508" s="21" t="e">
        <f t="shared" si="106"/>
        <v>#VALUE!</v>
      </c>
      <c r="U508" s="19" t="str">
        <f t="shared" si="107"/>
        <v/>
      </c>
      <c r="V508" s="35" t="s">
        <v>98</v>
      </c>
    </row>
    <row r="509" spans="1:22">
      <c r="A509" s="4">
        <v>46741</v>
      </c>
      <c r="B509" s="7"/>
      <c r="C509" s="7"/>
      <c r="D509" s="6" t="str">
        <f t="shared" si="98"/>
        <v/>
      </c>
      <c r="E509" s="8" t="str">
        <f t="shared" si="109"/>
        <v/>
      </c>
      <c r="F509" s="9" t="str">
        <f t="shared" si="110"/>
        <v/>
      </c>
      <c r="G509" s="9" t="str">
        <f t="shared" si="111"/>
        <v/>
      </c>
      <c r="H509" s="9" t="str">
        <f t="shared" si="99"/>
        <v/>
      </c>
      <c r="I509" t="str">
        <f t="shared" si="100"/>
        <v/>
      </c>
      <c r="J509" t="str">
        <f t="shared" si="108"/>
        <v/>
      </c>
      <c r="K509" t="str">
        <f>IF(I509="","",IF(J509&gt;=Parameters!$B$5,I509,"HOLD"))</f>
        <v/>
      </c>
      <c r="L509" s="11"/>
      <c r="M509" s="11"/>
      <c r="N509" s="12" t="str">
        <f t="shared" si="101"/>
        <v/>
      </c>
      <c r="O509" s="12" t="str">
        <f>IF(NOT(ISNUMBER(N509)),"",IF(K509="A",MIN(Parameters!$B$8,N509+Parameters!$B$6),IF(K509="B",MAX(Parameters!$B$7,N509-Parameters!$B$6),N509)))</f>
        <v/>
      </c>
      <c r="P509" s="13" t="str">
        <f t="shared" si="102"/>
        <v/>
      </c>
      <c r="Q509" s="13" t="str">
        <f t="shared" si="103"/>
        <v/>
      </c>
      <c r="R509" s="13" t="str">
        <f t="shared" si="104"/>
        <v/>
      </c>
      <c r="S509" s="13" t="str">
        <f t="shared" si="105"/>
        <v/>
      </c>
      <c r="T509" s="12" t="e">
        <f t="shared" si="106"/>
        <v>#VALUE!</v>
      </c>
      <c r="U509" t="str">
        <f t="shared" si="107"/>
        <v/>
      </c>
      <c r="V509" s="25" t="s">
        <v>98</v>
      </c>
    </row>
    <row r="510" spans="1:22">
      <c r="A510" s="14">
        <v>46748</v>
      </c>
      <c r="B510" s="7"/>
      <c r="C510" s="7"/>
      <c r="D510" s="16" t="str">
        <f t="shared" si="98"/>
        <v/>
      </c>
      <c r="E510" s="17" t="str">
        <f t="shared" si="109"/>
        <v/>
      </c>
      <c r="F510" s="18" t="str">
        <f t="shared" si="110"/>
        <v/>
      </c>
      <c r="G510" s="18" t="str">
        <f t="shared" si="111"/>
        <v/>
      </c>
      <c r="H510" s="18" t="str">
        <f t="shared" si="99"/>
        <v/>
      </c>
      <c r="I510" s="19" t="str">
        <f t="shared" si="100"/>
        <v/>
      </c>
      <c r="J510" s="19" t="str">
        <f t="shared" si="108"/>
        <v/>
      </c>
      <c r="K510" s="19" t="str">
        <f>IF(I510="","",IF(J510&gt;=Parameters!$B$5,I510,"HOLD"))</f>
        <v/>
      </c>
      <c r="L510" s="11"/>
      <c r="M510" s="11"/>
      <c r="N510" s="21" t="str">
        <f t="shared" si="101"/>
        <v/>
      </c>
      <c r="O510" s="21" t="str">
        <f>IF(NOT(ISNUMBER(N510)),"",IF(K510="A",MIN(Parameters!$B$8,N510+Parameters!$B$6),IF(K510="B",MAX(Parameters!$B$7,N510-Parameters!$B$6),N510)))</f>
        <v/>
      </c>
      <c r="P510" s="22" t="str">
        <f t="shared" si="102"/>
        <v/>
      </c>
      <c r="Q510" s="22" t="str">
        <f t="shared" si="103"/>
        <v/>
      </c>
      <c r="R510" s="22" t="str">
        <f t="shared" si="104"/>
        <v/>
      </c>
      <c r="S510" s="22" t="str">
        <f t="shared" si="105"/>
        <v/>
      </c>
      <c r="T510" s="21" t="e">
        <f t="shared" si="106"/>
        <v>#VALUE!</v>
      </c>
      <c r="U510" s="19" t="str">
        <f t="shared" si="107"/>
        <v/>
      </c>
      <c r="V510" s="35" t="s">
        <v>98</v>
      </c>
    </row>
    <row r="511" spans="1:22">
      <c r="A511" s="4">
        <v>46755</v>
      </c>
      <c r="B511" s="7"/>
      <c r="C511" s="7"/>
      <c r="D511" s="6" t="str">
        <f t="shared" si="98"/>
        <v/>
      </c>
      <c r="E511" s="8" t="str">
        <f t="shared" si="109"/>
        <v/>
      </c>
      <c r="F511" s="9" t="str">
        <f t="shared" si="110"/>
        <v/>
      </c>
      <c r="G511" s="9" t="str">
        <f t="shared" si="111"/>
        <v/>
      </c>
      <c r="H511" s="9" t="str">
        <f t="shared" si="99"/>
        <v/>
      </c>
      <c r="I511" t="str">
        <f t="shared" si="100"/>
        <v/>
      </c>
      <c r="J511" t="str">
        <f t="shared" si="108"/>
        <v/>
      </c>
      <c r="K511" t="str">
        <f>IF(I511="","",IF(J511&gt;=Parameters!$B$5,I511,"HOLD"))</f>
        <v/>
      </c>
      <c r="L511" s="11"/>
      <c r="M511" s="11"/>
      <c r="N511" s="12" t="str">
        <f t="shared" si="101"/>
        <v/>
      </c>
      <c r="O511" s="12" t="str">
        <f>IF(NOT(ISNUMBER(N511)),"",IF(K511="A",MIN(Parameters!$B$8,N511+Parameters!$B$6),IF(K511="B",MAX(Parameters!$B$7,N511-Parameters!$B$6),N511)))</f>
        <v/>
      </c>
      <c r="P511" s="13" t="str">
        <f t="shared" si="102"/>
        <v/>
      </c>
      <c r="Q511" s="13" t="str">
        <f t="shared" si="103"/>
        <v/>
      </c>
      <c r="R511" s="13" t="str">
        <f t="shared" si="104"/>
        <v/>
      </c>
      <c r="S511" s="13" t="str">
        <f t="shared" si="105"/>
        <v/>
      </c>
      <c r="T511" s="12" t="e">
        <f t="shared" si="106"/>
        <v>#VALUE!</v>
      </c>
      <c r="U511" t="str">
        <f t="shared" si="107"/>
        <v/>
      </c>
      <c r="V511" s="25" t="s">
        <v>98</v>
      </c>
    </row>
    <row r="512" spans="1:22">
      <c r="A512" s="14">
        <v>46762</v>
      </c>
      <c r="B512" s="7"/>
      <c r="C512" s="7"/>
      <c r="D512" s="16" t="str">
        <f t="shared" si="98"/>
        <v/>
      </c>
      <c r="E512" s="17" t="str">
        <f t="shared" si="109"/>
        <v/>
      </c>
      <c r="F512" s="18" t="str">
        <f t="shared" si="110"/>
        <v/>
      </c>
      <c r="G512" s="18" t="str">
        <f t="shared" si="111"/>
        <v/>
      </c>
      <c r="H512" s="18" t="str">
        <f t="shared" si="99"/>
        <v/>
      </c>
      <c r="I512" s="19" t="str">
        <f t="shared" si="100"/>
        <v/>
      </c>
      <c r="J512" s="19" t="str">
        <f t="shared" si="108"/>
        <v/>
      </c>
      <c r="K512" s="19" t="str">
        <f>IF(I512="","",IF(J512&gt;=Parameters!$B$5,I512,"HOLD"))</f>
        <v/>
      </c>
      <c r="L512" s="11"/>
      <c r="M512" s="11"/>
      <c r="N512" s="21" t="str">
        <f t="shared" si="101"/>
        <v/>
      </c>
      <c r="O512" s="21" t="str">
        <f>IF(NOT(ISNUMBER(N512)),"",IF(K512="A",MIN(Parameters!$B$8,N512+Parameters!$B$6),IF(K512="B",MAX(Parameters!$B$7,N512-Parameters!$B$6),N512)))</f>
        <v/>
      </c>
      <c r="P512" s="22" t="str">
        <f t="shared" si="102"/>
        <v/>
      </c>
      <c r="Q512" s="22" t="str">
        <f t="shared" si="103"/>
        <v/>
      </c>
      <c r="R512" s="22" t="str">
        <f t="shared" si="104"/>
        <v/>
      </c>
      <c r="S512" s="22" t="str">
        <f t="shared" si="105"/>
        <v/>
      </c>
      <c r="T512" s="21" t="e">
        <f t="shared" si="106"/>
        <v>#VALUE!</v>
      </c>
      <c r="U512" s="19" t="str">
        <f t="shared" si="107"/>
        <v/>
      </c>
      <c r="V512" s="35" t="s">
        <v>98</v>
      </c>
    </row>
    <row r="513" spans="1:22">
      <c r="A513" s="4">
        <v>46769</v>
      </c>
      <c r="B513" s="7"/>
      <c r="C513" s="7"/>
      <c r="D513" s="6" t="str">
        <f t="shared" si="98"/>
        <v/>
      </c>
      <c r="E513" s="8" t="str">
        <f t="shared" si="109"/>
        <v/>
      </c>
      <c r="F513" s="9" t="str">
        <f t="shared" si="110"/>
        <v/>
      </c>
      <c r="G513" s="9" t="str">
        <f t="shared" si="111"/>
        <v/>
      </c>
      <c r="H513" s="9" t="str">
        <f t="shared" si="99"/>
        <v/>
      </c>
      <c r="I513" t="str">
        <f t="shared" si="100"/>
        <v/>
      </c>
      <c r="J513" t="str">
        <f t="shared" si="108"/>
        <v/>
      </c>
      <c r="K513" t="str">
        <f>IF(I513="","",IF(J513&gt;=Parameters!$B$5,I513,"HOLD"))</f>
        <v/>
      </c>
      <c r="L513" s="11"/>
      <c r="M513" s="11"/>
      <c r="N513" s="12" t="str">
        <f t="shared" si="101"/>
        <v/>
      </c>
      <c r="O513" s="12" t="str">
        <f>IF(NOT(ISNUMBER(N513)),"",IF(K513="A",MIN(Parameters!$B$8,N513+Parameters!$B$6),IF(K513="B",MAX(Parameters!$B$7,N513-Parameters!$B$6),N513)))</f>
        <v/>
      </c>
      <c r="P513" s="13" t="str">
        <f t="shared" si="102"/>
        <v/>
      </c>
      <c r="Q513" s="13" t="str">
        <f t="shared" si="103"/>
        <v/>
      </c>
      <c r="R513" s="13" t="str">
        <f t="shared" si="104"/>
        <v/>
      </c>
      <c r="S513" s="13" t="str">
        <f t="shared" si="105"/>
        <v/>
      </c>
      <c r="T513" s="12" t="e">
        <f t="shared" si="106"/>
        <v>#VALUE!</v>
      </c>
      <c r="U513" t="str">
        <f t="shared" si="107"/>
        <v/>
      </c>
      <c r="V513" s="25" t="s">
        <v>98</v>
      </c>
    </row>
    <row r="514" spans="1:22">
      <c r="A514" s="14">
        <v>46776</v>
      </c>
      <c r="B514" s="7"/>
      <c r="C514" s="7"/>
      <c r="D514" s="16" t="str">
        <f t="shared" si="98"/>
        <v/>
      </c>
      <c r="E514" s="17" t="str">
        <f t="shared" si="109"/>
        <v/>
      </c>
      <c r="F514" s="18" t="str">
        <f t="shared" si="110"/>
        <v/>
      </c>
      <c r="G514" s="18" t="str">
        <f t="shared" si="111"/>
        <v/>
      </c>
      <c r="H514" s="18" t="str">
        <f t="shared" si="99"/>
        <v/>
      </c>
      <c r="I514" s="19" t="str">
        <f t="shared" si="100"/>
        <v/>
      </c>
      <c r="J514" s="19" t="str">
        <f t="shared" si="108"/>
        <v/>
      </c>
      <c r="K514" s="19" t="str">
        <f>IF(I514="","",IF(J514&gt;=Parameters!$B$5,I514,"HOLD"))</f>
        <v/>
      </c>
      <c r="L514" s="11"/>
      <c r="M514" s="11"/>
      <c r="N514" s="21" t="str">
        <f t="shared" si="101"/>
        <v/>
      </c>
      <c r="O514" s="21" t="str">
        <f>IF(NOT(ISNUMBER(N514)),"",IF(K514="A",MIN(Parameters!$B$8,N514+Parameters!$B$6),IF(K514="B",MAX(Parameters!$B$7,N514-Parameters!$B$6),N514)))</f>
        <v/>
      </c>
      <c r="P514" s="22" t="str">
        <f t="shared" si="102"/>
        <v/>
      </c>
      <c r="Q514" s="22" t="str">
        <f t="shared" si="103"/>
        <v/>
      </c>
      <c r="R514" s="22" t="str">
        <f t="shared" si="104"/>
        <v/>
      </c>
      <c r="S514" s="22" t="str">
        <f t="shared" si="105"/>
        <v/>
      </c>
      <c r="T514" s="21" t="e">
        <f t="shared" si="106"/>
        <v>#VALUE!</v>
      </c>
      <c r="U514" s="19" t="str">
        <f t="shared" si="107"/>
        <v/>
      </c>
      <c r="V514" s="35" t="s">
        <v>98</v>
      </c>
    </row>
    <row r="515" spans="1:22">
      <c r="A515" s="4">
        <v>46783</v>
      </c>
      <c r="B515" s="7"/>
      <c r="C515" s="7"/>
      <c r="D515" s="6" t="str">
        <f t="shared" si="98"/>
        <v/>
      </c>
      <c r="E515" s="8" t="str">
        <f t="shared" si="109"/>
        <v/>
      </c>
      <c r="F515" s="9" t="str">
        <f t="shared" si="110"/>
        <v/>
      </c>
      <c r="G515" s="9" t="str">
        <f t="shared" si="111"/>
        <v/>
      </c>
      <c r="H515" s="9" t="str">
        <f t="shared" si="99"/>
        <v/>
      </c>
      <c r="I515" t="str">
        <f t="shared" si="100"/>
        <v/>
      </c>
      <c r="J515" t="str">
        <f t="shared" si="108"/>
        <v/>
      </c>
      <c r="K515" t="str">
        <f>IF(I515="","",IF(J515&gt;=Parameters!$B$5,I515,"HOLD"))</f>
        <v/>
      </c>
      <c r="L515" s="11"/>
      <c r="M515" s="11"/>
      <c r="N515" s="12" t="str">
        <f t="shared" si="101"/>
        <v/>
      </c>
      <c r="O515" s="12" t="str">
        <f>IF(NOT(ISNUMBER(N515)),"",IF(K515="A",MIN(Parameters!$B$8,N515+Parameters!$B$6),IF(K515="B",MAX(Parameters!$B$7,N515-Parameters!$B$6),N515)))</f>
        <v/>
      </c>
      <c r="P515" s="13" t="str">
        <f t="shared" si="102"/>
        <v/>
      </c>
      <c r="Q515" s="13" t="str">
        <f t="shared" si="103"/>
        <v/>
      </c>
      <c r="R515" s="13" t="str">
        <f t="shared" si="104"/>
        <v/>
      </c>
      <c r="S515" s="13" t="str">
        <f t="shared" si="105"/>
        <v/>
      </c>
      <c r="T515" s="12" t="e">
        <f t="shared" si="106"/>
        <v>#VALUE!</v>
      </c>
      <c r="U515" t="str">
        <f t="shared" si="107"/>
        <v/>
      </c>
      <c r="V515" s="25" t="s">
        <v>98</v>
      </c>
    </row>
    <row r="516" spans="1:22">
      <c r="A516" s="14">
        <v>46790</v>
      </c>
      <c r="B516" s="7"/>
      <c r="C516" s="7"/>
      <c r="D516" s="16" t="str">
        <f t="shared" ref="D516:D579" si="112">IF(AND(ISNUMBER(B516),ISNUMBER(C516)),(B516+C516)/2,"")</f>
        <v/>
      </c>
      <c r="E516" s="17" t="str">
        <f t="shared" si="109"/>
        <v/>
      </c>
      <c r="F516" s="18" t="str">
        <f t="shared" si="110"/>
        <v/>
      </c>
      <c r="G516" s="18" t="str">
        <f t="shared" si="111"/>
        <v/>
      </c>
      <c r="H516" s="18" t="str">
        <f t="shared" ref="H516:H579" si="113">IF(AND(ISNUMBER(F516),ISNUMBER(G516)),F516-G516,"")</f>
        <v/>
      </c>
      <c r="I516" s="19" t="str">
        <f t="shared" ref="I516:I541" si="114">IF(OR(NOT(ISNUMBER(F516)),NOT(ISNUMBER(G516))),"",IF(F516&gt;G516,"A",IF(G516&gt;F516,"B","HOLD")))</f>
        <v/>
      </c>
      <c r="J516" s="19" t="str">
        <f t="shared" si="108"/>
        <v/>
      </c>
      <c r="K516" s="19" t="str">
        <f>IF(I516="","",IF(J516&gt;=Parameters!$B$5,I516,"HOLD"))</f>
        <v/>
      </c>
      <c r="L516" s="11"/>
      <c r="M516" s="11"/>
      <c r="N516" s="21" t="str">
        <f t="shared" ref="N516:N579" si="115">IF(OR(NOT(ISNUMBER(L516)),NOT(ISNUMBER(M516)),L516+M516=0),"",L516/(L516+M516))</f>
        <v/>
      </c>
      <c r="O516" s="21" t="str">
        <f>IF(NOT(ISNUMBER(N516)),"",IF(K516="A",MIN(Parameters!$B$8,N516+Parameters!$B$6),IF(K516="B",MAX(Parameters!$B$7,N516-Parameters!$B$6),N516)))</f>
        <v/>
      </c>
      <c r="P516" s="22" t="str">
        <f t="shared" ref="P516:P579" si="116">IF(NOT(ISNUMBER(O516)),"",MAX(0,L516-(L516+M516)*O516))</f>
        <v/>
      </c>
      <c r="Q516" s="22" t="str">
        <f t="shared" ref="Q516:Q541" si="117">IF(NOT(ISNUMBER(O516)),"",MAX(0,(L516+M516)*O516-L516))</f>
        <v/>
      </c>
      <c r="R516" s="22" t="str">
        <f t="shared" ref="R516:R579" si="118">IF(NOT(ISNUMBER(O516)),"",L516-P516+Q516)</f>
        <v/>
      </c>
      <c r="S516" s="22" t="str">
        <f t="shared" ref="S516:S541" si="119">IF(NOT(ISNUMBER(O516)),"",M516+P516-Q516)</f>
        <v/>
      </c>
      <c r="T516" s="21" t="e">
        <f t="shared" ref="T516:T579" si="120">IF(OR(NOT(ISNUMBER(R516)),NOT(ISNUMBER(S516)),R516+S516=0),"",R516/(R516+S516))</f>
        <v>#VALUE!</v>
      </c>
      <c r="U516" s="19" t="str">
        <f t="shared" ref="U516:U541" si="121">IF(NOT(ISNUMBER(O516)),"",IF(P516&gt;0.005,"Transfer "&amp;TEXT(P516,"#,##0.00")&amp;" A → B",IF(Q516&gt;0.005,"Transfer "&amp;TEXT(Q516,"#,##0.00")&amp;" B → A","No transfer")))</f>
        <v/>
      </c>
      <c r="V516" s="35" t="s">
        <v>98</v>
      </c>
    </row>
    <row r="517" spans="1:22">
      <c r="A517" s="4">
        <v>46797</v>
      </c>
      <c r="B517" s="7"/>
      <c r="C517" s="7"/>
      <c r="D517" s="6" t="str">
        <f t="shared" si="112"/>
        <v/>
      </c>
      <c r="E517" s="8" t="str">
        <f t="shared" si="109"/>
        <v/>
      </c>
      <c r="F517" s="9" t="str">
        <f t="shared" si="110"/>
        <v/>
      </c>
      <c r="G517" s="9" t="str">
        <f t="shared" si="111"/>
        <v/>
      </c>
      <c r="H517" s="9" t="str">
        <f t="shared" si="113"/>
        <v/>
      </c>
      <c r="I517" t="str">
        <f t="shared" si="114"/>
        <v/>
      </c>
      <c r="J517" t="str">
        <f t="shared" ref="J517:J580" si="122">IF(I517="","",IF(I517="HOLD",0,IF(I517=I516,J516+1,1)))</f>
        <v/>
      </c>
      <c r="K517" t="str">
        <f>IF(I517="","",IF(J517&gt;=Parameters!$B$5,I517,"HOLD"))</f>
        <v/>
      </c>
      <c r="L517" s="11"/>
      <c r="M517" s="11"/>
      <c r="N517" s="12" t="str">
        <f t="shared" si="115"/>
        <v/>
      </c>
      <c r="O517" s="12" t="str">
        <f>IF(NOT(ISNUMBER(N517)),"",IF(K517="A",MIN(Parameters!$B$8,N517+Parameters!$B$6),IF(K517="B",MAX(Parameters!$B$7,N517-Parameters!$B$6),N517)))</f>
        <v/>
      </c>
      <c r="P517" s="13" t="str">
        <f t="shared" si="116"/>
        <v/>
      </c>
      <c r="Q517" s="13" t="str">
        <f t="shared" si="117"/>
        <v/>
      </c>
      <c r="R517" s="13" t="str">
        <f t="shared" si="118"/>
        <v/>
      </c>
      <c r="S517" s="13" t="str">
        <f t="shared" si="119"/>
        <v/>
      </c>
      <c r="T517" s="12" t="e">
        <f t="shared" si="120"/>
        <v>#VALUE!</v>
      </c>
      <c r="U517" t="str">
        <f t="shared" si="121"/>
        <v/>
      </c>
      <c r="V517" s="25" t="s">
        <v>98</v>
      </c>
    </row>
    <row r="518" spans="1:22">
      <c r="A518" s="14">
        <v>46804</v>
      </c>
      <c r="B518" s="7"/>
      <c r="C518" s="7"/>
      <c r="D518" s="16" t="str">
        <f t="shared" si="112"/>
        <v/>
      </c>
      <c r="E518" s="17" t="str">
        <f t="shared" si="109"/>
        <v/>
      </c>
      <c r="F518" s="18" t="str">
        <f t="shared" si="110"/>
        <v/>
      </c>
      <c r="G518" s="18" t="str">
        <f t="shared" si="111"/>
        <v/>
      </c>
      <c r="H518" s="18" t="str">
        <f t="shared" si="113"/>
        <v/>
      </c>
      <c r="I518" s="19" t="str">
        <f t="shared" si="114"/>
        <v/>
      </c>
      <c r="J518" s="19" t="str">
        <f t="shared" si="122"/>
        <v/>
      </c>
      <c r="K518" s="19" t="str">
        <f>IF(I518="","",IF(J518&gt;=Parameters!$B$5,I518,"HOLD"))</f>
        <v/>
      </c>
      <c r="L518" s="11"/>
      <c r="M518" s="11"/>
      <c r="N518" s="21" t="str">
        <f t="shared" si="115"/>
        <v/>
      </c>
      <c r="O518" s="21" t="str">
        <f>IF(NOT(ISNUMBER(N518)),"",IF(K518="A",MIN(Parameters!$B$8,N518+Parameters!$B$6),IF(K518="B",MAX(Parameters!$B$7,N518-Parameters!$B$6),N518)))</f>
        <v/>
      </c>
      <c r="P518" s="22" t="str">
        <f t="shared" si="116"/>
        <v/>
      </c>
      <c r="Q518" s="22" t="str">
        <f t="shared" si="117"/>
        <v/>
      </c>
      <c r="R518" s="22" t="str">
        <f t="shared" si="118"/>
        <v/>
      </c>
      <c r="S518" s="22" t="str">
        <f t="shared" si="119"/>
        <v/>
      </c>
      <c r="T518" s="21" t="e">
        <f t="shared" si="120"/>
        <v>#VALUE!</v>
      </c>
      <c r="U518" s="19" t="str">
        <f t="shared" si="121"/>
        <v/>
      </c>
      <c r="V518" s="35" t="s">
        <v>98</v>
      </c>
    </row>
    <row r="519" spans="1:22">
      <c r="A519" s="4">
        <v>46811</v>
      </c>
      <c r="B519" s="7"/>
      <c r="C519" s="7"/>
      <c r="D519" s="6" t="str">
        <f t="shared" si="112"/>
        <v/>
      </c>
      <c r="E519" s="8" t="str">
        <f t="shared" si="109"/>
        <v/>
      </c>
      <c r="F519" s="9" t="str">
        <f t="shared" si="110"/>
        <v/>
      </c>
      <c r="G519" s="9" t="str">
        <f t="shared" si="111"/>
        <v/>
      </c>
      <c r="H519" s="9" t="str">
        <f t="shared" si="113"/>
        <v/>
      </c>
      <c r="I519" t="str">
        <f t="shared" si="114"/>
        <v/>
      </c>
      <c r="J519" t="str">
        <f t="shared" si="122"/>
        <v/>
      </c>
      <c r="K519" t="str">
        <f>IF(I519="","",IF(J519&gt;=Parameters!$B$5,I519,"HOLD"))</f>
        <v/>
      </c>
      <c r="L519" s="11"/>
      <c r="M519" s="11"/>
      <c r="N519" s="12" t="str">
        <f t="shared" si="115"/>
        <v/>
      </c>
      <c r="O519" s="12" t="str">
        <f>IF(NOT(ISNUMBER(N519)),"",IF(K519="A",MIN(Parameters!$B$8,N519+Parameters!$B$6),IF(K519="B",MAX(Parameters!$B$7,N519-Parameters!$B$6),N519)))</f>
        <v/>
      </c>
      <c r="P519" s="13" t="str">
        <f t="shared" si="116"/>
        <v/>
      </c>
      <c r="Q519" s="13" t="str">
        <f t="shared" si="117"/>
        <v/>
      </c>
      <c r="R519" s="13" t="str">
        <f t="shared" si="118"/>
        <v/>
      </c>
      <c r="S519" s="13" t="str">
        <f t="shared" si="119"/>
        <v/>
      </c>
      <c r="T519" s="12" t="e">
        <f t="shared" si="120"/>
        <v>#VALUE!</v>
      </c>
      <c r="U519" t="str">
        <f t="shared" si="121"/>
        <v/>
      </c>
      <c r="V519" s="25" t="s">
        <v>98</v>
      </c>
    </row>
    <row r="520" spans="1:22">
      <c r="A520" s="14">
        <v>46818</v>
      </c>
      <c r="B520" s="7"/>
      <c r="C520" s="7"/>
      <c r="D520" s="16" t="str">
        <f t="shared" si="112"/>
        <v/>
      </c>
      <c r="E520" s="17" t="str">
        <f t="shared" si="109"/>
        <v/>
      </c>
      <c r="F520" s="18" t="str">
        <f t="shared" si="110"/>
        <v/>
      </c>
      <c r="G520" s="18" t="str">
        <f t="shared" si="111"/>
        <v/>
      </c>
      <c r="H520" s="18" t="str">
        <f t="shared" si="113"/>
        <v/>
      </c>
      <c r="I520" s="19" t="str">
        <f t="shared" si="114"/>
        <v/>
      </c>
      <c r="J520" s="19" t="str">
        <f t="shared" si="122"/>
        <v/>
      </c>
      <c r="K520" s="19" t="str">
        <f>IF(I520="","",IF(J520&gt;=Parameters!$B$5,I520,"HOLD"))</f>
        <v/>
      </c>
      <c r="L520" s="11"/>
      <c r="M520" s="11"/>
      <c r="N520" s="21" t="str">
        <f t="shared" si="115"/>
        <v/>
      </c>
      <c r="O520" s="21" t="str">
        <f>IF(NOT(ISNUMBER(N520)),"",IF(K520="A",MIN(Parameters!$B$8,N520+Parameters!$B$6),IF(K520="B",MAX(Parameters!$B$7,N520-Parameters!$B$6),N520)))</f>
        <v/>
      </c>
      <c r="P520" s="22" t="str">
        <f t="shared" si="116"/>
        <v/>
      </c>
      <c r="Q520" s="22" t="str">
        <f t="shared" si="117"/>
        <v/>
      </c>
      <c r="R520" s="22" t="str">
        <f t="shared" si="118"/>
        <v/>
      </c>
      <c r="S520" s="22" t="str">
        <f t="shared" si="119"/>
        <v/>
      </c>
      <c r="T520" s="21" t="e">
        <f t="shared" si="120"/>
        <v>#VALUE!</v>
      </c>
      <c r="U520" s="19" t="str">
        <f t="shared" si="121"/>
        <v/>
      </c>
      <c r="V520" s="35" t="s">
        <v>98</v>
      </c>
    </row>
    <row r="521" spans="1:22">
      <c r="A521" s="4">
        <v>46825</v>
      </c>
      <c r="B521" s="7"/>
      <c r="C521" s="7"/>
      <c r="D521" s="6" t="str">
        <f t="shared" si="112"/>
        <v/>
      </c>
      <c r="E521" s="8" t="str">
        <f t="shared" si="109"/>
        <v/>
      </c>
      <c r="F521" s="9" t="str">
        <f t="shared" si="110"/>
        <v/>
      </c>
      <c r="G521" s="9" t="str">
        <f t="shared" si="111"/>
        <v/>
      </c>
      <c r="H521" s="9" t="str">
        <f t="shared" si="113"/>
        <v/>
      </c>
      <c r="I521" t="str">
        <f t="shared" si="114"/>
        <v/>
      </c>
      <c r="J521" t="str">
        <f t="shared" si="122"/>
        <v/>
      </c>
      <c r="K521" t="str">
        <f>IF(I521="","",IF(J521&gt;=Parameters!$B$5,I521,"HOLD"))</f>
        <v/>
      </c>
      <c r="L521" s="11"/>
      <c r="M521" s="11"/>
      <c r="N521" s="12" t="str">
        <f t="shared" si="115"/>
        <v/>
      </c>
      <c r="O521" s="12" t="str">
        <f>IF(NOT(ISNUMBER(N521)),"",IF(K521="A",MIN(Parameters!$B$8,N521+Parameters!$B$6),IF(K521="B",MAX(Parameters!$B$7,N521-Parameters!$B$6),N521)))</f>
        <v/>
      </c>
      <c r="P521" s="13" t="str">
        <f t="shared" si="116"/>
        <v/>
      </c>
      <c r="Q521" s="13" t="str">
        <f t="shared" si="117"/>
        <v/>
      </c>
      <c r="R521" s="13" t="str">
        <f t="shared" si="118"/>
        <v/>
      </c>
      <c r="S521" s="13" t="str">
        <f t="shared" si="119"/>
        <v/>
      </c>
      <c r="T521" s="12" t="e">
        <f t="shared" si="120"/>
        <v>#VALUE!</v>
      </c>
      <c r="U521" t="str">
        <f t="shared" si="121"/>
        <v/>
      </c>
      <c r="V521" s="25" t="s">
        <v>98</v>
      </c>
    </row>
    <row r="522" spans="1:22">
      <c r="A522" s="14">
        <v>46832</v>
      </c>
      <c r="B522" s="7"/>
      <c r="C522" s="7"/>
      <c r="D522" s="16" t="str">
        <f t="shared" si="112"/>
        <v/>
      </c>
      <c r="E522" s="17" t="str">
        <f t="shared" si="109"/>
        <v/>
      </c>
      <c r="F522" s="18" t="str">
        <f t="shared" si="110"/>
        <v/>
      </c>
      <c r="G522" s="18" t="str">
        <f t="shared" si="111"/>
        <v/>
      </c>
      <c r="H522" s="18" t="str">
        <f t="shared" si="113"/>
        <v/>
      </c>
      <c r="I522" s="19" t="str">
        <f t="shared" si="114"/>
        <v/>
      </c>
      <c r="J522" s="19" t="str">
        <f t="shared" si="122"/>
        <v/>
      </c>
      <c r="K522" s="19" t="str">
        <f>IF(I522="","",IF(J522&gt;=Parameters!$B$5,I522,"HOLD"))</f>
        <v/>
      </c>
      <c r="L522" s="11"/>
      <c r="M522" s="11"/>
      <c r="N522" s="21" t="str">
        <f t="shared" si="115"/>
        <v/>
      </c>
      <c r="O522" s="21" t="str">
        <f>IF(NOT(ISNUMBER(N522)),"",IF(K522="A",MIN(Parameters!$B$8,N522+Parameters!$B$6),IF(K522="B",MAX(Parameters!$B$7,N522-Parameters!$B$6),N522)))</f>
        <v/>
      </c>
      <c r="P522" s="22" t="str">
        <f t="shared" si="116"/>
        <v/>
      </c>
      <c r="Q522" s="22" t="str">
        <f t="shared" si="117"/>
        <v/>
      </c>
      <c r="R522" s="22" t="str">
        <f t="shared" si="118"/>
        <v/>
      </c>
      <c r="S522" s="22" t="str">
        <f t="shared" si="119"/>
        <v/>
      </c>
      <c r="T522" s="21" t="e">
        <f t="shared" si="120"/>
        <v>#VALUE!</v>
      </c>
      <c r="U522" s="19" t="str">
        <f t="shared" si="121"/>
        <v/>
      </c>
      <c r="V522" s="35" t="s">
        <v>98</v>
      </c>
    </row>
    <row r="523" spans="1:22">
      <c r="A523" s="4">
        <v>46839</v>
      </c>
      <c r="B523" s="7"/>
      <c r="C523" s="7"/>
      <c r="D523" s="6" t="str">
        <f t="shared" si="112"/>
        <v/>
      </c>
      <c r="E523" s="8" t="str">
        <f t="shared" si="109"/>
        <v/>
      </c>
      <c r="F523" s="9" t="str">
        <f t="shared" si="110"/>
        <v/>
      </c>
      <c r="G523" s="9" t="str">
        <f t="shared" si="111"/>
        <v/>
      </c>
      <c r="H523" s="9" t="str">
        <f t="shared" si="113"/>
        <v/>
      </c>
      <c r="I523" t="str">
        <f t="shared" si="114"/>
        <v/>
      </c>
      <c r="J523" t="str">
        <f t="shared" si="122"/>
        <v/>
      </c>
      <c r="K523" t="str">
        <f>IF(I523="","",IF(J523&gt;=Parameters!$B$5,I523,"HOLD"))</f>
        <v/>
      </c>
      <c r="L523" s="11"/>
      <c r="M523" s="11"/>
      <c r="N523" s="12" t="str">
        <f t="shared" si="115"/>
        <v/>
      </c>
      <c r="O523" s="12" t="str">
        <f>IF(NOT(ISNUMBER(N523)),"",IF(K523="A",MIN(Parameters!$B$8,N523+Parameters!$B$6),IF(K523="B",MAX(Parameters!$B$7,N523-Parameters!$B$6),N523)))</f>
        <v/>
      </c>
      <c r="P523" s="13" t="str">
        <f t="shared" si="116"/>
        <v/>
      </c>
      <c r="Q523" s="13" t="str">
        <f t="shared" si="117"/>
        <v/>
      </c>
      <c r="R523" s="13" t="str">
        <f t="shared" si="118"/>
        <v/>
      </c>
      <c r="S523" s="13" t="str">
        <f t="shared" si="119"/>
        <v/>
      </c>
      <c r="T523" s="12" t="e">
        <f t="shared" si="120"/>
        <v>#VALUE!</v>
      </c>
      <c r="U523" t="str">
        <f t="shared" si="121"/>
        <v/>
      </c>
      <c r="V523" s="25" t="s">
        <v>98</v>
      </c>
    </row>
    <row r="524" spans="1:22">
      <c r="A524" s="14">
        <v>46846</v>
      </c>
      <c r="B524" s="7"/>
      <c r="C524" s="7"/>
      <c r="D524" s="16" t="str">
        <f t="shared" si="112"/>
        <v/>
      </c>
      <c r="E524" s="17" t="str">
        <f t="shared" si="109"/>
        <v/>
      </c>
      <c r="F524" s="18" t="str">
        <f t="shared" si="110"/>
        <v/>
      </c>
      <c r="G524" s="18" t="str">
        <f t="shared" si="111"/>
        <v/>
      </c>
      <c r="H524" s="18" t="str">
        <f t="shared" si="113"/>
        <v/>
      </c>
      <c r="I524" s="19" t="str">
        <f t="shared" si="114"/>
        <v/>
      </c>
      <c r="J524" s="19" t="str">
        <f t="shared" si="122"/>
        <v/>
      </c>
      <c r="K524" s="19" t="str">
        <f>IF(I524="","",IF(J524&gt;=Parameters!$B$5,I524,"HOLD"))</f>
        <v/>
      </c>
      <c r="L524" s="11"/>
      <c r="M524" s="11"/>
      <c r="N524" s="21" t="str">
        <f t="shared" si="115"/>
        <v/>
      </c>
      <c r="O524" s="21" t="str">
        <f>IF(NOT(ISNUMBER(N524)),"",IF(K524="A",MIN(Parameters!$B$8,N524+Parameters!$B$6),IF(K524="B",MAX(Parameters!$B$7,N524-Parameters!$B$6),N524)))</f>
        <v/>
      </c>
      <c r="P524" s="22" t="str">
        <f t="shared" si="116"/>
        <v/>
      </c>
      <c r="Q524" s="22" t="str">
        <f t="shared" si="117"/>
        <v/>
      </c>
      <c r="R524" s="22" t="str">
        <f t="shared" si="118"/>
        <v/>
      </c>
      <c r="S524" s="22" t="str">
        <f t="shared" si="119"/>
        <v/>
      </c>
      <c r="T524" s="21" t="e">
        <f t="shared" si="120"/>
        <v>#VALUE!</v>
      </c>
      <c r="U524" s="19" t="str">
        <f t="shared" si="121"/>
        <v/>
      </c>
      <c r="V524" s="35" t="s">
        <v>98</v>
      </c>
    </row>
    <row r="525" spans="1:22">
      <c r="A525" s="4">
        <v>46853</v>
      </c>
      <c r="B525" s="7"/>
      <c r="C525" s="7"/>
      <c r="D525" s="6" t="str">
        <f t="shared" si="112"/>
        <v/>
      </c>
      <c r="E525" s="8" t="str">
        <f t="shared" si="109"/>
        <v/>
      </c>
      <c r="F525" s="9" t="str">
        <f t="shared" si="110"/>
        <v/>
      </c>
      <c r="G525" s="9" t="str">
        <f t="shared" si="111"/>
        <v/>
      </c>
      <c r="H525" s="9" t="str">
        <f t="shared" si="113"/>
        <v/>
      </c>
      <c r="I525" t="str">
        <f t="shared" si="114"/>
        <v/>
      </c>
      <c r="J525" t="str">
        <f t="shared" si="122"/>
        <v/>
      </c>
      <c r="K525" t="str">
        <f>IF(I525="","",IF(J525&gt;=Parameters!$B$5,I525,"HOLD"))</f>
        <v/>
      </c>
      <c r="L525" s="11"/>
      <c r="M525" s="11"/>
      <c r="N525" s="12" t="str">
        <f t="shared" si="115"/>
        <v/>
      </c>
      <c r="O525" s="12" t="str">
        <f>IF(NOT(ISNUMBER(N525)),"",IF(K525="A",MIN(Parameters!$B$8,N525+Parameters!$B$6),IF(K525="B",MAX(Parameters!$B$7,N525-Parameters!$B$6),N525)))</f>
        <v/>
      </c>
      <c r="P525" s="13" t="str">
        <f t="shared" si="116"/>
        <v/>
      </c>
      <c r="Q525" s="13" t="str">
        <f t="shared" si="117"/>
        <v/>
      </c>
      <c r="R525" s="13" t="str">
        <f t="shared" si="118"/>
        <v/>
      </c>
      <c r="S525" s="13" t="str">
        <f t="shared" si="119"/>
        <v/>
      </c>
      <c r="T525" s="12" t="e">
        <f t="shared" si="120"/>
        <v>#VALUE!</v>
      </c>
      <c r="U525" t="str">
        <f t="shared" si="121"/>
        <v/>
      </c>
      <c r="V525" s="25" t="s">
        <v>98</v>
      </c>
    </row>
    <row r="526" spans="1:22">
      <c r="A526" s="14">
        <v>46860</v>
      </c>
      <c r="B526" s="7"/>
      <c r="C526" s="7"/>
      <c r="D526" s="16" t="str">
        <f t="shared" si="112"/>
        <v/>
      </c>
      <c r="E526" s="17" t="str">
        <f t="shared" si="109"/>
        <v/>
      </c>
      <c r="F526" s="18" t="str">
        <f t="shared" si="110"/>
        <v/>
      </c>
      <c r="G526" s="18" t="str">
        <f t="shared" si="111"/>
        <v/>
      </c>
      <c r="H526" s="18" t="str">
        <f t="shared" si="113"/>
        <v/>
      </c>
      <c r="I526" s="19" t="str">
        <f t="shared" si="114"/>
        <v/>
      </c>
      <c r="J526" s="19" t="str">
        <f t="shared" si="122"/>
        <v/>
      </c>
      <c r="K526" s="19" t="str">
        <f>IF(I526="","",IF(J526&gt;=Parameters!$B$5,I526,"HOLD"))</f>
        <v/>
      </c>
      <c r="L526" s="11"/>
      <c r="M526" s="11"/>
      <c r="N526" s="21" t="str">
        <f t="shared" si="115"/>
        <v/>
      </c>
      <c r="O526" s="21" t="str">
        <f>IF(NOT(ISNUMBER(N526)),"",IF(K526="A",MIN(Parameters!$B$8,N526+Parameters!$B$6),IF(K526="B",MAX(Parameters!$B$7,N526-Parameters!$B$6),N526)))</f>
        <v/>
      </c>
      <c r="P526" s="22" t="str">
        <f t="shared" si="116"/>
        <v/>
      </c>
      <c r="Q526" s="22" t="str">
        <f t="shared" si="117"/>
        <v/>
      </c>
      <c r="R526" s="22" t="str">
        <f t="shared" si="118"/>
        <v/>
      </c>
      <c r="S526" s="22" t="str">
        <f t="shared" si="119"/>
        <v/>
      </c>
      <c r="T526" s="21" t="e">
        <f t="shared" si="120"/>
        <v>#VALUE!</v>
      </c>
      <c r="U526" s="19" t="str">
        <f t="shared" si="121"/>
        <v/>
      </c>
      <c r="V526" s="35" t="s">
        <v>98</v>
      </c>
    </row>
    <row r="527" spans="1:22">
      <c r="A527" s="4">
        <v>46867</v>
      </c>
      <c r="B527" s="7"/>
      <c r="C527" s="7"/>
      <c r="D527" s="6" t="str">
        <f t="shared" si="112"/>
        <v/>
      </c>
      <c r="E527" s="8" t="str">
        <f t="shared" si="109"/>
        <v/>
      </c>
      <c r="F527" s="9" t="str">
        <f t="shared" si="110"/>
        <v/>
      </c>
      <c r="G527" s="9" t="str">
        <f t="shared" si="111"/>
        <v/>
      </c>
      <c r="H527" s="9" t="str">
        <f t="shared" si="113"/>
        <v/>
      </c>
      <c r="I527" t="str">
        <f t="shared" si="114"/>
        <v/>
      </c>
      <c r="J527" t="str">
        <f t="shared" si="122"/>
        <v/>
      </c>
      <c r="K527" t="str">
        <f>IF(I527="","",IF(J527&gt;=Parameters!$B$5,I527,"HOLD"))</f>
        <v/>
      </c>
      <c r="L527" s="11"/>
      <c r="M527" s="11"/>
      <c r="N527" s="12" t="str">
        <f t="shared" si="115"/>
        <v/>
      </c>
      <c r="O527" s="12" t="str">
        <f>IF(NOT(ISNUMBER(N527)),"",IF(K527="A",MIN(Parameters!$B$8,N527+Parameters!$B$6),IF(K527="B",MAX(Parameters!$B$7,N527-Parameters!$B$6),N527)))</f>
        <v/>
      </c>
      <c r="P527" s="13" t="str">
        <f t="shared" si="116"/>
        <v/>
      </c>
      <c r="Q527" s="13" t="str">
        <f t="shared" si="117"/>
        <v/>
      </c>
      <c r="R527" s="13" t="str">
        <f t="shared" si="118"/>
        <v/>
      </c>
      <c r="S527" s="13" t="str">
        <f t="shared" si="119"/>
        <v/>
      </c>
      <c r="T527" s="12" t="e">
        <f t="shared" si="120"/>
        <v>#VALUE!</v>
      </c>
      <c r="U527" t="str">
        <f t="shared" si="121"/>
        <v/>
      </c>
      <c r="V527" s="25" t="s">
        <v>98</v>
      </c>
    </row>
    <row r="528" spans="1:22">
      <c r="A528" s="14">
        <v>46874</v>
      </c>
      <c r="B528" s="7"/>
      <c r="C528" s="7"/>
      <c r="D528" s="16" t="str">
        <f t="shared" si="112"/>
        <v/>
      </c>
      <c r="E528" s="17" t="str">
        <f t="shared" si="109"/>
        <v/>
      </c>
      <c r="F528" s="18" t="str">
        <f t="shared" si="110"/>
        <v/>
      </c>
      <c r="G528" s="18" t="str">
        <f t="shared" si="111"/>
        <v/>
      </c>
      <c r="H528" s="18" t="str">
        <f t="shared" si="113"/>
        <v/>
      </c>
      <c r="I528" s="19" t="str">
        <f t="shared" si="114"/>
        <v/>
      </c>
      <c r="J528" s="19" t="str">
        <f t="shared" si="122"/>
        <v/>
      </c>
      <c r="K528" s="19" t="str">
        <f>IF(I528="","",IF(J528&gt;=Parameters!$B$5,I528,"HOLD"))</f>
        <v/>
      </c>
      <c r="L528" s="11"/>
      <c r="M528" s="11"/>
      <c r="N528" s="21" t="str">
        <f t="shared" si="115"/>
        <v/>
      </c>
      <c r="O528" s="21" t="str">
        <f>IF(NOT(ISNUMBER(N528)),"",IF(K528="A",MIN(Parameters!$B$8,N528+Parameters!$B$6),IF(K528="B",MAX(Parameters!$B$7,N528-Parameters!$B$6),N528)))</f>
        <v/>
      </c>
      <c r="P528" s="22" t="str">
        <f t="shared" si="116"/>
        <v/>
      </c>
      <c r="Q528" s="22" t="str">
        <f t="shared" si="117"/>
        <v/>
      </c>
      <c r="R528" s="22" t="str">
        <f t="shared" si="118"/>
        <v/>
      </c>
      <c r="S528" s="22" t="str">
        <f t="shared" si="119"/>
        <v/>
      </c>
      <c r="T528" s="21" t="e">
        <f t="shared" si="120"/>
        <v>#VALUE!</v>
      </c>
      <c r="U528" s="19" t="str">
        <f t="shared" si="121"/>
        <v/>
      </c>
      <c r="V528" s="35" t="s">
        <v>98</v>
      </c>
    </row>
    <row r="529" spans="1:22">
      <c r="A529" s="4">
        <v>46881</v>
      </c>
      <c r="B529" s="7"/>
      <c r="C529" s="7"/>
      <c r="D529" s="6" t="str">
        <f t="shared" si="112"/>
        <v/>
      </c>
      <c r="E529" s="8" t="str">
        <f t="shared" si="109"/>
        <v/>
      </c>
      <c r="F529" s="9" t="str">
        <f t="shared" si="110"/>
        <v/>
      </c>
      <c r="G529" s="9" t="str">
        <f t="shared" si="111"/>
        <v/>
      </c>
      <c r="H529" s="9" t="str">
        <f t="shared" si="113"/>
        <v/>
      </c>
      <c r="I529" t="str">
        <f t="shared" si="114"/>
        <v/>
      </c>
      <c r="J529" t="str">
        <f t="shared" si="122"/>
        <v/>
      </c>
      <c r="K529" t="str">
        <f>IF(I529="","",IF(J529&gt;=Parameters!$B$5,I529,"HOLD"))</f>
        <v/>
      </c>
      <c r="L529" s="11"/>
      <c r="M529" s="11"/>
      <c r="N529" s="12" t="str">
        <f t="shared" si="115"/>
        <v/>
      </c>
      <c r="O529" s="12" t="str">
        <f>IF(NOT(ISNUMBER(N529)),"",IF(K529="A",MIN(Parameters!$B$8,N529+Parameters!$B$6),IF(K529="B",MAX(Parameters!$B$7,N529-Parameters!$B$6),N529)))</f>
        <v/>
      </c>
      <c r="P529" s="13" t="str">
        <f t="shared" si="116"/>
        <v/>
      </c>
      <c r="Q529" s="13" t="str">
        <f t="shared" si="117"/>
        <v/>
      </c>
      <c r="R529" s="13" t="str">
        <f t="shared" si="118"/>
        <v/>
      </c>
      <c r="S529" s="13" t="str">
        <f t="shared" si="119"/>
        <v/>
      </c>
      <c r="T529" s="12" t="e">
        <f t="shared" si="120"/>
        <v>#VALUE!</v>
      </c>
      <c r="U529" t="str">
        <f t="shared" si="121"/>
        <v/>
      </c>
      <c r="V529" s="25" t="s">
        <v>98</v>
      </c>
    </row>
    <row r="530" spans="1:22">
      <c r="A530" s="14">
        <v>46888</v>
      </c>
      <c r="B530" s="7"/>
      <c r="C530" s="7"/>
      <c r="D530" s="16" t="str">
        <f t="shared" si="112"/>
        <v/>
      </c>
      <c r="E530" s="17" t="str">
        <f t="shared" si="109"/>
        <v/>
      </c>
      <c r="F530" s="18" t="str">
        <f t="shared" si="110"/>
        <v/>
      </c>
      <c r="G530" s="18" t="str">
        <f t="shared" si="111"/>
        <v/>
      </c>
      <c r="H530" s="18" t="str">
        <f t="shared" si="113"/>
        <v/>
      </c>
      <c r="I530" s="19" t="str">
        <f t="shared" si="114"/>
        <v/>
      </c>
      <c r="J530" s="19" t="str">
        <f t="shared" si="122"/>
        <v/>
      </c>
      <c r="K530" s="19" t="str">
        <f>IF(I530="","",IF(J530&gt;=Parameters!$B$5,I530,"HOLD"))</f>
        <v/>
      </c>
      <c r="L530" s="11"/>
      <c r="M530" s="11"/>
      <c r="N530" s="21" t="str">
        <f t="shared" si="115"/>
        <v/>
      </c>
      <c r="O530" s="21" t="str">
        <f>IF(NOT(ISNUMBER(N530)),"",IF(K530="A",MIN(Parameters!$B$8,N530+Parameters!$B$6),IF(K530="B",MAX(Parameters!$B$7,N530-Parameters!$B$6),N530)))</f>
        <v/>
      </c>
      <c r="P530" s="22" t="str">
        <f t="shared" si="116"/>
        <v/>
      </c>
      <c r="Q530" s="22" t="str">
        <f t="shared" si="117"/>
        <v/>
      </c>
      <c r="R530" s="22" t="str">
        <f t="shared" si="118"/>
        <v/>
      </c>
      <c r="S530" s="22" t="str">
        <f t="shared" si="119"/>
        <v/>
      </c>
      <c r="T530" s="21" t="e">
        <f t="shared" si="120"/>
        <v>#VALUE!</v>
      </c>
      <c r="U530" s="19" t="str">
        <f t="shared" si="121"/>
        <v/>
      </c>
      <c r="V530" s="35" t="s">
        <v>98</v>
      </c>
    </row>
    <row r="531" spans="1:22">
      <c r="A531" s="4">
        <v>46895</v>
      </c>
      <c r="B531" s="7"/>
      <c r="C531" s="7"/>
      <c r="D531" s="6" t="str">
        <f t="shared" si="112"/>
        <v/>
      </c>
      <c r="E531" s="8" t="str">
        <f t="shared" si="109"/>
        <v/>
      </c>
      <c r="F531" s="9" t="str">
        <f t="shared" si="110"/>
        <v/>
      </c>
      <c r="G531" s="9" t="str">
        <f t="shared" si="111"/>
        <v/>
      </c>
      <c r="H531" s="9" t="str">
        <f t="shared" si="113"/>
        <v/>
      </c>
      <c r="I531" t="str">
        <f t="shared" si="114"/>
        <v/>
      </c>
      <c r="J531" t="str">
        <f t="shared" si="122"/>
        <v/>
      </c>
      <c r="K531" t="str">
        <f>IF(I531="","",IF(J531&gt;=Parameters!$B$5,I531,"HOLD"))</f>
        <v/>
      </c>
      <c r="L531" s="11"/>
      <c r="M531" s="11"/>
      <c r="N531" s="12" t="str">
        <f t="shared" si="115"/>
        <v/>
      </c>
      <c r="O531" s="12" t="str">
        <f>IF(NOT(ISNUMBER(N531)),"",IF(K531="A",MIN(Parameters!$B$8,N531+Parameters!$B$6),IF(K531="B",MAX(Parameters!$B$7,N531-Parameters!$B$6),N531)))</f>
        <v/>
      </c>
      <c r="P531" s="13" t="str">
        <f t="shared" si="116"/>
        <v/>
      </c>
      <c r="Q531" s="13" t="str">
        <f t="shared" si="117"/>
        <v/>
      </c>
      <c r="R531" s="13" t="str">
        <f t="shared" si="118"/>
        <v/>
      </c>
      <c r="S531" s="13" t="str">
        <f t="shared" si="119"/>
        <v/>
      </c>
      <c r="T531" s="12" t="e">
        <f t="shared" si="120"/>
        <v>#VALUE!</v>
      </c>
      <c r="U531" t="str">
        <f t="shared" si="121"/>
        <v/>
      </c>
      <c r="V531" s="25" t="s">
        <v>98</v>
      </c>
    </row>
    <row r="532" spans="1:22">
      <c r="A532" s="14">
        <v>46902</v>
      </c>
      <c r="B532" s="7"/>
      <c r="C532" s="7"/>
      <c r="D532" s="16" t="str">
        <f t="shared" si="112"/>
        <v/>
      </c>
      <c r="E532" s="17" t="str">
        <f t="shared" si="109"/>
        <v/>
      </c>
      <c r="F532" s="18" t="str">
        <f t="shared" si="110"/>
        <v/>
      </c>
      <c r="G532" s="18" t="str">
        <f t="shared" si="111"/>
        <v/>
      </c>
      <c r="H532" s="18" t="str">
        <f t="shared" si="113"/>
        <v/>
      </c>
      <c r="I532" s="19" t="str">
        <f t="shared" si="114"/>
        <v/>
      </c>
      <c r="J532" s="19" t="str">
        <f t="shared" si="122"/>
        <v/>
      </c>
      <c r="K532" s="19" t="str">
        <f>IF(I532="","",IF(J532&gt;=Parameters!$B$5,I532,"HOLD"))</f>
        <v/>
      </c>
      <c r="L532" s="11"/>
      <c r="M532" s="11"/>
      <c r="N532" s="21" t="str">
        <f t="shared" si="115"/>
        <v/>
      </c>
      <c r="O532" s="21" t="str">
        <f>IF(NOT(ISNUMBER(N532)),"",IF(K532="A",MIN(Parameters!$B$8,N532+Parameters!$B$6),IF(K532="B",MAX(Parameters!$B$7,N532-Parameters!$B$6),N532)))</f>
        <v/>
      </c>
      <c r="P532" s="22" t="str">
        <f t="shared" si="116"/>
        <v/>
      </c>
      <c r="Q532" s="22" t="str">
        <f t="shared" si="117"/>
        <v/>
      </c>
      <c r="R532" s="22" t="str">
        <f t="shared" si="118"/>
        <v/>
      </c>
      <c r="S532" s="22" t="str">
        <f t="shared" si="119"/>
        <v/>
      </c>
      <c r="T532" s="21" t="e">
        <f t="shared" si="120"/>
        <v>#VALUE!</v>
      </c>
      <c r="U532" s="19" t="str">
        <f t="shared" si="121"/>
        <v/>
      </c>
      <c r="V532" s="35" t="s">
        <v>98</v>
      </c>
    </row>
    <row r="533" spans="1:22">
      <c r="A533" s="4">
        <v>46909</v>
      </c>
      <c r="B533" s="7"/>
      <c r="C533" s="7"/>
      <c r="D533" s="6" t="str">
        <f t="shared" si="112"/>
        <v/>
      </c>
      <c r="E533" s="8" t="str">
        <f t="shared" si="109"/>
        <v/>
      </c>
      <c r="F533" s="9" t="str">
        <f t="shared" si="110"/>
        <v/>
      </c>
      <c r="G533" s="9" t="str">
        <f t="shared" si="111"/>
        <v/>
      </c>
      <c r="H533" s="9" t="str">
        <f t="shared" si="113"/>
        <v/>
      </c>
      <c r="I533" t="str">
        <f t="shared" si="114"/>
        <v/>
      </c>
      <c r="J533" t="str">
        <f t="shared" si="122"/>
        <v/>
      </c>
      <c r="K533" t="str">
        <f>IF(I533="","",IF(J533&gt;=Parameters!$B$5,I533,"HOLD"))</f>
        <v/>
      </c>
      <c r="L533" s="11"/>
      <c r="M533" s="11"/>
      <c r="N533" s="12" t="str">
        <f t="shared" si="115"/>
        <v/>
      </c>
      <c r="O533" s="12" t="str">
        <f>IF(NOT(ISNUMBER(N533)),"",IF(K533="A",MIN(Parameters!$B$8,N533+Parameters!$B$6),IF(K533="B",MAX(Parameters!$B$7,N533-Parameters!$B$6),N533)))</f>
        <v/>
      </c>
      <c r="P533" s="13" t="str">
        <f t="shared" si="116"/>
        <v/>
      </c>
      <c r="Q533" s="13" t="str">
        <f t="shared" si="117"/>
        <v/>
      </c>
      <c r="R533" s="13" t="str">
        <f t="shared" si="118"/>
        <v/>
      </c>
      <c r="S533" s="13" t="str">
        <f t="shared" si="119"/>
        <v/>
      </c>
      <c r="T533" s="12" t="e">
        <f t="shared" si="120"/>
        <v>#VALUE!</v>
      </c>
      <c r="U533" t="str">
        <f t="shared" si="121"/>
        <v/>
      </c>
      <c r="V533" s="25" t="s">
        <v>98</v>
      </c>
    </row>
    <row r="534" spans="1:22">
      <c r="A534" s="14">
        <v>46916</v>
      </c>
      <c r="B534" s="7"/>
      <c r="C534" s="7"/>
      <c r="D534" s="16" t="str">
        <f t="shared" si="112"/>
        <v/>
      </c>
      <c r="E534" s="17" t="str">
        <f t="shared" si="109"/>
        <v/>
      </c>
      <c r="F534" s="18" t="str">
        <f t="shared" si="110"/>
        <v/>
      </c>
      <c r="G534" s="18" t="str">
        <f t="shared" si="111"/>
        <v/>
      </c>
      <c r="H534" s="18" t="str">
        <f t="shared" si="113"/>
        <v/>
      </c>
      <c r="I534" s="19" t="str">
        <f t="shared" si="114"/>
        <v/>
      </c>
      <c r="J534" s="19" t="str">
        <f t="shared" si="122"/>
        <v/>
      </c>
      <c r="K534" s="19" t="str">
        <f>IF(I534="","",IF(J534&gt;=Parameters!$B$5,I534,"HOLD"))</f>
        <v/>
      </c>
      <c r="L534" s="11"/>
      <c r="M534" s="11"/>
      <c r="N534" s="21" t="str">
        <f t="shared" si="115"/>
        <v/>
      </c>
      <c r="O534" s="21" t="str">
        <f>IF(NOT(ISNUMBER(N534)),"",IF(K534="A",MIN(Parameters!$B$8,N534+Parameters!$B$6),IF(K534="B",MAX(Parameters!$B$7,N534-Parameters!$B$6),N534)))</f>
        <v/>
      </c>
      <c r="P534" s="22" t="str">
        <f t="shared" si="116"/>
        <v/>
      </c>
      <c r="Q534" s="22" t="str">
        <f t="shared" si="117"/>
        <v/>
      </c>
      <c r="R534" s="22" t="str">
        <f t="shared" si="118"/>
        <v/>
      </c>
      <c r="S534" s="22" t="str">
        <f t="shared" si="119"/>
        <v/>
      </c>
      <c r="T534" s="21" t="e">
        <f t="shared" si="120"/>
        <v>#VALUE!</v>
      </c>
      <c r="U534" s="19" t="str">
        <f t="shared" si="121"/>
        <v/>
      </c>
      <c r="V534" s="35" t="s">
        <v>98</v>
      </c>
    </row>
    <row r="535" spans="1:22">
      <c r="A535" s="4">
        <v>46923</v>
      </c>
      <c r="B535" s="7"/>
      <c r="C535" s="7"/>
      <c r="D535" s="6" t="str">
        <f t="shared" si="112"/>
        <v/>
      </c>
      <c r="E535" s="8" t="str">
        <f t="shared" si="109"/>
        <v/>
      </c>
      <c r="F535" s="9" t="str">
        <f t="shared" si="110"/>
        <v/>
      </c>
      <c r="G535" s="9" t="str">
        <f t="shared" si="111"/>
        <v/>
      </c>
      <c r="H535" s="9" t="str">
        <f t="shared" si="113"/>
        <v/>
      </c>
      <c r="I535" t="str">
        <f t="shared" si="114"/>
        <v/>
      </c>
      <c r="J535" t="str">
        <f t="shared" si="122"/>
        <v/>
      </c>
      <c r="K535" t="str">
        <f>IF(I535="","",IF(J535&gt;=Parameters!$B$5,I535,"HOLD"))</f>
        <v/>
      </c>
      <c r="L535" s="11"/>
      <c r="M535" s="11"/>
      <c r="N535" s="12" t="str">
        <f t="shared" si="115"/>
        <v/>
      </c>
      <c r="O535" s="12" t="str">
        <f>IF(NOT(ISNUMBER(N535)),"",IF(K535="A",MIN(Parameters!$B$8,N535+Parameters!$B$6),IF(K535="B",MAX(Parameters!$B$7,N535-Parameters!$B$6),N535)))</f>
        <v/>
      </c>
      <c r="P535" s="13" t="str">
        <f t="shared" si="116"/>
        <v/>
      </c>
      <c r="Q535" s="13" t="str">
        <f t="shared" si="117"/>
        <v/>
      </c>
      <c r="R535" s="13" t="str">
        <f t="shared" si="118"/>
        <v/>
      </c>
      <c r="S535" s="13" t="str">
        <f t="shared" si="119"/>
        <v/>
      </c>
      <c r="T535" s="12" t="e">
        <f t="shared" si="120"/>
        <v>#VALUE!</v>
      </c>
      <c r="U535" t="str">
        <f t="shared" si="121"/>
        <v/>
      </c>
      <c r="V535" s="25" t="s">
        <v>98</v>
      </c>
    </row>
    <row r="536" spans="1:22">
      <c r="A536" s="14">
        <v>46930</v>
      </c>
      <c r="B536" s="7"/>
      <c r="C536" s="7"/>
      <c r="D536" s="16" t="str">
        <f t="shared" si="112"/>
        <v/>
      </c>
      <c r="E536" s="17" t="str">
        <f t="shared" si="109"/>
        <v/>
      </c>
      <c r="F536" s="18" t="str">
        <f t="shared" si="110"/>
        <v/>
      </c>
      <c r="G536" s="18" t="str">
        <f t="shared" si="111"/>
        <v/>
      </c>
      <c r="H536" s="18" t="str">
        <f t="shared" si="113"/>
        <v/>
      </c>
      <c r="I536" s="19" t="str">
        <f t="shared" si="114"/>
        <v/>
      </c>
      <c r="J536" s="19" t="str">
        <f t="shared" si="122"/>
        <v/>
      </c>
      <c r="K536" s="19" t="str">
        <f>IF(I536="","",IF(J536&gt;=Parameters!$B$5,I536,"HOLD"))</f>
        <v/>
      </c>
      <c r="L536" s="11"/>
      <c r="M536" s="11"/>
      <c r="N536" s="21" t="str">
        <f t="shared" si="115"/>
        <v/>
      </c>
      <c r="O536" s="21" t="str">
        <f>IF(NOT(ISNUMBER(N536)),"",IF(K536="A",MIN(Parameters!$B$8,N536+Parameters!$B$6),IF(K536="B",MAX(Parameters!$B$7,N536-Parameters!$B$6),N536)))</f>
        <v/>
      </c>
      <c r="P536" s="22" t="str">
        <f t="shared" si="116"/>
        <v/>
      </c>
      <c r="Q536" s="22" t="str">
        <f t="shared" si="117"/>
        <v/>
      </c>
      <c r="R536" s="22" t="str">
        <f t="shared" si="118"/>
        <v/>
      </c>
      <c r="S536" s="22" t="str">
        <f t="shared" si="119"/>
        <v/>
      </c>
      <c r="T536" s="21" t="e">
        <f t="shared" si="120"/>
        <v>#VALUE!</v>
      </c>
      <c r="U536" s="19" t="str">
        <f t="shared" si="121"/>
        <v/>
      </c>
      <c r="V536" s="35" t="s">
        <v>98</v>
      </c>
    </row>
    <row r="537" spans="1:22">
      <c r="A537" s="4">
        <v>46937</v>
      </c>
      <c r="B537" s="7"/>
      <c r="C537" s="7"/>
      <c r="D537" s="6" t="str">
        <f t="shared" si="112"/>
        <v/>
      </c>
      <c r="E537" s="8" t="str">
        <f t="shared" si="109"/>
        <v/>
      </c>
      <c r="F537" s="9" t="str">
        <f t="shared" si="110"/>
        <v/>
      </c>
      <c r="G537" s="9" t="str">
        <f t="shared" si="111"/>
        <v/>
      </c>
      <c r="H537" s="9" t="str">
        <f t="shared" si="113"/>
        <v/>
      </c>
      <c r="I537" t="str">
        <f t="shared" si="114"/>
        <v/>
      </c>
      <c r="J537" t="str">
        <f t="shared" si="122"/>
        <v/>
      </c>
      <c r="K537" t="str">
        <f>IF(I537="","",IF(J537&gt;=Parameters!$B$5,I537,"HOLD"))</f>
        <v/>
      </c>
      <c r="L537" s="11"/>
      <c r="M537" s="11"/>
      <c r="N537" s="12" t="str">
        <f t="shared" si="115"/>
        <v/>
      </c>
      <c r="O537" s="12" t="str">
        <f>IF(NOT(ISNUMBER(N537)),"",IF(K537="A",MIN(Parameters!$B$8,N537+Parameters!$B$6),IF(K537="B",MAX(Parameters!$B$7,N537-Parameters!$B$6),N537)))</f>
        <v/>
      </c>
      <c r="P537" s="13" t="str">
        <f t="shared" si="116"/>
        <v/>
      </c>
      <c r="Q537" s="13" t="str">
        <f t="shared" si="117"/>
        <v/>
      </c>
      <c r="R537" s="13" t="str">
        <f t="shared" si="118"/>
        <v/>
      </c>
      <c r="S537" s="13" t="str">
        <f t="shared" si="119"/>
        <v/>
      </c>
      <c r="T537" s="12" t="e">
        <f t="shared" si="120"/>
        <v>#VALUE!</v>
      </c>
      <c r="U537" t="str">
        <f t="shared" si="121"/>
        <v/>
      </c>
      <c r="V537" s="25" t="s">
        <v>98</v>
      </c>
    </row>
    <row r="538" spans="1:22">
      <c r="A538" s="14">
        <v>46944</v>
      </c>
      <c r="B538" s="7"/>
      <c r="C538" s="7"/>
      <c r="D538" s="16" t="str">
        <f t="shared" si="112"/>
        <v/>
      </c>
      <c r="E538" s="17" t="str">
        <f t="shared" si="109"/>
        <v/>
      </c>
      <c r="F538" s="18" t="str">
        <f t="shared" si="110"/>
        <v/>
      </c>
      <c r="G538" s="18" t="str">
        <f t="shared" si="111"/>
        <v/>
      </c>
      <c r="H538" s="18" t="str">
        <f t="shared" si="113"/>
        <v/>
      </c>
      <c r="I538" s="19" t="str">
        <f t="shared" si="114"/>
        <v/>
      </c>
      <c r="J538" s="19" t="str">
        <f t="shared" si="122"/>
        <v/>
      </c>
      <c r="K538" s="19" t="str">
        <f>IF(I538="","",IF(J538&gt;=Parameters!$B$5,I538,"HOLD"))</f>
        <v/>
      </c>
      <c r="L538" s="11"/>
      <c r="M538" s="11"/>
      <c r="N538" s="21" t="str">
        <f t="shared" si="115"/>
        <v/>
      </c>
      <c r="O538" s="21" t="str">
        <f>IF(NOT(ISNUMBER(N538)),"",IF(K538="A",MIN(Parameters!$B$8,N538+Parameters!$B$6),IF(K538="B",MAX(Parameters!$B$7,N538-Parameters!$B$6),N538)))</f>
        <v/>
      </c>
      <c r="P538" s="22" t="str">
        <f t="shared" si="116"/>
        <v/>
      </c>
      <c r="Q538" s="22" t="str">
        <f t="shared" si="117"/>
        <v/>
      </c>
      <c r="R538" s="22" t="str">
        <f t="shared" si="118"/>
        <v/>
      </c>
      <c r="S538" s="22" t="str">
        <f t="shared" si="119"/>
        <v/>
      </c>
      <c r="T538" s="21" t="e">
        <f t="shared" si="120"/>
        <v>#VALUE!</v>
      </c>
      <c r="U538" s="19" t="str">
        <f t="shared" si="121"/>
        <v/>
      </c>
      <c r="V538" s="35" t="s">
        <v>98</v>
      </c>
    </row>
    <row r="539" spans="1:22">
      <c r="A539" s="4">
        <v>46951</v>
      </c>
      <c r="B539" s="7"/>
      <c r="C539" s="7"/>
      <c r="D539" s="6" t="str">
        <f t="shared" si="112"/>
        <v/>
      </c>
      <c r="E539" s="8" t="str">
        <f t="shared" si="109"/>
        <v/>
      </c>
      <c r="F539" s="9" t="str">
        <f t="shared" si="110"/>
        <v/>
      </c>
      <c r="G539" s="9" t="str">
        <f t="shared" si="111"/>
        <v/>
      </c>
      <c r="H539" s="9" t="str">
        <f t="shared" si="113"/>
        <v/>
      </c>
      <c r="I539" t="str">
        <f t="shared" si="114"/>
        <v/>
      </c>
      <c r="J539" t="str">
        <f t="shared" si="122"/>
        <v/>
      </c>
      <c r="K539" t="str">
        <f>IF(I539="","",IF(J539&gt;=Parameters!$B$5,I539,"HOLD"))</f>
        <v/>
      </c>
      <c r="L539" s="11"/>
      <c r="M539" s="11"/>
      <c r="N539" s="12" t="str">
        <f t="shared" si="115"/>
        <v/>
      </c>
      <c r="O539" s="12" t="str">
        <f>IF(NOT(ISNUMBER(N539)),"",IF(K539="A",MIN(Parameters!$B$8,N539+Parameters!$B$6),IF(K539="B",MAX(Parameters!$B$7,N539-Parameters!$B$6),N539)))</f>
        <v/>
      </c>
      <c r="P539" s="13" t="str">
        <f t="shared" si="116"/>
        <v/>
      </c>
      <c r="Q539" s="13" t="str">
        <f t="shared" si="117"/>
        <v/>
      </c>
      <c r="R539" s="13" t="str">
        <f t="shared" si="118"/>
        <v/>
      </c>
      <c r="S539" s="13" t="str">
        <f t="shared" si="119"/>
        <v/>
      </c>
      <c r="T539" s="12" t="e">
        <f t="shared" si="120"/>
        <v>#VALUE!</v>
      </c>
      <c r="U539" t="str">
        <f t="shared" si="121"/>
        <v/>
      </c>
      <c r="V539" s="25" t="s">
        <v>98</v>
      </c>
    </row>
    <row r="540" spans="1:22">
      <c r="A540" s="14">
        <v>46958</v>
      </c>
      <c r="B540" s="7"/>
      <c r="C540" s="7"/>
      <c r="D540" s="16" t="str">
        <f t="shared" si="112"/>
        <v/>
      </c>
      <c r="E540" s="17" t="str">
        <f t="shared" si="109"/>
        <v/>
      </c>
      <c r="F540" s="18" t="str">
        <f t="shared" si="110"/>
        <v/>
      </c>
      <c r="G540" s="18" t="str">
        <f t="shared" si="111"/>
        <v/>
      </c>
      <c r="H540" s="18" t="str">
        <f t="shared" si="113"/>
        <v/>
      </c>
      <c r="I540" s="19" t="str">
        <f t="shared" si="114"/>
        <v/>
      </c>
      <c r="J540" s="19" t="str">
        <f t="shared" si="122"/>
        <v/>
      </c>
      <c r="K540" s="19" t="str">
        <f>IF(I540="","",IF(J540&gt;=Parameters!$B$5,I540,"HOLD"))</f>
        <v/>
      </c>
      <c r="L540" s="11"/>
      <c r="M540" s="11"/>
      <c r="N540" s="21" t="str">
        <f t="shared" si="115"/>
        <v/>
      </c>
      <c r="O540" s="21" t="str">
        <f>IF(NOT(ISNUMBER(N540)),"",IF(K540="A",MIN(Parameters!$B$8,N540+Parameters!$B$6),IF(K540="B",MAX(Parameters!$B$7,N540-Parameters!$B$6),N540)))</f>
        <v/>
      </c>
      <c r="P540" s="22" t="str">
        <f t="shared" si="116"/>
        <v/>
      </c>
      <c r="Q540" s="22" t="str">
        <f t="shared" si="117"/>
        <v/>
      </c>
      <c r="R540" s="22" t="str">
        <f t="shared" si="118"/>
        <v/>
      </c>
      <c r="S540" s="22" t="str">
        <f t="shared" si="119"/>
        <v/>
      </c>
      <c r="T540" s="21" t="e">
        <f t="shared" si="120"/>
        <v>#VALUE!</v>
      </c>
      <c r="U540" s="19" t="str">
        <f t="shared" si="121"/>
        <v/>
      </c>
      <c r="V540" s="35" t="s">
        <v>98</v>
      </c>
    </row>
    <row r="541" spans="1:22">
      <c r="A541" s="4">
        <v>46965</v>
      </c>
      <c r="B541" s="7"/>
      <c r="C541" s="7"/>
      <c r="D541" s="6" t="str">
        <f t="shared" si="112"/>
        <v/>
      </c>
      <c r="E541" s="8" t="str">
        <f t="shared" ref="E541:E604" si="123">IF(NOT(ISNUMBER(D541)),"",COUNTIF(D516:D541,"&gt;0"))</f>
        <v/>
      </c>
      <c r="F541" s="9" t="str">
        <f t="shared" ref="F541:F604" si="124">IF(OR(NOT(ISNUMBER(E541)),E541&lt;2),"",IFERROR((SUMPRODUCT(--(D516:D541&gt;0),B516:B541,D516:D541)-SUMPRODUCT(--(D516:D541&gt;0),B516:B541)*SUMPRODUCT(--(D516:D541&gt;0),D516:D541)/E541)/(SUMPRODUCT(--(D516:D541&gt;0),D516:D541,D516:D541)-SUMPRODUCT(--(D516:D541&gt;0),D516:D541)^2/E541),""))</f>
        <v/>
      </c>
      <c r="G541" s="9" t="str">
        <f t="shared" ref="G541:G604" si="125">IF(OR(NOT(ISNUMBER(E541)),E541&lt;2),"",IFERROR((SUMPRODUCT(--(D516:D541&gt;0),C516:C541,D516:D541)-SUMPRODUCT(--(D516:D541&gt;0),C516:C541)*SUMPRODUCT(--(D516:D541&gt;0),D516:D541)/E541)/(SUMPRODUCT(--(D516:D541&gt;0),D516:D541,D516:D541)-SUMPRODUCT(--(D516:D541&gt;0),D516:D541)^2/E541),""))</f>
        <v/>
      </c>
      <c r="H541" s="9" t="str">
        <f t="shared" si="113"/>
        <v/>
      </c>
      <c r="I541" t="str">
        <f t="shared" si="114"/>
        <v/>
      </c>
      <c r="J541" t="str">
        <f t="shared" si="122"/>
        <v/>
      </c>
      <c r="K541" t="str">
        <f>IF(I541="","",IF(J541&gt;=Parameters!$B$5,I541,"HOLD"))</f>
        <v/>
      </c>
      <c r="L541" s="11"/>
      <c r="M541" s="11"/>
      <c r="N541" s="12" t="str">
        <f t="shared" si="115"/>
        <v/>
      </c>
      <c r="O541" s="12" t="str">
        <f>IF(NOT(ISNUMBER(N541)),"",IF(K541="A",MIN(Parameters!$B$8,N541+Parameters!$B$6),IF(K541="B",MAX(Parameters!$B$7,N541-Parameters!$B$6),N541)))</f>
        <v/>
      </c>
      <c r="P541" s="13" t="str">
        <f t="shared" si="116"/>
        <v/>
      </c>
      <c r="Q541" s="13" t="str">
        <f t="shared" si="117"/>
        <v/>
      </c>
      <c r="R541" s="13" t="str">
        <f t="shared" si="118"/>
        <v/>
      </c>
      <c r="S541" s="13" t="str">
        <f t="shared" si="119"/>
        <v/>
      </c>
      <c r="T541" s="12" t="e">
        <f t="shared" si="120"/>
        <v>#VALUE!</v>
      </c>
      <c r="U541" t="str">
        <f t="shared" si="121"/>
        <v/>
      </c>
      <c r="V541" s="25" t="s">
        <v>98</v>
      </c>
    </row>
  </sheetData>
  <mergeCells count="2">
    <mergeCell ref="A1:V1"/>
    <mergeCell ref="A2:V2"/>
  </mergeCells>
  <conditionalFormatting sqref="H29:H541">
    <cfRule type="colorScale" priority="8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I4:I541">
    <cfRule type="expression" dxfId="5" priority="1">
      <formula>I4="A"</formula>
    </cfRule>
    <cfRule type="expression" dxfId="4" priority="2">
      <formula>I4="B"</formula>
    </cfRule>
    <cfRule type="expression" dxfId="3" priority="3">
      <formula>I4="HOLD"</formula>
    </cfRule>
  </conditionalFormatting>
  <conditionalFormatting sqref="J4:J541">
    <cfRule type="dataBar" priority="7">
      <dataBar>
        <cfvo type="min"/>
        <cfvo type="max"/>
        <color rgb="FFA02B93"/>
      </dataBar>
    </cfRule>
    <cfRule type="dataBar" priority="9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{DFFDF1D4-5E24-4857-439D-0886E0BC475C}</x14:id>
        </ext>
      </extLst>
    </cfRule>
  </conditionalFormatting>
  <conditionalFormatting sqref="K4:K541">
    <cfRule type="expression" dxfId="2" priority="4">
      <formula>K4="A"</formula>
    </cfRule>
    <cfRule type="expression" dxfId="1" priority="5">
      <formula>K4="B"</formula>
    </cfRule>
    <cfRule type="expression" dxfId="0" priority="6">
      <formula>K4="HOLD"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FDF1D4-5E24-4857-439D-0886E0BC475C}">
            <x14:dataBar>
              <x14:cfvo type="min"/>
              <x14:cfvo type="max"/>
              <x14:negativeFillColor auto="1"/>
              <x14:axisColor auto="1"/>
            </x14:dataBar>
          </x14:cfRule>
          <xm:sqref>J4:J541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4.25"/>
  <cols>
    <col min="1" max="1" width="8" customWidth="1"/>
    <col min="2" max="2" width="36" customWidth="1"/>
    <col min="3" max="3" width="90" customWidth="1"/>
  </cols>
  <sheetData>
    <row r="1" spans="1:3" ht="24" customHeight="1">
      <c r="A1" s="59" t="s">
        <v>99</v>
      </c>
      <c r="B1" s="59"/>
      <c r="C1" s="59"/>
    </row>
    <row r="2" spans="1:3">
      <c r="A2" s="25"/>
      <c r="B2" s="25"/>
      <c r="C2" s="25"/>
    </row>
    <row r="3" spans="1:3">
      <c r="A3" s="1" t="s">
        <v>100</v>
      </c>
      <c r="B3" s="1" t="s">
        <v>101</v>
      </c>
      <c r="C3" s="1" t="s">
        <v>102</v>
      </c>
    </row>
    <row r="4" spans="1:3" ht="33.950000000000003" customHeight="1">
      <c r="A4" s="25" t="s">
        <v>103</v>
      </c>
      <c r="B4" s="25" t="s">
        <v>104</v>
      </c>
      <c r="C4" s="25" t="s">
        <v>105</v>
      </c>
    </row>
    <row r="5" spans="1:3" ht="33.950000000000003" customHeight="1">
      <c r="A5" s="25" t="s">
        <v>106</v>
      </c>
      <c r="B5" s="25" t="s">
        <v>107</v>
      </c>
      <c r="C5" s="25" t="s">
        <v>108</v>
      </c>
    </row>
    <row r="6" spans="1:3" ht="33.950000000000003" customHeight="1">
      <c r="A6" s="25" t="s">
        <v>109</v>
      </c>
      <c r="B6" s="25" t="s">
        <v>110</v>
      </c>
      <c r="C6" s="25" t="s">
        <v>111</v>
      </c>
    </row>
    <row r="7" spans="1:3" ht="33.950000000000003" customHeight="1">
      <c r="A7" s="25" t="s">
        <v>112</v>
      </c>
      <c r="B7" s="25" t="s">
        <v>113</v>
      </c>
      <c r="C7" s="25" t="s">
        <v>114</v>
      </c>
    </row>
    <row r="8" spans="1:3" ht="33.950000000000003" customHeight="1">
      <c r="A8" s="25" t="s">
        <v>115</v>
      </c>
      <c r="B8" s="25" t="s">
        <v>116</v>
      </c>
      <c r="C8" s="25" t="s">
        <v>117</v>
      </c>
    </row>
    <row r="9" spans="1:3" ht="33.950000000000003" customHeight="1">
      <c r="A9" s="25" t="s">
        <v>118</v>
      </c>
      <c r="B9" s="25" t="s">
        <v>119</v>
      </c>
      <c r="C9" s="25" t="s">
        <v>120</v>
      </c>
    </row>
    <row r="10" spans="1:3" ht="33.950000000000003" customHeight="1">
      <c r="A10" s="25" t="s">
        <v>121</v>
      </c>
      <c r="B10" s="25" t="s">
        <v>122</v>
      </c>
      <c r="C10" s="25" t="s">
        <v>123</v>
      </c>
    </row>
    <row r="11" spans="1:3" ht="33.950000000000003" customHeight="1">
      <c r="A11" s="25" t="s">
        <v>124</v>
      </c>
      <c r="B11" s="25" t="s">
        <v>125</v>
      </c>
      <c r="C11" s="25" t="s">
        <v>126</v>
      </c>
    </row>
    <row r="12" spans="1:3" ht="33.950000000000003" customHeight="1">
      <c r="A12" s="25" t="s">
        <v>127</v>
      </c>
      <c r="B12" s="25" t="s">
        <v>128</v>
      </c>
      <c r="C12" s="25" t="s">
        <v>129</v>
      </c>
    </row>
    <row r="13" spans="1:3" ht="33.950000000000003" customHeight="1">
      <c r="A13" s="25" t="s">
        <v>130</v>
      </c>
      <c r="B13" s="25" t="s">
        <v>131</v>
      </c>
      <c r="C13" s="25" t="s">
        <v>132</v>
      </c>
    </row>
    <row r="14" spans="1:3" ht="33.950000000000003" customHeight="1">
      <c r="A14" s="25" t="s">
        <v>133</v>
      </c>
      <c r="B14" s="25" t="s">
        <v>134</v>
      </c>
      <c r="C14" s="25" t="s">
        <v>135</v>
      </c>
    </row>
    <row r="15" spans="1:3" ht="33.950000000000003" customHeight="1">
      <c r="A15" s="25" t="s">
        <v>136</v>
      </c>
      <c r="B15" s="25" t="s">
        <v>137</v>
      </c>
      <c r="C15" s="25" t="s">
        <v>138</v>
      </c>
    </row>
    <row r="16" spans="1:3" ht="33.950000000000003" customHeight="1">
      <c r="A16" s="25" t="s">
        <v>139</v>
      </c>
      <c r="B16" s="25" t="s">
        <v>140</v>
      </c>
      <c r="C16" s="25" t="s">
        <v>141</v>
      </c>
    </row>
    <row r="17" spans="1:3" ht="33.950000000000003" customHeight="1">
      <c r="A17" s="25"/>
      <c r="B17" s="25"/>
      <c r="C17" s="25"/>
    </row>
    <row r="18" spans="1:3" ht="33.950000000000003" customHeight="1">
      <c r="A18" s="60" t="s">
        <v>142</v>
      </c>
      <c r="B18" s="60"/>
      <c r="C18" s="60"/>
    </row>
    <row r="19" spans="1:3" ht="33.950000000000003" customHeight="1">
      <c r="A19" s="25"/>
      <c r="B19" s="25" t="s">
        <v>143</v>
      </c>
      <c r="C19" s="25" t="s">
        <v>144</v>
      </c>
    </row>
    <row r="20" spans="1:3" ht="33.950000000000003" customHeight="1">
      <c r="A20" s="25"/>
      <c r="B20" s="25" t="s">
        <v>145</v>
      </c>
      <c r="C20" s="25" t="s">
        <v>146</v>
      </c>
    </row>
    <row r="21" spans="1:3" ht="33.950000000000003" customHeight="1">
      <c r="A21" s="25"/>
      <c r="B21" s="25" t="s">
        <v>147</v>
      </c>
      <c r="C21" s="25" t="s">
        <v>148</v>
      </c>
    </row>
  </sheetData>
  <mergeCells count="2">
    <mergeCell ref="A1:C1"/>
    <mergeCell ref="A18:C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4.25"/>
  <cols>
    <col min="1" max="2" width="16" customWidth="1"/>
    <col min="3" max="3" width="12" customWidth="1"/>
    <col min="4" max="4" width="44" customWidth="1"/>
  </cols>
  <sheetData>
    <row r="1" spans="1:4" ht="24" customHeight="1">
      <c r="A1" s="62" t="s">
        <v>149</v>
      </c>
      <c r="B1" s="62"/>
      <c r="C1" s="62"/>
      <c r="D1" s="62"/>
    </row>
    <row r="3" spans="1:4">
      <c r="A3" s="1" t="s">
        <v>150</v>
      </c>
      <c r="B3" s="1" t="s">
        <v>151</v>
      </c>
      <c r="C3" s="1" t="s">
        <v>152</v>
      </c>
      <c r="D3" s="1" t="s">
        <v>153</v>
      </c>
    </row>
    <row r="4" spans="1:4">
      <c r="A4" s="23">
        <v>44200</v>
      </c>
      <c r="B4" s="23">
        <v>44200</v>
      </c>
      <c r="C4" s="3">
        <v>0.19</v>
      </c>
      <c r="D4" s="2" t="s">
        <v>154</v>
      </c>
    </row>
    <row r="5" spans="1:4">
      <c r="A5" s="23">
        <v>44928</v>
      </c>
      <c r="B5" s="23">
        <v>44564</v>
      </c>
      <c r="C5" s="2"/>
      <c r="D5" s="2"/>
    </row>
    <row r="6" spans="1:4">
      <c r="A6" s="23">
        <v>45292</v>
      </c>
      <c r="B6" s="23">
        <v>44928</v>
      </c>
      <c r="C6" s="2"/>
      <c r="D6" s="2"/>
    </row>
    <row r="7" spans="1:4">
      <c r="A7" s="23">
        <v>45663</v>
      </c>
      <c r="B7" s="23">
        <v>45292</v>
      </c>
      <c r="C7" s="2"/>
      <c r="D7" s="2"/>
    </row>
    <row r="8" spans="1:4">
      <c r="A8" s="23">
        <v>46027</v>
      </c>
      <c r="B8" s="23">
        <v>45670</v>
      </c>
      <c r="C8" s="2"/>
      <c r="D8" s="2"/>
    </row>
    <row r="9" spans="1:4">
      <c r="A9" s="23"/>
      <c r="B9" s="23">
        <v>46027</v>
      </c>
      <c r="C9" s="2"/>
      <c r="D9" s="2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437"/>
  <sheetViews>
    <sheetView workbookViewId="0"/>
  </sheetViews>
  <sheetFormatPr defaultRowHeight="14.25"/>
  <cols>
    <col min="1" max="1" width="13" customWidth="1"/>
    <col min="2" max="21" width="15" customWidth="1"/>
    <col min="22" max="26" width="12" customWidth="1"/>
    <col min="27" max="32" width="15" customWidth="1"/>
    <col min="33" max="35" width="12" customWidth="1"/>
  </cols>
  <sheetData>
    <row r="1" spans="1:35" ht="24" customHeight="1">
      <c r="A1" s="62" t="s">
        <v>155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</row>
    <row r="2" spans="1:35">
      <c r="A2" s="63" t="s">
        <v>156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</row>
    <row r="3" spans="1:35" ht="42" customHeight="1">
      <c r="A3" s="1" t="s">
        <v>76</v>
      </c>
      <c r="B3" s="1" t="s">
        <v>157</v>
      </c>
      <c r="C3" s="1" t="s">
        <v>158</v>
      </c>
      <c r="D3" s="1" t="s">
        <v>159</v>
      </c>
      <c r="E3" s="1" t="s">
        <v>160</v>
      </c>
      <c r="F3" s="1" t="s">
        <v>161</v>
      </c>
      <c r="G3" s="1" t="s">
        <v>162</v>
      </c>
      <c r="H3" s="1" t="s">
        <v>163</v>
      </c>
      <c r="I3" s="1" t="s">
        <v>164</v>
      </c>
      <c r="J3" s="1" t="s">
        <v>165</v>
      </c>
      <c r="K3" s="1" t="s">
        <v>166</v>
      </c>
      <c r="L3" s="1" t="s">
        <v>167</v>
      </c>
      <c r="M3" s="1" t="s">
        <v>168</v>
      </c>
      <c r="N3" s="1" t="s">
        <v>169</v>
      </c>
      <c r="O3" s="1" t="s">
        <v>170</v>
      </c>
      <c r="P3" s="1" t="s">
        <v>171</v>
      </c>
      <c r="Q3" s="1" t="s">
        <v>172</v>
      </c>
      <c r="R3" s="1" t="s">
        <v>173</v>
      </c>
      <c r="S3" s="1" t="s">
        <v>174</v>
      </c>
      <c r="T3" s="1" t="s">
        <v>175</v>
      </c>
      <c r="U3" s="1" t="s">
        <v>176</v>
      </c>
      <c r="V3" s="1" t="s">
        <v>87</v>
      </c>
      <c r="W3" s="1" t="s">
        <v>82</v>
      </c>
      <c r="X3" s="1" t="s">
        <v>177</v>
      </c>
      <c r="Y3" s="1" t="s">
        <v>84</v>
      </c>
      <c r="Z3" s="1" t="s">
        <v>178</v>
      </c>
      <c r="AA3" s="1" t="s">
        <v>89</v>
      </c>
      <c r="AB3" s="1" t="s">
        <v>90</v>
      </c>
      <c r="AC3" s="1" t="s">
        <v>179</v>
      </c>
      <c r="AD3" s="1" t="s">
        <v>180</v>
      </c>
      <c r="AE3" s="1" t="s">
        <v>181</v>
      </c>
      <c r="AF3" s="1" t="s">
        <v>182</v>
      </c>
      <c r="AG3" s="1" t="s">
        <v>183</v>
      </c>
      <c r="AH3" s="1" t="s">
        <v>184</v>
      </c>
      <c r="AI3" s="1" t="s">
        <v>185</v>
      </c>
    </row>
    <row r="4" spans="1:35">
      <c r="A4" s="4">
        <f>'H237 Tracker'!A4</f>
        <v>43206</v>
      </c>
      <c r="B4" s="13">
        <f>Parameters!$B$9</f>
        <v>50000</v>
      </c>
      <c r="C4" s="13">
        <f>Parameters!$B$10</f>
        <v>50000</v>
      </c>
      <c r="D4" s="13">
        <f t="shared" ref="D4:D67" si="0">B4</f>
        <v>50000</v>
      </c>
      <c r="E4" s="13">
        <f t="shared" ref="E4:E67" si="1">C4</f>
        <v>50000</v>
      </c>
      <c r="F4" s="13">
        <f>0</f>
        <v>0</v>
      </c>
      <c r="G4" s="13">
        <f>0</f>
        <v>0</v>
      </c>
      <c r="H4" s="13">
        <f t="shared" ref="H4:H67" si="2">D4-F4</f>
        <v>50000</v>
      </c>
      <c r="I4" s="13">
        <f t="shared" ref="I4:I67" si="3">E4-G4</f>
        <v>50000</v>
      </c>
      <c r="J4" s="13">
        <f t="shared" ref="J4:J67" si="4">IF(H4&lt;0,MIN(-H4,MAX(I4,0)),0)</f>
        <v>0</v>
      </c>
      <c r="K4" s="13">
        <f t="shared" ref="K4:K67" si="5">IF(I4&lt;0,MIN(-I4,MAX(H4,0)),0)</f>
        <v>0</v>
      </c>
      <c r="L4" s="13">
        <f t="shared" ref="L4:L67" si="6">IF(H4&gt;=0,IF(I4&lt;0,MAX(H4+I4,0),H4),0)</f>
        <v>50000</v>
      </c>
      <c r="M4" s="13">
        <f t="shared" ref="M4:M67" si="7">IF(I4&gt;=0,IF(H4&lt;0,MAX(H4+I4,0),I4),0)</f>
        <v>50000</v>
      </c>
      <c r="N4" s="13">
        <f>MAX(0,INT(L4*Parameters!$B$14/Parameters!$B$13/Parameters!$B$12)*Parameters!$B$12)</f>
        <v>33235</v>
      </c>
      <c r="O4" s="13">
        <f>MAX(0,INT(M4*Parameters!$B$14/Parameters!$B$13/Parameters!$B$12)*Parameters!$B$12)</f>
        <v>33235</v>
      </c>
      <c r="P4" s="13">
        <f>N4*Parameters!$B$13*'H237 Tracker'!B4</f>
        <v>14437.284</v>
      </c>
      <c r="Q4" s="13">
        <f>O4*Parameters!$B$13*'H237 Tracker'!C4</f>
        <v>14437.284</v>
      </c>
      <c r="R4" s="13">
        <f>P4</f>
        <v>14437.284</v>
      </c>
      <c r="S4" s="13">
        <f>Q4</f>
        <v>14437.284</v>
      </c>
      <c r="T4" s="13">
        <f t="shared" ref="T4:T67" si="8">L4+P4</f>
        <v>64437.284</v>
      </c>
      <c r="U4" s="13">
        <f t="shared" ref="U4:U67" si="9">M4+Q4</f>
        <v>64437.284</v>
      </c>
      <c r="V4" s="12">
        <f t="shared" ref="V4:V67" si="10">IF(T4+U4=0,0.5,T4/(T4+U4))</f>
        <v>0.5</v>
      </c>
      <c r="W4" t="str">
        <f>'H237 Tracker'!I4</f>
        <v/>
      </c>
      <c r="X4" t="str">
        <f>'H237 Tracker'!J4</f>
        <v/>
      </c>
      <c r="Y4" t="str">
        <f>'H237 Tracker'!K4</f>
        <v/>
      </c>
      <c r="Z4" s="12">
        <f>'H237 Tracker'!O4</f>
        <v>0.5</v>
      </c>
      <c r="AA4" s="13">
        <f>'H237 Tracker'!P4</f>
        <v>0</v>
      </c>
      <c r="AB4" s="13">
        <f>'H237 Tracker'!Q4</f>
        <v>0</v>
      </c>
      <c r="AC4" s="13">
        <f t="shared" ref="AC4:AC67" si="11">T4-AA4+AB4</f>
        <v>64437.284</v>
      </c>
      <c r="AD4" s="13">
        <f t="shared" ref="AD4:AD67" si="12">U4+AA4-AB4</f>
        <v>64437.284</v>
      </c>
      <c r="AE4" s="13">
        <f t="shared" ref="AE4:AE67" si="13">AC4+AD4</f>
        <v>128874.568</v>
      </c>
      <c r="AF4" s="13">
        <f>MAX(Parameters!$B$9+Parameters!$B$10,AE4)</f>
        <v>128874.568</v>
      </c>
      <c r="AG4" s="24">
        <f t="shared" ref="AG4:AG67" si="14">IF(AF4=0,0,AE4/AF4-1)</f>
        <v>0</v>
      </c>
      <c r="AH4" s="8">
        <f>--(COUNTIF('Tax Events'!$A$4:$A$8,A4)&gt;0)</f>
        <v>0</v>
      </c>
      <c r="AI4" s="8">
        <f>--(COUNTIF('Tax Events'!$B$4:$B$9,A4)&gt;0)</f>
        <v>0</v>
      </c>
    </row>
    <row r="5" spans="1:35">
      <c r="A5" s="4">
        <f>'H237 Tracker'!A5</f>
        <v>43213</v>
      </c>
      <c r="B5" s="13">
        <f t="shared" ref="B5:B68" si="15">AC4</f>
        <v>64437.284</v>
      </c>
      <c r="C5" s="13">
        <f t="shared" ref="C5:C68" si="16">AD4</f>
        <v>64437.284</v>
      </c>
      <c r="D5" s="13">
        <f t="shared" si="0"/>
        <v>64437.284</v>
      </c>
      <c r="E5" s="13">
        <f t="shared" si="1"/>
        <v>64437.284</v>
      </c>
      <c r="F5" s="13">
        <f>IF(AH5=1,MAX(R4,0)*Parameters!$B$11,0)</f>
        <v>0</v>
      </c>
      <c r="G5" s="13">
        <f>IF(AI5=1,MAX(S4,0)*Parameters!$B$11,0)</f>
        <v>0</v>
      </c>
      <c r="H5" s="13">
        <f t="shared" si="2"/>
        <v>64437.284</v>
      </c>
      <c r="I5" s="13">
        <f t="shared" si="3"/>
        <v>64437.284</v>
      </c>
      <c r="J5" s="13">
        <f t="shared" si="4"/>
        <v>0</v>
      </c>
      <c r="K5" s="13">
        <f t="shared" si="5"/>
        <v>0</v>
      </c>
      <c r="L5" s="13">
        <f t="shared" si="6"/>
        <v>64437.284</v>
      </c>
      <c r="M5" s="13">
        <f t="shared" si="7"/>
        <v>64437.284</v>
      </c>
      <c r="N5" s="13">
        <f>MAX(0,INT(L5*Parameters!$B$14/Parameters!$B$13/Parameters!$B$12)*Parameters!$B$12)</f>
        <v>42895</v>
      </c>
      <c r="O5" s="13">
        <f>MAX(0,INT(M5*Parameters!$B$14/Parameters!$B$13/Parameters!$B$12)*Parameters!$B$12)</f>
        <v>42895</v>
      </c>
      <c r="P5" s="13">
        <f>N5*Parameters!$B$13*'H237 Tracker'!B5</f>
        <v>-14592.879000000001</v>
      </c>
      <c r="Q5" s="13">
        <f>O5*Parameters!$B$13*'H237 Tracker'!C5</f>
        <v>-14592.879000000001</v>
      </c>
      <c r="R5" s="13">
        <f t="shared" ref="R5:R68" si="17">IF(AH5=1,P5,R4+P5)</f>
        <v>-155.59500000000116</v>
      </c>
      <c r="S5" s="13">
        <f t="shared" ref="S5:S68" si="18">IF(AI5=1,Q5,S4+Q5)</f>
        <v>-155.59500000000116</v>
      </c>
      <c r="T5" s="13">
        <f t="shared" si="8"/>
        <v>49844.404999999999</v>
      </c>
      <c r="U5" s="13">
        <f t="shared" si="9"/>
        <v>49844.404999999999</v>
      </c>
      <c r="V5" s="12">
        <f t="shared" si="10"/>
        <v>0.5</v>
      </c>
      <c r="W5" t="str">
        <f>'H237 Tracker'!I5</f>
        <v/>
      </c>
      <c r="X5" t="str">
        <f>'H237 Tracker'!J5</f>
        <v/>
      </c>
      <c r="Y5" t="str">
        <f>'H237 Tracker'!K5</f>
        <v/>
      </c>
      <c r="Z5" s="12">
        <f>'H237 Tracker'!O5</f>
        <v>0.5</v>
      </c>
      <c r="AA5" s="13">
        <f>'H237 Tracker'!P5</f>
        <v>0</v>
      </c>
      <c r="AB5" s="13">
        <f>'H237 Tracker'!Q5</f>
        <v>0</v>
      </c>
      <c r="AC5" s="13">
        <f t="shared" si="11"/>
        <v>49844.404999999999</v>
      </c>
      <c r="AD5" s="13">
        <f t="shared" si="12"/>
        <v>49844.404999999999</v>
      </c>
      <c r="AE5" s="13">
        <f t="shared" si="13"/>
        <v>99688.81</v>
      </c>
      <c r="AF5" s="13">
        <f t="shared" ref="AF5:AF68" si="19">MAX(AF4,AE5)</f>
        <v>128874.568</v>
      </c>
      <c r="AG5" s="24">
        <f t="shared" si="14"/>
        <v>-0.22646638862060042</v>
      </c>
      <c r="AH5" s="8">
        <f>--(COUNTIF('Tax Events'!$A$4:$A$8,A5)&gt;0)</f>
        <v>0</v>
      </c>
      <c r="AI5" s="8">
        <f>--(COUNTIF('Tax Events'!$B$4:$B$9,A5)&gt;0)</f>
        <v>0</v>
      </c>
    </row>
    <row r="6" spans="1:35">
      <c r="A6" s="4">
        <f>'H237 Tracker'!A6</f>
        <v>43220</v>
      </c>
      <c r="B6" s="13">
        <f t="shared" si="15"/>
        <v>49844.404999999999</v>
      </c>
      <c r="C6" s="13">
        <f t="shared" si="16"/>
        <v>49844.404999999999</v>
      </c>
      <c r="D6" s="13">
        <f t="shared" si="0"/>
        <v>49844.404999999999</v>
      </c>
      <c r="E6" s="13">
        <f t="shared" si="1"/>
        <v>49844.404999999999</v>
      </c>
      <c r="F6" s="13">
        <f>IF(AH6=1,MAX(R5,0)*Parameters!$B$11,0)</f>
        <v>0</v>
      </c>
      <c r="G6" s="13">
        <f>IF(AI6=1,MAX(S5,0)*Parameters!$B$11,0)</f>
        <v>0</v>
      </c>
      <c r="H6" s="13">
        <f t="shared" si="2"/>
        <v>49844.404999999999</v>
      </c>
      <c r="I6" s="13">
        <f t="shared" si="3"/>
        <v>49844.404999999999</v>
      </c>
      <c r="J6" s="13">
        <f t="shared" si="4"/>
        <v>0</v>
      </c>
      <c r="K6" s="13">
        <f t="shared" si="5"/>
        <v>0</v>
      </c>
      <c r="L6" s="13">
        <f t="shared" si="6"/>
        <v>49844.404999999999</v>
      </c>
      <c r="M6" s="13">
        <f t="shared" si="7"/>
        <v>49844.404999999999</v>
      </c>
      <c r="N6" s="13">
        <f>MAX(0,INT(L6*Parameters!$B$14/Parameters!$B$13/Parameters!$B$12)*Parameters!$B$12)</f>
        <v>33120</v>
      </c>
      <c r="O6" s="13">
        <f>MAX(0,INT(M6*Parameters!$B$14/Parameters!$B$13/Parameters!$B$12)*Parameters!$B$12)</f>
        <v>33120</v>
      </c>
      <c r="P6" s="13">
        <f>N6*Parameters!$B$13*'H237 Tracker'!B6</f>
        <v>-4020.768</v>
      </c>
      <c r="Q6" s="13">
        <f>O6*Parameters!$B$13*'H237 Tracker'!C6</f>
        <v>-4020.768</v>
      </c>
      <c r="R6" s="13">
        <f t="shared" si="17"/>
        <v>-4176.3630000000012</v>
      </c>
      <c r="S6" s="13">
        <f t="shared" si="18"/>
        <v>-4176.3630000000012</v>
      </c>
      <c r="T6" s="13">
        <f t="shared" si="8"/>
        <v>45823.637000000002</v>
      </c>
      <c r="U6" s="13">
        <f t="shared" si="9"/>
        <v>45823.637000000002</v>
      </c>
      <c r="V6" s="12">
        <f t="shared" si="10"/>
        <v>0.5</v>
      </c>
      <c r="W6" t="str">
        <f>'H237 Tracker'!I6</f>
        <v/>
      </c>
      <c r="X6" t="str">
        <f>'H237 Tracker'!J6</f>
        <v/>
      </c>
      <c r="Y6" t="str">
        <f>'H237 Tracker'!K6</f>
        <v/>
      </c>
      <c r="Z6" s="12">
        <f>'H237 Tracker'!O6</f>
        <v>0.5</v>
      </c>
      <c r="AA6" s="13">
        <f>'H237 Tracker'!P6</f>
        <v>0</v>
      </c>
      <c r="AB6" s="13">
        <f>'H237 Tracker'!Q6</f>
        <v>0</v>
      </c>
      <c r="AC6" s="13">
        <f t="shared" si="11"/>
        <v>45823.637000000002</v>
      </c>
      <c r="AD6" s="13">
        <f t="shared" si="12"/>
        <v>45823.637000000002</v>
      </c>
      <c r="AE6" s="13">
        <f t="shared" si="13"/>
        <v>91647.274000000005</v>
      </c>
      <c r="AF6" s="13">
        <f t="shared" si="19"/>
        <v>128874.568</v>
      </c>
      <c r="AG6" s="24">
        <f t="shared" si="14"/>
        <v>-0.28886454928795569</v>
      </c>
      <c r="AH6" s="8">
        <f>--(COUNTIF('Tax Events'!$A$4:$A$8,A6)&gt;0)</f>
        <v>0</v>
      </c>
      <c r="AI6" s="8">
        <f>--(COUNTIF('Tax Events'!$B$4:$B$9,A6)&gt;0)</f>
        <v>0</v>
      </c>
    </row>
    <row r="7" spans="1:35">
      <c r="A7" s="4">
        <f>'H237 Tracker'!A7</f>
        <v>43227</v>
      </c>
      <c r="B7" s="13">
        <f t="shared" si="15"/>
        <v>45823.637000000002</v>
      </c>
      <c r="C7" s="13">
        <f t="shared" si="16"/>
        <v>45823.637000000002</v>
      </c>
      <c r="D7" s="13">
        <f t="shared" si="0"/>
        <v>45823.637000000002</v>
      </c>
      <c r="E7" s="13">
        <f t="shared" si="1"/>
        <v>45823.637000000002</v>
      </c>
      <c r="F7" s="13">
        <f>IF(AH7=1,MAX(R6,0)*Parameters!$B$11,0)</f>
        <v>0</v>
      </c>
      <c r="G7" s="13">
        <f>IF(AI7=1,MAX(S6,0)*Parameters!$B$11,0)</f>
        <v>0</v>
      </c>
      <c r="H7" s="13">
        <f t="shared" si="2"/>
        <v>45823.637000000002</v>
      </c>
      <c r="I7" s="13">
        <f t="shared" si="3"/>
        <v>45823.637000000002</v>
      </c>
      <c r="J7" s="13">
        <f t="shared" si="4"/>
        <v>0</v>
      </c>
      <c r="K7" s="13">
        <f t="shared" si="5"/>
        <v>0</v>
      </c>
      <c r="L7" s="13">
        <f t="shared" si="6"/>
        <v>45823.637000000002</v>
      </c>
      <c r="M7" s="13">
        <f t="shared" si="7"/>
        <v>45823.637000000002</v>
      </c>
      <c r="N7" s="13">
        <f>MAX(0,INT(L7*Parameters!$B$14/Parameters!$B$13/Parameters!$B$12)*Parameters!$B$12)</f>
        <v>30475</v>
      </c>
      <c r="O7" s="13">
        <f>MAX(0,INT(M7*Parameters!$B$14/Parameters!$B$13/Parameters!$B$12)*Parameters!$B$12)</f>
        <v>30475</v>
      </c>
      <c r="P7" s="13">
        <f>N7*Parameters!$B$13*'H237 Tracker'!B7</f>
        <v>13933.169999999998</v>
      </c>
      <c r="Q7" s="13">
        <f>O7*Parameters!$B$13*'H237 Tracker'!C7</f>
        <v>13933.169999999998</v>
      </c>
      <c r="R7" s="13">
        <f t="shared" si="17"/>
        <v>9756.8069999999971</v>
      </c>
      <c r="S7" s="13">
        <f t="shared" si="18"/>
        <v>9756.8069999999971</v>
      </c>
      <c r="T7" s="13">
        <f t="shared" si="8"/>
        <v>59756.807000000001</v>
      </c>
      <c r="U7" s="13">
        <f t="shared" si="9"/>
        <v>59756.807000000001</v>
      </c>
      <c r="V7" s="12">
        <f t="shared" si="10"/>
        <v>0.5</v>
      </c>
      <c r="W7" t="str">
        <f>'H237 Tracker'!I7</f>
        <v/>
      </c>
      <c r="X7" t="str">
        <f>'H237 Tracker'!J7</f>
        <v/>
      </c>
      <c r="Y7" t="str">
        <f>'H237 Tracker'!K7</f>
        <v/>
      </c>
      <c r="Z7" s="12">
        <f>'H237 Tracker'!O7</f>
        <v>0.5</v>
      </c>
      <c r="AA7" s="13">
        <f>'H237 Tracker'!P7</f>
        <v>0</v>
      </c>
      <c r="AB7" s="13">
        <f>'H237 Tracker'!Q7</f>
        <v>0</v>
      </c>
      <c r="AC7" s="13">
        <f t="shared" si="11"/>
        <v>59756.807000000001</v>
      </c>
      <c r="AD7" s="13">
        <f t="shared" si="12"/>
        <v>59756.807000000001</v>
      </c>
      <c r="AE7" s="13">
        <f t="shared" si="13"/>
        <v>119513.614</v>
      </c>
      <c r="AF7" s="13">
        <f t="shared" si="19"/>
        <v>128874.568</v>
      </c>
      <c r="AG7" s="24">
        <f t="shared" si="14"/>
        <v>-7.2636162008318017E-2</v>
      </c>
      <c r="AH7" s="8">
        <f>--(COUNTIF('Tax Events'!$A$4:$A$8,A7)&gt;0)</f>
        <v>0</v>
      </c>
      <c r="AI7" s="8">
        <f>--(COUNTIF('Tax Events'!$B$4:$B$9,A7)&gt;0)</f>
        <v>0</v>
      </c>
    </row>
    <row r="8" spans="1:35">
      <c r="A8" s="4">
        <f>'H237 Tracker'!A8</f>
        <v>43234</v>
      </c>
      <c r="B8" s="13">
        <f t="shared" si="15"/>
        <v>59756.807000000001</v>
      </c>
      <c r="C8" s="13">
        <f t="shared" si="16"/>
        <v>59756.807000000001</v>
      </c>
      <c r="D8" s="13">
        <f t="shared" si="0"/>
        <v>59756.807000000001</v>
      </c>
      <c r="E8" s="13">
        <f t="shared" si="1"/>
        <v>59756.807000000001</v>
      </c>
      <c r="F8" s="13">
        <f>IF(AH8=1,MAX(R7,0)*Parameters!$B$11,0)</f>
        <v>0</v>
      </c>
      <c r="G8" s="13">
        <f>IF(AI8=1,MAX(S7,0)*Parameters!$B$11,0)</f>
        <v>0</v>
      </c>
      <c r="H8" s="13">
        <f t="shared" si="2"/>
        <v>59756.807000000001</v>
      </c>
      <c r="I8" s="13">
        <f t="shared" si="3"/>
        <v>59756.807000000001</v>
      </c>
      <c r="J8" s="13">
        <f t="shared" si="4"/>
        <v>0</v>
      </c>
      <c r="K8" s="13">
        <f t="shared" si="5"/>
        <v>0</v>
      </c>
      <c r="L8" s="13">
        <f t="shared" si="6"/>
        <v>59756.807000000001</v>
      </c>
      <c r="M8" s="13">
        <f t="shared" si="7"/>
        <v>59756.807000000001</v>
      </c>
      <c r="N8" s="13">
        <f>MAX(0,INT(L8*Parameters!$B$14/Parameters!$B$13/Parameters!$B$12)*Parameters!$B$12)</f>
        <v>39790</v>
      </c>
      <c r="O8" s="13">
        <f>MAX(0,INT(M8*Parameters!$B$14/Parameters!$B$13/Parameters!$B$12)*Parameters!$B$12)</f>
        <v>39790</v>
      </c>
      <c r="P8" s="13">
        <f>N8*Parameters!$B$13*'H237 Tracker'!B8</f>
        <v>-3183.2000000000003</v>
      </c>
      <c r="Q8" s="13">
        <f>O8*Parameters!$B$13*'H237 Tracker'!C8</f>
        <v>-3183.2000000000003</v>
      </c>
      <c r="R8" s="13">
        <f t="shared" si="17"/>
        <v>6573.6069999999963</v>
      </c>
      <c r="S8" s="13">
        <f t="shared" si="18"/>
        <v>6573.6069999999963</v>
      </c>
      <c r="T8" s="13">
        <f t="shared" si="8"/>
        <v>56573.607000000004</v>
      </c>
      <c r="U8" s="13">
        <f t="shared" si="9"/>
        <v>56573.607000000004</v>
      </c>
      <c r="V8" s="12">
        <f t="shared" si="10"/>
        <v>0.5</v>
      </c>
      <c r="W8" t="str">
        <f>'H237 Tracker'!I8</f>
        <v/>
      </c>
      <c r="X8" t="str">
        <f>'H237 Tracker'!J8</f>
        <v/>
      </c>
      <c r="Y8" t="str">
        <f>'H237 Tracker'!K8</f>
        <v/>
      </c>
      <c r="Z8" s="12">
        <f>'H237 Tracker'!O8</f>
        <v>0.5</v>
      </c>
      <c r="AA8" s="13">
        <f>'H237 Tracker'!P8</f>
        <v>0</v>
      </c>
      <c r="AB8" s="13">
        <f>'H237 Tracker'!Q8</f>
        <v>0</v>
      </c>
      <c r="AC8" s="13">
        <f t="shared" si="11"/>
        <v>56573.607000000004</v>
      </c>
      <c r="AD8" s="13">
        <f t="shared" si="12"/>
        <v>56573.607000000004</v>
      </c>
      <c r="AE8" s="13">
        <f t="shared" si="13"/>
        <v>113147.21400000001</v>
      </c>
      <c r="AF8" s="13">
        <f t="shared" si="19"/>
        <v>128874.568</v>
      </c>
      <c r="AG8" s="24">
        <f t="shared" si="14"/>
        <v>-0.12203613361481835</v>
      </c>
      <c r="AH8" s="8">
        <f>--(COUNTIF('Tax Events'!$A$4:$A$8,A8)&gt;0)</f>
        <v>0</v>
      </c>
      <c r="AI8" s="8">
        <f>--(COUNTIF('Tax Events'!$B$4:$B$9,A8)&gt;0)</f>
        <v>0</v>
      </c>
    </row>
    <row r="9" spans="1:35">
      <c r="A9" s="4">
        <f>'H237 Tracker'!A9</f>
        <v>43241</v>
      </c>
      <c r="B9" s="13">
        <f t="shared" si="15"/>
        <v>56573.607000000004</v>
      </c>
      <c r="C9" s="13">
        <f t="shared" si="16"/>
        <v>56573.607000000004</v>
      </c>
      <c r="D9" s="13">
        <f t="shared" si="0"/>
        <v>56573.607000000004</v>
      </c>
      <c r="E9" s="13">
        <f t="shared" si="1"/>
        <v>56573.607000000004</v>
      </c>
      <c r="F9" s="13">
        <f>IF(AH9=1,MAX(R8,0)*Parameters!$B$11,0)</f>
        <v>0</v>
      </c>
      <c r="G9" s="13">
        <f>IF(AI9=1,MAX(S8,0)*Parameters!$B$11,0)</f>
        <v>0</v>
      </c>
      <c r="H9" s="13">
        <f t="shared" si="2"/>
        <v>56573.607000000004</v>
      </c>
      <c r="I9" s="13">
        <f t="shared" si="3"/>
        <v>56573.607000000004</v>
      </c>
      <c r="J9" s="13">
        <f t="shared" si="4"/>
        <v>0</v>
      </c>
      <c r="K9" s="13">
        <f t="shared" si="5"/>
        <v>0</v>
      </c>
      <c r="L9" s="13">
        <f t="shared" si="6"/>
        <v>56573.607000000004</v>
      </c>
      <c r="M9" s="13">
        <f t="shared" si="7"/>
        <v>56573.607000000004</v>
      </c>
      <c r="N9" s="13">
        <f>MAX(0,INT(L9*Parameters!$B$14/Parameters!$B$13/Parameters!$B$12)*Parameters!$B$12)</f>
        <v>37605</v>
      </c>
      <c r="O9" s="13">
        <f>MAX(0,INT(M9*Parameters!$B$14/Parameters!$B$13/Parameters!$B$12)*Parameters!$B$12)</f>
        <v>37605</v>
      </c>
      <c r="P9" s="13">
        <f>N9*Parameters!$B$13*'H237 Tracker'!B9</f>
        <v>-3008.4</v>
      </c>
      <c r="Q9" s="13">
        <f>O9*Parameters!$B$13*'H237 Tracker'!C9</f>
        <v>-3008.4</v>
      </c>
      <c r="R9" s="13">
        <f t="shared" si="17"/>
        <v>3565.2069999999962</v>
      </c>
      <c r="S9" s="13">
        <f t="shared" si="18"/>
        <v>3565.2069999999962</v>
      </c>
      <c r="T9" s="13">
        <f t="shared" si="8"/>
        <v>53565.207000000002</v>
      </c>
      <c r="U9" s="13">
        <f t="shared" si="9"/>
        <v>53565.207000000002</v>
      </c>
      <c r="V9" s="12">
        <f t="shared" si="10"/>
        <v>0.5</v>
      </c>
      <c r="W9" t="str">
        <f>'H237 Tracker'!I9</f>
        <v/>
      </c>
      <c r="X9" t="str">
        <f>'H237 Tracker'!J9</f>
        <v/>
      </c>
      <c r="Y9" t="str">
        <f>'H237 Tracker'!K9</f>
        <v/>
      </c>
      <c r="Z9" s="12">
        <f>'H237 Tracker'!O9</f>
        <v>0.5</v>
      </c>
      <c r="AA9" s="13">
        <f>'H237 Tracker'!P9</f>
        <v>0</v>
      </c>
      <c r="AB9" s="13">
        <f>'H237 Tracker'!Q9</f>
        <v>0</v>
      </c>
      <c r="AC9" s="13">
        <f t="shared" si="11"/>
        <v>53565.207000000002</v>
      </c>
      <c r="AD9" s="13">
        <f t="shared" si="12"/>
        <v>53565.207000000002</v>
      </c>
      <c r="AE9" s="13">
        <f t="shared" si="13"/>
        <v>107130.414</v>
      </c>
      <c r="AF9" s="13">
        <f t="shared" si="19"/>
        <v>128874.568</v>
      </c>
      <c r="AG9" s="24">
        <f t="shared" si="14"/>
        <v>-0.16872339001749359</v>
      </c>
      <c r="AH9" s="8">
        <f>--(COUNTIF('Tax Events'!$A$4:$A$8,A9)&gt;0)</f>
        <v>0</v>
      </c>
      <c r="AI9" s="8">
        <f>--(COUNTIF('Tax Events'!$B$4:$B$9,A9)&gt;0)</f>
        <v>0</v>
      </c>
    </row>
    <row r="10" spans="1:35">
      <c r="A10" s="4">
        <f>'H237 Tracker'!A10</f>
        <v>43248</v>
      </c>
      <c r="B10" s="13">
        <f t="shared" si="15"/>
        <v>53565.207000000002</v>
      </c>
      <c r="C10" s="13">
        <f t="shared" si="16"/>
        <v>53565.207000000002</v>
      </c>
      <c r="D10" s="13">
        <f t="shared" si="0"/>
        <v>53565.207000000002</v>
      </c>
      <c r="E10" s="13">
        <f t="shared" si="1"/>
        <v>53565.207000000002</v>
      </c>
      <c r="F10" s="13">
        <f>IF(AH10=1,MAX(R9,0)*Parameters!$B$11,0)</f>
        <v>0</v>
      </c>
      <c r="G10" s="13">
        <f>IF(AI10=1,MAX(S9,0)*Parameters!$B$11,0)</f>
        <v>0</v>
      </c>
      <c r="H10" s="13">
        <f t="shared" si="2"/>
        <v>53565.207000000002</v>
      </c>
      <c r="I10" s="13">
        <f t="shared" si="3"/>
        <v>53565.207000000002</v>
      </c>
      <c r="J10" s="13">
        <f t="shared" si="4"/>
        <v>0</v>
      </c>
      <c r="K10" s="13">
        <f t="shared" si="5"/>
        <v>0</v>
      </c>
      <c r="L10" s="13">
        <f t="shared" si="6"/>
        <v>53565.207000000002</v>
      </c>
      <c r="M10" s="13">
        <f t="shared" si="7"/>
        <v>53565.207000000002</v>
      </c>
      <c r="N10" s="13">
        <f>MAX(0,INT(L10*Parameters!$B$14/Parameters!$B$13/Parameters!$B$12)*Parameters!$B$12)</f>
        <v>35650</v>
      </c>
      <c r="O10" s="13">
        <f>MAX(0,INT(M10*Parameters!$B$14/Parameters!$B$13/Parameters!$B$12)*Parameters!$B$12)</f>
        <v>35650</v>
      </c>
      <c r="P10" s="13">
        <f>N10*Parameters!$B$13*'H237 Tracker'!B10</f>
        <v>16142.32</v>
      </c>
      <c r="Q10" s="13">
        <f>O10*Parameters!$B$13*'H237 Tracker'!C10</f>
        <v>16142.32</v>
      </c>
      <c r="R10" s="13">
        <f t="shared" si="17"/>
        <v>19707.526999999995</v>
      </c>
      <c r="S10" s="13">
        <f t="shared" si="18"/>
        <v>19707.526999999995</v>
      </c>
      <c r="T10" s="13">
        <f t="shared" si="8"/>
        <v>69707.527000000002</v>
      </c>
      <c r="U10" s="13">
        <f t="shared" si="9"/>
        <v>69707.527000000002</v>
      </c>
      <c r="V10" s="12">
        <f t="shared" si="10"/>
        <v>0.5</v>
      </c>
      <c r="W10" t="str">
        <f>'H237 Tracker'!I10</f>
        <v/>
      </c>
      <c r="X10" t="str">
        <f>'H237 Tracker'!J10</f>
        <v/>
      </c>
      <c r="Y10" t="str">
        <f>'H237 Tracker'!K10</f>
        <v/>
      </c>
      <c r="Z10" s="12">
        <f>'H237 Tracker'!O10</f>
        <v>0.5</v>
      </c>
      <c r="AA10" s="13">
        <f>'H237 Tracker'!P10</f>
        <v>0</v>
      </c>
      <c r="AB10" s="13">
        <f>'H237 Tracker'!Q10</f>
        <v>0</v>
      </c>
      <c r="AC10" s="13">
        <f t="shared" si="11"/>
        <v>69707.527000000002</v>
      </c>
      <c r="AD10" s="13">
        <f t="shared" si="12"/>
        <v>69707.527000000002</v>
      </c>
      <c r="AE10" s="13">
        <f t="shared" si="13"/>
        <v>139415.054</v>
      </c>
      <c r="AF10" s="13">
        <f t="shared" si="19"/>
        <v>139415.054</v>
      </c>
      <c r="AG10" s="24">
        <f t="shared" si="14"/>
        <v>0</v>
      </c>
      <c r="AH10" s="8">
        <f>--(COUNTIF('Tax Events'!$A$4:$A$8,A10)&gt;0)</f>
        <v>0</v>
      </c>
      <c r="AI10" s="8">
        <f>--(COUNTIF('Tax Events'!$B$4:$B$9,A10)&gt;0)</f>
        <v>0</v>
      </c>
    </row>
    <row r="11" spans="1:35">
      <c r="A11" s="4">
        <f>'H237 Tracker'!A11</f>
        <v>43255</v>
      </c>
      <c r="B11" s="13">
        <f t="shared" si="15"/>
        <v>69707.527000000002</v>
      </c>
      <c r="C11" s="13">
        <f t="shared" si="16"/>
        <v>69707.527000000002</v>
      </c>
      <c r="D11" s="13">
        <f t="shared" si="0"/>
        <v>69707.527000000002</v>
      </c>
      <c r="E11" s="13">
        <f t="shared" si="1"/>
        <v>69707.527000000002</v>
      </c>
      <c r="F11" s="13">
        <f>IF(AH11=1,MAX(R10,0)*Parameters!$B$11,0)</f>
        <v>0</v>
      </c>
      <c r="G11" s="13">
        <f>IF(AI11=1,MAX(S10,0)*Parameters!$B$11,0)</f>
        <v>0</v>
      </c>
      <c r="H11" s="13">
        <f t="shared" si="2"/>
        <v>69707.527000000002</v>
      </c>
      <c r="I11" s="13">
        <f t="shared" si="3"/>
        <v>69707.527000000002</v>
      </c>
      <c r="J11" s="13">
        <f t="shared" si="4"/>
        <v>0</v>
      </c>
      <c r="K11" s="13">
        <f t="shared" si="5"/>
        <v>0</v>
      </c>
      <c r="L11" s="13">
        <f t="shared" si="6"/>
        <v>69707.527000000002</v>
      </c>
      <c r="M11" s="13">
        <f t="shared" si="7"/>
        <v>69707.527000000002</v>
      </c>
      <c r="N11" s="13">
        <f>MAX(0,INT(L11*Parameters!$B$14/Parameters!$B$13/Parameters!$B$12)*Parameters!$B$12)</f>
        <v>46460</v>
      </c>
      <c r="O11" s="13">
        <f>MAX(0,INT(M11*Parameters!$B$14/Parameters!$B$13/Parameters!$B$12)*Parameters!$B$12)</f>
        <v>46460</v>
      </c>
      <c r="P11" s="13">
        <f>N11*Parameters!$B$13*'H237 Tracker'!B11</f>
        <v>6959.7080000000005</v>
      </c>
      <c r="Q11" s="13">
        <f>O11*Parameters!$B$13*'H237 Tracker'!C11</f>
        <v>6959.7080000000005</v>
      </c>
      <c r="R11" s="13">
        <f t="shared" si="17"/>
        <v>26667.234999999993</v>
      </c>
      <c r="S11" s="13">
        <f t="shared" si="18"/>
        <v>26667.234999999993</v>
      </c>
      <c r="T11" s="13">
        <f t="shared" si="8"/>
        <v>76667.235000000001</v>
      </c>
      <c r="U11" s="13">
        <f t="shared" si="9"/>
        <v>76667.235000000001</v>
      </c>
      <c r="V11" s="12">
        <f t="shared" si="10"/>
        <v>0.5</v>
      </c>
      <c r="W11" t="str">
        <f>'H237 Tracker'!I11</f>
        <v/>
      </c>
      <c r="X11" t="str">
        <f>'H237 Tracker'!J11</f>
        <v/>
      </c>
      <c r="Y11" t="str">
        <f>'H237 Tracker'!K11</f>
        <v/>
      </c>
      <c r="Z11" s="12">
        <f>'H237 Tracker'!O11</f>
        <v>0.5</v>
      </c>
      <c r="AA11" s="13">
        <f>'H237 Tracker'!P11</f>
        <v>0</v>
      </c>
      <c r="AB11" s="13">
        <f>'H237 Tracker'!Q11</f>
        <v>0</v>
      </c>
      <c r="AC11" s="13">
        <f t="shared" si="11"/>
        <v>76667.235000000001</v>
      </c>
      <c r="AD11" s="13">
        <f t="shared" si="12"/>
        <v>76667.235000000001</v>
      </c>
      <c r="AE11" s="13">
        <f t="shared" si="13"/>
        <v>153334.47</v>
      </c>
      <c r="AF11" s="13">
        <f t="shared" si="19"/>
        <v>153334.47</v>
      </c>
      <c r="AG11" s="24">
        <f t="shared" si="14"/>
        <v>0</v>
      </c>
      <c r="AH11" s="8">
        <f>--(COUNTIF('Tax Events'!$A$4:$A$8,A11)&gt;0)</f>
        <v>0</v>
      </c>
      <c r="AI11" s="8">
        <f>--(COUNTIF('Tax Events'!$B$4:$B$9,A11)&gt;0)</f>
        <v>0</v>
      </c>
    </row>
    <row r="12" spans="1:35">
      <c r="A12" s="4">
        <f>'H237 Tracker'!A12</f>
        <v>43262</v>
      </c>
      <c r="B12" s="13">
        <f t="shared" si="15"/>
        <v>76667.235000000001</v>
      </c>
      <c r="C12" s="13">
        <f t="shared" si="16"/>
        <v>76667.235000000001</v>
      </c>
      <c r="D12" s="13">
        <f t="shared" si="0"/>
        <v>76667.235000000001</v>
      </c>
      <c r="E12" s="13">
        <f t="shared" si="1"/>
        <v>76667.235000000001</v>
      </c>
      <c r="F12" s="13">
        <f>IF(AH12=1,MAX(R11,0)*Parameters!$B$11,0)</f>
        <v>0</v>
      </c>
      <c r="G12" s="13">
        <f>IF(AI12=1,MAX(S11,0)*Parameters!$B$11,0)</f>
        <v>0</v>
      </c>
      <c r="H12" s="13">
        <f t="shared" si="2"/>
        <v>76667.235000000001</v>
      </c>
      <c r="I12" s="13">
        <f t="shared" si="3"/>
        <v>76667.235000000001</v>
      </c>
      <c r="J12" s="13">
        <f t="shared" si="4"/>
        <v>0</v>
      </c>
      <c r="K12" s="13">
        <f t="shared" si="5"/>
        <v>0</v>
      </c>
      <c r="L12" s="13">
        <f t="shared" si="6"/>
        <v>76667.235000000001</v>
      </c>
      <c r="M12" s="13">
        <f t="shared" si="7"/>
        <v>76667.235000000001</v>
      </c>
      <c r="N12" s="13">
        <f>MAX(0,INT(L12*Parameters!$B$14/Parameters!$B$13/Parameters!$B$12)*Parameters!$B$12)</f>
        <v>51060</v>
      </c>
      <c r="O12" s="13">
        <f>MAX(0,INT(M12*Parameters!$B$14/Parameters!$B$13/Parameters!$B$12)*Parameters!$B$12)</f>
        <v>51060</v>
      </c>
      <c r="P12" s="13">
        <f>N12*Parameters!$B$13*'H237 Tracker'!B12</f>
        <v>15930.72</v>
      </c>
      <c r="Q12" s="13">
        <f>O12*Parameters!$B$13*'H237 Tracker'!C12</f>
        <v>15930.72</v>
      </c>
      <c r="R12" s="13">
        <f t="shared" si="17"/>
        <v>42597.954999999994</v>
      </c>
      <c r="S12" s="13">
        <f t="shared" si="18"/>
        <v>42597.954999999994</v>
      </c>
      <c r="T12" s="13">
        <f t="shared" si="8"/>
        <v>92597.955000000002</v>
      </c>
      <c r="U12" s="13">
        <f t="shared" si="9"/>
        <v>92597.955000000002</v>
      </c>
      <c r="V12" s="12">
        <f t="shared" si="10"/>
        <v>0.5</v>
      </c>
      <c r="W12" t="str">
        <f>'H237 Tracker'!I12</f>
        <v/>
      </c>
      <c r="X12" t="str">
        <f>'H237 Tracker'!J12</f>
        <v/>
      </c>
      <c r="Y12" t="str">
        <f>'H237 Tracker'!K12</f>
        <v/>
      </c>
      <c r="Z12" s="12">
        <f>'H237 Tracker'!O12</f>
        <v>0.5</v>
      </c>
      <c r="AA12" s="13">
        <f>'H237 Tracker'!P12</f>
        <v>0</v>
      </c>
      <c r="AB12" s="13">
        <f>'H237 Tracker'!Q12</f>
        <v>0</v>
      </c>
      <c r="AC12" s="13">
        <f t="shared" si="11"/>
        <v>92597.955000000002</v>
      </c>
      <c r="AD12" s="13">
        <f t="shared" si="12"/>
        <v>92597.955000000002</v>
      </c>
      <c r="AE12" s="13">
        <f t="shared" si="13"/>
        <v>185195.91</v>
      </c>
      <c r="AF12" s="13">
        <f t="shared" si="19"/>
        <v>185195.91</v>
      </c>
      <c r="AG12" s="24">
        <f t="shared" si="14"/>
        <v>0</v>
      </c>
      <c r="AH12" s="8">
        <f>--(COUNTIF('Tax Events'!$A$4:$A$8,A12)&gt;0)</f>
        <v>0</v>
      </c>
      <c r="AI12" s="8">
        <f>--(COUNTIF('Tax Events'!$B$4:$B$9,A12)&gt;0)</f>
        <v>0</v>
      </c>
    </row>
    <row r="13" spans="1:35">
      <c r="A13" s="4">
        <f>'H237 Tracker'!A13</f>
        <v>43269</v>
      </c>
      <c r="B13" s="13">
        <f t="shared" si="15"/>
        <v>92597.955000000002</v>
      </c>
      <c r="C13" s="13">
        <f t="shared" si="16"/>
        <v>92597.955000000002</v>
      </c>
      <c r="D13" s="13">
        <f t="shared" si="0"/>
        <v>92597.955000000002</v>
      </c>
      <c r="E13" s="13">
        <f t="shared" si="1"/>
        <v>92597.955000000002</v>
      </c>
      <c r="F13" s="13">
        <f>IF(AH13=1,MAX(R12,0)*Parameters!$B$11,0)</f>
        <v>0</v>
      </c>
      <c r="G13" s="13">
        <f>IF(AI13=1,MAX(S12,0)*Parameters!$B$11,0)</f>
        <v>0</v>
      </c>
      <c r="H13" s="13">
        <f t="shared" si="2"/>
        <v>92597.955000000002</v>
      </c>
      <c r="I13" s="13">
        <f t="shared" si="3"/>
        <v>92597.955000000002</v>
      </c>
      <c r="J13" s="13">
        <f t="shared" si="4"/>
        <v>0</v>
      </c>
      <c r="K13" s="13">
        <f t="shared" si="5"/>
        <v>0</v>
      </c>
      <c r="L13" s="13">
        <f t="shared" si="6"/>
        <v>92597.955000000002</v>
      </c>
      <c r="M13" s="13">
        <f t="shared" si="7"/>
        <v>92597.955000000002</v>
      </c>
      <c r="N13" s="13">
        <f>MAX(0,INT(L13*Parameters!$B$14/Parameters!$B$13/Parameters!$B$12)*Parameters!$B$12)</f>
        <v>61640</v>
      </c>
      <c r="O13" s="13">
        <f>MAX(0,INT(M13*Parameters!$B$14/Parameters!$B$13/Parameters!$B$12)*Parameters!$B$12)</f>
        <v>61640</v>
      </c>
      <c r="P13" s="13">
        <f>N13*Parameters!$B$13*'H237 Tracker'!B13</f>
        <v>-4931.2</v>
      </c>
      <c r="Q13" s="13">
        <f>O13*Parameters!$B$13*'H237 Tracker'!C13</f>
        <v>-4931.2</v>
      </c>
      <c r="R13" s="13">
        <f t="shared" si="17"/>
        <v>37666.754999999997</v>
      </c>
      <c r="S13" s="13">
        <f t="shared" si="18"/>
        <v>37666.754999999997</v>
      </c>
      <c r="T13" s="13">
        <f t="shared" si="8"/>
        <v>87666.755000000005</v>
      </c>
      <c r="U13" s="13">
        <f t="shared" si="9"/>
        <v>87666.755000000005</v>
      </c>
      <c r="V13" s="12">
        <f t="shared" si="10"/>
        <v>0.5</v>
      </c>
      <c r="W13" t="str">
        <f>'H237 Tracker'!I13</f>
        <v/>
      </c>
      <c r="X13" t="str">
        <f>'H237 Tracker'!J13</f>
        <v/>
      </c>
      <c r="Y13" t="str">
        <f>'H237 Tracker'!K13</f>
        <v/>
      </c>
      <c r="Z13" s="12">
        <f>'H237 Tracker'!O13</f>
        <v>0.5</v>
      </c>
      <c r="AA13" s="13">
        <f>'H237 Tracker'!P13</f>
        <v>0</v>
      </c>
      <c r="AB13" s="13">
        <f>'H237 Tracker'!Q13</f>
        <v>0</v>
      </c>
      <c r="AC13" s="13">
        <f t="shared" si="11"/>
        <v>87666.755000000005</v>
      </c>
      <c r="AD13" s="13">
        <f t="shared" si="12"/>
        <v>87666.755000000005</v>
      </c>
      <c r="AE13" s="13">
        <f t="shared" si="13"/>
        <v>175333.51</v>
      </c>
      <c r="AF13" s="13">
        <f t="shared" si="19"/>
        <v>185195.91</v>
      </c>
      <c r="AG13" s="24">
        <f t="shared" si="14"/>
        <v>-5.3253875855033717E-2</v>
      </c>
      <c r="AH13" s="8">
        <f>--(COUNTIF('Tax Events'!$A$4:$A$8,A13)&gt;0)</f>
        <v>0</v>
      </c>
      <c r="AI13" s="8">
        <f>--(COUNTIF('Tax Events'!$B$4:$B$9,A13)&gt;0)</f>
        <v>0</v>
      </c>
    </row>
    <row r="14" spans="1:35">
      <c r="A14" s="4">
        <f>'H237 Tracker'!A14</f>
        <v>43276</v>
      </c>
      <c r="B14" s="13">
        <f t="shared" si="15"/>
        <v>87666.755000000005</v>
      </c>
      <c r="C14" s="13">
        <f t="shared" si="16"/>
        <v>87666.755000000005</v>
      </c>
      <c r="D14" s="13">
        <f t="shared" si="0"/>
        <v>87666.755000000005</v>
      </c>
      <c r="E14" s="13">
        <f t="shared" si="1"/>
        <v>87666.755000000005</v>
      </c>
      <c r="F14" s="13">
        <f>IF(AH14=1,MAX(R13,0)*Parameters!$B$11,0)</f>
        <v>0</v>
      </c>
      <c r="G14" s="13">
        <f>IF(AI14=1,MAX(S13,0)*Parameters!$B$11,0)</f>
        <v>0</v>
      </c>
      <c r="H14" s="13">
        <f t="shared" si="2"/>
        <v>87666.755000000005</v>
      </c>
      <c r="I14" s="13">
        <f t="shared" si="3"/>
        <v>87666.755000000005</v>
      </c>
      <c r="J14" s="13">
        <f t="shared" si="4"/>
        <v>0</v>
      </c>
      <c r="K14" s="13">
        <f t="shared" si="5"/>
        <v>0</v>
      </c>
      <c r="L14" s="13">
        <f t="shared" si="6"/>
        <v>87666.755000000005</v>
      </c>
      <c r="M14" s="13">
        <f t="shared" si="7"/>
        <v>87666.755000000005</v>
      </c>
      <c r="N14" s="13">
        <f>MAX(0,INT(L14*Parameters!$B$14/Parameters!$B$13/Parameters!$B$12)*Parameters!$B$12)</f>
        <v>58420</v>
      </c>
      <c r="O14" s="13">
        <f>MAX(0,INT(M14*Parameters!$B$14/Parameters!$B$13/Parameters!$B$12)*Parameters!$B$12)</f>
        <v>58420</v>
      </c>
      <c r="P14" s="13">
        <f>N14*Parameters!$B$13*'H237 Tracker'!B14</f>
        <v>-4673.6000000000004</v>
      </c>
      <c r="Q14" s="13">
        <f>O14*Parameters!$B$13*'H237 Tracker'!C14</f>
        <v>-4673.6000000000004</v>
      </c>
      <c r="R14" s="13">
        <f t="shared" si="17"/>
        <v>32993.154999999999</v>
      </c>
      <c r="S14" s="13">
        <f t="shared" si="18"/>
        <v>32993.154999999999</v>
      </c>
      <c r="T14" s="13">
        <f t="shared" si="8"/>
        <v>82993.154999999999</v>
      </c>
      <c r="U14" s="13">
        <f t="shared" si="9"/>
        <v>82993.154999999999</v>
      </c>
      <c r="V14" s="12">
        <f t="shared" si="10"/>
        <v>0.5</v>
      </c>
      <c r="W14" t="str">
        <f>'H237 Tracker'!I14</f>
        <v/>
      </c>
      <c r="X14" t="str">
        <f>'H237 Tracker'!J14</f>
        <v/>
      </c>
      <c r="Y14" t="str">
        <f>'H237 Tracker'!K14</f>
        <v/>
      </c>
      <c r="Z14" s="12">
        <f>'H237 Tracker'!O14</f>
        <v>0.5</v>
      </c>
      <c r="AA14" s="13">
        <f>'H237 Tracker'!P14</f>
        <v>0</v>
      </c>
      <c r="AB14" s="13">
        <f>'H237 Tracker'!Q14</f>
        <v>0</v>
      </c>
      <c r="AC14" s="13">
        <f t="shared" si="11"/>
        <v>82993.154999999999</v>
      </c>
      <c r="AD14" s="13">
        <f t="shared" si="12"/>
        <v>82993.154999999999</v>
      </c>
      <c r="AE14" s="13">
        <f t="shared" si="13"/>
        <v>165986.31</v>
      </c>
      <c r="AF14" s="13">
        <f t="shared" si="19"/>
        <v>185195.91</v>
      </c>
      <c r="AG14" s="24">
        <f t="shared" si="14"/>
        <v>-0.103725832822118</v>
      </c>
      <c r="AH14" s="8">
        <f>--(COUNTIF('Tax Events'!$A$4:$A$8,A14)&gt;0)</f>
        <v>0</v>
      </c>
      <c r="AI14" s="8">
        <f>--(COUNTIF('Tax Events'!$B$4:$B$9,A14)&gt;0)</f>
        <v>0</v>
      </c>
    </row>
    <row r="15" spans="1:35">
      <c r="A15" s="4">
        <f>'H237 Tracker'!A15</f>
        <v>43283</v>
      </c>
      <c r="B15" s="13">
        <f t="shared" si="15"/>
        <v>82993.154999999999</v>
      </c>
      <c r="C15" s="13">
        <f t="shared" si="16"/>
        <v>82993.154999999999</v>
      </c>
      <c r="D15" s="13">
        <f t="shared" si="0"/>
        <v>82993.154999999999</v>
      </c>
      <c r="E15" s="13">
        <f t="shared" si="1"/>
        <v>82993.154999999999</v>
      </c>
      <c r="F15" s="13">
        <f>IF(AH15=1,MAX(R14,0)*Parameters!$B$11,0)</f>
        <v>0</v>
      </c>
      <c r="G15" s="13">
        <f>IF(AI15=1,MAX(S14,0)*Parameters!$B$11,0)</f>
        <v>0</v>
      </c>
      <c r="H15" s="13">
        <f t="shared" si="2"/>
        <v>82993.154999999999</v>
      </c>
      <c r="I15" s="13">
        <f t="shared" si="3"/>
        <v>82993.154999999999</v>
      </c>
      <c r="J15" s="13">
        <f t="shared" si="4"/>
        <v>0</v>
      </c>
      <c r="K15" s="13">
        <f t="shared" si="5"/>
        <v>0</v>
      </c>
      <c r="L15" s="13">
        <f t="shared" si="6"/>
        <v>82993.154999999999</v>
      </c>
      <c r="M15" s="13">
        <f t="shared" si="7"/>
        <v>82993.154999999999</v>
      </c>
      <c r="N15" s="13">
        <f>MAX(0,INT(L15*Parameters!$B$14/Parameters!$B$13/Parameters!$B$12)*Parameters!$B$12)</f>
        <v>55315</v>
      </c>
      <c r="O15" s="13">
        <f>MAX(0,INT(M15*Parameters!$B$14/Parameters!$B$13/Parameters!$B$12)*Parameters!$B$12)</f>
        <v>55315</v>
      </c>
      <c r="P15" s="13">
        <f>N15*Parameters!$B$13*'H237 Tracker'!B15</f>
        <v>18309.264999999999</v>
      </c>
      <c r="Q15" s="13">
        <f>O15*Parameters!$B$13*'H237 Tracker'!C15</f>
        <v>0</v>
      </c>
      <c r="R15" s="13">
        <f t="shared" si="17"/>
        <v>51302.42</v>
      </c>
      <c r="S15" s="13">
        <f t="shared" si="18"/>
        <v>32993.154999999999</v>
      </c>
      <c r="T15" s="13">
        <f t="shared" si="8"/>
        <v>101302.42</v>
      </c>
      <c r="U15" s="13">
        <f t="shared" si="9"/>
        <v>82993.154999999999</v>
      </c>
      <c r="V15" s="12">
        <f t="shared" si="10"/>
        <v>0.54967364246265815</v>
      </c>
      <c r="W15" t="str">
        <f>'H237 Tracker'!I15</f>
        <v/>
      </c>
      <c r="X15" t="str">
        <f>'H237 Tracker'!J15</f>
        <v/>
      </c>
      <c r="Y15" t="str">
        <f>'H237 Tracker'!K15</f>
        <v/>
      </c>
      <c r="Z15" s="12">
        <f>'H237 Tracker'!O15</f>
        <v>0.54967364246265815</v>
      </c>
      <c r="AA15" s="13">
        <f>'H237 Tracker'!P15</f>
        <v>0</v>
      </c>
      <c r="AB15" s="13">
        <f>'H237 Tracker'!Q15</f>
        <v>1.4551915228366852E-11</v>
      </c>
      <c r="AC15" s="13">
        <f t="shared" si="11"/>
        <v>101302.42000000001</v>
      </c>
      <c r="AD15" s="13">
        <f t="shared" si="12"/>
        <v>82993.154999999984</v>
      </c>
      <c r="AE15" s="13">
        <f t="shared" si="13"/>
        <v>184295.57500000001</v>
      </c>
      <c r="AF15" s="13">
        <f t="shared" si="19"/>
        <v>185195.91</v>
      </c>
      <c r="AG15" s="24">
        <f t="shared" si="14"/>
        <v>-4.8615274494991922E-3</v>
      </c>
      <c r="AH15" s="8">
        <f>--(COUNTIF('Tax Events'!$A$4:$A$8,A15)&gt;0)</f>
        <v>0</v>
      </c>
      <c r="AI15" s="8">
        <f>--(COUNTIF('Tax Events'!$B$4:$B$9,A15)&gt;0)</f>
        <v>0</v>
      </c>
    </row>
    <row r="16" spans="1:35">
      <c r="A16" s="4">
        <f>'H237 Tracker'!A16</f>
        <v>43290</v>
      </c>
      <c r="B16" s="13">
        <f t="shared" si="15"/>
        <v>101302.42000000001</v>
      </c>
      <c r="C16" s="13">
        <f t="shared" si="16"/>
        <v>82993.154999999984</v>
      </c>
      <c r="D16" s="13">
        <f t="shared" si="0"/>
        <v>101302.42000000001</v>
      </c>
      <c r="E16" s="13">
        <f t="shared" si="1"/>
        <v>82993.154999999984</v>
      </c>
      <c r="F16" s="13">
        <f>IF(AH16=1,MAX(R15,0)*Parameters!$B$11,0)</f>
        <v>0</v>
      </c>
      <c r="G16" s="13">
        <f>IF(AI16=1,MAX(S15,0)*Parameters!$B$11,0)</f>
        <v>0</v>
      </c>
      <c r="H16" s="13">
        <f t="shared" si="2"/>
        <v>101302.42000000001</v>
      </c>
      <c r="I16" s="13">
        <f t="shared" si="3"/>
        <v>82993.154999999984</v>
      </c>
      <c r="J16" s="13">
        <f t="shared" si="4"/>
        <v>0</v>
      </c>
      <c r="K16" s="13">
        <f t="shared" si="5"/>
        <v>0</v>
      </c>
      <c r="L16" s="13">
        <f t="shared" si="6"/>
        <v>101302.42000000001</v>
      </c>
      <c r="M16" s="13">
        <f t="shared" si="7"/>
        <v>82993.154999999984</v>
      </c>
      <c r="N16" s="13">
        <f>MAX(0,INT(L16*Parameters!$B$14/Parameters!$B$13/Parameters!$B$12)*Parameters!$B$12)</f>
        <v>67505</v>
      </c>
      <c r="O16" s="13">
        <f>MAX(0,INT(M16*Parameters!$B$14/Parameters!$B$13/Parameters!$B$12)*Parameters!$B$12)</f>
        <v>55315</v>
      </c>
      <c r="P16" s="13">
        <f>N16*Parameters!$B$13*'H237 Tracker'!B16</f>
        <v>23667.253000000001</v>
      </c>
      <c r="Q16" s="13">
        <f>O16*Parameters!$B$13*'H237 Tracker'!C16</f>
        <v>19393.439000000002</v>
      </c>
      <c r="R16" s="13">
        <f t="shared" si="17"/>
        <v>74969.672999999995</v>
      </c>
      <c r="S16" s="13">
        <f t="shared" si="18"/>
        <v>52386.593999999997</v>
      </c>
      <c r="T16" s="13">
        <f t="shared" si="8"/>
        <v>124969.67300000001</v>
      </c>
      <c r="U16" s="13">
        <f t="shared" si="9"/>
        <v>102386.59399999998</v>
      </c>
      <c r="V16" s="12">
        <f t="shared" si="10"/>
        <v>0.5496645183745914</v>
      </c>
      <c r="W16" t="str">
        <f>'H237 Tracker'!I16</f>
        <v/>
      </c>
      <c r="X16" t="str">
        <f>'H237 Tracker'!J16</f>
        <v/>
      </c>
      <c r="Y16" t="str">
        <f>'H237 Tracker'!K16</f>
        <v/>
      </c>
      <c r="Z16" s="12">
        <f>'H237 Tracker'!O16</f>
        <v>0.5496645183745914</v>
      </c>
      <c r="AA16" s="13">
        <f>'H237 Tracker'!P16</f>
        <v>0</v>
      </c>
      <c r="AB16" s="13">
        <f>'H237 Tracker'!Q16</f>
        <v>0</v>
      </c>
      <c r="AC16" s="13">
        <f t="shared" si="11"/>
        <v>124969.67300000001</v>
      </c>
      <c r="AD16" s="13">
        <f t="shared" si="12"/>
        <v>102386.59399999998</v>
      </c>
      <c r="AE16" s="13">
        <f t="shared" si="13"/>
        <v>227356.26699999999</v>
      </c>
      <c r="AF16" s="13">
        <f t="shared" si="19"/>
        <v>227356.26699999999</v>
      </c>
      <c r="AG16" s="24">
        <f t="shared" si="14"/>
        <v>0</v>
      </c>
      <c r="AH16" s="8">
        <f>--(COUNTIF('Tax Events'!$A$4:$A$8,A16)&gt;0)</f>
        <v>0</v>
      </c>
      <c r="AI16" s="8">
        <f>--(COUNTIF('Tax Events'!$B$4:$B$9,A16)&gt;0)</f>
        <v>0</v>
      </c>
    </row>
    <row r="17" spans="1:35">
      <c r="A17" s="4">
        <f>'H237 Tracker'!A17</f>
        <v>43297</v>
      </c>
      <c r="B17" s="13">
        <f t="shared" si="15"/>
        <v>124969.67300000001</v>
      </c>
      <c r="C17" s="13">
        <f t="shared" si="16"/>
        <v>102386.59399999998</v>
      </c>
      <c r="D17" s="13">
        <f t="shared" si="0"/>
        <v>124969.67300000001</v>
      </c>
      <c r="E17" s="13">
        <f t="shared" si="1"/>
        <v>102386.59399999998</v>
      </c>
      <c r="F17" s="13">
        <f>IF(AH17=1,MAX(R16,0)*Parameters!$B$11,0)</f>
        <v>0</v>
      </c>
      <c r="G17" s="13">
        <f>IF(AI17=1,MAX(S16,0)*Parameters!$B$11,0)</f>
        <v>0</v>
      </c>
      <c r="H17" s="13">
        <f t="shared" si="2"/>
        <v>124969.67300000001</v>
      </c>
      <c r="I17" s="13">
        <f t="shared" si="3"/>
        <v>102386.59399999998</v>
      </c>
      <c r="J17" s="13">
        <f t="shared" si="4"/>
        <v>0</v>
      </c>
      <c r="K17" s="13">
        <f t="shared" si="5"/>
        <v>0</v>
      </c>
      <c r="L17" s="13">
        <f t="shared" si="6"/>
        <v>124969.67300000001</v>
      </c>
      <c r="M17" s="13">
        <f t="shared" si="7"/>
        <v>102386.59399999998</v>
      </c>
      <c r="N17" s="13">
        <f>MAX(0,INT(L17*Parameters!$B$14/Parameters!$B$13/Parameters!$B$12)*Parameters!$B$12)</f>
        <v>83260</v>
      </c>
      <c r="O17" s="13">
        <f>MAX(0,INT(M17*Parameters!$B$14/Parameters!$B$13/Parameters!$B$12)*Parameters!$B$12)</f>
        <v>68195</v>
      </c>
      <c r="P17" s="13">
        <f>N17*Parameters!$B$13*'H237 Tracker'!B17</f>
        <v>-6660.8</v>
      </c>
      <c r="Q17" s="13">
        <f>O17*Parameters!$B$13*'H237 Tracker'!C17</f>
        <v>-5455.6</v>
      </c>
      <c r="R17" s="13">
        <f t="shared" si="17"/>
        <v>68308.872999999992</v>
      </c>
      <c r="S17" s="13">
        <f t="shared" si="18"/>
        <v>46930.993999999999</v>
      </c>
      <c r="T17" s="13">
        <f t="shared" si="8"/>
        <v>118308.87300000001</v>
      </c>
      <c r="U17" s="13">
        <f t="shared" si="9"/>
        <v>96930.993999999977</v>
      </c>
      <c r="V17" s="12">
        <f t="shared" si="10"/>
        <v>0.54966059331378436</v>
      </c>
      <c r="W17" t="str">
        <f>'H237 Tracker'!I17</f>
        <v/>
      </c>
      <c r="X17" t="str">
        <f>'H237 Tracker'!J17</f>
        <v/>
      </c>
      <c r="Y17" t="str">
        <f>'H237 Tracker'!K17</f>
        <v/>
      </c>
      <c r="Z17" s="12">
        <f>'H237 Tracker'!O17</f>
        <v>0.54966059331378436</v>
      </c>
      <c r="AA17" s="13">
        <f>'H237 Tracker'!P17</f>
        <v>0</v>
      </c>
      <c r="AB17" s="13">
        <f>'H237 Tracker'!Q17</f>
        <v>1.4551915228366852E-11</v>
      </c>
      <c r="AC17" s="13">
        <f t="shared" si="11"/>
        <v>118308.87300000002</v>
      </c>
      <c r="AD17" s="13">
        <f t="shared" si="12"/>
        <v>96930.993999999962</v>
      </c>
      <c r="AE17" s="13">
        <f t="shared" si="13"/>
        <v>215239.86699999997</v>
      </c>
      <c r="AF17" s="13">
        <f t="shared" si="19"/>
        <v>227356.26699999999</v>
      </c>
      <c r="AG17" s="24">
        <f t="shared" si="14"/>
        <v>-5.3292570993875521E-2</v>
      </c>
      <c r="AH17" s="8">
        <f>--(COUNTIF('Tax Events'!$A$4:$A$8,A17)&gt;0)</f>
        <v>0</v>
      </c>
      <c r="AI17" s="8">
        <f>--(COUNTIF('Tax Events'!$B$4:$B$9,A17)&gt;0)</f>
        <v>0</v>
      </c>
    </row>
    <row r="18" spans="1:35">
      <c r="A18" s="4">
        <f>'H237 Tracker'!A18</f>
        <v>43304</v>
      </c>
      <c r="B18" s="13">
        <f t="shared" si="15"/>
        <v>118308.87300000002</v>
      </c>
      <c r="C18" s="13">
        <f t="shared" si="16"/>
        <v>96930.993999999962</v>
      </c>
      <c r="D18" s="13">
        <f t="shared" si="0"/>
        <v>118308.87300000002</v>
      </c>
      <c r="E18" s="13">
        <f t="shared" si="1"/>
        <v>96930.993999999962</v>
      </c>
      <c r="F18" s="13">
        <f>IF(AH18=1,MAX(R17,0)*Parameters!$B$11,0)</f>
        <v>0</v>
      </c>
      <c r="G18" s="13">
        <f>IF(AI18=1,MAX(S17,0)*Parameters!$B$11,0)</f>
        <v>0</v>
      </c>
      <c r="H18" s="13">
        <f t="shared" si="2"/>
        <v>118308.87300000002</v>
      </c>
      <c r="I18" s="13">
        <f t="shared" si="3"/>
        <v>96930.993999999962</v>
      </c>
      <c r="J18" s="13">
        <f t="shared" si="4"/>
        <v>0</v>
      </c>
      <c r="K18" s="13">
        <f t="shared" si="5"/>
        <v>0</v>
      </c>
      <c r="L18" s="13">
        <f t="shared" si="6"/>
        <v>118308.87300000002</v>
      </c>
      <c r="M18" s="13">
        <f t="shared" si="7"/>
        <v>96930.993999999962</v>
      </c>
      <c r="N18" s="13">
        <f>MAX(0,INT(L18*Parameters!$B$14/Parameters!$B$13/Parameters!$B$12)*Parameters!$B$12)</f>
        <v>78775</v>
      </c>
      <c r="O18" s="13">
        <f>MAX(0,INT(M18*Parameters!$B$14/Parameters!$B$13/Parameters!$B$12)*Parameters!$B$12)</f>
        <v>64515</v>
      </c>
      <c r="P18" s="13">
        <f>N18*Parameters!$B$13*'H237 Tracker'!B18</f>
        <v>17204.46</v>
      </c>
      <c r="Q18" s="13">
        <f>O18*Parameters!$B$13*'H237 Tracker'!C18</f>
        <v>14090.075999999999</v>
      </c>
      <c r="R18" s="13">
        <f t="shared" si="17"/>
        <v>85513.332999999984</v>
      </c>
      <c r="S18" s="13">
        <f t="shared" si="18"/>
        <v>61021.07</v>
      </c>
      <c r="T18" s="13">
        <f t="shared" si="8"/>
        <v>135513.33300000001</v>
      </c>
      <c r="U18" s="13">
        <f t="shared" si="9"/>
        <v>111021.06999999996</v>
      </c>
      <c r="V18" s="12">
        <f t="shared" si="10"/>
        <v>0.5496731139791472</v>
      </c>
      <c r="W18" t="str">
        <f>'H237 Tracker'!I18</f>
        <v/>
      </c>
      <c r="X18" t="str">
        <f>'H237 Tracker'!J18</f>
        <v/>
      </c>
      <c r="Y18" t="str">
        <f>'H237 Tracker'!K18</f>
        <v/>
      </c>
      <c r="Z18" s="12">
        <f>'H237 Tracker'!O18</f>
        <v>0.5496731139791472</v>
      </c>
      <c r="AA18" s="13">
        <f>'H237 Tracker'!P18</f>
        <v>0</v>
      </c>
      <c r="AB18" s="13">
        <f>'H237 Tracker'!Q18</f>
        <v>0</v>
      </c>
      <c r="AC18" s="13">
        <f t="shared" si="11"/>
        <v>135513.33300000001</v>
      </c>
      <c r="AD18" s="13">
        <f t="shared" si="12"/>
        <v>111021.06999999996</v>
      </c>
      <c r="AE18" s="13">
        <f t="shared" si="13"/>
        <v>246534.40299999999</v>
      </c>
      <c r="AF18" s="13">
        <f t="shared" si="19"/>
        <v>246534.40299999999</v>
      </c>
      <c r="AG18" s="24">
        <f t="shared" si="14"/>
        <v>0</v>
      </c>
      <c r="AH18" s="8">
        <f>--(COUNTIF('Tax Events'!$A$4:$A$8,A18)&gt;0)</f>
        <v>0</v>
      </c>
      <c r="AI18" s="8">
        <f>--(COUNTIF('Tax Events'!$B$4:$B$9,A18)&gt;0)</f>
        <v>0</v>
      </c>
    </row>
    <row r="19" spans="1:35">
      <c r="A19" s="4">
        <f>'H237 Tracker'!A19</f>
        <v>43311</v>
      </c>
      <c r="B19" s="13">
        <f t="shared" si="15"/>
        <v>135513.33300000001</v>
      </c>
      <c r="C19" s="13">
        <f t="shared" si="16"/>
        <v>111021.06999999996</v>
      </c>
      <c r="D19" s="13">
        <f t="shared" si="0"/>
        <v>135513.33300000001</v>
      </c>
      <c r="E19" s="13">
        <f t="shared" si="1"/>
        <v>111021.06999999996</v>
      </c>
      <c r="F19" s="13">
        <f>IF(AH19=1,MAX(R18,0)*Parameters!$B$11,0)</f>
        <v>0</v>
      </c>
      <c r="G19" s="13">
        <f>IF(AI19=1,MAX(S18,0)*Parameters!$B$11,0)</f>
        <v>0</v>
      </c>
      <c r="H19" s="13">
        <f t="shared" si="2"/>
        <v>135513.33300000001</v>
      </c>
      <c r="I19" s="13">
        <f t="shared" si="3"/>
        <v>111021.06999999996</v>
      </c>
      <c r="J19" s="13">
        <f t="shared" si="4"/>
        <v>0</v>
      </c>
      <c r="K19" s="13">
        <f t="shared" si="5"/>
        <v>0</v>
      </c>
      <c r="L19" s="13">
        <f t="shared" si="6"/>
        <v>135513.33300000001</v>
      </c>
      <c r="M19" s="13">
        <f t="shared" si="7"/>
        <v>111021.06999999996</v>
      </c>
      <c r="N19" s="13">
        <f>MAX(0,INT(L19*Parameters!$B$14/Parameters!$B$13/Parameters!$B$12)*Parameters!$B$12)</f>
        <v>90275</v>
      </c>
      <c r="O19" s="13">
        <f>MAX(0,INT(M19*Parameters!$B$14/Parameters!$B$13/Parameters!$B$12)*Parameters!$B$12)</f>
        <v>73945</v>
      </c>
      <c r="P19" s="13">
        <f>N19*Parameters!$B$13*'H237 Tracker'!B19</f>
        <v>-3105.46</v>
      </c>
      <c r="Q19" s="13">
        <f>O19*Parameters!$B$13*'H237 Tracker'!C19</f>
        <v>-2543.7080000000001</v>
      </c>
      <c r="R19" s="13">
        <f t="shared" si="17"/>
        <v>82407.872999999978</v>
      </c>
      <c r="S19" s="13">
        <f t="shared" si="18"/>
        <v>58477.362000000001</v>
      </c>
      <c r="T19" s="13">
        <f t="shared" si="8"/>
        <v>132407.87300000002</v>
      </c>
      <c r="U19" s="13">
        <f t="shared" si="9"/>
        <v>108477.36199999996</v>
      </c>
      <c r="V19" s="12">
        <f t="shared" si="10"/>
        <v>0.54967201704994506</v>
      </c>
      <c r="W19" t="str">
        <f>'H237 Tracker'!I19</f>
        <v/>
      </c>
      <c r="X19" t="str">
        <f>'H237 Tracker'!J19</f>
        <v/>
      </c>
      <c r="Y19" t="str">
        <f>'H237 Tracker'!K19</f>
        <v/>
      </c>
      <c r="Z19" s="12">
        <f>'H237 Tracker'!O19</f>
        <v>0.54967201704994506</v>
      </c>
      <c r="AA19" s="13">
        <f>'H237 Tracker'!P19</f>
        <v>0</v>
      </c>
      <c r="AB19" s="13">
        <f>'H237 Tracker'!Q19</f>
        <v>0</v>
      </c>
      <c r="AC19" s="13">
        <f t="shared" si="11"/>
        <v>132407.87300000002</v>
      </c>
      <c r="AD19" s="13">
        <f t="shared" si="12"/>
        <v>108477.36199999996</v>
      </c>
      <c r="AE19" s="13">
        <f t="shared" si="13"/>
        <v>240885.23499999999</v>
      </c>
      <c r="AF19" s="13">
        <f t="shared" si="19"/>
        <v>246534.40299999999</v>
      </c>
      <c r="AG19" s="24">
        <f t="shared" si="14"/>
        <v>-2.2914319183274467E-2</v>
      </c>
      <c r="AH19" s="8">
        <f>--(COUNTIF('Tax Events'!$A$4:$A$8,A19)&gt;0)</f>
        <v>0</v>
      </c>
      <c r="AI19" s="8">
        <f>--(COUNTIF('Tax Events'!$B$4:$B$9,A19)&gt;0)</f>
        <v>0</v>
      </c>
    </row>
    <row r="20" spans="1:35">
      <c r="A20" s="4">
        <f>'H237 Tracker'!A20</f>
        <v>43318</v>
      </c>
      <c r="B20" s="13">
        <f t="shared" si="15"/>
        <v>132407.87300000002</v>
      </c>
      <c r="C20" s="13">
        <f t="shared" si="16"/>
        <v>108477.36199999996</v>
      </c>
      <c r="D20" s="13">
        <f t="shared" si="0"/>
        <v>132407.87300000002</v>
      </c>
      <c r="E20" s="13">
        <f t="shared" si="1"/>
        <v>108477.36199999996</v>
      </c>
      <c r="F20" s="13">
        <f>IF(AH20=1,MAX(R19,0)*Parameters!$B$11,0)</f>
        <v>0</v>
      </c>
      <c r="G20" s="13">
        <f>IF(AI20=1,MAX(S19,0)*Parameters!$B$11,0)</f>
        <v>0</v>
      </c>
      <c r="H20" s="13">
        <f t="shared" si="2"/>
        <v>132407.87300000002</v>
      </c>
      <c r="I20" s="13">
        <f t="shared" si="3"/>
        <v>108477.36199999996</v>
      </c>
      <c r="J20" s="13">
        <f t="shared" si="4"/>
        <v>0</v>
      </c>
      <c r="K20" s="13">
        <f t="shared" si="5"/>
        <v>0</v>
      </c>
      <c r="L20" s="13">
        <f t="shared" si="6"/>
        <v>132407.87300000002</v>
      </c>
      <c r="M20" s="13">
        <f t="shared" si="7"/>
        <v>108477.36199999996</v>
      </c>
      <c r="N20" s="13">
        <f>MAX(0,INT(L20*Parameters!$B$14/Parameters!$B$13/Parameters!$B$12)*Parameters!$B$12)</f>
        <v>88205</v>
      </c>
      <c r="O20" s="13">
        <f>MAX(0,INT(M20*Parameters!$B$14/Parameters!$B$13/Parameters!$B$12)*Parameters!$B$12)</f>
        <v>72220</v>
      </c>
      <c r="P20" s="13">
        <f>N20*Parameters!$B$13*'H237 Tracker'!B20</f>
        <v>5239.3770000000004</v>
      </c>
      <c r="Q20" s="13">
        <f>O20*Parameters!$B$13*'H237 Tracker'!C20</f>
        <v>4289.8680000000004</v>
      </c>
      <c r="R20" s="13">
        <f t="shared" si="17"/>
        <v>87647.249999999971</v>
      </c>
      <c r="S20" s="13">
        <f t="shared" si="18"/>
        <v>62767.23</v>
      </c>
      <c r="T20" s="13">
        <f t="shared" si="8"/>
        <v>137647.25000000003</v>
      </c>
      <c r="U20" s="13">
        <f t="shared" si="9"/>
        <v>112767.22999999997</v>
      </c>
      <c r="V20" s="12">
        <f t="shared" si="10"/>
        <v>0.54967767838345472</v>
      </c>
      <c r="W20" t="str">
        <f>'H237 Tracker'!I20</f>
        <v/>
      </c>
      <c r="X20" t="str">
        <f>'H237 Tracker'!J20</f>
        <v/>
      </c>
      <c r="Y20" t="str">
        <f>'H237 Tracker'!K20</f>
        <v/>
      </c>
      <c r="Z20" s="12">
        <f>'H237 Tracker'!O20</f>
        <v>0.54967767838345472</v>
      </c>
      <c r="AA20" s="13">
        <f>'H237 Tracker'!P20</f>
        <v>0</v>
      </c>
      <c r="AB20" s="13">
        <f>'H237 Tracker'!Q20</f>
        <v>0</v>
      </c>
      <c r="AC20" s="13">
        <f t="shared" si="11"/>
        <v>137647.25000000003</v>
      </c>
      <c r="AD20" s="13">
        <f t="shared" si="12"/>
        <v>112767.22999999997</v>
      </c>
      <c r="AE20" s="13">
        <f t="shared" si="13"/>
        <v>250414.47999999998</v>
      </c>
      <c r="AF20" s="13">
        <f t="shared" si="19"/>
        <v>250414.47999999998</v>
      </c>
      <c r="AG20" s="24">
        <f t="shared" si="14"/>
        <v>0</v>
      </c>
      <c r="AH20" s="8">
        <f>--(COUNTIF('Tax Events'!$A$4:$A$8,A20)&gt;0)</f>
        <v>0</v>
      </c>
      <c r="AI20" s="8">
        <f>--(COUNTIF('Tax Events'!$B$4:$B$9,A20)&gt;0)</f>
        <v>0</v>
      </c>
    </row>
    <row r="21" spans="1:35">
      <c r="A21" s="4">
        <f>'H237 Tracker'!A21</f>
        <v>43325</v>
      </c>
      <c r="B21" s="13">
        <f t="shared" si="15"/>
        <v>137647.25000000003</v>
      </c>
      <c r="C21" s="13">
        <f t="shared" si="16"/>
        <v>112767.22999999997</v>
      </c>
      <c r="D21" s="13">
        <f t="shared" si="0"/>
        <v>137647.25000000003</v>
      </c>
      <c r="E21" s="13">
        <f t="shared" si="1"/>
        <v>112767.22999999997</v>
      </c>
      <c r="F21" s="13">
        <f>IF(AH21=1,MAX(R20,0)*Parameters!$B$11,0)</f>
        <v>0</v>
      </c>
      <c r="G21" s="13">
        <f>IF(AI21=1,MAX(S20,0)*Parameters!$B$11,0)</f>
        <v>0</v>
      </c>
      <c r="H21" s="13">
        <f t="shared" si="2"/>
        <v>137647.25000000003</v>
      </c>
      <c r="I21" s="13">
        <f t="shared" si="3"/>
        <v>112767.22999999997</v>
      </c>
      <c r="J21" s="13">
        <f t="shared" si="4"/>
        <v>0</v>
      </c>
      <c r="K21" s="13">
        <f t="shared" si="5"/>
        <v>0</v>
      </c>
      <c r="L21" s="13">
        <f t="shared" si="6"/>
        <v>137647.25000000003</v>
      </c>
      <c r="M21" s="13">
        <f t="shared" si="7"/>
        <v>112767.22999999997</v>
      </c>
      <c r="N21" s="13">
        <f>MAX(0,INT(L21*Parameters!$B$14/Parameters!$B$13/Parameters!$B$12)*Parameters!$B$12)</f>
        <v>91655</v>
      </c>
      <c r="O21" s="13">
        <f>MAX(0,INT(M21*Parameters!$B$14/Parameters!$B$13/Parameters!$B$12)*Parameters!$B$12)</f>
        <v>75095</v>
      </c>
      <c r="P21" s="13">
        <f>N21*Parameters!$B$13*'H237 Tracker'!B21</f>
        <v>-13198.32</v>
      </c>
      <c r="Q21" s="13">
        <f>O21*Parameters!$B$13*'H237 Tracker'!C21</f>
        <v>-10813.68</v>
      </c>
      <c r="R21" s="13">
        <f t="shared" si="17"/>
        <v>74448.929999999964</v>
      </c>
      <c r="S21" s="13">
        <f t="shared" si="18"/>
        <v>51953.55</v>
      </c>
      <c r="T21" s="13">
        <f t="shared" si="8"/>
        <v>124448.93000000002</v>
      </c>
      <c r="U21" s="13">
        <f t="shared" si="9"/>
        <v>101953.54999999996</v>
      </c>
      <c r="V21" s="12">
        <f t="shared" si="10"/>
        <v>0.54968006534204061</v>
      </c>
      <c r="W21" t="str">
        <f>'H237 Tracker'!I21</f>
        <v/>
      </c>
      <c r="X21" t="str">
        <f>'H237 Tracker'!J21</f>
        <v/>
      </c>
      <c r="Y21" t="str">
        <f>'H237 Tracker'!K21</f>
        <v/>
      </c>
      <c r="Z21" s="12">
        <f>'H237 Tracker'!O21</f>
        <v>0.54968006534204061</v>
      </c>
      <c r="AA21" s="13">
        <f>'H237 Tracker'!P21</f>
        <v>0</v>
      </c>
      <c r="AB21" s="13">
        <f>'H237 Tracker'!Q21</f>
        <v>1.4551915228366852E-11</v>
      </c>
      <c r="AC21" s="13">
        <f t="shared" si="11"/>
        <v>124448.93000000004</v>
      </c>
      <c r="AD21" s="13">
        <f t="shared" si="12"/>
        <v>101953.54999999994</v>
      </c>
      <c r="AE21" s="13">
        <f t="shared" si="13"/>
        <v>226402.47999999998</v>
      </c>
      <c r="AF21" s="13">
        <f t="shared" si="19"/>
        <v>250414.47999999998</v>
      </c>
      <c r="AG21" s="24">
        <f t="shared" si="14"/>
        <v>-9.5889023669877282E-2</v>
      </c>
      <c r="AH21" s="8">
        <f>--(COUNTIF('Tax Events'!$A$4:$A$8,A21)&gt;0)</f>
        <v>0</v>
      </c>
      <c r="AI21" s="8">
        <f>--(COUNTIF('Tax Events'!$B$4:$B$9,A21)&gt;0)</f>
        <v>0</v>
      </c>
    </row>
    <row r="22" spans="1:35">
      <c r="A22" s="4">
        <f>'H237 Tracker'!A22</f>
        <v>43332</v>
      </c>
      <c r="B22" s="13">
        <f t="shared" si="15"/>
        <v>124448.93000000004</v>
      </c>
      <c r="C22" s="13">
        <f t="shared" si="16"/>
        <v>101953.54999999994</v>
      </c>
      <c r="D22" s="13">
        <f t="shared" si="0"/>
        <v>124448.93000000004</v>
      </c>
      <c r="E22" s="13">
        <f t="shared" si="1"/>
        <v>101953.54999999994</v>
      </c>
      <c r="F22" s="13">
        <f>IF(AH22=1,MAX(R21,0)*Parameters!$B$11,0)</f>
        <v>0</v>
      </c>
      <c r="G22" s="13">
        <f>IF(AI22=1,MAX(S21,0)*Parameters!$B$11,0)</f>
        <v>0</v>
      </c>
      <c r="H22" s="13">
        <f t="shared" si="2"/>
        <v>124448.93000000004</v>
      </c>
      <c r="I22" s="13">
        <f t="shared" si="3"/>
        <v>101953.54999999994</v>
      </c>
      <c r="J22" s="13">
        <f t="shared" si="4"/>
        <v>0</v>
      </c>
      <c r="K22" s="13">
        <f t="shared" si="5"/>
        <v>0</v>
      </c>
      <c r="L22" s="13">
        <f t="shared" si="6"/>
        <v>124448.93000000004</v>
      </c>
      <c r="M22" s="13">
        <f t="shared" si="7"/>
        <v>101953.54999999994</v>
      </c>
      <c r="N22" s="13">
        <f>MAX(0,INT(L22*Parameters!$B$14/Parameters!$B$13/Parameters!$B$12)*Parameters!$B$12)</f>
        <v>82915</v>
      </c>
      <c r="O22" s="13">
        <f>MAX(0,INT(M22*Parameters!$B$14/Parameters!$B$13/Parameters!$B$12)*Parameters!$B$12)</f>
        <v>67965</v>
      </c>
      <c r="P22" s="13">
        <f>N22*Parameters!$B$13*'H237 Tracker'!B22</f>
        <v>20562.919999999998</v>
      </c>
      <c r="Q22" s="13">
        <f>O22*Parameters!$B$13*'H237 Tracker'!C22</f>
        <v>16855.32</v>
      </c>
      <c r="R22" s="13">
        <f t="shared" si="17"/>
        <v>95011.849999999962</v>
      </c>
      <c r="S22" s="13">
        <f t="shared" si="18"/>
        <v>68808.87</v>
      </c>
      <c r="T22" s="13">
        <f t="shared" si="8"/>
        <v>145011.85000000003</v>
      </c>
      <c r="U22" s="13">
        <f t="shared" si="9"/>
        <v>118808.86999999994</v>
      </c>
      <c r="V22" s="12">
        <f t="shared" si="10"/>
        <v>0.54966058010909857</v>
      </c>
      <c r="W22" t="str">
        <f>'H237 Tracker'!I22</f>
        <v/>
      </c>
      <c r="X22" t="str">
        <f>'H237 Tracker'!J22</f>
        <v/>
      </c>
      <c r="Y22" t="str">
        <f>'H237 Tracker'!K22</f>
        <v/>
      </c>
      <c r="Z22" s="12">
        <f>'H237 Tracker'!O22</f>
        <v>0.54966058010909857</v>
      </c>
      <c r="AA22" s="13">
        <f>'H237 Tracker'!P22</f>
        <v>0</v>
      </c>
      <c r="AB22" s="13">
        <f>'H237 Tracker'!Q22</f>
        <v>0</v>
      </c>
      <c r="AC22" s="13">
        <f t="shared" si="11"/>
        <v>145011.85000000003</v>
      </c>
      <c r="AD22" s="13">
        <f t="shared" si="12"/>
        <v>118808.86999999994</v>
      </c>
      <c r="AE22" s="13">
        <f t="shared" si="13"/>
        <v>263820.71999999997</v>
      </c>
      <c r="AF22" s="13">
        <f t="shared" si="19"/>
        <v>263820.71999999997</v>
      </c>
      <c r="AG22" s="24">
        <f t="shared" si="14"/>
        <v>0</v>
      </c>
      <c r="AH22" s="8">
        <f>--(COUNTIF('Tax Events'!$A$4:$A$8,A22)&gt;0)</f>
        <v>0</v>
      </c>
      <c r="AI22" s="8">
        <f>--(COUNTIF('Tax Events'!$B$4:$B$9,A22)&gt;0)</f>
        <v>0</v>
      </c>
    </row>
    <row r="23" spans="1:35">
      <c r="A23" s="4">
        <f>'H237 Tracker'!A23</f>
        <v>43339</v>
      </c>
      <c r="B23" s="13">
        <f t="shared" si="15"/>
        <v>145011.85000000003</v>
      </c>
      <c r="C23" s="13">
        <f t="shared" si="16"/>
        <v>118808.86999999994</v>
      </c>
      <c r="D23" s="13">
        <f t="shared" si="0"/>
        <v>145011.85000000003</v>
      </c>
      <c r="E23" s="13">
        <f t="shared" si="1"/>
        <v>118808.86999999994</v>
      </c>
      <c r="F23" s="13">
        <f>IF(AH23=1,MAX(R22,0)*Parameters!$B$11,0)</f>
        <v>0</v>
      </c>
      <c r="G23" s="13">
        <f>IF(AI23=1,MAX(S22,0)*Parameters!$B$11,0)</f>
        <v>0</v>
      </c>
      <c r="H23" s="13">
        <f t="shared" si="2"/>
        <v>145011.85000000003</v>
      </c>
      <c r="I23" s="13">
        <f t="shared" si="3"/>
        <v>118808.86999999994</v>
      </c>
      <c r="J23" s="13">
        <f t="shared" si="4"/>
        <v>0</v>
      </c>
      <c r="K23" s="13">
        <f t="shared" si="5"/>
        <v>0</v>
      </c>
      <c r="L23" s="13">
        <f t="shared" si="6"/>
        <v>145011.85000000003</v>
      </c>
      <c r="M23" s="13">
        <f t="shared" si="7"/>
        <v>118808.86999999994</v>
      </c>
      <c r="N23" s="13">
        <f>MAX(0,INT(L23*Parameters!$B$14/Parameters!$B$13/Parameters!$B$12)*Parameters!$B$12)</f>
        <v>96600</v>
      </c>
      <c r="O23" s="13">
        <f>MAX(0,INT(M23*Parameters!$B$14/Parameters!$B$13/Parameters!$B$12)*Parameters!$B$12)</f>
        <v>79120</v>
      </c>
      <c r="P23" s="13">
        <f>N23*Parameters!$B$13*'H237 Tracker'!B23</f>
        <v>33520.200000000004</v>
      </c>
      <c r="Q23" s="13">
        <f>O23*Parameters!$B$13*'H237 Tracker'!C23</f>
        <v>27454.640000000003</v>
      </c>
      <c r="R23" s="13">
        <f t="shared" si="17"/>
        <v>128532.04999999996</v>
      </c>
      <c r="S23" s="13">
        <f t="shared" si="18"/>
        <v>96263.51</v>
      </c>
      <c r="T23" s="13">
        <f t="shared" si="8"/>
        <v>178532.05000000005</v>
      </c>
      <c r="U23" s="13">
        <f t="shared" si="9"/>
        <v>146263.50999999995</v>
      </c>
      <c r="V23" s="12">
        <f t="shared" si="10"/>
        <v>0.54967515565791614</v>
      </c>
      <c r="W23" t="str">
        <f>'H237 Tracker'!I23</f>
        <v/>
      </c>
      <c r="X23" t="str">
        <f>'H237 Tracker'!J23</f>
        <v/>
      </c>
      <c r="Y23" t="str">
        <f>'H237 Tracker'!K23</f>
        <v/>
      </c>
      <c r="Z23" s="12">
        <f>'H237 Tracker'!O23</f>
        <v>0.54967515565791614</v>
      </c>
      <c r="AA23" s="13">
        <f>'H237 Tracker'!P23</f>
        <v>0</v>
      </c>
      <c r="AB23" s="13">
        <f>'H237 Tracker'!Q23</f>
        <v>0</v>
      </c>
      <c r="AC23" s="13">
        <f t="shared" si="11"/>
        <v>178532.05000000005</v>
      </c>
      <c r="AD23" s="13">
        <f t="shared" si="12"/>
        <v>146263.50999999995</v>
      </c>
      <c r="AE23" s="13">
        <f t="shared" si="13"/>
        <v>324795.56</v>
      </c>
      <c r="AF23" s="13">
        <f t="shared" si="19"/>
        <v>324795.56</v>
      </c>
      <c r="AG23" s="24">
        <f t="shared" si="14"/>
        <v>0</v>
      </c>
      <c r="AH23" s="8">
        <f>--(COUNTIF('Tax Events'!$A$4:$A$8,A23)&gt;0)</f>
        <v>0</v>
      </c>
      <c r="AI23" s="8">
        <f>--(COUNTIF('Tax Events'!$B$4:$B$9,A23)&gt;0)</f>
        <v>0</v>
      </c>
    </row>
    <row r="24" spans="1:35">
      <c r="A24" s="4">
        <f>'H237 Tracker'!A24</f>
        <v>43346</v>
      </c>
      <c r="B24" s="13">
        <f t="shared" si="15"/>
        <v>178532.05000000005</v>
      </c>
      <c r="C24" s="13">
        <f t="shared" si="16"/>
        <v>146263.50999999995</v>
      </c>
      <c r="D24" s="13">
        <f t="shared" si="0"/>
        <v>178532.05000000005</v>
      </c>
      <c r="E24" s="13">
        <f t="shared" si="1"/>
        <v>146263.50999999995</v>
      </c>
      <c r="F24" s="13">
        <f>IF(AH24=1,MAX(R23,0)*Parameters!$B$11,0)</f>
        <v>0</v>
      </c>
      <c r="G24" s="13">
        <f>IF(AI24=1,MAX(S23,0)*Parameters!$B$11,0)</f>
        <v>0</v>
      </c>
      <c r="H24" s="13">
        <f t="shared" si="2"/>
        <v>178532.05000000005</v>
      </c>
      <c r="I24" s="13">
        <f t="shared" si="3"/>
        <v>146263.50999999995</v>
      </c>
      <c r="J24" s="13">
        <f t="shared" si="4"/>
        <v>0</v>
      </c>
      <c r="K24" s="13">
        <f t="shared" si="5"/>
        <v>0</v>
      </c>
      <c r="L24" s="13">
        <f t="shared" si="6"/>
        <v>178532.05000000005</v>
      </c>
      <c r="M24" s="13">
        <f t="shared" si="7"/>
        <v>146263.50999999995</v>
      </c>
      <c r="N24" s="13">
        <f>MAX(0,INT(L24*Parameters!$B$14/Parameters!$B$13/Parameters!$B$12)*Parameters!$B$12)</f>
        <v>118910</v>
      </c>
      <c r="O24" s="13">
        <f>MAX(0,INT(M24*Parameters!$B$14/Parameters!$B$13/Parameters!$B$12)*Parameters!$B$12)</f>
        <v>97405</v>
      </c>
      <c r="P24" s="13">
        <f>N24*Parameters!$B$13*'H237 Tracker'!B24</f>
        <v>-32414.865999999998</v>
      </c>
      <c r="Q24" s="13">
        <f>O24*Parameters!$B$13*'H237 Tracker'!C24</f>
        <v>0</v>
      </c>
      <c r="R24" s="13">
        <f t="shared" si="17"/>
        <v>96117.183999999965</v>
      </c>
      <c r="S24" s="13">
        <f t="shared" si="18"/>
        <v>96263.51</v>
      </c>
      <c r="T24" s="13">
        <f t="shared" si="8"/>
        <v>146117.18400000004</v>
      </c>
      <c r="U24" s="13">
        <f t="shared" si="9"/>
        <v>146263.50999999995</v>
      </c>
      <c r="V24" s="12">
        <f t="shared" si="10"/>
        <v>0.49974976801990911</v>
      </c>
      <c r="W24" t="str">
        <f>'H237 Tracker'!I24</f>
        <v/>
      </c>
      <c r="X24" t="str">
        <f>'H237 Tracker'!J24</f>
        <v/>
      </c>
      <c r="Y24" t="str">
        <f>'H237 Tracker'!K24</f>
        <v/>
      </c>
      <c r="Z24" s="12">
        <f>'H237 Tracker'!O24</f>
        <v>0.49974976801990911</v>
      </c>
      <c r="AA24" s="13">
        <f>'H237 Tracker'!P24</f>
        <v>0</v>
      </c>
      <c r="AB24" s="13">
        <f>'H237 Tracker'!Q24</f>
        <v>0</v>
      </c>
      <c r="AC24" s="13">
        <f t="shared" si="11"/>
        <v>146117.18400000004</v>
      </c>
      <c r="AD24" s="13">
        <f t="shared" si="12"/>
        <v>146263.50999999995</v>
      </c>
      <c r="AE24" s="13">
        <f t="shared" si="13"/>
        <v>292380.69400000002</v>
      </c>
      <c r="AF24" s="13">
        <f t="shared" si="19"/>
        <v>324795.56</v>
      </c>
      <c r="AG24" s="24">
        <f t="shared" si="14"/>
        <v>-9.9800828558124333E-2</v>
      </c>
      <c r="AH24" s="8">
        <f>--(COUNTIF('Tax Events'!$A$4:$A$8,A24)&gt;0)</f>
        <v>0</v>
      </c>
      <c r="AI24" s="8">
        <f>--(COUNTIF('Tax Events'!$B$4:$B$9,A24)&gt;0)</f>
        <v>0</v>
      </c>
    </row>
    <row r="25" spans="1:35">
      <c r="A25" s="4">
        <f>'H237 Tracker'!A25</f>
        <v>43353</v>
      </c>
      <c r="B25" s="13">
        <f t="shared" si="15"/>
        <v>146117.18400000004</v>
      </c>
      <c r="C25" s="13">
        <f t="shared" si="16"/>
        <v>146263.50999999995</v>
      </c>
      <c r="D25" s="13">
        <f t="shared" si="0"/>
        <v>146117.18400000004</v>
      </c>
      <c r="E25" s="13">
        <f t="shared" si="1"/>
        <v>146263.50999999995</v>
      </c>
      <c r="F25" s="13">
        <f>IF(AH25=1,MAX(R24,0)*Parameters!$B$11,0)</f>
        <v>0</v>
      </c>
      <c r="G25" s="13">
        <f>IF(AI25=1,MAX(S24,0)*Parameters!$B$11,0)</f>
        <v>0</v>
      </c>
      <c r="H25" s="13">
        <f t="shared" si="2"/>
        <v>146117.18400000004</v>
      </c>
      <c r="I25" s="13">
        <f t="shared" si="3"/>
        <v>146263.50999999995</v>
      </c>
      <c r="J25" s="13">
        <f t="shared" si="4"/>
        <v>0</v>
      </c>
      <c r="K25" s="13">
        <f t="shared" si="5"/>
        <v>0</v>
      </c>
      <c r="L25" s="13">
        <f t="shared" si="6"/>
        <v>146117.18400000004</v>
      </c>
      <c r="M25" s="13">
        <f t="shared" si="7"/>
        <v>146263.50999999995</v>
      </c>
      <c r="N25" s="13">
        <f>MAX(0,INT(L25*Parameters!$B$14/Parameters!$B$13/Parameters!$B$12)*Parameters!$B$12)</f>
        <v>97405</v>
      </c>
      <c r="O25" s="13">
        <f>MAX(0,INT(M25*Parameters!$B$14/Parameters!$B$13/Parameters!$B$12)*Parameters!$B$12)</f>
        <v>97405</v>
      </c>
      <c r="P25" s="13">
        <f>N25*Parameters!$B$13*'H237 Tracker'!B25</f>
        <v>21097.922999999999</v>
      </c>
      <c r="Q25" s="13">
        <f>O25*Parameters!$B$13*'H237 Tracker'!C25</f>
        <v>21097.922999999999</v>
      </c>
      <c r="R25" s="13">
        <f t="shared" si="17"/>
        <v>117215.10699999996</v>
      </c>
      <c r="S25" s="13">
        <f t="shared" si="18"/>
        <v>117361.43299999999</v>
      </c>
      <c r="T25" s="13">
        <f t="shared" si="8"/>
        <v>167215.10700000005</v>
      </c>
      <c r="U25" s="13">
        <f t="shared" si="9"/>
        <v>167361.43299999996</v>
      </c>
      <c r="V25" s="12">
        <f t="shared" si="10"/>
        <v>0.49978132656880253</v>
      </c>
      <c r="W25" t="str">
        <f>'H237 Tracker'!I25</f>
        <v/>
      </c>
      <c r="X25" t="str">
        <f>'H237 Tracker'!J25</f>
        <v/>
      </c>
      <c r="Y25" t="str">
        <f>'H237 Tracker'!K25</f>
        <v/>
      </c>
      <c r="Z25" s="12">
        <f>'H237 Tracker'!O25</f>
        <v>0.49978132656880253</v>
      </c>
      <c r="AA25" s="13">
        <f>'H237 Tracker'!P25</f>
        <v>0</v>
      </c>
      <c r="AB25" s="13">
        <f>'H237 Tracker'!Q25</f>
        <v>0</v>
      </c>
      <c r="AC25" s="13">
        <f t="shared" si="11"/>
        <v>167215.10700000005</v>
      </c>
      <c r="AD25" s="13">
        <f t="shared" si="12"/>
        <v>167361.43299999996</v>
      </c>
      <c r="AE25" s="13">
        <f t="shared" si="13"/>
        <v>334576.54000000004</v>
      </c>
      <c r="AF25" s="13">
        <f t="shared" si="19"/>
        <v>334576.54000000004</v>
      </c>
      <c r="AG25" s="24">
        <f t="shared" si="14"/>
        <v>0</v>
      </c>
      <c r="AH25" s="8">
        <f>--(COUNTIF('Tax Events'!$A$4:$A$8,A25)&gt;0)</f>
        <v>0</v>
      </c>
      <c r="AI25" s="8">
        <f>--(COUNTIF('Tax Events'!$B$4:$B$9,A25)&gt;0)</f>
        <v>0</v>
      </c>
    </row>
    <row r="26" spans="1:35">
      <c r="A26" s="4">
        <f>'H237 Tracker'!A26</f>
        <v>43360</v>
      </c>
      <c r="B26" s="13">
        <f t="shared" si="15"/>
        <v>167215.10700000005</v>
      </c>
      <c r="C26" s="13">
        <f t="shared" si="16"/>
        <v>167361.43299999996</v>
      </c>
      <c r="D26" s="13">
        <f t="shared" si="0"/>
        <v>167215.10700000005</v>
      </c>
      <c r="E26" s="13">
        <f t="shared" si="1"/>
        <v>167361.43299999996</v>
      </c>
      <c r="F26" s="13">
        <f>IF(AH26=1,MAX(R25,0)*Parameters!$B$11,0)</f>
        <v>0</v>
      </c>
      <c r="G26" s="13">
        <f>IF(AI26=1,MAX(S25,0)*Parameters!$B$11,0)</f>
        <v>0</v>
      </c>
      <c r="H26" s="13">
        <f t="shared" si="2"/>
        <v>167215.10700000005</v>
      </c>
      <c r="I26" s="13">
        <f t="shared" si="3"/>
        <v>167361.43299999996</v>
      </c>
      <c r="J26" s="13">
        <f t="shared" si="4"/>
        <v>0</v>
      </c>
      <c r="K26" s="13">
        <f t="shared" si="5"/>
        <v>0</v>
      </c>
      <c r="L26" s="13">
        <f t="shared" si="6"/>
        <v>167215.10700000005</v>
      </c>
      <c r="M26" s="13">
        <f t="shared" si="7"/>
        <v>167361.43299999996</v>
      </c>
      <c r="N26" s="13">
        <f>MAX(0,INT(L26*Parameters!$B$14/Parameters!$B$13/Parameters!$B$12)*Parameters!$B$12)</f>
        <v>111435</v>
      </c>
      <c r="O26" s="13">
        <f>MAX(0,INT(M26*Parameters!$B$14/Parameters!$B$13/Parameters!$B$12)*Parameters!$B$12)</f>
        <v>111550</v>
      </c>
      <c r="P26" s="13">
        <f>N26*Parameters!$B$13*'H237 Tracker'!B26</f>
        <v>-8847.9389999999985</v>
      </c>
      <c r="Q26" s="13">
        <f>O26*Parameters!$B$13*'H237 Tracker'!C26</f>
        <v>-8857.07</v>
      </c>
      <c r="R26" s="13">
        <f t="shared" si="17"/>
        <v>108367.16799999996</v>
      </c>
      <c r="S26" s="13">
        <f t="shared" si="18"/>
        <v>108504.36299999998</v>
      </c>
      <c r="T26" s="13">
        <f t="shared" si="8"/>
        <v>158367.16800000006</v>
      </c>
      <c r="U26" s="13">
        <f t="shared" si="9"/>
        <v>158504.36299999995</v>
      </c>
      <c r="V26" s="12">
        <f t="shared" si="10"/>
        <v>0.49978351636771073</v>
      </c>
      <c r="W26" t="str">
        <f>'H237 Tracker'!I26</f>
        <v/>
      </c>
      <c r="X26" t="str">
        <f>'H237 Tracker'!J26</f>
        <v/>
      </c>
      <c r="Y26" t="str">
        <f>'H237 Tracker'!K26</f>
        <v/>
      </c>
      <c r="Z26" s="12">
        <f>'H237 Tracker'!O26</f>
        <v>0.49978351636771073</v>
      </c>
      <c r="AA26" s="13">
        <f>'H237 Tracker'!P26</f>
        <v>0</v>
      </c>
      <c r="AB26" s="13">
        <f>'H237 Tracker'!Q26</f>
        <v>0</v>
      </c>
      <c r="AC26" s="13">
        <f t="shared" si="11"/>
        <v>158367.16800000006</v>
      </c>
      <c r="AD26" s="13">
        <f t="shared" si="12"/>
        <v>158504.36299999995</v>
      </c>
      <c r="AE26" s="13">
        <f t="shared" si="13"/>
        <v>316871.53100000002</v>
      </c>
      <c r="AF26" s="13">
        <f t="shared" si="19"/>
        <v>334576.54000000004</v>
      </c>
      <c r="AG26" s="24">
        <f t="shared" si="14"/>
        <v>-5.2917664221167504E-2</v>
      </c>
      <c r="AH26" s="8">
        <f>--(COUNTIF('Tax Events'!$A$4:$A$8,A26)&gt;0)</f>
        <v>0</v>
      </c>
      <c r="AI26" s="8">
        <f>--(COUNTIF('Tax Events'!$B$4:$B$9,A26)&gt;0)</f>
        <v>0</v>
      </c>
    </row>
    <row r="27" spans="1:35">
      <c r="A27" s="4">
        <f>'H237 Tracker'!A27</f>
        <v>43367</v>
      </c>
      <c r="B27" s="13">
        <f t="shared" si="15"/>
        <v>158367.16800000006</v>
      </c>
      <c r="C27" s="13">
        <f t="shared" si="16"/>
        <v>158504.36299999995</v>
      </c>
      <c r="D27" s="13">
        <f t="shared" si="0"/>
        <v>158367.16800000006</v>
      </c>
      <c r="E27" s="13">
        <f t="shared" si="1"/>
        <v>158504.36299999995</v>
      </c>
      <c r="F27" s="13">
        <f>IF(AH27=1,MAX(R26,0)*Parameters!$B$11,0)</f>
        <v>0</v>
      </c>
      <c r="G27" s="13">
        <f>IF(AI27=1,MAX(S26,0)*Parameters!$B$11,0)</f>
        <v>0</v>
      </c>
      <c r="H27" s="13">
        <f t="shared" si="2"/>
        <v>158367.16800000006</v>
      </c>
      <c r="I27" s="13">
        <f t="shared" si="3"/>
        <v>158504.36299999995</v>
      </c>
      <c r="J27" s="13">
        <f t="shared" si="4"/>
        <v>0</v>
      </c>
      <c r="K27" s="13">
        <f t="shared" si="5"/>
        <v>0</v>
      </c>
      <c r="L27" s="13">
        <f t="shared" si="6"/>
        <v>158367.16800000006</v>
      </c>
      <c r="M27" s="13">
        <f t="shared" si="7"/>
        <v>158504.36299999995</v>
      </c>
      <c r="N27" s="13">
        <f>MAX(0,INT(L27*Parameters!$B$14/Parameters!$B$13/Parameters!$B$12)*Parameters!$B$12)</f>
        <v>105570</v>
      </c>
      <c r="O27" s="13">
        <f>MAX(0,INT(M27*Parameters!$B$14/Parameters!$B$13/Parameters!$B$12)*Parameters!$B$12)</f>
        <v>105570</v>
      </c>
      <c r="P27" s="13">
        <f>N27*Parameters!$B$13*'H237 Tracker'!B27</f>
        <v>22950.917999999998</v>
      </c>
      <c r="Q27" s="13">
        <f>O27*Parameters!$B$13*'H237 Tracker'!C27</f>
        <v>22950.917999999998</v>
      </c>
      <c r="R27" s="13">
        <f t="shared" si="17"/>
        <v>131318.08599999995</v>
      </c>
      <c r="S27" s="13">
        <f t="shared" si="18"/>
        <v>131455.28099999999</v>
      </c>
      <c r="T27" s="13">
        <f t="shared" si="8"/>
        <v>181318.08600000007</v>
      </c>
      <c r="U27" s="13">
        <f t="shared" si="9"/>
        <v>181455.28099999996</v>
      </c>
      <c r="V27" s="12">
        <f t="shared" si="10"/>
        <v>0.49981090811443185</v>
      </c>
      <c r="W27" t="str">
        <f>'H237 Tracker'!I27</f>
        <v/>
      </c>
      <c r="X27" t="str">
        <f>'H237 Tracker'!J27</f>
        <v/>
      </c>
      <c r="Y27" t="str">
        <f>'H237 Tracker'!K27</f>
        <v/>
      </c>
      <c r="Z27" s="12">
        <f>'H237 Tracker'!O27</f>
        <v>0.49981090811443185</v>
      </c>
      <c r="AA27" s="13">
        <f>'H237 Tracker'!P27</f>
        <v>0</v>
      </c>
      <c r="AB27" s="13">
        <f>'H237 Tracker'!Q27</f>
        <v>0</v>
      </c>
      <c r="AC27" s="13">
        <f t="shared" si="11"/>
        <v>181318.08600000007</v>
      </c>
      <c r="AD27" s="13">
        <f t="shared" si="12"/>
        <v>181455.28099999996</v>
      </c>
      <c r="AE27" s="13">
        <f t="shared" si="13"/>
        <v>362773.36700000003</v>
      </c>
      <c r="AF27" s="13">
        <f t="shared" si="19"/>
        <v>362773.36700000003</v>
      </c>
      <c r="AG27" s="24">
        <f t="shared" si="14"/>
        <v>0</v>
      </c>
      <c r="AH27" s="8">
        <f>--(COUNTIF('Tax Events'!$A$4:$A$8,A27)&gt;0)</f>
        <v>0</v>
      </c>
      <c r="AI27" s="8">
        <f>--(COUNTIF('Tax Events'!$B$4:$B$9,A27)&gt;0)</f>
        <v>0</v>
      </c>
    </row>
    <row r="28" spans="1:35">
      <c r="A28" s="4">
        <f>'H237 Tracker'!A28</f>
        <v>43374</v>
      </c>
      <c r="B28" s="13">
        <f t="shared" si="15"/>
        <v>181318.08600000007</v>
      </c>
      <c r="C28" s="13">
        <f t="shared" si="16"/>
        <v>181455.28099999996</v>
      </c>
      <c r="D28" s="13">
        <f t="shared" si="0"/>
        <v>181318.08600000007</v>
      </c>
      <c r="E28" s="13">
        <f t="shared" si="1"/>
        <v>181455.28099999996</v>
      </c>
      <c r="F28" s="13">
        <f>IF(AH28=1,MAX(R27,0)*Parameters!$B$11,0)</f>
        <v>0</v>
      </c>
      <c r="G28" s="13">
        <f>IF(AI28=1,MAX(S27,0)*Parameters!$B$11,0)</f>
        <v>0</v>
      </c>
      <c r="H28" s="13">
        <f t="shared" si="2"/>
        <v>181318.08600000007</v>
      </c>
      <c r="I28" s="13">
        <f t="shared" si="3"/>
        <v>181455.28099999996</v>
      </c>
      <c r="J28" s="13">
        <f t="shared" si="4"/>
        <v>0</v>
      </c>
      <c r="K28" s="13">
        <f t="shared" si="5"/>
        <v>0</v>
      </c>
      <c r="L28" s="13">
        <f t="shared" si="6"/>
        <v>181318.08600000007</v>
      </c>
      <c r="M28" s="13">
        <f t="shared" si="7"/>
        <v>181455.28099999996</v>
      </c>
      <c r="N28" s="13">
        <f>MAX(0,INT(L28*Parameters!$B$14/Parameters!$B$13/Parameters!$B$12)*Parameters!$B$12)</f>
        <v>120865</v>
      </c>
      <c r="O28" s="13">
        <f>MAX(0,INT(M28*Parameters!$B$14/Parameters!$B$13/Parameters!$B$12)*Parameters!$B$12)</f>
        <v>120865</v>
      </c>
      <c r="P28" s="13">
        <f>N28*Parameters!$B$13*'H237 Tracker'!B28</f>
        <v>-9185.74</v>
      </c>
      <c r="Q28" s="13">
        <f>O28*Parameters!$B$13*'H237 Tracker'!C28</f>
        <v>-9185.74</v>
      </c>
      <c r="R28" s="13">
        <f t="shared" si="17"/>
        <v>122132.34599999995</v>
      </c>
      <c r="S28" s="13">
        <f t="shared" si="18"/>
        <v>122269.54099999998</v>
      </c>
      <c r="T28" s="13">
        <f t="shared" si="8"/>
        <v>172132.34600000008</v>
      </c>
      <c r="U28" s="13">
        <f t="shared" si="9"/>
        <v>172269.54099999997</v>
      </c>
      <c r="V28" s="12">
        <f t="shared" si="10"/>
        <v>0.49980082135844994</v>
      </c>
      <c r="W28" t="str">
        <f>'H237 Tracker'!I28</f>
        <v/>
      </c>
      <c r="X28" t="str">
        <f>'H237 Tracker'!J28</f>
        <v/>
      </c>
      <c r="Y28" t="str">
        <f>'H237 Tracker'!K28</f>
        <v/>
      </c>
      <c r="Z28" s="12">
        <f>'H237 Tracker'!O28</f>
        <v>0.49980082135844994</v>
      </c>
      <c r="AA28" s="13">
        <f>'H237 Tracker'!P28</f>
        <v>0</v>
      </c>
      <c r="AB28" s="13">
        <f>'H237 Tracker'!Q28</f>
        <v>0</v>
      </c>
      <c r="AC28" s="13">
        <f t="shared" si="11"/>
        <v>172132.34600000008</v>
      </c>
      <c r="AD28" s="13">
        <f t="shared" si="12"/>
        <v>172269.54099999997</v>
      </c>
      <c r="AE28" s="13">
        <f t="shared" si="13"/>
        <v>344401.88700000005</v>
      </c>
      <c r="AF28" s="13">
        <f t="shared" si="19"/>
        <v>362773.36700000003</v>
      </c>
      <c r="AG28" s="24">
        <f t="shared" si="14"/>
        <v>-5.0641755076799688E-2</v>
      </c>
      <c r="AH28" s="8">
        <f>--(COUNTIF('Tax Events'!$A$4:$A$8,A28)&gt;0)</f>
        <v>0</v>
      </c>
      <c r="AI28" s="8">
        <f>--(COUNTIF('Tax Events'!$B$4:$B$9,A28)&gt;0)</f>
        <v>0</v>
      </c>
    </row>
    <row r="29" spans="1:35">
      <c r="A29" s="4">
        <f>'H237 Tracker'!A29</f>
        <v>43381</v>
      </c>
      <c r="B29" s="13">
        <f t="shared" si="15"/>
        <v>172132.34600000008</v>
      </c>
      <c r="C29" s="13">
        <f t="shared" si="16"/>
        <v>172269.54099999997</v>
      </c>
      <c r="D29" s="13">
        <f t="shared" si="0"/>
        <v>172132.34600000008</v>
      </c>
      <c r="E29" s="13">
        <f t="shared" si="1"/>
        <v>172269.54099999997</v>
      </c>
      <c r="F29" s="13">
        <f>IF(AH29=1,MAX(R28,0)*Parameters!$B$11,0)</f>
        <v>0</v>
      </c>
      <c r="G29" s="13">
        <f>IF(AI29=1,MAX(S28,0)*Parameters!$B$11,0)</f>
        <v>0</v>
      </c>
      <c r="H29" s="13">
        <f t="shared" si="2"/>
        <v>172132.34600000008</v>
      </c>
      <c r="I29" s="13">
        <f t="shared" si="3"/>
        <v>172269.54099999997</v>
      </c>
      <c r="J29" s="13">
        <f t="shared" si="4"/>
        <v>0</v>
      </c>
      <c r="K29" s="13">
        <f t="shared" si="5"/>
        <v>0</v>
      </c>
      <c r="L29" s="13">
        <f t="shared" si="6"/>
        <v>172132.34600000008</v>
      </c>
      <c r="M29" s="13">
        <f t="shared" si="7"/>
        <v>172269.54099999997</v>
      </c>
      <c r="N29" s="13">
        <f>MAX(0,INT(L29*Parameters!$B$14/Parameters!$B$13/Parameters!$B$12)*Parameters!$B$12)</f>
        <v>114655</v>
      </c>
      <c r="O29" s="13">
        <f>MAX(0,INT(M29*Parameters!$B$14/Parameters!$B$13/Parameters!$B$12)*Parameters!$B$12)</f>
        <v>114770</v>
      </c>
      <c r="P29" s="13">
        <f>N29*Parameters!$B$13*'H237 Tracker'!B29</f>
        <v>-116810.514</v>
      </c>
      <c r="Q29" s="13">
        <f>O29*Parameters!$B$13*'H237 Tracker'!C29</f>
        <v>0</v>
      </c>
      <c r="R29" s="13">
        <f t="shared" si="17"/>
        <v>5321.8319999999512</v>
      </c>
      <c r="S29" s="13">
        <f t="shared" si="18"/>
        <v>122269.54099999998</v>
      </c>
      <c r="T29" s="13">
        <f t="shared" si="8"/>
        <v>55321.832000000082</v>
      </c>
      <c r="U29" s="13">
        <f t="shared" si="9"/>
        <v>172269.54099999997</v>
      </c>
      <c r="V29" s="12">
        <f t="shared" si="10"/>
        <v>0.24307525927180057</v>
      </c>
      <c r="W29" t="str">
        <f>'H237 Tracker'!I29</f>
        <v>B</v>
      </c>
      <c r="X29">
        <f>'H237 Tracker'!J29</f>
        <v>1</v>
      </c>
      <c r="Y29" t="str">
        <f>'H237 Tracker'!K29</f>
        <v>HOLD</v>
      </c>
      <c r="Z29" s="12">
        <f>'H237 Tracker'!O29</f>
        <v>0.24307525927180057</v>
      </c>
      <c r="AA29" s="13">
        <f>'H237 Tracker'!P29</f>
        <v>0</v>
      </c>
      <c r="AB29" s="13">
        <f>'H237 Tracker'!Q29</f>
        <v>0</v>
      </c>
      <c r="AC29" s="13">
        <f t="shared" si="11"/>
        <v>55321.832000000082</v>
      </c>
      <c r="AD29" s="13">
        <f t="shared" si="12"/>
        <v>172269.54099999997</v>
      </c>
      <c r="AE29" s="13">
        <f t="shared" si="13"/>
        <v>227591.37300000005</v>
      </c>
      <c r="AF29" s="13">
        <f t="shared" si="19"/>
        <v>362773.36700000003</v>
      </c>
      <c r="AG29" s="24">
        <f t="shared" si="14"/>
        <v>-0.37263483567689792</v>
      </c>
      <c r="AH29" s="8">
        <f>--(COUNTIF('Tax Events'!$A$4:$A$8,A29)&gt;0)</f>
        <v>0</v>
      </c>
      <c r="AI29" s="8">
        <f>--(COUNTIF('Tax Events'!$B$4:$B$9,A29)&gt;0)</f>
        <v>0</v>
      </c>
    </row>
    <row r="30" spans="1:35">
      <c r="A30" s="4">
        <f>'H237 Tracker'!A30</f>
        <v>43388</v>
      </c>
      <c r="B30" s="13">
        <f t="shared" si="15"/>
        <v>55321.832000000082</v>
      </c>
      <c r="C30" s="13">
        <f t="shared" si="16"/>
        <v>172269.54099999997</v>
      </c>
      <c r="D30" s="13">
        <f t="shared" si="0"/>
        <v>55321.832000000082</v>
      </c>
      <c r="E30" s="13">
        <f t="shared" si="1"/>
        <v>172269.54099999997</v>
      </c>
      <c r="F30" s="13">
        <f>IF(AH30=1,MAX(R29,0)*Parameters!$B$11,0)</f>
        <v>0</v>
      </c>
      <c r="G30" s="13">
        <f>IF(AI30=1,MAX(S29,0)*Parameters!$B$11,0)</f>
        <v>0</v>
      </c>
      <c r="H30" s="13">
        <f t="shared" si="2"/>
        <v>55321.832000000082</v>
      </c>
      <c r="I30" s="13">
        <f t="shared" si="3"/>
        <v>172269.54099999997</v>
      </c>
      <c r="J30" s="13">
        <f t="shared" si="4"/>
        <v>0</v>
      </c>
      <c r="K30" s="13">
        <f t="shared" si="5"/>
        <v>0</v>
      </c>
      <c r="L30" s="13">
        <f t="shared" si="6"/>
        <v>55321.832000000082</v>
      </c>
      <c r="M30" s="13">
        <f t="shared" si="7"/>
        <v>172269.54099999997</v>
      </c>
      <c r="N30" s="13">
        <f>MAX(0,INT(L30*Parameters!$B$14/Parameters!$B$13/Parameters!$B$12)*Parameters!$B$12)</f>
        <v>36800</v>
      </c>
      <c r="O30" s="13">
        <f>MAX(0,INT(M30*Parameters!$B$14/Parameters!$B$13/Parameters!$B$12)*Parameters!$B$12)</f>
        <v>114770</v>
      </c>
      <c r="P30" s="13">
        <f>N30*Parameters!$B$13*'H237 Tracker'!B30</f>
        <v>-2944</v>
      </c>
      <c r="Q30" s="13">
        <f>O30*Parameters!$B$13*'H237 Tracker'!C30</f>
        <v>-9181.6</v>
      </c>
      <c r="R30" s="13">
        <f t="shared" si="17"/>
        <v>2377.8319999999512</v>
      </c>
      <c r="S30" s="13">
        <f t="shared" si="18"/>
        <v>113087.94099999998</v>
      </c>
      <c r="T30" s="13">
        <f t="shared" si="8"/>
        <v>52377.832000000082</v>
      </c>
      <c r="U30" s="13">
        <f t="shared" si="9"/>
        <v>163087.94099999996</v>
      </c>
      <c r="V30" s="12">
        <f t="shared" si="10"/>
        <v>0.24309119388535122</v>
      </c>
      <c r="W30" t="str">
        <f>'H237 Tracker'!I30</f>
        <v>B</v>
      </c>
      <c r="X30">
        <f>'H237 Tracker'!J30</f>
        <v>2</v>
      </c>
      <c r="Y30" t="str">
        <f>'H237 Tracker'!K30</f>
        <v>HOLD</v>
      </c>
      <c r="Z30" s="12">
        <f>'H237 Tracker'!O30</f>
        <v>0.24309119388535122</v>
      </c>
      <c r="AA30" s="13">
        <f>'H237 Tracker'!P30</f>
        <v>0</v>
      </c>
      <c r="AB30" s="13">
        <f>'H237 Tracker'!Q30</f>
        <v>0</v>
      </c>
      <c r="AC30" s="13">
        <f t="shared" si="11"/>
        <v>52377.832000000082</v>
      </c>
      <c r="AD30" s="13">
        <f t="shared" si="12"/>
        <v>163087.94099999996</v>
      </c>
      <c r="AE30" s="13">
        <f t="shared" si="13"/>
        <v>215465.77300000004</v>
      </c>
      <c r="AF30" s="13">
        <f t="shared" si="19"/>
        <v>362773.36700000003</v>
      </c>
      <c r="AG30" s="24">
        <f t="shared" si="14"/>
        <v>-0.4060595605961338</v>
      </c>
      <c r="AH30" s="8">
        <f>--(COUNTIF('Tax Events'!$A$4:$A$8,A30)&gt;0)</f>
        <v>0</v>
      </c>
      <c r="AI30" s="8">
        <f>--(COUNTIF('Tax Events'!$B$4:$B$9,A30)&gt;0)</f>
        <v>0</v>
      </c>
    </row>
    <row r="31" spans="1:35">
      <c r="A31" s="4">
        <f>'H237 Tracker'!A31</f>
        <v>43395</v>
      </c>
      <c r="B31" s="13">
        <f t="shared" si="15"/>
        <v>52377.832000000082</v>
      </c>
      <c r="C31" s="13">
        <f t="shared" si="16"/>
        <v>163087.94099999996</v>
      </c>
      <c r="D31" s="13">
        <f t="shared" si="0"/>
        <v>52377.832000000082</v>
      </c>
      <c r="E31" s="13">
        <f t="shared" si="1"/>
        <v>163087.94099999996</v>
      </c>
      <c r="F31" s="13">
        <f>IF(AH31=1,MAX(R30,0)*Parameters!$B$11,0)</f>
        <v>0</v>
      </c>
      <c r="G31" s="13">
        <f>IF(AI31=1,MAX(S30,0)*Parameters!$B$11,0)</f>
        <v>0</v>
      </c>
      <c r="H31" s="13">
        <f t="shared" si="2"/>
        <v>52377.832000000082</v>
      </c>
      <c r="I31" s="13">
        <f t="shared" si="3"/>
        <v>163087.94099999996</v>
      </c>
      <c r="J31" s="13">
        <f t="shared" si="4"/>
        <v>0</v>
      </c>
      <c r="K31" s="13">
        <f t="shared" si="5"/>
        <v>0</v>
      </c>
      <c r="L31" s="13">
        <f t="shared" si="6"/>
        <v>52377.832000000082</v>
      </c>
      <c r="M31" s="13">
        <f t="shared" si="7"/>
        <v>163087.94099999996</v>
      </c>
      <c r="N31" s="13">
        <f>MAX(0,INT(L31*Parameters!$B$14/Parameters!$B$13/Parameters!$B$12)*Parameters!$B$12)</f>
        <v>34845</v>
      </c>
      <c r="O31" s="13">
        <f>MAX(0,INT(M31*Parameters!$B$14/Parameters!$B$13/Parameters!$B$12)*Parameters!$B$12)</f>
        <v>108675</v>
      </c>
      <c r="P31" s="13">
        <f>N31*Parameters!$B$13*'H237 Tracker'!B31</f>
        <v>-2223.1109999999999</v>
      </c>
      <c r="Q31" s="13">
        <f>O31*Parameters!$B$13*'H237 Tracker'!C31</f>
        <v>-6933.4650000000001</v>
      </c>
      <c r="R31" s="13">
        <f t="shared" si="17"/>
        <v>154.72099999995135</v>
      </c>
      <c r="S31" s="13">
        <f t="shared" si="18"/>
        <v>106154.47599999998</v>
      </c>
      <c r="T31" s="13">
        <f t="shared" si="8"/>
        <v>50154.721000000085</v>
      </c>
      <c r="U31" s="13">
        <f t="shared" si="9"/>
        <v>156154.47599999997</v>
      </c>
      <c r="V31" s="12">
        <f t="shared" si="10"/>
        <v>0.24310462998893875</v>
      </c>
      <c r="W31" t="str">
        <f>'H237 Tracker'!I31</f>
        <v>B</v>
      </c>
      <c r="X31">
        <f>'H237 Tracker'!J31</f>
        <v>3</v>
      </c>
      <c r="Y31" t="str">
        <f>'H237 Tracker'!K31</f>
        <v>B</v>
      </c>
      <c r="Z31" s="12">
        <f>'H237 Tracker'!O31</f>
        <v>0.14310462998893875</v>
      </c>
      <c r="AA31" s="13">
        <f>'H237 Tracker'!P31</f>
        <v>20630.919700000006</v>
      </c>
      <c r="AB31" s="13">
        <f>'H237 Tracker'!Q31</f>
        <v>0</v>
      </c>
      <c r="AC31" s="13">
        <f t="shared" si="11"/>
        <v>29523.801300000079</v>
      </c>
      <c r="AD31" s="13">
        <f t="shared" si="12"/>
        <v>176785.39569999996</v>
      </c>
      <c r="AE31" s="13">
        <f t="shared" si="13"/>
        <v>206309.19700000004</v>
      </c>
      <c r="AF31" s="13">
        <f t="shared" si="19"/>
        <v>362773.36700000003</v>
      </c>
      <c r="AG31" s="24">
        <f t="shared" si="14"/>
        <v>-0.43130004634546382</v>
      </c>
      <c r="AH31" s="8">
        <f>--(COUNTIF('Tax Events'!$A$4:$A$8,A31)&gt;0)</f>
        <v>0</v>
      </c>
      <c r="AI31" s="8">
        <f>--(COUNTIF('Tax Events'!$B$4:$B$9,A31)&gt;0)</f>
        <v>0</v>
      </c>
    </row>
    <row r="32" spans="1:35">
      <c r="A32" s="4">
        <f>'H237 Tracker'!A32</f>
        <v>43402</v>
      </c>
      <c r="B32" s="13">
        <f t="shared" si="15"/>
        <v>29523.801300000079</v>
      </c>
      <c r="C32" s="13">
        <f t="shared" si="16"/>
        <v>176785.39569999996</v>
      </c>
      <c r="D32" s="13">
        <f t="shared" si="0"/>
        <v>29523.801300000079</v>
      </c>
      <c r="E32" s="13">
        <f t="shared" si="1"/>
        <v>176785.39569999996</v>
      </c>
      <c r="F32" s="13">
        <f>IF(AH32=1,MAX(R31,0)*Parameters!$B$11,0)</f>
        <v>0</v>
      </c>
      <c r="G32" s="13">
        <f>IF(AI32=1,MAX(S31,0)*Parameters!$B$11,0)</f>
        <v>0</v>
      </c>
      <c r="H32" s="13">
        <f t="shared" si="2"/>
        <v>29523.801300000079</v>
      </c>
      <c r="I32" s="13">
        <f t="shared" si="3"/>
        <v>176785.39569999996</v>
      </c>
      <c r="J32" s="13">
        <f t="shared" si="4"/>
        <v>0</v>
      </c>
      <c r="K32" s="13">
        <f t="shared" si="5"/>
        <v>0</v>
      </c>
      <c r="L32" s="13">
        <f t="shared" si="6"/>
        <v>29523.801300000079</v>
      </c>
      <c r="M32" s="13">
        <f t="shared" si="7"/>
        <v>176785.39569999996</v>
      </c>
      <c r="N32" s="13">
        <f>MAX(0,INT(L32*Parameters!$B$14/Parameters!$B$13/Parameters!$B$12)*Parameters!$B$12)</f>
        <v>19665</v>
      </c>
      <c r="O32" s="13">
        <f>MAX(0,INT(M32*Parameters!$B$14/Parameters!$B$13/Parameters!$B$12)*Parameters!$B$12)</f>
        <v>117760</v>
      </c>
      <c r="P32" s="13">
        <f>N32*Parameters!$B$13*'H237 Tracker'!B32</f>
        <v>-1494.54</v>
      </c>
      <c r="Q32" s="13">
        <f>O32*Parameters!$B$13*'H237 Tracker'!C32</f>
        <v>0</v>
      </c>
      <c r="R32" s="13">
        <f t="shared" si="17"/>
        <v>-1339.8190000000486</v>
      </c>
      <c r="S32" s="13">
        <f t="shared" si="18"/>
        <v>106154.47599999998</v>
      </c>
      <c r="T32" s="13">
        <f t="shared" si="8"/>
        <v>28029.261300000078</v>
      </c>
      <c r="U32" s="13">
        <f t="shared" si="9"/>
        <v>176785.39569999996</v>
      </c>
      <c r="V32" s="12">
        <f t="shared" si="10"/>
        <v>0.13685183331386325</v>
      </c>
      <c r="W32" t="str">
        <f>'H237 Tracker'!I32</f>
        <v>B</v>
      </c>
      <c r="X32">
        <f>'H237 Tracker'!J32</f>
        <v>4</v>
      </c>
      <c r="Y32" t="str">
        <f>'H237 Tracker'!K32</f>
        <v>B</v>
      </c>
      <c r="Z32" s="12">
        <f>'H237 Tracker'!O32</f>
        <v>3.6851833313863241E-2</v>
      </c>
      <c r="AA32" s="13">
        <f>'H237 Tracker'!P32</f>
        <v>20481.465700000004</v>
      </c>
      <c r="AB32" s="13">
        <f>'H237 Tracker'!Q32</f>
        <v>0</v>
      </c>
      <c r="AC32" s="13">
        <f t="shared" si="11"/>
        <v>7547.795600000074</v>
      </c>
      <c r="AD32" s="13">
        <f t="shared" si="12"/>
        <v>197266.86139999997</v>
      </c>
      <c r="AE32" s="13">
        <f t="shared" si="13"/>
        <v>204814.65700000004</v>
      </c>
      <c r="AF32" s="13">
        <f t="shared" si="19"/>
        <v>362773.36700000003</v>
      </c>
      <c r="AG32" s="24">
        <f t="shared" si="14"/>
        <v>-0.43541980853296758</v>
      </c>
      <c r="AH32" s="8">
        <f>--(COUNTIF('Tax Events'!$A$4:$A$8,A32)&gt;0)</f>
        <v>0</v>
      </c>
      <c r="AI32" s="8">
        <f>--(COUNTIF('Tax Events'!$B$4:$B$9,A32)&gt;0)</f>
        <v>0</v>
      </c>
    </row>
    <row r="33" spans="1:35">
      <c r="A33" s="4">
        <f>'H237 Tracker'!A33</f>
        <v>43409</v>
      </c>
      <c r="B33" s="13">
        <f t="shared" si="15"/>
        <v>7547.795600000074</v>
      </c>
      <c r="C33" s="13">
        <f t="shared" si="16"/>
        <v>197266.86139999997</v>
      </c>
      <c r="D33" s="13">
        <f t="shared" si="0"/>
        <v>7547.795600000074</v>
      </c>
      <c r="E33" s="13">
        <f t="shared" si="1"/>
        <v>197266.86139999997</v>
      </c>
      <c r="F33" s="13">
        <f>IF(AH33=1,MAX(R32,0)*Parameters!$B$11,0)</f>
        <v>0</v>
      </c>
      <c r="G33" s="13">
        <f>IF(AI33=1,MAX(S32,0)*Parameters!$B$11,0)</f>
        <v>0</v>
      </c>
      <c r="H33" s="13">
        <f t="shared" si="2"/>
        <v>7547.795600000074</v>
      </c>
      <c r="I33" s="13">
        <f t="shared" si="3"/>
        <v>197266.86139999997</v>
      </c>
      <c r="J33" s="13">
        <f t="shared" si="4"/>
        <v>0</v>
      </c>
      <c r="K33" s="13">
        <f t="shared" si="5"/>
        <v>0</v>
      </c>
      <c r="L33" s="13">
        <f t="shared" si="6"/>
        <v>7547.795600000074</v>
      </c>
      <c r="M33" s="13">
        <f t="shared" si="7"/>
        <v>197266.86139999997</v>
      </c>
      <c r="N33" s="13">
        <f>MAX(0,INT(L33*Parameters!$B$14/Parameters!$B$13/Parameters!$B$12)*Parameters!$B$12)</f>
        <v>4945</v>
      </c>
      <c r="O33" s="13">
        <f>MAX(0,INT(M33*Parameters!$B$14/Parameters!$B$13/Parameters!$B$12)*Parameters!$B$12)</f>
        <v>131445</v>
      </c>
      <c r="P33" s="13">
        <f>N33*Parameters!$B$13*'H237 Tracker'!B33</f>
        <v>983.06599999999992</v>
      </c>
      <c r="Q33" s="13">
        <f>O33*Parameters!$B$13*'H237 Tracker'!C33</f>
        <v>26131.266</v>
      </c>
      <c r="R33" s="13">
        <f t="shared" si="17"/>
        <v>-356.7530000000487</v>
      </c>
      <c r="S33" s="13">
        <f t="shared" si="18"/>
        <v>132285.74199999997</v>
      </c>
      <c r="T33" s="13">
        <f t="shared" si="8"/>
        <v>8530.8616000000748</v>
      </c>
      <c r="U33" s="13">
        <f t="shared" si="9"/>
        <v>223398.12739999997</v>
      </c>
      <c r="V33" s="12">
        <f t="shared" si="10"/>
        <v>3.6782213542094447E-2</v>
      </c>
      <c r="W33" t="str">
        <f>'H237 Tracker'!I33</f>
        <v>B</v>
      </c>
      <c r="X33">
        <f>'H237 Tracker'!J33</f>
        <v>5</v>
      </c>
      <c r="Y33" t="str">
        <f>'H237 Tracker'!K33</f>
        <v>B</v>
      </c>
      <c r="Z33" s="12">
        <f>'H237 Tracker'!O33</f>
        <v>0</v>
      </c>
      <c r="AA33" s="13">
        <f>'H237 Tracker'!P33</f>
        <v>8530.8616000000748</v>
      </c>
      <c r="AB33" s="13">
        <f>'H237 Tracker'!Q33</f>
        <v>0</v>
      </c>
      <c r="AC33" s="13">
        <f t="shared" si="11"/>
        <v>0</v>
      </c>
      <c r="AD33" s="13">
        <f t="shared" si="12"/>
        <v>231928.98900000003</v>
      </c>
      <c r="AE33" s="13">
        <f t="shared" si="13"/>
        <v>231928.98900000003</v>
      </c>
      <c r="AF33" s="13">
        <f t="shared" si="19"/>
        <v>362773.36700000003</v>
      </c>
      <c r="AG33" s="24">
        <f t="shared" si="14"/>
        <v>-0.36067801526345233</v>
      </c>
      <c r="AH33" s="8">
        <f>--(COUNTIF('Tax Events'!$A$4:$A$8,A33)&gt;0)</f>
        <v>0</v>
      </c>
      <c r="AI33" s="8">
        <f>--(COUNTIF('Tax Events'!$B$4:$B$9,A33)&gt;0)</f>
        <v>0</v>
      </c>
    </row>
    <row r="34" spans="1:35">
      <c r="A34" s="4">
        <f>'H237 Tracker'!A34</f>
        <v>43416</v>
      </c>
      <c r="B34" s="13">
        <f t="shared" si="15"/>
        <v>0</v>
      </c>
      <c r="C34" s="13">
        <f t="shared" si="16"/>
        <v>231928.98900000003</v>
      </c>
      <c r="D34" s="13">
        <f t="shared" si="0"/>
        <v>0</v>
      </c>
      <c r="E34" s="13">
        <f t="shared" si="1"/>
        <v>231928.98900000003</v>
      </c>
      <c r="F34" s="13">
        <f>IF(AH34=1,MAX(R33,0)*Parameters!$B$11,0)</f>
        <v>0</v>
      </c>
      <c r="G34" s="13">
        <f>IF(AI34=1,MAX(S33,0)*Parameters!$B$11,0)</f>
        <v>0</v>
      </c>
      <c r="H34" s="13">
        <f t="shared" si="2"/>
        <v>0</v>
      </c>
      <c r="I34" s="13">
        <f t="shared" si="3"/>
        <v>231928.98900000003</v>
      </c>
      <c r="J34" s="13">
        <f t="shared" si="4"/>
        <v>0</v>
      </c>
      <c r="K34" s="13">
        <f t="shared" si="5"/>
        <v>0</v>
      </c>
      <c r="L34" s="13">
        <f t="shared" si="6"/>
        <v>0</v>
      </c>
      <c r="M34" s="13">
        <f t="shared" si="7"/>
        <v>231928.98900000003</v>
      </c>
      <c r="N34" s="13">
        <f>MAX(0,INT(L34*Parameters!$B$14/Parameters!$B$13/Parameters!$B$12)*Parameters!$B$12)</f>
        <v>0</v>
      </c>
      <c r="O34" s="13">
        <f>MAX(0,INT(M34*Parameters!$B$14/Parameters!$B$13/Parameters!$B$12)*Parameters!$B$12)</f>
        <v>154560</v>
      </c>
      <c r="P34" s="13">
        <f>N34*Parameters!$B$13*'H237 Tracker'!B34</f>
        <v>0</v>
      </c>
      <c r="Q34" s="13">
        <f>O34*Parameters!$B$13*'H237 Tracker'!C34</f>
        <v>0</v>
      </c>
      <c r="R34" s="13">
        <f t="shared" si="17"/>
        <v>-356.7530000000487</v>
      </c>
      <c r="S34" s="13">
        <f t="shared" si="18"/>
        <v>132285.74199999997</v>
      </c>
      <c r="T34" s="13">
        <f t="shared" si="8"/>
        <v>0</v>
      </c>
      <c r="U34" s="13">
        <f t="shared" si="9"/>
        <v>231928.98900000003</v>
      </c>
      <c r="V34" s="12">
        <f t="shared" si="10"/>
        <v>0</v>
      </c>
      <c r="W34" t="str">
        <f>'H237 Tracker'!I34</f>
        <v>B</v>
      </c>
      <c r="X34">
        <f>'H237 Tracker'!J34</f>
        <v>6</v>
      </c>
      <c r="Y34" t="str">
        <f>'H237 Tracker'!K34</f>
        <v>B</v>
      </c>
      <c r="Z34" s="12">
        <f>'H237 Tracker'!O34</f>
        <v>0</v>
      </c>
      <c r="AA34" s="13">
        <f>'H237 Tracker'!P34</f>
        <v>0</v>
      </c>
      <c r="AB34" s="13">
        <f>'H237 Tracker'!Q34</f>
        <v>0</v>
      </c>
      <c r="AC34" s="13">
        <f t="shared" si="11"/>
        <v>0</v>
      </c>
      <c r="AD34" s="13">
        <f t="shared" si="12"/>
        <v>231928.98900000003</v>
      </c>
      <c r="AE34" s="13">
        <f t="shared" si="13"/>
        <v>231928.98900000003</v>
      </c>
      <c r="AF34" s="13">
        <f t="shared" si="19"/>
        <v>362773.36700000003</v>
      </c>
      <c r="AG34" s="24">
        <f t="shared" si="14"/>
        <v>-0.36067801526345233</v>
      </c>
      <c r="AH34" s="8">
        <f>--(COUNTIF('Tax Events'!$A$4:$A$8,A34)&gt;0)</f>
        <v>0</v>
      </c>
      <c r="AI34" s="8">
        <f>--(COUNTIF('Tax Events'!$B$4:$B$9,A34)&gt;0)</f>
        <v>0</v>
      </c>
    </row>
    <row r="35" spans="1:35">
      <c r="A35" s="4">
        <f>'H237 Tracker'!A35</f>
        <v>43423</v>
      </c>
      <c r="B35" s="13">
        <f t="shared" si="15"/>
        <v>0</v>
      </c>
      <c r="C35" s="13">
        <f t="shared" si="16"/>
        <v>231928.98900000003</v>
      </c>
      <c r="D35" s="13">
        <f t="shared" si="0"/>
        <v>0</v>
      </c>
      <c r="E35" s="13">
        <f t="shared" si="1"/>
        <v>231928.98900000003</v>
      </c>
      <c r="F35" s="13">
        <f>IF(AH35=1,MAX(R34,0)*Parameters!$B$11,0)</f>
        <v>0</v>
      </c>
      <c r="G35" s="13">
        <f>IF(AI35=1,MAX(S34,0)*Parameters!$B$11,0)</f>
        <v>0</v>
      </c>
      <c r="H35" s="13">
        <f t="shared" si="2"/>
        <v>0</v>
      </c>
      <c r="I35" s="13">
        <f t="shared" si="3"/>
        <v>231928.98900000003</v>
      </c>
      <c r="J35" s="13">
        <f t="shared" si="4"/>
        <v>0</v>
      </c>
      <c r="K35" s="13">
        <f t="shared" si="5"/>
        <v>0</v>
      </c>
      <c r="L35" s="13">
        <f t="shared" si="6"/>
        <v>0</v>
      </c>
      <c r="M35" s="13">
        <f t="shared" si="7"/>
        <v>231928.98900000003</v>
      </c>
      <c r="N35" s="13">
        <f>MAX(0,INT(L35*Parameters!$B$14/Parameters!$B$13/Parameters!$B$12)*Parameters!$B$12)</f>
        <v>0</v>
      </c>
      <c r="O35" s="13">
        <f>MAX(0,INT(M35*Parameters!$B$14/Parameters!$B$13/Parameters!$B$12)*Parameters!$B$12)</f>
        <v>154560</v>
      </c>
      <c r="P35" s="13">
        <f>N35*Parameters!$B$13*'H237 Tracker'!B35</f>
        <v>0</v>
      </c>
      <c r="Q35" s="13">
        <f>O35*Parameters!$B$13*'H237 Tracker'!C35</f>
        <v>0</v>
      </c>
      <c r="R35" s="13">
        <f t="shared" si="17"/>
        <v>-356.7530000000487</v>
      </c>
      <c r="S35" s="13">
        <f t="shared" si="18"/>
        <v>132285.74199999997</v>
      </c>
      <c r="T35" s="13">
        <f t="shared" si="8"/>
        <v>0</v>
      </c>
      <c r="U35" s="13">
        <f t="shared" si="9"/>
        <v>231928.98900000003</v>
      </c>
      <c r="V35" s="12">
        <f t="shared" si="10"/>
        <v>0</v>
      </c>
      <c r="W35" t="str">
        <f>'H237 Tracker'!I35</f>
        <v>B</v>
      </c>
      <c r="X35">
        <f>'H237 Tracker'!J35</f>
        <v>7</v>
      </c>
      <c r="Y35" t="str">
        <f>'H237 Tracker'!K35</f>
        <v>B</v>
      </c>
      <c r="Z35" s="12">
        <f>'H237 Tracker'!O35</f>
        <v>0</v>
      </c>
      <c r="AA35" s="13">
        <f>'H237 Tracker'!P35</f>
        <v>0</v>
      </c>
      <c r="AB35" s="13">
        <f>'H237 Tracker'!Q35</f>
        <v>0</v>
      </c>
      <c r="AC35" s="13">
        <f t="shared" si="11"/>
        <v>0</v>
      </c>
      <c r="AD35" s="13">
        <f t="shared" si="12"/>
        <v>231928.98900000003</v>
      </c>
      <c r="AE35" s="13">
        <f t="shared" si="13"/>
        <v>231928.98900000003</v>
      </c>
      <c r="AF35" s="13">
        <f t="shared" si="19"/>
        <v>362773.36700000003</v>
      </c>
      <c r="AG35" s="24">
        <f t="shared" si="14"/>
        <v>-0.36067801526345233</v>
      </c>
      <c r="AH35" s="8">
        <f>--(COUNTIF('Tax Events'!$A$4:$A$8,A35)&gt;0)</f>
        <v>0</v>
      </c>
      <c r="AI35" s="8">
        <f>--(COUNTIF('Tax Events'!$B$4:$B$9,A35)&gt;0)</f>
        <v>0</v>
      </c>
    </row>
    <row r="36" spans="1:35">
      <c r="A36" s="4">
        <f>'H237 Tracker'!A36</f>
        <v>43430</v>
      </c>
      <c r="B36" s="13">
        <f t="shared" si="15"/>
        <v>0</v>
      </c>
      <c r="C36" s="13">
        <f t="shared" si="16"/>
        <v>231928.98900000003</v>
      </c>
      <c r="D36" s="13">
        <f t="shared" si="0"/>
        <v>0</v>
      </c>
      <c r="E36" s="13">
        <f t="shared" si="1"/>
        <v>231928.98900000003</v>
      </c>
      <c r="F36" s="13">
        <f>IF(AH36=1,MAX(R35,0)*Parameters!$B$11,0)</f>
        <v>0</v>
      </c>
      <c r="G36" s="13">
        <f>IF(AI36=1,MAX(S35,0)*Parameters!$B$11,0)</f>
        <v>0</v>
      </c>
      <c r="H36" s="13">
        <f t="shared" si="2"/>
        <v>0</v>
      </c>
      <c r="I36" s="13">
        <f t="shared" si="3"/>
        <v>231928.98900000003</v>
      </c>
      <c r="J36" s="13">
        <f t="shared" si="4"/>
        <v>0</v>
      </c>
      <c r="K36" s="13">
        <f t="shared" si="5"/>
        <v>0</v>
      </c>
      <c r="L36" s="13">
        <f t="shared" si="6"/>
        <v>0</v>
      </c>
      <c r="M36" s="13">
        <f t="shared" si="7"/>
        <v>231928.98900000003</v>
      </c>
      <c r="N36" s="13">
        <f>MAX(0,INT(L36*Parameters!$B$14/Parameters!$B$13/Parameters!$B$12)*Parameters!$B$12)</f>
        <v>0</v>
      </c>
      <c r="O36" s="13">
        <f>MAX(0,INT(M36*Parameters!$B$14/Parameters!$B$13/Parameters!$B$12)*Parameters!$B$12)</f>
        <v>154560</v>
      </c>
      <c r="P36" s="13">
        <f>N36*Parameters!$B$13*'H237 Tracker'!B36</f>
        <v>0</v>
      </c>
      <c r="Q36" s="13">
        <f>O36*Parameters!$B$13*'H237 Tracker'!C36</f>
        <v>0</v>
      </c>
      <c r="R36" s="13">
        <f t="shared" si="17"/>
        <v>-356.7530000000487</v>
      </c>
      <c r="S36" s="13">
        <f t="shared" si="18"/>
        <v>132285.74199999997</v>
      </c>
      <c r="T36" s="13">
        <f t="shared" si="8"/>
        <v>0</v>
      </c>
      <c r="U36" s="13">
        <f t="shared" si="9"/>
        <v>231928.98900000003</v>
      </c>
      <c r="V36" s="12">
        <f t="shared" si="10"/>
        <v>0</v>
      </c>
      <c r="W36" t="str">
        <f>'H237 Tracker'!I36</f>
        <v>B</v>
      </c>
      <c r="X36">
        <f>'H237 Tracker'!J36</f>
        <v>8</v>
      </c>
      <c r="Y36" t="str">
        <f>'H237 Tracker'!K36</f>
        <v>B</v>
      </c>
      <c r="Z36" s="12">
        <f>'H237 Tracker'!O36</f>
        <v>0</v>
      </c>
      <c r="AA36" s="13">
        <f>'H237 Tracker'!P36</f>
        <v>0</v>
      </c>
      <c r="AB36" s="13">
        <f>'H237 Tracker'!Q36</f>
        <v>0</v>
      </c>
      <c r="AC36" s="13">
        <f t="shared" si="11"/>
        <v>0</v>
      </c>
      <c r="AD36" s="13">
        <f t="shared" si="12"/>
        <v>231928.98900000003</v>
      </c>
      <c r="AE36" s="13">
        <f t="shared" si="13"/>
        <v>231928.98900000003</v>
      </c>
      <c r="AF36" s="13">
        <f t="shared" si="19"/>
        <v>362773.36700000003</v>
      </c>
      <c r="AG36" s="24">
        <f t="shared" si="14"/>
        <v>-0.36067801526345233</v>
      </c>
      <c r="AH36" s="8">
        <f>--(COUNTIF('Tax Events'!$A$4:$A$8,A36)&gt;0)</f>
        <v>0</v>
      </c>
      <c r="AI36" s="8">
        <f>--(COUNTIF('Tax Events'!$B$4:$B$9,A36)&gt;0)</f>
        <v>0</v>
      </c>
    </row>
    <row r="37" spans="1:35">
      <c r="A37" s="4">
        <f>'H237 Tracker'!A37</f>
        <v>43437</v>
      </c>
      <c r="B37" s="13">
        <f t="shared" si="15"/>
        <v>0</v>
      </c>
      <c r="C37" s="13">
        <f t="shared" si="16"/>
        <v>231928.98900000003</v>
      </c>
      <c r="D37" s="13">
        <f t="shared" si="0"/>
        <v>0</v>
      </c>
      <c r="E37" s="13">
        <f t="shared" si="1"/>
        <v>231928.98900000003</v>
      </c>
      <c r="F37" s="13">
        <f>IF(AH37=1,MAX(R36,0)*Parameters!$B$11,0)</f>
        <v>0</v>
      </c>
      <c r="G37" s="13">
        <f>IF(AI37=1,MAX(S36,0)*Parameters!$B$11,0)</f>
        <v>0</v>
      </c>
      <c r="H37" s="13">
        <f t="shared" si="2"/>
        <v>0</v>
      </c>
      <c r="I37" s="13">
        <f t="shared" si="3"/>
        <v>231928.98900000003</v>
      </c>
      <c r="J37" s="13">
        <f t="shared" si="4"/>
        <v>0</v>
      </c>
      <c r="K37" s="13">
        <f t="shared" si="5"/>
        <v>0</v>
      </c>
      <c r="L37" s="13">
        <f t="shared" si="6"/>
        <v>0</v>
      </c>
      <c r="M37" s="13">
        <f t="shared" si="7"/>
        <v>231928.98900000003</v>
      </c>
      <c r="N37" s="13">
        <f>MAX(0,INT(L37*Parameters!$B$14/Parameters!$B$13/Parameters!$B$12)*Parameters!$B$12)</f>
        <v>0</v>
      </c>
      <c r="O37" s="13">
        <f>MAX(0,INT(M37*Parameters!$B$14/Parameters!$B$13/Parameters!$B$12)*Parameters!$B$12)</f>
        <v>154560</v>
      </c>
      <c r="P37" s="13">
        <f>N37*Parameters!$B$13*'H237 Tracker'!B37</f>
        <v>0</v>
      </c>
      <c r="Q37" s="13">
        <f>O37*Parameters!$B$13*'H237 Tracker'!C37</f>
        <v>0</v>
      </c>
      <c r="R37" s="13">
        <f t="shared" si="17"/>
        <v>-356.7530000000487</v>
      </c>
      <c r="S37" s="13">
        <f t="shared" si="18"/>
        <v>132285.74199999997</v>
      </c>
      <c r="T37" s="13">
        <f t="shared" si="8"/>
        <v>0</v>
      </c>
      <c r="U37" s="13">
        <f t="shared" si="9"/>
        <v>231928.98900000003</v>
      </c>
      <c r="V37" s="12">
        <f t="shared" si="10"/>
        <v>0</v>
      </c>
      <c r="W37" t="str">
        <f>'H237 Tracker'!I37</f>
        <v>B</v>
      </c>
      <c r="X37">
        <f>'H237 Tracker'!J37</f>
        <v>9</v>
      </c>
      <c r="Y37" t="str">
        <f>'H237 Tracker'!K37</f>
        <v>B</v>
      </c>
      <c r="Z37" s="12">
        <f>'H237 Tracker'!O37</f>
        <v>0</v>
      </c>
      <c r="AA37" s="13">
        <f>'H237 Tracker'!P37</f>
        <v>0</v>
      </c>
      <c r="AB37" s="13">
        <f>'H237 Tracker'!Q37</f>
        <v>0</v>
      </c>
      <c r="AC37" s="13">
        <f t="shared" si="11"/>
        <v>0</v>
      </c>
      <c r="AD37" s="13">
        <f t="shared" si="12"/>
        <v>231928.98900000003</v>
      </c>
      <c r="AE37" s="13">
        <f t="shared" si="13"/>
        <v>231928.98900000003</v>
      </c>
      <c r="AF37" s="13">
        <f t="shared" si="19"/>
        <v>362773.36700000003</v>
      </c>
      <c r="AG37" s="24">
        <f t="shared" si="14"/>
        <v>-0.36067801526345233</v>
      </c>
      <c r="AH37" s="8">
        <f>--(COUNTIF('Tax Events'!$A$4:$A$8,A37)&gt;0)</f>
        <v>0</v>
      </c>
      <c r="AI37" s="8">
        <f>--(COUNTIF('Tax Events'!$B$4:$B$9,A37)&gt;0)</f>
        <v>0</v>
      </c>
    </row>
    <row r="38" spans="1:35">
      <c r="A38" s="4">
        <f>'H237 Tracker'!A38</f>
        <v>43444</v>
      </c>
      <c r="B38" s="13">
        <f t="shared" si="15"/>
        <v>0</v>
      </c>
      <c r="C38" s="13">
        <f t="shared" si="16"/>
        <v>231928.98900000003</v>
      </c>
      <c r="D38" s="13">
        <f t="shared" si="0"/>
        <v>0</v>
      </c>
      <c r="E38" s="13">
        <f t="shared" si="1"/>
        <v>231928.98900000003</v>
      </c>
      <c r="F38" s="13">
        <f>IF(AH38=1,MAX(R37,0)*Parameters!$B$11,0)</f>
        <v>0</v>
      </c>
      <c r="G38" s="13">
        <f>IF(AI38=1,MAX(S37,0)*Parameters!$B$11,0)</f>
        <v>0</v>
      </c>
      <c r="H38" s="13">
        <f t="shared" si="2"/>
        <v>0</v>
      </c>
      <c r="I38" s="13">
        <f t="shared" si="3"/>
        <v>231928.98900000003</v>
      </c>
      <c r="J38" s="13">
        <f t="shared" si="4"/>
        <v>0</v>
      </c>
      <c r="K38" s="13">
        <f t="shared" si="5"/>
        <v>0</v>
      </c>
      <c r="L38" s="13">
        <f t="shared" si="6"/>
        <v>0</v>
      </c>
      <c r="M38" s="13">
        <f t="shared" si="7"/>
        <v>231928.98900000003</v>
      </c>
      <c r="N38" s="13">
        <f>MAX(0,INT(L38*Parameters!$B$14/Parameters!$B$13/Parameters!$B$12)*Parameters!$B$12)</f>
        <v>0</v>
      </c>
      <c r="O38" s="13">
        <f>MAX(0,INT(M38*Parameters!$B$14/Parameters!$B$13/Parameters!$B$12)*Parameters!$B$12)</f>
        <v>154560</v>
      </c>
      <c r="P38" s="13">
        <f>N38*Parameters!$B$13*'H237 Tracker'!B38</f>
        <v>0</v>
      </c>
      <c r="Q38" s="13">
        <f>O38*Parameters!$B$13*'H237 Tracker'!C38</f>
        <v>-21236.544000000002</v>
      </c>
      <c r="R38" s="13">
        <f t="shared" si="17"/>
        <v>-356.7530000000487</v>
      </c>
      <c r="S38" s="13">
        <f t="shared" si="18"/>
        <v>111049.19799999997</v>
      </c>
      <c r="T38" s="13">
        <f t="shared" si="8"/>
        <v>0</v>
      </c>
      <c r="U38" s="13">
        <f t="shared" si="9"/>
        <v>210692.44500000004</v>
      </c>
      <c r="V38" s="12">
        <f t="shared" si="10"/>
        <v>0</v>
      </c>
      <c r="W38" t="str">
        <f>'H237 Tracker'!I38</f>
        <v>B</v>
      </c>
      <c r="X38">
        <f>'H237 Tracker'!J38</f>
        <v>10</v>
      </c>
      <c r="Y38" t="str">
        <f>'H237 Tracker'!K38</f>
        <v>B</v>
      </c>
      <c r="Z38" s="12">
        <f>'H237 Tracker'!O38</f>
        <v>0</v>
      </c>
      <c r="AA38" s="13">
        <f>'H237 Tracker'!P38</f>
        <v>0</v>
      </c>
      <c r="AB38" s="13">
        <f>'H237 Tracker'!Q38</f>
        <v>0</v>
      </c>
      <c r="AC38" s="13">
        <f t="shared" si="11"/>
        <v>0</v>
      </c>
      <c r="AD38" s="13">
        <f t="shared" si="12"/>
        <v>210692.44500000004</v>
      </c>
      <c r="AE38" s="13">
        <f t="shared" si="13"/>
        <v>210692.44500000004</v>
      </c>
      <c r="AF38" s="13">
        <f t="shared" si="19"/>
        <v>362773.36700000003</v>
      </c>
      <c r="AG38" s="24">
        <f t="shared" si="14"/>
        <v>-0.41921743941031919</v>
      </c>
      <c r="AH38" s="8">
        <f>--(COUNTIF('Tax Events'!$A$4:$A$8,A38)&gt;0)</f>
        <v>0</v>
      </c>
      <c r="AI38" s="8">
        <f>--(COUNTIF('Tax Events'!$B$4:$B$9,A38)&gt;0)</f>
        <v>0</v>
      </c>
    </row>
    <row r="39" spans="1:35">
      <c r="A39" s="4">
        <f>'H237 Tracker'!A39</f>
        <v>43451</v>
      </c>
      <c r="B39" s="13">
        <f t="shared" si="15"/>
        <v>0</v>
      </c>
      <c r="C39" s="13">
        <f t="shared" si="16"/>
        <v>210692.44500000004</v>
      </c>
      <c r="D39" s="13">
        <f t="shared" si="0"/>
        <v>0</v>
      </c>
      <c r="E39" s="13">
        <f t="shared" si="1"/>
        <v>210692.44500000004</v>
      </c>
      <c r="F39" s="13">
        <f>IF(AH39=1,MAX(R38,0)*Parameters!$B$11,0)</f>
        <v>0</v>
      </c>
      <c r="G39" s="13">
        <f>IF(AI39=1,MAX(S38,0)*Parameters!$B$11,0)</f>
        <v>0</v>
      </c>
      <c r="H39" s="13">
        <f t="shared" si="2"/>
        <v>0</v>
      </c>
      <c r="I39" s="13">
        <f t="shared" si="3"/>
        <v>210692.44500000004</v>
      </c>
      <c r="J39" s="13">
        <f t="shared" si="4"/>
        <v>0</v>
      </c>
      <c r="K39" s="13">
        <f t="shared" si="5"/>
        <v>0</v>
      </c>
      <c r="L39" s="13">
        <f t="shared" si="6"/>
        <v>0</v>
      </c>
      <c r="M39" s="13">
        <f t="shared" si="7"/>
        <v>210692.44500000004</v>
      </c>
      <c r="N39" s="13">
        <f>MAX(0,INT(L39*Parameters!$B$14/Parameters!$B$13/Parameters!$B$12)*Parameters!$B$12)</f>
        <v>0</v>
      </c>
      <c r="O39" s="13">
        <f>MAX(0,INT(M39*Parameters!$B$14/Parameters!$B$13/Parameters!$B$12)*Parameters!$B$12)</f>
        <v>140415</v>
      </c>
      <c r="P39" s="13">
        <f>N39*Parameters!$B$13*'H237 Tracker'!B39</f>
        <v>0</v>
      </c>
      <c r="Q39" s="13">
        <f>O39*Parameters!$B$13*'H237 Tracker'!C39</f>
        <v>-53975.526000000005</v>
      </c>
      <c r="R39" s="13">
        <f t="shared" si="17"/>
        <v>-356.7530000000487</v>
      </c>
      <c r="S39" s="13">
        <f t="shared" si="18"/>
        <v>57073.67199999997</v>
      </c>
      <c r="T39" s="13">
        <f t="shared" si="8"/>
        <v>0</v>
      </c>
      <c r="U39" s="13">
        <f t="shared" si="9"/>
        <v>156716.91900000002</v>
      </c>
      <c r="V39" s="12">
        <f t="shared" si="10"/>
        <v>0</v>
      </c>
      <c r="W39" t="str">
        <f>'H237 Tracker'!I39</f>
        <v>B</v>
      </c>
      <c r="X39">
        <f>'H237 Tracker'!J39</f>
        <v>11</v>
      </c>
      <c r="Y39" t="str">
        <f>'H237 Tracker'!K39</f>
        <v>B</v>
      </c>
      <c r="Z39" s="12">
        <f>'H237 Tracker'!O39</f>
        <v>0</v>
      </c>
      <c r="AA39" s="13">
        <f>'H237 Tracker'!P39</f>
        <v>0</v>
      </c>
      <c r="AB39" s="13">
        <f>'H237 Tracker'!Q39</f>
        <v>0</v>
      </c>
      <c r="AC39" s="13">
        <f t="shared" si="11"/>
        <v>0</v>
      </c>
      <c r="AD39" s="13">
        <f t="shared" si="12"/>
        <v>156716.91900000002</v>
      </c>
      <c r="AE39" s="13">
        <f t="shared" si="13"/>
        <v>156716.91900000002</v>
      </c>
      <c r="AF39" s="13">
        <f t="shared" si="19"/>
        <v>362773.36700000003</v>
      </c>
      <c r="AG39" s="24">
        <f t="shared" si="14"/>
        <v>-0.56800324043633554</v>
      </c>
      <c r="AH39" s="8">
        <f>--(COUNTIF('Tax Events'!$A$4:$A$8,A39)&gt;0)</f>
        <v>0</v>
      </c>
      <c r="AI39" s="8">
        <f>--(COUNTIF('Tax Events'!$B$4:$B$9,A39)&gt;0)</f>
        <v>0</v>
      </c>
    </row>
    <row r="40" spans="1:35">
      <c r="A40" s="4">
        <f>'H237 Tracker'!A40</f>
        <v>43458</v>
      </c>
      <c r="B40" s="13">
        <f t="shared" si="15"/>
        <v>0</v>
      </c>
      <c r="C40" s="13">
        <f t="shared" si="16"/>
        <v>156716.91900000002</v>
      </c>
      <c r="D40" s="13">
        <f t="shared" si="0"/>
        <v>0</v>
      </c>
      <c r="E40" s="13">
        <f t="shared" si="1"/>
        <v>156716.91900000002</v>
      </c>
      <c r="F40" s="13">
        <f>IF(AH40=1,MAX(R39,0)*Parameters!$B$11,0)</f>
        <v>0</v>
      </c>
      <c r="G40" s="13">
        <f>IF(AI40=1,MAX(S39,0)*Parameters!$B$11,0)</f>
        <v>0</v>
      </c>
      <c r="H40" s="13">
        <f t="shared" si="2"/>
        <v>0</v>
      </c>
      <c r="I40" s="13">
        <f t="shared" si="3"/>
        <v>156716.91900000002</v>
      </c>
      <c r="J40" s="13">
        <f t="shared" si="4"/>
        <v>0</v>
      </c>
      <c r="K40" s="13">
        <f t="shared" si="5"/>
        <v>0</v>
      </c>
      <c r="L40" s="13">
        <f t="shared" si="6"/>
        <v>0</v>
      </c>
      <c r="M40" s="13">
        <f t="shared" si="7"/>
        <v>156716.91900000002</v>
      </c>
      <c r="N40" s="13">
        <f>MAX(0,INT(L40*Parameters!$B$14/Parameters!$B$13/Parameters!$B$12)*Parameters!$B$12)</f>
        <v>0</v>
      </c>
      <c r="O40" s="13">
        <f>MAX(0,INT(M40*Parameters!$B$14/Parameters!$B$13/Parameters!$B$12)*Parameters!$B$12)</f>
        <v>104420</v>
      </c>
      <c r="P40" s="13">
        <f>N40*Parameters!$B$13*'H237 Tracker'!B40</f>
        <v>0</v>
      </c>
      <c r="Q40" s="13">
        <f>O40*Parameters!$B$13*'H237 Tracker'!C40</f>
        <v>-12509.516</v>
      </c>
      <c r="R40" s="13">
        <f t="shared" si="17"/>
        <v>-356.7530000000487</v>
      </c>
      <c r="S40" s="13">
        <f t="shared" si="18"/>
        <v>44564.155999999974</v>
      </c>
      <c r="T40" s="13">
        <f t="shared" si="8"/>
        <v>0</v>
      </c>
      <c r="U40" s="13">
        <f t="shared" si="9"/>
        <v>144207.40300000002</v>
      </c>
      <c r="V40" s="12">
        <f t="shared" si="10"/>
        <v>0</v>
      </c>
      <c r="W40" t="str">
        <f>'H237 Tracker'!I40</f>
        <v>A</v>
      </c>
      <c r="X40">
        <f>'H237 Tracker'!J40</f>
        <v>1</v>
      </c>
      <c r="Y40" t="str">
        <f>'H237 Tracker'!K40</f>
        <v>HOLD</v>
      </c>
      <c r="Z40" s="12">
        <f>'H237 Tracker'!O40</f>
        <v>0</v>
      </c>
      <c r="AA40" s="13">
        <f>'H237 Tracker'!P40</f>
        <v>0</v>
      </c>
      <c r="AB40" s="13">
        <f>'H237 Tracker'!Q40</f>
        <v>0</v>
      </c>
      <c r="AC40" s="13">
        <f t="shared" si="11"/>
        <v>0</v>
      </c>
      <c r="AD40" s="13">
        <f t="shared" si="12"/>
        <v>144207.40300000002</v>
      </c>
      <c r="AE40" s="13">
        <f t="shared" si="13"/>
        <v>144207.40300000002</v>
      </c>
      <c r="AF40" s="13">
        <f t="shared" si="19"/>
        <v>362773.36700000003</v>
      </c>
      <c r="AG40" s="24">
        <f t="shared" si="14"/>
        <v>-0.60248624591010835</v>
      </c>
      <c r="AH40" s="8">
        <f>--(COUNTIF('Tax Events'!$A$4:$A$8,A40)&gt;0)</f>
        <v>0</v>
      </c>
      <c r="AI40" s="8">
        <f>--(COUNTIF('Tax Events'!$B$4:$B$9,A40)&gt;0)</f>
        <v>0</v>
      </c>
    </row>
    <row r="41" spans="1:35">
      <c r="A41" s="4">
        <f>'H237 Tracker'!A41</f>
        <v>43465</v>
      </c>
      <c r="B41" s="13">
        <f t="shared" si="15"/>
        <v>0</v>
      </c>
      <c r="C41" s="13">
        <f t="shared" si="16"/>
        <v>144207.40300000002</v>
      </c>
      <c r="D41" s="13">
        <f t="shared" si="0"/>
        <v>0</v>
      </c>
      <c r="E41" s="13">
        <f t="shared" si="1"/>
        <v>144207.40300000002</v>
      </c>
      <c r="F41" s="13">
        <f>IF(AH41=1,MAX(R40,0)*Parameters!$B$11,0)</f>
        <v>0</v>
      </c>
      <c r="G41" s="13">
        <f>IF(AI41=1,MAX(S40,0)*Parameters!$B$11,0)</f>
        <v>0</v>
      </c>
      <c r="H41" s="13">
        <f t="shared" si="2"/>
        <v>0</v>
      </c>
      <c r="I41" s="13">
        <f t="shared" si="3"/>
        <v>144207.40300000002</v>
      </c>
      <c r="J41" s="13">
        <f t="shared" si="4"/>
        <v>0</v>
      </c>
      <c r="K41" s="13">
        <f t="shared" si="5"/>
        <v>0</v>
      </c>
      <c r="L41" s="13">
        <f t="shared" si="6"/>
        <v>0</v>
      </c>
      <c r="M41" s="13">
        <f t="shared" si="7"/>
        <v>144207.40300000002</v>
      </c>
      <c r="N41" s="13">
        <f>MAX(0,INT(L41*Parameters!$B$14/Parameters!$B$13/Parameters!$B$12)*Parameters!$B$12)</f>
        <v>0</v>
      </c>
      <c r="O41" s="13">
        <f>MAX(0,INT(M41*Parameters!$B$14/Parameters!$B$13/Parameters!$B$12)*Parameters!$B$12)</f>
        <v>96025</v>
      </c>
      <c r="P41" s="13">
        <f>N41*Parameters!$B$13*'H237 Tracker'!B41</f>
        <v>0</v>
      </c>
      <c r="Q41" s="13">
        <f>O41*Parameters!$B$13*'H237 Tracker'!C41</f>
        <v>0</v>
      </c>
      <c r="R41" s="13">
        <f t="shared" si="17"/>
        <v>-356.7530000000487</v>
      </c>
      <c r="S41" s="13">
        <f t="shared" si="18"/>
        <v>44564.155999999974</v>
      </c>
      <c r="T41" s="13">
        <f t="shared" si="8"/>
        <v>0</v>
      </c>
      <c r="U41" s="13">
        <f t="shared" si="9"/>
        <v>144207.40300000002</v>
      </c>
      <c r="V41" s="12">
        <f t="shared" si="10"/>
        <v>0</v>
      </c>
      <c r="W41" t="str">
        <f>'H237 Tracker'!I41</f>
        <v>A</v>
      </c>
      <c r="X41">
        <f>'H237 Tracker'!J41</f>
        <v>2</v>
      </c>
      <c r="Y41" t="str">
        <f>'H237 Tracker'!K41</f>
        <v>HOLD</v>
      </c>
      <c r="Z41" s="12">
        <f>'H237 Tracker'!O41</f>
        <v>0</v>
      </c>
      <c r="AA41" s="13">
        <f>'H237 Tracker'!P41</f>
        <v>0</v>
      </c>
      <c r="AB41" s="13">
        <f>'H237 Tracker'!Q41</f>
        <v>0</v>
      </c>
      <c r="AC41" s="13">
        <f t="shared" si="11"/>
        <v>0</v>
      </c>
      <c r="AD41" s="13">
        <f t="shared" si="12"/>
        <v>144207.40300000002</v>
      </c>
      <c r="AE41" s="13">
        <f t="shared" si="13"/>
        <v>144207.40300000002</v>
      </c>
      <c r="AF41" s="13">
        <f t="shared" si="19"/>
        <v>362773.36700000003</v>
      </c>
      <c r="AG41" s="24">
        <f t="shared" si="14"/>
        <v>-0.60248624591010835</v>
      </c>
      <c r="AH41" s="8">
        <f>--(COUNTIF('Tax Events'!$A$4:$A$8,A41)&gt;0)</f>
        <v>0</v>
      </c>
      <c r="AI41" s="8">
        <f>--(COUNTIF('Tax Events'!$B$4:$B$9,A41)&gt;0)</f>
        <v>0</v>
      </c>
    </row>
    <row r="42" spans="1:35">
      <c r="A42" s="4">
        <f>'H237 Tracker'!A42</f>
        <v>43472</v>
      </c>
      <c r="B42" s="13">
        <f t="shared" si="15"/>
        <v>0</v>
      </c>
      <c r="C42" s="13">
        <f t="shared" si="16"/>
        <v>144207.40300000002</v>
      </c>
      <c r="D42" s="13">
        <f t="shared" si="0"/>
        <v>0</v>
      </c>
      <c r="E42" s="13">
        <f t="shared" si="1"/>
        <v>144207.40300000002</v>
      </c>
      <c r="F42" s="13">
        <f>IF(AH42=1,MAX(R41,0)*Parameters!$B$11,0)</f>
        <v>0</v>
      </c>
      <c r="G42" s="13">
        <f>IF(AI42=1,MAX(S41,0)*Parameters!$B$11,0)</f>
        <v>0</v>
      </c>
      <c r="H42" s="13">
        <f t="shared" si="2"/>
        <v>0</v>
      </c>
      <c r="I42" s="13">
        <f t="shared" si="3"/>
        <v>144207.40300000002</v>
      </c>
      <c r="J42" s="13">
        <f t="shared" si="4"/>
        <v>0</v>
      </c>
      <c r="K42" s="13">
        <f t="shared" si="5"/>
        <v>0</v>
      </c>
      <c r="L42" s="13">
        <f t="shared" si="6"/>
        <v>0</v>
      </c>
      <c r="M42" s="13">
        <f t="shared" si="7"/>
        <v>144207.40300000002</v>
      </c>
      <c r="N42" s="13">
        <f>MAX(0,INT(L42*Parameters!$B$14/Parameters!$B$13/Parameters!$B$12)*Parameters!$B$12)</f>
        <v>0</v>
      </c>
      <c r="O42" s="13">
        <f>MAX(0,INT(M42*Parameters!$B$14/Parameters!$B$13/Parameters!$B$12)*Parameters!$B$12)</f>
        <v>96025</v>
      </c>
      <c r="P42" s="13">
        <f>N42*Parameters!$B$13*'H237 Tracker'!B42</f>
        <v>0</v>
      </c>
      <c r="Q42" s="13">
        <f>O42*Parameters!$B$13*'H237 Tracker'!C42</f>
        <v>19550.689999999999</v>
      </c>
      <c r="R42" s="13">
        <f t="shared" si="17"/>
        <v>-356.7530000000487</v>
      </c>
      <c r="S42" s="13">
        <f t="shared" si="18"/>
        <v>64114.845999999976</v>
      </c>
      <c r="T42" s="13">
        <f t="shared" si="8"/>
        <v>0</v>
      </c>
      <c r="U42" s="13">
        <f t="shared" si="9"/>
        <v>163758.09300000002</v>
      </c>
      <c r="V42" s="12">
        <f t="shared" si="10"/>
        <v>0</v>
      </c>
      <c r="W42" t="str">
        <f>'H237 Tracker'!I42</f>
        <v>A</v>
      </c>
      <c r="X42">
        <f>'H237 Tracker'!J42</f>
        <v>3</v>
      </c>
      <c r="Y42" t="str">
        <f>'H237 Tracker'!K42</f>
        <v>A</v>
      </c>
      <c r="Z42" s="12">
        <f>'H237 Tracker'!O42</f>
        <v>0.1</v>
      </c>
      <c r="AA42" s="13">
        <f>'H237 Tracker'!P42</f>
        <v>0</v>
      </c>
      <c r="AB42" s="13">
        <f>'H237 Tracker'!Q42</f>
        <v>16375.809300000003</v>
      </c>
      <c r="AC42" s="13">
        <f t="shared" si="11"/>
        <v>16375.809300000003</v>
      </c>
      <c r="AD42" s="13">
        <f t="shared" si="12"/>
        <v>147382.28370000003</v>
      </c>
      <c r="AE42" s="13">
        <f t="shared" si="13"/>
        <v>163758.09300000002</v>
      </c>
      <c r="AF42" s="13">
        <f t="shared" si="19"/>
        <v>362773.36700000003</v>
      </c>
      <c r="AG42" s="24">
        <f t="shared" si="14"/>
        <v>-0.5485939490150058</v>
      </c>
      <c r="AH42" s="8">
        <f>--(COUNTIF('Tax Events'!$A$4:$A$8,A42)&gt;0)</f>
        <v>0</v>
      </c>
      <c r="AI42" s="8">
        <f>--(COUNTIF('Tax Events'!$B$4:$B$9,A42)&gt;0)</f>
        <v>0</v>
      </c>
    </row>
    <row r="43" spans="1:35">
      <c r="A43" s="4">
        <f>'H237 Tracker'!A43</f>
        <v>43479</v>
      </c>
      <c r="B43" s="13">
        <f t="shared" si="15"/>
        <v>16375.809300000003</v>
      </c>
      <c r="C43" s="13">
        <f t="shared" si="16"/>
        <v>147382.28370000003</v>
      </c>
      <c r="D43" s="13">
        <f t="shared" si="0"/>
        <v>16375.809300000003</v>
      </c>
      <c r="E43" s="13">
        <f t="shared" si="1"/>
        <v>147382.28370000003</v>
      </c>
      <c r="F43" s="13">
        <f>IF(AH43=1,MAX(R42,0)*Parameters!$B$11,0)</f>
        <v>0</v>
      </c>
      <c r="G43" s="13">
        <f>IF(AI43=1,MAX(S42,0)*Parameters!$B$11,0)</f>
        <v>0</v>
      </c>
      <c r="H43" s="13">
        <f t="shared" si="2"/>
        <v>16375.809300000003</v>
      </c>
      <c r="I43" s="13">
        <f t="shared" si="3"/>
        <v>147382.28370000003</v>
      </c>
      <c r="J43" s="13">
        <f t="shared" si="4"/>
        <v>0</v>
      </c>
      <c r="K43" s="13">
        <f t="shared" si="5"/>
        <v>0</v>
      </c>
      <c r="L43" s="13">
        <f t="shared" si="6"/>
        <v>16375.809300000003</v>
      </c>
      <c r="M43" s="13">
        <f t="shared" si="7"/>
        <v>147382.28370000003</v>
      </c>
      <c r="N43" s="13">
        <f>MAX(0,INT(L43*Parameters!$B$14/Parameters!$B$13/Parameters!$B$12)*Parameters!$B$12)</f>
        <v>10810</v>
      </c>
      <c r="O43" s="13">
        <f>MAX(0,INT(M43*Parameters!$B$14/Parameters!$B$13/Parameters!$B$12)*Parameters!$B$12)</f>
        <v>98210</v>
      </c>
      <c r="P43" s="13">
        <f>N43*Parameters!$B$13*'H237 Tracker'!B43</f>
        <v>8172.36</v>
      </c>
      <c r="Q43" s="13">
        <f>O43*Parameters!$B$13*'H237 Tracker'!C43</f>
        <v>74246.759999999995</v>
      </c>
      <c r="R43" s="13">
        <f t="shared" si="17"/>
        <v>7815.6069999999509</v>
      </c>
      <c r="S43" s="13">
        <f t="shared" si="18"/>
        <v>138361.60599999997</v>
      </c>
      <c r="T43" s="13">
        <f t="shared" si="8"/>
        <v>24548.169300000001</v>
      </c>
      <c r="U43" s="13">
        <f t="shared" si="9"/>
        <v>221629.04370000004</v>
      </c>
      <c r="V43" s="12">
        <f t="shared" si="10"/>
        <v>9.9717471819782105E-2</v>
      </c>
      <c r="W43" t="str">
        <f>'H237 Tracker'!I43</f>
        <v>A</v>
      </c>
      <c r="X43">
        <f>'H237 Tracker'!J43</f>
        <v>4</v>
      </c>
      <c r="Y43" t="str">
        <f>'H237 Tracker'!K43</f>
        <v>A</v>
      </c>
      <c r="Z43" s="12">
        <f>'H237 Tracker'!O43</f>
        <v>0.19971747181978211</v>
      </c>
      <c r="AA43" s="13">
        <f>'H237 Tracker'!P43</f>
        <v>0</v>
      </c>
      <c r="AB43" s="13">
        <f>'H237 Tracker'!Q43</f>
        <v>24617.721300000005</v>
      </c>
      <c r="AC43" s="13">
        <f t="shared" si="11"/>
        <v>49165.890600000006</v>
      </c>
      <c r="AD43" s="13">
        <f t="shared" si="12"/>
        <v>197011.32240000003</v>
      </c>
      <c r="AE43" s="13">
        <f t="shared" si="13"/>
        <v>246177.21300000005</v>
      </c>
      <c r="AF43" s="13">
        <f t="shared" si="19"/>
        <v>362773.36700000003</v>
      </c>
      <c r="AG43" s="24">
        <f t="shared" si="14"/>
        <v>-0.32140218827034228</v>
      </c>
      <c r="AH43" s="8">
        <f>--(COUNTIF('Tax Events'!$A$4:$A$8,A43)&gt;0)</f>
        <v>0</v>
      </c>
      <c r="AI43" s="8">
        <f>--(COUNTIF('Tax Events'!$B$4:$B$9,A43)&gt;0)</f>
        <v>0</v>
      </c>
    </row>
    <row r="44" spans="1:35">
      <c r="A44" s="4">
        <f>'H237 Tracker'!A44</f>
        <v>43486</v>
      </c>
      <c r="B44" s="13">
        <f t="shared" si="15"/>
        <v>49165.890600000006</v>
      </c>
      <c r="C44" s="13">
        <f t="shared" si="16"/>
        <v>197011.32240000003</v>
      </c>
      <c r="D44" s="13">
        <f t="shared" si="0"/>
        <v>49165.890600000006</v>
      </c>
      <c r="E44" s="13">
        <f t="shared" si="1"/>
        <v>197011.32240000003</v>
      </c>
      <c r="F44" s="13">
        <f>IF(AH44=1,MAX(R43,0)*Parameters!$B$11,0)</f>
        <v>0</v>
      </c>
      <c r="G44" s="13">
        <f>IF(AI44=1,MAX(S43,0)*Parameters!$B$11,0)</f>
        <v>0</v>
      </c>
      <c r="H44" s="13">
        <f t="shared" si="2"/>
        <v>49165.890600000006</v>
      </c>
      <c r="I44" s="13">
        <f t="shared" si="3"/>
        <v>197011.32240000003</v>
      </c>
      <c r="J44" s="13">
        <f t="shared" si="4"/>
        <v>0</v>
      </c>
      <c r="K44" s="13">
        <f t="shared" si="5"/>
        <v>0</v>
      </c>
      <c r="L44" s="13">
        <f t="shared" si="6"/>
        <v>49165.890600000006</v>
      </c>
      <c r="M44" s="13">
        <f t="shared" si="7"/>
        <v>197011.32240000003</v>
      </c>
      <c r="N44" s="13">
        <f>MAX(0,INT(L44*Parameters!$B$14/Parameters!$B$13/Parameters!$B$12)*Parameters!$B$12)</f>
        <v>32775</v>
      </c>
      <c r="O44" s="13">
        <f>MAX(0,INT(M44*Parameters!$B$14/Parameters!$B$13/Parameters!$B$12)*Parameters!$B$12)</f>
        <v>131330</v>
      </c>
      <c r="P44" s="13">
        <f>N44*Parameters!$B$13*'H237 Tracker'!B44</f>
        <v>-7531.6949999999997</v>
      </c>
      <c r="Q44" s="13">
        <f>O44*Parameters!$B$13*'H237 Tracker'!C44</f>
        <v>-30179.634000000002</v>
      </c>
      <c r="R44" s="13">
        <f t="shared" si="17"/>
        <v>283.91199999995115</v>
      </c>
      <c r="S44" s="13">
        <f t="shared" si="18"/>
        <v>108181.97199999997</v>
      </c>
      <c r="T44" s="13">
        <f t="shared" si="8"/>
        <v>41634.195600000006</v>
      </c>
      <c r="U44" s="13">
        <f t="shared" si="9"/>
        <v>166831.68840000004</v>
      </c>
      <c r="V44" s="12">
        <f t="shared" si="10"/>
        <v>0.19971707025212815</v>
      </c>
      <c r="W44" t="str">
        <f>'H237 Tracker'!I44</f>
        <v>A</v>
      </c>
      <c r="X44">
        <f>'H237 Tracker'!J44</f>
        <v>5</v>
      </c>
      <c r="Y44" t="str">
        <f>'H237 Tracker'!K44</f>
        <v>A</v>
      </c>
      <c r="Z44" s="12">
        <f>'H237 Tracker'!O44</f>
        <v>0.29971707025212813</v>
      </c>
      <c r="AA44" s="13">
        <f>'H237 Tracker'!P44</f>
        <v>0</v>
      </c>
      <c r="AB44" s="13">
        <f>'H237 Tracker'!Q44</f>
        <v>20846.588400000001</v>
      </c>
      <c r="AC44" s="13">
        <f t="shared" si="11"/>
        <v>62480.784000000007</v>
      </c>
      <c r="AD44" s="13">
        <f t="shared" si="12"/>
        <v>145985.10000000003</v>
      </c>
      <c r="AE44" s="13">
        <f t="shared" si="13"/>
        <v>208465.88400000005</v>
      </c>
      <c r="AF44" s="13">
        <f t="shared" si="19"/>
        <v>362773.36700000003</v>
      </c>
      <c r="AG44" s="24">
        <f t="shared" si="14"/>
        <v>-0.4253550481835674</v>
      </c>
      <c r="AH44" s="8">
        <f>--(COUNTIF('Tax Events'!$A$4:$A$8,A44)&gt;0)</f>
        <v>0</v>
      </c>
      <c r="AI44" s="8">
        <f>--(COUNTIF('Tax Events'!$B$4:$B$9,A44)&gt;0)</f>
        <v>0</v>
      </c>
    </row>
    <row r="45" spans="1:35">
      <c r="A45" s="4">
        <f>'H237 Tracker'!A45</f>
        <v>43493</v>
      </c>
      <c r="B45" s="13">
        <f t="shared" si="15"/>
        <v>62480.784000000007</v>
      </c>
      <c r="C45" s="13">
        <f t="shared" si="16"/>
        <v>145985.10000000003</v>
      </c>
      <c r="D45" s="13">
        <f t="shared" si="0"/>
        <v>62480.784000000007</v>
      </c>
      <c r="E45" s="13">
        <f t="shared" si="1"/>
        <v>145985.10000000003</v>
      </c>
      <c r="F45" s="13">
        <f>IF(AH45=1,MAX(R44,0)*Parameters!$B$11,0)</f>
        <v>0</v>
      </c>
      <c r="G45" s="13">
        <f>IF(AI45=1,MAX(S44,0)*Parameters!$B$11,0)</f>
        <v>0</v>
      </c>
      <c r="H45" s="13">
        <f t="shared" si="2"/>
        <v>62480.784000000007</v>
      </c>
      <c r="I45" s="13">
        <f t="shared" si="3"/>
        <v>145985.10000000003</v>
      </c>
      <c r="J45" s="13">
        <f t="shared" si="4"/>
        <v>0</v>
      </c>
      <c r="K45" s="13">
        <f t="shared" si="5"/>
        <v>0</v>
      </c>
      <c r="L45" s="13">
        <f t="shared" si="6"/>
        <v>62480.784000000007</v>
      </c>
      <c r="M45" s="13">
        <f t="shared" si="7"/>
        <v>145985.10000000003</v>
      </c>
      <c r="N45" s="13">
        <f>MAX(0,INT(L45*Parameters!$B$14/Parameters!$B$13/Parameters!$B$12)*Parameters!$B$12)</f>
        <v>41630</v>
      </c>
      <c r="O45" s="13">
        <f>MAX(0,INT(M45*Parameters!$B$14/Parameters!$B$13/Parameters!$B$12)*Parameters!$B$12)</f>
        <v>97290</v>
      </c>
      <c r="P45" s="13">
        <f>N45*Parameters!$B$13*'H237 Tracker'!B45</f>
        <v>-166.52</v>
      </c>
      <c r="Q45" s="13">
        <f>O45*Parameters!$B$13*'H237 Tracker'!C45</f>
        <v>0</v>
      </c>
      <c r="R45" s="13">
        <f t="shared" si="17"/>
        <v>117.39199999995114</v>
      </c>
      <c r="S45" s="13">
        <f t="shared" si="18"/>
        <v>108181.97199999997</v>
      </c>
      <c r="T45" s="13">
        <f t="shared" si="8"/>
        <v>62314.26400000001</v>
      </c>
      <c r="U45" s="13">
        <f t="shared" si="9"/>
        <v>145985.10000000003</v>
      </c>
      <c r="V45" s="12">
        <f t="shared" si="10"/>
        <v>0.29915724562653967</v>
      </c>
      <c r="W45" t="str">
        <f>'H237 Tracker'!I45</f>
        <v>A</v>
      </c>
      <c r="X45">
        <f>'H237 Tracker'!J45</f>
        <v>6</v>
      </c>
      <c r="Y45" t="str">
        <f>'H237 Tracker'!K45</f>
        <v>A</v>
      </c>
      <c r="Z45" s="12">
        <f>'H237 Tracker'!O45</f>
        <v>0.39915724562653965</v>
      </c>
      <c r="AA45" s="13">
        <f>'H237 Tracker'!P45</f>
        <v>0</v>
      </c>
      <c r="AB45" s="13">
        <f>'H237 Tracker'!Q45</f>
        <v>20829.936400000006</v>
      </c>
      <c r="AC45" s="13">
        <f t="shared" si="11"/>
        <v>83144.200400000016</v>
      </c>
      <c r="AD45" s="13">
        <f t="shared" si="12"/>
        <v>125155.16360000003</v>
      </c>
      <c r="AE45" s="13">
        <f t="shared" si="13"/>
        <v>208299.36400000006</v>
      </c>
      <c r="AF45" s="13">
        <f t="shared" si="19"/>
        <v>362773.36700000003</v>
      </c>
      <c r="AG45" s="24">
        <f t="shared" si="14"/>
        <v>-0.42581406754702578</v>
      </c>
      <c r="AH45" s="8">
        <f>--(COUNTIF('Tax Events'!$A$4:$A$8,A45)&gt;0)</f>
        <v>0</v>
      </c>
      <c r="AI45" s="8">
        <f>--(COUNTIF('Tax Events'!$B$4:$B$9,A45)&gt;0)</f>
        <v>0</v>
      </c>
    </row>
    <row r="46" spans="1:35">
      <c r="A46" s="4">
        <f>'H237 Tracker'!A46</f>
        <v>43500</v>
      </c>
      <c r="B46" s="13">
        <f t="shared" si="15"/>
        <v>83144.200400000016</v>
      </c>
      <c r="C46" s="13">
        <f t="shared" si="16"/>
        <v>125155.16360000003</v>
      </c>
      <c r="D46" s="13">
        <f t="shared" si="0"/>
        <v>83144.200400000016</v>
      </c>
      <c r="E46" s="13">
        <f t="shared" si="1"/>
        <v>125155.16360000003</v>
      </c>
      <c r="F46" s="13">
        <f>IF(AH46=1,MAX(R45,0)*Parameters!$B$11,0)</f>
        <v>0</v>
      </c>
      <c r="G46" s="13">
        <f>IF(AI46=1,MAX(S45,0)*Parameters!$B$11,0)</f>
        <v>0</v>
      </c>
      <c r="H46" s="13">
        <f t="shared" si="2"/>
        <v>83144.200400000016</v>
      </c>
      <c r="I46" s="13">
        <f t="shared" si="3"/>
        <v>125155.16360000003</v>
      </c>
      <c r="J46" s="13">
        <f t="shared" si="4"/>
        <v>0</v>
      </c>
      <c r="K46" s="13">
        <f t="shared" si="5"/>
        <v>0</v>
      </c>
      <c r="L46" s="13">
        <f t="shared" si="6"/>
        <v>83144.200400000016</v>
      </c>
      <c r="M46" s="13">
        <f t="shared" si="7"/>
        <v>125155.16360000003</v>
      </c>
      <c r="N46" s="13">
        <f>MAX(0,INT(L46*Parameters!$B$14/Parameters!$B$13/Parameters!$B$12)*Parameters!$B$12)</f>
        <v>55315</v>
      </c>
      <c r="O46" s="13">
        <f>MAX(0,INT(M46*Parameters!$B$14/Parameters!$B$13/Parameters!$B$12)*Parameters!$B$12)</f>
        <v>83375</v>
      </c>
      <c r="P46" s="13">
        <f>N46*Parameters!$B$13*'H237 Tracker'!B46</f>
        <v>13795.561</v>
      </c>
      <c r="Q46" s="13">
        <f>O46*Parameters!$B$13*'H237 Tracker'!C46</f>
        <v>20793.724999999999</v>
      </c>
      <c r="R46" s="13">
        <f t="shared" si="17"/>
        <v>13912.95299999995</v>
      </c>
      <c r="S46" s="13">
        <f t="shared" si="18"/>
        <v>128975.69699999996</v>
      </c>
      <c r="T46" s="13">
        <f t="shared" si="8"/>
        <v>96939.761400000018</v>
      </c>
      <c r="U46" s="13">
        <f t="shared" si="9"/>
        <v>145948.88860000003</v>
      </c>
      <c r="V46" s="12">
        <f t="shared" si="10"/>
        <v>0.39911194450625831</v>
      </c>
      <c r="W46" t="str">
        <f>'H237 Tracker'!I46</f>
        <v>A</v>
      </c>
      <c r="X46">
        <f>'H237 Tracker'!J46</f>
        <v>7</v>
      </c>
      <c r="Y46" t="str">
        <f>'H237 Tracker'!K46</f>
        <v>A</v>
      </c>
      <c r="Z46" s="12">
        <f>'H237 Tracker'!O46</f>
        <v>0.49911194450625829</v>
      </c>
      <c r="AA46" s="13">
        <f>'H237 Tracker'!P46</f>
        <v>0</v>
      </c>
      <c r="AB46" s="13">
        <f>'H237 Tracker'!Q46</f>
        <v>24288.865000000005</v>
      </c>
      <c r="AC46" s="13">
        <f t="shared" si="11"/>
        <v>121228.62640000002</v>
      </c>
      <c r="AD46" s="13">
        <f t="shared" si="12"/>
        <v>121660.02360000003</v>
      </c>
      <c r="AE46" s="13">
        <f t="shared" si="13"/>
        <v>242888.65000000005</v>
      </c>
      <c r="AF46" s="13">
        <f t="shared" si="19"/>
        <v>362773.36700000003</v>
      </c>
      <c r="AG46" s="24">
        <f t="shared" si="14"/>
        <v>-0.33046725009446454</v>
      </c>
      <c r="AH46" s="8">
        <f>--(COUNTIF('Tax Events'!$A$4:$A$8,A46)&gt;0)</f>
        <v>0</v>
      </c>
      <c r="AI46" s="8">
        <f>--(COUNTIF('Tax Events'!$B$4:$B$9,A46)&gt;0)</f>
        <v>0</v>
      </c>
    </row>
    <row r="47" spans="1:35">
      <c r="A47" s="4">
        <f>'H237 Tracker'!A47</f>
        <v>43507</v>
      </c>
      <c r="B47" s="13">
        <f t="shared" si="15"/>
        <v>121228.62640000002</v>
      </c>
      <c r="C47" s="13">
        <f t="shared" si="16"/>
        <v>121660.02360000003</v>
      </c>
      <c r="D47" s="13">
        <f t="shared" si="0"/>
        <v>121228.62640000002</v>
      </c>
      <c r="E47" s="13">
        <f t="shared" si="1"/>
        <v>121660.02360000003</v>
      </c>
      <c r="F47" s="13">
        <f>IF(AH47=1,MAX(R46,0)*Parameters!$B$11,0)</f>
        <v>0</v>
      </c>
      <c r="G47" s="13">
        <f>IF(AI47=1,MAX(S46,0)*Parameters!$B$11,0)</f>
        <v>0</v>
      </c>
      <c r="H47" s="13">
        <f t="shared" si="2"/>
        <v>121228.62640000002</v>
      </c>
      <c r="I47" s="13">
        <f t="shared" si="3"/>
        <v>121660.02360000003</v>
      </c>
      <c r="J47" s="13">
        <f t="shared" si="4"/>
        <v>0</v>
      </c>
      <c r="K47" s="13">
        <f t="shared" si="5"/>
        <v>0</v>
      </c>
      <c r="L47" s="13">
        <f t="shared" si="6"/>
        <v>121228.62640000002</v>
      </c>
      <c r="M47" s="13">
        <f t="shared" si="7"/>
        <v>121660.02360000003</v>
      </c>
      <c r="N47" s="13">
        <f>MAX(0,INT(L47*Parameters!$B$14/Parameters!$B$13/Parameters!$B$12)*Parameters!$B$12)</f>
        <v>80730</v>
      </c>
      <c r="O47" s="13">
        <f>MAX(0,INT(M47*Parameters!$B$14/Parameters!$B$13/Parameters!$B$12)*Parameters!$B$12)</f>
        <v>81075</v>
      </c>
      <c r="P47" s="13">
        <f>N47*Parameters!$B$13*'H237 Tracker'!B47</f>
        <v>27173.718000000001</v>
      </c>
      <c r="Q47" s="13">
        <f>O47*Parameters!$B$13*'H237 Tracker'!C47</f>
        <v>27289.845000000001</v>
      </c>
      <c r="R47" s="13">
        <f t="shared" si="17"/>
        <v>41086.670999999951</v>
      </c>
      <c r="S47" s="13">
        <f t="shared" si="18"/>
        <v>156265.54199999996</v>
      </c>
      <c r="T47" s="13">
        <f t="shared" si="8"/>
        <v>148402.34440000003</v>
      </c>
      <c r="U47" s="13">
        <f t="shared" si="9"/>
        <v>148949.86860000005</v>
      </c>
      <c r="V47" s="12">
        <f t="shared" si="10"/>
        <v>0.49907933390763087</v>
      </c>
      <c r="W47" t="str">
        <f>'H237 Tracker'!I47</f>
        <v>B</v>
      </c>
      <c r="X47">
        <f>'H237 Tracker'!J47</f>
        <v>1</v>
      </c>
      <c r="Y47" t="str">
        <f>'H237 Tracker'!K47</f>
        <v>HOLD</v>
      </c>
      <c r="Z47" s="12">
        <f>'H237 Tracker'!O47</f>
        <v>0.49907933390763087</v>
      </c>
      <c r="AA47" s="13">
        <f>'H237 Tracker'!P47</f>
        <v>0</v>
      </c>
      <c r="AB47" s="13">
        <f>'H237 Tracker'!Q47</f>
        <v>0</v>
      </c>
      <c r="AC47" s="13">
        <f t="shared" si="11"/>
        <v>148402.34440000003</v>
      </c>
      <c r="AD47" s="13">
        <f t="shared" si="12"/>
        <v>148949.86860000005</v>
      </c>
      <c r="AE47" s="13">
        <f t="shared" si="13"/>
        <v>297352.21300000011</v>
      </c>
      <c r="AF47" s="13">
        <f t="shared" si="19"/>
        <v>362773.36700000003</v>
      </c>
      <c r="AG47" s="24">
        <f t="shared" si="14"/>
        <v>-0.18033615461082042</v>
      </c>
      <c r="AH47" s="8">
        <f>--(COUNTIF('Tax Events'!$A$4:$A$8,A47)&gt;0)</f>
        <v>0</v>
      </c>
      <c r="AI47" s="8">
        <f>--(COUNTIF('Tax Events'!$B$4:$B$9,A47)&gt;0)</f>
        <v>0</v>
      </c>
    </row>
    <row r="48" spans="1:35">
      <c r="A48" s="4">
        <f>'H237 Tracker'!A48</f>
        <v>43514</v>
      </c>
      <c r="B48" s="13">
        <f t="shared" si="15"/>
        <v>148402.34440000003</v>
      </c>
      <c r="C48" s="13">
        <f t="shared" si="16"/>
        <v>148949.86860000005</v>
      </c>
      <c r="D48" s="13">
        <f t="shared" si="0"/>
        <v>148402.34440000003</v>
      </c>
      <c r="E48" s="13">
        <f t="shared" si="1"/>
        <v>148949.86860000005</v>
      </c>
      <c r="F48" s="13">
        <f>IF(AH48=1,MAX(R47,0)*Parameters!$B$11,0)</f>
        <v>0</v>
      </c>
      <c r="G48" s="13">
        <f>IF(AI48=1,MAX(S47,0)*Parameters!$B$11,0)</f>
        <v>0</v>
      </c>
      <c r="H48" s="13">
        <f t="shared" si="2"/>
        <v>148402.34440000003</v>
      </c>
      <c r="I48" s="13">
        <f t="shared" si="3"/>
        <v>148949.86860000005</v>
      </c>
      <c r="J48" s="13">
        <f t="shared" si="4"/>
        <v>0</v>
      </c>
      <c r="K48" s="13">
        <f t="shared" si="5"/>
        <v>0</v>
      </c>
      <c r="L48" s="13">
        <f t="shared" si="6"/>
        <v>148402.34440000003</v>
      </c>
      <c r="M48" s="13">
        <f t="shared" si="7"/>
        <v>148949.86860000005</v>
      </c>
      <c r="N48" s="13">
        <f>MAX(0,INT(L48*Parameters!$B$14/Parameters!$B$13/Parameters!$B$12)*Parameters!$B$12)</f>
        <v>98900</v>
      </c>
      <c r="O48" s="13">
        <f>MAX(0,INT(M48*Parameters!$B$14/Parameters!$B$13/Parameters!$B$12)*Parameters!$B$12)</f>
        <v>99245</v>
      </c>
      <c r="P48" s="13">
        <f>N48*Parameters!$B$13*'H237 Tracker'!B48</f>
        <v>-7912</v>
      </c>
      <c r="Q48" s="13">
        <f>O48*Parameters!$B$13*'H237 Tracker'!C48</f>
        <v>-7939.6</v>
      </c>
      <c r="R48" s="13">
        <f t="shared" si="17"/>
        <v>33174.670999999951</v>
      </c>
      <c r="S48" s="13">
        <f t="shared" si="18"/>
        <v>148325.94199999995</v>
      </c>
      <c r="T48" s="13">
        <f t="shared" si="8"/>
        <v>140490.34440000003</v>
      </c>
      <c r="U48" s="13">
        <f t="shared" si="9"/>
        <v>141010.26860000004</v>
      </c>
      <c r="V48" s="12">
        <f t="shared" si="10"/>
        <v>0.4990765132010565</v>
      </c>
      <c r="W48" t="str">
        <f>'H237 Tracker'!I48</f>
        <v>B</v>
      </c>
      <c r="X48">
        <f>'H237 Tracker'!J48</f>
        <v>2</v>
      </c>
      <c r="Y48" t="str">
        <f>'H237 Tracker'!K48</f>
        <v>HOLD</v>
      </c>
      <c r="Z48" s="12">
        <f>'H237 Tracker'!O48</f>
        <v>0.4990765132010565</v>
      </c>
      <c r="AA48" s="13">
        <f>'H237 Tracker'!P48</f>
        <v>0</v>
      </c>
      <c r="AB48" s="13">
        <f>'H237 Tracker'!Q48</f>
        <v>0</v>
      </c>
      <c r="AC48" s="13">
        <f t="shared" si="11"/>
        <v>140490.34440000003</v>
      </c>
      <c r="AD48" s="13">
        <f t="shared" si="12"/>
        <v>141010.26860000004</v>
      </c>
      <c r="AE48" s="13">
        <f t="shared" si="13"/>
        <v>281500.61300000007</v>
      </c>
      <c r="AF48" s="13">
        <f t="shared" si="19"/>
        <v>362773.36700000003</v>
      </c>
      <c r="AG48" s="24">
        <f t="shared" si="14"/>
        <v>-0.2240317547897609</v>
      </c>
      <c r="AH48" s="8">
        <f>--(COUNTIF('Tax Events'!$A$4:$A$8,A48)&gt;0)</f>
        <v>0</v>
      </c>
      <c r="AI48" s="8">
        <f>--(COUNTIF('Tax Events'!$B$4:$B$9,A48)&gt;0)</f>
        <v>0</v>
      </c>
    </row>
    <row r="49" spans="1:35">
      <c r="A49" s="4">
        <f>'H237 Tracker'!A49</f>
        <v>43521</v>
      </c>
      <c r="B49" s="13">
        <f t="shared" si="15"/>
        <v>140490.34440000003</v>
      </c>
      <c r="C49" s="13">
        <f t="shared" si="16"/>
        <v>141010.26860000004</v>
      </c>
      <c r="D49" s="13">
        <f t="shared" si="0"/>
        <v>140490.34440000003</v>
      </c>
      <c r="E49" s="13">
        <f t="shared" si="1"/>
        <v>141010.26860000004</v>
      </c>
      <c r="F49" s="13">
        <f>IF(AH49=1,MAX(R48,0)*Parameters!$B$11,0)</f>
        <v>0</v>
      </c>
      <c r="G49" s="13">
        <f>IF(AI49=1,MAX(S48,0)*Parameters!$B$11,0)</f>
        <v>0</v>
      </c>
      <c r="H49" s="13">
        <f t="shared" si="2"/>
        <v>140490.34440000003</v>
      </c>
      <c r="I49" s="13">
        <f t="shared" si="3"/>
        <v>141010.26860000004</v>
      </c>
      <c r="J49" s="13">
        <f t="shared" si="4"/>
        <v>0</v>
      </c>
      <c r="K49" s="13">
        <f t="shared" si="5"/>
        <v>0</v>
      </c>
      <c r="L49" s="13">
        <f t="shared" si="6"/>
        <v>140490.34440000003</v>
      </c>
      <c r="M49" s="13">
        <f t="shared" si="7"/>
        <v>141010.26860000004</v>
      </c>
      <c r="N49" s="13">
        <f>MAX(0,INT(L49*Parameters!$B$14/Parameters!$B$13/Parameters!$B$12)*Parameters!$B$12)</f>
        <v>93610</v>
      </c>
      <c r="O49" s="13">
        <f>MAX(0,INT(M49*Parameters!$B$14/Parameters!$B$13/Parameters!$B$12)*Parameters!$B$12)</f>
        <v>93955</v>
      </c>
      <c r="P49" s="13">
        <f>N49*Parameters!$B$13*'H237 Tracker'!B49</f>
        <v>-8069.1819999999989</v>
      </c>
      <c r="Q49" s="13">
        <f>O49*Parameters!$B$13*'H237 Tracker'!C49</f>
        <v>-8098.9209999999994</v>
      </c>
      <c r="R49" s="13">
        <f t="shared" si="17"/>
        <v>25105.48899999995</v>
      </c>
      <c r="S49" s="13">
        <f t="shared" si="18"/>
        <v>140227.02099999995</v>
      </c>
      <c r="T49" s="13">
        <f t="shared" si="8"/>
        <v>132421.16240000003</v>
      </c>
      <c r="U49" s="13">
        <f t="shared" si="9"/>
        <v>132911.34760000004</v>
      </c>
      <c r="V49" s="12">
        <f t="shared" si="10"/>
        <v>0.49907628130454124</v>
      </c>
      <c r="W49" t="str">
        <f>'H237 Tracker'!I49</f>
        <v>A</v>
      </c>
      <c r="X49">
        <f>'H237 Tracker'!J49</f>
        <v>1</v>
      </c>
      <c r="Y49" t="str">
        <f>'H237 Tracker'!K49</f>
        <v>HOLD</v>
      </c>
      <c r="Z49" s="12">
        <f>'H237 Tracker'!O49</f>
        <v>0.49907628130454124</v>
      </c>
      <c r="AA49" s="13">
        <f>'H237 Tracker'!P49</f>
        <v>0</v>
      </c>
      <c r="AB49" s="13">
        <f>'H237 Tracker'!Q49</f>
        <v>0</v>
      </c>
      <c r="AC49" s="13">
        <f t="shared" si="11"/>
        <v>132421.16240000003</v>
      </c>
      <c r="AD49" s="13">
        <f t="shared" si="12"/>
        <v>132911.34760000004</v>
      </c>
      <c r="AE49" s="13">
        <f t="shared" si="13"/>
        <v>265332.51000000007</v>
      </c>
      <c r="AF49" s="13">
        <f t="shared" si="19"/>
        <v>362773.36700000003</v>
      </c>
      <c r="AG49" s="24">
        <f t="shared" si="14"/>
        <v>-0.26859980876159506</v>
      </c>
      <c r="AH49" s="8">
        <f>--(COUNTIF('Tax Events'!$A$4:$A$8,A49)&gt;0)</f>
        <v>0</v>
      </c>
      <c r="AI49" s="8">
        <f>--(COUNTIF('Tax Events'!$B$4:$B$9,A49)&gt;0)</f>
        <v>0</v>
      </c>
    </row>
    <row r="50" spans="1:35">
      <c r="A50" s="4">
        <f>'H237 Tracker'!A50</f>
        <v>43528</v>
      </c>
      <c r="B50" s="13">
        <f t="shared" si="15"/>
        <v>132421.16240000003</v>
      </c>
      <c r="C50" s="13">
        <f t="shared" si="16"/>
        <v>132911.34760000004</v>
      </c>
      <c r="D50" s="13">
        <f t="shared" si="0"/>
        <v>132421.16240000003</v>
      </c>
      <c r="E50" s="13">
        <f t="shared" si="1"/>
        <v>132911.34760000004</v>
      </c>
      <c r="F50" s="13">
        <f>IF(AH50=1,MAX(R49,0)*Parameters!$B$11,0)</f>
        <v>0</v>
      </c>
      <c r="G50" s="13">
        <f>IF(AI50=1,MAX(S49,0)*Parameters!$B$11,0)</f>
        <v>0</v>
      </c>
      <c r="H50" s="13">
        <f t="shared" si="2"/>
        <v>132421.16240000003</v>
      </c>
      <c r="I50" s="13">
        <f t="shared" si="3"/>
        <v>132911.34760000004</v>
      </c>
      <c r="J50" s="13">
        <f t="shared" si="4"/>
        <v>0</v>
      </c>
      <c r="K50" s="13">
        <f t="shared" si="5"/>
        <v>0</v>
      </c>
      <c r="L50" s="13">
        <f t="shared" si="6"/>
        <v>132421.16240000003</v>
      </c>
      <c r="M50" s="13">
        <f t="shared" si="7"/>
        <v>132911.34760000004</v>
      </c>
      <c r="N50" s="13">
        <f>MAX(0,INT(L50*Parameters!$B$14/Parameters!$B$13/Parameters!$B$12)*Parameters!$B$12)</f>
        <v>88205</v>
      </c>
      <c r="O50" s="13">
        <f>MAX(0,INT(M50*Parameters!$B$14/Parameters!$B$13/Parameters!$B$12)*Parameters!$B$12)</f>
        <v>88550</v>
      </c>
      <c r="P50" s="13">
        <f>N50*Parameters!$B$13*'H237 Tracker'!B50</f>
        <v>-7003.476999999999</v>
      </c>
      <c r="Q50" s="13">
        <f>O50*Parameters!$B$13*'H237 Tracker'!C50</f>
        <v>-7030.869999999999</v>
      </c>
      <c r="R50" s="13">
        <f t="shared" si="17"/>
        <v>18102.011999999952</v>
      </c>
      <c r="S50" s="13">
        <f t="shared" si="18"/>
        <v>133196.15099999995</v>
      </c>
      <c r="T50" s="13">
        <f t="shared" si="8"/>
        <v>125417.68540000003</v>
      </c>
      <c r="U50" s="13">
        <f t="shared" si="9"/>
        <v>125880.47760000004</v>
      </c>
      <c r="V50" s="12">
        <f t="shared" si="10"/>
        <v>0.49907919700949027</v>
      </c>
      <c r="W50" t="str">
        <f>'H237 Tracker'!I50</f>
        <v>A</v>
      </c>
      <c r="X50">
        <f>'H237 Tracker'!J50</f>
        <v>2</v>
      </c>
      <c r="Y50" t="str">
        <f>'H237 Tracker'!K50</f>
        <v>HOLD</v>
      </c>
      <c r="Z50" s="12">
        <f>'H237 Tracker'!O50</f>
        <v>0.49907919700949027</v>
      </c>
      <c r="AA50" s="13">
        <f>'H237 Tracker'!P50</f>
        <v>0</v>
      </c>
      <c r="AB50" s="13">
        <f>'H237 Tracker'!Q50</f>
        <v>0</v>
      </c>
      <c r="AC50" s="13">
        <f t="shared" si="11"/>
        <v>125417.68540000003</v>
      </c>
      <c r="AD50" s="13">
        <f t="shared" si="12"/>
        <v>125880.47760000004</v>
      </c>
      <c r="AE50" s="13">
        <f t="shared" si="13"/>
        <v>251298.16300000006</v>
      </c>
      <c r="AF50" s="13">
        <f t="shared" si="19"/>
        <v>362773.36700000003</v>
      </c>
      <c r="AG50" s="24">
        <f t="shared" si="14"/>
        <v>-0.30728607483470516</v>
      </c>
      <c r="AH50" s="8">
        <f>--(COUNTIF('Tax Events'!$A$4:$A$8,A50)&gt;0)</f>
        <v>0</v>
      </c>
      <c r="AI50" s="8">
        <f>--(COUNTIF('Tax Events'!$B$4:$B$9,A50)&gt;0)</f>
        <v>0</v>
      </c>
    </row>
    <row r="51" spans="1:35">
      <c r="A51" s="4">
        <f>'H237 Tracker'!A51</f>
        <v>43535</v>
      </c>
      <c r="B51" s="13">
        <f t="shared" si="15"/>
        <v>125417.68540000003</v>
      </c>
      <c r="C51" s="13">
        <f t="shared" si="16"/>
        <v>125880.47760000004</v>
      </c>
      <c r="D51" s="13">
        <f t="shared" si="0"/>
        <v>125417.68540000003</v>
      </c>
      <c r="E51" s="13">
        <f t="shared" si="1"/>
        <v>125880.47760000004</v>
      </c>
      <c r="F51" s="13">
        <f>IF(AH51=1,MAX(R50,0)*Parameters!$B$11,0)</f>
        <v>0</v>
      </c>
      <c r="G51" s="13">
        <f>IF(AI51=1,MAX(S50,0)*Parameters!$B$11,0)</f>
        <v>0</v>
      </c>
      <c r="H51" s="13">
        <f t="shared" si="2"/>
        <v>125417.68540000003</v>
      </c>
      <c r="I51" s="13">
        <f t="shared" si="3"/>
        <v>125880.47760000004</v>
      </c>
      <c r="J51" s="13">
        <f t="shared" si="4"/>
        <v>0</v>
      </c>
      <c r="K51" s="13">
        <f t="shared" si="5"/>
        <v>0</v>
      </c>
      <c r="L51" s="13">
        <f t="shared" si="6"/>
        <v>125417.68540000003</v>
      </c>
      <c r="M51" s="13">
        <f t="shared" si="7"/>
        <v>125880.47760000004</v>
      </c>
      <c r="N51" s="13">
        <f>MAX(0,INT(L51*Parameters!$B$14/Parameters!$B$13/Parameters!$B$12)*Parameters!$B$12)</f>
        <v>83605</v>
      </c>
      <c r="O51" s="13">
        <f>MAX(0,INT(M51*Parameters!$B$14/Parameters!$B$13/Parameters!$B$12)*Parameters!$B$12)</f>
        <v>83835</v>
      </c>
      <c r="P51" s="13">
        <f>N51*Parameters!$B$13*'H237 Tracker'!B51</f>
        <v>27639.812999999998</v>
      </c>
      <c r="Q51" s="13">
        <f>O51*Parameters!$B$13*'H237 Tracker'!C51</f>
        <v>27715.850999999999</v>
      </c>
      <c r="R51" s="13">
        <f t="shared" si="17"/>
        <v>45741.824999999953</v>
      </c>
      <c r="S51" s="13">
        <f t="shared" si="18"/>
        <v>160912.00199999995</v>
      </c>
      <c r="T51" s="13">
        <f t="shared" si="8"/>
        <v>153057.49840000004</v>
      </c>
      <c r="U51" s="13">
        <f t="shared" si="9"/>
        <v>153596.32860000004</v>
      </c>
      <c r="V51" s="12">
        <f t="shared" si="10"/>
        <v>0.49912143571585044</v>
      </c>
      <c r="W51" t="str">
        <f>'H237 Tracker'!I51</f>
        <v>B</v>
      </c>
      <c r="X51">
        <f>'H237 Tracker'!J51</f>
        <v>1</v>
      </c>
      <c r="Y51" t="str">
        <f>'H237 Tracker'!K51</f>
        <v>HOLD</v>
      </c>
      <c r="Z51" s="12">
        <f>'H237 Tracker'!O51</f>
        <v>0.49912143571585044</v>
      </c>
      <c r="AA51" s="13">
        <f>'H237 Tracker'!P51</f>
        <v>0</v>
      </c>
      <c r="AB51" s="13">
        <f>'H237 Tracker'!Q51</f>
        <v>0</v>
      </c>
      <c r="AC51" s="13">
        <f t="shared" si="11"/>
        <v>153057.49840000004</v>
      </c>
      <c r="AD51" s="13">
        <f t="shared" si="12"/>
        <v>153596.32860000004</v>
      </c>
      <c r="AE51" s="13">
        <f t="shared" si="13"/>
        <v>306653.82700000005</v>
      </c>
      <c r="AF51" s="13">
        <f t="shared" si="19"/>
        <v>362773.36700000003</v>
      </c>
      <c r="AG51" s="24">
        <f t="shared" si="14"/>
        <v>-0.15469586553193682</v>
      </c>
      <c r="AH51" s="8">
        <f>--(COUNTIF('Tax Events'!$A$4:$A$8,A51)&gt;0)</f>
        <v>0</v>
      </c>
      <c r="AI51" s="8">
        <f>--(COUNTIF('Tax Events'!$B$4:$B$9,A51)&gt;0)</f>
        <v>0</v>
      </c>
    </row>
    <row r="52" spans="1:35">
      <c r="A52" s="4">
        <f>'H237 Tracker'!A52</f>
        <v>43542</v>
      </c>
      <c r="B52" s="13">
        <f t="shared" si="15"/>
        <v>153057.49840000004</v>
      </c>
      <c r="C52" s="13">
        <f t="shared" si="16"/>
        <v>153596.32860000004</v>
      </c>
      <c r="D52" s="13">
        <f t="shared" si="0"/>
        <v>153057.49840000004</v>
      </c>
      <c r="E52" s="13">
        <f t="shared" si="1"/>
        <v>153596.32860000004</v>
      </c>
      <c r="F52" s="13">
        <f>IF(AH52=1,MAX(R51,0)*Parameters!$B$11,0)</f>
        <v>0</v>
      </c>
      <c r="G52" s="13">
        <f>IF(AI52=1,MAX(S51,0)*Parameters!$B$11,0)</f>
        <v>0</v>
      </c>
      <c r="H52" s="13">
        <f t="shared" si="2"/>
        <v>153057.49840000004</v>
      </c>
      <c r="I52" s="13">
        <f t="shared" si="3"/>
        <v>153596.32860000004</v>
      </c>
      <c r="J52" s="13">
        <f t="shared" si="4"/>
        <v>0</v>
      </c>
      <c r="K52" s="13">
        <f t="shared" si="5"/>
        <v>0</v>
      </c>
      <c r="L52" s="13">
        <f t="shared" si="6"/>
        <v>153057.49840000004</v>
      </c>
      <c r="M52" s="13">
        <f t="shared" si="7"/>
        <v>153596.32860000004</v>
      </c>
      <c r="N52" s="13">
        <f>MAX(0,INT(L52*Parameters!$B$14/Parameters!$B$13/Parameters!$B$12)*Parameters!$B$12)</f>
        <v>102005</v>
      </c>
      <c r="O52" s="13">
        <f>MAX(0,INT(M52*Parameters!$B$14/Parameters!$B$13/Parameters!$B$12)*Parameters!$B$12)</f>
        <v>102350</v>
      </c>
      <c r="P52" s="13">
        <f>N52*Parameters!$B$13*'H237 Tracker'!B52</f>
        <v>7691.1769999999997</v>
      </c>
      <c r="Q52" s="13">
        <f>O52*Parameters!$B$13*'H237 Tracker'!C52</f>
        <v>7717.19</v>
      </c>
      <c r="R52" s="13">
        <f t="shared" si="17"/>
        <v>53433.001999999949</v>
      </c>
      <c r="S52" s="13">
        <f t="shared" si="18"/>
        <v>168629.19199999995</v>
      </c>
      <c r="T52" s="13">
        <f t="shared" si="8"/>
        <v>160748.67540000004</v>
      </c>
      <c r="U52" s="13">
        <f t="shared" si="9"/>
        <v>161313.51860000004</v>
      </c>
      <c r="V52" s="12">
        <f t="shared" si="10"/>
        <v>0.4991230836612881</v>
      </c>
      <c r="W52" t="str">
        <f>'H237 Tracker'!I52</f>
        <v>A</v>
      </c>
      <c r="X52">
        <f>'H237 Tracker'!J52</f>
        <v>1</v>
      </c>
      <c r="Y52" t="str">
        <f>'H237 Tracker'!K52</f>
        <v>HOLD</v>
      </c>
      <c r="Z52" s="12">
        <f>'H237 Tracker'!O52</f>
        <v>0.4991230836612881</v>
      </c>
      <c r="AA52" s="13">
        <f>'H237 Tracker'!P52</f>
        <v>0</v>
      </c>
      <c r="AB52" s="13">
        <f>'H237 Tracker'!Q52</f>
        <v>0</v>
      </c>
      <c r="AC52" s="13">
        <f t="shared" si="11"/>
        <v>160748.67540000004</v>
      </c>
      <c r="AD52" s="13">
        <f t="shared" si="12"/>
        <v>161313.51860000004</v>
      </c>
      <c r="AE52" s="13">
        <f t="shared" si="13"/>
        <v>322062.19400000008</v>
      </c>
      <c r="AF52" s="13">
        <f t="shared" si="19"/>
        <v>362773.36700000003</v>
      </c>
      <c r="AG52" s="24">
        <f t="shared" si="14"/>
        <v>-0.11222205570564925</v>
      </c>
      <c r="AH52" s="8">
        <f>--(COUNTIF('Tax Events'!$A$4:$A$8,A52)&gt;0)</f>
        <v>0</v>
      </c>
      <c r="AI52" s="8">
        <f>--(COUNTIF('Tax Events'!$B$4:$B$9,A52)&gt;0)</f>
        <v>0</v>
      </c>
    </row>
    <row r="53" spans="1:35">
      <c r="A53" s="4">
        <f>'H237 Tracker'!A53</f>
        <v>43549</v>
      </c>
      <c r="B53" s="13">
        <f t="shared" si="15"/>
        <v>160748.67540000004</v>
      </c>
      <c r="C53" s="13">
        <f t="shared" si="16"/>
        <v>161313.51860000004</v>
      </c>
      <c r="D53" s="13">
        <f t="shared" si="0"/>
        <v>160748.67540000004</v>
      </c>
      <c r="E53" s="13">
        <f t="shared" si="1"/>
        <v>161313.51860000004</v>
      </c>
      <c r="F53" s="13">
        <f>IF(AH53=1,MAX(R52,0)*Parameters!$B$11,0)</f>
        <v>0</v>
      </c>
      <c r="G53" s="13">
        <f>IF(AI53=1,MAX(S52,0)*Parameters!$B$11,0)</f>
        <v>0</v>
      </c>
      <c r="H53" s="13">
        <f t="shared" si="2"/>
        <v>160748.67540000004</v>
      </c>
      <c r="I53" s="13">
        <f t="shared" si="3"/>
        <v>161313.51860000004</v>
      </c>
      <c r="J53" s="13">
        <f t="shared" si="4"/>
        <v>0</v>
      </c>
      <c r="K53" s="13">
        <f t="shared" si="5"/>
        <v>0</v>
      </c>
      <c r="L53" s="13">
        <f t="shared" si="6"/>
        <v>160748.67540000004</v>
      </c>
      <c r="M53" s="13">
        <f t="shared" si="7"/>
        <v>161313.51860000004</v>
      </c>
      <c r="N53" s="13">
        <f>MAX(0,INT(L53*Parameters!$B$14/Parameters!$B$13/Parameters!$B$12)*Parameters!$B$12)</f>
        <v>107065</v>
      </c>
      <c r="O53" s="13">
        <f>MAX(0,INT(M53*Parameters!$B$14/Parameters!$B$13/Parameters!$B$12)*Parameters!$B$12)</f>
        <v>107525</v>
      </c>
      <c r="P53" s="13">
        <f>N53*Parameters!$B$13*'H237 Tracker'!B53</f>
        <v>-10021.284</v>
      </c>
      <c r="Q53" s="13">
        <f>O53*Parameters!$B$13*'H237 Tracker'!C53</f>
        <v>-10064.34</v>
      </c>
      <c r="R53" s="13">
        <f t="shared" si="17"/>
        <v>43411.71799999995</v>
      </c>
      <c r="S53" s="13">
        <f t="shared" si="18"/>
        <v>158564.85199999996</v>
      </c>
      <c r="T53" s="13">
        <f t="shared" si="8"/>
        <v>150727.39140000002</v>
      </c>
      <c r="U53" s="13">
        <f t="shared" si="9"/>
        <v>151249.17860000004</v>
      </c>
      <c r="V53" s="12">
        <f t="shared" si="10"/>
        <v>0.49913604687939861</v>
      </c>
      <c r="W53" t="str">
        <f>'H237 Tracker'!I53</f>
        <v>A</v>
      </c>
      <c r="X53">
        <f>'H237 Tracker'!J53</f>
        <v>2</v>
      </c>
      <c r="Y53" t="str">
        <f>'H237 Tracker'!K53</f>
        <v>HOLD</v>
      </c>
      <c r="Z53" s="12">
        <f>'H237 Tracker'!O53</f>
        <v>0.49913604687939861</v>
      </c>
      <c r="AA53" s="13">
        <f>'H237 Tracker'!P53</f>
        <v>0</v>
      </c>
      <c r="AB53" s="13">
        <f>'H237 Tracker'!Q53</f>
        <v>0</v>
      </c>
      <c r="AC53" s="13">
        <f t="shared" si="11"/>
        <v>150727.39140000002</v>
      </c>
      <c r="AD53" s="13">
        <f t="shared" si="12"/>
        <v>151249.17860000004</v>
      </c>
      <c r="AE53" s="13">
        <f t="shared" si="13"/>
        <v>301976.57000000007</v>
      </c>
      <c r="AF53" s="13">
        <f t="shared" si="19"/>
        <v>362773.36700000003</v>
      </c>
      <c r="AG53" s="24">
        <f t="shared" si="14"/>
        <v>-0.16758892060562969</v>
      </c>
      <c r="AH53" s="8">
        <f>--(COUNTIF('Tax Events'!$A$4:$A$8,A53)&gt;0)</f>
        <v>0</v>
      </c>
      <c r="AI53" s="8">
        <f>--(COUNTIF('Tax Events'!$B$4:$B$9,A53)&gt;0)</f>
        <v>0</v>
      </c>
    </row>
    <row r="54" spans="1:35">
      <c r="A54" s="4">
        <f>'H237 Tracker'!A54</f>
        <v>43556</v>
      </c>
      <c r="B54" s="13">
        <f t="shared" si="15"/>
        <v>150727.39140000002</v>
      </c>
      <c r="C54" s="13">
        <f t="shared" si="16"/>
        <v>151249.17860000004</v>
      </c>
      <c r="D54" s="13">
        <f t="shared" si="0"/>
        <v>150727.39140000002</v>
      </c>
      <c r="E54" s="13">
        <f t="shared" si="1"/>
        <v>151249.17860000004</v>
      </c>
      <c r="F54" s="13">
        <f>IF(AH54=1,MAX(R53,0)*Parameters!$B$11,0)</f>
        <v>0</v>
      </c>
      <c r="G54" s="13">
        <f>IF(AI54=1,MAX(S53,0)*Parameters!$B$11,0)</f>
        <v>0</v>
      </c>
      <c r="H54" s="13">
        <f t="shared" si="2"/>
        <v>150727.39140000002</v>
      </c>
      <c r="I54" s="13">
        <f t="shared" si="3"/>
        <v>151249.17860000004</v>
      </c>
      <c r="J54" s="13">
        <f t="shared" si="4"/>
        <v>0</v>
      </c>
      <c r="K54" s="13">
        <f t="shared" si="5"/>
        <v>0</v>
      </c>
      <c r="L54" s="13">
        <f t="shared" si="6"/>
        <v>150727.39140000002</v>
      </c>
      <c r="M54" s="13">
        <f t="shared" si="7"/>
        <v>151249.17860000004</v>
      </c>
      <c r="N54" s="13">
        <f>MAX(0,INT(L54*Parameters!$B$14/Parameters!$B$13/Parameters!$B$12)*Parameters!$B$12)</f>
        <v>100395</v>
      </c>
      <c r="O54" s="13">
        <f>MAX(0,INT(M54*Parameters!$B$14/Parameters!$B$13/Parameters!$B$12)*Parameters!$B$12)</f>
        <v>100740</v>
      </c>
      <c r="P54" s="13">
        <f>N54*Parameters!$B$13*'H237 Tracker'!B54</f>
        <v>36363.069000000003</v>
      </c>
      <c r="Q54" s="13">
        <f>O54*Parameters!$B$13*'H237 Tracker'!C54</f>
        <v>36488.028000000006</v>
      </c>
      <c r="R54" s="13">
        <f t="shared" si="17"/>
        <v>79774.786999999953</v>
      </c>
      <c r="S54" s="13">
        <f t="shared" si="18"/>
        <v>195052.87999999995</v>
      </c>
      <c r="T54" s="13">
        <f t="shared" si="8"/>
        <v>187090.46040000004</v>
      </c>
      <c r="U54" s="13">
        <f t="shared" si="9"/>
        <v>187737.20660000003</v>
      </c>
      <c r="V54" s="12">
        <f t="shared" si="10"/>
        <v>0.49913727526415491</v>
      </c>
      <c r="W54" t="str">
        <f>'H237 Tracker'!I54</f>
        <v>B</v>
      </c>
      <c r="X54">
        <f>'H237 Tracker'!J54</f>
        <v>1</v>
      </c>
      <c r="Y54" t="str">
        <f>'H237 Tracker'!K54</f>
        <v>HOLD</v>
      </c>
      <c r="Z54" s="12">
        <f>'H237 Tracker'!O54</f>
        <v>0.49913727526415491</v>
      </c>
      <c r="AA54" s="13">
        <f>'H237 Tracker'!P54</f>
        <v>0</v>
      </c>
      <c r="AB54" s="13">
        <f>'H237 Tracker'!Q54</f>
        <v>0</v>
      </c>
      <c r="AC54" s="13">
        <f t="shared" si="11"/>
        <v>187090.46040000004</v>
      </c>
      <c r="AD54" s="13">
        <f t="shared" si="12"/>
        <v>187737.20660000003</v>
      </c>
      <c r="AE54" s="13">
        <f t="shared" si="13"/>
        <v>374827.66700000007</v>
      </c>
      <c r="AF54" s="13">
        <f t="shared" si="19"/>
        <v>374827.66700000007</v>
      </c>
      <c r="AG54" s="24">
        <f t="shared" si="14"/>
        <v>0</v>
      </c>
      <c r="AH54" s="8">
        <f>--(COUNTIF('Tax Events'!$A$4:$A$8,A54)&gt;0)</f>
        <v>0</v>
      </c>
      <c r="AI54" s="8">
        <f>--(COUNTIF('Tax Events'!$B$4:$B$9,A54)&gt;0)</f>
        <v>0</v>
      </c>
    </row>
    <row r="55" spans="1:35">
      <c r="A55" s="4">
        <f>'H237 Tracker'!A55</f>
        <v>43563</v>
      </c>
      <c r="B55" s="13">
        <f t="shared" si="15"/>
        <v>187090.46040000004</v>
      </c>
      <c r="C55" s="13">
        <f t="shared" si="16"/>
        <v>187737.20660000003</v>
      </c>
      <c r="D55" s="13">
        <f t="shared" si="0"/>
        <v>187090.46040000004</v>
      </c>
      <c r="E55" s="13">
        <f t="shared" si="1"/>
        <v>187737.20660000003</v>
      </c>
      <c r="F55" s="13">
        <f>IF(AH55=1,MAX(R54,0)*Parameters!$B$11,0)</f>
        <v>0</v>
      </c>
      <c r="G55" s="13">
        <f>IF(AI55=1,MAX(S54,0)*Parameters!$B$11,0)</f>
        <v>0</v>
      </c>
      <c r="H55" s="13">
        <f t="shared" si="2"/>
        <v>187090.46040000004</v>
      </c>
      <c r="I55" s="13">
        <f t="shared" si="3"/>
        <v>187737.20660000003</v>
      </c>
      <c r="J55" s="13">
        <f t="shared" si="4"/>
        <v>0</v>
      </c>
      <c r="K55" s="13">
        <f t="shared" si="5"/>
        <v>0</v>
      </c>
      <c r="L55" s="13">
        <f t="shared" si="6"/>
        <v>187090.46040000004</v>
      </c>
      <c r="M55" s="13">
        <f t="shared" si="7"/>
        <v>187737.20660000003</v>
      </c>
      <c r="N55" s="13">
        <f>MAX(0,INT(L55*Parameters!$B$14/Parameters!$B$13/Parameters!$B$12)*Parameters!$B$12)</f>
        <v>124660</v>
      </c>
      <c r="O55" s="13">
        <f>MAX(0,INT(M55*Parameters!$B$14/Parameters!$B$13/Parameters!$B$12)*Parameters!$B$12)</f>
        <v>125120</v>
      </c>
      <c r="P55" s="13">
        <f>N55*Parameters!$B$13*'H237 Tracker'!B55</f>
        <v>21416.588</v>
      </c>
      <c r="Q55" s="13">
        <f>O55*Parameters!$B$13*'H237 Tracker'!C55</f>
        <v>21495.616000000002</v>
      </c>
      <c r="R55" s="13">
        <f t="shared" si="17"/>
        <v>101191.37499999996</v>
      </c>
      <c r="S55" s="13">
        <f t="shared" si="18"/>
        <v>216548.49599999996</v>
      </c>
      <c r="T55" s="13">
        <f t="shared" si="8"/>
        <v>208507.04840000003</v>
      </c>
      <c r="U55" s="13">
        <f t="shared" si="9"/>
        <v>209232.82260000004</v>
      </c>
      <c r="V55" s="12">
        <f t="shared" si="10"/>
        <v>0.49913130844051035</v>
      </c>
      <c r="W55" t="str">
        <f>'H237 Tracker'!I55</f>
        <v>A</v>
      </c>
      <c r="X55">
        <f>'H237 Tracker'!J55</f>
        <v>1</v>
      </c>
      <c r="Y55" t="str">
        <f>'H237 Tracker'!K55</f>
        <v>HOLD</v>
      </c>
      <c r="Z55" s="12">
        <f>'H237 Tracker'!O55</f>
        <v>0.49913130844051035</v>
      </c>
      <c r="AA55" s="13">
        <f>'H237 Tracker'!P55</f>
        <v>0</v>
      </c>
      <c r="AB55" s="13">
        <f>'H237 Tracker'!Q55</f>
        <v>0</v>
      </c>
      <c r="AC55" s="13">
        <f t="shared" si="11"/>
        <v>208507.04840000003</v>
      </c>
      <c r="AD55" s="13">
        <f t="shared" si="12"/>
        <v>209232.82260000004</v>
      </c>
      <c r="AE55" s="13">
        <f t="shared" si="13"/>
        <v>417739.87100000004</v>
      </c>
      <c r="AF55" s="13">
        <f t="shared" si="19"/>
        <v>417739.87100000004</v>
      </c>
      <c r="AG55" s="24">
        <f t="shared" si="14"/>
        <v>0</v>
      </c>
      <c r="AH55" s="8">
        <f>--(COUNTIF('Tax Events'!$A$4:$A$8,A55)&gt;0)</f>
        <v>0</v>
      </c>
      <c r="AI55" s="8">
        <f>--(COUNTIF('Tax Events'!$B$4:$B$9,A55)&gt;0)</f>
        <v>0</v>
      </c>
    </row>
    <row r="56" spans="1:35">
      <c r="A56" s="4">
        <f>'H237 Tracker'!A56</f>
        <v>43570</v>
      </c>
      <c r="B56" s="13">
        <f t="shared" si="15"/>
        <v>208507.04840000003</v>
      </c>
      <c r="C56" s="13">
        <f t="shared" si="16"/>
        <v>209232.82260000004</v>
      </c>
      <c r="D56" s="13">
        <f t="shared" si="0"/>
        <v>208507.04840000003</v>
      </c>
      <c r="E56" s="13">
        <f t="shared" si="1"/>
        <v>209232.82260000004</v>
      </c>
      <c r="F56" s="13">
        <f>IF(AH56=1,MAX(R55,0)*Parameters!$B$11,0)</f>
        <v>0</v>
      </c>
      <c r="G56" s="13">
        <f>IF(AI56=1,MAX(S55,0)*Parameters!$B$11,0)</f>
        <v>0</v>
      </c>
      <c r="H56" s="13">
        <f t="shared" si="2"/>
        <v>208507.04840000003</v>
      </c>
      <c r="I56" s="13">
        <f t="shared" si="3"/>
        <v>209232.82260000004</v>
      </c>
      <c r="J56" s="13">
        <f t="shared" si="4"/>
        <v>0</v>
      </c>
      <c r="K56" s="13">
        <f t="shared" si="5"/>
        <v>0</v>
      </c>
      <c r="L56" s="13">
        <f t="shared" si="6"/>
        <v>208507.04840000003</v>
      </c>
      <c r="M56" s="13">
        <f t="shared" si="7"/>
        <v>209232.82260000004</v>
      </c>
      <c r="N56" s="13">
        <f>MAX(0,INT(L56*Parameters!$B$14/Parameters!$B$13/Parameters!$B$12)*Parameters!$B$12)</f>
        <v>138920</v>
      </c>
      <c r="O56" s="13">
        <f>MAX(0,INT(M56*Parameters!$B$14/Parameters!$B$13/Parameters!$B$12)*Parameters!$B$12)</f>
        <v>139380</v>
      </c>
      <c r="P56" s="13">
        <f>N56*Parameters!$B$13*'H237 Tracker'!B56</f>
        <v>23644.184000000001</v>
      </c>
      <c r="Q56" s="13">
        <f>O56*Parameters!$B$13*'H237 Tracker'!C56</f>
        <v>23722.475999999999</v>
      </c>
      <c r="R56" s="13">
        <f t="shared" si="17"/>
        <v>124835.55899999995</v>
      </c>
      <c r="S56" s="13">
        <f t="shared" si="18"/>
        <v>240270.97199999995</v>
      </c>
      <c r="T56" s="13">
        <f t="shared" si="8"/>
        <v>232151.23240000004</v>
      </c>
      <c r="U56" s="13">
        <f t="shared" si="9"/>
        <v>232955.29860000004</v>
      </c>
      <c r="V56" s="12">
        <f t="shared" si="10"/>
        <v>0.49913561071882689</v>
      </c>
      <c r="W56" t="str">
        <f>'H237 Tracker'!I56</f>
        <v>A</v>
      </c>
      <c r="X56">
        <f>'H237 Tracker'!J56</f>
        <v>2</v>
      </c>
      <c r="Y56" t="str">
        <f>'H237 Tracker'!K56</f>
        <v>HOLD</v>
      </c>
      <c r="Z56" s="12">
        <f>'H237 Tracker'!O56</f>
        <v>0.49913561071882689</v>
      </c>
      <c r="AA56" s="13">
        <f>'H237 Tracker'!P56</f>
        <v>0</v>
      </c>
      <c r="AB56" s="13">
        <f>'H237 Tracker'!Q56</f>
        <v>0</v>
      </c>
      <c r="AC56" s="13">
        <f t="shared" si="11"/>
        <v>232151.23240000004</v>
      </c>
      <c r="AD56" s="13">
        <f t="shared" si="12"/>
        <v>232955.29860000004</v>
      </c>
      <c r="AE56" s="13">
        <f t="shared" si="13"/>
        <v>465106.53100000008</v>
      </c>
      <c r="AF56" s="13">
        <f t="shared" si="19"/>
        <v>465106.53100000008</v>
      </c>
      <c r="AG56" s="24">
        <f t="shared" si="14"/>
        <v>0</v>
      </c>
      <c r="AH56" s="8">
        <f>--(COUNTIF('Tax Events'!$A$4:$A$8,A56)&gt;0)</f>
        <v>0</v>
      </c>
      <c r="AI56" s="8">
        <f>--(COUNTIF('Tax Events'!$B$4:$B$9,A56)&gt;0)</f>
        <v>0</v>
      </c>
    </row>
    <row r="57" spans="1:35">
      <c r="A57" s="4">
        <f>'H237 Tracker'!A57</f>
        <v>43577</v>
      </c>
      <c r="B57" s="13">
        <f t="shared" si="15"/>
        <v>232151.23240000004</v>
      </c>
      <c r="C57" s="13">
        <f t="shared" si="16"/>
        <v>232955.29860000004</v>
      </c>
      <c r="D57" s="13">
        <f t="shared" si="0"/>
        <v>232151.23240000004</v>
      </c>
      <c r="E57" s="13">
        <f t="shared" si="1"/>
        <v>232955.29860000004</v>
      </c>
      <c r="F57" s="13">
        <f>IF(AH57=1,MAX(R56,0)*Parameters!$B$11,0)</f>
        <v>0</v>
      </c>
      <c r="G57" s="13">
        <f>IF(AI57=1,MAX(S56,0)*Parameters!$B$11,0)</f>
        <v>0</v>
      </c>
      <c r="H57" s="13">
        <f t="shared" si="2"/>
        <v>232151.23240000004</v>
      </c>
      <c r="I57" s="13">
        <f t="shared" si="3"/>
        <v>232955.29860000004</v>
      </c>
      <c r="J57" s="13">
        <f t="shared" si="4"/>
        <v>0</v>
      </c>
      <c r="K57" s="13">
        <f t="shared" si="5"/>
        <v>0</v>
      </c>
      <c r="L57" s="13">
        <f t="shared" si="6"/>
        <v>232151.23240000004</v>
      </c>
      <c r="M57" s="13">
        <f t="shared" si="7"/>
        <v>232955.29860000004</v>
      </c>
      <c r="N57" s="13">
        <f>MAX(0,INT(L57*Parameters!$B$14/Parameters!$B$13/Parameters!$B$12)*Parameters!$B$12)</f>
        <v>154675</v>
      </c>
      <c r="O57" s="13">
        <f>MAX(0,INT(M57*Parameters!$B$14/Parameters!$B$13/Parameters!$B$12)*Parameters!$B$12)</f>
        <v>155250</v>
      </c>
      <c r="P57" s="13">
        <f>N57*Parameters!$B$13*'H237 Tracker'!B57</f>
        <v>23665.274999999998</v>
      </c>
      <c r="Q57" s="13">
        <f>O57*Parameters!$B$13*'H237 Tracker'!C57</f>
        <v>23753.25</v>
      </c>
      <c r="R57" s="13">
        <f t="shared" si="17"/>
        <v>148500.83399999994</v>
      </c>
      <c r="S57" s="13">
        <f t="shared" si="18"/>
        <v>264024.22199999995</v>
      </c>
      <c r="T57" s="13">
        <f t="shared" si="8"/>
        <v>255816.50740000003</v>
      </c>
      <c r="U57" s="13">
        <f t="shared" si="9"/>
        <v>256708.54860000004</v>
      </c>
      <c r="V57" s="12">
        <f t="shared" si="10"/>
        <v>0.49912975844833618</v>
      </c>
      <c r="W57" t="str">
        <f>'H237 Tracker'!I57</f>
        <v>A</v>
      </c>
      <c r="X57">
        <f>'H237 Tracker'!J57</f>
        <v>3</v>
      </c>
      <c r="Y57" t="str">
        <f>'H237 Tracker'!K57</f>
        <v>A</v>
      </c>
      <c r="Z57" s="12">
        <f>'H237 Tracker'!O57</f>
        <v>0.59912975844833616</v>
      </c>
      <c r="AA57" s="13">
        <f>'H237 Tracker'!P57</f>
        <v>0</v>
      </c>
      <c r="AB57" s="13">
        <f>'H237 Tracker'!Q57</f>
        <v>51252.505600000004</v>
      </c>
      <c r="AC57" s="13">
        <f t="shared" si="11"/>
        <v>307069.01300000004</v>
      </c>
      <c r="AD57" s="13">
        <f t="shared" si="12"/>
        <v>205456.04300000003</v>
      </c>
      <c r="AE57" s="13">
        <f t="shared" si="13"/>
        <v>512525.0560000001</v>
      </c>
      <c r="AF57" s="13">
        <f t="shared" si="19"/>
        <v>512525.0560000001</v>
      </c>
      <c r="AG57" s="24">
        <f t="shared" si="14"/>
        <v>0</v>
      </c>
      <c r="AH57" s="8">
        <f>--(COUNTIF('Tax Events'!$A$4:$A$8,A57)&gt;0)</f>
        <v>0</v>
      </c>
      <c r="AI57" s="8">
        <f>--(COUNTIF('Tax Events'!$B$4:$B$9,A57)&gt;0)</f>
        <v>0</v>
      </c>
    </row>
    <row r="58" spans="1:35">
      <c r="A58" s="4">
        <f>'H237 Tracker'!A58</f>
        <v>43584</v>
      </c>
      <c r="B58" s="13">
        <f t="shared" si="15"/>
        <v>307069.01300000004</v>
      </c>
      <c r="C58" s="13">
        <f t="shared" si="16"/>
        <v>205456.04300000003</v>
      </c>
      <c r="D58" s="13">
        <f t="shared" si="0"/>
        <v>307069.01300000004</v>
      </c>
      <c r="E58" s="13">
        <f t="shared" si="1"/>
        <v>205456.04300000003</v>
      </c>
      <c r="F58" s="13">
        <f>IF(AH58=1,MAX(R57,0)*Parameters!$B$11,0)</f>
        <v>0</v>
      </c>
      <c r="G58" s="13">
        <f>IF(AI58=1,MAX(S57,0)*Parameters!$B$11,0)</f>
        <v>0</v>
      </c>
      <c r="H58" s="13">
        <f t="shared" si="2"/>
        <v>307069.01300000004</v>
      </c>
      <c r="I58" s="13">
        <f t="shared" si="3"/>
        <v>205456.04300000003</v>
      </c>
      <c r="J58" s="13">
        <f t="shared" si="4"/>
        <v>0</v>
      </c>
      <c r="K58" s="13">
        <f t="shared" si="5"/>
        <v>0</v>
      </c>
      <c r="L58" s="13">
        <f t="shared" si="6"/>
        <v>307069.01300000004</v>
      </c>
      <c r="M58" s="13">
        <f t="shared" si="7"/>
        <v>205456.04300000003</v>
      </c>
      <c r="N58" s="13">
        <f>MAX(0,INT(L58*Parameters!$B$14/Parameters!$B$13/Parameters!$B$12)*Parameters!$B$12)</f>
        <v>204700</v>
      </c>
      <c r="O58" s="13">
        <f>MAX(0,INT(M58*Parameters!$B$14/Parameters!$B$13/Parameters!$B$12)*Parameters!$B$12)</f>
        <v>136965</v>
      </c>
      <c r="P58" s="13">
        <f>N58*Parameters!$B$13*'H237 Tracker'!B58</f>
        <v>4749.04</v>
      </c>
      <c r="Q58" s="13">
        <f>O58*Parameters!$B$13*'H237 Tracker'!C58</f>
        <v>3177.5880000000002</v>
      </c>
      <c r="R58" s="13">
        <f t="shared" si="17"/>
        <v>153249.87399999995</v>
      </c>
      <c r="S58" s="13">
        <f t="shared" si="18"/>
        <v>267201.80999999994</v>
      </c>
      <c r="T58" s="13">
        <f t="shared" si="8"/>
        <v>311818.05300000001</v>
      </c>
      <c r="U58" s="13">
        <f t="shared" si="9"/>
        <v>208633.63100000002</v>
      </c>
      <c r="V58" s="12">
        <f t="shared" si="10"/>
        <v>0.59912968405343847</v>
      </c>
      <c r="W58" t="str">
        <f>'H237 Tracker'!I58</f>
        <v>A</v>
      </c>
      <c r="X58">
        <f>'H237 Tracker'!J58</f>
        <v>4</v>
      </c>
      <c r="Y58" t="str">
        <f>'H237 Tracker'!K58</f>
        <v>A</v>
      </c>
      <c r="Z58" s="12">
        <f>'H237 Tracker'!O58</f>
        <v>0.69912968405343845</v>
      </c>
      <c r="AA58" s="13">
        <f>'H237 Tracker'!P58</f>
        <v>0</v>
      </c>
      <c r="AB58" s="13">
        <f>'H237 Tracker'!Q58</f>
        <v>52045.168399999966</v>
      </c>
      <c r="AC58" s="13">
        <f t="shared" si="11"/>
        <v>363863.22139999998</v>
      </c>
      <c r="AD58" s="13">
        <f t="shared" si="12"/>
        <v>156588.46260000006</v>
      </c>
      <c r="AE58" s="13">
        <f t="shared" si="13"/>
        <v>520451.68400000001</v>
      </c>
      <c r="AF58" s="13">
        <f t="shared" si="19"/>
        <v>520451.68400000001</v>
      </c>
      <c r="AG58" s="24">
        <f t="shared" si="14"/>
        <v>0</v>
      </c>
      <c r="AH58" s="8">
        <f>--(COUNTIF('Tax Events'!$A$4:$A$8,A58)&gt;0)</f>
        <v>0</v>
      </c>
      <c r="AI58" s="8">
        <f>--(COUNTIF('Tax Events'!$B$4:$B$9,A58)&gt;0)</f>
        <v>0</v>
      </c>
    </row>
    <row r="59" spans="1:35">
      <c r="A59" s="4">
        <f>'H237 Tracker'!A59</f>
        <v>43591</v>
      </c>
      <c r="B59" s="13">
        <f t="shared" si="15"/>
        <v>363863.22139999998</v>
      </c>
      <c r="C59" s="13">
        <f t="shared" si="16"/>
        <v>156588.46260000006</v>
      </c>
      <c r="D59" s="13">
        <f t="shared" si="0"/>
        <v>363863.22139999998</v>
      </c>
      <c r="E59" s="13">
        <f t="shared" si="1"/>
        <v>156588.46260000006</v>
      </c>
      <c r="F59" s="13">
        <f>IF(AH59=1,MAX(R58,0)*Parameters!$B$11,0)</f>
        <v>0</v>
      </c>
      <c r="G59" s="13">
        <f>IF(AI59=1,MAX(S58,0)*Parameters!$B$11,0)</f>
        <v>0</v>
      </c>
      <c r="H59" s="13">
        <f t="shared" si="2"/>
        <v>363863.22139999998</v>
      </c>
      <c r="I59" s="13">
        <f t="shared" si="3"/>
        <v>156588.46260000006</v>
      </c>
      <c r="J59" s="13">
        <f t="shared" si="4"/>
        <v>0</v>
      </c>
      <c r="K59" s="13">
        <f t="shared" si="5"/>
        <v>0</v>
      </c>
      <c r="L59" s="13">
        <f t="shared" si="6"/>
        <v>363863.22139999998</v>
      </c>
      <c r="M59" s="13">
        <f t="shared" si="7"/>
        <v>156588.46260000006</v>
      </c>
      <c r="N59" s="13">
        <f>MAX(0,INT(L59*Parameters!$B$14/Parameters!$B$13/Parameters!$B$12)*Parameters!$B$12)</f>
        <v>242535</v>
      </c>
      <c r="O59" s="13">
        <f>MAX(0,INT(M59*Parameters!$B$14/Parameters!$B$13/Parameters!$B$12)*Parameters!$B$12)</f>
        <v>104305</v>
      </c>
      <c r="P59" s="13">
        <f>N59*Parameters!$B$13*'H237 Tracker'!B59</f>
        <v>77659.706999999995</v>
      </c>
      <c r="Q59" s="13">
        <f>O59*Parameters!$B$13*'H237 Tracker'!C59</f>
        <v>33398.461000000003</v>
      </c>
      <c r="R59" s="13">
        <f t="shared" si="17"/>
        <v>230909.58099999995</v>
      </c>
      <c r="S59" s="13">
        <f t="shared" si="18"/>
        <v>300600.27099999995</v>
      </c>
      <c r="T59" s="13">
        <f t="shared" si="8"/>
        <v>441522.92839999998</v>
      </c>
      <c r="U59" s="13">
        <f t="shared" si="9"/>
        <v>189986.92360000007</v>
      </c>
      <c r="V59" s="12">
        <f t="shared" si="10"/>
        <v>0.69915445816354405</v>
      </c>
      <c r="W59" t="str">
        <f>'H237 Tracker'!I59</f>
        <v>A</v>
      </c>
      <c r="X59">
        <f>'H237 Tracker'!J59</f>
        <v>5</v>
      </c>
      <c r="Y59" t="str">
        <f>'H237 Tracker'!K59</f>
        <v>A</v>
      </c>
      <c r="Z59" s="12">
        <f>'H237 Tracker'!O59</f>
        <v>0.79915445816354402</v>
      </c>
      <c r="AA59" s="13">
        <f>'H237 Tracker'!P59</f>
        <v>0</v>
      </c>
      <c r="AB59" s="13">
        <f>'H237 Tracker'!Q59</f>
        <v>63150.985199999937</v>
      </c>
      <c r="AC59" s="13">
        <f t="shared" si="11"/>
        <v>504673.91359999991</v>
      </c>
      <c r="AD59" s="13">
        <f t="shared" si="12"/>
        <v>126835.93840000013</v>
      </c>
      <c r="AE59" s="13">
        <f t="shared" si="13"/>
        <v>631509.85200000007</v>
      </c>
      <c r="AF59" s="13">
        <f t="shared" si="19"/>
        <v>631509.85200000007</v>
      </c>
      <c r="AG59" s="24">
        <f t="shared" si="14"/>
        <v>0</v>
      </c>
      <c r="AH59" s="8">
        <f>--(COUNTIF('Tax Events'!$A$4:$A$8,A59)&gt;0)</f>
        <v>0</v>
      </c>
      <c r="AI59" s="8">
        <f>--(COUNTIF('Tax Events'!$B$4:$B$9,A59)&gt;0)</f>
        <v>0</v>
      </c>
    </row>
    <row r="60" spans="1:35">
      <c r="A60" s="4">
        <f>'H237 Tracker'!A60</f>
        <v>43598</v>
      </c>
      <c r="B60" s="13">
        <f t="shared" si="15"/>
        <v>504673.91359999991</v>
      </c>
      <c r="C60" s="13">
        <f t="shared" si="16"/>
        <v>126835.93840000013</v>
      </c>
      <c r="D60" s="13">
        <f t="shared" si="0"/>
        <v>504673.91359999991</v>
      </c>
      <c r="E60" s="13">
        <f t="shared" si="1"/>
        <v>126835.93840000013</v>
      </c>
      <c r="F60" s="13">
        <f>IF(AH60=1,MAX(R59,0)*Parameters!$B$11,0)</f>
        <v>0</v>
      </c>
      <c r="G60" s="13">
        <f>IF(AI60=1,MAX(S59,0)*Parameters!$B$11,0)</f>
        <v>0</v>
      </c>
      <c r="H60" s="13">
        <f t="shared" si="2"/>
        <v>504673.91359999991</v>
      </c>
      <c r="I60" s="13">
        <f t="shared" si="3"/>
        <v>126835.93840000013</v>
      </c>
      <c r="J60" s="13">
        <f t="shared" si="4"/>
        <v>0</v>
      </c>
      <c r="K60" s="13">
        <f t="shared" si="5"/>
        <v>0</v>
      </c>
      <c r="L60" s="13">
        <f t="shared" si="6"/>
        <v>504673.91359999991</v>
      </c>
      <c r="M60" s="13">
        <f t="shared" si="7"/>
        <v>126835.93840000013</v>
      </c>
      <c r="N60" s="13">
        <f>MAX(0,INT(L60*Parameters!$B$14/Parameters!$B$13/Parameters!$B$12)*Parameters!$B$12)</f>
        <v>336375</v>
      </c>
      <c r="O60" s="13">
        <f>MAX(0,INT(M60*Parameters!$B$14/Parameters!$B$13/Parameters!$B$12)*Parameters!$B$12)</f>
        <v>84525</v>
      </c>
      <c r="P60" s="13">
        <f>N60*Parameters!$B$13*'H237 Tracker'!B60</f>
        <v>94521.375</v>
      </c>
      <c r="Q60" s="13">
        <f>O60*Parameters!$B$13*'H237 Tracker'!C60</f>
        <v>0</v>
      </c>
      <c r="R60" s="13">
        <f t="shared" si="17"/>
        <v>325430.95599999995</v>
      </c>
      <c r="S60" s="13">
        <f t="shared" si="18"/>
        <v>300600.27099999995</v>
      </c>
      <c r="T60" s="13">
        <f t="shared" si="8"/>
        <v>599195.28859999985</v>
      </c>
      <c r="U60" s="13">
        <f t="shared" si="9"/>
        <v>126835.93840000013</v>
      </c>
      <c r="V60" s="12">
        <f t="shared" si="10"/>
        <v>0.8253023648526896</v>
      </c>
      <c r="W60" t="str">
        <f>'H237 Tracker'!I60</f>
        <v>A</v>
      </c>
      <c r="X60">
        <f>'H237 Tracker'!J60</f>
        <v>6</v>
      </c>
      <c r="Y60" t="str">
        <f>'H237 Tracker'!K60</f>
        <v>A</v>
      </c>
      <c r="Z60" s="12">
        <f>'H237 Tracker'!O60</f>
        <v>0.92530236485268957</v>
      </c>
      <c r="AA60" s="13">
        <f>'H237 Tracker'!P60</f>
        <v>0</v>
      </c>
      <c r="AB60" s="13">
        <f>'H237 Tracker'!Q60</f>
        <v>72603.122699999949</v>
      </c>
      <c r="AC60" s="13">
        <f t="shared" si="11"/>
        <v>671798.4112999998</v>
      </c>
      <c r="AD60" s="13">
        <f t="shared" si="12"/>
        <v>54232.815700000181</v>
      </c>
      <c r="AE60" s="13">
        <f t="shared" si="13"/>
        <v>726031.22699999996</v>
      </c>
      <c r="AF60" s="13">
        <f t="shared" si="19"/>
        <v>726031.22699999996</v>
      </c>
      <c r="AG60" s="24">
        <f t="shared" si="14"/>
        <v>0</v>
      </c>
      <c r="AH60" s="8">
        <f>--(COUNTIF('Tax Events'!$A$4:$A$8,A60)&gt;0)</f>
        <v>0</v>
      </c>
      <c r="AI60" s="8">
        <f>--(COUNTIF('Tax Events'!$B$4:$B$9,A60)&gt;0)</f>
        <v>0</v>
      </c>
    </row>
    <row r="61" spans="1:35">
      <c r="A61" s="4">
        <f>'H237 Tracker'!A61</f>
        <v>43605</v>
      </c>
      <c r="B61" s="13">
        <f t="shared" si="15"/>
        <v>671798.4112999998</v>
      </c>
      <c r="C61" s="13">
        <f t="shared" si="16"/>
        <v>54232.815700000181</v>
      </c>
      <c r="D61" s="13">
        <f t="shared" si="0"/>
        <v>671798.4112999998</v>
      </c>
      <c r="E61" s="13">
        <f t="shared" si="1"/>
        <v>54232.815700000181</v>
      </c>
      <c r="F61" s="13">
        <f>IF(AH61=1,MAX(R60,0)*Parameters!$B$11,0)</f>
        <v>0</v>
      </c>
      <c r="G61" s="13">
        <f>IF(AI61=1,MAX(S60,0)*Parameters!$B$11,0)</f>
        <v>0</v>
      </c>
      <c r="H61" s="13">
        <f t="shared" si="2"/>
        <v>671798.4112999998</v>
      </c>
      <c r="I61" s="13">
        <f t="shared" si="3"/>
        <v>54232.815700000181</v>
      </c>
      <c r="J61" s="13">
        <f t="shared" si="4"/>
        <v>0</v>
      </c>
      <c r="K61" s="13">
        <f t="shared" si="5"/>
        <v>0</v>
      </c>
      <c r="L61" s="13">
        <f t="shared" si="6"/>
        <v>671798.4112999998</v>
      </c>
      <c r="M61" s="13">
        <f t="shared" si="7"/>
        <v>54232.815700000181</v>
      </c>
      <c r="N61" s="13">
        <f>MAX(0,INT(L61*Parameters!$B$14/Parameters!$B$13/Parameters!$B$12)*Parameters!$B$12)</f>
        <v>447810</v>
      </c>
      <c r="O61" s="13">
        <f>MAX(0,INT(M61*Parameters!$B$14/Parameters!$B$13/Parameters!$B$12)*Parameters!$B$12)</f>
        <v>36110</v>
      </c>
      <c r="P61" s="13">
        <f>N61*Parameters!$B$13*'H237 Tracker'!B61</f>
        <v>-36989.106</v>
      </c>
      <c r="Q61" s="13">
        <f>O61*Parameters!$B$13*'H237 Tracker'!C61</f>
        <v>-2982.6860000000001</v>
      </c>
      <c r="R61" s="13">
        <f t="shared" si="17"/>
        <v>288441.84999999998</v>
      </c>
      <c r="S61" s="13">
        <f t="shared" si="18"/>
        <v>297617.58499999996</v>
      </c>
      <c r="T61" s="13">
        <f t="shared" si="8"/>
        <v>634809.30529999977</v>
      </c>
      <c r="U61" s="13">
        <f t="shared" si="9"/>
        <v>51250.12970000018</v>
      </c>
      <c r="V61" s="12">
        <f t="shared" si="10"/>
        <v>0.92529782831424778</v>
      </c>
      <c r="W61" t="str">
        <f>'H237 Tracker'!I61</f>
        <v>A</v>
      </c>
      <c r="X61">
        <f>'H237 Tracker'!J61</f>
        <v>7</v>
      </c>
      <c r="Y61" t="str">
        <f>'H237 Tracker'!K61</f>
        <v>A</v>
      </c>
      <c r="Z61" s="12">
        <f>'H237 Tracker'!O61</f>
        <v>1</v>
      </c>
      <c r="AA61" s="13">
        <f>'H237 Tracker'!P61</f>
        <v>0</v>
      </c>
      <c r="AB61" s="13">
        <f>'H237 Tracker'!Q61</f>
        <v>51250.129700000165</v>
      </c>
      <c r="AC61" s="13">
        <f t="shared" si="11"/>
        <v>686059.43499999994</v>
      </c>
      <c r="AD61" s="13">
        <f t="shared" si="12"/>
        <v>0</v>
      </c>
      <c r="AE61" s="13">
        <f t="shared" si="13"/>
        <v>686059.43499999994</v>
      </c>
      <c r="AF61" s="13">
        <f t="shared" si="19"/>
        <v>726031.22699999996</v>
      </c>
      <c r="AG61" s="24">
        <f t="shared" si="14"/>
        <v>-5.5055196682332275E-2</v>
      </c>
      <c r="AH61" s="8">
        <f>--(COUNTIF('Tax Events'!$A$4:$A$8,A61)&gt;0)</f>
        <v>0</v>
      </c>
      <c r="AI61" s="8">
        <f>--(COUNTIF('Tax Events'!$B$4:$B$9,A61)&gt;0)</f>
        <v>0</v>
      </c>
    </row>
    <row r="62" spans="1:35">
      <c r="A62" s="4">
        <f>'H237 Tracker'!A62</f>
        <v>43612</v>
      </c>
      <c r="B62" s="13">
        <f t="shared" si="15"/>
        <v>686059.43499999994</v>
      </c>
      <c r="C62" s="13">
        <f t="shared" si="16"/>
        <v>0</v>
      </c>
      <c r="D62" s="13">
        <f t="shared" si="0"/>
        <v>686059.43499999994</v>
      </c>
      <c r="E62" s="13">
        <f t="shared" si="1"/>
        <v>0</v>
      </c>
      <c r="F62" s="13">
        <f>IF(AH62=1,MAX(R61,0)*Parameters!$B$11,0)</f>
        <v>0</v>
      </c>
      <c r="G62" s="13">
        <f>IF(AI62=1,MAX(S61,0)*Parameters!$B$11,0)</f>
        <v>0</v>
      </c>
      <c r="H62" s="13">
        <f t="shared" si="2"/>
        <v>686059.43499999994</v>
      </c>
      <c r="I62" s="13">
        <f t="shared" si="3"/>
        <v>0</v>
      </c>
      <c r="J62" s="13">
        <f t="shared" si="4"/>
        <v>0</v>
      </c>
      <c r="K62" s="13">
        <f t="shared" si="5"/>
        <v>0</v>
      </c>
      <c r="L62" s="13">
        <f t="shared" si="6"/>
        <v>686059.43499999994</v>
      </c>
      <c r="M62" s="13">
        <f t="shared" si="7"/>
        <v>0</v>
      </c>
      <c r="N62" s="13">
        <f>MAX(0,INT(L62*Parameters!$B$14/Parameters!$B$13/Parameters!$B$12)*Parameters!$B$12)</f>
        <v>457355</v>
      </c>
      <c r="O62" s="13">
        <f>MAX(0,INT(M62*Parameters!$B$14/Parameters!$B$13/Parameters!$B$12)*Parameters!$B$12)</f>
        <v>0</v>
      </c>
      <c r="P62" s="13">
        <f>N62*Parameters!$B$13*'H237 Tracker'!B62</f>
        <v>-144890.06400000001</v>
      </c>
      <c r="Q62" s="13">
        <f>O62*Parameters!$B$13*'H237 Tracker'!C62</f>
        <v>0</v>
      </c>
      <c r="R62" s="13">
        <f t="shared" si="17"/>
        <v>143551.78599999996</v>
      </c>
      <c r="S62" s="13">
        <f t="shared" si="18"/>
        <v>297617.58499999996</v>
      </c>
      <c r="T62" s="13">
        <f t="shared" si="8"/>
        <v>541169.37099999993</v>
      </c>
      <c r="U62" s="13">
        <f t="shared" si="9"/>
        <v>0</v>
      </c>
      <c r="V62" s="12">
        <f t="shared" si="10"/>
        <v>1</v>
      </c>
      <c r="W62" t="str">
        <f>'H237 Tracker'!I62</f>
        <v>A</v>
      </c>
      <c r="X62">
        <f>'H237 Tracker'!J62</f>
        <v>8</v>
      </c>
      <c r="Y62" t="str">
        <f>'H237 Tracker'!K62</f>
        <v>A</v>
      </c>
      <c r="Z62" s="12">
        <f>'H237 Tracker'!O62</f>
        <v>1</v>
      </c>
      <c r="AA62" s="13">
        <f>'H237 Tracker'!P62</f>
        <v>0</v>
      </c>
      <c r="AB62" s="13">
        <f>'H237 Tracker'!Q62</f>
        <v>0</v>
      </c>
      <c r="AC62" s="13">
        <f t="shared" si="11"/>
        <v>541169.37099999993</v>
      </c>
      <c r="AD62" s="13">
        <f t="shared" si="12"/>
        <v>0</v>
      </c>
      <c r="AE62" s="13">
        <f t="shared" si="13"/>
        <v>541169.37099999993</v>
      </c>
      <c r="AF62" s="13">
        <f t="shared" si="19"/>
        <v>726031.22699999996</v>
      </c>
      <c r="AG62" s="24">
        <f t="shared" si="14"/>
        <v>-0.25461970384367505</v>
      </c>
      <c r="AH62" s="8">
        <f>--(COUNTIF('Tax Events'!$A$4:$A$8,A62)&gt;0)</f>
        <v>0</v>
      </c>
      <c r="AI62" s="8">
        <f>--(COUNTIF('Tax Events'!$B$4:$B$9,A62)&gt;0)</f>
        <v>0</v>
      </c>
    </row>
    <row r="63" spans="1:35">
      <c r="A63" s="4">
        <f>'H237 Tracker'!A63</f>
        <v>43619</v>
      </c>
      <c r="B63" s="13">
        <f t="shared" si="15"/>
        <v>541169.37099999993</v>
      </c>
      <c r="C63" s="13">
        <f t="shared" si="16"/>
        <v>0</v>
      </c>
      <c r="D63" s="13">
        <f t="shared" si="0"/>
        <v>541169.37099999993</v>
      </c>
      <c r="E63" s="13">
        <f t="shared" si="1"/>
        <v>0</v>
      </c>
      <c r="F63" s="13">
        <f>IF(AH63=1,MAX(R62,0)*Parameters!$B$11,0)</f>
        <v>0</v>
      </c>
      <c r="G63" s="13">
        <f>IF(AI63=1,MAX(S62,0)*Parameters!$B$11,0)</f>
        <v>0</v>
      </c>
      <c r="H63" s="13">
        <f t="shared" si="2"/>
        <v>541169.37099999993</v>
      </c>
      <c r="I63" s="13">
        <f t="shared" si="3"/>
        <v>0</v>
      </c>
      <c r="J63" s="13">
        <f t="shared" si="4"/>
        <v>0</v>
      </c>
      <c r="K63" s="13">
        <f t="shared" si="5"/>
        <v>0</v>
      </c>
      <c r="L63" s="13">
        <f t="shared" si="6"/>
        <v>541169.37099999993</v>
      </c>
      <c r="M63" s="13">
        <f t="shared" si="7"/>
        <v>0</v>
      </c>
      <c r="N63" s="13">
        <f>MAX(0,INT(L63*Parameters!$B$14/Parameters!$B$13/Parameters!$B$12)*Parameters!$B$12)</f>
        <v>360755</v>
      </c>
      <c r="O63" s="13">
        <f>MAX(0,INT(M63*Parameters!$B$14/Parameters!$B$13/Parameters!$B$12)*Parameters!$B$12)</f>
        <v>0</v>
      </c>
      <c r="P63" s="13">
        <f>N63*Parameters!$B$13*'H237 Tracker'!B63</f>
        <v>304549.37099999998</v>
      </c>
      <c r="Q63" s="13">
        <f>O63*Parameters!$B$13*'H237 Tracker'!C63</f>
        <v>0</v>
      </c>
      <c r="R63" s="13">
        <f t="shared" si="17"/>
        <v>448101.15699999995</v>
      </c>
      <c r="S63" s="13">
        <f t="shared" si="18"/>
        <v>297617.58499999996</v>
      </c>
      <c r="T63" s="13">
        <f t="shared" si="8"/>
        <v>845718.74199999985</v>
      </c>
      <c r="U63" s="13">
        <f t="shared" si="9"/>
        <v>0</v>
      </c>
      <c r="V63" s="12">
        <f t="shared" si="10"/>
        <v>1</v>
      </c>
      <c r="W63" t="str">
        <f>'H237 Tracker'!I63</f>
        <v>B</v>
      </c>
      <c r="X63">
        <f>'H237 Tracker'!J63</f>
        <v>1</v>
      </c>
      <c r="Y63" t="str">
        <f>'H237 Tracker'!K63</f>
        <v>HOLD</v>
      </c>
      <c r="Z63" s="12">
        <f>'H237 Tracker'!O63</f>
        <v>1</v>
      </c>
      <c r="AA63" s="13">
        <f>'H237 Tracker'!P63</f>
        <v>0</v>
      </c>
      <c r="AB63" s="13">
        <f>'H237 Tracker'!Q63</f>
        <v>0</v>
      </c>
      <c r="AC63" s="13">
        <f t="shared" si="11"/>
        <v>845718.74199999985</v>
      </c>
      <c r="AD63" s="13">
        <f t="shared" si="12"/>
        <v>0</v>
      </c>
      <c r="AE63" s="13">
        <f t="shared" si="13"/>
        <v>845718.74199999985</v>
      </c>
      <c r="AF63" s="13">
        <f t="shared" si="19"/>
        <v>845718.74199999985</v>
      </c>
      <c r="AG63" s="24">
        <f t="shared" si="14"/>
        <v>0</v>
      </c>
      <c r="AH63" s="8">
        <f>--(COUNTIF('Tax Events'!$A$4:$A$8,A63)&gt;0)</f>
        <v>0</v>
      </c>
      <c r="AI63" s="8">
        <f>--(COUNTIF('Tax Events'!$B$4:$B$9,A63)&gt;0)</f>
        <v>0</v>
      </c>
    </row>
    <row r="64" spans="1:35">
      <c r="A64" s="4">
        <f>'H237 Tracker'!A64</f>
        <v>43626</v>
      </c>
      <c r="B64" s="13">
        <f t="shared" si="15"/>
        <v>845718.74199999985</v>
      </c>
      <c r="C64" s="13">
        <f t="shared" si="16"/>
        <v>0</v>
      </c>
      <c r="D64" s="13">
        <f t="shared" si="0"/>
        <v>845718.74199999985</v>
      </c>
      <c r="E64" s="13">
        <f t="shared" si="1"/>
        <v>0</v>
      </c>
      <c r="F64" s="13">
        <f>IF(AH64=1,MAX(R63,0)*Parameters!$B$11,0)</f>
        <v>0</v>
      </c>
      <c r="G64" s="13">
        <f>IF(AI64=1,MAX(S63,0)*Parameters!$B$11,0)</f>
        <v>0</v>
      </c>
      <c r="H64" s="13">
        <f t="shared" si="2"/>
        <v>845718.74199999985</v>
      </c>
      <c r="I64" s="13">
        <f t="shared" si="3"/>
        <v>0</v>
      </c>
      <c r="J64" s="13">
        <f t="shared" si="4"/>
        <v>0</v>
      </c>
      <c r="K64" s="13">
        <f t="shared" si="5"/>
        <v>0</v>
      </c>
      <c r="L64" s="13">
        <f t="shared" si="6"/>
        <v>845718.74199999985</v>
      </c>
      <c r="M64" s="13">
        <f t="shared" si="7"/>
        <v>0</v>
      </c>
      <c r="N64" s="13">
        <f>MAX(0,INT(L64*Parameters!$B$14/Parameters!$B$13/Parameters!$B$12)*Parameters!$B$12)</f>
        <v>563730</v>
      </c>
      <c r="O64" s="13">
        <f>MAX(0,INT(M64*Parameters!$B$14/Parameters!$B$13/Parameters!$B$12)*Parameters!$B$12)</f>
        <v>0</v>
      </c>
      <c r="P64" s="13">
        <f>N64*Parameters!$B$13*'H237 Tracker'!B64</f>
        <v>-54456.317999999999</v>
      </c>
      <c r="Q64" s="13">
        <f>O64*Parameters!$B$13*'H237 Tracker'!C64</f>
        <v>0</v>
      </c>
      <c r="R64" s="13">
        <f t="shared" si="17"/>
        <v>393644.83899999992</v>
      </c>
      <c r="S64" s="13">
        <f t="shared" si="18"/>
        <v>297617.58499999996</v>
      </c>
      <c r="T64" s="13">
        <f t="shared" si="8"/>
        <v>791262.42399999988</v>
      </c>
      <c r="U64" s="13">
        <f t="shared" si="9"/>
        <v>0</v>
      </c>
      <c r="V64" s="12">
        <f t="shared" si="10"/>
        <v>1</v>
      </c>
      <c r="W64" t="str">
        <f>'H237 Tracker'!I64</f>
        <v>A</v>
      </c>
      <c r="X64">
        <f>'H237 Tracker'!J64</f>
        <v>1</v>
      </c>
      <c r="Y64" t="str">
        <f>'H237 Tracker'!K64</f>
        <v>HOLD</v>
      </c>
      <c r="Z64" s="12">
        <f>'H237 Tracker'!O64</f>
        <v>1</v>
      </c>
      <c r="AA64" s="13">
        <f>'H237 Tracker'!P64</f>
        <v>0</v>
      </c>
      <c r="AB64" s="13">
        <f>'H237 Tracker'!Q64</f>
        <v>0</v>
      </c>
      <c r="AC64" s="13">
        <f t="shared" si="11"/>
        <v>791262.42399999988</v>
      </c>
      <c r="AD64" s="13">
        <f t="shared" si="12"/>
        <v>0</v>
      </c>
      <c r="AE64" s="13">
        <f t="shared" si="13"/>
        <v>791262.42399999988</v>
      </c>
      <c r="AF64" s="13">
        <f t="shared" si="19"/>
        <v>845718.74199999985</v>
      </c>
      <c r="AG64" s="24">
        <f t="shared" si="14"/>
        <v>-6.439057726356967E-2</v>
      </c>
      <c r="AH64" s="8">
        <f>--(COUNTIF('Tax Events'!$A$4:$A$8,A64)&gt;0)</f>
        <v>0</v>
      </c>
      <c r="AI64" s="8">
        <f>--(COUNTIF('Tax Events'!$B$4:$B$9,A64)&gt;0)</f>
        <v>0</v>
      </c>
    </row>
    <row r="65" spans="1:35">
      <c r="A65" s="4">
        <f>'H237 Tracker'!A65</f>
        <v>43633</v>
      </c>
      <c r="B65" s="13">
        <f t="shared" si="15"/>
        <v>791262.42399999988</v>
      </c>
      <c r="C65" s="13">
        <f t="shared" si="16"/>
        <v>0</v>
      </c>
      <c r="D65" s="13">
        <f t="shared" si="0"/>
        <v>791262.42399999988</v>
      </c>
      <c r="E65" s="13">
        <f t="shared" si="1"/>
        <v>0</v>
      </c>
      <c r="F65" s="13">
        <f>IF(AH65=1,MAX(R64,0)*Parameters!$B$11,0)</f>
        <v>0</v>
      </c>
      <c r="G65" s="13">
        <f>IF(AI65=1,MAX(S64,0)*Parameters!$B$11,0)</f>
        <v>0</v>
      </c>
      <c r="H65" s="13">
        <f t="shared" si="2"/>
        <v>791262.42399999988</v>
      </c>
      <c r="I65" s="13">
        <f t="shared" si="3"/>
        <v>0</v>
      </c>
      <c r="J65" s="13">
        <f t="shared" si="4"/>
        <v>0</v>
      </c>
      <c r="K65" s="13">
        <f t="shared" si="5"/>
        <v>0</v>
      </c>
      <c r="L65" s="13">
        <f t="shared" si="6"/>
        <v>791262.42399999988</v>
      </c>
      <c r="M65" s="13">
        <f t="shared" si="7"/>
        <v>0</v>
      </c>
      <c r="N65" s="13">
        <f>MAX(0,INT(L65*Parameters!$B$14/Parameters!$B$13/Parameters!$B$12)*Parameters!$B$12)</f>
        <v>527505</v>
      </c>
      <c r="O65" s="13">
        <f>MAX(0,INT(M65*Parameters!$B$14/Parameters!$B$13/Parameters!$B$12)*Parameters!$B$12)</f>
        <v>0</v>
      </c>
      <c r="P65" s="13">
        <f>N65*Parameters!$B$13*'H237 Tracker'!B65</f>
        <v>339080.21400000004</v>
      </c>
      <c r="Q65" s="13">
        <f>O65*Parameters!$B$13*'H237 Tracker'!C65</f>
        <v>0</v>
      </c>
      <c r="R65" s="13">
        <f t="shared" si="17"/>
        <v>732725.05299999996</v>
      </c>
      <c r="S65" s="13">
        <f t="shared" si="18"/>
        <v>297617.58499999996</v>
      </c>
      <c r="T65" s="13">
        <f t="shared" si="8"/>
        <v>1130342.6379999998</v>
      </c>
      <c r="U65" s="13">
        <f t="shared" si="9"/>
        <v>0</v>
      </c>
      <c r="V65" s="12">
        <f t="shared" si="10"/>
        <v>1</v>
      </c>
      <c r="W65" t="str">
        <f>'H237 Tracker'!I65</f>
        <v>A</v>
      </c>
      <c r="X65">
        <f>'H237 Tracker'!J65</f>
        <v>2</v>
      </c>
      <c r="Y65" t="str">
        <f>'H237 Tracker'!K65</f>
        <v>HOLD</v>
      </c>
      <c r="Z65" s="12">
        <f>'H237 Tracker'!O65</f>
        <v>1</v>
      </c>
      <c r="AA65" s="13">
        <f>'H237 Tracker'!P65</f>
        <v>0</v>
      </c>
      <c r="AB65" s="13">
        <f>'H237 Tracker'!Q65</f>
        <v>0</v>
      </c>
      <c r="AC65" s="13">
        <f t="shared" si="11"/>
        <v>1130342.6379999998</v>
      </c>
      <c r="AD65" s="13">
        <f t="shared" si="12"/>
        <v>0</v>
      </c>
      <c r="AE65" s="13">
        <f t="shared" si="13"/>
        <v>1130342.6379999998</v>
      </c>
      <c r="AF65" s="13">
        <f t="shared" si="19"/>
        <v>1130342.6379999998</v>
      </c>
      <c r="AG65" s="24">
        <f t="shared" si="14"/>
        <v>0</v>
      </c>
      <c r="AH65" s="8">
        <f>--(COUNTIF('Tax Events'!$A$4:$A$8,A65)&gt;0)</f>
        <v>0</v>
      </c>
      <c r="AI65" s="8">
        <f>--(COUNTIF('Tax Events'!$B$4:$B$9,A65)&gt;0)</f>
        <v>0</v>
      </c>
    </row>
    <row r="66" spans="1:35">
      <c r="A66" s="4">
        <f>'H237 Tracker'!A66</f>
        <v>43640</v>
      </c>
      <c r="B66" s="13">
        <f t="shared" si="15"/>
        <v>1130342.6379999998</v>
      </c>
      <c r="C66" s="13">
        <f t="shared" si="16"/>
        <v>0</v>
      </c>
      <c r="D66" s="13">
        <f t="shared" si="0"/>
        <v>1130342.6379999998</v>
      </c>
      <c r="E66" s="13">
        <f t="shared" si="1"/>
        <v>0</v>
      </c>
      <c r="F66" s="13">
        <f>IF(AH66=1,MAX(R65,0)*Parameters!$B$11,0)</f>
        <v>0</v>
      </c>
      <c r="G66" s="13">
        <f>IF(AI66=1,MAX(S65,0)*Parameters!$B$11,0)</f>
        <v>0</v>
      </c>
      <c r="H66" s="13">
        <f t="shared" si="2"/>
        <v>1130342.6379999998</v>
      </c>
      <c r="I66" s="13">
        <f t="shared" si="3"/>
        <v>0</v>
      </c>
      <c r="J66" s="13">
        <f t="shared" si="4"/>
        <v>0</v>
      </c>
      <c r="K66" s="13">
        <f t="shared" si="5"/>
        <v>0</v>
      </c>
      <c r="L66" s="13">
        <f t="shared" si="6"/>
        <v>1130342.6379999998</v>
      </c>
      <c r="M66" s="13">
        <f t="shared" si="7"/>
        <v>0</v>
      </c>
      <c r="N66" s="13">
        <f>MAX(0,INT(L66*Parameters!$B$14/Parameters!$B$13/Parameters!$B$12)*Parameters!$B$12)</f>
        <v>753480</v>
      </c>
      <c r="O66" s="13">
        <f>MAX(0,INT(M66*Parameters!$B$14/Parameters!$B$13/Parameters!$B$12)*Parameters!$B$12)</f>
        <v>0</v>
      </c>
      <c r="P66" s="13">
        <f>N66*Parameters!$B$13*'H237 Tracker'!B66</f>
        <v>-239908.03200000001</v>
      </c>
      <c r="Q66" s="13">
        <f>O66*Parameters!$B$13*'H237 Tracker'!C66</f>
        <v>0</v>
      </c>
      <c r="R66" s="13">
        <f t="shared" si="17"/>
        <v>492817.02099999995</v>
      </c>
      <c r="S66" s="13">
        <f t="shared" si="18"/>
        <v>297617.58499999996</v>
      </c>
      <c r="T66" s="13">
        <f t="shared" si="8"/>
        <v>890434.6059999998</v>
      </c>
      <c r="U66" s="13">
        <f t="shared" si="9"/>
        <v>0</v>
      </c>
      <c r="V66" s="12">
        <f t="shared" si="10"/>
        <v>1</v>
      </c>
      <c r="W66" t="str">
        <f>'H237 Tracker'!I66</f>
        <v>B</v>
      </c>
      <c r="X66">
        <f>'H237 Tracker'!J66</f>
        <v>1</v>
      </c>
      <c r="Y66" t="str">
        <f>'H237 Tracker'!K66</f>
        <v>HOLD</v>
      </c>
      <c r="Z66" s="12">
        <f>'H237 Tracker'!O66</f>
        <v>1</v>
      </c>
      <c r="AA66" s="13">
        <f>'H237 Tracker'!P66</f>
        <v>0</v>
      </c>
      <c r="AB66" s="13">
        <f>'H237 Tracker'!Q66</f>
        <v>0</v>
      </c>
      <c r="AC66" s="13">
        <f t="shared" si="11"/>
        <v>890434.6059999998</v>
      </c>
      <c r="AD66" s="13">
        <f t="shared" si="12"/>
        <v>0</v>
      </c>
      <c r="AE66" s="13">
        <f t="shared" si="13"/>
        <v>890434.6059999998</v>
      </c>
      <c r="AF66" s="13">
        <f t="shared" si="19"/>
        <v>1130342.6379999998</v>
      </c>
      <c r="AG66" s="24">
        <f t="shared" si="14"/>
        <v>-0.21224363651758493</v>
      </c>
      <c r="AH66" s="8">
        <f>--(COUNTIF('Tax Events'!$A$4:$A$8,A66)&gt;0)</f>
        <v>0</v>
      </c>
      <c r="AI66" s="8">
        <f>--(COUNTIF('Tax Events'!$B$4:$B$9,A66)&gt;0)</f>
        <v>0</v>
      </c>
    </row>
    <row r="67" spans="1:35">
      <c r="A67" s="4">
        <f>'H237 Tracker'!A67</f>
        <v>43647</v>
      </c>
      <c r="B67" s="13">
        <f t="shared" si="15"/>
        <v>890434.6059999998</v>
      </c>
      <c r="C67" s="13">
        <f t="shared" si="16"/>
        <v>0</v>
      </c>
      <c r="D67" s="13">
        <f t="shared" si="0"/>
        <v>890434.6059999998</v>
      </c>
      <c r="E67" s="13">
        <f t="shared" si="1"/>
        <v>0</v>
      </c>
      <c r="F67" s="13">
        <f>IF(AH67=1,MAX(R66,0)*Parameters!$B$11,0)</f>
        <v>0</v>
      </c>
      <c r="G67" s="13">
        <f>IF(AI67=1,MAX(S66,0)*Parameters!$B$11,0)</f>
        <v>0</v>
      </c>
      <c r="H67" s="13">
        <f t="shared" si="2"/>
        <v>890434.6059999998</v>
      </c>
      <c r="I67" s="13">
        <f t="shared" si="3"/>
        <v>0</v>
      </c>
      <c r="J67" s="13">
        <f t="shared" si="4"/>
        <v>0</v>
      </c>
      <c r="K67" s="13">
        <f t="shared" si="5"/>
        <v>0</v>
      </c>
      <c r="L67" s="13">
        <f t="shared" si="6"/>
        <v>890434.6059999998</v>
      </c>
      <c r="M67" s="13">
        <f t="shared" si="7"/>
        <v>0</v>
      </c>
      <c r="N67" s="13">
        <f>MAX(0,INT(L67*Parameters!$B$14/Parameters!$B$13/Parameters!$B$12)*Parameters!$B$12)</f>
        <v>593515</v>
      </c>
      <c r="O67" s="13">
        <f>MAX(0,INT(M67*Parameters!$B$14/Parameters!$B$13/Parameters!$B$12)*Parameters!$B$12)</f>
        <v>0</v>
      </c>
      <c r="P67" s="13">
        <f>N67*Parameters!$B$13*'H237 Tracker'!B67</f>
        <v>-47481.200000000004</v>
      </c>
      <c r="Q67" s="13">
        <f>O67*Parameters!$B$13*'H237 Tracker'!C67</f>
        <v>0</v>
      </c>
      <c r="R67" s="13">
        <f t="shared" si="17"/>
        <v>445335.82099999994</v>
      </c>
      <c r="S67" s="13">
        <f t="shared" si="18"/>
        <v>297617.58499999996</v>
      </c>
      <c r="T67" s="13">
        <f t="shared" si="8"/>
        <v>842953.40599999984</v>
      </c>
      <c r="U67" s="13">
        <f t="shared" si="9"/>
        <v>0</v>
      </c>
      <c r="V67" s="12">
        <f t="shared" si="10"/>
        <v>1</v>
      </c>
      <c r="W67" t="str">
        <f>'H237 Tracker'!I67</f>
        <v>B</v>
      </c>
      <c r="X67">
        <f>'H237 Tracker'!J67</f>
        <v>2</v>
      </c>
      <c r="Y67" t="str">
        <f>'H237 Tracker'!K67</f>
        <v>HOLD</v>
      </c>
      <c r="Z67" s="12">
        <f>'H237 Tracker'!O67</f>
        <v>1</v>
      </c>
      <c r="AA67" s="13">
        <f>'H237 Tracker'!P67</f>
        <v>0</v>
      </c>
      <c r="AB67" s="13">
        <f>'H237 Tracker'!Q67</f>
        <v>0</v>
      </c>
      <c r="AC67" s="13">
        <f t="shared" si="11"/>
        <v>842953.40599999984</v>
      </c>
      <c r="AD67" s="13">
        <f t="shared" si="12"/>
        <v>0</v>
      </c>
      <c r="AE67" s="13">
        <f t="shared" si="13"/>
        <v>842953.40599999984</v>
      </c>
      <c r="AF67" s="13">
        <f t="shared" si="19"/>
        <v>1130342.6379999998</v>
      </c>
      <c r="AG67" s="24">
        <f t="shared" si="14"/>
        <v>-0.25424966053523324</v>
      </c>
      <c r="AH67" s="8">
        <f>--(COUNTIF('Tax Events'!$A$4:$A$8,A67)&gt;0)</f>
        <v>0</v>
      </c>
      <c r="AI67" s="8">
        <f>--(COUNTIF('Tax Events'!$B$4:$B$9,A67)&gt;0)</f>
        <v>0</v>
      </c>
    </row>
    <row r="68" spans="1:35">
      <c r="A68" s="4">
        <f>'H237 Tracker'!A68</f>
        <v>43654</v>
      </c>
      <c r="B68" s="13">
        <f t="shared" si="15"/>
        <v>842953.40599999984</v>
      </c>
      <c r="C68" s="13">
        <f t="shared" si="16"/>
        <v>0</v>
      </c>
      <c r="D68" s="13">
        <f t="shared" ref="D68:D131" si="20">B68</f>
        <v>842953.40599999984</v>
      </c>
      <c r="E68" s="13">
        <f t="shared" ref="E68:E131" si="21">C68</f>
        <v>0</v>
      </c>
      <c r="F68" s="13">
        <f>IF(AH68=1,MAX(R67,0)*Parameters!$B$11,0)</f>
        <v>0</v>
      </c>
      <c r="G68" s="13">
        <f>IF(AI68=1,MAX(S67,0)*Parameters!$B$11,0)</f>
        <v>0</v>
      </c>
      <c r="H68" s="13">
        <f t="shared" ref="H68:H131" si="22">D68-F68</f>
        <v>842953.40599999984</v>
      </c>
      <c r="I68" s="13">
        <f t="shared" ref="I68:I131" si="23">E68-G68</f>
        <v>0</v>
      </c>
      <c r="J68" s="13">
        <f t="shared" ref="J68:J131" si="24">IF(H68&lt;0,MIN(-H68,MAX(I68,0)),0)</f>
        <v>0</v>
      </c>
      <c r="K68" s="13">
        <f t="shared" ref="K68:K131" si="25">IF(I68&lt;0,MIN(-I68,MAX(H68,0)),0)</f>
        <v>0</v>
      </c>
      <c r="L68" s="13">
        <f t="shared" ref="L68:L131" si="26">IF(H68&gt;=0,IF(I68&lt;0,MAX(H68+I68,0),H68),0)</f>
        <v>842953.40599999984</v>
      </c>
      <c r="M68" s="13">
        <f t="shared" ref="M68:M131" si="27">IF(I68&gt;=0,IF(H68&lt;0,MAX(H68+I68,0),I68),0)</f>
        <v>0</v>
      </c>
      <c r="N68" s="13">
        <f>MAX(0,INT(L68*Parameters!$B$14/Parameters!$B$13/Parameters!$B$12)*Parameters!$B$12)</f>
        <v>561890</v>
      </c>
      <c r="O68" s="13">
        <f>MAX(0,INT(M68*Parameters!$B$14/Parameters!$B$13/Parameters!$B$12)*Parameters!$B$12)</f>
        <v>0</v>
      </c>
      <c r="P68" s="13">
        <f>N68*Parameters!$B$13*'H237 Tracker'!B68</f>
        <v>219361.856</v>
      </c>
      <c r="Q68" s="13">
        <f>O68*Parameters!$B$13*'H237 Tracker'!C68</f>
        <v>0</v>
      </c>
      <c r="R68" s="13">
        <f t="shared" si="17"/>
        <v>664697.67699999991</v>
      </c>
      <c r="S68" s="13">
        <f t="shared" si="18"/>
        <v>297617.58499999996</v>
      </c>
      <c r="T68" s="13">
        <f t="shared" ref="T68:T131" si="28">L68+P68</f>
        <v>1062315.2619999999</v>
      </c>
      <c r="U68" s="13">
        <f t="shared" ref="U68:U131" si="29">M68+Q68</f>
        <v>0</v>
      </c>
      <c r="V68" s="12">
        <f t="shared" ref="V68:V131" si="30">IF(T68+U68=0,0.5,T68/(T68+U68))</f>
        <v>1</v>
      </c>
      <c r="W68" t="str">
        <f>'H237 Tracker'!I68</f>
        <v>B</v>
      </c>
      <c r="X68">
        <f>'H237 Tracker'!J68</f>
        <v>3</v>
      </c>
      <c r="Y68" t="str">
        <f>'H237 Tracker'!K68</f>
        <v>B</v>
      </c>
      <c r="Z68" s="12">
        <f>'H237 Tracker'!O68</f>
        <v>0.9</v>
      </c>
      <c r="AA68" s="13">
        <f>'H237 Tracker'!P68</f>
        <v>106231.52619999996</v>
      </c>
      <c r="AB68" s="13">
        <f>'H237 Tracker'!Q68</f>
        <v>0</v>
      </c>
      <c r="AC68" s="13">
        <f t="shared" ref="AC68:AC131" si="31">T68-AA68+AB68</f>
        <v>956083.73579999991</v>
      </c>
      <c r="AD68" s="13">
        <f t="shared" ref="AD68:AD131" si="32">U68+AA68-AB68</f>
        <v>106231.52619999996</v>
      </c>
      <c r="AE68" s="13">
        <f t="shared" ref="AE68:AE131" si="33">AC68+AD68</f>
        <v>1062315.2619999999</v>
      </c>
      <c r="AF68" s="13">
        <f t="shared" si="19"/>
        <v>1130342.6379999998</v>
      </c>
      <c r="AG68" s="24">
        <f t="shared" ref="AG68:AG131" si="34">IF(AF68=0,0,AE68/AF68-1)</f>
        <v>-6.0182969051194801E-2</v>
      </c>
      <c r="AH68" s="8">
        <f>--(COUNTIF('Tax Events'!$A$4:$A$8,A68)&gt;0)</f>
        <v>0</v>
      </c>
      <c r="AI68" s="8">
        <f>--(COUNTIF('Tax Events'!$B$4:$B$9,A68)&gt;0)</f>
        <v>0</v>
      </c>
    </row>
    <row r="69" spans="1:35">
      <c r="A69" s="4">
        <f>'H237 Tracker'!A69</f>
        <v>43661</v>
      </c>
      <c r="B69" s="13">
        <f t="shared" ref="B69:B132" si="35">AC68</f>
        <v>956083.73579999991</v>
      </c>
      <c r="C69" s="13">
        <f t="shared" ref="C69:C132" si="36">AD68</f>
        <v>106231.52619999996</v>
      </c>
      <c r="D69" s="13">
        <f t="shared" si="20"/>
        <v>956083.73579999991</v>
      </c>
      <c r="E69" s="13">
        <f t="shared" si="21"/>
        <v>106231.52619999996</v>
      </c>
      <c r="F69" s="13">
        <f>IF(AH69=1,MAX(R68,0)*Parameters!$B$11,0)</f>
        <v>0</v>
      </c>
      <c r="G69" s="13">
        <f>IF(AI69=1,MAX(S68,0)*Parameters!$B$11,0)</f>
        <v>0</v>
      </c>
      <c r="H69" s="13">
        <f t="shared" si="22"/>
        <v>956083.73579999991</v>
      </c>
      <c r="I69" s="13">
        <f t="shared" si="23"/>
        <v>106231.52619999996</v>
      </c>
      <c r="J69" s="13">
        <f t="shared" si="24"/>
        <v>0</v>
      </c>
      <c r="K69" s="13">
        <f t="shared" si="25"/>
        <v>0</v>
      </c>
      <c r="L69" s="13">
        <f t="shared" si="26"/>
        <v>956083.73579999991</v>
      </c>
      <c r="M69" s="13">
        <f t="shared" si="27"/>
        <v>106231.52619999996</v>
      </c>
      <c r="N69" s="13">
        <f>MAX(0,INT(L69*Parameters!$B$14/Parameters!$B$13/Parameters!$B$12)*Parameters!$B$12)</f>
        <v>637330</v>
      </c>
      <c r="O69" s="13">
        <f>MAX(0,INT(M69*Parameters!$B$14/Parameters!$B$13/Parameters!$B$12)*Parameters!$B$12)</f>
        <v>70725</v>
      </c>
      <c r="P69" s="13">
        <f>N69*Parameters!$B$13*'H237 Tracker'!B69</f>
        <v>-49329.342000000004</v>
      </c>
      <c r="Q69" s="13">
        <f>O69*Parameters!$B$13*'H237 Tracker'!C69</f>
        <v>-5474.1150000000007</v>
      </c>
      <c r="R69" s="13">
        <f t="shared" ref="R69:R132" si="37">IF(AH69=1,P69,R68+P69)</f>
        <v>615368.33499999996</v>
      </c>
      <c r="S69" s="13">
        <f t="shared" ref="S69:S132" si="38">IF(AI69=1,Q69,S68+Q69)</f>
        <v>292143.46999999997</v>
      </c>
      <c r="T69" s="13">
        <f t="shared" si="28"/>
        <v>906754.39379999996</v>
      </c>
      <c r="U69" s="13">
        <f t="shared" si="29"/>
        <v>100757.41119999996</v>
      </c>
      <c r="V69" s="12">
        <f t="shared" si="30"/>
        <v>0.89999381575484372</v>
      </c>
      <c r="W69" t="str">
        <f>'H237 Tracker'!I69</f>
        <v>B</v>
      </c>
      <c r="X69">
        <f>'H237 Tracker'!J69</f>
        <v>4</v>
      </c>
      <c r="Y69" t="str">
        <f>'H237 Tracker'!K69</f>
        <v>B</v>
      </c>
      <c r="Z69" s="12">
        <f>'H237 Tracker'!O69</f>
        <v>0.79999381575484374</v>
      </c>
      <c r="AA69" s="13">
        <f>'H237 Tracker'!P69</f>
        <v>100751.18050000002</v>
      </c>
      <c r="AB69" s="13">
        <f>'H237 Tracker'!Q69</f>
        <v>0</v>
      </c>
      <c r="AC69" s="13">
        <f t="shared" si="31"/>
        <v>806003.21329999994</v>
      </c>
      <c r="AD69" s="13">
        <f t="shared" si="32"/>
        <v>201508.59169999999</v>
      </c>
      <c r="AE69" s="13">
        <f t="shared" si="33"/>
        <v>1007511.8049999999</v>
      </c>
      <c r="AF69" s="13">
        <f t="shared" ref="AF69:AF132" si="39">MAX(AF68,AE69)</f>
        <v>1130342.6379999998</v>
      </c>
      <c r="AG69" s="24">
        <f t="shared" si="34"/>
        <v>-0.10866690229197551</v>
      </c>
      <c r="AH69" s="8">
        <f>--(COUNTIF('Tax Events'!$A$4:$A$8,A69)&gt;0)</f>
        <v>0</v>
      </c>
      <c r="AI69" s="8">
        <f>--(COUNTIF('Tax Events'!$B$4:$B$9,A69)&gt;0)</f>
        <v>0</v>
      </c>
    </row>
    <row r="70" spans="1:35">
      <c r="A70" s="4">
        <f>'H237 Tracker'!A70</f>
        <v>43668</v>
      </c>
      <c r="B70" s="13">
        <f t="shared" si="35"/>
        <v>806003.21329999994</v>
      </c>
      <c r="C70" s="13">
        <f t="shared" si="36"/>
        <v>201508.59169999999</v>
      </c>
      <c r="D70" s="13">
        <f t="shared" si="20"/>
        <v>806003.21329999994</v>
      </c>
      <c r="E70" s="13">
        <f t="shared" si="21"/>
        <v>201508.59169999999</v>
      </c>
      <c r="F70" s="13">
        <f>IF(AH70=1,MAX(R69,0)*Parameters!$B$11,0)</f>
        <v>0</v>
      </c>
      <c r="G70" s="13">
        <f>IF(AI70=1,MAX(S69,0)*Parameters!$B$11,0)</f>
        <v>0</v>
      </c>
      <c r="H70" s="13">
        <f t="shared" si="22"/>
        <v>806003.21329999994</v>
      </c>
      <c r="I70" s="13">
        <f t="shared" si="23"/>
        <v>201508.59169999999</v>
      </c>
      <c r="J70" s="13">
        <f t="shared" si="24"/>
        <v>0</v>
      </c>
      <c r="K70" s="13">
        <f t="shared" si="25"/>
        <v>0</v>
      </c>
      <c r="L70" s="13">
        <f t="shared" si="26"/>
        <v>806003.21329999994</v>
      </c>
      <c r="M70" s="13">
        <f t="shared" si="27"/>
        <v>201508.59169999999</v>
      </c>
      <c r="N70" s="13">
        <f>MAX(0,INT(L70*Parameters!$B$14/Parameters!$B$13/Parameters!$B$12)*Parameters!$B$12)</f>
        <v>537280</v>
      </c>
      <c r="O70" s="13">
        <f>MAX(0,INT(M70*Parameters!$B$14/Parameters!$B$13/Parameters!$B$12)*Parameters!$B$12)</f>
        <v>134320</v>
      </c>
      <c r="P70" s="13">
        <f>N70*Parameters!$B$13*'H237 Tracker'!B70</f>
        <v>209539.20000000001</v>
      </c>
      <c r="Q70" s="13">
        <f>O70*Parameters!$B$13*'H237 Tracker'!C70</f>
        <v>52384.800000000003</v>
      </c>
      <c r="R70" s="13">
        <f t="shared" si="37"/>
        <v>824907.53499999992</v>
      </c>
      <c r="S70" s="13">
        <f t="shared" si="38"/>
        <v>344528.26999999996</v>
      </c>
      <c r="T70" s="13">
        <f t="shared" si="28"/>
        <v>1015542.4132999999</v>
      </c>
      <c r="U70" s="13">
        <f t="shared" si="29"/>
        <v>253893.39169999998</v>
      </c>
      <c r="V70" s="12">
        <f t="shared" si="30"/>
        <v>0.79999509175653039</v>
      </c>
      <c r="W70" t="str">
        <f>'H237 Tracker'!I70</f>
        <v>B</v>
      </c>
      <c r="X70">
        <f>'H237 Tracker'!J70</f>
        <v>5</v>
      </c>
      <c r="Y70" t="str">
        <f>'H237 Tracker'!K70</f>
        <v>B</v>
      </c>
      <c r="Z70" s="12">
        <f>'H237 Tracker'!O70</f>
        <v>0.69999509175653041</v>
      </c>
      <c r="AA70" s="13">
        <f>'H237 Tracker'!P70</f>
        <v>126943.58049999992</v>
      </c>
      <c r="AB70" s="13">
        <f>'H237 Tracker'!Q70</f>
        <v>0</v>
      </c>
      <c r="AC70" s="13">
        <f t="shared" si="31"/>
        <v>888598.83279999997</v>
      </c>
      <c r="AD70" s="13">
        <f t="shared" si="32"/>
        <v>380836.9721999999</v>
      </c>
      <c r="AE70" s="13">
        <f t="shared" si="33"/>
        <v>1269435.8049999999</v>
      </c>
      <c r="AF70" s="13">
        <f t="shared" si="39"/>
        <v>1269435.8049999999</v>
      </c>
      <c r="AG70" s="24">
        <f t="shared" si="34"/>
        <v>0</v>
      </c>
      <c r="AH70" s="8">
        <f>--(COUNTIF('Tax Events'!$A$4:$A$8,A70)&gt;0)</f>
        <v>0</v>
      </c>
      <c r="AI70" s="8">
        <f>--(COUNTIF('Tax Events'!$B$4:$B$9,A70)&gt;0)</f>
        <v>0</v>
      </c>
    </row>
    <row r="71" spans="1:35">
      <c r="A71" s="4">
        <f>'H237 Tracker'!A71</f>
        <v>43675</v>
      </c>
      <c r="B71" s="13">
        <f t="shared" si="35"/>
        <v>888598.83279999997</v>
      </c>
      <c r="C71" s="13">
        <f t="shared" si="36"/>
        <v>380836.9721999999</v>
      </c>
      <c r="D71" s="13">
        <f t="shared" si="20"/>
        <v>888598.83279999997</v>
      </c>
      <c r="E71" s="13">
        <f t="shared" si="21"/>
        <v>380836.9721999999</v>
      </c>
      <c r="F71" s="13">
        <f>IF(AH71=1,MAX(R70,0)*Parameters!$B$11,0)</f>
        <v>0</v>
      </c>
      <c r="G71" s="13">
        <f>IF(AI71=1,MAX(S70,0)*Parameters!$B$11,0)</f>
        <v>0</v>
      </c>
      <c r="H71" s="13">
        <f t="shared" si="22"/>
        <v>888598.83279999997</v>
      </c>
      <c r="I71" s="13">
        <f t="shared" si="23"/>
        <v>380836.9721999999</v>
      </c>
      <c r="J71" s="13">
        <f t="shared" si="24"/>
        <v>0</v>
      </c>
      <c r="K71" s="13">
        <f t="shared" si="25"/>
        <v>0</v>
      </c>
      <c r="L71" s="13">
        <f t="shared" si="26"/>
        <v>888598.83279999997</v>
      </c>
      <c r="M71" s="13">
        <f t="shared" si="27"/>
        <v>380836.9721999999</v>
      </c>
      <c r="N71" s="13">
        <f>MAX(0,INT(L71*Parameters!$B$14/Parameters!$B$13/Parameters!$B$12)*Parameters!$B$12)</f>
        <v>592365</v>
      </c>
      <c r="O71" s="13">
        <f>MAX(0,INT(M71*Parameters!$B$14/Parameters!$B$13/Parameters!$B$12)*Parameters!$B$12)</f>
        <v>253805</v>
      </c>
      <c r="P71" s="13">
        <f>N71*Parameters!$B$13*'H237 Tracker'!B71</f>
        <v>-45375.159</v>
      </c>
      <c r="Q71" s="13">
        <f>O71*Parameters!$B$13*'H237 Tracker'!C71</f>
        <v>-19441.463</v>
      </c>
      <c r="R71" s="13">
        <f t="shared" si="37"/>
        <v>779532.37599999993</v>
      </c>
      <c r="S71" s="13">
        <f t="shared" si="38"/>
        <v>325086.80699999997</v>
      </c>
      <c r="T71" s="13">
        <f t="shared" si="28"/>
        <v>843223.67379999999</v>
      </c>
      <c r="U71" s="13">
        <f t="shared" si="29"/>
        <v>361395.50919999991</v>
      </c>
      <c r="V71" s="12">
        <f t="shared" si="30"/>
        <v>0.69999190258619681</v>
      </c>
      <c r="W71" t="str">
        <f>'H237 Tracker'!I71</f>
        <v>B</v>
      </c>
      <c r="X71">
        <f>'H237 Tracker'!J71</f>
        <v>6</v>
      </c>
      <c r="Y71" t="str">
        <f>'H237 Tracker'!K71</f>
        <v>B</v>
      </c>
      <c r="Z71" s="12">
        <f>'H237 Tracker'!O71</f>
        <v>0.59999190258619683</v>
      </c>
      <c r="AA71" s="13">
        <f>'H237 Tracker'!P71</f>
        <v>120461.91830000002</v>
      </c>
      <c r="AB71" s="13">
        <f>'H237 Tracker'!Q71</f>
        <v>0</v>
      </c>
      <c r="AC71" s="13">
        <f t="shared" si="31"/>
        <v>722761.75549999997</v>
      </c>
      <c r="AD71" s="13">
        <f t="shared" si="32"/>
        <v>481857.42749999993</v>
      </c>
      <c r="AE71" s="13">
        <f t="shared" si="33"/>
        <v>1204619.183</v>
      </c>
      <c r="AF71" s="13">
        <f t="shared" si="39"/>
        <v>1269435.8049999999</v>
      </c>
      <c r="AG71" s="24">
        <f t="shared" si="34"/>
        <v>-5.1059393271170594E-2</v>
      </c>
      <c r="AH71" s="8">
        <f>--(COUNTIF('Tax Events'!$A$4:$A$8,A71)&gt;0)</f>
        <v>0</v>
      </c>
      <c r="AI71" s="8">
        <f>--(COUNTIF('Tax Events'!$B$4:$B$9,A71)&gt;0)</f>
        <v>0</v>
      </c>
    </row>
    <row r="72" spans="1:35">
      <c r="A72" s="4">
        <f>'H237 Tracker'!A72</f>
        <v>43682</v>
      </c>
      <c r="B72" s="13">
        <f t="shared" si="35"/>
        <v>722761.75549999997</v>
      </c>
      <c r="C72" s="13">
        <f t="shared" si="36"/>
        <v>481857.42749999993</v>
      </c>
      <c r="D72" s="13">
        <f t="shared" si="20"/>
        <v>722761.75549999997</v>
      </c>
      <c r="E72" s="13">
        <f t="shared" si="21"/>
        <v>481857.42749999993</v>
      </c>
      <c r="F72" s="13">
        <f>IF(AH72=1,MAX(R71,0)*Parameters!$B$11,0)</f>
        <v>0</v>
      </c>
      <c r="G72" s="13">
        <f>IF(AI72=1,MAX(S71,0)*Parameters!$B$11,0)</f>
        <v>0</v>
      </c>
      <c r="H72" s="13">
        <f t="shared" si="22"/>
        <v>722761.75549999997</v>
      </c>
      <c r="I72" s="13">
        <f t="shared" si="23"/>
        <v>481857.42749999993</v>
      </c>
      <c r="J72" s="13">
        <f t="shared" si="24"/>
        <v>0</v>
      </c>
      <c r="K72" s="13">
        <f t="shared" si="25"/>
        <v>0</v>
      </c>
      <c r="L72" s="13">
        <f t="shared" si="26"/>
        <v>722761.75549999997</v>
      </c>
      <c r="M72" s="13">
        <f t="shared" si="27"/>
        <v>481857.42749999993</v>
      </c>
      <c r="N72" s="13">
        <f>MAX(0,INT(L72*Parameters!$B$14/Parameters!$B$13/Parameters!$B$12)*Parameters!$B$12)</f>
        <v>481735</v>
      </c>
      <c r="O72" s="13">
        <f>MAX(0,INT(M72*Parameters!$B$14/Parameters!$B$13/Parameters!$B$12)*Parameters!$B$12)</f>
        <v>321195</v>
      </c>
      <c r="P72" s="13">
        <f>N72*Parameters!$B$13*'H237 Tracker'!B72</f>
        <v>148470.72700000001</v>
      </c>
      <c r="Q72" s="13">
        <f>O72*Parameters!$B$13*'H237 Tracker'!C72</f>
        <v>0</v>
      </c>
      <c r="R72" s="13">
        <f t="shared" si="37"/>
        <v>928003.10299999989</v>
      </c>
      <c r="S72" s="13">
        <f t="shared" si="38"/>
        <v>325086.80699999997</v>
      </c>
      <c r="T72" s="13">
        <f t="shared" si="28"/>
        <v>871232.48249999993</v>
      </c>
      <c r="U72" s="13">
        <f t="shared" si="29"/>
        <v>481857.42749999993</v>
      </c>
      <c r="V72" s="12">
        <f t="shared" si="30"/>
        <v>0.64388365921670343</v>
      </c>
      <c r="W72" t="str">
        <f>'H237 Tracker'!I72</f>
        <v>B</v>
      </c>
      <c r="X72">
        <f>'H237 Tracker'!J72</f>
        <v>7</v>
      </c>
      <c r="Y72" t="str">
        <f>'H237 Tracker'!K72</f>
        <v>B</v>
      </c>
      <c r="Z72" s="12">
        <f>'H237 Tracker'!O72</f>
        <v>0.54388365921670345</v>
      </c>
      <c r="AA72" s="13">
        <f>'H237 Tracker'!P72</f>
        <v>135308.99100000004</v>
      </c>
      <c r="AB72" s="13">
        <f>'H237 Tracker'!Q72</f>
        <v>0</v>
      </c>
      <c r="AC72" s="13">
        <f t="shared" si="31"/>
        <v>735923.49149999989</v>
      </c>
      <c r="AD72" s="13">
        <f t="shared" si="32"/>
        <v>617166.41849999991</v>
      </c>
      <c r="AE72" s="13">
        <f t="shared" si="33"/>
        <v>1353089.9099999997</v>
      </c>
      <c r="AF72" s="13">
        <f t="shared" si="39"/>
        <v>1353089.9099999997</v>
      </c>
      <c r="AG72" s="24">
        <f t="shared" si="34"/>
        <v>0</v>
      </c>
      <c r="AH72" s="8">
        <f>--(COUNTIF('Tax Events'!$A$4:$A$8,A72)&gt;0)</f>
        <v>0</v>
      </c>
      <c r="AI72" s="8">
        <f>--(COUNTIF('Tax Events'!$B$4:$B$9,A72)&gt;0)</f>
        <v>0</v>
      </c>
    </row>
    <row r="73" spans="1:35">
      <c r="A73" s="4">
        <f>'H237 Tracker'!A73</f>
        <v>43689</v>
      </c>
      <c r="B73" s="13">
        <f t="shared" si="35"/>
        <v>735923.49149999989</v>
      </c>
      <c r="C73" s="13">
        <f t="shared" si="36"/>
        <v>617166.41849999991</v>
      </c>
      <c r="D73" s="13">
        <f t="shared" si="20"/>
        <v>735923.49149999989</v>
      </c>
      <c r="E73" s="13">
        <f t="shared" si="21"/>
        <v>617166.41849999991</v>
      </c>
      <c r="F73" s="13">
        <f>IF(AH73=1,MAX(R72,0)*Parameters!$B$11,0)</f>
        <v>0</v>
      </c>
      <c r="G73" s="13">
        <f>IF(AI73=1,MAX(S72,0)*Parameters!$B$11,0)</f>
        <v>0</v>
      </c>
      <c r="H73" s="13">
        <f t="shared" si="22"/>
        <v>735923.49149999989</v>
      </c>
      <c r="I73" s="13">
        <f t="shared" si="23"/>
        <v>617166.41849999991</v>
      </c>
      <c r="J73" s="13">
        <f t="shared" si="24"/>
        <v>0</v>
      </c>
      <c r="K73" s="13">
        <f t="shared" si="25"/>
        <v>0</v>
      </c>
      <c r="L73" s="13">
        <f t="shared" si="26"/>
        <v>735923.49149999989</v>
      </c>
      <c r="M73" s="13">
        <f t="shared" si="27"/>
        <v>617166.41849999991</v>
      </c>
      <c r="N73" s="13">
        <f>MAX(0,INT(L73*Parameters!$B$14/Parameters!$B$13/Parameters!$B$12)*Parameters!$B$12)</f>
        <v>490590</v>
      </c>
      <c r="O73" s="13">
        <f>MAX(0,INT(M73*Parameters!$B$14/Parameters!$B$13/Parameters!$B$12)*Parameters!$B$12)</f>
        <v>411355</v>
      </c>
      <c r="P73" s="13">
        <f>N73*Parameters!$B$13*'H237 Tracker'!B73</f>
        <v>-176416.16399999999</v>
      </c>
      <c r="Q73" s="13">
        <f>O73*Parameters!$B$13*'H237 Tracker'!C73</f>
        <v>-147923.258</v>
      </c>
      <c r="R73" s="13">
        <f t="shared" si="37"/>
        <v>751586.9389999999</v>
      </c>
      <c r="S73" s="13">
        <f t="shared" si="38"/>
        <v>177163.54899999997</v>
      </c>
      <c r="T73" s="13">
        <f t="shared" si="28"/>
        <v>559507.3274999999</v>
      </c>
      <c r="U73" s="13">
        <f t="shared" si="29"/>
        <v>469243.16049999988</v>
      </c>
      <c r="V73" s="12">
        <f t="shared" si="30"/>
        <v>0.54387077724525956</v>
      </c>
      <c r="W73" t="str">
        <f>'H237 Tracker'!I73</f>
        <v>B</v>
      </c>
      <c r="X73">
        <f>'H237 Tracker'!J73</f>
        <v>8</v>
      </c>
      <c r="Y73" t="str">
        <f>'H237 Tracker'!K73</f>
        <v>B</v>
      </c>
      <c r="Z73" s="12">
        <f>'H237 Tracker'!O73</f>
        <v>0.44387077724525958</v>
      </c>
      <c r="AA73" s="13">
        <f>'H237 Tracker'!P73</f>
        <v>102875.04879999987</v>
      </c>
      <c r="AB73" s="13">
        <f>'H237 Tracker'!Q73</f>
        <v>0</v>
      </c>
      <c r="AC73" s="13">
        <f t="shared" si="31"/>
        <v>456632.27870000002</v>
      </c>
      <c r="AD73" s="13">
        <f t="shared" si="32"/>
        <v>572118.20929999975</v>
      </c>
      <c r="AE73" s="13">
        <f t="shared" si="33"/>
        <v>1028750.4879999998</v>
      </c>
      <c r="AF73" s="13">
        <f t="shared" si="39"/>
        <v>1353089.9099999997</v>
      </c>
      <c r="AG73" s="24">
        <f t="shared" si="34"/>
        <v>-0.23970278663891598</v>
      </c>
      <c r="AH73" s="8">
        <f>--(COUNTIF('Tax Events'!$A$4:$A$8,A73)&gt;0)</f>
        <v>0</v>
      </c>
      <c r="AI73" s="8">
        <f>--(COUNTIF('Tax Events'!$B$4:$B$9,A73)&gt;0)</f>
        <v>0</v>
      </c>
    </row>
    <row r="74" spans="1:35">
      <c r="A74" s="4">
        <f>'H237 Tracker'!A74</f>
        <v>43696</v>
      </c>
      <c r="B74" s="13">
        <f t="shared" si="35"/>
        <v>456632.27870000002</v>
      </c>
      <c r="C74" s="13">
        <f t="shared" si="36"/>
        <v>572118.20929999975</v>
      </c>
      <c r="D74" s="13">
        <f t="shared" si="20"/>
        <v>456632.27870000002</v>
      </c>
      <c r="E74" s="13">
        <f t="shared" si="21"/>
        <v>572118.20929999975</v>
      </c>
      <c r="F74" s="13">
        <f>IF(AH74=1,MAX(R73,0)*Parameters!$B$11,0)</f>
        <v>0</v>
      </c>
      <c r="G74" s="13">
        <f>IF(AI74=1,MAX(S73,0)*Parameters!$B$11,0)</f>
        <v>0</v>
      </c>
      <c r="H74" s="13">
        <f t="shared" si="22"/>
        <v>456632.27870000002</v>
      </c>
      <c r="I74" s="13">
        <f t="shared" si="23"/>
        <v>572118.20929999975</v>
      </c>
      <c r="J74" s="13">
        <f t="shared" si="24"/>
        <v>0</v>
      </c>
      <c r="K74" s="13">
        <f t="shared" si="25"/>
        <v>0</v>
      </c>
      <c r="L74" s="13">
        <f t="shared" si="26"/>
        <v>456632.27870000002</v>
      </c>
      <c r="M74" s="13">
        <f t="shared" si="27"/>
        <v>572118.20929999975</v>
      </c>
      <c r="N74" s="13">
        <f>MAX(0,INT(L74*Parameters!$B$14/Parameters!$B$13/Parameters!$B$12)*Parameters!$B$12)</f>
        <v>304405</v>
      </c>
      <c r="O74" s="13">
        <f>MAX(0,INT(M74*Parameters!$B$14/Parameters!$B$13/Parameters!$B$12)*Parameters!$B$12)</f>
        <v>381340</v>
      </c>
      <c r="P74" s="13">
        <f>N74*Parameters!$B$13*'H237 Tracker'!B74</f>
        <v>-24230.637999999999</v>
      </c>
      <c r="Q74" s="13">
        <f>O74*Parameters!$B$13*'H237 Tracker'!C74</f>
        <v>0</v>
      </c>
      <c r="R74" s="13">
        <f t="shared" si="37"/>
        <v>727356.30099999986</v>
      </c>
      <c r="S74" s="13">
        <f t="shared" si="38"/>
        <v>177163.54899999997</v>
      </c>
      <c r="T74" s="13">
        <f t="shared" si="28"/>
        <v>432401.64070000005</v>
      </c>
      <c r="U74" s="13">
        <f t="shared" si="29"/>
        <v>572118.20929999975</v>
      </c>
      <c r="V74" s="12">
        <f t="shared" si="30"/>
        <v>0.43045604394975379</v>
      </c>
      <c r="W74" t="str">
        <f>'H237 Tracker'!I74</f>
        <v>B</v>
      </c>
      <c r="X74">
        <f>'H237 Tracker'!J74</f>
        <v>9</v>
      </c>
      <c r="Y74" t="str">
        <f>'H237 Tracker'!K74</f>
        <v>B</v>
      </c>
      <c r="Z74" s="12">
        <f>'H237 Tracker'!O74</f>
        <v>0.33045604394975381</v>
      </c>
      <c r="AA74" s="13">
        <f>'H237 Tracker'!P74</f>
        <v>100451.98499999999</v>
      </c>
      <c r="AB74" s="13">
        <f>'H237 Tracker'!Q74</f>
        <v>0</v>
      </c>
      <c r="AC74" s="13">
        <f t="shared" si="31"/>
        <v>331949.65570000006</v>
      </c>
      <c r="AD74" s="13">
        <f t="shared" si="32"/>
        <v>672570.19429999974</v>
      </c>
      <c r="AE74" s="13">
        <f t="shared" si="33"/>
        <v>1004519.8499999999</v>
      </c>
      <c r="AF74" s="13">
        <f t="shared" si="39"/>
        <v>1353089.9099999997</v>
      </c>
      <c r="AG74" s="24">
        <f t="shared" si="34"/>
        <v>-0.25761041999049417</v>
      </c>
      <c r="AH74" s="8">
        <f>--(COUNTIF('Tax Events'!$A$4:$A$8,A74)&gt;0)</f>
        <v>0</v>
      </c>
      <c r="AI74" s="8">
        <f>--(COUNTIF('Tax Events'!$B$4:$B$9,A74)&gt;0)</f>
        <v>0</v>
      </c>
    </row>
    <row r="75" spans="1:35">
      <c r="A75" s="4">
        <f>'H237 Tracker'!A75</f>
        <v>43703</v>
      </c>
      <c r="B75" s="13">
        <f t="shared" si="35"/>
        <v>331949.65570000006</v>
      </c>
      <c r="C75" s="13">
        <f t="shared" si="36"/>
        <v>672570.19429999974</v>
      </c>
      <c r="D75" s="13">
        <f t="shared" si="20"/>
        <v>331949.65570000006</v>
      </c>
      <c r="E75" s="13">
        <f t="shared" si="21"/>
        <v>672570.19429999974</v>
      </c>
      <c r="F75" s="13">
        <f>IF(AH75=1,MAX(R74,0)*Parameters!$B$11,0)</f>
        <v>0</v>
      </c>
      <c r="G75" s="13">
        <f>IF(AI75=1,MAX(S74,0)*Parameters!$B$11,0)</f>
        <v>0</v>
      </c>
      <c r="H75" s="13">
        <f t="shared" si="22"/>
        <v>331949.65570000006</v>
      </c>
      <c r="I75" s="13">
        <f t="shared" si="23"/>
        <v>672570.19429999974</v>
      </c>
      <c r="J75" s="13">
        <f t="shared" si="24"/>
        <v>0</v>
      </c>
      <c r="K75" s="13">
        <f t="shared" si="25"/>
        <v>0</v>
      </c>
      <c r="L75" s="13">
        <f t="shared" si="26"/>
        <v>331949.65570000006</v>
      </c>
      <c r="M75" s="13">
        <f t="shared" si="27"/>
        <v>672570.19429999974</v>
      </c>
      <c r="N75" s="13">
        <f>MAX(0,INT(L75*Parameters!$B$14/Parameters!$B$13/Parameters!$B$12)*Parameters!$B$12)</f>
        <v>221260</v>
      </c>
      <c r="O75" s="13">
        <f>MAX(0,INT(M75*Parameters!$B$14/Parameters!$B$13/Parameters!$B$12)*Parameters!$B$12)</f>
        <v>448270</v>
      </c>
      <c r="P75" s="13">
        <f>N75*Parameters!$B$13*'H237 Tracker'!B75</f>
        <v>79786.356</v>
      </c>
      <c r="Q75" s="13">
        <f>O75*Parameters!$B$13*'H237 Tracker'!C75</f>
        <v>161646.16200000001</v>
      </c>
      <c r="R75" s="13">
        <f t="shared" si="37"/>
        <v>807142.65699999989</v>
      </c>
      <c r="S75" s="13">
        <f t="shared" si="38"/>
        <v>338809.71100000001</v>
      </c>
      <c r="T75" s="13">
        <f t="shared" si="28"/>
        <v>411736.01170000003</v>
      </c>
      <c r="U75" s="13">
        <f t="shared" si="29"/>
        <v>834216.35629999975</v>
      </c>
      <c r="V75" s="12">
        <f t="shared" si="30"/>
        <v>0.33045887007776859</v>
      </c>
      <c r="W75" t="str">
        <f>'H237 Tracker'!I75</f>
        <v>B</v>
      </c>
      <c r="X75">
        <f>'H237 Tracker'!J75</f>
        <v>10</v>
      </c>
      <c r="Y75" t="str">
        <f>'H237 Tracker'!K75</f>
        <v>B</v>
      </c>
      <c r="Z75" s="12">
        <f>'H237 Tracker'!O75</f>
        <v>0.23045887007776858</v>
      </c>
      <c r="AA75" s="13">
        <f>'H237 Tracker'!P75</f>
        <v>124595.23679999996</v>
      </c>
      <c r="AB75" s="13">
        <f>'H237 Tracker'!Q75</f>
        <v>0</v>
      </c>
      <c r="AC75" s="13">
        <f t="shared" si="31"/>
        <v>287140.77490000008</v>
      </c>
      <c r="AD75" s="13">
        <f t="shared" si="32"/>
        <v>958811.59309999971</v>
      </c>
      <c r="AE75" s="13">
        <f t="shared" si="33"/>
        <v>1245952.3679999998</v>
      </c>
      <c r="AF75" s="13">
        <f t="shared" si="39"/>
        <v>1353089.9099999997</v>
      </c>
      <c r="AG75" s="24">
        <f t="shared" si="34"/>
        <v>-7.9179913476703057E-2</v>
      </c>
      <c r="AH75" s="8">
        <f>--(COUNTIF('Tax Events'!$A$4:$A$8,A75)&gt;0)</f>
        <v>0</v>
      </c>
      <c r="AI75" s="8">
        <f>--(COUNTIF('Tax Events'!$B$4:$B$9,A75)&gt;0)</f>
        <v>0</v>
      </c>
    </row>
    <row r="76" spans="1:35">
      <c r="A76" s="4">
        <f>'H237 Tracker'!A76</f>
        <v>43710</v>
      </c>
      <c r="B76" s="13">
        <f t="shared" si="35"/>
        <v>287140.77490000008</v>
      </c>
      <c r="C76" s="13">
        <f t="shared" si="36"/>
        <v>958811.59309999971</v>
      </c>
      <c r="D76" s="13">
        <f t="shared" si="20"/>
        <v>287140.77490000008</v>
      </c>
      <c r="E76" s="13">
        <f t="shared" si="21"/>
        <v>958811.59309999971</v>
      </c>
      <c r="F76" s="13">
        <f>IF(AH76=1,MAX(R75,0)*Parameters!$B$11,0)</f>
        <v>0</v>
      </c>
      <c r="G76" s="13">
        <f>IF(AI76=1,MAX(S75,0)*Parameters!$B$11,0)</f>
        <v>0</v>
      </c>
      <c r="H76" s="13">
        <f t="shared" si="22"/>
        <v>287140.77490000008</v>
      </c>
      <c r="I76" s="13">
        <f t="shared" si="23"/>
        <v>958811.59309999971</v>
      </c>
      <c r="J76" s="13">
        <f t="shared" si="24"/>
        <v>0</v>
      </c>
      <c r="K76" s="13">
        <f t="shared" si="25"/>
        <v>0</v>
      </c>
      <c r="L76" s="13">
        <f t="shared" si="26"/>
        <v>287140.77490000008</v>
      </c>
      <c r="M76" s="13">
        <f t="shared" si="27"/>
        <v>958811.59309999971</v>
      </c>
      <c r="N76" s="13">
        <f>MAX(0,INT(L76*Parameters!$B$14/Parameters!$B$13/Parameters!$B$12)*Parameters!$B$12)</f>
        <v>191360</v>
      </c>
      <c r="O76" s="13">
        <f>MAX(0,INT(M76*Parameters!$B$14/Parameters!$B$13/Parameters!$B$12)*Parameters!$B$12)</f>
        <v>639170</v>
      </c>
      <c r="P76" s="13">
        <f>N76*Parameters!$B$13*'H237 Tracker'!B76</f>
        <v>110414.72</v>
      </c>
      <c r="Q76" s="13">
        <f>O76*Parameters!$B$13*'H237 Tracker'!C76</f>
        <v>368801.09</v>
      </c>
      <c r="R76" s="13">
        <f t="shared" si="37"/>
        <v>917557.37699999986</v>
      </c>
      <c r="S76" s="13">
        <f t="shared" si="38"/>
        <v>707610.80099999998</v>
      </c>
      <c r="T76" s="13">
        <f t="shared" si="28"/>
        <v>397555.49490000005</v>
      </c>
      <c r="U76" s="13">
        <f t="shared" si="29"/>
        <v>1327612.6830999998</v>
      </c>
      <c r="V76" s="12">
        <f t="shared" si="30"/>
        <v>0.23044448649689855</v>
      </c>
      <c r="W76" t="str">
        <f>'H237 Tracker'!I76</f>
        <v>B</v>
      </c>
      <c r="X76">
        <f>'H237 Tracker'!J76</f>
        <v>11</v>
      </c>
      <c r="Y76" t="str">
        <f>'H237 Tracker'!K76</f>
        <v>B</v>
      </c>
      <c r="Z76" s="12">
        <f>'H237 Tracker'!O76</f>
        <v>0.13044448649689855</v>
      </c>
      <c r="AA76" s="13">
        <f>'H237 Tracker'!P76</f>
        <v>172516.81779999999</v>
      </c>
      <c r="AB76" s="13">
        <f>'H237 Tracker'!Q76</f>
        <v>0</v>
      </c>
      <c r="AC76" s="13">
        <f t="shared" si="31"/>
        <v>225038.67710000006</v>
      </c>
      <c r="AD76" s="13">
        <f t="shared" si="32"/>
        <v>1500129.5008999999</v>
      </c>
      <c r="AE76" s="13">
        <f t="shared" si="33"/>
        <v>1725168.1779999998</v>
      </c>
      <c r="AF76" s="13">
        <f t="shared" si="39"/>
        <v>1725168.1779999998</v>
      </c>
      <c r="AG76" s="24">
        <f t="shared" si="34"/>
        <v>0</v>
      </c>
      <c r="AH76" s="8">
        <f>--(COUNTIF('Tax Events'!$A$4:$A$8,A76)&gt;0)</f>
        <v>0</v>
      </c>
      <c r="AI76" s="8">
        <f>--(COUNTIF('Tax Events'!$B$4:$B$9,A76)&gt;0)</f>
        <v>0</v>
      </c>
    </row>
    <row r="77" spans="1:35">
      <c r="A77" s="4">
        <f>'H237 Tracker'!A77</f>
        <v>43717</v>
      </c>
      <c r="B77" s="13">
        <f t="shared" si="35"/>
        <v>225038.67710000006</v>
      </c>
      <c r="C77" s="13">
        <f t="shared" si="36"/>
        <v>1500129.5008999999</v>
      </c>
      <c r="D77" s="13">
        <f t="shared" si="20"/>
        <v>225038.67710000006</v>
      </c>
      <c r="E77" s="13">
        <f t="shared" si="21"/>
        <v>1500129.5008999999</v>
      </c>
      <c r="F77" s="13">
        <f>IF(AH77=1,MAX(R76,0)*Parameters!$B$11,0)</f>
        <v>0</v>
      </c>
      <c r="G77" s="13">
        <f>IF(AI77=1,MAX(S76,0)*Parameters!$B$11,0)</f>
        <v>0</v>
      </c>
      <c r="H77" s="13">
        <f t="shared" si="22"/>
        <v>225038.67710000006</v>
      </c>
      <c r="I77" s="13">
        <f t="shared" si="23"/>
        <v>1500129.5008999999</v>
      </c>
      <c r="J77" s="13">
        <f t="shared" si="24"/>
        <v>0</v>
      </c>
      <c r="K77" s="13">
        <f t="shared" si="25"/>
        <v>0</v>
      </c>
      <c r="L77" s="13">
        <f t="shared" si="26"/>
        <v>225038.67710000006</v>
      </c>
      <c r="M77" s="13">
        <f t="shared" si="27"/>
        <v>1500129.5008999999</v>
      </c>
      <c r="N77" s="13">
        <f>MAX(0,INT(L77*Parameters!$B$14/Parameters!$B$13/Parameters!$B$12)*Parameters!$B$12)</f>
        <v>149960</v>
      </c>
      <c r="O77" s="13">
        <f>MAX(0,INT(M77*Parameters!$B$14/Parameters!$B$13/Parameters!$B$12)*Parameters!$B$12)</f>
        <v>1000040</v>
      </c>
      <c r="P77" s="13">
        <f>N77*Parameters!$B$13*'H237 Tracker'!B77</f>
        <v>-11996.800000000001</v>
      </c>
      <c r="Q77" s="13">
        <f>O77*Parameters!$B$13*'H237 Tracker'!C77</f>
        <v>-80003.199999999997</v>
      </c>
      <c r="R77" s="13">
        <f t="shared" si="37"/>
        <v>905560.57699999982</v>
      </c>
      <c r="S77" s="13">
        <f t="shared" si="38"/>
        <v>627607.60100000002</v>
      </c>
      <c r="T77" s="13">
        <f t="shared" si="28"/>
        <v>213041.87710000007</v>
      </c>
      <c r="U77" s="13">
        <f t="shared" si="29"/>
        <v>1420126.3008999999</v>
      </c>
      <c r="V77" s="12">
        <f t="shared" si="30"/>
        <v>0.13044699252032577</v>
      </c>
      <c r="W77" t="str">
        <f>'H237 Tracker'!I77</f>
        <v>B</v>
      </c>
      <c r="X77">
        <f>'H237 Tracker'!J77</f>
        <v>12</v>
      </c>
      <c r="Y77" t="str">
        <f>'H237 Tracker'!K77</f>
        <v>B</v>
      </c>
      <c r="Z77" s="12">
        <f>'H237 Tracker'!O77</f>
        <v>3.0446992520325761E-2</v>
      </c>
      <c r="AA77" s="13">
        <f>'H237 Tracker'!P77</f>
        <v>163316.81780000002</v>
      </c>
      <c r="AB77" s="13">
        <f>'H237 Tracker'!Q77</f>
        <v>0</v>
      </c>
      <c r="AC77" s="13">
        <f t="shared" si="31"/>
        <v>49725.059300000052</v>
      </c>
      <c r="AD77" s="13">
        <f t="shared" si="32"/>
        <v>1583443.1187</v>
      </c>
      <c r="AE77" s="13">
        <f t="shared" si="33"/>
        <v>1633168.1780000001</v>
      </c>
      <c r="AF77" s="13">
        <f t="shared" si="39"/>
        <v>1725168.1779999998</v>
      </c>
      <c r="AG77" s="24">
        <f t="shared" si="34"/>
        <v>-5.3328134133946326E-2</v>
      </c>
      <c r="AH77" s="8">
        <f>--(COUNTIF('Tax Events'!$A$4:$A$8,A77)&gt;0)</f>
        <v>0</v>
      </c>
      <c r="AI77" s="8">
        <f>--(COUNTIF('Tax Events'!$B$4:$B$9,A77)&gt;0)</f>
        <v>0</v>
      </c>
    </row>
    <row r="78" spans="1:35">
      <c r="A78" s="4">
        <f>'H237 Tracker'!A78</f>
        <v>43724</v>
      </c>
      <c r="B78" s="13">
        <f t="shared" si="35"/>
        <v>49725.059300000052</v>
      </c>
      <c r="C78" s="13">
        <f t="shared" si="36"/>
        <v>1583443.1187</v>
      </c>
      <c r="D78" s="13">
        <f t="shared" si="20"/>
        <v>49725.059300000052</v>
      </c>
      <c r="E78" s="13">
        <f t="shared" si="21"/>
        <v>1583443.1187</v>
      </c>
      <c r="F78" s="13">
        <f>IF(AH78=1,MAX(R77,0)*Parameters!$B$11,0)</f>
        <v>0</v>
      </c>
      <c r="G78" s="13">
        <f>IF(AI78=1,MAX(S77,0)*Parameters!$B$11,0)</f>
        <v>0</v>
      </c>
      <c r="H78" s="13">
        <f t="shared" si="22"/>
        <v>49725.059300000052</v>
      </c>
      <c r="I78" s="13">
        <f t="shared" si="23"/>
        <v>1583443.1187</v>
      </c>
      <c r="J78" s="13">
        <f t="shared" si="24"/>
        <v>0</v>
      </c>
      <c r="K78" s="13">
        <f t="shared" si="25"/>
        <v>0</v>
      </c>
      <c r="L78" s="13">
        <f t="shared" si="26"/>
        <v>49725.059300000052</v>
      </c>
      <c r="M78" s="13">
        <f t="shared" si="27"/>
        <v>1583443.1187</v>
      </c>
      <c r="N78" s="13">
        <f>MAX(0,INT(L78*Parameters!$B$14/Parameters!$B$13/Parameters!$B$12)*Parameters!$B$12)</f>
        <v>33120</v>
      </c>
      <c r="O78" s="13">
        <f>MAX(0,INT(M78*Parameters!$B$14/Parameters!$B$13/Parameters!$B$12)*Parameters!$B$12)</f>
        <v>1055585</v>
      </c>
      <c r="P78" s="13">
        <f>N78*Parameters!$B$13*'H237 Tracker'!B78</f>
        <v>-2649.6</v>
      </c>
      <c r="Q78" s="13">
        <f>O78*Parameters!$B$13*'H237 Tracker'!C78</f>
        <v>-84446.8</v>
      </c>
      <c r="R78" s="13">
        <f t="shared" si="37"/>
        <v>902910.97699999984</v>
      </c>
      <c r="S78" s="13">
        <f t="shared" si="38"/>
        <v>543160.80099999998</v>
      </c>
      <c r="T78" s="13">
        <f t="shared" si="28"/>
        <v>47075.459300000053</v>
      </c>
      <c r="U78" s="13">
        <f t="shared" si="29"/>
        <v>1498996.3186999999</v>
      </c>
      <c r="V78" s="12">
        <f t="shared" si="30"/>
        <v>3.0448430642008688E-2</v>
      </c>
      <c r="W78" t="str">
        <f>'H237 Tracker'!I78</f>
        <v>B</v>
      </c>
      <c r="X78">
        <f>'H237 Tracker'!J78</f>
        <v>13</v>
      </c>
      <c r="Y78" t="str">
        <f>'H237 Tracker'!K78</f>
        <v>B</v>
      </c>
      <c r="Z78" s="12">
        <f>'H237 Tracker'!O78</f>
        <v>0</v>
      </c>
      <c r="AA78" s="13">
        <f>'H237 Tracker'!P78</f>
        <v>47075.459300000053</v>
      </c>
      <c r="AB78" s="13">
        <f>'H237 Tracker'!Q78</f>
        <v>0</v>
      </c>
      <c r="AC78" s="13">
        <f t="shared" si="31"/>
        <v>0</v>
      </c>
      <c r="AD78" s="13">
        <f t="shared" si="32"/>
        <v>1546071.7779999999</v>
      </c>
      <c r="AE78" s="13">
        <f t="shared" si="33"/>
        <v>1546071.7779999999</v>
      </c>
      <c r="AF78" s="13">
        <f t="shared" si="39"/>
        <v>1725168.1779999998</v>
      </c>
      <c r="AG78" s="24">
        <f t="shared" si="34"/>
        <v>-0.10381387871855352</v>
      </c>
      <c r="AH78" s="8">
        <f>--(COUNTIF('Tax Events'!$A$4:$A$8,A78)&gt;0)</f>
        <v>0</v>
      </c>
      <c r="AI78" s="8">
        <f>--(COUNTIF('Tax Events'!$B$4:$B$9,A78)&gt;0)</f>
        <v>0</v>
      </c>
    </row>
    <row r="79" spans="1:35">
      <c r="A79" s="4">
        <f>'H237 Tracker'!A79</f>
        <v>43731</v>
      </c>
      <c r="B79" s="13">
        <f t="shared" si="35"/>
        <v>0</v>
      </c>
      <c r="C79" s="13">
        <f t="shared" si="36"/>
        <v>1546071.7779999999</v>
      </c>
      <c r="D79" s="13">
        <f t="shared" si="20"/>
        <v>0</v>
      </c>
      <c r="E79" s="13">
        <f t="shared" si="21"/>
        <v>1546071.7779999999</v>
      </c>
      <c r="F79" s="13">
        <f>IF(AH79=1,MAX(R78,0)*Parameters!$B$11,0)</f>
        <v>0</v>
      </c>
      <c r="G79" s="13">
        <f>IF(AI79=1,MAX(S78,0)*Parameters!$B$11,0)</f>
        <v>0</v>
      </c>
      <c r="H79" s="13">
        <f t="shared" si="22"/>
        <v>0</v>
      </c>
      <c r="I79" s="13">
        <f t="shared" si="23"/>
        <v>1546071.7779999999</v>
      </c>
      <c r="J79" s="13">
        <f t="shared" si="24"/>
        <v>0</v>
      </c>
      <c r="K79" s="13">
        <f t="shared" si="25"/>
        <v>0</v>
      </c>
      <c r="L79" s="13">
        <f t="shared" si="26"/>
        <v>0</v>
      </c>
      <c r="M79" s="13">
        <f t="shared" si="27"/>
        <v>1546071.7779999999</v>
      </c>
      <c r="N79" s="13">
        <f>MAX(0,INT(L79*Parameters!$B$14/Parameters!$B$13/Parameters!$B$12)*Parameters!$B$12)</f>
        <v>0</v>
      </c>
      <c r="O79" s="13">
        <f>MAX(0,INT(M79*Parameters!$B$14/Parameters!$B$13/Parameters!$B$12)*Parameters!$B$12)</f>
        <v>1030630</v>
      </c>
      <c r="P79" s="13">
        <f>N79*Parameters!$B$13*'H237 Tracker'!B79</f>
        <v>0</v>
      </c>
      <c r="Q79" s="13">
        <f>O79*Parameters!$B$13*'H237 Tracker'!C79</f>
        <v>171909.084</v>
      </c>
      <c r="R79" s="13">
        <f t="shared" si="37"/>
        <v>902910.97699999984</v>
      </c>
      <c r="S79" s="13">
        <f t="shared" si="38"/>
        <v>715069.88500000001</v>
      </c>
      <c r="T79" s="13">
        <f t="shared" si="28"/>
        <v>0</v>
      </c>
      <c r="U79" s="13">
        <f t="shared" si="29"/>
        <v>1717980.862</v>
      </c>
      <c r="V79" s="12">
        <f t="shared" si="30"/>
        <v>0</v>
      </c>
      <c r="W79" t="str">
        <f>'H237 Tracker'!I79</f>
        <v>B</v>
      </c>
      <c r="X79">
        <f>'H237 Tracker'!J79</f>
        <v>14</v>
      </c>
      <c r="Y79" t="str">
        <f>'H237 Tracker'!K79</f>
        <v>B</v>
      </c>
      <c r="Z79" s="12">
        <f>'H237 Tracker'!O79</f>
        <v>0</v>
      </c>
      <c r="AA79" s="13">
        <f>'H237 Tracker'!P79</f>
        <v>0</v>
      </c>
      <c r="AB79" s="13">
        <f>'H237 Tracker'!Q79</f>
        <v>0</v>
      </c>
      <c r="AC79" s="13">
        <f t="shared" si="31"/>
        <v>0</v>
      </c>
      <c r="AD79" s="13">
        <f t="shared" si="32"/>
        <v>1717980.862</v>
      </c>
      <c r="AE79" s="13">
        <f t="shared" si="33"/>
        <v>1717980.862</v>
      </c>
      <c r="AF79" s="13">
        <f t="shared" si="39"/>
        <v>1725168.1779999998</v>
      </c>
      <c r="AG79" s="24">
        <f t="shared" si="34"/>
        <v>-4.1661538229462725E-3</v>
      </c>
      <c r="AH79" s="8">
        <f>--(COUNTIF('Tax Events'!$A$4:$A$8,A79)&gt;0)</f>
        <v>0</v>
      </c>
      <c r="AI79" s="8">
        <f>--(COUNTIF('Tax Events'!$B$4:$B$9,A79)&gt;0)</f>
        <v>0</v>
      </c>
    </row>
    <row r="80" spans="1:35">
      <c r="A80" s="4">
        <f>'H237 Tracker'!A80</f>
        <v>43738</v>
      </c>
      <c r="B80" s="13">
        <f t="shared" si="35"/>
        <v>0</v>
      </c>
      <c r="C80" s="13">
        <f t="shared" si="36"/>
        <v>1717980.862</v>
      </c>
      <c r="D80" s="13">
        <f t="shared" si="20"/>
        <v>0</v>
      </c>
      <c r="E80" s="13">
        <f t="shared" si="21"/>
        <v>1717980.862</v>
      </c>
      <c r="F80" s="13">
        <f>IF(AH80=1,MAX(R79,0)*Parameters!$B$11,0)</f>
        <v>0</v>
      </c>
      <c r="G80" s="13">
        <f>IF(AI80=1,MAX(S79,0)*Parameters!$B$11,0)</f>
        <v>0</v>
      </c>
      <c r="H80" s="13">
        <f t="shared" si="22"/>
        <v>0</v>
      </c>
      <c r="I80" s="13">
        <f t="shared" si="23"/>
        <v>1717980.862</v>
      </c>
      <c r="J80" s="13">
        <f t="shared" si="24"/>
        <v>0</v>
      </c>
      <c r="K80" s="13">
        <f t="shared" si="25"/>
        <v>0</v>
      </c>
      <c r="L80" s="13">
        <f t="shared" si="26"/>
        <v>0</v>
      </c>
      <c r="M80" s="13">
        <f t="shared" si="27"/>
        <v>1717980.862</v>
      </c>
      <c r="N80" s="13">
        <f>MAX(0,INT(L80*Parameters!$B$14/Parameters!$B$13/Parameters!$B$12)*Parameters!$B$12)</f>
        <v>0</v>
      </c>
      <c r="O80" s="13">
        <f>MAX(0,INT(M80*Parameters!$B$14/Parameters!$B$13/Parameters!$B$12)*Parameters!$B$12)</f>
        <v>1145285</v>
      </c>
      <c r="P80" s="13">
        <f>N80*Parameters!$B$13*'H237 Tracker'!B80</f>
        <v>0</v>
      </c>
      <c r="Q80" s="13">
        <f>O80*Parameters!$B$13*'H237 Tracker'!C80</f>
        <v>164921.04</v>
      </c>
      <c r="R80" s="13">
        <f t="shared" si="37"/>
        <v>902910.97699999984</v>
      </c>
      <c r="S80" s="13">
        <f t="shared" si="38"/>
        <v>879990.92500000005</v>
      </c>
      <c r="T80" s="13">
        <f t="shared" si="28"/>
        <v>0</v>
      </c>
      <c r="U80" s="13">
        <f t="shared" si="29"/>
        <v>1882901.902</v>
      </c>
      <c r="V80" s="12">
        <f t="shared" si="30"/>
        <v>0</v>
      </c>
      <c r="W80" t="str">
        <f>'H237 Tracker'!I80</f>
        <v>B</v>
      </c>
      <c r="X80">
        <f>'H237 Tracker'!J80</f>
        <v>15</v>
      </c>
      <c r="Y80" t="str">
        <f>'H237 Tracker'!K80</f>
        <v>B</v>
      </c>
      <c r="Z80" s="12">
        <f>'H237 Tracker'!O80</f>
        <v>0</v>
      </c>
      <c r="AA80" s="13">
        <f>'H237 Tracker'!P80</f>
        <v>0</v>
      </c>
      <c r="AB80" s="13">
        <f>'H237 Tracker'!Q80</f>
        <v>0</v>
      </c>
      <c r="AC80" s="13">
        <f t="shared" si="31"/>
        <v>0</v>
      </c>
      <c r="AD80" s="13">
        <f t="shared" si="32"/>
        <v>1882901.902</v>
      </c>
      <c r="AE80" s="13">
        <f t="shared" si="33"/>
        <v>1882901.902</v>
      </c>
      <c r="AF80" s="13">
        <f t="shared" si="39"/>
        <v>1882901.902</v>
      </c>
      <c r="AG80" s="24">
        <f t="shared" si="34"/>
        <v>0</v>
      </c>
      <c r="AH80" s="8">
        <f>--(COUNTIF('Tax Events'!$A$4:$A$8,A80)&gt;0)</f>
        <v>0</v>
      </c>
      <c r="AI80" s="8">
        <f>--(COUNTIF('Tax Events'!$B$4:$B$9,A80)&gt;0)</f>
        <v>0</v>
      </c>
    </row>
    <row r="81" spans="1:35">
      <c r="A81" s="4">
        <f>'H237 Tracker'!A81</f>
        <v>43745</v>
      </c>
      <c r="B81" s="13">
        <f t="shared" si="35"/>
        <v>0</v>
      </c>
      <c r="C81" s="13">
        <f t="shared" si="36"/>
        <v>1882901.902</v>
      </c>
      <c r="D81" s="13">
        <f t="shared" si="20"/>
        <v>0</v>
      </c>
      <c r="E81" s="13">
        <f t="shared" si="21"/>
        <v>1882901.902</v>
      </c>
      <c r="F81" s="13">
        <f>IF(AH81=1,MAX(R80,0)*Parameters!$B$11,0)</f>
        <v>0</v>
      </c>
      <c r="G81" s="13">
        <f>IF(AI81=1,MAX(S80,0)*Parameters!$B$11,0)</f>
        <v>0</v>
      </c>
      <c r="H81" s="13">
        <f t="shared" si="22"/>
        <v>0</v>
      </c>
      <c r="I81" s="13">
        <f t="shared" si="23"/>
        <v>1882901.902</v>
      </c>
      <c r="J81" s="13">
        <f t="shared" si="24"/>
        <v>0</v>
      </c>
      <c r="K81" s="13">
        <f t="shared" si="25"/>
        <v>0</v>
      </c>
      <c r="L81" s="13">
        <f t="shared" si="26"/>
        <v>0</v>
      </c>
      <c r="M81" s="13">
        <f t="shared" si="27"/>
        <v>1882901.902</v>
      </c>
      <c r="N81" s="13">
        <f>MAX(0,INT(L81*Parameters!$B$14/Parameters!$B$13/Parameters!$B$12)*Parameters!$B$12)</f>
        <v>0</v>
      </c>
      <c r="O81" s="13">
        <f>MAX(0,INT(M81*Parameters!$B$14/Parameters!$B$13/Parameters!$B$12)*Parameters!$B$12)</f>
        <v>1255225</v>
      </c>
      <c r="P81" s="13">
        <f>N81*Parameters!$B$13*'H237 Tracker'!B81</f>
        <v>0</v>
      </c>
      <c r="Q81" s="13">
        <f>O81*Parameters!$B$13*'H237 Tracker'!C81</f>
        <v>-93388.74</v>
      </c>
      <c r="R81" s="13">
        <f t="shared" si="37"/>
        <v>902910.97699999984</v>
      </c>
      <c r="S81" s="13">
        <f t="shared" si="38"/>
        <v>786602.18500000006</v>
      </c>
      <c r="T81" s="13">
        <f t="shared" si="28"/>
        <v>0</v>
      </c>
      <c r="U81" s="13">
        <f t="shared" si="29"/>
        <v>1789513.162</v>
      </c>
      <c r="V81" s="12">
        <f t="shared" si="30"/>
        <v>0</v>
      </c>
      <c r="W81" t="str">
        <f>'H237 Tracker'!I81</f>
        <v>B</v>
      </c>
      <c r="X81">
        <f>'H237 Tracker'!J81</f>
        <v>16</v>
      </c>
      <c r="Y81" t="str">
        <f>'H237 Tracker'!K81</f>
        <v>B</v>
      </c>
      <c r="Z81" s="12">
        <f>'H237 Tracker'!O81</f>
        <v>0</v>
      </c>
      <c r="AA81" s="13">
        <f>'H237 Tracker'!P81</f>
        <v>0</v>
      </c>
      <c r="AB81" s="13">
        <f>'H237 Tracker'!Q81</f>
        <v>0</v>
      </c>
      <c r="AC81" s="13">
        <f t="shared" si="31"/>
        <v>0</v>
      </c>
      <c r="AD81" s="13">
        <f t="shared" si="32"/>
        <v>1789513.162</v>
      </c>
      <c r="AE81" s="13">
        <f t="shared" si="33"/>
        <v>1789513.162</v>
      </c>
      <c r="AF81" s="13">
        <f t="shared" si="39"/>
        <v>1882901.902</v>
      </c>
      <c r="AG81" s="24">
        <f t="shared" si="34"/>
        <v>-4.959830350205896E-2</v>
      </c>
      <c r="AH81" s="8">
        <f>--(COUNTIF('Tax Events'!$A$4:$A$8,A81)&gt;0)</f>
        <v>0</v>
      </c>
      <c r="AI81" s="8">
        <f>--(COUNTIF('Tax Events'!$B$4:$B$9,A81)&gt;0)</f>
        <v>0</v>
      </c>
    </row>
    <row r="82" spans="1:35">
      <c r="A82" s="4">
        <f>'H237 Tracker'!A82</f>
        <v>43752</v>
      </c>
      <c r="B82" s="13">
        <f t="shared" si="35"/>
        <v>0</v>
      </c>
      <c r="C82" s="13">
        <f t="shared" si="36"/>
        <v>1789513.162</v>
      </c>
      <c r="D82" s="13">
        <f t="shared" si="20"/>
        <v>0</v>
      </c>
      <c r="E82" s="13">
        <f t="shared" si="21"/>
        <v>1789513.162</v>
      </c>
      <c r="F82" s="13">
        <f>IF(AH82=1,MAX(R81,0)*Parameters!$B$11,0)</f>
        <v>0</v>
      </c>
      <c r="G82" s="13">
        <f>IF(AI82=1,MAX(S81,0)*Parameters!$B$11,0)</f>
        <v>0</v>
      </c>
      <c r="H82" s="13">
        <f t="shared" si="22"/>
        <v>0</v>
      </c>
      <c r="I82" s="13">
        <f t="shared" si="23"/>
        <v>1789513.162</v>
      </c>
      <c r="J82" s="13">
        <f t="shared" si="24"/>
        <v>0</v>
      </c>
      <c r="K82" s="13">
        <f t="shared" si="25"/>
        <v>0</v>
      </c>
      <c r="L82" s="13">
        <f t="shared" si="26"/>
        <v>0</v>
      </c>
      <c r="M82" s="13">
        <f t="shared" si="27"/>
        <v>1789513.162</v>
      </c>
      <c r="N82" s="13">
        <f>MAX(0,INT(L82*Parameters!$B$14/Parameters!$B$13/Parameters!$B$12)*Parameters!$B$12)</f>
        <v>0</v>
      </c>
      <c r="O82" s="13">
        <f>MAX(0,INT(M82*Parameters!$B$14/Parameters!$B$13/Parameters!$B$12)*Parameters!$B$12)</f>
        <v>1192895</v>
      </c>
      <c r="P82" s="13">
        <f>N82*Parameters!$B$13*'H237 Tracker'!B82</f>
        <v>0</v>
      </c>
      <c r="Q82" s="13">
        <f>O82*Parameters!$B$13*'H237 Tracker'!C82</f>
        <v>114756.499</v>
      </c>
      <c r="R82" s="13">
        <f t="shared" si="37"/>
        <v>902910.97699999984</v>
      </c>
      <c r="S82" s="13">
        <f t="shared" si="38"/>
        <v>901358.68400000001</v>
      </c>
      <c r="T82" s="13">
        <f t="shared" si="28"/>
        <v>0</v>
      </c>
      <c r="U82" s="13">
        <f t="shared" si="29"/>
        <v>1904269.6610000001</v>
      </c>
      <c r="V82" s="12">
        <f t="shared" si="30"/>
        <v>0</v>
      </c>
      <c r="W82" t="str">
        <f>'H237 Tracker'!I82</f>
        <v>B</v>
      </c>
      <c r="X82">
        <f>'H237 Tracker'!J82</f>
        <v>17</v>
      </c>
      <c r="Y82" t="str">
        <f>'H237 Tracker'!K82</f>
        <v>B</v>
      </c>
      <c r="Z82" s="12">
        <f>'H237 Tracker'!O82</f>
        <v>0</v>
      </c>
      <c r="AA82" s="13">
        <f>'H237 Tracker'!P82</f>
        <v>0</v>
      </c>
      <c r="AB82" s="13">
        <f>'H237 Tracker'!Q82</f>
        <v>0</v>
      </c>
      <c r="AC82" s="13">
        <f t="shared" si="31"/>
        <v>0</v>
      </c>
      <c r="AD82" s="13">
        <f t="shared" si="32"/>
        <v>1904269.6610000001</v>
      </c>
      <c r="AE82" s="13">
        <f t="shared" si="33"/>
        <v>1904269.6610000001</v>
      </c>
      <c r="AF82" s="13">
        <f t="shared" si="39"/>
        <v>1904269.6610000001</v>
      </c>
      <c r="AG82" s="24">
        <f t="shared" si="34"/>
        <v>0</v>
      </c>
      <c r="AH82" s="8">
        <f>--(COUNTIF('Tax Events'!$A$4:$A$8,A82)&gt;0)</f>
        <v>0</v>
      </c>
      <c r="AI82" s="8">
        <f>--(COUNTIF('Tax Events'!$B$4:$B$9,A82)&gt;0)</f>
        <v>0</v>
      </c>
    </row>
    <row r="83" spans="1:35">
      <c r="A83" s="4">
        <f>'H237 Tracker'!A83</f>
        <v>43759</v>
      </c>
      <c r="B83" s="13">
        <f t="shared" si="35"/>
        <v>0</v>
      </c>
      <c r="C83" s="13">
        <f t="shared" si="36"/>
        <v>1904269.6610000001</v>
      </c>
      <c r="D83" s="13">
        <f t="shared" si="20"/>
        <v>0</v>
      </c>
      <c r="E83" s="13">
        <f t="shared" si="21"/>
        <v>1904269.6610000001</v>
      </c>
      <c r="F83" s="13">
        <f>IF(AH83=1,MAX(R82,0)*Parameters!$B$11,0)</f>
        <v>0</v>
      </c>
      <c r="G83" s="13">
        <f>IF(AI83=1,MAX(S82,0)*Parameters!$B$11,0)</f>
        <v>0</v>
      </c>
      <c r="H83" s="13">
        <f t="shared" si="22"/>
        <v>0</v>
      </c>
      <c r="I83" s="13">
        <f t="shared" si="23"/>
        <v>1904269.6610000001</v>
      </c>
      <c r="J83" s="13">
        <f t="shared" si="24"/>
        <v>0</v>
      </c>
      <c r="K83" s="13">
        <f t="shared" si="25"/>
        <v>0</v>
      </c>
      <c r="L83" s="13">
        <f t="shared" si="26"/>
        <v>0</v>
      </c>
      <c r="M83" s="13">
        <f t="shared" si="27"/>
        <v>1904269.6610000001</v>
      </c>
      <c r="N83" s="13">
        <f>MAX(0,INT(L83*Parameters!$B$14/Parameters!$B$13/Parameters!$B$12)*Parameters!$B$12)</f>
        <v>0</v>
      </c>
      <c r="O83" s="13">
        <f>MAX(0,INT(M83*Parameters!$B$14/Parameters!$B$13/Parameters!$B$12)*Parameters!$B$12)</f>
        <v>1269485</v>
      </c>
      <c r="P83" s="13">
        <f>N83*Parameters!$B$13*'H237 Tracker'!B83</f>
        <v>0</v>
      </c>
      <c r="Q83" s="13">
        <f>O83*Parameters!$B$13*'H237 Tracker'!C83</f>
        <v>-101558.8</v>
      </c>
      <c r="R83" s="13">
        <f t="shared" si="37"/>
        <v>902910.97699999984</v>
      </c>
      <c r="S83" s="13">
        <f t="shared" si="38"/>
        <v>799799.88399999996</v>
      </c>
      <c r="T83" s="13">
        <f t="shared" si="28"/>
        <v>0</v>
      </c>
      <c r="U83" s="13">
        <f t="shared" si="29"/>
        <v>1802710.861</v>
      </c>
      <c r="V83" s="12">
        <f t="shared" si="30"/>
        <v>0</v>
      </c>
      <c r="W83" t="str">
        <f>'H237 Tracker'!I83</f>
        <v>B</v>
      </c>
      <c r="X83">
        <f>'H237 Tracker'!J83</f>
        <v>18</v>
      </c>
      <c r="Y83" t="str">
        <f>'H237 Tracker'!K83</f>
        <v>B</v>
      </c>
      <c r="Z83" s="12">
        <f>'H237 Tracker'!O83</f>
        <v>0</v>
      </c>
      <c r="AA83" s="13">
        <f>'H237 Tracker'!P83</f>
        <v>0</v>
      </c>
      <c r="AB83" s="13">
        <f>'H237 Tracker'!Q83</f>
        <v>0</v>
      </c>
      <c r="AC83" s="13">
        <f t="shared" si="31"/>
        <v>0</v>
      </c>
      <c r="AD83" s="13">
        <f t="shared" si="32"/>
        <v>1802710.861</v>
      </c>
      <c r="AE83" s="13">
        <f t="shared" si="33"/>
        <v>1802710.861</v>
      </c>
      <c r="AF83" s="13">
        <f t="shared" si="39"/>
        <v>1904269.6610000001</v>
      </c>
      <c r="AG83" s="24">
        <f t="shared" si="34"/>
        <v>-5.33321525201782E-2</v>
      </c>
      <c r="AH83" s="8">
        <f>--(COUNTIF('Tax Events'!$A$4:$A$8,A83)&gt;0)</f>
        <v>0</v>
      </c>
      <c r="AI83" s="8">
        <f>--(COUNTIF('Tax Events'!$B$4:$B$9,A83)&gt;0)</f>
        <v>0</v>
      </c>
    </row>
    <row r="84" spans="1:35">
      <c r="A84" s="4">
        <f>'H237 Tracker'!A84</f>
        <v>43766</v>
      </c>
      <c r="B84" s="13">
        <f t="shared" si="35"/>
        <v>0</v>
      </c>
      <c r="C84" s="13">
        <f t="shared" si="36"/>
        <v>1802710.861</v>
      </c>
      <c r="D84" s="13">
        <f t="shared" si="20"/>
        <v>0</v>
      </c>
      <c r="E84" s="13">
        <f t="shared" si="21"/>
        <v>1802710.861</v>
      </c>
      <c r="F84" s="13">
        <f>IF(AH84=1,MAX(R83,0)*Parameters!$B$11,0)</f>
        <v>0</v>
      </c>
      <c r="G84" s="13">
        <f>IF(AI84=1,MAX(S83,0)*Parameters!$B$11,0)</f>
        <v>0</v>
      </c>
      <c r="H84" s="13">
        <f t="shared" si="22"/>
        <v>0</v>
      </c>
      <c r="I84" s="13">
        <f t="shared" si="23"/>
        <v>1802710.861</v>
      </c>
      <c r="J84" s="13">
        <f t="shared" si="24"/>
        <v>0</v>
      </c>
      <c r="K84" s="13">
        <f t="shared" si="25"/>
        <v>0</v>
      </c>
      <c r="L84" s="13">
        <f t="shared" si="26"/>
        <v>0</v>
      </c>
      <c r="M84" s="13">
        <f t="shared" si="27"/>
        <v>1802710.861</v>
      </c>
      <c r="N84" s="13">
        <f>MAX(0,INT(L84*Parameters!$B$14/Parameters!$B$13/Parameters!$B$12)*Parameters!$B$12)</f>
        <v>0</v>
      </c>
      <c r="O84" s="13">
        <f>MAX(0,INT(M84*Parameters!$B$14/Parameters!$B$13/Parameters!$B$12)*Parameters!$B$12)</f>
        <v>1201750</v>
      </c>
      <c r="P84" s="13">
        <f>N84*Parameters!$B$13*'H237 Tracker'!B84</f>
        <v>0</v>
      </c>
      <c r="Q84" s="13">
        <f>O84*Parameters!$B$13*'H237 Tracker'!C84</f>
        <v>280728.8</v>
      </c>
      <c r="R84" s="13">
        <f t="shared" si="37"/>
        <v>902910.97699999984</v>
      </c>
      <c r="S84" s="13">
        <f t="shared" si="38"/>
        <v>1080528.6839999999</v>
      </c>
      <c r="T84" s="13">
        <f t="shared" si="28"/>
        <v>0</v>
      </c>
      <c r="U84" s="13">
        <f t="shared" si="29"/>
        <v>2083439.6610000001</v>
      </c>
      <c r="V84" s="12">
        <f t="shared" si="30"/>
        <v>0</v>
      </c>
      <c r="W84" t="str">
        <f>'H237 Tracker'!I84</f>
        <v>B</v>
      </c>
      <c r="X84">
        <f>'H237 Tracker'!J84</f>
        <v>19</v>
      </c>
      <c r="Y84" t="str">
        <f>'H237 Tracker'!K84</f>
        <v>B</v>
      </c>
      <c r="Z84" s="12">
        <f>'H237 Tracker'!O84</f>
        <v>0</v>
      </c>
      <c r="AA84" s="13">
        <f>'H237 Tracker'!P84</f>
        <v>0</v>
      </c>
      <c r="AB84" s="13">
        <f>'H237 Tracker'!Q84</f>
        <v>0</v>
      </c>
      <c r="AC84" s="13">
        <f t="shared" si="31"/>
        <v>0</v>
      </c>
      <c r="AD84" s="13">
        <f t="shared" si="32"/>
        <v>2083439.6610000001</v>
      </c>
      <c r="AE84" s="13">
        <f t="shared" si="33"/>
        <v>2083439.6610000001</v>
      </c>
      <c r="AF84" s="13">
        <f t="shared" si="39"/>
        <v>2083439.6610000001</v>
      </c>
      <c r="AG84" s="24">
        <f t="shared" si="34"/>
        <v>0</v>
      </c>
      <c r="AH84" s="8">
        <f>--(COUNTIF('Tax Events'!$A$4:$A$8,A84)&gt;0)</f>
        <v>0</v>
      </c>
      <c r="AI84" s="8">
        <f>--(COUNTIF('Tax Events'!$B$4:$B$9,A84)&gt;0)</f>
        <v>0</v>
      </c>
    </row>
    <row r="85" spans="1:35">
      <c r="A85" s="4">
        <f>'H237 Tracker'!A85</f>
        <v>43773</v>
      </c>
      <c r="B85" s="13">
        <f t="shared" si="35"/>
        <v>0</v>
      </c>
      <c r="C85" s="13">
        <f t="shared" si="36"/>
        <v>2083439.6610000001</v>
      </c>
      <c r="D85" s="13">
        <f t="shared" si="20"/>
        <v>0</v>
      </c>
      <c r="E85" s="13">
        <f t="shared" si="21"/>
        <v>2083439.6610000001</v>
      </c>
      <c r="F85" s="13">
        <f>IF(AH85=1,MAX(R84,0)*Parameters!$B$11,0)</f>
        <v>0</v>
      </c>
      <c r="G85" s="13">
        <f>IF(AI85=1,MAX(S84,0)*Parameters!$B$11,0)</f>
        <v>0</v>
      </c>
      <c r="H85" s="13">
        <f t="shared" si="22"/>
        <v>0</v>
      </c>
      <c r="I85" s="13">
        <f t="shared" si="23"/>
        <v>2083439.6610000001</v>
      </c>
      <c r="J85" s="13">
        <f t="shared" si="24"/>
        <v>0</v>
      </c>
      <c r="K85" s="13">
        <f t="shared" si="25"/>
        <v>0</v>
      </c>
      <c r="L85" s="13">
        <f t="shared" si="26"/>
        <v>0</v>
      </c>
      <c r="M85" s="13">
        <f t="shared" si="27"/>
        <v>2083439.6610000001</v>
      </c>
      <c r="N85" s="13">
        <f>MAX(0,INT(L85*Parameters!$B$14/Parameters!$B$13/Parameters!$B$12)*Parameters!$B$12)</f>
        <v>0</v>
      </c>
      <c r="O85" s="13">
        <f>MAX(0,INT(M85*Parameters!$B$14/Parameters!$B$13/Parameters!$B$12)*Parameters!$B$12)</f>
        <v>1388855</v>
      </c>
      <c r="P85" s="13">
        <f>N85*Parameters!$B$13*'H237 Tracker'!B85</f>
        <v>0</v>
      </c>
      <c r="Q85" s="13">
        <f>O85*Parameters!$B$13*'H237 Tracker'!C85</f>
        <v>-111663.94200000001</v>
      </c>
      <c r="R85" s="13">
        <f t="shared" si="37"/>
        <v>902910.97699999984</v>
      </c>
      <c r="S85" s="13">
        <f t="shared" si="38"/>
        <v>968864.74199999985</v>
      </c>
      <c r="T85" s="13">
        <f t="shared" si="28"/>
        <v>0</v>
      </c>
      <c r="U85" s="13">
        <f t="shared" si="29"/>
        <v>1971775.719</v>
      </c>
      <c r="V85" s="12">
        <f t="shared" si="30"/>
        <v>0</v>
      </c>
      <c r="W85" t="str">
        <f>'H237 Tracker'!I85</f>
        <v>B</v>
      </c>
      <c r="X85">
        <f>'H237 Tracker'!J85</f>
        <v>20</v>
      </c>
      <c r="Y85" t="str">
        <f>'H237 Tracker'!K85</f>
        <v>B</v>
      </c>
      <c r="Z85" s="12">
        <f>'H237 Tracker'!O85</f>
        <v>0</v>
      </c>
      <c r="AA85" s="13">
        <f>'H237 Tracker'!P85</f>
        <v>0</v>
      </c>
      <c r="AB85" s="13">
        <f>'H237 Tracker'!Q85</f>
        <v>0</v>
      </c>
      <c r="AC85" s="13">
        <f t="shared" si="31"/>
        <v>0</v>
      </c>
      <c r="AD85" s="13">
        <f t="shared" si="32"/>
        <v>1971775.719</v>
      </c>
      <c r="AE85" s="13">
        <f t="shared" si="33"/>
        <v>1971775.719</v>
      </c>
      <c r="AF85" s="13">
        <f t="shared" si="39"/>
        <v>2083439.6610000001</v>
      </c>
      <c r="AG85" s="24">
        <f t="shared" si="34"/>
        <v>-5.3595956768147546E-2</v>
      </c>
      <c r="AH85" s="8">
        <f>--(COUNTIF('Tax Events'!$A$4:$A$8,A85)&gt;0)</f>
        <v>0</v>
      </c>
      <c r="AI85" s="8">
        <f>--(COUNTIF('Tax Events'!$B$4:$B$9,A85)&gt;0)</f>
        <v>0</v>
      </c>
    </row>
    <row r="86" spans="1:35">
      <c r="A86" s="4">
        <f>'H237 Tracker'!A86</f>
        <v>43780</v>
      </c>
      <c r="B86" s="13">
        <f t="shared" si="35"/>
        <v>0</v>
      </c>
      <c r="C86" s="13">
        <f t="shared" si="36"/>
        <v>1971775.719</v>
      </c>
      <c r="D86" s="13">
        <f t="shared" si="20"/>
        <v>0</v>
      </c>
      <c r="E86" s="13">
        <f t="shared" si="21"/>
        <v>1971775.719</v>
      </c>
      <c r="F86" s="13">
        <f>IF(AH86=1,MAX(R85,0)*Parameters!$B$11,0)</f>
        <v>0</v>
      </c>
      <c r="G86" s="13">
        <f>IF(AI86=1,MAX(S85,0)*Parameters!$B$11,0)</f>
        <v>0</v>
      </c>
      <c r="H86" s="13">
        <f t="shared" si="22"/>
        <v>0</v>
      </c>
      <c r="I86" s="13">
        <f t="shared" si="23"/>
        <v>1971775.719</v>
      </c>
      <c r="J86" s="13">
        <f t="shared" si="24"/>
        <v>0</v>
      </c>
      <c r="K86" s="13">
        <f t="shared" si="25"/>
        <v>0</v>
      </c>
      <c r="L86" s="13">
        <f t="shared" si="26"/>
        <v>0</v>
      </c>
      <c r="M86" s="13">
        <f t="shared" si="27"/>
        <v>1971775.719</v>
      </c>
      <c r="N86" s="13">
        <f>MAX(0,INT(L86*Parameters!$B$14/Parameters!$B$13/Parameters!$B$12)*Parameters!$B$12)</f>
        <v>0</v>
      </c>
      <c r="O86" s="13">
        <f>MAX(0,INT(M86*Parameters!$B$14/Parameters!$B$13/Parameters!$B$12)*Parameters!$B$12)</f>
        <v>1314450</v>
      </c>
      <c r="P86" s="13">
        <f>N86*Parameters!$B$13*'H237 Tracker'!B86</f>
        <v>0</v>
      </c>
      <c r="Q86" s="13">
        <f>O86*Parameters!$B$13*'H237 Tracker'!C86</f>
        <v>322303.14</v>
      </c>
      <c r="R86" s="13">
        <f t="shared" si="37"/>
        <v>902910.97699999984</v>
      </c>
      <c r="S86" s="13">
        <f t="shared" si="38"/>
        <v>1291167.8819999998</v>
      </c>
      <c r="T86" s="13">
        <f t="shared" si="28"/>
        <v>0</v>
      </c>
      <c r="U86" s="13">
        <f t="shared" si="29"/>
        <v>2294078.8590000002</v>
      </c>
      <c r="V86" s="12">
        <f t="shared" si="30"/>
        <v>0</v>
      </c>
      <c r="W86" t="str">
        <f>'H237 Tracker'!I86</f>
        <v>B</v>
      </c>
      <c r="X86">
        <f>'H237 Tracker'!J86</f>
        <v>21</v>
      </c>
      <c r="Y86" t="str">
        <f>'H237 Tracker'!K86</f>
        <v>B</v>
      </c>
      <c r="Z86" s="12">
        <f>'H237 Tracker'!O86</f>
        <v>0</v>
      </c>
      <c r="AA86" s="13">
        <f>'H237 Tracker'!P86</f>
        <v>0</v>
      </c>
      <c r="AB86" s="13">
        <f>'H237 Tracker'!Q86</f>
        <v>0</v>
      </c>
      <c r="AC86" s="13">
        <f t="shared" si="31"/>
        <v>0</v>
      </c>
      <c r="AD86" s="13">
        <f t="shared" si="32"/>
        <v>2294078.8590000002</v>
      </c>
      <c r="AE86" s="13">
        <f t="shared" si="33"/>
        <v>2294078.8590000002</v>
      </c>
      <c r="AF86" s="13">
        <f t="shared" si="39"/>
        <v>2294078.8590000002</v>
      </c>
      <c r="AG86" s="24">
        <f t="shared" si="34"/>
        <v>0</v>
      </c>
      <c r="AH86" s="8">
        <f>--(COUNTIF('Tax Events'!$A$4:$A$8,A86)&gt;0)</f>
        <v>0</v>
      </c>
      <c r="AI86" s="8">
        <f>--(COUNTIF('Tax Events'!$B$4:$B$9,A86)&gt;0)</f>
        <v>0</v>
      </c>
    </row>
    <row r="87" spans="1:35">
      <c r="A87" s="4">
        <f>'H237 Tracker'!A87</f>
        <v>43787</v>
      </c>
      <c r="B87" s="13">
        <f t="shared" si="35"/>
        <v>0</v>
      </c>
      <c r="C87" s="13">
        <f t="shared" si="36"/>
        <v>2294078.8590000002</v>
      </c>
      <c r="D87" s="13">
        <f t="shared" si="20"/>
        <v>0</v>
      </c>
      <c r="E87" s="13">
        <f t="shared" si="21"/>
        <v>2294078.8590000002</v>
      </c>
      <c r="F87" s="13">
        <f>IF(AH87=1,MAX(R86,0)*Parameters!$B$11,0)</f>
        <v>0</v>
      </c>
      <c r="G87" s="13">
        <f>IF(AI87=1,MAX(S86,0)*Parameters!$B$11,0)</f>
        <v>0</v>
      </c>
      <c r="H87" s="13">
        <f t="shared" si="22"/>
        <v>0</v>
      </c>
      <c r="I87" s="13">
        <f t="shared" si="23"/>
        <v>2294078.8590000002</v>
      </c>
      <c r="J87" s="13">
        <f t="shared" si="24"/>
        <v>0</v>
      </c>
      <c r="K87" s="13">
        <f t="shared" si="25"/>
        <v>0</v>
      </c>
      <c r="L87" s="13">
        <f t="shared" si="26"/>
        <v>0</v>
      </c>
      <c r="M87" s="13">
        <f t="shared" si="27"/>
        <v>2294078.8590000002</v>
      </c>
      <c r="N87" s="13">
        <f>MAX(0,INT(L87*Parameters!$B$14/Parameters!$B$13/Parameters!$B$12)*Parameters!$B$12)</f>
        <v>0</v>
      </c>
      <c r="O87" s="13">
        <f>MAX(0,INT(M87*Parameters!$B$14/Parameters!$B$13/Parameters!$B$12)*Parameters!$B$12)</f>
        <v>1529385</v>
      </c>
      <c r="P87" s="13">
        <f>N87*Parameters!$B$13*'H237 Tracker'!B87</f>
        <v>0</v>
      </c>
      <c r="Q87" s="13">
        <f>O87*Parameters!$B$13*'H237 Tracker'!C87</f>
        <v>-264889.48199999996</v>
      </c>
      <c r="R87" s="13">
        <f t="shared" si="37"/>
        <v>902910.97699999984</v>
      </c>
      <c r="S87" s="13">
        <f t="shared" si="38"/>
        <v>1026278.3999999998</v>
      </c>
      <c r="T87" s="13">
        <f t="shared" si="28"/>
        <v>0</v>
      </c>
      <c r="U87" s="13">
        <f t="shared" si="29"/>
        <v>2029189.3770000003</v>
      </c>
      <c r="V87" s="12">
        <f t="shared" si="30"/>
        <v>0</v>
      </c>
      <c r="W87" t="str">
        <f>'H237 Tracker'!I87</f>
        <v>B</v>
      </c>
      <c r="X87">
        <f>'H237 Tracker'!J87</f>
        <v>22</v>
      </c>
      <c r="Y87" t="str">
        <f>'H237 Tracker'!K87</f>
        <v>B</v>
      </c>
      <c r="Z87" s="12">
        <f>'H237 Tracker'!O87</f>
        <v>0</v>
      </c>
      <c r="AA87" s="13">
        <f>'H237 Tracker'!P87</f>
        <v>0</v>
      </c>
      <c r="AB87" s="13">
        <f>'H237 Tracker'!Q87</f>
        <v>0</v>
      </c>
      <c r="AC87" s="13">
        <f t="shared" si="31"/>
        <v>0</v>
      </c>
      <c r="AD87" s="13">
        <f t="shared" si="32"/>
        <v>2029189.3770000003</v>
      </c>
      <c r="AE87" s="13">
        <f t="shared" si="33"/>
        <v>2029189.3770000003</v>
      </c>
      <c r="AF87" s="13">
        <f t="shared" si="39"/>
        <v>2294078.8590000002</v>
      </c>
      <c r="AG87" s="24">
        <f t="shared" si="34"/>
        <v>-0.11546659826483319</v>
      </c>
      <c r="AH87" s="8">
        <f>--(COUNTIF('Tax Events'!$A$4:$A$8,A87)&gt;0)</f>
        <v>0</v>
      </c>
      <c r="AI87" s="8">
        <f>--(COUNTIF('Tax Events'!$B$4:$B$9,A87)&gt;0)</f>
        <v>0</v>
      </c>
    </row>
    <row r="88" spans="1:35">
      <c r="A88" s="4">
        <f>'H237 Tracker'!A88</f>
        <v>43794</v>
      </c>
      <c r="B88" s="13">
        <f t="shared" si="35"/>
        <v>0</v>
      </c>
      <c r="C88" s="13">
        <f t="shared" si="36"/>
        <v>2029189.3770000003</v>
      </c>
      <c r="D88" s="13">
        <f t="shared" si="20"/>
        <v>0</v>
      </c>
      <c r="E88" s="13">
        <f t="shared" si="21"/>
        <v>2029189.3770000003</v>
      </c>
      <c r="F88" s="13">
        <f>IF(AH88=1,MAX(R87,0)*Parameters!$B$11,0)</f>
        <v>0</v>
      </c>
      <c r="G88" s="13">
        <f>IF(AI88=1,MAX(S87,0)*Parameters!$B$11,0)</f>
        <v>0</v>
      </c>
      <c r="H88" s="13">
        <f t="shared" si="22"/>
        <v>0</v>
      </c>
      <c r="I88" s="13">
        <f t="shared" si="23"/>
        <v>2029189.3770000003</v>
      </c>
      <c r="J88" s="13">
        <f t="shared" si="24"/>
        <v>0</v>
      </c>
      <c r="K88" s="13">
        <f t="shared" si="25"/>
        <v>0</v>
      </c>
      <c r="L88" s="13">
        <f t="shared" si="26"/>
        <v>0</v>
      </c>
      <c r="M88" s="13">
        <f t="shared" si="27"/>
        <v>2029189.3770000003</v>
      </c>
      <c r="N88" s="13">
        <f>MAX(0,INT(L88*Parameters!$B$14/Parameters!$B$13/Parameters!$B$12)*Parameters!$B$12)</f>
        <v>0</v>
      </c>
      <c r="O88" s="13">
        <f>MAX(0,INT(M88*Parameters!$B$14/Parameters!$B$13/Parameters!$B$12)*Parameters!$B$12)</f>
        <v>1352745</v>
      </c>
      <c r="P88" s="13">
        <f>N88*Parameters!$B$13*'H237 Tracker'!B88</f>
        <v>0</v>
      </c>
      <c r="Q88" s="13">
        <f>O88*Parameters!$B$13*'H237 Tracker'!C88</f>
        <v>203993.946</v>
      </c>
      <c r="R88" s="13">
        <f t="shared" si="37"/>
        <v>902910.97699999984</v>
      </c>
      <c r="S88" s="13">
        <f t="shared" si="38"/>
        <v>1230272.3459999999</v>
      </c>
      <c r="T88" s="13">
        <f t="shared" si="28"/>
        <v>0</v>
      </c>
      <c r="U88" s="13">
        <f t="shared" si="29"/>
        <v>2233183.3230000003</v>
      </c>
      <c r="V88" s="12">
        <f t="shared" si="30"/>
        <v>0</v>
      </c>
      <c r="W88" t="str">
        <f>'H237 Tracker'!I88</f>
        <v>B</v>
      </c>
      <c r="X88">
        <f>'H237 Tracker'!J88</f>
        <v>23</v>
      </c>
      <c r="Y88" t="str">
        <f>'H237 Tracker'!K88</f>
        <v>B</v>
      </c>
      <c r="Z88" s="12">
        <f>'H237 Tracker'!O88</f>
        <v>0</v>
      </c>
      <c r="AA88" s="13">
        <f>'H237 Tracker'!P88</f>
        <v>0</v>
      </c>
      <c r="AB88" s="13">
        <f>'H237 Tracker'!Q88</f>
        <v>0</v>
      </c>
      <c r="AC88" s="13">
        <f t="shared" si="31"/>
        <v>0</v>
      </c>
      <c r="AD88" s="13">
        <f t="shared" si="32"/>
        <v>2233183.3230000003</v>
      </c>
      <c r="AE88" s="13">
        <f t="shared" si="33"/>
        <v>2233183.3230000003</v>
      </c>
      <c r="AF88" s="13">
        <f t="shared" si="39"/>
        <v>2294078.8590000002</v>
      </c>
      <c r="AG88" s="24">
        <f t="shared" si="34"/>
        <v>-2.65446568068477E-2</v>
      </c>
      <c r="AH88" s="8">
        <f>--(COUNTIF('Tax Events'!$A$4:$A$8,A88)&gt;0)</f>
        <v>0</v>
      </c>
      <c r="AI88" s="8">
        <f>--(COUNTIF('Tax Events'!$B$4:$B$9,A88)&gt;0)</f>
        <v>0</v>
      </c>
    </row>
    <row r="89" spans="1:35">
      <c r="A89" s="4">
        <f>'H237 Tracker'!A89</f>
        <v>43801</v>
      </c>
      <c r="B89" s="13">
        <f t="shared" si="35"/>
        <v>0</v>
      </c>
      <c r="C89" s="13">
        <f t="shared" si="36"/>
        <v>2233183.3230000003</v>
      </c>
      <c r="D89" s="13">
        <f t="shared" si="20"/>
        <v>0</v>
      </c>
      <c r="E89" s="13">
        <f t="shared" si="21"/>
        <v>2233183.3230000003</v>
      </c>
      <c r="F89" s="13">
        <f>IF(AH89=1,MAX(R88,0)*Parameters!$B$11,0)</f>
        <v>0</v>
      </c>
      <c r="G89" s="13">
        <f>IF(AI89=1,MAX(S88,0)*Parameters!$B$11,0)</f>
        <v>0</v>
      </c>
      <c r="H89" s="13">
        <f t="shared" si="22"/>
        <v>0</v>
      </c>
      <c r="I89" s="13">
        <f t="shared" si="23"/>
        <v>2233183.3230000003</v>
      </c>
      <c r="J89" s="13">
        <f t="shared" si="24"/>
        <v>0</v>
      </c>
      <c r="K89" s="13">
        <f t="shared" si="25"/>
        <v>0</v>
      </c>
      <c r="L89" s="13">
        <f t="shared" si="26"/>
        <v>0</v>
      </c>
      <c r="M89" s="13">
        <f t="shared" si="27"/>
        <v>2233183.3230000003</v>
      </c>
      <c r="N89" s="13">
        <f>MAX(0,INT(L89*Parameters!$B$14/Parameters!$B$13/Parameters!$B$12)*Parameters!$B$12)</f>
        <v>0</v>
      </c>
      <c r="O89" s="13">
        <f>MAX(0,INT(M89*Parameters!$B$14/Parameters!$B$13/Parameters!$B$12)*Parameters!$B$12)</f>
        <v>1488675</v>
      </c>
      <c r="P89" s="13">
        <f>N89*Parameters!$B$13*'H237 Tracker'!B89</f>
        <v>0</v>
      </c>
      <c r="Q89" s="13">
        <f>O89*Parameters!$B$13*'H237 Tracker'!C89</f>
        <v>-406110.54</v>
      </c>
      <c r="R89" s="13">
        <f t="shared" si="37"/>
        <v>902910.97699999984</v>
      </c>
      <c r="S89" s="13">
        <f t="shared" si="38"/>
        <v>824161.80599999987</v>
      </c>
      <c r="T89" s="13">
        <f t="shared" si="28"/>
        <v>0</v>
      </c>
      <c r="U89" s="13">
        <f t="shared" si="29"/>
        <v>1827072.7830000003</v>
      </c>
      <c r="V89" s="12">
        <f t="shared" si="30"/>
        <v>0</v>
      </c>
      <c r="W89" t="str">
        <f>'H237 Tracker'!I89</f>
        <v>B</v>
      </c>
      <c r="X89">
        <f>'H237 Tracker'!J89</f>
        <v>24</v>
      </c>
      <c r="Y89" t="str">
        <f>'H237 Tracker'!K89</f>
        <v>B</v>
      </c>
      <c r="Z89" s="12">
        <f>'H237 Tracker'!O89</f>
        <v>0</v>
      </c>
      <c r="AA89" s="13">
        <f>'H237 Tracker'!P89</f>
        <v>0</v>
      </c>
      <c r="AB89" s="13">
        <f>'H237 Tracker'!Q89</f>
        <v>0</v>
      </c>
      <c r="AC89" s="13">
        <f t="shared" si="31"/>
        <v>0</v>
      </c>
      <c r="AD89" s="13">
        <f t="shared" si="32"/>
        <v>1827072.7830000003</v>
      </c>
      <c r="AE89" s="13">
        <f t="shared" si="33"/>
        <v>1827072.7830000003</v>
      </c>
      <c r="AF89" s="13">
        <f t="shared" si="39"/>
        <v>2294078.8590000002</v>
      </c>
      <c r="AG89" s="24">
        <f t="shared" si="34"/>
        <v>-0.20357019296344936</v>
      </c>
      <c r="AH89" s="8">
        <f>--(COUNTIF('Tax Events'!$A$4:$A$8,A89)&gt;0)</f>
        <v>0</v>
      </c>
      <c r="AI89" s="8">
        <f>--(COUNTIF('Tax Events'!$B$4:$B$9,A89)&gt;0)</f>
        <v>0</v>
      </c>
    </row>
    <row r="90" spans="1:35">
      <c r="A90" s="4">
        <f>'H237 Tracker'!A90</f>
        <v>43808</v>
      </c>
      <c r="B90" s="13">
        <f t="shared" si="35"/>
        <v>0</v>
      </c>
      <c r="C90" s="13">
        <f t="shared" si="36"/>
        <v>1827072.7830000003</v>
      </c>
      <c r="D90" s="13">
        <f t="shared" si="20"/>
        <v>0</v>
      </c>
      <c r="E90" s="13">
        <f t="shared" si="21"/>
        <v>1827072.7830000003</v>
      </c>
      <c r="F90" s="13">
        <f>IF(AH90=1,MAX(R89,0)*Parameters!$B$11,0)</f>
        <v>0</v>
      </c>
      <c r="G90" s="13">
        <f>IF(AI90=1,MAX(S89,0)*Parameters!$B$11,0)</f>
        <v>0</v>
      </c>
      <c r="H90" s="13">
        <f t="shared" si="22"/>
        <v>0</v>
      </c>
      <c r="I90" s="13">
        <f t="shared" si="23"/>
        <v>1827072.7830000003</v>
      </c>
      <c r="J90" s="13">
        <f t="shared" si="24"/>
        <v>0</v>
      </c>
      <c r="K90" s="13">
        <f t="shared" si="25"/>
        <v>0</v>
      </c>
      <c r="L90" s="13">
        <f t="shared" si="26"/>
        <v>0</v>
      </c>
      <c r="M90" s="13">
        <f t="shared" si="27"/>
        <v>1827072.7830000003</v>
      </c>
      <c r="N90" s="13">
        <f>MAX(0,INT(L90*Parameters!$B$14/Parameters!$B$13/Parameters!$B$12)*Parameters!$B$12)</f>
        <v>0</v>
      </c>
      <c r="O90" s="13">
        <f>MAX(0,INT(M90*Parameters!$B$14/Parameters!$B$13/Parameters!$B$12)*Parameters!$B$12)</f>
        <v>1217965</v>
      </c>
      <c r="P90" s="13">
        <f>N90*Parameters!$B$13*'H237 Tracker'!B90</f>
        <v>0</v>
      </c>
      <c r="Q90" s="13">
        <f>O90*Parameters!$B$13*'H237 Tracker'!C90</f>
        <v>309363.11</v>
      </c>
      <c r="R90" s="13">
        <f t="shared" si="37"/>
        <v>902910.97699999984</v>
      </c>
      <c r="S90" s="13">
        <f t="shared" si="38"/>
        <v>1133524.9159999997</v>
      </c>
      <c r="T90" s="13">
        <f t="shared" si="28"/>
        <v>0</v>
      </c>
      <c r="U90" s="13">
        <f t="shared" si="29"/>
        <v>2136435.8930000002</v>
      </c>
      <c r="V90" s="12">
        <f t="shared" si="30"/>
        <v>0</v>
      </c>
      <c r="W90" t="str">
        <f>'H237 Tracker'!I90</f>
        <v>B</v>
      </c>
      <c r="X90">
        <f>'H237 Tracker'!J90</f>
        <v>25</v>
      </c>
      <c r="Y90" t="str">
        <f>'H237 Tracker'!K90</f>
        <v>B</v>
      </c>
      <c r="Z90" s="12">
        <f>'H237 Tracker'!O90</f>
        <v>0</v>
      </c>
      <c r="AA90" s="13">
        <f>'H237 Tracker'!P90</f>
        <v>0</v>
      </c>
      <c r="AB90" s="13">
        <f>'H237 Tracker'!Q90</f>
        <v>0</v>
      </c>
      <c r="AC90" s="13">
        <f t="shared" si="31"/>
        <v>0</v>
      </c>
      <c r="AD90" s="13">
        <f t="shared" si="32"/>
        <v>2136435.8930000002</v>
      </c>
      <c r="AE90" s="13">
        <f t="shared" si="33"/>
        <v>2136435.8930000002</v>
      </c>
      <c r="AF90" s="13">
        <f t="shared" si="39"/>
        <v>2294078.8590000002</v>
      </c>
      <c r="AG90" s="24">
        <f t="shared" si="34"/>
        <v>-6.8717326512793608E-2</v>
      </c>
      <c r="AH90" s="8">
        <f>--(COUNTIF('Tax Events'!$A$4:$A$8,A90)&gt;0)</f>
        <v>0</v>
      </c>
      <c r="AI90" s="8">
        <f>--(COUNTIF('Tax Events'!$B$4:$B$9,A90)&gt;0)</f>
        <v>0</v>
      </c>
    </row>
    <row r="91" spans="1:35">
      <c r="A91" s="4">
        <f>'H237 Tracker'!A91</f>
        <v>43815</v>
      </c>
      <c r="B91" s="13">
        <f t="shared" si="35"/>
        <v>0</v>
      </c>
      <c r="C91" s="13">
        <f t="shared" si="36"/>
        <v>2136435.8930000002</v>
      </c>
      <c r="D91" s="13">
        <f t="shared" si="20"/>
        <v>0</v>
      </c>
      <c r="E91" s="13">
        <f t="shared" si="21"/>
        <v>2136435.8930000002</v>
      </c>
      <c r="F91" s="13">
        <f>IF(AH91=1,MAX(R90,0)*Parameters!$B$11,0)</f>
        <v>0</v>
      </c>
      <c r="G91" s="13">
        <f>IF(AI91=1,MAX(S90,0)*Parameters!$B$11,0)</f>
        <v>0</v>
      </c>
      <c r="H91" s="13">
        <f t="shared" si="22"/>
        <v>0</v>
      </c>
      <c r="I91" s="13">
        <f t="shared" si="23"/>
        <v>2136435.8930000002</v>
      </c>
      <c r="J91" s="13">
        <f t="shared" si="24"/>
        <v>0</v>
      </c>
      <c r="K91" s="13">
        <f t="shared" si="25"/>
        <v>0</v>
      </c>
      <c r="L91" s="13">
        <f t="shared" si="26"/>
        <v>0</v>
      </c>
      <c r="M91" s="13">
        <f t="shared" si="27"/>
        <v>2136435.8930000002</v>
      </c>
      <c r="N91" s="13">
        <f>MAX(0,INT(L91*Parameters!$B$14/Parameters!$B$13/Parameters!$B$12)*Parameters!$B$12)</f>
        <v>0</v>
      </c>
      <c r="O91" s="13">
        <f>MAX(0,INT(M91*Parameters!$B$14/Parameters!$B$13/Parameters!$B$12)*Parameters!$B$12)</f>
        <v>1424275</v>
      </c>
      <c r="P91" s="13">
        <f>N91*Parameters!$B$13*'H237 Tracker'!B91</f>
        <v>0</v>
      </c>
      <c r="Q91" s="13">
        <f>O91*Parameters!$B$13*'H237 Tracker'!C91</f>
        <v>469441.04000000004</v>
      </c>
      <c r="R91" s="13">
        <f t="shared" si="37"/>
        <v>902910.97699999984</v>
      </c>
      <c r="S91" s="13">
        <f t="shared" si="38"/>
        <v>1602965.9559999998</v>
      </c>
      <c r="T91" s="13">
        <f t="shared" si="28"/>
        <v>0</v>
      </c>
      <c r="U91" s="13">
        <f t="shared" si="29"/>
        <v>2605876.9330000002</v>
      </c>
      <c r="V91" s="12">
        <f t="shared" si="30"/>
        <v>0</v>
      </c>
      <c r="W91" t="str">
        <f>'H237 Tracker'!I91</f>
        <v>B</v>
      </c>
      <c r="X91">
        <f>'H237 Tracker'!J91</f>
        <v>26</v>
      </c>
      <c r="Y91" t="str">
        <f>'H237 Tracker'!K91</f>
        <v>B</v>
      </c>
      <c r="Z91" s="12">
        <f>'H237 Tracker'!O91</f>
        <v>0</v>
      </c>
      <c r="AA91" s="13">
        <f>'H237 Tracker'!P91</f>
        <v>0</v>
      </c>
      <c r="AB91" s="13">
        <f>'H237 Tracker'!Q91</f>
        <v>0</v>
      </c>
      <c r="AC91" s="13">
        <f t="shared" si="31"/>
        <v>0</v>
      </c>
      <c r="AD91" s="13">
        <f t="shared" si="32"/>
        <v>2605876.9330000002</v>
      </c>
      <c r="AE91" s="13">
        <f t="shared" si="33"/>
        <v>2605876.9330000002</v>
      </c>
      <c r="AF91" s="13">
        <f t="shared" si="39"/>
        <v>2605876.9330000002</v>
      </c>
      <c r="AG91" s="24">
        <f t="shared" si="34"/>
        <v>0</v>
      </c>
      <c r="AH91" s="8">
        <f>--(COUNTIF('Tax Events'!$A$4:$A$8,A91)&gt;0)</f>
        <v>0</v>
      </c>
      <c r="AI91" s="8">
        <f>--(COUNTIF('Tax Events'!$B$4:$B$9,A91)&gt;0)</f>
        <v>0</v>
      </c>
    </row>
    <row r="92" spans="1:35">
      <c r="A92" s="4">
        <f>'H237 Tracker'!A92</f>
        <v>43822</v>
      </c>
      <c r="B92" s="13">
        <f t="shared" si="35"/>
        <v>0</v>
      </c>
      <c r="C92" s="13">
        <f t="shared" si="36"/>
        <v>2605876.9330000002</v>
      </c>
      <c r="D92" s="13">
        <f t="shared" si="20"/>
        <v>0</v>
      </c>
      <c r="E92" s="13">
        <f t="shared" si="21"/>
        <v>2605876.9330000002</v>
      </c>
      <c r="F92" s="13">
        <f>IF(AH92=1,MAX(R91,0)*Parameters!$B$11,0)</f>
        <v>0</v>
      </c>
      <c r="G92" s="13">
        <f>IF(AI92=1,MAX(S91,0)*Parameters!$B$11,0)</f>
        <v>0</v>
      </c>
      <c r="H92" s="13">
        <f t="shared" si="22"/>
        <v>0</v>
      </c>
      <c r="I92" s="13">
        <f t="shared" si="23"/>
        <v>2605876.9330000002</v>
      </c>
      <c r="J92" s="13">
        <f t="shared" si="24"/>
        <v>0</v>
      </c>
      <c r="K92" s="13">
        <f t="shared" si="25"/>
        <v>0</v>
      </c>
      <c r="L92" s="13">
        <f t="shared" si="26"/>
        <v>0</v>
      </c>
      <c r="M92" s="13">
        <f t="shared" si="27"/>
        <v>2605876.9330000002</v>
      </c>
      <c r="N92" s="13">
        <f>MAX(0,INT(L92*Parameters!$B$14/Parameters!$B$13/Parameters!$B$12)*Parameters!$B$12)</f>
        <v>0</v>
      </c>
      <c r="O92" s="13">
        <f>MAX(0,INT(M92*Parameters!$B$14/Parameters!$B$13/Parameters!$B$12)*Parameters!$B$12)</f>
        <v>1737190</v>
      </c>
      <c r="P92" s="13">
        <f>N92*Parameters!$B$13*'H237 Tracker'!B92</f>
        <v>0</v>
      </c>
      <c r="Q92" s="13">
        <f>O92*Parameters!$B$13*'H237 Tracker'!C92</f>
        <v>253977.17799999999</v>
      </c>
      <c r="R92" s="13">
        <f t="shared" si="37"/>
        <v>902910.97699999984</v>
      </c>
      <c r="S92" s="13">
        <f t="shared" si="38"/>
        <v>1856943.1339999998</v>
      </c>
      <c r="T92" s="13">
        <f t="shared" si="28"/>
        <v>0</v>
      </c>
      <c r="U92" s="13">
        <f t="shared" si="29"/>
        <v>2859854.111</v>
      </c>
      <c r="V92" s="12">
        <f t="shared" si="30"/>
        <v>0</v>
      </c>
      <c r="W92" t="str">
        <f>'H237 Tracker'!I92</f>
        <v>B</v>
      </c>
      <c r="X92">
        <f>'H237 Tracker'!J92</f>
        <v>27</v>
      </c>
      <c r="Y92" t="str">
        <f>'H237 Tracker'!K92</f>
        <v>B</v>
      </c>
      <c r="Z92" s="12">
        <f>'H237 Tracker'!O92</f>
        <v>0</v>
      </c>
      <c r="AA92" s="13">
        <f>'H237 Tracker'!P92</f>
        <v>0</v>
      </c>
      <c r="AB92" s="13">
        <f>'H237 Tracker'!Q92</f>
        <v>0</v>
      </c>
      <c r="AC92" s="13">
        <f t="shared" si="31"/>
        <v>0</v>
      </c>
      <c r="AD92" s="13">
        <f t="shared" si="32"/>
        <v>2859854.111</v>
      </c>
      <c r="AE92" s="13">
        <f t="shared" si="33"/>
        <v>2859854.111</v>
      </c>
      <c r="AF92" s="13">
        <f t="shared" si="39"/>
        <v>2859854.111</v>
      </c>
      <c r="AG92" s="24">
        <f t="shared" si="34"/>
        <v>0</v>
      </c>
      <c r="AH92" s="8">
        <f>--(COUNTIF('Tax Events'!$A$4:$A$8,A92)&gt;0)</f>
        <v>0</v>
      </c>
      <c r="AI92" s="8">
        <f>--(COUNTIF('Tax Events'!$B$4:$B$9,A92)&gt;0)</f>
        <v>0</v>
      </c>
    </row>
    <row r="93" spans="1:35">
      <c r="A93" s="4">
        <f>'H237 Tracker'!A93</f>
        <v>43829</v>
      </c>
      <c r="B93" s="13">
        <f t="shared" si="35"/>
        <v>0</v>
      </c>
      <c r="C93" s="13">
        <f t="shared" si="36"/>
        <v>2859854.111</v>
      </c>
      <c r="D93" s="13">
        <f t="shared" si="20"/>
        <v>0</v>
      </c>
      <c r="E93" s="13">
        <f t="shared" si="21"/>
        <v>2859854.111</v>
      </c>
      <c r="F93" s="13">
        <f>IF(AH93=1,MAX(R92,0)*Parameters!$B$11,0)</f>
        <v>0</v>
      </c>
      <c r="G93" s="13">
        <f>IF(AI93=1,MAX(S92,0)*Parameters!$B$11,0)</f>
        <v>0</v>
      </c>
      <c r="H93" s="13">
        <f t="shared" si="22"/>
        <v>0</v>
      </c>
      <c r="I93" s="13">
        <f t="shared" si="23"/>
        <v>2859854.111</v>
      </c>
      <c r="J93" s="13">
        <f t="shared" si="24"/>
        <v>0</v>
      </c>
      <c r="K93" s="13">
        <f t="shared" si="25"/>
        <v>0</v>
      </c>
      <c r="L93" s="13">
        <f t="shared" si="26"/>
        <v>0</v>
      </c>
      <c r="M93" s="13">
        <f t="shared" si="27"/>
        <v>2859854.111</v>
      </c>
      <c r="N93" s="13">
        <f>MAX(0,INT(L93*Parameters!$B$14/Parameters!$B$13/Parameters!$B$12)*Parameters!$B$12)</f>
        <v>0</v>
      </c>
      <c r="O93" s="13">
        <f>MAX(0,INT(M93*Parameters!$B$14/Parameters!$B$13/Parameters!$B$12)*Parameters!$B$12)</f>
        <v>1906470</v>
      </c>
      <c r="P93" s="13">
        <f>N93*Parameters!$B$13*'H237 Tracker'!B93</f>
        <v>0</v>
      </c>
      <c r="Q93" s="13">
        <f>O93*Parameters!$B$13*'H237 Tracker'!C93</f>
        <v>-52999.866000000002</v>
      </c>
      <c r="R93" s="13">
        <f t="shared" si="37"/>
        <v>902910.97699999984</v>
      </c>
      <c r="S93" s="13">
        <f t="shared" si="38"/>
        <v>1803943.2679999999</v>
      </c>
      <c r="T93" s="13">
        <f t="shared" si="28"/>
        <v>0</v>
      </c>
      <c r="U93" s="13">
        <f t="shared" si="29"/>
        <v>2806854.2450000001</v>
      </c>
      <c r="V93" s="12">
        <f t="shared" si="30"/>
        <v>0</v>
      </c>
      <c r="W93" t="str">
        <f>'H237 Tracker'!I93</f>
        <v>B</v>
      </c>
      <c r="X93">
        <f>'H237 Tracker'!J93</f>
        <v>28</v>
      </c>
      <c r="Y93" t="str">
        <f>'H237 Tracker'!K93</f>
        <v>B</v>
      </c>
      <c r="Z93" s="12">
        <f>'H237 Tracker'!O93</f>
        <v>0</v>
      </c>
      <c r="AA93" s="13">
        <f>'H237 Tracker'!P93</f>
        <v>0</v>
      </c>
      <c r="AB93" s="13">
        <f>'H237 Tracker'!Q93</f>
        <v>0</v>
      </c>
      <c r="AC93" s="13">
        <f t="shared" si="31"/>
        <v>0</v>
      </c>
      <c r="AD93" s="13">
        <f t="shared" si="32"/>
        <v>2806854.2450000001</v>
      </c>
      <c r="AE93" s="13">
        <f t="shared" si="33"/>
        <v>2806854.2450000001</v>
      </c>
      <c r="AF93" s="13">
        <f t="shared" si="39"/>
        <v>2859854.111</v>
      </c>
      <c r="AG93" s="24">
        <f t="shared" si="34"/>
        <v>-1.8532367016955154E-2</v>
      </c>
      <c r="AH93" s="8">
        <f>--(COUNTIF('Tax Events'!$A$4:$A$8,A93)&gt;0)</f>
        <v>0</v>
      </c>
      <c r="AI93" s="8">
        <f>--(COUNTIF('Tax Events'!$B$4:$B$9,A93)&gt;0)</f>
        <v>0</v>
      </c>
    </row>
    <row r="94" spans="1:35">
      <c r="A94" s="4">
        <f>'H237 Tracker'!A94</f>
        <v>43836</v>
      </c>
      <c r="B94" s="13">
        <f t="shared" si="35"/>
        <v>0</v>
      </c>
      <c r="C94" s="13">
        <f t="shared" si="36"/>
        <v>2806854.2450000001</v>
      </c>
      <c r="D94" s="13">
        <f t="shared" si="20"/>
        <v>0</v>
      </c>
      <c r="E94" s="13">
        <f t="shared" si="21"/>
        <v>2806854.2450000001</v>
      </c>
      <c r="F94" s="13">
        <f>IF(AH94=1,MAX(R93,0)*Parameters!$B$11,0)</f>
        <v>0</v>
      </c>
      <c r="G94" s="13">
        <f>IF(AI94=1,MAX(S93,0)*Parameters!$B$11,0)</f>
        <v>0</v>
      </c>
      <c r="H94" s="13">
        <f t="shared" si="22"/>
        <v>0</v>
      </c>
      <c r="I94" s="13">
        <f t="shared" si="23"/>
        <v>2806854.2450000001</v>
      </c>
      <c r="J94" s="13">
        <f t="shared" si="24"/>
        <v>0</v>
      </c>
      <c r="K94" s="13">
        <f t="shared" si="25"/>
        <v>0</v>
      </c>
      <c r="L94" s="13">
        <f t="shared" si="26"/>
        <v>0</v>
      </c>
      <c r="M94" s="13">
        <f t="shared" si="27"/>
        <v>2806854.2450000001</v>
      </c>
      <c r="N94" s="13">
        <f>MAX(0,INT(L94*Parameters!$B$14/Parameters!$B$13/Parameters!$B$12)*Parameters!$B$12)</f>
        <v>0</v>
      </c>
      <c r="O94" s="13">
        <f>MAX(0,INT(M94*Parameters!$B$14/Parameters!$B$13/Parameters!$B$12)*Parameters!$B$12)</f>
        <v>1871165</v>
      </c>
      <c r="P94" s="13">
        <f>N94*Parameters!$B$13*'H237 Tracker'!B94</f>
        <v>0</v>
      </c>
      <c r="Q94" s="13">
        <f>O94*Parameters!$B$13*'H237 Tracker'!C94</f>
        <v>547128.64599999995</v>
      </c>
      <c r="R94" s="13">
        <f t="shared" si="37"/>
        <v>902910.97699999984</v>
      </c>
      <c r="S94" s="13">
        <f t="shared" si="38"/>
        <v>2351071.9139999999</v>
      </c>
      <c r="T94" s="13">
        <f t="shared" si="28"/>
        <v>0</v>
      </c>
      <c r="U94" s="13">
        <f t="shared" si="29"/>
        <v>3353982.8909999998</v>
      </c>
      <c r="V94" s="12">
        <f t="shared" si="30"/>
        <v>0</v>
      </c>
      <c r="W94" t="str">
        <f>'H237 Tracker'!I94</f>
        <v>B</v>
      </c>
      <c r="X94">
        <f>'H237 Tracker'!J94</f>
        <v>29</v>
      </c>
      <c r="Y94" t="str">
        <f>'H237 Tracker'!K94</f>
        <v>B</v>
      </c>
      <c r="Z94" s="12">
        <f>'H237 Tracker'!O94</f>
        <v>0</v>
      </c>
      <c r="AA94" s="13">
        <f>'H237 Tracker'!P94</f>
        <v>0</v>
      </c>
      <c r="AB94" s="13">
        <f>'H237 Tracker'!Q94</f>
        <v>0</v>
      </c>
      <c r="AC94" s="13">
        <f t="shared" si="31"/>
        <v>0</v>
      </c>
      <c r="AD94" s="13">
        <f t="shared" si="32"/>
        <v>3353982.8909999998</v>
      </c>
      <c r="AE94" s="13">
        <f t="shared" si="33"/>
        <v>3353982.8909999998</v>
      </c>
      <c r="AF94" s="13">
        <f t="shared" si="39"/>
        <v>3353982.8909999998</v>
      </c>
      <c r="AG94" s="24">
        <f t="shared" si="34"/>
        <v>0</v>
      </c>
      <c r="AH94" s="8">
        <f>--(COUNTIF('Tax Events'!$A$4:$A$8,A94)&gt;0)</f>
        <v>0</v>
      </c>
      <c r="AI94" s="8">
        <f>--(COUNTIF('Tax Events'!$B$4:$B$9,A94)&gt;0)</f>
        <v>0</v>
      </c>
    </row>
    <row r="95" spans="1:35">
      <c r="A95" s="4">
        <f>'H237 Tracker'!A95</f>
        <v>43843</v>
      </c>
      <c r="B95" s="13">
        <f t="shared" si="35"/>
        <v>0</v>
      </c>
      <c r="C95" s="13">
        <f t="shared" si="36"/>
        <v>3353982.8909999998</v>
      </c>
      <c r="D95" s="13">
        <f t="shared" si="20"/>
        <v>0</v>
      </c>
      <c r="E95" s="13">
        <f t="shared" si="21"/>
        <v>3353982.8909999998</v>
      </c>
      <c r="F95" s="13">
        <f>IF(AH95=1,MAX(R94,0)*Parameters!$B$11,0)</f>
        <v>0</v>
      </c>
      <c r="G95" s="13">
        <f>IF(AI95=1,MAX(S94,0)*Parameters!$B$11,0)</f>
        <v>0</v>
      </c>
      <c r="H95" s="13">
        <f t="shared" si="22"/>
        <v>0</v>
      </c>
      <c r="I95" s="13">
        <f t="shared" si="23"/>
        <v>3353982.8909999998</v>
      </c>
      <c r="J95" s="13">
        <f t="shared" si="24"/>
        <v>0</v>
      </c>
      <c r="K95" s="13">
        <f t="shared" si="25"/>
        <v>0</v>
      </c>
      <c r="L95" s="13">
        <f t="shared" si="26"/>
        <v>0</v>
      </c>
      <c r="M95" s="13">
        <f t="shared" si="27"/>
        <v>3353982.8909999998</v>
      </c>
      <c r="N95" s="13">
        <f>MAX(0,INT(L95*Parameters!$B$14/Parameters!$B$13/Parameters!$B$12)*Parameters!$B$12)</f>
        <v>0</v>
      </c>
      <c r="O95" s="13">
        <f>MAX(0,INT(M95*Parameters!$B$14/Parameters!$B$13/Parameters!$B$12)*Parameters!$B$12)</f>
        <v>2235945</v>
      </c>
      <c r="P95" s="13">
        <f>N95*Parameters!$B$13*'H237 Tracker'!B95</f>
        <v>0</v>
      </c>
      <c r="Q95" s="13">
        <f>O95*Parameters!$B$13*'H237 Tracker'!C95</f>
        <v>332261.42700000003</v>
      </c>
      <c r="R95" s="13">
        <f t="shared" si="37"/>
        <v>902910.97699999984</v>
      </c>
      <c r="S95" s="13">
        <f t="shared" si="38"/>
        <v>2683333.341</v>
      </c>
      <c r="T95" s="13">
        <f t="shared" si="28"/>
        <v>0</v>
      </c>
      <c r="U95" s="13">
        <f t="shared" si="29"/>
        <v>3686244.318</v>
      </c>
      <c r="V95" s="12">
        <f t="shared" si="30"/>
        <v>0</v>
      </c>
      <c r="W95" t="str">
        <f>'H237 Tracker'!I95</f>
        <v>B</v>
      </c>
      <c r="X95">
        <f>'H237 Tracker'!J95</f>
        <v>30</v>
      </c>
      <c r="Y95" t="str">
        <f>'H237 Tracker'!K95</f>
        <v>B</v>
      </c>
      <c r="Z95" s="12">
        <f>'H237 Tracker'!O95</f>
        <v>0</v>
      </c>
      <c r="AA95" s="13">
        <f>'H237 Tracker'!P95</f>
        <v>0</v>
      </c>
      <c r="AB95" s="13">
        <f>'H237 Tracker'!Q95</f>
        <v>0</v>
      </c>
      <c r="AC95" s="13">
        <f t="shared" si="31"/>
        <v>0</v>
      </c>
      <c r="AD95" s="13">
        <f t="shared" si="32"/>
        <v>3686244.318</v>
      </c>
      <c r="AE95" s="13">
        <f t="shared" si="33"/>
        <v>3686244.318</v>
      </c>
      <c r="AF95" s="13">
        <f t="shared" si="39"/>
        <v>3686244.318</v>
      </c>
      <c r="AG95" s="24">
        <f t="shared" si="34"/>
        <v>0</v>
      </c>
      <c r="AH95" s="8">
        <f>--(COUNTIF('Tax Events'!$A$4:$A$8,A95)&gt;0)</f>
        <v>0</v>
      </c>
      <c r="AI95" s="8">
        <f>--(COUNTIF('Tax Events'!$B$4:$B$9,A95)&gt;0)</f>
        <v>0</v>
      </c>
    </row>
    <row r="96" spans="1:35">
      <c r="A96" s="4">
        <f>'H237 Tracker'!A96</f>
        <v>43850</v>
      </c>
      <c r="B96" s="13">
        <f t="shared" si="35"/>
        <v>0</v>
      </c>
      <c r="C96" s="13">
        <f t="shared" si="36"/>
        <v>3686244.318</v>
      </c>
      <c r="D96" s="13">
        <f t="shared" si="20"/>
        <v>0</v>
      </c>
      <c r="E96" s="13">
        <f t="shared" si="21"/>
        <v>3686244.318</v>
      </c>
      <c r="F96" s="13">
        <f>IF(AH96=1,MAX(R95,0)*Parameters!$B$11,0)</f>
        <v>0</v>
      </c>
      <c r="G96" s="13">
        <f>IF(AI96=1,MAX(S95,0)*Parameters!$B$11,0)</f>
        <v>0</v>
      </c>
      <c r="H96" s="13">
        <f t="shared" si="22"/>
        <v>0</v>
      </c>
      <c r="I96" s="13">
        <f t="shared" si="23"/>
        <v>3686244.318</v>
      </c>
      <c r="J96" s="13">
        <f t="shared" si="24"/>
        <v>0</v>
      </c>
      <c r="K96" s="13">
        <f t="shared" si="25"/>
        <v>0</v>
      </c>
      <c r="L96" s="13">
        <f t="shared" si="26"/>
        <v>0</v>
      </c>
      <c r="M96" s="13">
        <f t="shared" si="27"/>
        <v>3686244.318</v>
      </c>
      <c r="N96" s="13">
        <f>MAX(0,INT(L96*Parameters!$B$14/Parameters!$B$13/Parameters!$B$12)*Parameters!$B$12)</f>
        <v>0</v>
      </c>
      <c r="O96" s="13">
        <f>MAX(0,INT(M96*Parameters!$B$14/Parameters!$B$13/Parameters!$B$12)*Parameters!$B$12)</f>
        <v>2457435</v>
      </c>
      <c r="P96" s="13">
        <f>N96*Parameters!$B$13*'H237 Tracker'!B96</f>
        <v>0</v>
      </c>
      <c r="Q96" s="13">
        <f>O96*Parameters!$B$13*'H237 Tracker'!C96</f>
        <v>-196594.80000000002</v>
      </c>
      <c r="R96" s="13">
        <f t="shared" si="37"/>
        <v>902910.97699999984</v>
      </c>
      <c r="S96" s="13">
        <f t="shared" si="38"/>
        <v>2486738.5410000002</v>
      </c>
      <c r="T96" s="13">
        <f t="shared" si="28"/>
        <v>0</v>
      </c>
      <c r="U96" s="13">
        <f t="shared" si="29"/>
        <v>3489649.5180000002</v>
      </c>
      <c r="V96" s="12">
        <f t="shared" si="30"/>
        <v>0</v>
      </c>
      <c r="W96" t="str">
        <f>'H237 Tracker'!I96</f>
        <v>B</v>
      </c>
      <c r="X96">
        <f>'H237 Tracker'!J96</f>
        <v>31</v>
      </c>
      <c r="Y96" t="str">
        <f>'H237 Tracker'!K96</f>
        <v>B</v>
      </c>
      <c r="Z96" s="12">
        <f>'H237 Tracker'!O96</f>
        <v>0</v>
      </c>
      <c r="AA96" s="13">
        <f>'H237 Tracker'!P96</f>
        <v>0</v>
      </c>
      <c r="AB96" s="13">
        <f>'H237 Tracker'!Q96</f>
        <v>0</v>
      </c>
      <c r="AC96" s="13">
        <f t="shared" si="31"/>
        <v>0</v>
      </c>
      <c r="AD96" s="13">
        <f t="shared" si="32"/>
        <v>3489649.5180000002</v>
      </c>
      <c r="AE96" s="13">
        <f t="shared" si="33"/>
        <v>3489649.5180000002</v>
      </c>
      <c r="AF96" s="13">
        <f t="shared" si="39"/>
        <v>3686244.318</v>
      </c>
      <c r="AG96" s="24">
        <f t="shared" si="34"/>
        <v>-5.3332004891814666E-2</v>
      </c>
      <c r="AH96" s="8">
        <f>--(COUNTIF('Tax Events'!$A$4:$A$8,A96)&gt;0)</f>
        <v>0</v>
      </c>
      <c r="AI96" s="8">
        <f>--(COUNTIF('Tax Events'!$B$4:$B$9,A96)&gt;0)</f>
        <v>0</v>
      </c>
    </row>
    <row r="97" spans="1:35">
      <c r="A97" s="4">
        <f>'H237 Tracker'!A97</f>
        <v>43857</v>
      </c>
      <c r="B97" s="13">
        <f t="shared" si="35"/>
        <v>0</v>
      </c>
      <c r="C97" s="13">
        <f t="shared" si="36"/>
        <v>3489649.5180000002</v>
      </c>
      <c r="D97" s="13">
        <f t="shared" si="20"/>
        <v>0</v>
      </c>
      <c r="E97" s="13">
        <f t="shared" si="21"/>
        <v>3489649.5180000002</v>
      </c>
      <c r="F97" s="13">
        <f>IF(AH97=1,MAX(R96,0)*Parameters!$B$11,0)</f>
        <v>0</v>
      </c>
      <c r="G97" s="13">
        <f>IF(AI97=1,MAX(S96,0)*Parameters!$B$11,0)</f>
        <v>0</v>
      </c>
      <c r="H97" s="13">
        <f t="shared" si="22"/>
        <v>0</v>
      </c>
      <c r="I97" s="13">
        <f t="shared" si="23"/>
        <v>3489649.5180000002</v>
      </c>
      <c r="J97" s="13">
        <f t="shared" si="24"/>
        <v>0</v>
      </c>
      <c r="K97" s="13">
        <f t="shared" si="25"/>
        <v>0</v>
      </c>
      <c r="L97" s="13">
        <f t="shared" si="26"/>
        <v>0</v>
      </c>
      <c r="M97" s="13">
        <f t="shared" si="27"/>
        <v>3489649.5180000002</v>
      </c>
      <c r="N97" s="13">
        <f>MAX(0,INT(L97*Parameters!$B$14/Parameters!$B$13/Parameters!$B$12)*Parameters!$B$12)</f>
        <v>0</v>
      </c>
      <c r="O97" s="13">
        <f>MAX(0,INT(M97*Parameters!$B$14/Parameters!$B$13/Parameters!$B$12)*Parameters!$B$12)</f>
        <v>2326335</v>
      </c>
      <c r="P97" s="13">
        <f>N97*Parameters!$B$13*'H237 Tracker'!B97</f>
        <v>0</v>
      </c>
      <c r="Q97" s="13">
        <f>O97*Parameters!$B$13*'H237 Tracker'!C97</f>
        <v>0</v>
      </c>
      <c r="R97" s="13">
        <f t="shared" si="37"/>
        <v>902910.97699999984</v>
      </c>
      <c r="S97" s="13">
        <f t="shared" si="38"/>
        <v>2486738.5410000002</v>
      </c>
      <c r="T97" s="13">
        <f t="shared" si="28"/>
        <v>0</v>
      </c>
      <c r="U97" s="13">
        <f t="shared" si="29"/>
        <v>3489649.5180000002</v>
      </c>
      <c r="V97" s="12">
        <f t="shared" si="30"/>
        <v>0</v>
      </c>
      <c r="W97" t="str">
        <f>'H237 Tracker'!I97</f>
        <v>B</v>
      </c>
      <c r="X97">
        <f>'H237 Tracker'!J97</f>
        <v>32</v>
      </c>
      <c r="Y97" t="str">
        <f>'H237 Tracker'!K97</f>
        <v>B</v>
      </c>
      <c r="Z97" s="12">
        <f>'H237 Tracker'!O97</f>
        <v>0</v>
      </c>
      <c r="AA97" s="13">
        <f>'H237 Tracker'!P97</f>
        <v>0</v>
      </c>
      <c r="AB97" s="13">
        <f>'H237 Tracker'!Q97</f>
        <v>0</v>
      </c>
      <c r="AC97" s="13">
        <f t="shared" si="31"/>
        <v>0</v>
      </c>
      <c r="AD97" s="13">
        <f t="shared" si="32"/>
        <v>3489649.5180000002</v>
      </c>
      <c r="AE97" s="13">
        <f t="shared" si="33"/>
        <v>3489649.5180000002</v>
      </c>
      <c r="AF97" s="13">
        <f t="shared" si="39"/>
        <v>3686244.318</v>
      </c>
      <c r="AG97" s="24">
        <f t="shared" si="34"/>
        <v>-5.3332004891814666E-2</v>
      </c>
      <c r="AH97" s="8">
        <f>--(COUNTIF('Tax Events'!$A$4:$A$8,A97)&gt;0)</f>
        <v>0</v>
      </c>
      <c r="AI97" s="8">
        <f>--(COUNTIF('Tax Events'!$B$4:$B$9,A97)&gt;0)</f>
        <v>0</v>
      </c>
    </row>
    <row r="98" spans="1:35">
      <c r="A98" s="4">
        <f>'H237 Tracker'!A98</f>
        <v>43864</v>
      </c>
      <c r="B98" s="13">
        <f t="shared" si="35"/>
        <v>0</v>
      </c>
      <c r="C98" s="13">
        <f t="shared" si="36"/>
        <v>3489649.5180000002</v>
      </c>
      <c r="D98" s="13">
        <f t="shared" si="20"/>
        <v>0</v>
      </c>
      <c r="E98" s="13">
        <f t="shared" si="21"/>
        <v>3489649.5180000002</v>
      </c>
      <c r="F98" s="13">
        <f>IF(AH98=1,MAX(R97,0)*Parameters!$B$11,0)</f>
        <v>0</v>
      </c>
      <c r="G98" s="13">
        <f>IF(AI98=1,MAX(S97,0)*Parameters!$B$11,0)</f>
        <v>0</v>
      </c>
      <c r="H98" s="13">
        <f t="shared" si="22"/>
        <v>0</v>
      </c>
      <c r="I98" s="13">
        <f t="shared" si="23"/>
        <v>3489649.5180000002</v>
      </c>
      <c r="J98" s="13">
        <f t="shared" si="24"/>
        <v>0</v>
      </c>
      <c r="K98" s="13">
        <f t="shared" si="25"/>
        <v>0</v>
      </c>
      <c r="L98" s="13">
        <f t="shared" si="26"/>
        <v>0</v>
      </c>
      <c r="M98" s="13">
        <f t="shared" si="27"/>
        <v>3489649.5180000002</v>
      </c>
      <c r="N98" s="13">
        <f>MAX(0,INT(L98*Parameters!$B$14/Parameters!$B$13/Parameters!$B$12)*Parameters!$B$12)</f>
        <v>0</v>
      </c>
      <c r="O98" s="13">
        <f>MAX(0,INT(M98*Parameters!$B$14/Parameters!$B$13/Parameters!$B$12)*Parameters!$B$12)</f>
        <v>2326335</v>
      </c>
      <c r="P98" s="13">
        <f>N98*Parameters!$B$13*'H237 Tracker'!B98</f>
        <v>0</v>
      </c>
      <c r="Q98" s="13">
        <f>O98*Parameters!$B$13*'H237 Tracker'!C98</f>
        <v>455496.39299999998</v>
      </c>
      <c r="R98" s="13">
        <f t="shared" si="37"/>
        <v>902910.97699999984</v>
      </c>
      <c r="S98" s="13">
        <f t="shared" si="38"/>
        <v>2942234.9340000004</v>
      </c>
      <c r="T98" s="13">
        <f t="shared" si="28"/>
        <v>0</v>
      </c>
      <c r="U98" s="13">
        <f t="shared" si="29"/>
        <v>3945145.9110000003</v>
      </c>
      <c r="V98" s="12">
        <f t="shared" si="30"/>
        <v>0</v>
      </c>
      <c r="W98" t="str">
        <f>'H237 Tracker'!I98</f>
        <v>B</v>
      </c>
      <c r="X98">
        <f>'H237 Tracker'!J98</f>
        <v>33</v>
      </c>
      <c r="Y98" t="str">
        <f>'H237 Tracker'!K98</f>
        <v>B</v>
      </c>
      <c r="Z98" s="12">
        <f>'H237 Tracker'!O98</f>
        <v>0</v>
      </c>
      <c r="AA98" s="13">
        <f>'H237 Tracker'!P98</f>
        <v>0</v>
      </c>
      <c r="AB98" s="13">
        <f>'H237 Tracker'!Q98</f>
        <v>0</v>
      </c>
      <c r="AC98" s="13">
        <f t="shared" si="31"/>
        <v>0</v>
      </c>
      <c r="AD98" s="13">
        <f t="shared" si="32"/>
        <v>3945145.9110000003</v>
      </c>
      <c r="AE98" s="13">
        <f t="shared" si="33"/>
        <v>3945145.9110000003</v>
      </c>
      <c r="AF98" s="13">
        <f t="shared" si="39"/>
        <v>3945145.9110000003</v>
      </c>
      <c r="AG98" s="24">
        <f t="shared" si="34"/>
        <v>0</v>
      </c>
      <c r="AH98" s="8">
        <f>--(COUNTIF('Tax Events'!$A$4:$A$8,A98)&gt;0)</f>
        <v>0</v>
      </c>
      <c r="AI98" s="8">
        <f>--(COUNTIF('Tax Events'!$B$4:$B$9,A98)&gt;0)</f>
        <v>0</v>
      </c>
    </row>
    <row r="99" spans="1:35">
      <c r="A99" s="4">
        <f>'H237 Tracker'!A99</f>
        <v>43871</v>
      </c>
      <c r="B99" s="13">
        <f t="shared" si="35"/>
        <v>0</v>
      </c>
      <c r="C99" s="13">
        <f t="shared" si="36"/>
        <v>3945145.9110000003</v>
      </c>
      <c r="D99" s="13">
        <f t="shared" si="20"/>
        <v>0</v>
      </c>
      <c r="E99" s="13">
        <f t="shared" si="21"/>
        <v>3945145.9110000003</v>
      </c>
      <c r="F99" s="13">
        <f>IF(AH99=1,MAX(R98,0)*Parameters!$B$11,0)</f>
        <v>0</v>
      </c>
      <c r="G99" s="13">
        <f>IF(AI99=1,MAX(S98,0)*Parameters!$B$11,0)</f>
        <v>0</v>
      </c>
      <c r="H99" s="13">
        <f t="shared" si="22"/>
        <v>0</v>
      </c>
      <c r="I99" s="13">
        <f t="shared" si="23"/>
        <v>3945145.9110000003</v>
      </c>
      <c r="J99" s="13">
        <f t="shared" si="24"/>
        <v>0</v>
      </c>
      <c r="K99" s="13">
        <f t="shared" si="25"/>
        <v>0</v>
      </c>
      <c r="L99" s="13">
        <f t="shared" si="26"/>
        <v>0</v>
      </c>
      <c r="M99" s="13">
        <f t="shared" si="27"/>
        <v>3945145.9110000003</v>
      </c>
      <c r="N99" s="13">
        <f>MAX(0,INT(L99*Parameters!$B$14/Parameters!$B$13/Parameters!$B$12)*Parameters!$B$12)</f>
        <v>0</v>
      </c>
      <c r="O99" s="13">
        <f>MAX(0,INT(M99*Parameters!$B$14/Parameters!$B$13/Parameters!$B$12)*Parameters!$B$12)</f>
        <v>2630050</v>
      </c>
      <c r="P99" s="13">
        <f>N99*Parameters!$B$13*'H237 Tracker'!B99</f>
        <v>0</v>
      </c>
      <c r="Q99" s="13">
        <f>O99*Parameters!$B$13*'H237 Tracker'!C99</f>
        <v>794801.11</v>
      </c>
      <c r="R99" s="13">
        <f t="shared" si="37"/>
        <v>902910.97699999984</v>
      </c>
      <c r="S99" s="13">
        <f t="shared" si="38"/>
        <v>3737036.0440000002</v>
      </c>
      <c r="T99" s="13">
        <f t="shared" si="28"/>
        <v>0</v>
      </c>
      <c r="U99" s="13">
        <f t="shared" si="29"/>
        <v>4739947.0210000006</v>
      </c>
      <c r="V99" s="12">
        <f t="shared" si="30"/>
        <v>0</v>
      </c>
      <c r="W99" t="str">
        <f>'H237 Tracker'!I99</f>
        <v>B</v>
      </c>
      <c r="X99">
        <f>'H237 Tracker'!J99</f>
        <v>34</v>
      </c>
      <c r="Y99" t="str">
        <f>'H237 Tracker'!K99</f>
        <v>B</v>
      </c>
      <c r="Z99" s="12">
        <f>'H237 Tracker'!O99</f>
        <v>0</v>
      </c>
      <c r="AA99" s="13">
        <f>'H237 Tracker'!P99</f>
        <v>0</v>
      </c>
      <c r="AB99" s="13">
        <f>'H237 Tracker'!Q99</f>
        <v>0</v>
      </c>
      <c r="AC99" s="13">
        <f t="shared" si="31"/>
        <v>0</v>
      </c>
      <c r="AD99" s="13">
        <f t="shared" si="32"/>
        <v>4739947.0210000006</v>
      </c>
      <c r="AE99" s="13">
        <f t="shared" si="33"/>
        <v>4739947.0210000006</v>
      </c>
      <c r="AF99" s="13">
        <f t="shared" si="39"/>
        <v>4739947.0210000006</v>
      </c>
      <c r="AG99" s="24">
        <f t="shared" si="34"/>
        <v>0</v>
      </c>
      <c r="AH99" s="8">
        <f>--(COUNTIF('Tax Events'!$A$4:$A$8,A99)&gt;0)</f>
        <v>0</v>
      </c>
      <c r="AI99" s="8">
        <f>--(COUNTIF('Tax Events'!$B$4:$B$9,A99)&gt;0)</f>
        <v>0</v>
      </c>
    </row>
    <row r="100" spans="1:35">
      <c r="A100" s="4">
        <f>'H237 Tracker'!A100</f>
        <v>43878</v>
      </c>
      <c r="B100" s="13">
        <f t="shared" si="35"/>
        <v>0</v>
      </c>
      <c r="C100" s="13">
        <f t="shared" si="36"/>
        <v>4739947.0210000006</v>
      </c>
      <c r="D100" s="13">
        <f t="shared" si="20"/>
        <v>0</v>
      </c>
      <c r="E100" s="13">
        <f t="shared" si="21"/>
        <v>4739947.0210000006</v>
      </c>
      <c r="F100" s="13">
        <f>IF(AH100=1,MAX(R99,0)*Parameters!$B$11,0)</f>
        <v>0</v>
      </c>
      <c r="G100" s="13">
        <f>IF(AI100=1,MAX(S99,0)*Parameters!$B$11,0)</f>
        <v>0</v>
      </c>
      <c r="H100" s="13">
        <f t="shared" si="22"/>
        <v>0</v>
      </c>
      <c r="I100" s="13">
        <f t="shared" si="23"/>
        <v>4739947.0210000006</v>
      </c>
      <c r="J100" s="13">
        <f t="shared" si="24"/>
        <v>0</v>
      </c>
      <c r="K100" s="13">
        <f t="shared" si="25"/>
        <v>0</v>
      </c>
      <c r="L100" s="13">
        <f t="shared" si="26"/>
        <v>0</v>
      </c>
      <c r="M100" s="13">
        <f t="shared" si="27"/>
        <v>4739947.0210000006</v>
      </c>
      <c r="N100" s="13">
        <f>MAX(0,INT(L100*Parameters!$B$14/Parameters!$B$13/Parameters!$B$12)*Parameters!$B$12)</f>
        <v>0</v>
      </c>
      <c r="O100" s="13">
        <f>MAX(0,INT(M100*Parameters!$B$14/Parameters!$B$13/Parameters!$B$12)*Parameters!$B$12)</f>
        <v>3159855</v>
      </c>
      <c r="P100" s="13">
        <f>N100*Parameters!$B$13*'H237 Tracker'!B100</f>
        <v>0</v>
      </c>
      <c r="Q100" s="13">
        <f>O100*Parameters!$B$13*'H237 Tracker'!C100</f>
        <v>487881.61200000002</v>
      </c>
      <c r="R100" s="13">
        <f t="shared" si="37"/>
        <v>902910.97699999984</v>
      </c>
      <c r="S100" s="13">
        <f t="shared" si="38"/>
        <v>4224917.6560000004</v>
      </c>
      <c r="T100" s="13">
        <f t="shared" si="28"/>
        <v>0</v>
      </c>
      <c r="U100" s="13">
        <f t="shared" si="29"/>
        <v>5227828.6330000004</v>
      </c>
      <c r="V100" s="12">
        <f t="shared" si="30"/>
        <v>0</v>
      </c>
      <c r="W100" t="str">
        <f>'H237 Tracker'!I100</f>
        <v>B</v>
      </c>
      <c r="X100">
        <f>'H237 Tracker'!J100</f>
        <v>35</v>
      </c>
      <c r="Y100" t="str">
        <f>'H237 Tracker'!K100</f>
        <v>B</v>
      </c>
      <c r="Z100" s="12">
        <f>'H237 Tracker'!O100</f>
        <v>0</v>
      </c>
      <c r="AA100" s="13">
        <f>'H237 Tracker'!P100</f>
        <v>0</v>
      </c>
      <c r="AB100" s="13">
        <f>'H237 Tracker'!Q100</f>
        <v>0</v>
      </c>
      <c r="AC100" s="13">
        <f t="shared" si="31"/>
        <v>0</v>
      </c>
      <c r="AD100" s="13">
        <f t="shared" si="32"/>
        <v>5227828.6330000004</v>
      </c>
      <c r="AE100" s="13">
        <f t="shared" si="33"/>
        <v>5227828.6330000004</v>
      </c>
      <c r="AF100" s="13">
        <f t="shared" si="39"/>
        <v>5227828.6330000004</v>
      </c>
      <c r="AG100" s="24">
        <f t="shared" si="34"/>
        <v>0</v>
      </c>
      <c r="AH100" s="8">
        <f>--(COUNTIF('Tax Events'!$A$4:$A$8,A100)&gt;0)</f>
        <v>0</v>
      </c>
      <c r="AI100" s="8">
        <f>--(COUNTIF('Tax Events'!$B$4:$B$9,A100)&gt;0)</f>
        <v>0</v>
      </c>
    </row>
    <row r="101" spans="1:35">
      <c r="A101" s="4">
        <f>'H237 Tracker'!A101</f>
        <v>43885</v>
      </c>
      <c r="B101" s="13">
        <f t="shared" si="35"/>
        <v>0</v>
      </c>
      <c r="C101" s="13">
        <f t="shared" si="36"/>
        <v>5227828.6330000004</v>
      </c>
      <c r="D101" s="13">
        <f t="shared" si="20"/>
        <v>0</v>
      </c>
      <c r="E101" s="13">
        <f t="shared" si="21"/>
        <v>5227828.6330000004</v>
      </c>
      <c r="F101" s="13">
        <f>IF(AH101=1,MAX(R100,0)*Parameters!$B$11,0)</f>
        <v>0</v>
      </c>
      <c r="G101" s="13">
        <f>IF(AI101=1,MAX(S100,0)*Parameters!$B$11,0)</f>
        <v>0</v>
      </c>
      <c r="H101" s="13">
        <f t="shared" si="22"/>
        <v>0</v>
      </c>
      <c r="I101" s="13">
        <f t="shared" si="23"/>
        <v>5227828.6330000004</v>
      </c>
      <c r="J101" s="13">
        <f t="shared" si="24"/>
        <v>0</v>
      </c>
      <c r="K101" s="13">
        <f t="shared" si="25"/>
        <v>0</v>
      </c>
      <c r="L101" s="13">
        <f t="shared" si="26"/>
        <v>0</v>
      </c>
      <c r="M101" s="13">
        <f t="shared" si="27"/>
        <v>5227828.6330000004</v>
      </c>
      <c r="N101" s="13">
        <f>MAX(0,INT(L101*Parameters!$B$14/Parameters!$B$13/Parameters!$B$12)*Parameters!$B$12)</f>
        <v>0</v>
      </c>
      <c r="O101" s="13">
        <f>MAX(0,INT(M101*Parameters!$B$14/Parameters!$B$13/Parameters!$B$12)*Parameters!$B$12)</f>
        <v>3485190</v>
      </c>
      <c r="P101" s="13">
        <f>N101*Parameters!$B$13*'H237 Tracker'!B101</f>
        <v>0</v>
      </c>
      <c r="Q101" s="13">
        <f>O101*Parameters!$B$13*'H237 Tracker'!C101</f>
        <v>0</v>
      </c>
      <c r="R101" s="13">
        <f t="shared" si="37"/>
        <v>902910.97699999984</v>
      </c>
      <c r="S101" s="13">
        <f t="shared" si="38"/>
        <v>4224917.6560000004</v>
      </c>
      <c r="T101" s="13">
        <f t="shared" si="28"/>
        <v>0</v>
      </c>
      <c r="U101" s="13">
        <f t="shared" si="29"/>
        <v>5227828.6330000004</v>
      </c>
      <c r="V101" s="12">
        <f t="shared" si="30"/>
        <v>0</v>
      </c>
      <c r="W101" t="str">
        <f>'H237 Tracker'!I101</f>
        <v>B</v>
      </c>
      <c r="X101">
        <f>'H237 Tracker'!J101</f>
        <v>36</v>
      </c>
      <c r="Y101" t="str">
        <f>'H237 Tracker'!K101</f>
        <v>B</v>
      </c>
      <c r="Z101" s="12">
        <f>'H237 Tracker'!O101</f>
        <v>0</v>
      </c>
      <c r="AA101" s="13">
        <f>'H237 Tracker'!P101</f>
        <v>0</v>
      </c>
      <c r="AB101" s="13">
        <f>'H237 Tracker'!Q101</f>
        <v>0</v>
      </c>
      <c r="AC101" s="13">
        <f t="shared" si="31"/>
        <v>0</v>
      </c>
      <c r="AD101" s="13">
        <f t="shared" si="32"/>
        <v>5227828.6330000004</v>
      </c>
      <c r="AE101" s="13">
        <f t="shared" si="33"/>
        <v>5227828.6330000004</v>
      </c>
      <c r="AF101" s="13">
        <f t="shared" si="39"/>
        <v>5227828.6330000004</v>
      </c>
      <c r="AG101" s="24">
        <f t="shared" si="34"/>
        <v>0</v>
      </c>
      <c r="AH101" s="8">
        <f>--(COUNTIF('Tax Events'!$A$4:$A$8,A101)&gt;0)</f>
        <v>0</v>
      </c>
      <c r="AI101" s="8">
        <f>--(COUNTIF('Tax Events'!$B$4:$B$9,A101)&gt;0)</f>
        <v>0</v>
      </c>
    </row>
    <row r="102" spans="1:35">
      <c r="A102" s="4">
        <f>'H237 Tracker'!A102</f>
        <v>43892</v>
      </c>
      <c r="B102" s="13">
        <f t="shared" si="35"/>
        <v>0</v>
      </c>
      <c r="C102" s="13">
        <f t="shared" si="36"/>
        <v>5227828.6330000004</v>
      </c>
      <c r="D102" s="13">
        <f t="shared" si="20"/>
        <v>0</v>
      </c>
      <c r="E102" s="13">
        <f t="shared" si="21"/>
        <v>5227828.6330000004</v>
      </c>
      <c r="F102" s="13">
        <f>IF(AH102=1,MAX(R101,0)*Parameters!$B$11,0)</f>
        <v>0</v>
      </c>
      <c r="G102" s="13">
        <f>IF(AI102=1,MAX(S101,0)*Parameters!$B$11,0)</f>
        <v>0</v>
      </c>
      <c r="H102" s="13">
        <f t="shared" si="22"/>
        <v>0</v>
      </c>
      <c r="I102" s="13">
        <f t="shared" si="23"/>
        <v>5227828.6330000004</v>
      </c>
      <c r="J102" s="13">
        <f t="shared" si="24"/>
        <v>0</v>
      </c>
      <c r="K102" s="13">
        <f t="shared" si="25"/>
        <v>0</v>
      </c>
      <c r="L102" s="13">
        <f t="shared" si="26"/>
        <v>0</v>
      </c>
      <c r="M102" s="13">
        <f t="shared" si="27"/>
        <v>5227828.6330000004</v>
      </c>
      <c r="N102" s="13">
        <f>MAX(0,INT(L102*Parameters!$B$14/Parameters!$B$13/Parameters!$B$12)*Parameters!$B$12)</f>
        <v>0</v>
      </c>
      <c r="O102" s="13">
        <f>MAX(0,INT(M102*Parameters!$B$14/Parameters!$B$13/Parameters!$B$12)*Parameters!$B$12)</f>
        <v>3485190</v>
      </c>
      <c r="P102" s="13">
        <f>N102*Parameters!$B$13*'H237 Tracker'!B102</f>
        <v>0</v>
      </c>
      <c r="Q102" s="13">
        <f>O102*Parameters!$B$13*'H237 Tracker'!C102</f>
        <v>0</v>
      </c>
      <c r="R102" s="13">
        <f t="shared" si="37"/>
        <v>902910.97699999984</v>
      </c>
      <c r="S102" s="13">
        <f t="shared" si="38"/>
        <v>4224917.6560000004</v>
      </c>
      <c r="T102" s="13">
        <f t="shared" si="28"/>
        <v>0</v>
      </c>
      <c r="U102" s="13">
        <f t="shared" si="29"/>
        <v>5227828.6330000004</v>
      </c>
      <c r="V102" s="12">
        <f t="shared" si="30"/>
        <v>0</v>
      </c>
      <c r="W102" t="str">
        <f>'H237 Tracker'!I102</f>
        <v>A</v>
      </c>
      <c r="X102">
        <f>'H237 Tracker'!J102</f>
        <v>1</v>
      </c>
      <c r="Y102" t="str">
        <f>'H237 Tracker'!K102</f>
        <v>HOLD</v>
      </c>
      <c r="Z102" s="12">
        <f>'H237 Tracker'!O102</f>
        <v>0</v>
      </c>
      <c r="AA102" s="13">
        <f>'H237 Tracker'!P102</f>
        <v>0</v>
      </c>
      <c r="AB102" s="13">
        <f>'H237 Tracker'!Q102</f>
        <v>0</v>
      </c>
      <c r="AC102" s="13">
        <f t="shared" si="31"/>
        <v>0</v>
      </c>
      <c r="AD102" s="13">
        <f t="shared" si="32"/>
        <v>5227828.6330000004</v>
      </c>
      <c r="AE102" s="13">
        <f t="shared" si="33"/>
        <v>5227828.6330000004</v>
      </c>
      <c r="AF102" s="13">
        <f t="shared" si="39"/>
        <v>5227828.6330000004</v>
      </c>
      <c r="AG102" s="24">
        <f t="shared" si="34"/>
        <v>0</v>
      </c>
      <c r="AH102" s="8">
        <f>--(COUNTIF('Tax Events'!$A$4:$A$8,A102)&gt;0)</f>
        <v>0</v>
      </c>
      <c r="AI102" s="8">
        <f>--(COUNTIF('Tax Events'!$B$4:$B$9,A102)&gt;0)</f>
        <v>0</v>
      </c>
    </row>
    <row r="103" spans="1:35">
      <c r="A103" s="4">
        <f>'H237 Tracker'!A103</f>
        <v>43899</v>
      </c>
      <c r="B103" s="13">
        <f t="shared" si="35"/>
        <v>0</v>
      </c>
      <c r="C103" s="13">
        <f t="shared" si="36"/>
        <v>5227828.6330000004</v>
      </c>
      <c r="D103" s="13">
        <f t="shared" si="20"/>
        <v>0</v>
      </c>
      <c r="E103" s="13">
        <f t="shared" si="21"/>
        <v>5227828.6330000004</v>
      </c>
      <c r="F103" s="13">
        <f>IF(AH103=1,MAX(R102,0)*Parameters!$B$11,0)</f>
        <v>0</v>
      </c>
      <c r="G103" s="13">
        <f>IF(AI103=1,MAX(S102,0)*Parameters!$B$11,0)</f>
        <v>0</v>
      </c>
      <c r="H103" s="13">
        <f t="shared" si="22"/>
        <v>0</v>
      </c>
      <c r="I103" s="13">
        <f t="shared" si="23"/>
        <v>5227828.6330000004</v>
      </c>
      <c r="J103" s="13">
        <f t="shared" si="24"/>
        <v>0</v>
      </c>
      <c r="K103" s="13">
        <f t="shared" si="25"/>
        <v>0</v>
      </c>
      <c r="L103" s="13">
        <f t="shared" si="26"/>
        <v>0</v>
      </c>
      <c r="M103" s="13">
        <f t="shared" si="27"/>
        <v>5227828.6330000004</v>
      </c>
      <c r="N103" s="13">
        <f>MAX(0,INT(L103*Parameters!$B$14/Parameters!$B$13/Parameters!$B$12)*Parameters!$B$12)</f>
        <v>0</v>
      </c>
      <c r="O103" s="13">
        <f>MAX(0,INT(M103*Parameters!$B$14/Parameters!$B$13/Parameters!$B$12)*Parameters!$B$12)</f>
        <v>3485190</v>
      </c>
      <c r="P103" s="13">
        <f>N103*Parameters!$B$13*'H237 Tracker'!B103</f>
        <v>0</v>
      </c>
      <c r="Q103" s="13">
        <f>O103*Parameters!$B$13*'H237 Tracker'!C103</f>
        <v>0</v>
      </c>
      <c r="R103" s="13">
        <f t="shared" si="37"/>
        <v>902910.97699999984</v>
      </c>
      <c r="S103" s="13">
        <f t="shared" si="38"/>
        <v>4224917.6560000004</v>
      </c>
      <c r="T103" s="13">
        <f t="shared" si="28"/>
        <v>0</v>
      </c>
      <c r="U103" s="13">
        <f t="shared" si="29"/>
        <v>5227828.6330000004</v>
      </c>
      <c r="V103" s="12">
        <f t="shared" si="30"/>
        <v>0</v>
      </c>
      <c r="W103" t="str">
        <f>'H237 Tracker'!I103</f>
        <v>A</v>
      </c>
      <c r="X103">
        <f>'H237 Tracker'!J103</f>
        <v>2</v>
      </c>
      <c r="Y103" t="str">
        <f>'H237 Tracker'!K103</f>
        <v>HOLD</v>
      </c>
      <c r="Z103" s="12">
        <f>'H237 Tracker'!O103</f>
        <v>0</v>
      </c>
      <c r="AA103" s="13">
        <f>'H237 Tracker'!P103</f>
        <v>0</v>
      </c>
      <c r="AB103" s="13">
        <f>'H237 Tracker'!Q103</f>
        <v>0</v>
      </c>
      <c r="AC103" s="13">
        <f t="shared" si="31"/>
        <v>0</v>
      </c>
      <c r="AD103" s="13">
        <f t="shared" si="32"/>
        <v>5227828.6330000004</v>
      </c>
      <c r="AE103" s="13">
        <f t="shared" si="33"/>
        <v>5227828.6330000004</v>
      </c>
      <c r="AF103" s="13">
        <f t="shared" si="39"/>
        <v>5227828.6330000004</v>
      </c>
      <c r="AG103" s="24">
        <f t="shared" si="34"/>
        <v>0</v>
      </c>
      <c r="AH103" s="8">
        <f>--(COUNTIF('Tax Events'!$A$4:$A$8,A103)&gt;0)</f>
        <v>0</v>
      </c>
      <c r="AI103" s="8">
        <f>--(COUNTIF('Tax Events'!$B$4:$B$9,A103)&gt;0)</f>
        <v>0</v>
      </c>
    </row>
    <row r="104" spans="1:35">
      <c r="A104" s="4">
        <f>'H237 Tracker'!A104</f>
        <v>43906</v>
      </c>
      <c r="B104" s="13">
        <f t="shared" si="35"/>
        <v>0</v>
      </c>
      <c r="C104" s="13">
        <f t="shared" si="36"/>
        <v>5227828.6330000004</v>
      </c>
      <c r="D104" s="13">
        <f t="shared" si="20"/>
        <v>0</v>
      </c>
      <c r="E104" s="13">
        <f t="shared" si="21"/>
        <v>5227828.6330000004</v>
      </c>
      <c r="F104" s="13">
        <f>IF(AH104=1,MAX(R103,0)*Parameters!$B$11,0)</f>
        <v>0</v>
      </c>
      <c r="G104" s="13">
        <f>IF(AI104=1,MAX(S103,0)*Parameters!$B$11,0)</f>
        <v>0</v>
      </c>
      <c r="H104" s="13">
        <f t="shared" si="22"/>
        <v>0</v>
      </c>
      <c r="I104" s="13">
        <f t="shared" si="23"/>
        <v>5227828.6330000004</v>
      </c>
      <c r="J104" s="13">
        <f t="shared" si="24"/>
        <v>0</v>
      </c>
      <c r="K104" s="13">
        <f t="shared" si="25"/>
        <v>0</v>
      </c>
      <c r="L104" s="13">
        <f t="shared" si="26"/>
        <v>0</v>
      </c>
      <c r="M104" s="13">
        <f t="shared" si="27"/>
        <v>5227828.6330000004</v>
      </c>
      <c r="N104" s="13">
        <f>MAX(0,INT(L104*Parameters!$B$14/Parameters!$B$13/Parameters!$B$12)*Parameters!$B$12)</f>
        <v>0</v>
      </c>
      <c r="O104" s="13">
        <f>MAX(0,INT(M104*Parameters!$B$14/Parameters!$B$13/Parameters!$B$12)*Parameters!$B$12)</f>
        <v>3485190</v>
      </c>
      <c r="P104" s="13">
        <f>N104*Parameters!$B$13*'H237 Tracker'!B104</f>
        <v>0</v>
      </c>
      <c r="Q104" s="13">
        <f>O104*Parameters!$B$13*'H237 Tracker'!C104</f>
        <v>0</v>
      </c>
      <c r="R104" s="13">
        <f t="shared" si="37"/>
        <v>902910.97699999984</v>
      </c>
      <c r="S104" s="13">
        <f t="shared" si="38"/>
        <v>4224917.6560000004</v>
      </c>
      <c r="T104" s="13">
        <f t="shared" si="28"/>
        <v>0</v>
      </c>
      <c r="U104" s="13">
        <f t="shared" si="29"/>
        <v>5227828.6330000004</v>
      </c>
      <c r="V104" s="12">
        <f t="shared" si="30"/>
        <v>0</v>
      </c>
      <c r="W104" t="str">
        <f>'H237 Tracker'!I104</f>
        <v>A</v>
      </c>
      <c r="X104">
        <f>'H237 Tracker'!J104</f>
        <v>3</v>
      </c>
      <c r="Y104" t="str">
        <f>'H237 Tracker'!K104</f>
        <v>A</v>
      </c>
      <c r="Z104" s="12">
        <f>'H237 Tracker'!O104</f>
        <v>0.1</v>
      </c>
      <c r="AA104" s="13">
        <f>'H237 Tracker'!P104</f>
        <v>0</v>
      </c>
      <c r="AB104" s="13">
        <f>'H237 Tracker'!Q104</f>
        <v>522782.86330000008</v>
      </c>
      <c r="AC104" s="13">
        <f t="shared" si="31"/>
        <v>522782.86330000008</v>
      </c>
      <c r="AD104" s="13">
        <f t="shared" si="32"/>
        <v>4705045.7697000001</v>
      </c>
      <c r="AE104" s="13">
        <f t="shared" si="33"/>
        <v>5227828.6330000004</v>
      </c>
      <c r="AF104" s="13">
        <f t="shared" si="39"/>
        <v>5227828.6330000004</v>
      </c>
      <c r="AG104" s="24">
        <f t="shared" si="34"/>
        <v>0</v>
      </c>
      <c r="AH104" s="8">
        <f>--(COUNTIF('Tax Events'!$A$4:$A$8,A104)&gt;0)</f>
        <v>0</v>
      </c>
      <c r="AI104" s="8">
        <f>--(COUNTIF('Tax Events'!$B$4:$B$9,A104)&gt;0)</f>
        <v>0</v>
      </c>
    </row>
    <row r="105" spans="1:35">
      <c r="A105" s="4">
        <f>'H237 Tracker'!A105</f>
        <v>43913</v>
      </c>
      <c r="B105" s="13">
        <f t="shared" si="35"/>
        <v>522782.86330000008</v>
      </c>
      <c r="C105" s="13">
        <f t="shared" si="36"/>
        <v>4705045.7697000001</v>
      </c>
      <c r="D105" s="13">
        <f t="shared" si="20"/>
        <v>522782.86330000008</v>
      </c>
      <c r="E105" s="13">
        <f t="shared" si="21"/>
        <v>4705045.7697000001</v>
      </c>
      <c r="F105" s="13">
        <f>IF(AH105=1,MAX(R104,0)*Parameters!$B$11,0)</f>
        <v>0</v>
      </c>
      <c r="G105" s="13">
        <f>IF(AI105=1,MAX(S104,0)*Parameters!$B$11,0)</f>
        <v>0</v>
      </c>
      <c r="H105" s="13">
        <f t="shared" si="22"/>
        <v>522782.86330000008</v>
      </c>
      <c r="I105" s="13">
        <f t="shared" si="23"/>
        <v>4705045.7697000001</v>
      </c>
      <c r="J105" s="13">
        <f t="shared" si="24"/>
        <v>0</v>
      </c>
      <c r="K105" s="13">
        <f t="shared" si="25"/>
        <v>0</v>
      </c>
      <c r="L105" s="13">
        <f t="shared" si="26"/>
        <v>522782.86330000008</v>
      </c>
      <c r="M105" s="13">
        <f t="shared" si="27"/>
        <v>4705045.7697000001</v>
      </c>
      <c r="N105" s="13">
        <f>MAX(0,INT(L105*Parameters!$B$14/Parameters!$B$13/Parameters!$B$12)*Parameters!$B$12)</f>
        <v>348450</v>
      </c>
      <c r="O105" s="13">
        <f>MAX(0,INT(M105*Parameters!$B$14/Parameters!$B$13/Parameters!$B$12)*Parameters!$B$12)</f>
        <v>3136625</v>
      </c>
      <c r="P105" s="13">
        <f>N105*Parameters!$B$13*'H237 Tracker'!B105</f>
        <v>71083.8</v>
      </c>
      <c r="Q105" s="13">
        <f>O105*Parameters!$B$13*'H237 Tracker'!C105</f>
        <v>-956670.625</v>
      </c>
      <c r="R105" s="13">
        <f t="shared" si="37"/>
        <v>973994.77699999989</v>
      </c>
      <c r="S105" s="13">
        <f t="shared" si="38"/>
        <v>3268247.0310000004</v>
      </c>
      <c r="T105" s="13">
        <f t="shared" si="28"/>
        <v>593866.66330000013</v>
      </c>
      <c r="U105" s="13">
        <f t="shared" si="29"/>
        <v>3748375.1447000001</v>
      </c>
      <c r="V105" s="12">
        <f t="shared" si="30"/>
        <v>0.13676499134752934</v>
      </c>
      <c r="W105" t="str">
        <f>'H237 Tracker'!I105</f>
        <v>A</v>
      </c>
      <c r="X105">
        <f>'H237 Tracker'!J105</f>
        <v>4</v>
      </c>
      <c r="Y105" t="str">
        <f>'H237 Tracker'!K105</f>
        <v>A</v>
      </c>
      <c r="Z105" s="12">
        <f>'H237 Tracker'!O105</f>
        <v>0.23676499134752935</v>
      </c>
      <c r="AA105" s="13">
        <f>'H237 Tracker'!P105</f>
        <v>0</v>
      </c>
      <c r="AB105" s="13">
        <f>'H237 Tracker'!Q105</f>
        <v>434224.18080000009</v>
      </c>
      <c r="AC105" s="13">
        <f t="shared" si="31"/>
        <v>1028090.8441000002</v>
      </c>
      <c r="AD105" s="13">
        <f t="shared" si="32"/>
        <v>3314150.9638999999</v>
      </c>
      <c r="AE105" s="13">
        <f t="shared" si="33"/>
        <v>4342241.8080000002</v>
      </c>
      <c r="AF105" s="13">
        <f t="shared" si="39"/>
        <v>5227828.6330000004</v>
      </c>
      <c r="AG105" s="24">
        <f t="shared" si="34"/>
        <v>-0.16939859493669063</v>
      </c>
      <c r="AH105" s="8">
        <f>--(COUNTIF('Tax Events'!$A$4:$A$8,A105)&gt;0)</f>
        <v>0</v>
      </c>
      <c r="AI105" s="8">
        <f>--(COUNTIF('Tax Events'!$B$4:$B$9,A105)&gt;0)</f>
        <v>0</v>
      </c>
    </row>
    <row r="106" spans="1:35">
      <c r="A106" s="4">
        <f>'H237 Tracker'!A106</f>
        <v>43920</v>
      </c>
      <c r="B106" s="13">
        <f t="shared" si="35"/>
        <v>1028090.8441000002</v>
      </c>
      <c r="C106" s="13">
        <f t="shared" si="36"/>
        <v>3314150.9638999999</v>
      </c>
      <c r="D106" s="13">
        <f t="shared" si="20"/>
        <v>1028090.8441000002</v>
      </c>
      <c r="E106" s="13">
        <f t="shared" si="21"/>
        <v>3314150.9638999999</v>
      </c>
      <c r="F106" s="13">
        <f>IF(AH106=1,MAX(R105,0)*Parameters!$B$11,0)</f>
        <v>0</v>
      </c>
      <c r="G106" s="13">
        <f>IF(AI106=1,MAX(S105,0)*Parameters!$B$11,0)</f>
        <v>0</v>
      </c>
      <c r="H106" s="13">
        <f t="shared" si="22"/>
        <v>1028090.8441000002</v>
      </c>
      <c r="I106" s="13">
        <f t="shared" si="23"/>
        <v>3314150.9638999999</v>
      </c>
      <c r="J106" s="13">
        <f t="shared" si="24"/>
        <v>0</v>
      </c>
      <c r="K106" s="13">
        <f t="shared" si="25"/>
        <v>0</v>
      </c>
      <c r="L106" s="13">
        <f t="shared" si="26"/>
        <v>1028090.8441000002</v>
      </c>
      <c r="M106" s="13">
        <f t="shared" si="27"/>
        <v>3314150.9638999999</v>
      </c>
      <c r="N106" s="13">
        <f>MAX(0,INT(L106*Parameters!$B$14/Parameters!$B$13/Parameters!$B$12)*Parameters!$B$12)</f>
        <v>685285</v>
      </c>
      <c r="O106" s="13">
        <f>MAX(0,INT(M106*Parameters!$B$14/Parameters!$B$13/Parameters!$B$12)*Parameters!$B$12)</f>
        <v>2209380</v>
      </c>
      <c r="P106" s="13">
        <f>N106*Parameters!$B$13*'H237 Tracker'!B106</f>
        <v>349358.29300000001</v>
      </c>
      <c r="Q106" s="13">
        <f>O106*Parameters!$B$13*'H237 Tracker'!C106</f>
        <v>0</v>
      </c>
      <c r="R106" s="13">
        <f t="shared" si="37"/>
        <v>1323353.0699999998</v>
      </c>
      <c r="S106" s="13">
        <f t="shared" si="38"/>
        <v>3268247.0310000004</v>
      </c>
      <c r="T106" s="13">
        <f t="shared" si="28"/>
        <v>1377449.1371000002</v>
      </c>
      <c r="U106" s="13">
        <f t="shared" si="29"/>
        <v>3314150.9638999999</v>
      </c>
      <c r="V106" s="12">
        <f t="shared" si="30"/>
        <v>0.29359900832264052</v>
      </c>
      <c r="W106" t="str">
        <f>'H237 Tracker'!I106</f>
        <v>A</v>
      </c>
      <c r="X106">
        <f>'H237 Tracker'!J106</f>
        <v>5</v>
      </c>
      <c r="Y106" t="str">
        <f>'H237 Tracker'!K106</f>
        <v>A</v>
      </c>
      <c r="Z106" s="12">
        <f>'H237 Tracker'!O106</f>
        <v>0.3935990083226405</v>
      </c>
      <c r="AA106" s="13">
        <f>'H237 Tracker'!P106</f>
        <v>0</v>
      </c>
      <c r="AB106" s="13">
        <f>'H237 Tracker'!Q106</f>
        <v>469160.01009999984</v>
      </c>
      <c r="AC106" s="13">
        <f t="shared" si="31"/>
        <v>1846609.1472</v>
      </c>
      <c r="AD106" s="13">
        <f t="shared" si="32"/>
        <v>2844990.9538000003</v>
      </c>
      <c r="AE106" s="13">
        <f t="shared" si="33"/>
        <v>4691600.1009999998</v>
      </c>
      <c r="AF106" s="13">
        <f t="shared" si="39"/>
        <v>5227828.6330000004</v>
      </c>
      <c r="AG106" s="24">
        <f t="shared" si="34"/>
        <v>-0.10257194136302139</v>
      </c>
      <c r="AH106" s="8">
        <f>--(COUNTIF('Tax Events'!$A$4:$A$8,A106)&gt;0)</f>
        <v>0</v>
      </c>
      <c r="AI106" s="8">
        <f>--(COUNTIF('Tax Events'!$B$4:$B$9,A106)&gt;0)</f>
        <v>0</v>
      </c>
    </row>
    <row r="107" spans="1:35">
      <c r="A107" s="4">
        <f>'H237 Tracker'!A107</f>
        <v>43927</v>
      </c>
      <c r="B107" s="13">
        <f t="shared" si="35"/>
        <v>1846609.1472</v>
      </c>
      <c r="C107" s="13">
        <f t="shared" si="36"/>
        <v>2844990.9538000003</v>
      </c>
      <c r="D107" s="13">
        <f t="shared" si="20"/>
        <v>1846609.1472</v>
      </c>
      <c r="E107" s="13">
        <f t="shared" si="21"/>
        <v>2844990.9538000003</v>
      </c>
      <c r="F107" s="13">
        <f>IF(AH107=1,MAX(R106,0)*Parameters!$B$11,0)</f>
        <v>0</v>
      </c>
      <c r="G107" s="13">
        <f>IF(AI107=1,MAX(S106,0)*Parameters!$B$11,0)</f>
        <v>0</v>
      </c>
      <c r="H107" s="13">
        <f t="shared" si="22"/>
        <v>1846609.1472</v>
      </c>
      <c r="I107" s="13">
        <f t="shared" si="23"/>
        <v>2844990.9538000003</v>
      </c>
      <c r="J107" s="13">
        <f t="shared" si="24"/>
        <v>0</v>
      </c>
      <c r="K107" s="13">
        <f t="shared" si="25"/>
        <v>0</v>
      </c>
      <c r="L107" s="13">
        <f t="shared" si="26"/>
        <v>1846609.1472</v>
      </c>
      <c r="M107" s="13">
        <f t="shared" si="27"/>
        <v>2844990.9538000003</v>
      </c>
      <c r="N107" s="13">
        <f>MAX(0,INT(L107*Parameters!$B$14/Parameters!$B$13/Parameters!$B$12)*Parameters!$B$12)</f>
        <v>1230960</v>
      </c>
      <c r="O107" s="13">
        <f>MAX(0,INT(M107*Parameters!$B$14/Parameters!$B$13/Parameters!$B$12)*Parameters!$B$12)</f>
        <v>1896580</v>
      </c>
      <c r="P107" s="13">
        <f>N107*Parameters!$B$13*'H237 Tracker'!B107</f>
        <v>686875.68</v>
      </c>
      <c r="Q107" s="13">
        <f>O107*Parameters!$B$13*'H237 Tracker'!C107</f>
        <v>0</v>
      </c>
      <c r="R107" s="13">
        <f t="shared" si="37"/>
        <v>2010228.75</v>
      </c>
      <c r="S107" s="13">
        <f t="shared" si="38"/>
        <v>3268247.0310000004</v>
      </c>
      <c r="T107" s="13">
        <f t="shared" si="28"/>
        <v>2533484.8272000002</v>
      </c>
      <c r="U107" s="13">
        <f t="shared" si="29"/>
        <v>2844990.9538000003</v>
      </c>
      <c r="V107" s="12">
        <f t="shared" si="30"/>
        <v>0.47104141216918494</v>
      </c>
      <c r="W107" t="str">
        <f>'H237 Tracker'!I107</f>
        <v>A</v>
      </c>
      <c r="X107">
        <f>'H237 Tracker'!J107</f>
        <v>6</v>
      </c>
      <c r="Y107" t="str">
        <f>'H237 Tracker'!K107</f>
        <v>A</v>
      </c>
      <c r="Z107" s="12">
        <f>'H237 Tracker'!O107</f>
        <v>0.57104141216918491</v>
      </c>
      <c r="AA107" s="13">
        <f>'H237 Tracker'!P107</f>
        <v>0</v>
      </c>
      <c r="AB107" s="13">
        <f>'H237 Tracker'!Q107</f>
        <v>537847.57809999958</v>
      </c>
      <c r="AC107" s="13">
        <f t="shared" si="31"/>
        <v>3071332.4052999998</v>
      </c>
      <c r="AD107" s="13">
        <f t="shared" si="32"/>
        <v>2307143.3757000007</v>
      </c>
      <c r="AE107" s="13">
        <f t="shared" si="33"/>
        <v>5378475.7810000004</v>
      </c>
      <c r="AF107" s="13">
        <f t="shared" si="39"/>
        <v>5378475.7810000004</v>
      </c>
      <c r="AG107" s="24">
        <f t="shared" si="34"/>
        <v>0</v>
      </c>
      <c r="AH107" s="8">
        <f>--(COUNTIF('Tax Events'!$A$4:$A$8,A107)&gt;0)</f>
        <v>0</v>
      </c>
      <c r="AI107" s="8">
        <f>--(COUNTIF('Tax Events'!$B$4:$B$9,A107)&gt;0)</f>
        <v>0</v>
      </c>
    </row>
    <row r="108" spans="1:35">
      <c r="A108" s="4">
        <f>'H237 Tracker'!A108</f>
        <v>43934</v>
      </c>
      <c r="B108" s="13">
        <f t="shared" si="35"/>
        <v>3071332.4052999998</v>
      </c>
      <c r="C108" s="13">
        <f t="shared" si="36"/>
        <v>2307143.3757000007</v>
      </c>
      <c r="D108" s="13">
        <f t="shared" si="20"/>
        <v>3071332.4052999998</v>
      </c>
      <c r="E108" s="13">
        <f t="shared" si="21"/>
        <v>2307143.3757000007</v>
      </c>
      <c r="F108" s="13">
        <f>IF(AH108=1,MAX(R107,0)*Parameters!$B$11,0)</f>
        <v>0</v>
      </c>
      <c r="G108" s="13">
        <f>IF(AI108=1,MAX(S107,0)*Parameters!$B$11,0)</f>
        <v>0</v>
      </c>
      <c r="H108" s="13">
        <f t="shared" si="22"/>
        <v>3071332.4052999998</v>
      </c>
      <c r="I108" s="13">
        <f t="shared" si="23"/>
        <v>2307143.3757000007</v>
      </c>
      <c r="J108" s="13">
        <f t="shared" si="24"/>
        <v>0</v>
      </c>
      <c r="K108" s="13">
        <f t="shared" si="25"/>
        <v>0</v>
      </c>
      <c r="L108" s="13">
        <f t="shared" si="26"/>
        <v>3071332.4052999998</v>
      </c>
      <c r="M108" s="13">
        <f t="shared" si="27"/>
        <v>2307143.3757000007</v>
      </c>
      <c r="N108" s="13">
        <f>MAX(0,INT(L108*Parameters!$B$14/Parameters!$B$13/Parameters!$B$12)*Parameters!$B$12)</f>
        <v>2047460</v>
      </c>
      <c r="O108" s="13">
        <f>MAX(0,INT(M108*Parameters!$B$14/Parameters!$B$13/Parameters!$B$12)*Parameters!$B$12)</f>
        <v>1538010</v>
      </c>
      <c r="P108" s="13">
        <f>N108*Parameters!$B$13*'H237 Tracker'!B108</f>
        <v>669928.91200000001</v>
      </c>
      <c r="Q108" s="13">
        <f>O108*Parameters!$B$13*'H237 Tracker'!C108</f>
        <v>503236.87199999997</v>
      </c>
      <c r="R108" s="13">
        <f t="shared" si="37"/>
        <v>2680157.662</v>
      </c>
      <c r="S108" s="13">
        <f t="shared" si="38"/>
        <v>3771483.9030000004</v>
      </c>
      <c r="T108" s="13">
        <f t="shared" si="28"/>
        <v>3741261.3172999998</v>
      </c>
      <c r="U108" s="13">
        <f t="shared" si="29"/>
        <v>2810380.2477000006</v>
      </c>
      <c r="V108" s="12">
        <f t="shared" si="30"/>
        <v>0.57104181908950313</v>
      </c>
      <c r="W108" t="str">
        <f>'H237 Tracker'!I108</f>
        <v>A</v>
      </c>
      <c r="X108">
        <f>'H237 Tracker'!J108</f>
        <v>7</v>
      </c>
      <c r="Y108" t="str">
        <f>'H237 Tracker'!K108</f>
        <v>A</v>
      </c>
      <c r="Z108" s="12">
        <f>'H237 Tracker'!O108</f>
        <v>0.67104181908950311</v>
      </c>
      <c r="AA108" s="13">
        <f>'H237 Tracker'!P108</f>
        <v>0</v>
      </c>
      <c r="AB108" s="13">
        <f>'H237 Tracker'!Q108</f>
        <v>655164.15649999911</v>
      </c>
      <c r="AC108" s="13">
        <f t="shared" si="31"/>
        <v>4396425.4737999989</v>
      </c>
      <c r="AD108" s="13">
        <f t="shared" si="32"/>
        <v>2155216.0912000015</v>
      </c>
      <c r="AE108" s="13">
        <f t="shared" si="33"/>
        <v>6551641.5650000004</v>
      </c>
      <c r="AF108" s="13">
        <f t="shared" si="39"/>
        <v>6551641.5650000004</v>
      </c>
      <c r="AG108" s="24">
        <f t="shared" si="34"/>
        <v>0</v>
      </c>
      <c r="AH108" s="8">
        <f>--(COUNTIF('Tax Events'!$A$4:$A$8,A108)&gt;0)</f>
        <v>0</v>
      </c>
      <c r="AI108" s="8">
        <f>--(COUNTIF('Tax Events'!$B$4:$B$9,A108)&gt;0)</f>
        <v>0</v>
      </c>
    </row>
    <row r="109" spans="1:35">
      <c r="A109" s="4">
        <f>'H237 Tracker'!A109</f>
        <v>43941</v>
      </c>
      <c r="B109" s="13">
        <f t="shared" si="35"/>
        <v>4396425.4737999989</v>
      </c>
      <c r="C109" s="13">
        <f t="shared" si="36"/>
        <v>2155216.0912000015</v>
      </c>
      <c r="D109" s="13">
        <f t="shared" si="20"/>
        <v>4396425.4737999989</v>
      </c>
      <c r="E109" s="13">
        <f t="shared" si="21"/>
        <v>2155216.0912000015</v>
      </c>
      <c r="F109" s="13">
        <f>IF(AH109=1,MAX(R108,0)*Parameters!$B$11,0)</f>
        <v>0</v>
      </c>
      <c r="G109" s="13">
        <f>IF(AI109=1,MAX(S108,0)*Parameters!$B$11,0)</f>
        <v>0</v>
      </c>
      <c r="H109" s="13">
        <f t="shared" si="22"/>
        <v>4396425.4737999989</v>
      </c>
      <c r="I109" s="13">
        <f t="shared" si="23"/>
        <v>2155216.0912000015</v>
      </c>
      <c r="J109" s="13">
        <f t="shared" si="24"/>
        <v>0</v>
      </c>
      <c r="K109" s="13">
        <f t="shared" si="25"/>
        <v>0</v>
      </c>
      <c r="L109" s="13">
        <f t="shared" si="26"/>
        <v>4396425.4737999989</v>
      </c>
      <c r="M109" s="13">
        <f t="shared" si="27"/>
        <v>2155216.0912000015</v>
      </c>
      <c r="N109" s="13">
        <f>MAX(0,INT(L109*Parameters!$B$14/Parameters!$B$13/Parameters!$B$12)*Parameters!$B$12)</f>
        <v>2930890</v>
      </c>
      <c r="O109" s="13">
        <f>MAX(0,INT(M109*Parameters!$B$14/Parameters!$B$13/Parameters!$B$12)*Parameters!$B$12)</f>
        <v>1436810</v>
      </c>
      <c r="P109" s="13">
        <f>N109*Parameters!$B$13*'H237 Tracker'!B109</f>
        <v>-668829.098</v>
      </c>
      <c r="Q109" s="13">
        <f>O109*Parameters!$B$13*'H237 Tracker'!C109</f>
        <v>-676737.51</v>
      </c>
      <c r="R109" s="13">
        <f t="shared" si="37"/>
        <v>2011328.564</v>
      </c>
      <c r="S109" s="13">
        <f t="shared" si="38"/>
        <v>3094746.3930000002</v>
      </c>
      <c r="T109" s="13">
        <f t="shared" si="28"/>
        <v>3727596.3757999986</v>
      </c>
      <c r="U109" s="13">
        <f t="shared" si="29"/>
        <v>1478478.5812000015</v>
      </c>
      <c r="V109" s="12">
        <f t="shared" si="30"/>
        <v>0.71600897155503607</v>
      </c>
      <c r="W109" t="str">
        <f>'H237 Tracker'!I109</f>
        <v>A</v>
      </c>
      <c r="X109">
        <f>'H237 Tracker'!J109</f>
        <v>8</v>
      </c>
      <c r="Y109" t="str">
        <f>'H237 Tracker'!K109</f>
        <v>A</v>
      </c>
      <c r="Z109" s="12">
        <f>'H237 Tracker'!O109</f>
        <v>0.81600897155503604</v>
      </c>
      <c r="AA109" s="13">
        <f>'H237 Tracker'!P109</f>
        <v>0</v>
      </c>
      <c r="AB109" s="13">
        <f>'H237 Tracker'!Q109</f>
        <v>520607.49569999985</v>
      </c>
      <c r="AC109" s="13">
        <f t="shared" si="31"/>
        <v>4248203.8714999985</v>
      </c>
      <c r="AD109" s="13">
        <f t="shared" si="32"/>
        <v>957871.08550000167</v>
      </c>
      <c r="AE109" s="13">
        <f t="shared" si="33"/>
        <v>5206074.9570000004</v>
      </c>
      <c r="AF109" s="13">
        <f t="shared" si="39"/>
        <v>6551641.5650000004</v>
      </c>
      <c r="AG109" s="24">
        <f t="shared" si="34"/>
        <v>-0.20537854439233194</v>
      </c>
      <c r="AH109" s="8">
        <f>--(COUNTIF('Tax Events'!$A$4:$A$8,A109)&gt;0)</f>
        <v>0</v>
      </c>
      <c r="AI109" s="8">
        <f>--(COUNTIF('Tax Events'!$B$4:$B$9,A109)&gt;0)</f>
        <v>0</v>
      </c>
    </row>
    <row r="110" spans="1:35">
      <c r="A110" s="4">
        <f>'H237 Tracker'!A110</f>
        <v>43948</v>
      </c>
      <c r="B110" s="13">
        <f t="shared" si="35"/>
        <v>4248203.8714999985</v>
      </c>
      <c r="C110" s="13">
        <f t="shared" si="36"/>
        <v>957871.08550000167</v>
      </c>
      <c r="D110" s="13">
        <f t="shared" si="20"/>
        <v>4248203.8714999985</v>
      </c>
      <c r="E110" s="13">
        <f t="shared" si="21"/>
        <v>957871.08550000167</v>
      </c>
      <c r="F110" s="13">
        <f>IF(AH110=1,MAX(R109,0)*Parameters!$B$11,0)</f>
        <v>0</v>
      </c>
      <c r="G110" s="13">
        <f>IF(AI110=1,MAX(S109,0)*Parameters!$B$11,0)</f>
        <v>0</v>
      </c>
      <c r="H110" s="13">
        <f t="shared" si="22"/>
        <v>4248203.8714999985</v>
      </c>
      <c r="I110" s="13">
        <f t="shared" si="23"/>
        <v>957871.08550000167</v>
      </c>
      <c r="J110" s="13">
        <f t="shared" si="24"/>
        <v>0</v>
      </c>
      <c r="K110" s="13">
        <f t="shared" si="25"/>
        <v>0</v>
      </c>
      <c r="L110" s="13">
        <f t="shared" si="26"/>
        <v>4248203.8714999985</v>
      </c>
      <c r="M110" s="13">
        <f t="shared" si="27"/>
        <v>957871.08550000167</v>
      </c>
      <c r="N110" s="13">
        <f>MAX(0,INT(L110*Parameters!$B$14/Parameters!$B$13/Parameters!$B$12)*Parameters!$B$12)</f>
        <v>2832105</v>
      </c>
      <c r="O110" s="13">
        <f>MAX(0,INT(M110*Parameters!$B$14/Parameters!$B$13/Parameters!$B$12)*Parameters!$B$12)</f>
        <v>638480</v>
      </c>
      <c r="P110" s="13">
        <f>N110*Parameters!$B$13*'H237 Tracker'!B110</f>
        <v>-190317.45600000001</v>
      </c>
      <c r="Q110" s="13">
        <f>O110*Parameters!$B$13*'H237 Tracker'!C110</f>
        <v>-130505.31200000001</v>
      </c>
      <c r="R110" s="13">
        <f t="shared" si="37"/>
        <v>1821011.108</v>
      </c>
      <c r="S110" s="13">
        <f t="shared" si="38"/>
        <v>2964241.0810000002</v>
      </c>
      <c r="T110" s="13">
        <f t="shared" si="28"/>
        <v>4057886.4154999983</v>
      </c>
      <c r="U110" s="13">
        <f t="shared" si="29"/>
        <v>827365.77350000164</v>
      </c>
      <c r="V110" s="12">
        <f t="shared" si="30"/>
        <v>0.83064010996956084</v>
      </c>
      <c r="W110" t="str">
        <f>'H237 Tracker'!I110</f>
        <v>A</v>
      </c>
      <c r="X110">
        <f>'H237 Tracker'!J110</f>
        <v>9</v>
      </c>
      <c r="Y110" t="str">
        <f>'H237 Tracker'!K110</f>
        <v>A</v>
      </c>
      <c r="Z110" s="12">
        <f>'H237 Tracker'!O110</f>
        <v>0.93064010996956081</v>
      </c>
      <c r="AA110" s="13">
        <f>'H237 Tracker'!P110</f>
        <v>0</v>
      </c>
      <c r="AB110" s="13">
        <f>'H237 Tracker'!Q110</f>
        <v>488525.21889999975</v>
      </c>
      <c r="AC110" s="13">
        <f t="shared" si="31"/>
        <v>4546411.634399998</v>
      </c>
      <c r="AD110" s="13">
        <f t="shared" si="32"/>
        <v>338840.55460000189</v>
      </c>
      <c r="AE110" s="13">
        <f t="shared" si="33"/>
        <v>4885252.1890000002</v>
      </c>
      <c r="AF110" s="13">
        <f t="shared" si="39"/>
        <v>6551641.5650000004</v>
      </c>
      <c r="AG110" s="24">
        <f t="shared" si="34"/>
        <v>-0.25434684719355527</v>
      </c>
      <c r="AH110" s="8">
        <f>--(COUNTIF('Tax Events'!$A$4:$A$8,A110)&gt;0)</f>
        <v>0</v>
      </c>
      <c r="AI110" s="8">
        <f>--(COUNTIF('Tax Events'!$B$4:$B$9,A110)&gt;0)</f>
        <v>0</v>
      </c>
    </row>
    <row r="111" spans="1:35">
      <c r="A111" s="4">
        <f>'H237 Tracker'!A111</f>
        <v>43955</v>
      </c>
      <c r="B111" s="13">
        <f t="shared" si="35"/>
        <v>4546411.634399998</v>
      </c>
      <c r="C111" s="13">
        <f t="shared" si="36"/>
        <v>338840.55460000189</v>
      </c>
      <c r="D111" s="13">
        <f t="shared" si="20"/>
        <v>4546411.634399998</v>
      </c>
      <c r="E111" s="13">
        <f t="shared" si="21"/>
        <v>338840.55460000189</v>
      </c>
      <c r="F111" s="13">
        <f>IF(AH111=1,MAX(R110,0)*Parameters!$B$11,0)</f>
        <v>0</v>
      </c>
      <c r="G111" s="13">
        <f>IF(AI111=1,MAX(S110,0)*Parameters!$B$11,0)</f>
        <v>0</v>
      </c>
      <c r="H111" s="13">
        <f t="shared" si="22"/>
        <v>4546411.634399998</v>
      </c>
      <c r="I111" s="13">
        <f t="shared" si="23"/>
        <v>338840.55460000189</v>
      </c>
      <c r="J111" s="13">
        <f t="shared" si="24"/>
        <v>0</v>
      </c>
      <c r="K111" s="13">
        <f t="shared" si="25"/>
        <v>0</v>
      </c>
      <c r="L111" s="13">
        <f t="shared" si="26"/>
        <v>4546411.634399998</v>
      </c>
      <c r="M111" s="13">
        <f t="shared" si="27"/>
        <v>338840.55460000189</v>
      </c>
      <c r="N111" s="13">
        <f>MAX(0,INT(L111*Parameters!$B$14/Parameters!$B$13/Parameters!$B$12)*Parameters!$B$12)</f>
        <v>3030940</v>
      </c>
      <c r="O111" s="13">
        <f>MAX(0,INT(M111*Parameters!$B$14/Parameters!$B$13/Parameters!$B$12)*Parameters!$B$12)</f>
        <v>225860</v>
      </c>
      <c r="P111" s="13">
        <f>N111*Parameters!$B$13*'H237 Tracker'!B111</f>
        <v>1012940.1479999999</v>
      </c>
      <c r="Q111" s="13">
        <f>O111*Parameters!$B$13*'H237 Tracker'!C111</f>
        <v>75482.411999999997</v>
      </c>
      <c r="R111" s="13">
        <f t="shared" si="37"/>
        <v>2833951.2560000001</v>
      </c>
      <c r="S111" s="13">
        <f t="shared" si="38"/>
        <v>3039723.4930000002</v>
      </c>
      <c r="T111" s="13">
        <f t="shared" si="28"/>
        <v>5559351.782399998</v>
      </c>
      <c r="U111" s="13">
        <f t="shared" si="29"/>
        <v>414322.96660000191</v>
      </c>
      <c r="V111" s="12">
        <f t="shared" si="30"/>
        <v>0.93064186049477171</v>
      </c>
      <c r="W111" t="str">
        <f>'H237 Tracker'!I111</f>
        <v>A</v>
      </c>
      <c r="X111">
        <f>'H237 Tracker'!J111</f>
        <v>10</v>
      </c>
      <c r="Y111" t="str">
        <f>'H237 Tracker'!K111</f>
        <v>A</v>
      </c>
      <c r="Z111" s="12">
        <f>'H237 Tracker'!O111</f>
        <v>1</v>
      </c>
      <c r="AA111" s="13">
        <f>'H237 Tracker'!P111</f>
        <v>0</v>
      </c>
      <c r="AB111" s="13">
        <f>'H237 Tracker'!Q111</f>
        <v>414322.96660000179</v>
      </c>
      <c r="AC111" s="13">
        <f t="shared" si="31"/>
        <v>5973674.7489999998</v>
      </c>
      <c r="AD111" s="13">
        <f t="shared" si="32"/>
        <v>0</v>
      </c>
      <c r="AE111" s="13">
        <f t="shared" si="33"/>
        <v>5973674.7489999998</v>
      </c>
      <c r="AF111" s="13">
        <f t="shared" si="39"/>
        <v>6551641.5650000004</v>
      </c>
      <c r="AG111" s="24">
        <f t="shared" si="34"/>
        <v>-8.821709952626211E-2</v>
      </c>
      <c r="AH111" s="8">
        <f>--(COUNTIF('Tax Events'!$A$4:$A$8,A111)&gt;0)</f>
        <v>0</v>
      </c>
      <c r="AI111" s="8">
        <f>--(COUNTIF('Tax Events'!$B$4:$B$9,A111)&gt;0)</f>
        <v>0</v>
      </c>
    </row>
    <row r="112" spans="1:35">
      <c r="A112" s="4">
        <f>'H237 Tracker'!A112</f>
        <v>43962</v>
      </c>
      <c r="B112" s="13">
        <f t="shared" si="35"/>
        <v>5973674.7489999998</v>
      </c>
      <c r="C112" s="13">
        <f t="shared" si="36"/>
        <v>0</v>
      </c>
      <c r="D112" s="13">
        <f t="shared" si="20"/>
        <v>5973674.7489999998</v>
      </c>
      <c r="E112" s="13">
        <f t="shared" si="21"/>
        <v>0</v>
      </c>
      <c r="F112" s="13">
        <f>IF(AH112=1,MAX(R111,0)*Parameters!$B$11,0)</f>
        <v>0</v>
      </c>
      <c r="G112" s="13">
        <f>IF(AI112=1,MAX(S111,0)*Parameters!$B$11,0)</f>
        <v>0</v>
      </c>
      <c r="H112" s="13">
        <f t="shared" si="22"/>
        <v>5973674.7489999998</v>
      </c>
      <c r="I112" s="13">
        <f t="shared" si="23"/>
        <v>0</v>
      </c>
      <c r="J112" s="13">
        <f t="shared" si="24"/>
        <v>0</v>
      </c>
      <c r="K112" s="13">
        <f t="shared" si="25"/>
        <v>0</v>
      </c>
      <c r="L112" s="13">
        <f t="shared" si="26"/>
        <v>5973674.7489999998</v>
      </c>
      <c r="M112" s="13">
        <f t="shared" si="27"/>
        <v>0</v>
      </c>
      <c r="N112" s="13">
        <f>MAX(0,INT(L112*Parameters!$B$14/Parameters!$B$13/Parameters!$B$12)*Parameters!$B$12)</f>
        <v>3982335</v>
      </c>
      <c r="O112" s="13">
        <f>MAX(0,INT(M112*Parameters!$B$14/Parameters!$B$13/Parameters!$B$12)*Parameters!$B$12)</f>
        <v>0</v>
      </c>
      <c r="P112" s="13">
        <f>N112*Parameters!$B$13*'H237 Tracker'!B112</f>
        <v>1208240.439</v>
      </c>
      <c r="Q112" s="13">
        <f>O112*Parameters!$B$13*'H237 Tracker'!C112</f>
        <v>0</v>
      </c>
      <c r="R112" s="13">
        <f t="shared" si="37"/>
        <v>4042191.6950000003</v>
      </c>
      <c r="S112" s="13">
        <f t="shared" si="38"/>
        <v>3039723.4930000002</v>
      </c>
      <c r="T112" s="13">
        <f t="shared" si="28"/>
        <v>7181915.1880000001</v>
      </c>
      <c r="U112" s="13">
        <f t="shared" si="29"/>
        <v>0</v>
      </c>
      <c r="V112" s="12">
        <f t="shared" si="30"/>
        <v>1</v>
      </c>
      <c r="W112" t="str">
        <f>'H237 Tracker'!I112</f>
        <v>A</v>
      </c>
      <c r="X112">
        <f>'H237 Tracker'!J112</f>
        <v>11</v>
      </c>
      <c r="Y112" t="str">
        <f>'H237 Tracker'!K112</f>
        <v>A</v>
      </c>
      <c r="Z112" s="12">
        <f>'H237 Tracker'!O112</f>
        <v>1</v>
      </c>
      <c r="AA112" s="13">
        <f>'H237 Tracker'!P112</f>
        <v>0</v>
      </c>
      <c r="AB112" s="13">
        <f>'H237 Tracker'!Q112</f>
        <v>0</v>
      </c>
      <c r="AC112" s="13">
        <f t="shared" si="31"/>
        <v>7181915.1880000001</v>
      </c>
      <c r="AD112" s="13">
        <f t="shared" si="32"/>
        <v>0</v>
      </c>
      <c r="AE112" s="13">
        <f t="shared" si="33"/>
        <v>7181915.1880000001</v>
      </c>
      <c r="AF112" s="13">
        <f t="shared" si="39"/>
        <v>7181915.1880000001</v>
      </c>
      <c r="AG112" s="24">
        <f t="shared" si="34"/>
        <v>0</v>
      </c>
      <c r="AH112" s="8">
        <f>--(COUNTIF('Tax Events'!$A$4:$A$8,A112)&gt;0)</f>
        <v>0</v>
      </c>
      <c r="AI112" s="8">
        <f>--(COUNTIF('Tax Events'!$B$4:$B$9,A112)&gt;0)</f>
        <v>0</v>
      </c>
    </row>
    <row r="113" spans="1:35">
      <c r="A113" s="4">
        <f>'H237 Tracker'!A113</f>
        <v>43969</v>
      </c>
      <c r="B113" s="13">
        <f t="shared" si="35"/>
        <v>7181915.1880000001</v>
      </c>
      <c r="C113" s="13">
        <f t="shared" si="36"/>
        <v>0</v>
      </c>
      <c r="D113" s="13">
        <f t="shared" si="20"/>
        <v>7181915.1880000001</v>
      </c>
      <c r="E113" s="13">
        <f t="shared" si="21"/>
        <v>0</v>
      </c>
      <c r="F113" s="13">
        <f>IF(AH113=1,MAX(R112,0)*Parameters!$B$11,0)</f>
        <v>0</v>
      </c>
      <c r="G113" s="13">
        <f>IF(AI113=1,MAX(S112,0)*Parameters!$B$11,0)</f>
        <v>0</v>
      </c>
      <c r="H113" s="13">
        <f t="shared" si="22"/>
        <v>7181915.1880000001</v>
      </c>
      <c r="I113" s="13">
        <f t="shared" si="23"/>
        <v>0</v>
      </c>
      <c r="J113" s="13">
        <f t="shared" si="24"/>
        <v>0</v>
      </c>
      <c r="K113" s="13">
        <f t="shared" si="25"/>
        <v>0</v>
      </c>
      <c r="L113" s="13">
        <f t="shared" si="26"/>
        <v>7181915.1880000001</v>
      </c>
      <c r="M113" s="13">
        <f t="shared" si="27"/>
        <v>0</v>
      </c>
      <c r="N113" s="13">
        <f>MAX(0,INT(L113*Parameters!$B$14/Parameters!$B$13/Parameters!$B$12)*Parameters!$B$12)</f>
        <v>4787910</v>
      </c>
      <c r="O113" s="13">
        <f>MAX(0,INT(M113*Parameters!$B$14/Parameters!$B$13/Parameters!$B$12)*Parameters!$B$12)</f>
        <v>0</v>
      </c>
      <c r="P113" s="13">
        <f>N113*Parameters!$B$13*'H237 Tracker'!B113</f>
        <v>684671.13</v>
      </c>
      <c r="Q113" s="13">
        <f>O113*Parameters!$B$13*'H237 Tracker'!C113</f>
        <v>0</v>
      </c>
      <c r="R113" s="13">
        <f t="shared" si="37"/>
        <v>4726862.8250000002</v>
      </c>
      <c r="S113" s="13">
        <f t="shared" si="38"/>
        <v>3039723.4930000002</v>
      </c>
      <c r="T113" s="13">
        <f t="shared" si="28"/>
        <v>7866586.318</v>
      </c>
      <c r="U113" s="13">
        <f t="shared" si="29"/>
        <v>0</v>
      </c>
      <c r="V113" s="12">
        <f t="shared" si="30"/>
        <v>1</v>
      </c>
      <c r="W113" t="str">
        <f>'H237 Tracker'!I113</f>
        <v>A</v>
      </c>
      <c r="X113">
        <f>'H237 Tracker'!J113</f>
        <v>12</v>
      </c>
      <c r="Y113" t="str">
        <f>'H237 Tracker'!K113</f>
        <v>A</v>
      </c>
      <c r="Z113" s="12">
        <f>'H237 Tracker'!O113</f>
        <v>1</v>
      </c>
      <c r="AA113" s="13">
        <f>'H237 Tracker'!P113</f>
        <v>0</v>
      </c>
      <c r="AB113" s="13">
        <f>'H237 Tracker'!Q113</f>
        <v>0</v>
      </c>
      <c r="AC113" s="13">
        <f t="shared" si="31"/>
        <v>7866586.318</v>
      </c>
      <c r="AD113" s="13">
        <f t="shared" si="32"/>
        <v>0</v>
      </c>
      <c r="AE113" s="13">
        <f t="shared" si="33"/>
        <v>7866586.318</v>
      </c>
      <c r="AF113" s="13">
        <f t="shared" si="39"/>
        <v>7866586.318</v>
      </c>
      <c r="AG113" s="24">
        <f t="shared" si="34"/>
        <v>0</v>
      </c>
      <c r="AH113" s="8">
        <f>--(COUNTIF('Tax Events'!$A$4:$A$8,A113)&gt;0)</f>
        <v>0</v>
      </c>
      <c r="AI113" s="8">
        <f>--(COUNTIF('Tax Events'!$B$4:$B$9,A113)&gt;0)</f>
        <v>0</v>
      </c>
    </row>
    <row r="114" spans="1:35">
      <c r="A114" s="4">
        <f>'H237 Tracker'!A114</f>
        <v>43976</v>
      </c>
      <c r="B114" s="13">
        <f t="shared" si="35"/>
        <v>7866586.318</v>
      </c>
      <c r="C114" s="13">
        <f t="shared" si="36"/>
        <v>0</v>
      </c>
      <c r="D114" s="13">
        <f t="shared" si="20"/>
        <v>7866586.318</v>
      </c>
      <c r="E114" s="13">
        <f t="shared" si="21"/>
        <v>0</v>
      </c>
      <c r="F114" s="13">
        <f>IF(AH114=1,MAX(R113,0)*Parameters!$B$11,0)</f>
        <v>0</v>
      </c>
      <c r="G114" s="13">
        <f>IF(AI114=1,MAX(S113,0)*Parameters!$B$11,0)</f>
        <v>0</v>
      </c>
      <c r="H114" s="13">
        <f t="shared" si="22"/>
        <v>7866586.318</v>
      </c>
      <c r="I114" s="13">
        <f t="shared" si="23"/>
        <v>0</v>
      </c>
      <c r="J114" s="13">
        <f t="shared" si="24"/>
        <v>0</v>
      </c>
      <c r="K114" s="13">
        <f t="shared" si="25"/>
        <v>0</v>
      </c>
      <c r="L114" s="13">
        <f t="shared" si="26"/>
        <v>7866586.318</v>
      </c>
      <c r="M114" s="13">
        <f t="shared" si="27"/>
        <v>0</v>
      </c>
      <c r="N114" s="13">
        <f>MAX(0,INT(L114*Parameters!$B$14/Parameters!$B$13/Parameters!$B$12)*Parameters!$B$12)</f>
        <v>5244345</v>
      </c>
      <c r="O114" s="13">
        <f>MAX(0,INT(M114*Parameters!$B$14/Parameters!$B$13/Parameters!$B$12)*Parameters!$B$12)</f>
        <v>0</v>
      </c>
      <c r="P114" s="13">
        <f>N114*Parameters!$B$13*'H237 Tracker'!B114</f>
        <v>-1408631.0669999998</v>
      </c>
      <c r="Q114" s="13">
        <f>O114*Parameters!$B$13*'H237 Tracker'!C114</f>
        <v>0</v>
      </c>
      <c r="R114" s="13">
        <f t="shared" si="37"/>
        <v>3318231.7580000004</v>
      </c>
      <c r="S114" s="13">
        <f t="shared" si="38"/>
        <v>3039723.4930000002</v>
      </c>
      <c r="T114" s="13">
        <f t="shared" si="28"/>
        <v>6457955.2510000002</v>
      </c>
      <c r="U114" s="13">
        <f t="shared" si="29"/>
        <v>0</v>
      </c>
      <c r="V114" s="12">
        <f t="shared" si="30"/>
        <v>1</v>
      </c>
      <c r="W114" t="str">
        <f>'H237 Tracker'!I114</f>
        <v>A</v>
      </c>
      <c r="X114">
        <f>'H237 Tracker'!J114</f>
        <v>13</v>
      </c>
      <c r="Y114" t="str">
        <f>'H237 Tracker'!K114</f>
        <v>A</v>
      </c>
      <c r="Z114" s="12">
        <f>'H237 Tracker'!O114</f>
        <v>1</v>
      </c>
      <c r="AA114" s="13">
        <f>'H237 Tracker'!P114</f>
        <v>0</v>
      </c>
      <c r="AB114" s="13">
        <f>'H237 Tracker'!Q114</f>
        <v>0</v>
      </c>
      <c r="AC114" s="13">
        <f t="shared" si="31"/>
        <v>6457955.2510000002</v>
      </c>
      <c r="AD114" s="13">
        <f t="shared" si="32"/>
        <v>0</v>
      </c>
      <c r="AE114" s="13">
        <f t="shared" si="33"/>
        <v>6457955.2510000002</v>
      </c>
      <c r="AF114" s="13">
        <f t="shared" si="39"/>
        <v>7866586.318</v>
      </c>
      <c r="AG114" s="24">
        <f t="shared" si="34"/>
        <v>-0.17906510016636157</v>
      </c>
      <c r="AH114" s="8">
        <f>--(COUNTIF('Tax Events'!$A$4:$A$8,A114)&gt;0)</f>
        <v>0</v>
      </c>
      <c r="AI114" s="8">
        <f>--(COUNTIF('Tax Events'!$B$4:$B$9,A114)&gt;0)</f>
        <v>0</v>
      </c>
    </row>
    <row r="115" spans="1:35">
      <c r="A115" s="4">
        <f>'H237 Tracker'!A115</f>
        <v>43983</v>
      </c>
      <c r="B115" s="13">
        <f t="shared" si="35"/>
        <v>6457955.2510000002</v>
      </c>
      <c r="C115" s="13">
        <f t="shared" si="36"/>
        <v>0</v>
      </c>
      <c r="D115" s="13">
        <f t="shared" si="20"/>
        <v>6457955.2510000002</v>
      </c>
      <c r="E115" s="13">
        <f t="shared" si="21"/>
        <v>0</v>
      </c>
      <c r="F115" s="13">
        <f>IF(AH115=1,MAX(R114,0)*Parameters!$B$11,0)</f>
        <v>0</v>
      </c>
      <c r="G115" s="13">
        <f>IF(AI115=1,MAX(S114,0)*Parameters!$B$11,0)</f>
        <v>0</v>
      </c>
      <c r="H115" s="13">
        <f t="shared" si="22"/>
        <v>6457955.2510000002</v>
      </c>
      <c r="I115" s="13">
        <f t="shared" si="23"/>
        <v>0</v>
      </c>
      <c r="J115" s="13">
        <f t="shared" si="24"/>
        <v>0</v>
      </c>
      <c r="K115" s="13">
        <f t="shared" si="25"/>
        <v>0</v>
      </c>
      <c r="L115" s="13">
        <f t="shared" si="26"/>
        <v>6457955.2510000002</v>
      </c>
      <c r="M115" s="13">
        <f t="shared" si="27"/>
        <v>0</v>
      </c>
      <c r="N115" s="13">
        <f>MAX(0,INT(L115*Parameters!$B$14/Parameters!$B$13/Parameters!$B$12)*Parameters!$B$12)</f>
        <v>4305255</v>
      </c>
      <c r="O115" s="13">
        <f>MAX(0,INT(M115*Parameters!$B$14/Parameters!$B$13/Parameters!$B$12)*Parameters!$B$12)</f>
        <v>0</v>
      </c>
      <c r="P115" s="13">
        <f>N115*Parameters!$B$13*'H237 Tracker'!B115</f>
        <v>666453.47400000005</v>
      </c>
      <c r="Q115" s="13">
        <f>O115*Parameters!$B$13*'H237 Tracker'!C115</f>
        <v>0</v>
      </c>
      <c r="R115" s="13">
        <f t="shared" si="37"/>
        <v>3984685.2320000003</v>
      </c>
      <c r="S115" s="13">
        <f t="shared" si="38"/>
        <v>3039723.4930000002</v>
      </c>
      <c r="T115" s="13">
        <f t="shared" si="28"/>
        <v>7124408.7250000006</v>
      </c>
      <c r="U115" s="13">
        <f t="shared" si="29"/>
        <v>0</v>
      </c>
      <c r="V115" s="12">
        <f t="shared" si="30"/>
        <v>1</v>
      </c>
      <c r="W115" t="str">
        <f>'H237 Tracker'!I115</f>
        <v>A</v>
      </c>
      <c r="X115">
        <f>'H237 Tracker'!J115</f>
        <v>14</v>
      </c>
      <c r="Y115" t="str">
        <f>'H237 Tracker'!K115</f>
        <v>A</v>
      </c>
      <c r="Z115" s="12">
        <f>'H237 Tracker'!O115</f>
        <v>1</v>
      </c>
      <c r="AA115" s="13">
        <f>'H237 Tracker'!P115</f>
        <v>0</v>
      </c>
      <c r="AB115" s="13">
        <f>'H237 Tracker'!Q115</f>
        <v>0</v>
      </c>
      <c r="AC115" s="13">
        <f t="shared" si="31"/>
        <v>7124408.7250000006</v>
      </c>
      <c r="AD115" s="13">
        <f t="shared" si="32"/>
        <v>0</v>
      </c>
      <c r="AE115" s="13">
        <f t="shared" si="33"/>
        <v>7124408.7250000006</v>
      </c>
      <c r="AF115" s="13">
        <f t="shared" si="39"/>
        <v>7866586.318</v>
      </c>
      <c r="AG115" s="24">
        <f t="shared" si="34"/>
        <v>-9.4345572907752806E-2</v>
      </c>
      <c r="AH115" s="8">
        <f>--(COUNTIF('Tax Events'!$A$4:$A$8,A115)&gt;0)</f>
        <v>0</v>
      </c>
      <c r="AI115" s="8">
        <f>--(COUNTIF('Tax Events'!$B$4:$B$9,A115)&gt;0)</f>
        <v>0</v>
      </c>
    </row>
    <row r="116" spans="1:35">
      <c r="A116" s="4">
        <f>'H237 Tracker'!A116</f>
        <v>43990</v>
      </c>
      <c r="B116" s="13">
        <f t="shared" si="35"/>
        <v>7124408.7250000006</v>
      </c>
      <c r="C116" s="13">
        <f t="shared" si="36"/>
        <v>0</v>
      </c>
      <c r="D116" s="13">
        <f t="shared" si="20"/>
        <v>7124408.7250000006</v>
      </c>
      <c r="E116" s="13">
        <f t="shared" si="21"/>
        <v>0</v>
      </c>
      <c r="F116" s="13">
        <f>IF(AH116=1,MAX(R115,0)*Parameters!$B$11,0)</f>
        <v>0</v>
      </c>
      <c r="G116" s="13">
        <f>IF(AI116=1,MAX(S115,0)*Parameters!$B$11,0)</f>
        <v>0</v>
      </c>
      <c r="H116" s="13">
        <f t="shared" si="22"/>
        <v>7124408.7250000006</v>
      </c>
      <c r="I116" s="13">
        <f t="shared" si="23"/>
        <v>0</v>
      </c>
      <c r="J116" s="13">
        <f t="shared" si="24"/>
        <v>0</v>
      </c>
      <c r="K116" s="13">
        <f t="shared" si="25"/>
        <v>0</v>
      </c>
      <c r="L116" s="13">
        <f t="shared" si="26"/>
        <v>7124408.7250000006</v>
      </c>
      <c r="M116" s="13">
        <f t="shared" si="27"/>
        <v>0</v>
      </c>
      <c r="N116" s="13">
        <f>MAX(0,INT(L116*Parameters!$B$14/Parameters!$B$13/Parameters!$B$12)*Parameters!$B$12)</f>
        <v>4749500</v>
      </c>
      <c r="O116" s="13">
        <f>MAX(0,INT(M116*Parameters!$B$14/Parameters!$B$13/Parameters!$B$12)*Parameters!$B$12)</f>
        <v>0</v>
      </c>
      <c r="P116" s="13">
        <f>N116*Parameters!$B$13*'H237 Tracker'!B116</f>
        <v>802665.49999999988</v>
      </c>
      <c r="Q116" s="13">
        <f>O116*Parameters!$B$13*'H237 Tracker'!C116</f>
        <v>0</v>
      </c>
      <c r="R116" s="13">
        <f t="shared" si="37"/>
        <v>4787350.7319999998</v>
      </c>
      <c r="S116" s="13">
        <f t="shared" si="38"/>
        <v>3039723.4930000002</v>
      </c>
      <c r="T116" s="13">
        <f t="shared" si="28"/>
        <v>7927074.2250000006</v>
      </c>
      <c r="U116" s="13">
        <f t="shared" si="29"/>
        <v>0</v>
      </c>
      <c r="V116" s="12">
        <f t="shared" si="30"/>
        <v>1</v>
      </c>
      <c r="W116" t="str">
        <f>'H237 Tracker'!I116</f>
        <v>A</v>
      </c>
      <c r="X116">
        <f>'H237 Tracker'!J116</f>
        <v>15</v>
      </c>
      <c r="Y116" t="str">
        <f>'H237 Tracker'!K116</f>
        <v>A</v>
      </c>
      <c r="Z116" s="12">
        <f>'H237 Tracker'!O116</f>
        <v>1</v>
      </c>
      <c r="AA116" s="13">
        <f>'H237 Tracker'!P116</f>
        <v>0</v>
      </c>
      <c r="AB116" s="13">
        <f>'H237 Tracker'!Q116</f>
        <v>0</v>
      </c>
      <c r="AC116" s="13">
        <f t="shared" si="31"/>
        <v>7927074.2250000006</v>
      </c>
      <c r="AD116" s="13">
        <f t="shared" si="32"/>
        <v>0</v>
      </c>
      <c r="AE116" s="13">
        <f t="shared" si="33"/>
        <v>7927074.2250000006</v>
      </c>
      <c r="AF116" s="13">
        <f t="shared" si="39"/>
        <v>7927074.2250000006</v>
      </c>
      <c r="AG116" s="24">
        <f t="shared" si="34"/>
        <v>0</v>
      </c>
      <c r="AH116" s="8">
        <f>--(COUNTIF('Tax Events'!$A$4:$A$8,A116)&gt;0)</f>
        <v>0</v>
      </c>
      <c r="AI116" s="8">
        <f>--(COUNTIF('Tax Events'!$B$4:$B$9,A116)&gt;0)</f>
        <v>0</v>
      </c>
    </row>
    <row r="117" spans="1:35">
      <c r="A117" s="4">
        <f>'H237 Tracker'!A117</f>
        <v>43997</v>
      </c>
      <c r="B117" s="13">
        <f t="shared" si="35"/>
        <v>7927074.2250000006</v>
      </c>
      <c r="C117" s="13">
        <f t="shared" si="36"/>
        <v>0</v>
      </c>
      <c r="D117" s="13">
        <f t="shared" si="20"/>
        <v>7927074.2250000006</v>
      </c>
      <c r="E117" s="13">
        <f t="shared" si="21"/>
        <v>0</v>
      </c>
      <c r="F117" s="13">
        <f>IF(AH117=1,MAX(R116,0)*Parameters!$B$11,0)</f>
        <v>0</v>
      </c>
      <c r="G117" s="13">
        <f>IF(AI117=1,MAX(S116,0)*Parameters!$B$11,0)</f>
        <v>0</v>
      </c>
      <c r="H117" s="13">
        <f t="shared" si="22"/>
        <v>7927074.2250000006</v>
      </c>
      <c r="I117" s="13">
        <f t="shared" si="23"/>
        <v>0</v>
      </c>
      <c r="J117" s="13">
        <f t="shared" si="24"/>
        <v>0</v>
      </c>
      <c r="K117" s="13">
        <f t="shared" si="25"/>
        <v>0</v>
      </c>
      <c r="L117" s="13">
        <f t="shared" si="26"/>
        <v>7927074.2250000006</v>
      </c>
      <c r="M117" s="13">
        <f t="shared" si="27"/>
        <v>0</v>
      </c>
      <c r="N117" s="13">
        <f>MAX(0,INT(L117*Parameters!$B$14/Parameters!$B$13/Parameters!$B$12)*Parameters!$B$12)</f>
        <v>5284710</v>
      </c>
      <c r="O117" s="13">
        <f>MAX(0,INT(M117*Parameters!$B$14/Parameters!$B$13/Parameters!$B$12)*Parameters!$B$12)</f>
        <v>0</v>
      </c>
      <c r="P117" s="13">
        <f>N117*Parameters!$B$13*'H237 Tracker'!B117</f>
        <v>2918216.8619999997</v>
      </c>
      <c r="Q117" s="13">
        <f>O117*Parameters!$B$13*'H237 Tracker'!C117</f>
        <v>0</v>
      </c>
      <c r="R117" s="13">
        <f t="shared" si="37"/>
        <v>7705567.5939999996</v>
      </c>
      <c r="S117" s="13">
        <f t="shared" si="38"/>
        <v>3039723.4930000002</v>
      </c>
      <c r="T117" s="13">
        <f t="shared" si="28"/>
        <v>10845291.087000001</v>
      </c>
      <c r="U117" s="13">
        <f t="shared" si="29"/>
        <v>0</v>
      </c>
      <c r="V117" s="12">
        <f t="shared" si="30"/>
        <v>1</v>
      </c>
      <c r="W117" t="str">
        <f>'H237 Tracker'!I117</f>
        <v>A</v>
      </c>
      <c r="X117">
        <f>'H237 Tracker'!J117</f>
        <v>16</v>
      </c>
      <c r="Y117" t="str">
        <f>'H237 Tracker'!K117</f>
        <v>A</v>
      </c>
      <c r="Z117" s="12">
        <f>'H237 Tracker'!O117</f>
        <v>1</v>
      </c>
      <c r="AA117" s="13">
        <f>'H237 Tracker'!P117</f>
        <v>0</v>
      </c>
      <c r="AB117" s="13">
        <f>'H237 Tracker'!Q117</f>
        <v>0</v>
      </c>
      <c r="AC117" s="13">
        <f t="shared" si="31"/>
        <v>10845291.087000001</v>
      </c>
      <c r="AD117" s="13">
        <f t="shared" si="32"/>
        <v>0</v>
      </c>
      <c r="AE117" s="13">
        <f t="shared" si="33"/>
        <v>10845291.087000001</v>
      </c>
      <c r="AF117" s="13">
        <f t="shared" si="39"/>
        <v>10845291.087000001</v>
      </c>
      <c r="AG117" s="24">
        <f t="shared" si="34"/>
        <v>0</v>
      </c>
      <c r="AH117" s="8">
        <f>--(COUNTIF('Tax Events'!$A$4:$A$8,A117)&gt;0)</f>
        <v>0</v>
      </c>
      <c r="AI117" s="8">
        <f>--(COUNTIF('Tax Events'!$B$4:$B$9,A117)&gt;0)</f>
        <v>0</v>
      </c>
    </row>
    <row r="118" spans="1:35">
      <c r="A118" s="4">
        <f>'H237 Tracker'!A118</f>
        <v>44004</v>
      </c>
      <c r="B118" s="13">
        <f t="shared" si="35"/>
        <v>10845291.087000001</v>
      </c>
      <c r="C118" s="13">
        <f t="shared" si="36"/>
        <v>0</v>
      </c>
      <c r="D118" s="13">
        <f t="shared" si="20"/>
        <v>10845291.087000001</v>
      </c>
      <c r="E118" s="13">
        <f t="shared" si="21"/>
        <v>0</v>
      </c>
      <c r="F118" s="13">
        <f>IF(AH118=1,MAX(R117,0)*Parameters!$B$11,0)</f>
        <v>0</v>
      </c>
      <c r="G118" s="13">
        <f>IF(AI118=1,MAX(S117,0)*Parameters!$B$11,0)</f>
        <v>0</v>
      </c>
      <c r="H118" s="13">
        <f t="shared" si="22"/>
        <v>10845291.087000001</v>
      </c>
      <c r="I118" s="13">
        <f t="shared" si="23"/>
        <v>0</v>
      </c>
      <c r="J118" s="13">
        <f t="shared" si="24"/>
        <v>0</v>
      </c>
      <c r="K118" s="13">
        <f t="shared" si="25"/>
        <v>0</v>
      </c>
      <c r="L118" s="13">
        <f t="shared" si="26"/>
        <v>10845291.087000001</v>
      </c>
      <c r="M118" s="13">
        <f t="shared" si="27"/>
        <v>0</v>
      </c>
      <c r="N118" s="13">
        <f>MAX(0,INT(L118*Parameters!$B$14/Parameters!$B$13/Parameters!$B$12)*Parameters!$B$12)</f>
        <v>7230165</v>
      </c>
      <c r="O118" s="13">
        <f>MAX(0,INT(M118*Parameters!$B$14/Parameters!$B$13/Parameters!$B$12)*Parameters!$B$12)</f>
        <v>0</v>
      </c>
      <c r="P118" s="13">
        <f>N118*Parameters!$B$13*'H237 Tracker'!B118</f>
        <v>1837907.9430000002</v>
      </c>
      <c r="Q118" s="13">
        <f>O118*Parameters!$B$13*'H237 Tracker'!C118</f>
        <v>0</v>
      </c>
      <c r="R118" s="13">
        <f t="shared" si="37"/>
        <v>9543475.5370000005</v>
      </c>
      <c r="S118" s="13">
        <f t="shared" si="38"/>
        <v>3039723.4930000002</v>
      </c>
      <c r="T118" s="13">
        <f t="shared" si="28"/>
        <v>12683199.030000001</v>
      </c>
      <c r="U118" s="13">
        <f t="shared" si="29"/>
        <v>0</v>
      </c>
      <c r="V118" s="12">
        <f t="shared" si="30"/>
        <v>1</v>
      </c>
      <c r="W118" t="str">
        <f>'H237 Tracker'!I118</f>
        <v>A</v>
      </c>
      <c r="X118">
        <f>'H237 Tracker'!J118</f>
        <v>17</v>
      </c>
      <c r="Y118" t="str">
        <f>'H237 Tracker'!K118</f>
        <v>A</v>
      </c>
      <c r="Z118" s="12">
        <f>'H237 Tracker'!O118</f>
        <v>1</v>
      </c>
      <c r="AA118" s="13">
        <f>'H237 Tracker'!P118</f>
        <v>0</v>
      </c>
      <c r="AB118" s="13">
        <f>'H237 Tracker'!Q118</f>
        <v>0</v>
      </c>
      <c r="AC118" s="13">
        <f t="shared" si="31"/>
        <v>12683199.030000001</v>
      </c>
      <c r="AD118" s="13">
        <f t="shared" si="32"/>
        <v>0</v>
      </c>
      <c r="AE118" s="13">
        <f t="shared" si="33"/>
        <v>12683199.030000001</v>
      </c>
      <c r="AF118" s="13">
        <f t="shared" si="39"/>
        <v>12683199.030000001</v>
      </c>
      <c r="AG118" s="24">
        <f t="shared" si="34"/>
        <v>0</v>
      </c>
      <c r="AH118" s="8">
        <f>--(COUNTIF('Tax Events'!$A$4:$A$8,A118)&gt;0)</f>
        <v>0</v>
      </c>
      <c r="AI118" s="8">
        <f>--(COUNTIF('Tax Events'!$B$4:$B$9,A118)&gt;0)</f>
        <v>0</v>
      </c>
    </row>
    <row r="119" spans="1:35">
      <c r="A119" s="4">
        <f>'H237 Tracker'!A119</f>
        <v>44011</v>
      </c>
      <c r="B119" s="13">
        <f t="shared" si="35"/>
        <v>12683199.030000001</v>
      </c>
      <c r="C119" s="13">
        <f t="shared" si="36"/>
        <v>0</v>
      </c>
      <c r="D119" s="13">
        <f t="shared" si="20"/>
        <v>12683199.030000001</v>
      </c>
      <c r="E119" s="13">
        <f t="shared" si="21"/>
        <v>0</v>
      </c>
      <c r="F119" s="13">
        <f>IF(AH119=1,MAX(R118,0)*Parameters!$B$11,0)</f>
        <v>0</v>
      </c>
      <c r="G119" s="13">
        <f>IF(AI119=1,MAX(S118,0)*Parameters!$B$11,0)</f>
        <v>0</v>
      </c>
      <c r="H119" s="13">
        <f t="shared" si="22"/>
        <v>12683199.030000001</v>
      </c>
      <c r="I119" s="13">
        <f t="shared" si="23"/>
        <v>0</v>
      </c>
      <c r="J119" s="13">
        <f t="shared" si="24"/>
        <v>0</v>
      </c>
      <c r="K119" s="13">
        <f t="shared" si="25"/>
        <v>0</v>
      </c>
      <c r="L119" s="13">
        <f t="shared" si="26"/>
        <v>12683199.030000001</v>
      </c>
      <c r="M119" s="13">
        <f t="shared" si="27"/>
        <v>0</v>
      </c>
      <c r="N119" s="13">
        <f>MAX(0,INT(L119*Parameters!$B$14/Parameters!$B$13/Parameters!$B$12)*Parameters!$B$12)</f>
        <v>8455375</v>
      </c>
      <c r="O119" s="13">
        <f>MAX(0,INT(M119*Parameters!$B$14/Parameters!$B$13/Parameters!$B$12)*Parameters!$B$12)</f>
        <v>0</v>
      </c>
      <c r="P119" s="13">
        <f>N119*Parameters!$B$13*'H237 Tracker'!B119</f>
        <v>2137518.7999999998</v>
      </c>
      <c r="Q119" s="13">
        <f>O119*Parameters!$B$13*'H237 Tracker'!C119</f>
        <v>0</v>
      </c>
      <c r="R119" s="13">
        <f t="shared" si="37"/>
        <v>11680994.337000001</v>
      </c>
      <c r="S119" s="13">
        <f t="shared" si="38"/>
        <v>3039723.4930000002</v>
      </c>
      <c r="T119" s="13">
        <f t="shared" si="28"/>
        <v>14820717.830000002</v>
      </c>
      <c r="U119" s="13">
        <f t="shared" si="29"/>
        <v>0</v>
      </c>
      <c r="V119" s="12">
        <f t="shared" si="30"/>
        <v>1</v>
      </c>
      <c r="W119" t="str">
        <f>'H237 Tracker'!I119</f>
        <v>A</v>
      </c>
      <c r="X119">
        <f>'H237 Tracker'!J119</f>
        <v>18</v>
      </c>
      <c r="Y119" t="str">
        <f>'H237 Tracker'!K119</f>
        <v>A</v>
      </c>
      <c r="Z119" s="12">
        <f>'H237 Tracker'!O119</f>
        <v>1</v>
      </c>
      <c r="AA119" s="13">
        <f>'H237 Tracker'!P119</f>
        <v>0</v>
      </c>
      <c r="AB119" s="13">
        <f>'H237 Tracker'!Q119</f>
        <v>0</v>
      </c>
      <c r="AC119" s="13">
        <f t="shared" si="31"/>
        <v>14820717.830000002</v>
      </c>
      <c r="AD119" s="13">
        <f t="shared" si="32"/>
        <v>0</v>
      </c>
      <c r="AE119" s="13">
        <f t="shared" si="33"/>
        <v>14820717.830000002</v>
      </c>
      <c r="AF119" s="13">
        <f t="shared" si="39"/>
        <v>14820717.830000002</v>
      </c>
      <c r="AG119" s="24">
        <f t="shared" si="34"/>
        <v>0</v>
      </c>
      <c r="AH119" s="8">
        <f>--(COUNTIF('Tax Events'!$A$4:$A$8,A119)&gt;0)</f>
        <v>0</v>
      </c>
      <c r="AI119" s="8">
        <f>--(COUNTIF('Tax Events'!$B$4:$B$9,A119)&gt;0)</f>
        <v>0</v>
      </c>
    </row>
    <row r="120" spans="1:35">
      <c r="A120" s="4">
        <f>'H237 Tracker'!A120</f>
        <v>44018</v>
      </c>
      <c r="B120" s="13">
        <f t="shared" si="35"/>
        <v>14820717.830000002</v>
      </c>
      <c r="C120" s="13">
        <f t="shared" si="36"/>
        <v>0</v>
      </c>
      <c r="D120" s="13">
        <f t="shared" si="20"/>
        <v>14820717.830000002</v>
      </c>
      <c r="E120" s="13">
        <f t="shared" si="21"/>
        <v>0</v>
      </c>
      <c r="F120" s="13">
        <f>IF(AH120=1,MAX(R119,0)*Parameters!$B$11,0)</f>
        <v>0</v>
      </c>
      <c r="G120" s="13">
        <f>IF(AI120=1,MAX(S119,0)*Parameters!$B$11,0)</f>
        <v>0</v>
      </c>
      <c r="H120" s="13">
        <f t="shared" si="22"/>
        <v>14820717.830000002</v>
      </c>
      <c r="I120" s="13">
        <f t="shared" si="23"/>
        <v>0</v>
      </c>
      <c r="J120" s="13">
        <f t="shared" si="24"/>
        <v>0</v>
      </c>
      <c r="K120" s="13">
        <f t="shared" si="25"/>
        <v>0</v>
      </c>
      <c r="L120" s="13">
        <f t="shared" si="26"/>
        <v>14820717.830000002</v>
      </c>
      <c r="M120" s="13">
        <f t="shared" si="27"/>
        <v>0</v>
      </c>
      <c r="N120" s="13">
        <f>MAX(0,INT(L120*Parameters!$B$14/Parameters!$B$13/Parameters!$B$12)*Parameters!$B$12)</f>
        <v>9880455</v>
      </c>
      <c r="O120" s="13">
        <f>MAX(0,INT(M120*Parameters!$B$14/Parameters!$B$13/Parameters!$B$12)*Parameters!$B$12)</f>
        <v>0</v>
      </c>
      <c r="P120" s="13">
        <f>N120*Parameters!$B$13*'H237 Tracker'!B120</f>
        <v>2315978.6519999998</v>
      </c>
      <c r="Q120" s="13">
        <f>O120*Parameters!$B$13*'H237 Tracker'!C120</f>
        <v>0</v>
      </c>
      <c r="R120" s="13">
        <f t="shared" si="37"/>
        <v>13996972.989</v>
      </c>
      <c r="S120" s="13">
        <f t="shared" si="38"/>
        <v>3039723.4930000002</v>
      </c>
      <c r="T120" s="13">
        <f t="shared" si="28"/>
        <v>17136696.482000001</v>
      </c>
      <c r="U120" s="13">
        <f t="shared" si="29"/>
        <v>0</v>
      </c>
      <c r="V120" s="12">
        <f t="shared" si="30"/>
        <v>1</v>
      </c>
      <c r="W120" t="str">
        <f>'H237 Tracker'!I120</f>
        <v>A</v>
      </c>
      <c r="X120">
        <f>'H237 Tracker'!J120</f>
        <v>19</v>
      </c>
      <c r="Y120" t="str">
        <f>'H237 Tracker'!K120</f>
        <v>A</v>
      </c>
      <c r="Z120" s="12">
        <f>'H237 Tracker'!O120</f>
        <v>1</v>
      </c>
      <c r="AA120" s="13">
        <f>'H237 Tracker'!P120</f>
        <v>0</v>
      </c>
      <c r="AB120" s="13">
        <f>'H237 Tracker'!Q120</f>
        <v>0</v>
      </c>
      <c r="AC120" s="13">
        <f t="shared" si="31"/>
        <v>17136696.482000001</v>
      </c>
      <c r="AD120" s="13">
        <f t="shared" si="32"/>
        <v>0</v>
      </c>
      <c r="AE120" s="13">
        <f t="shared" si="33"/>
        <v>17136696.482000001</v>
      </c>
      <c r="AF120" s="13">
        <f t="shared" si="39"/>
        <v>17136696.482000001</v>
      </c>
      <c r="AG120" s="24">
        <f t="shared" si="34"/>
        <v>0</v>
      </c>
      <c r="AH120" s="8">
        <f>--(COUNTIF('Tax Events'!$A$4:$A$8,A120)&gt;0)</f>
        <v>0</v>
      </c>
      <c r="AI120" s="8">
        <f>--(COUNTIF('Tax Events'!$B$4:$B$9,A120)&gt;0)</f>
        <v>0</v>
      </c>
    </row>
    <row r="121" spans="1:35">
      <c r="A121" s="4">
        <f>'H237 Tracker'!A121</f>
        <v>44025</v>
      </c>
      <c r="B121" s="13">
        <f t="shared" si="35"/>
        <v>17136696.482000001</v>
      </c>
      <c r="C121" s="13">
        <f t="shared" si="36"/>
        <v>0</v>
      </c>
      <c r="D121" s="13">
        <f t="shared" si="20"/>
        <v>17136696.482000001</v>
      </c>
      <c r="E121" s="13">
        <f t="shared" si="21"/>
        <v>0</v>
      </c>
      <c r="F121" s="13">
        <f>IF(AH121=1,MAX(R120,0)*Parameters!$B$11,0)</f>
        <v>0</v>
      </c>
      <c r="G121" s="13">
        <f>IF(AI121=1,MAX(S120,0)*Parameters!$B$11,0)</f>
        <v>0</v>
      </c>
      <c r="H121" s="13">
        <f t="shared" si="22"/>
        <v>17136696.482000001</v>
      </c>
      <c r="I121" s="13">
        <f t="shared" si="23"/>
        <v>0</v>
      </c>
      <c r="J121" s="13">
        <f t="shared" si="24"/>
        <v>0</v>
      </c>
      <c r="K121" s="13">
        <f t="shared" si="25"/>
        <v>0</v>
      </c>
      <c r="L121" s="13">
        <f t="shared" si="26"/>
        <v>17136696.482000001</v>
      </c>
      <c r="M121" s="13">
        <f t="shared" si="27"/>
        <v>0</v>
      </c>
      <c r="N121" s="13">
        <f>MAX(0,INT(L121*Parameters!$B$14/Parameters!$B$13/Parameters!$B$12)*Parameters!$B$12)</f>
        <v>11424445</v>
      </c>
      <c r="O121" s="13">
        <f>MAX(0,INT(M121*Parameters!$B$14/Parameters!$B$13/Parameters!$B$12)*Parameters!$B$12)</f>
        <v>0</v>
      </c>
      <c r="P121" s="13">
        <f>N121*Parameters!$B$13*'H237 Tracker'!B121</f>
        <v>-5184413.1409999998</v>
      </c>
      <c r="Q121" s="13">
        <f>O121*Parameters!$B$13*'H237 Tracker'!C121</f>
        <v>0</v>
      </c>
      <c r="R121" s="13">
        <f t="shared" si="37"/>
        <v>8812559.8480000012</v>
      </c>
      <c r="S121" s="13">
        <f t="shared" si="38"/>
        <v>3039723.4930000002</v>
      </c>
      <c r="T121" s="13">
        <f t="shared" si="28"/>
        <v>11952283.341000002</v>
      </c>
      <c r="U121" s="13">
        <f t="shared" si="29"/>
        <v>0</v>
      </c>
      <c r="V121" s="12">
        <f t="shared" si="30"/>
        <v>1</v>
      </c>
      <c r="W121" t="str">
        <f>'H237 Tracker'!I121</f>
        <v>A</v>
      </c>
      <c r="X121">
        <f>'H237 Tracker'!J121</f>
        <v>20</v>
      </c>
      <c r="Y121" t="str">
        <f>'H237 Tracker'!K121</f>
        <v>A</v>
      </c>
      <c r="Z121" s="12">
        <f>'H237 Tracker'!O121</f>
        <v>1</v>
      </c>
      <c r="AA121" s="13">
        <f>'H237 Tracker'!P121</f>
        <v>0</v>
      </c>
      <c r="AB121" s="13">
        <f>'H237 Tracker'!Q121</f>
        <v>0</v>
      </c>
      <c r="AC121" s="13">
        <f t="shared" si="31"/>
        <v>11952283.341000002</v>
      </c>
      <c r="AD121" s="13">
        <f t="shared" si="32"/>
        <v>0</v>
      </c>
      <c r="AE121" s="13">
        <f t="shared" si="33"/>
        <v>11952283.341000002</v>
      </c>
      <c r="AF121" s="13">
        <f t="shared" si="39"/>
        <v>17136696.482000001</v>
      </c>
      <c r="AG121" s="24">
        <f t="shared" si="34"/>
        <v>-0.30253282168156448</v>
      </c>
      <c r="AH121" s="8">
        <f>--(COUNTIF('Tax Events'!$A$4:$A$8,A121)&gt;0)</f>
        <v>0</v>
      </c>
      <c r="AI121" s="8">
        <f>--(COUNTIF('Tax Events'!$B$4:$B$9,A121)&gt;0)</f>
        <v>0</v>
      </c>
    </row>
    <row r="122" spans="1:35">
      <c r="A122" s="4">
        <f>'H237 Tracker'!A122</f>
        <v>44032</v>
      </c>
      <c r="B122" s="13">
        <f t="shared" si="35"/>
        <v>11952283.341000002</v>
      </c>
      <c r="C122" s="13">
        <f t="shared" si="36"/>
        <v>0</v>
      </c>
      <c r="D122" s="13">
        <f t="shared" si="20"/>
        <v>11952283.341000002</v>
      </c>
      <c r="E122" s="13">
        <f t="shared" si="21"/>
        <v>0</v>
      </c>
      <c r="F122" s="13">
        <f>IF(AH122=1,MAX(R121,0)*Parameters!$B$11,0)</f>
        <v>0</v>
      </c>
      <c r="G122" s="13">
        <f>IF(AI122=1,MAX(S121,0)*Parameters!$B$11,0)</f>
        <v>0</v>
      </c>
      <c r="H122" s="13">
        <f t="shared" si="22"/>
        <v>11952283.341000002</v>
      </c>
      <c r="I122" s="13">
        <f t="shared" si="23"/>
        <v>0</v>
      </c>
      <c r="J122" s="13">
        <f t="shared" si="24"/>
        <v>0</v>
      </c>
      <c r="K122" s="13">
        <f t="shared" si="25"/>
        <v>0</v>
      </c>
      <c r="L122" s="13">
        <f t="shared" si="26"/>
        <v>11952283.341000002</v>
      </c>
      <c r="M122" s="13">
        <f t="shared" si="27"/>
        <v>0</v>
      </c>
      <c r="N122" s="13">
        <f>MAX(0,INT(L122*Parameters!$B$14/Parameters!$B$13/Parameters!$B$12)*Parameters!$B$12)</f>
        <v>7968120</v>
      </c>
      <c r="O122" s="13">
        <f>MAX(0,INT(M122*Parameters!$B$14/Parameters!$B$13/Parameters!$B$12)*Parameters!$B$12)</f>
        <v>0</v>
      </c>
      <c r="P122" s="13">
        <f>N122*Parameters!$B$13*'H237 Tracker'!B122</f>
        <v>4172107.6319999998</v>
      </c>
      <c r="Q122" s="13">
        <f>O122*Parameters!$B$13*'H237 Tracker'!C122</f>
        <v>0</v>
      </c>
      <c r="R122" s="13">
        <f t="shared" si="37"/>
        <v>12984667.48</v>
      </c>
      <c r="S122" s="13">
        <f t="shared" si="38"/>
        <v>3039723.4930000002</v>
      </c>
      <c r="T122" s="13">
        <f t="shared" si="28"/>
        <v>16124390.973000001</v>
      </c>
      <c r="U122" s="13">
        <f t="shared" si="29"/>
        <v>0</v>
      </c>
      <c r="V122" s="12">
        <f t="shared" si="30"/>
        <v>1</v>
      </c>
      <c r="W122" t="str">
        <f>'H237 Tracker'!I122</f>
        <v>A</v>
      </c>
      <c r="X122">
        <f>'H237 Tracker'!J122</f>
        <v>21</v>
      </c>
      <c r="Y122" t="str">
        <f>'H237 Tracker'!K122</f>
        <v>A</v>
      </c>
      <c r="Z122" s="12">
        <f>'H237 Tracker'!O122</f>
        <v>1</v>
      </c>
      <c r="AA122" s="13">
        <f>'H237 Tracker'!P122</f>
        <v>0</v>
      </c>
      <c r="AB122" s="13">
        <f>'H237 Tracker'!Q122</f>
        <v>0</v>
      </c>
      <c r="AC122" s="13">
        <f t="shared" si="31"/>
        <v>16124390.973000001</v>
      </c>
      <c r="AD122" s="13">
        <f t="shared" si="32"/>
        <v>0</v>
      </c>
      <c r="AE122" s="13">
        <f t="shared" si="33"/>
        <v>16124390.973000001</v>
      </c>
      <c r="AF122" s="13">
        <f t="shared" si="39"/>
        <v>17136696.482000001</v>
      </c>
      <c r="AG122" s="24">
        <f t="shared" si="34"/>
        <v>-5.9072383645430326E-2</v>
      </c>
      <c r="AH122" s="8">
        <f>--(COUNTIF('Tax Events'!$A$4:$A$8,A122)&gt;0)</f>
        <v>0</v>
      </c>
      <c r="AI122" s="8">
        <f>--(COUNTIF('Tax Events'!$B$4:$B$9,A122)&gt;0)</f>
        <v>0</v>
      </c>
    </row>
    <row r="123" spans="1:35">
      <c r="A123" s="4">
        <f>'H237 Tracker'!A123</f>
        <v>44039</v>
      </c>
      <c r="B123" s="13">
        <f t="shared" si="35"/>
        <v>16124390.973000001</v>
      </c>
      <c r="C123" s="13">
        <f t="shared" si="36"/>
        <v>0</v>
      </c>
      <c r="D123" s="13">
        <f t="shared" si="20"/>
        <v>16124390.973000001</v>
      </c>
      <c r="E123" s="13">
        <f t="shared" si="21"/>
        <v>0</v>
      </c>
      <c r="F123" s="13">
        <f>IF(AH123=1,MAX(R122,0)*Parameters!$B$11,0)</f>
        <v>0</v>
      </c>
      <c r="G123" s="13">
        <f>IF(AI123=1,MAX(S122,0)*Parameters!$B$11,0)</f>
        <v>0</v>
      </c>
      <c r="H123" s="13">
        <f t="shared" si="22"/>
        <v>16124390.973000001</v>
      </c>
      <c r="I123" s="13">
        <f t="shared" si="23"/>
        <v>0</v>
      </c>
      <c r="J123" s="13">
        <f t="shared" si="24"/>
        <v>0</v>
      </c>
      <c r="K123" s="13">
        <f t="shared" si="25"/>
        <v>0</v>
      </c>
      <c r="L123" s="13">
        <f t="shared" si="26"/>
        <v>16124390.973000001</v>
      </c>
      <c r="M123" s="13">
        <f t="shared" si="27"/>
        <v>0</v>
      </c>
      <c r="N123" s="13">
        <f>MAX(0,INT(L123*Parameters!$B$14/Parameters!$B$13/Parameters!$B$12)*Parameters!$B$12)</f>
        <v>10749510</v>
      </c>
      <c r="O123" s="13">
        <f>MAX(0,INT(M123*Parameters!$B$14/Parameters!$B$13/Parameters!$B$12)*Parameters!$B$12)</f>
        <v>0</v>
      </c>
      <c r="P123" s="13">
        <f>N123*Parameters!$B$13*'H237 Tracker'!B123</f>
        <v>2351992.7880000002</v>
      </c>
      <c r="Q123" s="13">
        <f>O123*Parameters!$B$13*'H237 Tracker'!C123</f>
        <v>0</v>
      </c>
      <c r="R123" s="13">
        <f t="shared" si="37"/>
        <v>15336660.268000001</v>
      </c>
      <c r="S123" s="13">
        <f t="shared" si="38"/>
        <v>3039723.4930000002</v>
      </c>
      <c r="T123" s="13">
        <f t="shared" si="28"/>
        <v>18476383.761</v>
      </c>
      <c r="U123" s="13">
        <f t="shared" si="29"/>
        <v>0</v>
      </c>
      <c r="V123" s="12">
        <f t="shared" si="30"/>
        <v>1</v>
      </c>
      <c r="W123" t="str">
        <f>'H237 Tracker'!I123</f>
        <v>A</v>
      </c>
      <c r="X123">
        <f>'H237 Tracker'!J123</f>
        <v>22</v>
      </c>
      <c r="Y123" t="str">
        <f>'H237 Tracker'!K123</f>
        <v>A</v>
      </c>
      <c r="Z123" s="12">
        <f>'H237 Tracker'!O123</f>
        <v>1</v>
      </c>
      <c r="AA123" s="13">
        <f>'H237 Tracker'!P123</f>
        <v>0</v>
      </c>
      <c r="AB123" s="13">
        <f>'H237 Tracker'!Q123</f>
        <v>0</v>
      </c>
      <c r="AC123" s="13">
        <f t="shared" si="31"/>
        <v>18476383.761</v>
      </c>
      <c r="AD123" s="13">
        <f t="shared" si="32"/>
        <v>0</v>
      </c>
      <c r="AE123" s="13">
        <f t="shared" si="33"/>
        <v>18476383.761</v>
      </c>
      <c r="AF123" s="13">
        <f t="shared" si="39"/>
        <v>18476383.761</v>
      </c>
      <c r="AG123" s="24">
        <f t="shared" si="34"/>
        <v>0</v>
      </c>
      <c r="AH123" s="8">
        <f>--(COUNTIF('Tax Events'!$A$4:$A$8,A123)&gt;0)</f>
        <v>0</v>
      </c>
      <c r="AI123" s="8">
        <f>--(COUNTIF('Tax Events'!$B$4:$B$9,A123)&gt;0)</f>
        <v>0</v>
      </c>
    </row>
    <row r="124" spans="1:35">
      <c r="A124" s="4">
        <f>'H237 Tracker'!A124</f>
        <v>44046</v>
      </c>
      <c r="B124" s="13">
        <f t="shared" si="35"/>
        <v>18476383.761</v>
      </c>
      <c r="C124" s="13">
        <f t="shared" si="36"/>
        <v>0</v>
      </c>
      <c r="D124" s="13">
        <f t="shared" si="20"/>
        <v>18476383.761</v>
      </c>
      <c r="E124" s="13">
        <f t="shared" si="21"/>
        <v>0</v>
      </c>
      <c r="F124" s="13">
        <f>IF(AH124=1,MAX(R123,0)*Parameters!$B$11,0)</f>
        <v>0</v>
      </c>
      <c r="G124" s="13">
        <f>IF(AI124=1,MAX(S123,0)*Parameters!$B$11,0)</f>
        <v>0</v>
      </c>
      <c r="H124" s="13">
        <f t="shared" si="22"/>
        <v>18476383.761</v>
      </c>
      <c r="I124" s="13">
        <f t="shared" si="23"/>
        <v>0</v>
      </c>
      <c r="J124" s="13">
        <f t="shared" si="24"/>
        <v>0</v>
      </c>
      <c r="K124" s="13">
        <f t="shared" si="25"/>
        <v>0</v>
      </c>
      <c r="L124" s="13">
        <f t="shared" si="26"/>
        <v>18476383.761</v>
      </c>
      <c r="M124" s="13">
        <f t="shared" si="27"/>
        <v>0</v>
      </c>
      <c r="N124" s="13">
        <f>MAX(0,INT(L124*Parameters!$B$14/Parameters!$B$13/Parameters!$B$12)*Parameters!$B$12)</f>
        <v>12317535</v>
      </c>
      <c r="O124" s="13">
        <f>MAX(0,INT(M124*Parameters!$B$14/Parameters!$B$13/Parameters!$B$12)*Parameters!$B$12)</f>
        <v>0</v>
      </c>
      <c r="P124" s="13">
        <f>N124*Parameters!$B$13*'H237 Tracker'!B124</f>
        <v>3015332.568</v>
      </c>
      <c r="Q124" s="13">
        <f>O124*Parameters!$B$13*'H237 Tracker'!C124</f>
        <v>0</v>
      </c>
      <c r="R124" s="13">
        <f t="shared" si="37"/>
        <v>18351992.836000003</v>
      </c>
      <c r="S124" s="13">
        <f t="shared" si="38"/>
        <v>3039723.4930000002</v>
      </c>
      <c r="T124" s="13">
        <f t="shared" si="28"/>
        <v>21491716.329</v>
      </c>
      <c r="U124" s="13">
        <f t="shared" si="29"/>
        <v>0</v>
      </c>
      <c r="V124" s="12">
        <f t="shared" si="30"/>
        <v>1</v>
      </c>
      <c r="W124" t="str">
        <f>'H237 Tracker'!I124</f>
        <v>A</v>
      </c>
      <c r="X124">
        <f>'H237 Tracker'!J124</f>
        <v>23</v>
      </c>
      <c r="Y124" t="str">
        <f>'H237 Tracker'!K124</f>
        <v>A</v>
      </c>
      <c r="Z124" s="12">
        <f>'H237 Tracker'!O124</f>
        <v>1</v>
      </c>
      <c r="AA124" s="13">
        <f>'H237 Tracker'!P124</f>
        <v>0</v>
      </c>
      <c r="AB124" s="13">
        <f>'H237 Tracker'!Q124</f>
        <v>0</v>
      </c>
      <c r="AC124" s="13">
        <f t="shared" si="31"/>
        <v>21491716.329</v>
      </c>
      <c r="AD124" s="13">
        <f t="shared" si="32"/>
        <v>0</v>
      </c>
      <c r="AE124" s="13">
        <f t="shared" si="33"/>
        <v>21491716.329</v>
      </c>
      <c r="AF124" s="13">
        <f t="shared" si="39"/>
        <v>21491716.329</v>
      </c>
      <c r="AG124" s="24">
        <f t="shared" si="34"/>
        <v>0</v>
      </c>
      <c r="AH124" s="8">
        <f>--(COUNTIF('Tax Events'!$A$4:$A$8,A124)&gt;0)</f>
        <v>0</v>
      </c>
      <c r="AI124" s="8">
        <f>--(COUNTIF('Tax Events'!$B$4:$B$9,A124)&gt;0)</f>
        <v>0</v>
      </c>
    </row>
    <row r="125" spans="1:35">
      <c r="A125" s="4">
        <f>'H237 Tracker'!A125</f>
        <v>44053</v>
      </c>
      <c r="B125" s="13">
        <f t="shared" si="35"/>
        <v>21491716.329</v>
      </c>
      <c r="C125" s="13">
        <f t="shared" si="36"/>
        <v>0</v>
      </c>
      <c r="D125" s="13">
        <f t="shared" si="20"/>
        <v>21491716.329</v>
      </c>
      <c r="E125" s="13">
        <f t="shared" si="21"/>
        <v>0</v>
      </c>
      <c r="F125" s="13">
        <f>IF(AH125=1,MAX(R124,0)*Parameters!$B$11,0)</f>
        <v>0</v>
      </c>
      <c r="G125" s="13">
        <f>IF(AI125=1,MAX(S124,0)*Parameters!$B$11,0)</f>
        <v>0</v>
      </c>
      <c r="H125" s="13">
        <f t="shared" si="22"/>
        <v>21491716.329</v>
      </c>
      <c r="I125" s="13">
        <f t="shared" si="23"/>
        <v>0</v>
      </c>
      <c r="J125" s="13">
        <f t="shared" si="24"/>
        <v>0</v>
      </c>
      <c r="K125" s="13">
        <f t="shared" si="25"/>
        <v>0</v>
      </c>
      <c r="L125" s="13">
        <f t="shared" si="26"/>
        <v>21491716.329</v>
      </c>
      <c r="M125" s="13">
        <f t="shared" si="27"/>
        <v>0</v>
      </c>
      <c r="N125" s="13">
        <f>MAX(0,INT(L125*Parameters!$B$14/Parameters!$B$13/Parameters!$B$12)*Parameters!$B$12)</f>
        <v>14327735</v>
      </c>
      <c r="O125" s="13">
        <f>MAX(0,INT(M125*Parameters!$B$14/Parameters!$B$13/Parameters!$B$12)*Parameters!$B$12)</f>
        <v>0</v>
      </c>
      <c r="P125" s="13">
        <f>N125*Parameters!$B$13*'H237 Tracker'!B125</f>
        <v>-1146218.8</v>
      </c>
      <c r="Q125" s="13">
        <f>O125*Parameters!$B$13*'H237 Tracker'!C125</f>
        <v>0</v>
      </c>
      <c r="R125" s="13">
        <f t="shared" si="37"/>
        <v>17205774.036000002</v>
      </c>
      <c r="S125" s="13">
        <f t="shared" si="38"/>
        <v>3039723.4930000002</v>
      </c>
      <c r="T125" s="13">
        <f t="shared" si="28"/>
        <v>20345497.528999999</v>
      </c>
      <c r="U125" s="13">
        <f t="shared" si="29"/>
        <v>0</v>
      </c>
      <c r="V125" s="12">
        <f t="shared" si="30"/>
        <v>1</v>
      </c>
      <c r="W125" t="str">
        <f>'H237 Tracker'!I125</f>
        <v>A</v>
      </c>
      <c r="X125">
        <f>'H237 Tracker'!J125</f>
        <v>24</v>
      </c>
      <c r="Y125" t="str">
        <f>'H237 Tracker'!K125</f>
        <v>A</v>
      </c>
      <c r="Z125" s="12">
        <f>'H237 Tracker'!O125</f>
        <v>1</v>
      </c>
      <c r="AA125" s="13">
        <f>'H237 Tracker'!P125</f>
        <v>0</v>
      </c>
      <c r="AB125" s="13">
        <f>'H237 Tracker'!Q125</f>
        <v>0</v>
      </c>
      <c r="AC125" s="13">
        <f t="shared" si="31"/>
        <v>20345497.528999999</v>
      </c>
      <c r="AD125" s="13">
        <f t="shared" si="32"/>
        <v>0</v>
      </c>
      <c r="AE125" s="13">
        <f t="shared" si="33"/>
        <v>20345497.528999999</v>
      </c>
      <c r="AF125" s="13">
        <f t="shared" si="39"/>
        <v>21491716.329</v>
      </c>
      <c r="AG125" s="24">
        <f t="shared" si="34"/>
        <v>-5.3333050857987674E-2</v>
      </c>
      <c r="AH125" s="8">
        <f>--(COUNTIF('Tax Events'!$A$4:$A$8,A125)&gt;0)</f>
        <v>0</v>
      </c>
      <c r="AI125" s="8">
        <f>--(COUNTIF('Tax Events'!$B$4:$B$9,A125)&gt;0)</f>
        <v>0</v>
      </c>
    </row>
    <row r="126" spans="1:35">
      <c r="A126" s="4">
        <f>'H237 Tracker'!A126</f>
        <v>44060</v>
      </c>
      <c r="B126" s="13">
        <f t="shared" si="35"/>
        <v>20345497.528999999</v>
      </c>
      <c r="C126" s="13">
        <f t="shared" si="36"/>
        <v>0</v>
      </c>
      <c r="D126" s="13">
        <f t="shared" si="20"/>
        <v>20345497.528999999</v>
      </c>
      <c r="E126" s="13">
        <f t="shared" si="21"/>
        <v>0</v>
      </c>
      <c r="F126" s="13">
        <f>IF(AH126=1,MAX(R125,0)*Parameters!$B$11,0)</f>
        <v>0</v>
      </c>
      <c r="G126" s="13">
        <f>IF(AI126=1,MAX(S125,0)*Parameters!$B$11,0)</f>
        <v>0</v>
      </c>
      <c r="H126" s="13">
        <f t="shared" si="22"/>
        <v>20345497.528999999</v>
      </c>
      <c r="I126" s="13">
        <f t="shared" si="23"/>
        <v>0</v>
      </c>
      <c r="J126" s="13">
        <f t="shared" si="24"/>
        <v>0</v>
      </c>
      <c r="K126" s="13">
        <f t="shared" si="25"/>
        <v>0</v>
      </c>
      <c r="L126" s="13">
        <f t="shared" si="26"/>
        <v>20345497.528999999</v>
      </c>
      <c r="M126" s="13">
        <f t="shared" si="27"/>
        <v>0</v>
      </c>
      <c r="N126" s="13">
        <f>MAX(0,INT(L126*Parameters!$B$14/Parameters!$B$13/Parameters!$B$12)*Parameters!$B$12)</f>
        <v>13563560</v>
      </c>
      <c r="O126" s="13">
        <f>MAX(0,INT(M126*Parameters!$B$14/Parameters!$B$13/Parameters!$B$12)*Parameters!$B$12)</f>
        <v>0</v>
      </c>
      <c r="P126" s="13">
        <f>N126*Parameters!$B$13*'H237 Tracker'!B126</f>
        <v>7921119.04</v>
      </c>
      <c r="Q126" s="13">
        <f>O126*Parameters!$B$13*'H237 Tracker'!C126</f>
        <v>0</v>
      </c>
      <c r="R126" s="13">
        <f t="shared" si="37"/>
        <v>25126893.076000001</v>
      </c>
      <c r="S126" s="13">
        <f t="shared" si="38"/>
        <v>3039723.4930000002</v>
      </c>
      <c r="T126" s="13">
        <f t="shared" si="28"/>
        <v>28266616.568999998</v>
      </c>
      <c r="U126" s="13">
        <f t="shared" si="29"/>
        <v>0</v>
      </c>
      <c r="V126" s="12">
        <f t="shared" si="30"/>
        <v>1</v>
      </c>
      <c r="W126" t="str">
        <f>'H237 Tracker'!I126</f>
        <v>B</v>
      </c>
      <c r="X126">
        <f>'H237 Tracker'!J126</f>
        <v>1</v>
      </c>
      <c r="Y126" t="str">
        <f>'H237 Tracker'!K126</f>
        <v>HOLD</v>
      </c>
      <c r="Z126" s="12">
        <f>'H237 Tracker'!O126</f>
        <v>1</v>
      </c>
      <c r="AA126" s="13">
        <f>'H237 Tracker'!P126</f>
        <v>0</v>
      </c>
      <c r="AB126" s="13">
        <f>'H237 Tracker'!Q126</f>
        <v>0</v>
      </c>
      <c r="AC126" s="13">
        <f t="shared" si="31"/>
        <v>28266616.568999998</v>
      </c>
      <c r="AD126" s="13">
        <f t="shared" si="32"/>
        <v>0</v>
      </c>
      <c r="AE126" s="13">
        <f t="shared" si="33"/>
        <v>28266616.568999998</v>
      </c>
      <c r="AF126" s="13">
        <f t="shared" si="39"/>
        <v>28266616.568999998</v>
      </c>
      <c r="AG126" s="24">
        <f t="shared" si="34"/>
        <v>0</v>
      </c>
      <c r="AH126" s="8">
        <f>--(COUNTIF('Tax Events'!$A$4:$A$8,A126)&gt;0)</f>
        <v>0</v>
      </c>
      <c r="AI126" s="8">
        <f>--(COUNTIF('Tax Events'!$B$4:$B$9,A126)&gt;0)</f>
        <v>0</v>
      </c>
    </row>
    <row r="127" spans="1:35">
      <c r="A127" s="4">
        <f>'H237 Tracker'!A127</f>
        <v>44067</v>
      </c>
      <c r="B127" s="13">
        <f t="shared" si="35"/>
        <v>28266616.568999998</v>
      </c>
      <c r="C127" s="13">
        <f t="shared" si="36"/>
        <v>0</v>
      </c>
      <c r="D127" s="13">
        <f t="shared" si="20"/>
        <v>28266616.568999998</v>
      </c>
      <c r="E127" s="13">
        <f t="shared" si="21"/>
        <v>0</v>
      </c>
      <c r="F127" s="13">
        <f>IF(AH127=1,MAX(R126,0)*Parameters!$B$11,0)</f>
        <v>0</v>
      </c>
      <c r="G127" s="13">
        <f>IF(AI127=1,MAX(S126,0)*Parameters!$B$11,0)</f>
        <v>0</v>
      </c>
      <c r="H127" s="13">
        <f t="shared" si="22"/>
        <v>28266616.568999998</v>
      </c>
      <c r="I127" s="13">
        <f t="shared" si="23"/>
        <v>0</v>
      </c>
      <c r="J127" s="13">
        <f t="shared" si="24"/>
        <v>0</v>
      </c>
      <c r="K127" s="13">
        <f t="shared" si="25"/>
        <v>0</v>
      </c>
      <c r="L127" s="13">
        <f t="shared" si="26"/>
        <v>28266616.568999998</v>
      </c>
      <c r="M127" s="13">
        <f t="shared" si="27"/>
        <v>0</v>
      </c>
      <c r="N127" s="13">
        <f>MAX(0,INT(L127*Parameters!$B$14/Parameters!$B$13/Parameters!$B$12)*Parameters!$B$12)</f>
        <v>18844360</v>
      </c>
      <c r="O127" s="13">
        <f>MAX(0,INT(M127*Parameters!$B$14/Parameters!$B$13/Parameters!$B$12)*Parameters!$B$12)</f>
        <v>0</v>
      </c>
      <c r="P127" s="13">
        <f>N127*Parameters!$B$13*'H237 Tracker'!B127</f>
        <v>9772685.0960000008</v>
      </c>
      <c r="Q127" s="13">
        <f>O127*Parameters!$B$13*'H237 Tracker'!C127</f>
        <v>0</v>
      </c>
      <c r="R127" s="13">
        <f t="shared" si="37"/>
        <v>34899578.172000006</v>
      </c>
      <c r="S127" s="13">
        <f t="shared" si="38"/>
        <v>3039723.4930000002</v>
      </c>
      <c r="T127" s="13">
        <f t="shared" si="28"/>
        <v>38039301.664999999</v>
      </c>
      <c r="U127" s="13">
        <f t="shared" si="29"/>
        <v>0</v>
      </c>
      <c r="V127" s="12">
        <f t="shared" si="30"/>
        <v>1</v>
      </c>
      <c r="W127" t="str">
        <f>'H237 Tracker'!I127</f>
        <v>B</v>
      </c>
      <c r="X127">
        <f>'H237 Tracker'!J127</f>
        <v>2</v>
      </c>
      <c r="Y127" t="str">
        <f>'H237 Tracker'!K127</f>
        <v>HOLD</v>
      </c>
      <c r="Z127" s="12">
        <f>'H237 Tracker'!O127</f>
        <v>1</v>
      </c>
      <c r="AA127" s="13">
        <f>'H237 Tracker'!P127</f>
        <v>0</v>
      </c>
      <c r="AB127" s="13">
        <f>'H237 Tracker'!Q127</f>
        <v>0</v>
      </c>
      <c r="AC127" s="13">
        <f t="shared" si="31"/>
        <v>38039301.664999999</v>
      </c>
      <c r="AD127" s="13">
        <f t="shared" si="32"/>
        <v>0</v>
      </c>
      <c r="AE127" s="13">
        <f t="shared" si="33"/>
        <v>38039301.664999999</v>
      </c>
      <c r="AF127" s="13">
        <f t="shared" si="39"/>
        <v>38039301.664999999</v>
      </c>
      <c r="AG127" s="24">
        <f t="shared" si="34"/>
        <v>0</v>
      </c>
      <c r="AH127" s="8">
        <f>--(COUNTIF('Tax Events'!$A$4:$A$8,A127)&gt;0)</f>
        <v>0</v>
      </c>
      <c r="AI127" s="8">
        <f>--(COUNTIF('Tax Events'!$B$4:$B$9,A127)&gt;0)</f>
        <v>0</v>
      </c>
    </row>
    <row r="128" spans="1:35">
      <c r="A128" s="4">
        <f>'H237 Tracker'!A128</f>
        <v>44074</v>
      </c>
      <c r="B128" s="13">
        <f t="shared" si="35"/>
        <v>38039301.664999999</v>
      </c>
      <c r="C128" s="13">
        <f t="shared" si="36"/>
        <v>0</v>
      </c>
      <c r="D128" s="13">
        <f t="shared" si="20"/>
        <v>38039301.664999999</v>
      </c>
      <c r="E128" s="13">
        <f t="shared" si="21"/>
        <v>0</v>
      </c>
      <c r="F128" s="13">
        <f>IF(AH128=1,MAX(R127,0)*Parameters!$B$11,0)</f>
        <v>0</v>
      </c>
      <c r="G128" s="13">
        <f>IF(AI128=1,MAX(S127,0)*Parameters!$B$11,0)</f>
        <v>0</v>
      </c>
      <c r="H128" s="13">
        <f t="shared" si="22"/>
        <v>38039301.664999999</v>
      </c>
      <c r="I128" s="13">
        <f t="shared" si="23"/>
        <v>0</v>
      </c>
      <c r="J128" s="13">
        <f t="shared" si="24"/>
        <v>0</v>
      </c>
      <c r="K128" s="13">
        <f t="shared" si="25"/>
        <v>0</v>
      </c>
      <c r="L128" s="13">
        <f t="shared" si="26"/>
        <v>38039301.664999999</v>
      </c>
      <c r="M128" s="13">
        <f t="shared" si="27"/>
        <v>0</v>
      </c>
      <c r="N128" s="13">
        <f>MAX(0,INT(L128*Parameters!$B$14/Parameters!$B$13/Parameters!$B$12)*Parameters!$B$12)</f>
        <v>25359455</v>
      </c>
      <c r="O128" s="13">
        <f>MAX(0,INT(M128*Parameters!$B$14/Parameters!$B$13/Parameters!$B$12)*Parameters!$B$12)</f>
        <v>0</v>
      </c>
      <c r="P128" s="13">
        <f>N128*Parameters!$B$13*'H237 Tracker'!B128</f>
        <v>3677120.9750000001</v>
      </c>
      <c r="Q128" s="13">
        <f>O128*Parameters!$B$13*'H237 Tracker'!C128</f>
        <v>0</v>
      </c>
      <c r="R128" s="13">
        <f t="shared" si="37"/>
        <v>38576699.147000007</v>
      </c>
      <c r="S128" s="13">
        <f t="shared" si="38"/>
        <v>3039723.4930000002</v>
      </c>
      <c r="T128" s="13">
        <f t="shared" si="28"/>
        <v>41716422.640000001</v>
      </c>
      <c r="U128" s="13">
        <f t="shared" si="29"/>
        <v>0</v>
      </c>
      <c r="V128" s="12">
        <f t="shared" si="30"/>
        <v>1</v>
      </c>
      <c r="W128" t="str">
        <f>'H237 Tracker'!I128</f>
        <v>B</v>
      </c>
      <c r="X128">
        <f>'H237 Tracker'!J128</f>
        <v>3</v>
      </c>
      <c r="Y128" t="str">
        <f>'H237 Tracker'!K128</f>
        <v>B</v>
      </c>
      <c r="Z128" s="12">
        <f>'H237 Tracker'!O128</f>
        <v>0.9</v>
      </c>
      <c r="AA128" s="13">
        <f>'H237 Tracker'!P128</f>
        <v>4171642.2639999986</v>
      </c>
      <c r="AB128" s="13">
        <f>'H237 Tracker'!Q128</f>
        <v>0</v>
      </c>
      <c r="AC128" s="13">
        <f t="shared" si="31"/>
        <v>37544780.376000002</v>
      </c>
      <c r="AD128" s="13">
        <f t="shared" si="32"/>
        <v>4171642.2639999986</v>
      </c>
      <c r="AE128" s="13">
        <f t="shared" si="33"/>
        <v>41716422.640000001</v>
      </c>
      <c r="AF128" s="13">
        <f t="shared" si="39"/>
        <v>41716422.640000001</v>
      </c>
      <c r="AG128" s="24">
        <f t="shared" si="34"/>
        <v>0</v>
      </c>
      <c r="AH128" s="8">
        <f>--(COUNTIF('Tax Events'!$A$4:$A$8,A128)&gt;0)</f>
        <v>0</v>
      </c>
      <c r="AI128" s="8">
        <f>--(COUNTIF('Tax Events'!$B$4:$B$9,A128)&gt;0)</f>
        <v>0</v>
      </c>
    </row>
    <row r="129" spans="1:35">
      <c r="A129" s="4">
        <f>'H237 Tracker'!A129</f>
        <v>44081</v>
      </c>
      <c r="B129" s="13">
        <f t="shared" si="35"/>
        <v>37544780.376000002</v>
      </c>
      <c r="C129" s="13">
        <f t="shared" si="36"/>
        <v>4171642.2639999986</v>
      </c>
      <c r="D129" s="13">
        <f t="shared" si="20"/>
        <v>37544780.376000002</v>
      </c>
      <c r="E129" s="13">
        <f t="shared" si="21"/>
        <v>4171642.2639999986</v>
      </c>
      <c r="F129" s="13">
        <f>IF(AH129=1,MAX(R128,0)*Parameters!$B$11,0)</f>
        <v>0</v>
      </c>
      <c r="G129" s="13">
        <f>IF(AI129=1,MAX(S128,0)*Parameters!$B$11,0)</f>
        <v>0</v>
      </c>
      <c r="H129" s="13">
        <f t="shared" si="22"/>
        <v>37544780.376000002</v>
      </c>
      <c r="I129" s="13">
        <f t="shared" si="23"/>
        <v>4171642.2639999986</v>
      </c>
      <c r="J129" s="13">
        <f t="shared" si="24"/>
        <v>0</v>
      </c>
      <c r="K129" s="13">
        <f t="shared" si="25"/>
        <v>0</v>
      </c>
      <c r="L129" s="13">
        <f t="shared" si="26"/>
        <v>37544780.376000002</v>
      </c>
      <c r="M129" s="13">
        <f t="shared" si="27"/>
        <v>4171642.2639999986</v>
      </c>
      <c r="N129" s="13">
        <f>MAX(0,INT(L129*Parameters!$B$14/Parameters!$B$13/Parameters!$B$12)*Parameters!$B$12)</f>
        <v>25029750</v>
      </c>
      <c r="O129" s="13">
        <f>MAX(0,INT(M129*Parameters!$B$14/Parameters!$B$13/Parameters!$B$12)*Parameters!$B$12)</f>
        <v>2781045</v>
      </c>
      <c r="P129" s="13">
        <f>N129*Parameters!$B$13*'H237 Tracker'!B129</f>
        <v>-2002380</v>
      </c>
      <c r="Q129" s="13">
        <f>O129*Parameters!$B$13*'H237 Tracker'!C129</f>
        <v>0</v>
      </c>
      <c r="R129" s="13">
        <f t="shared" si="37"/>
        <v>36574319.147000007</v>
      </c>
      <c r="S129" s="13">
        <f t="shared" si="38"/>
        <v>3039723.4930000002</v>
      </c>
      <c r="T129" s="13">
        <f t="shared" si="28"/>
        <v>35542400.376000002</v>
      </c>
      <c r="U129" s="13">
        <f t="shared" si="29"/>
        <v>4171642.2639999986</v>
      </c>
      <c r="V129" s="12">
        <f t="shared" si="30"/>
        <v>0.89495800511131252</v>
      </c>
      <c r="W129" t="str">
        <f>'H237 Tracker'!I129</f>
        <v>B</v>
      </c>
      <c r="X129">
        <f>'H237 Tracker'!J129</f>
        <v>4</v>
      </c>
      <c r="Y129" t="str">
        <f>'H237 Tracker'!K129</f>
        <v>B</v>
      </c>
      <c r="Z129" s="12">
        <f>'H237 Tracker'!O129</f>
        <v>0.79495800511131254</v>
      </c>
      <c r="AA129" s="13">
        <f>'H237 Tracker'!P129</f>
        <v>3971404.2639999986</v>
      </c>
      <c r="AB129" s="13">
        <f>'H237 Tracker'!Q129</f>
        <v>0</v>
      </c>
      <c r="AC129" s="13">
        <f t="shared" si="31"/>
        <v>31570996.112000003</v>
      </c>
      <c r="AD129" s="13">
        <f t="shared" si="32"/>
        <v>8143046.5279999971</v>
      </c>
      <c r="AE129" s="13">
        <f t="shared" si="33"/>
        <v>39714042.640000001</v>
      </c>
      <c r="AF129" s="13">
        <f t="shared" si="39"/>
        <v>41716422.640000001</v>
      </c>
      <c r="AG129" s="24">
        <f t="shared" si="34"/>
        <v>-4.7999801355929517E-2</v>
      </c>
      <c r="AH129" s="8">
        <f>--(COUNTIF('Tax Events'!$A$4:$A$8,A129)&gt;0)</f>
        <v>0</v>
      </c>
      <c r="AI129" s="8">
        <f>--(COUNTIF('Tax Events'!$B$4:$B$9,A129)&gt;0)</f>
        <v>0</v>
      </c>
    </row>
    <row r="130" spans="1:35">
      <c r="A130" s="4">
        <f>'H237 Tracker'!A130</f>
        <v>44088</v>
      </c>
      <c r="B130" s="13">
        <f t="shared" si="35"/>
        <v>31570996.112000003</v>
      </c>
      <c r="C130" s="13">
        <f t="shared" si="36"/>
        <v>8143046.5279999971</v>
      </c>
      <c r="D130" s="13">
        <f t="shared" si="20"/>
        <v>31570996.112000003</v>
      </c>
      <c r="E130" s="13">
        <f t="shared" si="21"/>
        <v>8143046.5279999971</v>
      </c>
      <c r="F130" s="13">
        <f>IF(AH130=1,MAX(R129,0)*Parameters!$B$11,0)</f>
        <v>0</v>
      </c>
      <c r="G130" s="13">
        <f>IF(AI130=1,MAX(S129,0)*Parameters!$B$11,0)</f>
        <v>0</v>
      </c>
      <c r="H130" s="13">
        <f t="shared" si="22"/>
        <v>31570996.112000003</v>
      </c>
      <c r="I130" s="13">
        <f t="shared" si="23"/>
        <v>8143046.5279999971</v>
      </c>
      <c r="J130" s="13">
        <f t="shared" si="24"/>
        <v>0</v>
      </c>
      <c r="K130" s="13">
        <f t="shared" si="25"/>
        <v>0</v>
      </c>
      <c r="L130" s="13">
        <f t="shared" si="26"/>
        <v>31570996.112000003</v>
      </c>
      <c r="M130" s="13">
        <f t="shared" si="27"/>
        <v>8143046.5279999971</v>
      </c>
      <c r="N130" s="13">
        <f>MAX(0,INT(L130*Parameters!$B$14/Parameters!$B$13/Parameters!$B$12)*Parameters!$B$12)</f>
        <v>21047300</v>
      </c>
      <c r="O130" s="13">
        <f>MAX(0,INT(M130*Parameters!$B$14/Parameters!$B$13/Parameters!$B$12)*Parameters!$B$12)</f>
        <v>5428690</v>
      </c>
      <c r="P130" s="13">
        <f>N130*Parameters!$B$13*'H237 Tracker'!B130</f>
        <v>-1687993.46</v>
      </c>
      <c r="Q130" s="13">
        <f>O130*Parameters!$B$13*'H237 Tracker'!C130</f>
        <v>0</v>
      </c>
      <c r="R130" s="13">
        <f t="shared" si="37"/>
        <v>34886325.687000006</v>
      </c>
      <c r="S130" s="13">
        <f t="shared" si="38"/>
        <v>3039723.4930000002</v>
      </c>
      <c r="T130" s="13">
        <f t="shared" si="28"/>
        <v>29883002.652000003</v>
      </c>
      <c r="U130" s="13">
        <f t="shared" si="29"/>
        <v>8143046.5279999971</v>
      </c>
      <c r="V130" s="12">
        <f t="shared" si="30"/>
        <v>0.78585609855354432</v>
      </c>
      <c r="W130" t="str">
        <f>'H237 Tracker'!I130</f>
        <v>B</v>
      </c>
      <c r="X130">
        <f>'H237 Tracker'!J130</f>
        <v>5</v>
      </c>
      <c r="Y130" t="str">
        <f>'H237 Tracker'!K130</f>
        <v>B</v>
      </c>
      <c r="Z130" s="12">
        <f>'H237 Tracker'!O130</f>
        <v>0.68585609855354435</v>
      </c>
      <c r="AA130" s="13">
        <f>'H237 Tracker'!P130</f>
        <v>3802604.9179999977</v>
      </c>
      <c r="AB130" s="13">
        <f>'H237 Tracker'!Q130</f>
        <v>0</v>
      </c>
      <c r="AC130" s="13">
        <f t="shared" si="31"/>
        <v>26080397.734000005</v>
      </c>
      <c r="AD130" s="13">
        <f t="shared" si="32"/>
        <v>11945651.445999995</v>
      </c>
      <c r="AE130" s="13">
        <f t="shared" si="33"/>
        <v>38026049.18</v>
      </c>
      <c r="AF130" s="13">
        <f t="shared" si="39"/>
        <v>41716422.640000001</v>
      </c>
      <c r="AG130" s="24">
        <f t="shared" si="34"/>
        <v>-8.8463325147671412E-2</v>
      </c>
      <c r="AH130" s="8">
        <f>--(COUNTIF('Tax Events'!$A$4:$A$8,A130)&gt;0)</f>
        <v>0</v>
      </c>
      <c r="AI130" s="8">
        <f>--(COUNTIF('Tax Events'!$B$4:$B$9,A130)&gt;0)</f>
        <v>0</v>
      </c>
    </row>
    <row r="131" spans="1:35">
      <c r="A131" s="4">
        <f>'H237 Tracker'!A131</f>
        <v>44095</v>
      </c>
      <c r="B131" s="13">
        <f t="shared" si="35"/>
        <v>26080397.734000005</v>
      </c>
      <c r="C131" s="13">
        <f t="shared" si="36"/>
        <v>11945651.445999995</v>
      </c>
      <c r="D131" s="13">
        <f t="shared" si="20"/>
        <v>26080397.734000005</v>
      </c>
      <c r="E131" s="13">
        <f t="shared" si="21"/>
        <v>11945651.445999995</v>
      </c>
      <c r="F131" s="13">
        <f>IF(AH131=1,MAX(R130,0)*Parameters!$B$11,0)</f>
        <v>0</v>
      </c>
      <c r="G131" s="13">
        <f>IF(AI131=1,MAX(S130,0)*Parameters!$B$11,0)</f>
        <v>0</v>
      </c>
      <c r="H131" s="13">
        <f t="shared" si="22"/>
        <v>26080397.734000005</v>
      </c>
      <c r="I131" s="13">
        <f t="shared" si="23"/>
        <v>11945651.445999995</v>
      </c>
      <c r="J131" s="13">
        <f t="shared" si="24"/>
        <v>0</v>
      </c>
      <c r="K131" s="13">
        <f t="shared" si="25"/>
        <v>0</v>
      </c>
      <c r="L131" s="13">
        <f t="shared" si="26"/>
        <v>26080397.734000005</v>
      </c>
      <c r="M131" s="13">
        <f t="shared" si="27"/>
        <v>11945651.445999995</v>
      </c>
      <c r="N131" s="13">
        <f>MAX(0,INT(L131*Parameters!$B$14/Parameters!$B$13/Parameters!$B$12)*Parameters!$B$12)</f>
        <v>17386850</v>
      </c>
      <c r="O131" s="13">
        <f>MAX(0,INT(M131*Parameters!$B$14/Parameters!$B$13/Parameters!$B$12)*Parameters!$B$12)</f>
        <v>7963750</v>
      </c>
      <c r="P131" s="13">
        <f>N131*Parameters!$B$13*'H237 Tracker'!B131</f>
        <v>6864328.3799999999</v>
      </c>
      <c r="Q131" s="13">
        <f>O131*Parameters!$B$13*'H237 Tracker'!C131</f>
        <v>-817080.75</v>
      </c>
      <c r="R131" s="13">
        <f t="shared" si="37"/>
        <v>41750654.067000009</v>
      </c>
      <c r="S131" s="13">
        <f t="shared" si="38"/>
        <v>2222642.7430000002</v>
      </c>
      <c r="T131" s="13">
        <f t="shared" si="28"/>
        <v>32944726.114000004</v>
      </c>
      <c r="U131" s="13">
        <f t="shared" si="29"/>
        <v>11128570.695999995</v>
      </c>
      <c r="V131" s="12">
        <f t="shared" si="30"/>
        <v>0.74749856485719068</v>
      </c>
      <c r="W131" t="str">
        <f>'H237 Tracker'!I131</f>
        <v>B</v>
      </c>
      <c r="X131">
        <f>'H237 Tracker'!J131</f>
        <v>6</v>
      </c>
      <c r="Y131" t="str">
        <f>'H237 Tracker'!K131</f>
        <v>B</v>
      </c>
      <c r="Z131" s="12">
        <f>'H237 Tracker'!O131</f>
        <v>0.64749856485719071</v>
      </c>
      <c r="AA131" s="13">
        <f>'H237 Tracker'!P131</f>
        <v>4407329.6810000017</v>
      </c>
      <c r="AB131" s="13">
        <f>'H237 Tracker'!Q131</f>
        <v>0</v>
      </c>
      <c r="AC131" s="13">
        <f t="shared" si="31"/>
        <v>28537396.433000002</v>
      </c>
      <c r="AD131" s="13">
        <f t="shared" si="32"/>
        <v>15535900.376999997</v>
      </c>
      <c r="AE131" s="13">
        <f t="shared" si="33"/>
        <v>44073296.810000002</v>
      </c>
      <c r="AF131" s="13">
        <f t="shared" si="39"/>
        <v>44073296.810000002</v>
      </c>
      <c r="AG131" s="24">
        <f t="shared" si="34"/>
        <v>0</v>
      </c>
      <c r="AH131" s="8">
        <f>--(COUNTIF('Tax Events'!$A$4:$A$8,A131)&gt;0)</f>
        <v>0</v>
      </c>
      <c r="AI131" s="8">
        <f>--(COUNTIF('Tax Events'!$B$4:$B$9,A131)&gt;0)</f>
        <v>0</v>
      </c>
    </row>
    <row r="132" spans="1:35">
      <c r="A132" s="4">
        <f>'H237 Tracker'!A132</f>
        <v>44102</v>
      </c>
      <c r="B132" s="13">
        <f t="shared" si="35"/>
        <v>28537396.433000002</v>
      </c>
      <c r="C132" s="13">
        <f t="shared" si="36"/>
        <v>15535900.376999997</v>
      </c>
      <c r="D132" s="13">
        <f t="shared" ref="D132:D195" si="40">B132</f>
        <v>28537396.433000002</v>
      </c>
      <c r="E132" s="13">
        <f t="shared" ref="E132:E195" si="41">C132</f>
        <v>15535900.376999997</v>
      </c>
      <c r="F132" s="13">
        <f>IF(AH132=1,MAX(R131,0)*Parameters!$B$11,0)</f>
        <v>0</v>
      </c>
      <c r="G132" s="13">
        <f>IF(AI132=1,MAX(S131,0)*Parameters!$B$11,0)</f>
        <v>0</v>
      </c>
      <c r="H132" s="13">
        <f t="shared" ref="H132:H195" si="42">D132-F132</f>
        <v>28537396.433000002</v>
      </c>
      <c r="I132" s="13">
        <f t="shared" ref="I132:I195" si="43">E132-G132</f>
        <v>15535900.376999997</v>
      </c>
      <c r="J132" s="13">
        <f t="shared" ref="J132:J195" si="44">IF(H132&lt;0,MIN(-H132,MAX(I132,0)),0)</f>
        <v>0</v>
      </c>
      <c r="K132" s="13">
        <f t="shared" ref="K132:K195" si="45">IF(I132&lt;0,MIN(-I132,MAX(H132,0)),0)</f>
        <v>0</v>
      </c>
      <c r="L132" s="13">
        <f t="shared" ref="L132:L195" si="46">IF(H132&gt;=0,IF(I132&lt;0,MAX(H132+I132,0),H132),0)</f>
        <v>28537396.433000002</v>
      </c>
      <c r="M132" s="13">
        <f t="shared" ref="M132:M195" si="47">IF(I132&gt;=0,IF(H132&lt;0,MAX(H132+I132,0),I132),0)</f>
        <v>15535900.376999997</v>
      </c>
      <c r="N132" s="13">
        <f>MAX(0,INT(L132*Parameters!$B$14/Parameters!$B$13/Parameters!$B$12)*Parameters!$B$12)</f>
        <v>19024910</v>
      </c>
      <c r="O132" s="13">
        <f>MAX(0,INT(M132*Parameters!$B$14/Parameters!$B$13/Parameters!$B$12)*Parameters!$B$12)</f>
        <v>10357245</v>
      </c>
      <c r="P132" s="13">
        <f>N132*Parameters!$B$13*'H237 Tracker'!B132</f>
        <v>-1521992.8</v>
      </c>
      <c r="Q132" s="13">
        <f>O132*Parameters!$B$13*'H237 Tracker'!C132</f>
        <v>0</v>
      </c>
      <c r="R132" s="13">
        <f t="shared" si="37"/>
        <v>40228661.267000012</v>
      </c>
      <c r="S132" s="13">
        <f t="shared" si="38"/>
        <v>2222642.7430000002</v>
      </c>
      <c r="T132" s="13">
        <f t="shared" ref="T132:T195" si="48">L132+P132</f>
        <v>27015403.633000001</v>
      </c>
      <c r="U132" s="13">
        <f t="shared" ref="U132:U195" si="49">M132+Q132</f>
        <v>15535900.376999997</v>
      </c>
      <c r="V132" s="12">
        <f t="shared" ref="V132:V195" si="50">IF(T132+U132=0,0.5,T132/(T132+U132))</f>
        <v>0.63489014641363517</v>
      </c>
      <c r="W132" t="str">
        <f>'H237 Tracker'!I132</f>
        <v>B</v>
      </c>
      <c r="X132">
        <f>'H237 Tracker'!J132</f>
        <v>7</v>
      </c>
      <c r="Y132" t="str">
        <f>'H237 Tracker'!K132</f>
        <v>B</v>
      </c>
      <c r="Z132" s="12">
        <f>'H237 Tracker'!O132</f>
        <v>0.53489014641363519</v>
      </c>
      <c r="AA132" s="13">
        <f>'H237 Tracker'!P132</f>
        <v>4255130.4010000005</v>
      </c>
      <c r="AB132" s="13">
        <f>'H237 Tracker'!Q132</f>
        <v>0</v>
      </c>
      <c r="AC132" s="13">
        <f t="shared" ref="AC132:AC195" si="51">T132-AA132+AB132</f>
        <v>22760273.232000001</v>
      </c>
      <c r="AD132" s="13">
        <f t="shared" ref="AD132:AD195" si="52">U132+AA132-AB132</f>
        <v>19791030.777999997</v>
      </c>
      <c r="AE132" s="13">
        <f t="shared" ref="AE132:AE195" si="53">AC132+AD132</f>
        <v>42551304.009999998</v>
      </c>
      <c r="AF132" s="13">
        <f t="shared" si="39"/>
        <v>44073296.810000002</v>
      </c>
      <c r="AG132" s="24">
        <f t="shared" ref="AG132:AG195" si="54">IF(AF132=0,0,AE132/AF132-1)</f>
        <v>-3.4533218755141371E-2</v>
      </c>
      <c r="AH132" s="8">
        <f>--(COUNTIF('Tax Events'!$A$4:$A$8,A132)&gt;0)</f>
        <v>0</v>
      </c>
      <c r="AI132" s="8">
        <f>--(COUNTIF('Tax Events'!$B$4:$B$9,A132)&gt;0)</f>
        <v>0</v>
      </c>
    </row>
    <row r="133" spans="1:35">
      <c r="A133" s="4">
        <f>'H237 Tracker'!A133</f>
        <v>44109</v>
      </c>
      <c r="B133" s="13">
        <f t="shared" ref="B133:B196" si="55">AC132</f>
        <v>22760273.232000001</v>
      </c>
      <c r="C133" s="13">
        <f t="shared" ref="C133:C196" si="56">AD132</f>
        <v>19791030.777999997</v>
      </c>
      <c r="D133" s="13">
        <f t="shared" si="40"/>
        <v>22760273.232000001</v>
      </c>
      <c r="E133" s="13">
        <f t="shared" si="41"/>
        <v>19791030.777999997</v>
      </c>
      <c r="F133" s="13">
        <f>IF(AH133=1,MAX(R132,0)*Parameters!$B$11,0)</f>
        <v>0</v>
      </c>
      <c r="G133" s="13">
        <f>IF(AI133=1,MAX(S132,0)*Parameters!$B$11,0)</f>
        <v>0</v>
      </c>
      <c r="H133" s="13">
        <f t="shared" si="42"/>
        <v>22760273.232000001</v>
      </c>
      <c r="I133" s="13">
        <f t="shared" si="43"/>
        <v>19791030.777999997</v>
      </c>
      <c r="J133" s="13">
        <f t="shared" si="44"/>
        <v>0</v>
      </c>
      <c r="K133" s="13">
        <f t="shared" si="45"/>
        <v>0</v>
      </c>
      <c r="L133" s="13">
        <f t="shared" si="46"/>
        <v>22760273.232000001</v>
      </c>
      <c r="M133" s="13">
        <f t="shared" si="47"/>
        <v>19791030.777999997</v>
      </c>
      <c r="N133" s="13">
        <f>MAX(0,INT(L133*Parameters!$B$14/Parameters!$B$13/Parameters!$B$12)*Parameters!$B$12)</f>
        <v>15173445</v>
      </c>
      <c r="O133" s="13">
        <f>MAX(0,INT(M133*Parameters!$B$14/Parameters!$B$13/Parameters!$B$12)*Parameters!$B$12)</f>
        <v>13193950</v>
      </c>
      <c r="P133" s="13">
        <f>N133*Parameters!$B$13*'H237 Tracker'!B133</f>
        <v>4081656.7050000001</v>
      </c>
      <c r="Q133" s="13">
        <f>O133*Parameters!$B$13*'H237 Tracker'!C133</f>
        <v>3549172.55</v>
      </c>
      <c r="R133" s="13">
        <f t="shared" ref="R133:R196" si="57">IF(AH133=1,P133,R132+P133)</f>
        <v>44310317.97200001</v>
      </c>
      <c r="S133" s="13">
        <f t="shared" ref="S133:S196" si="58">IF(AI133=1,Q133,S132+Q133)</f>
        <v>5771815.2929999996</v>
      </c>
      <c r="T133" s="13">
        <f t="shared" si="48"/>
        <v>26841929.936999999</v>
      </c>
      <c r="U133" s="13">
        <f t="shared" si="49"/>
        <v>23340203.327999998</v>
      </c>
      <c r="V133" s="12">
        <f t="shared" si="50"/>
        <v>0.53489017286798279</v>
      </c>
      <c r="W133" t="str">
        <f>'H237 Tracker'!I133</f>
        <v>B</v>
      </c>
      <c r="X133">
        <f>'H237 Tracker'!J133</f>
        <v>8</v>
      </c>
      <c r="Y133" t="str">
        <f>'H237 Tracker'!K133</f>
        <v>B</v>
      </c>
      <c r="Z133" s="12">
        <f>'H237 Tracker'!O133</f>
        <v>0.43489017286798282</v>
      </c>
      <c r="AA133" s="13">
        <f>'H237 Tracker'!P133</f>
        <v>5018213.3264999986</v>
      </c>
      <c r="AB133" s="13">
        <f>'H237 Tracker'!Q133</f>
        <v>0</v>
      </c>
      <c r="AC133" s="13">
        <f t="shared" si="51"/>
        <v>21823716.6105</v>
      </c>
      <c r="AD133" s="13">
        <f t="shared" si="52"/>
        <v>28358416.654499996</v>
      </c>
      <c r="AE133" s="13">
        <f t="shared" si="53"/>
        <v>50182133.265000001</v>
      </c>
      <c r="AF133" s="13">
        <f t="shared" ref="AF133:AF196" si="59">MAX(AF132,AE133)</f>
        <v>50182133.265000001</v>
      </c>
      <c r="AG133" s="24">
        <f t="shared" si="54"/>
        <v>0</v>
      </c>
      <c r="AH133" s="8">
        <f>--(COUNTIF('Tax Events'!$A$4:$A$8,A133)&gt;0)</f>
        <v>0</v>
      </c>
      <c r="AI133" s="8">
        <f>--(COUNTIF('Tax Events'!$B$4:$B$9,A133)&gt;0)</f>
        <v>0</v>
      </c>
    </row>
    <row r="134" spans="1:35">
      <c r="A134" s="4">
        <f>'H237 Tracker'!A134</f>
        <v>44116</v>
      </c>
      <c r="B134" s="13">
        <f t="shared" si="55"/>
        <v>21823716.6105</v>
      </c>
      <c r="C134" s="13">
        <f t="shared" si="56"/>
        <v>28358416.654499996</v>
      </c>
      <c r="D134" s="13">
        <f t="shared" si="40"/>
        <v>21823716.6105</v>
      </c>
      <c r="E134" s="13">
        <f t="shared" si="41"/>
        <v>28358416.654499996</v>
      </c>
      <c r="F134" s="13">
        <f>IF(AH134=1,MAX(R133,0)*Parameters!$B$11,0)</f>
        <v>0</v>
      </c>
      <c r="G134" s="13">
        <f>IF(AI134=1,MAX(S133,0)*Parameters!$B$11,0)</f>
        <v>0</v>
      </c>
      <c r="H134" s="13">
        <f t="shared" si="42"/>
        <v>21823716.6105</v>
      </c>
      <c r="I134" s="13">
        <f t="shared" si="43"/>
        <v>28358416.654499996</v>
      </c>
      <c r="J134" s="13">
        <f t="shared" si="44"/>
        <v>0</v>
      </c>
      <c r="K134" s="13">
        <f t="shared" si="45"/>
        <v>0</v>
      </c>
      <c r="L134" s="13">
        <f t="shared" si="46"/>
        <v>21823716.6105</v>
      </c>
      <c r="M134" s="13">
        <f t="shared" si="47"/>
        <v>28358416.654499996</v>
      </c>
      <c r="N134" s="13">
        <f>MAX(0,INT(L134*Parameters!$B$14/Parameters!$B$13/Parameters!$B$12)*Parameters!$B$12)</f>
        <v>14549110</v>
      </c>
      <c r="O134" s="13">
        <f>MAX(0,INT(M134*Parameters!$B$14/Parameters!$B$13/Parameters!$B$12)*Parameters!$B$12)</f>
        <v>18905540</v>
      </c>
      <c r="P134" s="13">
        <f>N134*Parameters!$B$13*'H237 Tracker'!B134</f>
        <v>3808956.9979999997</v>
      </c>
      <c r="Q134" s="13">
        <f>O134*Parameters!$B$13*'H237 Tracker'!C134</f>
        <v>4949470.3719999995</v>
      </c>
      <c r="R134" s="13">
        <f t="shared" si="57"/>
        <v>48119274.970000014</v>
      </c>
      <c r="S134" s="13">
        <f t="shared" si="58"/>
        <v>10721285.664999999</v>
      </c>
      <c r="T134" s="13">
        <f t="shared" si="48"/>
        <v>25632673.6085</v>
      </c>
      <c r="U134" s="13">
        <f t="shared" si="49"/>
        <v>33307887.026499994</v>
      </c>
      <c r="V134" s="12">
        <f t="shared" si="50"/>
        <v>0.43489022385170267</v>
      </c>
      <c r="W134" t="str">
        <f>'H237 Tracker'!I134</f>
        <v>B</v>
      </c>
      <c r="X134">
        <f>'H237 Tracker'!J134</f>
        <v>9</v>
      </c>
      <c r="Y134" t="str">
        <f>'H237 Tracker'!K134</f>
        <v>B</v>
      </c>
      <c r="Z134" s="12">
        <f>'H237 Tracker'!O134</f>
        <v>0.33489022385170264</v>
      </c>
      <c r="AA134" s="13">
        <f>'H237 Tracker'!P134</f>
        <v>5894056.063500002</v>
      </c>
      <c r="AB134" s="13">
        <f>'H237 Tracker'!Q134</f>
        <v>0</v>
      </c>
      <c r="AC134" s="13">
        <f t="shared" si="51"/>
        <v>19738617.544999998</v>
      </c>
      <c r="AD134" s="13">
        <f t="shared" si="52"/>
        <v>39201943.089999996</v>
      </c>
      <c r="AE134" s="13">
        <f t="shared" si="53"/>
        <v>58940560.63499999</v>
      </c>
      <c r="AF134" s="13">
        <f t="shared" si="59"/>
        <v>58940560.63499999</v>
      </c>
      <c r="AG134" s="24">
        <f t="shared" si="54"/>
        <v>0</v>
      </c>
      <c r="AH134" s="8">
        <f>--(COUNTIF('Tax Events'!$A$4:$A$8,A134)&gt;0)</f>
        <v>0</v>
      </c>
      <c r="AI134" s="8">
        <f>--(COUNTIF('Tax Events'!$B$4:$B$9,A134)&gt;0)</f>
        <v>0</v>
      </c>
    </row>
    <row r="135" spans="1:35">
      <c r="A135" s="4">
        <f>'H237 Tracker'!A135</f>
        <v>44123</v>
      </c>
      <c r="B135" s="13">
        <f t="shared" si="55"/>
        <v>19738617.544999998</v>
      </c>
      <c r="C135" s="13">
        <f t="shared" si="56"/>
        <v>39201943.089999996</v>
      </c>
      <c r="D135" s="13">
        <f t="shared" si="40"/>
        <v>19738617.544999998</v>
      </c>
      <c r="E135" s="13">
        <f t="shared" si="41"/>
        <v>39201943.089999996</v>
      </c>
      <c r="F135" s="13">
        <f>IF(AH135=1,MAX(R134,0)*Parameters!$B$11,0)</f>
        <v>0</v>
      </c>
      <c r="G135" s="13">
        <f>IF(AI135=1,MAX(S134,0)*Parameters!$B$11,0)</f>
        <v>0</v>
      </c>
      <c r="H135" s="13">
        <f t="shared" si="42"/>
        <v>19738617.544999998</v>
      </c>
      <c r="I135" s="13">
        <f t="shared" si="43"/>
        <v>39201943.089999996</v>
      </c>
      <c r="J135" s="13">
        <f t="shared" si="44"/>
        <v>0</v>
      </c>
      <c r="K135" s="13">
        <f t="shared" si="45"/>
        <v>0</v>
      </c>
      <c r="L135" s="13">
        <f t="shared" si="46"/>
        <v>19738617.544999998</v>
      </c>
      <c r="M135" s="13">
        <f t="shared" si="47"/>
        <v>39201943.089999996</v>
      </c>
      <c r="N135" s="13">
        <f>MAX(0,INT(L135*Parameters!$B$14/Parameters!$B$13/Parameters!$B$12)*Parameters!$B$12)</f>
        <v>13158990</v>
      </c>
      <c r="O135" s="13">
        <f>MAX(0,INT(M135*Parameters!$B$14/Parameters!$B$13/Parameters!$B$12)*Parameters!$B$12)</f>
        <v>26134555</v>
      </c>
      <c r="P135" s="13">
        <f>N135*Parameters!$B$13*'H237 Tracker'!B135</f>
        <v>-5089897.3319999995</v>
      </c>
      <c r="Q135" s="13">
        <f>O135*Parameters!$B$13*'H237 Tracker'!C135</f>
        <v>-6214797.1789999995</v>
      </c>
      <c r="R135" s="13">
        <f t="shared" si="57"/>
        <v>43029377.638000011</v>
      </c>
      <c r="S135" s="13">
        <f t="shared" si="58"/>
        <v>4506488.4859999996</v>
      </c>
      <c r="T135" s="13">
        <f t="shared" si="48"/>
        <v>14648720.213</v>
      </c>
      <c r="U135" s="13">
        <f t="shared" si="49"/>
        <v>32987145.910999998</v>
      </c>
      <c r="V135" s="12">
        <f t="shared" si="50"/>
        <v>0.3075145138511432</v>
      </c>
      <c r="W135" t="str">
        <f>'H237 Tracker'!I135</f>
        <v>B</v>
      </c>
      <c r="X135">
        <f>'H237 Tracker'!J135</f>
        <v>10</v>
      </c>
      <c r="Y135" t="str">
        <f>'H237 Tracker'!K135</f>
        <v>B</v>
      </c>
      <c r="Z135" s="12">
        <f>'H237 Tracker'!O135</f>
        <v>0.2075145138511432</v>
      </c>
      <c r="AA135" s="13">
        <f>'H237 Tracker'!P135</f>
        <v>4763586.6123999991</v>
      </c>
      <c r="AB135" s="13">
        <f>'H237 Tracker'!Q135</f>
        <v>0</v>
      </c>
      <c r="AC135" s="13">
        <f t="shared" si="51"/>
        <v>9885133.6006000005</v>
      </c>
      <c r="AD135" s="13">
        <f t="shared" si="52"/>
        <v>37750732.523399994</v>
      </c>
      <c r="AE135" s="13">
        <f t="shared" si="53"/>
        <v>47635866.123999998</v>
      </c>
      <c r="AF135" s="13">
        <f t="shared" si="59"/>
        <v>58940560.63499999</v>
      </c>
      <c r="AG135" s="24">
        <f t="shared" si="54"/>
        <v>-0.19179821822541432</v>
      </c>
      <c r="AH135" s="8">
        <f>--(COUNTIF('Tax Events'!$A$4:$A$8,A135)&gt;0)</f>
        <v>0</v>
      </c>
      <c r="AI135" s="8">
        <f>--(COUNTIF('Tax Events'!$B$4:$B$9,A135)&gt;0)</f>
        <v>0</v>
      </c>
    </row>
    <row r="136" spans="1:35">
      <c r="A136" s="4">
        <f>'H237 Tracker'!A136</f>
        <v>44130</v>
      </c>
      <c r="B136" s="13">
        <f t="shared" si="55"/>
        <v>9885133.6006000005</v>
      </c>
      <c r="C136" s="13">
        <f t="shared" si="56"/>
        <v>37750732.523399994</v>
      </c>
      <c r="D136" s="13">
        <f t="shared" si="40"/>
        <v>9885133.6006000005</v>
      </c>
      <c r="E136" s="13">
        <f t="shared" si="41"/>
        <v>37750732.523399994</v>
      </c>
      <c r="F136" s="13">
        <f>IF(AH136=1,MAX(R135,0)*Parameters!$B$11,0)</f>
        <v>0</v>
      </c>
      <c r="G136" s="13">
        <f>IF(AI136=1,MAX(S135,0)*Parameters!$B$11,0)</f>
        <v>0</v>
      </c>
      <c r="H136" s="13">
        <f t="shared" si="42"/>
        <v>9885133.6006000005</v>
      </c>
      <c r="I136" s="13">
        <f t="shared" si="43"/>
        <v>37750732.523399994</v>
      </c>
      <c r="J136" s="13">
        <f t="shared" si="44"/>
        <v>0</v>
      </c>
      <c r="K136" s="13">
        <f t="shared" si="45"/>
        <v>0</v>
      </c>
      <c r="L136" s="13">
        <f t="shared" si="46"/>
        <v>9885133.6006000005</v>
      </c>
      <c r="M136" s="13">
        <f t="shared" si="47"/>
        <v>37750732.523399994</v>
      </c>
      <c r="N136" s="13">
        <f>MAX(0,INT(L136*Parameters!$B$14/Parameters!$B$13/Parameters!$B$12)*Parameters!$B$12)</f>
        <v>6590075</v>
      </c>
      <c r="O136" s="13">
        <f>MAX(0,INT(M136*Parameters!$B$14/Parameters!$B$13/Parameters!$B$12)*Parameters!$B$12)</f>
        <v>25167060</v>
      </c>
      <c r="P136" s="13">
        <f>N136*Parameters!$B$13*'H237 Tracker'!B136</f>
        <v>-4427212.3849999998</v>
      </c>
      <c r="Q136" s="13">
        <f>O136*Parameters!$B$13*'H237 Tracker'!C136</f>
        <v>-2969713.08</v>
      </c>
      <c r="R136" s="13">
        <f t="shared" si="57"/>
        <v>38602165.253000014</v>
      </c>
      <c r="S136" s="13">
        <f t="shared" si="58"/>
        <v>1536775.4059999995</v>
      </c>
      <c r="T136" s="13">
        <f t="shared" si="48"/>
        <v>5457921.2156000007</v>
      </c>
      <c r="U136" s="13">
        <f t="shared" si="49"/>
        <v>34781019.443399996</v>
      </c>
      <c r="V136" s="12">
        <f t="shared" si="50"/>
        <v>0.13563779578226201</v>
      </c>
      <c r="W136" t="str">
        <f>'H237 Tracker'!I136</f>
        <v>B</v>
      </c>
      <c r="X136">
        <f>'H237 Tracker'!J136</f>
        <v>11</v>
      </c>
      <c r="Y136" t="str">
        <f>'H237 Tracker'!K136</f>
        <v>B</v>
      </c>
      <c r="Z136" s="12">
        <f>'H237 Tracker'!O136</f>
        <v>3.5637795782262005E-2</v>
      </c>
      <c r="AA136" s="13">
        <f>'H237 Tracker'!P136</f>
        <v>4023894.0658999998</v>
      </c>
      <c r="AB136" s="13">
        <f>'H237 Tracker'!Q136</f>
        <v>0</v>
      </c>
      <c r="AC136" s="13">
        <f t="shared" si="51"/>
        <v>1434027.1497000009</v>
      </c>
      <c r="AD136" s="13">
        <f t="shared" si="52"/>
        <v>38804913.509299994</v>
      </c>
      <c r="AE136" s="13">
        <f t="shared" si="53"/>
        <v>40238940.658999994</v>
      </c>
      <c r="AF136" s="13">
        <f t="shared" si="59"/>
        <v>58940560.63499999</v>
      </c>
      <c r="AG136" s="24">
        <f t="shared" si="54"/>
        <v>-0.31729626889389695</v>
      </c>
      <c r="AH136" s="8">
        <f>--(COUNTIF('Tax Events'!$A$4:$A$8,A136)&gt;0)</f>
        <v>0</v>
      </c>
      <c r="AI136" s="8">
        <f>--(COUNTIF('Tax Events'!$B$4:$B$9,A136)&gt;0)</f>
        <v>0</v>
      </c>
    </row>
    <row r="137" spans="1:35">
      <c r="A137" s="4">
        <f>'H237 Tracker'!A137</f>
        <v>44137</v>
      </c>
      <c r="B137" s="13">
        <f t="shared" si="55"/>
        <v>1434027.1497000009</v>
      </c>
      <c r="C137" s="13">
        <f t="shared" si="56"/>
        <v>38804913.509299994</v>
      </c>
      <c r="D137" s="13">
        <f t="shared" si="40"/>
        <v>1434027.1497000009</v>
      </c>
      <c r="E137" s="13">
        <f t="shared" si="41"/>
        <v>38804913.509299994</v>
      </c>
      <c r="F137" s="13">
        <f>IF(AH137=1,MAX(R136,0)*Parameters!$B$11,0)</f>
        <v>0</v>
      </c>
      <c r="G137" s="13">
        <f>IF(AI137=1,MAX(S136,0)*Parameters!$B$11,0)</f>
        <v>0</v>
      </c>
      <c r="H137" s="13">
        <f t="shared" si="42"/>
        <v>1434027.1497000009</v>
      </c>
      <c r="I137" s="13">
        <f t="shared" si="43"/>
        <v>38804913.509299994</v>
      </c>
      <c r="J137" s="13">
        <f t="shared" si="44"/>
        <v>0</v>
      </c>
      <c r="K137" s="13">
        <f t="shared" si="45"/>
        <v>0</v>
      </c>
      <c r="L137" s="13">
        <f t="shared" si="46"/>
        <v>1434027.1497000009</v>
      </c>
      <c r="M137" s="13">
        <f t="shared" si="47"/>
        <v>38804913.509299994</v>
      </c>
      <c r="N137" s="13">
        <f>MAX(0,INT(L137*Parameters!$B$14/Parameters!$B$13/Parameters!$B$12)*Parameters!$B$12)</f>
        <v>955995</v>
      </c>
      <c r="O137" s="13">
        <f>MAX(0,INT(M137*Parameters!$B$14/Parameters!$B$13/Parameters!$B$12)*Parameters!$B$12)</f>
        <v>25869940</v>
      </c>
      <c r="P137" s="13">
        <f>N137*Parameters!$B$13*'H237 Tracker'!B137</f>
        <v>1069376.007</v>
      </c>
      <c r="Q137" s="13">
        <f>O137*Parameters!$B$13*'H237 Tracker'!C137</f>
        <v>28938114.884</v>
      </c>
      <c r="R137" s="13">
        <f t="shared" si="57"/>
        <v>39671541.260000013</v>
      </c>
      <c r="S137" s="13">
        <f t="shared" si="58"/>
        <v>30474890.289999999</v>
      </c>
      <c r="T137" s="13">
        <f t="shared" si="48"/>
        <v>2503403.1567000011</v>
      </c>
      <c r="U137" s="13">
        <f t="shared" si="49"/>
        <v>67743028.393299997</v>
      </c>
      <c r="V137" s="12">
        <f t="shared" si="50"/>
        <v>3.5637442379092651E-2</v>
      </c>
      <c r="W137" t="str">
        <f>'H237 Tracker'!I137</f>
        <v>B</v>
      </c>
      <c r="X137">
        <f>'H237 Tracker'!J137</f>
        <v>12</v>
      </c>
      <c r="Y137" t="str">
        <f>'H237 Tracker'!K137</f>
        <v>B</v>
      </c>
      <c r="Z137" s="12">
        <f>'H237 Tracker'!O137</f>
        <v>0</v>
      </c>
      <c r="AA137" s="13">
        <f>'H237 Tracker'!P137</f>
        <v>2503403.1567000011</v>
      </c>
      <c r="AB137" s="13">
        <f>'H237 Tracker'!Q137</f>
        <v>0</v>
      </c>
      <c r="AC137" s="13">
        <f t="shared" si="51"/>
        <v>0</v>
      </c>
      <c r="AD137" s="13">
        <f t="shared" si="52"/>
        <v>70246431.549999997</v>
      </c>
      <c r="AE137" s="13">
        <f t="shared" si="53"/>
        <v>70246431.549999997</v>
      </c>
      <c r="AF137" s="13">
        <f t="shared" si="59"/>
        <v>70246431.549999997</v>
      </c>
      <c r="AG137" s="24">
        <f t="shared" si="54"/>
        <v>0</v>
      </c>
      <c r="AH137" s="8">
        <f>--(COUNTIF('Tax Events'!$A$4:$A$8,A137)&gt;0)</f>
        <v>0</v>
      </c>
      <c r="AI137" s="8">
        <f>--(COUNTIF('Tax Events'!$B$4:$B$9,A137)&gt;0)</f>
        <v>0</v>
      </c>
    </row>
    <row r="138" spans="1:35">
      <c r="A138" s="4">
        <f>'H237 Tracker'!A138</f>
        <v>44144</v>
      </c>
      <c r="B138" s="13">
        <f t="shared" si="55"/>
        <v>0</v>
      </c>
      <c r="C138" s="13">
        <f t="shared" si="56"/>
        <v>70246431.549999997</v>
      </c>
      <c r="D138" s="13">
        <f t="shared" si="40"/>
        <v>0</v>
      </c>
      <c r="E138" s="13">
        <f t="shared" si="41"/>
        <v>70246431.549999997</v>
      </c>
      <c r="F138" s="13">
        <f>IF(AH138=1,MAX(R137,0)*Parameters!$B$11,0)</f>
        <v>0</v>
      </c>
      <c r="G138" s="13">
        <f>IF(AI138=1,MAX(S137,0)*Parameters!$B$11,0)</f>
        <v>0</v>
      </c>
      <c r="H138" s="13">
        <f t="shared" si="42"/>
        <v>0</v>
      </c>
      <c r="I138" s="13">
        <f t="shared" si="43"/>
        <v>70246431.549999997</v>
      </c>
      <c r="J138" s="13">
        <f t="shared" si="44"/>
        <v>0</v>
      </c>
      <c r="K138" s="13">
        <f t="shared" si="45"/>
        <v>0</v>
      </c>
      <c r="L138" s="13">
        <f t="shared" si="46"/>
        <v>0</v>
      </c>
      <c r="M138" s="13">
        <f t="shared" si="47"/>
        <v>70246431.549999997</v>
      </c>
      <c r="N138" s="13">
        <f>MAX(0,INT(L138*Parameters!$B$14/Parameters!$B$13/Parameters!$B$12)*Parameters!$B$12)</f>
        <v>0</v>
      </c>
      <c r="O138" s="13">
        <f>MAX(0,INT(M138*Parameters!$B$14/Parameters!$B$13/Parameters!$B$12)*Parameters!$B$12)</f>
        <v>46830875</v>
      </c>
      <c r="P138" s="13">
        <f>N138*Parameters!$B$13*'H237 Tracker'!B138</f>
        <v>0</v>
      </c>
      <c r="Q138" s="13">
        <f>O138*Parameters!$B$13*'H237 Tracker'!C138</f>
        <v>-27602117.725000001</v>
      </c>
      <c r="R138" s="13">
        <f t="shared" si="57"/>
        <v>39671541.260000013</v>
      </c>
      <c r="S138" s="13">
        <f t="shared" si="58"/>
        <v>2872772.5649999976</v>
      </c>
      <c r="T138" s="13">
        <f t="shared" si="48"/>
        <v>0</v>
      </c>
      <c r="U138" s="13">
        <f t="shared" si="49"/>
        <v>42644313.824999996</v>
      </c>
      <c r="V138" s="12">
        <f t="shared" si="50"/>
        <v>0</v>
      </c>
      <c r="W138" t="str">
        <f>'H237 Tracker'!I138</f>
        <v>B</v>
      </c>
      <c r="X138">
        <f>'H237 Tracker'!J138</f>
        <v>13</v>
      </c>
      <c r="Y138" t="str">
        <f>'H237 Tracker'!K138</f>
        <v>B</v>
      </c>
      <c r="Z138" s="12">
        <f>'H237 Tracker'!O138</f>
        <v>0</v>
      </c>
      <c r="AA138" s="13">
        <f>'H237 Tracker'!P138</f>
        <v>0</v>
      </c>
      <c r="AB138" s="13">
        <f>'H237 Tracker'!Q138</f>
        <v>0</v>
      </c>
      <c r="AC138" s="13">
        <f t="shared" si="51"/>
        <v>0</v>
      </c>
      <c r="AD138" s="13">
        <f t="shared" si="52"/>
        <v>42644313.824999996</v>
      </c>
      <c r="AE138" s="13">
        <f t="shared" si="53"/>
        <v>42644313.824999996</v>
      </c>
      <c r="AF138" s="13">
        <f t="shared" si="59"/>
        <v>70246431.549999997</v>
      </c>
      <c r="AG138" s="24">
        <f t="shared" si="54"/>
        <v>-0.39293266741034905</v>
      </c>
      <c r="AH138" s="8">
        <f>--(COUNTIF('Tax Events'!$A$4:$A$8,A138)&gt;0)</f>
        <v>0</v>
      </c>
      <c r="AI138" s="8">
        <f>--(COUNTIF('Tax Events'!$B$4:$B$9,A138)&gt;0)</f>
        <v>0</v>
      </c>
    </row>
    <row r="139" spans="1:35">
      <c r="A139" s="4">
        <f>'H237 Tracker'!A139</f>
        <v>44151</v>
      </c>
      <c r="B139" s="13">
        <f t="shared" si="55"/>
        <v>0</v>
      </c>
      <c r="C139" s="13">
        <f t="shared" si="56"/>
        <v>42644313.824999996</v>
      </c>
      <c r="D139" s="13">
        <f t="shared" si="40"/>
        <v>0</v>
      </c>
      <c r="E139" s="13">
        <f t="shared" si="41"/>
        <v>42644313.824999996</v>
      </c>
      <c r="F139" s="13">
        <f>IF(AH139=1,MAX(R138,0)*Parameters!$B$11,0)</f>
        <v>0</v>
      </c>
      <c r="G139" s="13">
        <f>IF(AI139=1,MAX(S138,0)*Parameters!$B$11,0)</f>
        <v>0</v>
      </c>
      <c r="H139" s="13">
        <f t="shared" si="42"/>
        <v>0</v>
      </c>
      <c r="I139" s="13">
        <f t="shared" si="43"/>
        <v>42644313.824999996</v>
      </c>
      <c r="J139" s="13">
        <f t="shared" si="44"/>
        <v>0</v>
      </c>
      <c r="K139" s="13">
        <f t="shared" si="45"/>
        <v>0</v>
      </c>
      <c r="L139" s="13">
        <f t="shared" si="46"/>
        <v>0</v>
      </c>
      <c r="M139" s="13">
        <f t="shared" si="47"/>
        <v>42644313.824999996</v>
      </c>
      <c r="N139" s="13">
        <f>MAX(0,INT(L139*Parameters!$B$14/Parameters!$B$13/Parameters!$B$12)*Parameters!$B$12)</f>
        <v>0</v>
      </c>
      <c r="O139" s="13">
        <f>MAX(0,INT(M139*Parameters!$B$14/Parameters!$B$13/Parameters!$B$12)*Parameters!$B$12)</f>
        <v>28429495</v>
      </c>
      <c r="P139" s="13">
        <f>N139*Parameters!$B$13*'H237 Tracker'!B139</f>
        <v>0</v>
      </c>
      <c r="Q139" s="13">
        <f>O139*Parameters!$B$13*'H237 Tracker'!C139</f>
        <v>4850071.8470000001</v>
      </c>
      <c r="R139" s="13">
        <f t="shared" si="57"/>
        <v>39671541.260000013</v>
      </c>
      <c r="S139" s="13">
        <f t="shared" si="58"/>
        <v>7722844.4119999977</v>
      </c>
      <c r="T139" s="13">
        <f t="shared" si="48"/>
        <v>0</v>
      </c>
      <c r="U139" s="13">
        <f t="shared" si="49"/>
        <v>47494385.671999998</v>
      </c>
      <c r="V139" s="12">
        <f t="shared" si="50"/>
        <v>0</v>
      </c>
      <c r="W139" t="str">
        <f>'H237 Tracker'!I139</f>
        <v>B</v>
      </c>
      <c r="X139">
        <f>'H237 Tracker'!J139</f>
        <v>14</v>
      </c>
      <c r="Y139" t="str">
        <f>'H237 Tracker'!K139</f>
        <v>B</v>
      </c>
      <c r="Z139" s="12">
        <f>'H237 Tracker'!O139</f>
        <v>0</v>
      </c>
      <c r="AA139" s="13">
        <f>'H237 Tracker'!P139</f>
        <v>0</v>
      </c>
      <c r="AB139" s="13">
        <f>'H237 Tracker'!Q139</f>
        <v>0</v>
      </c>
      <c r="AC139" s="13">
        <f t="shared" si="51"/>
        <v>0</v>
      </c>
      <c r="AD139" s="13">
        <f t="shared" si="52"/>
        <v>47494385.671999998</v>
      </c>
      <c r="AE139" s="13">
        <f t="shared" si="53"/>
        <v>47494385.671999998</v>
      </c>
      <c r="AF139" s="13">
        <f t="shared" si="59"/>
        <v>70246431.549999997</v>
      </c>
      <c r="AG139" s="24">
        <f t="shared" si="54"/>
        <v>-0.32388899159675533</v>
      </c>
      <c r="AH139" s="8">
        <f>--(COUNTIF('Tax Events'!$A$4:$A$8,A139)&gt;0)</f>
        <v>0</v>
      </c>
      <c r="AI139" s="8">
        <f>--(COUNTIF('Tax Events'!$B$4:$B$9,A139)&gt;0)</f>
        <v>0</v>
      </c>
    </row>
    <row r="140" spans="1:35">
      <c r="A140" s="4">
        <f>'H237 Tracker'!A140</f>
        <v>44158</v>
      </c>
      <c r="B140" s="13">
        <f t="shared" si="55"/>
        <v>0</v>
      </c>
      <c r="C140" s="13">
        <f t="shared" si="56"/>
        <v>47494385.671999998</v>
      </c>
      <c r="D140" s="13">
        <f t="shared" si="40"/>
        <v>0</v>
      </c>
      <c r="E140" s="13">
        <f t="shared" si="41"/>
        <v>47494385.671999998</v>
      </c>
      <c r="F140" s="13">
        <f>IF(AH140=1,MAX(R139,0)*Parameters!$B$11,0)</f>
        <v>0</v>
      </c>
      <c r="G140" s="13">
        <f>IF(AI140=1,MAX(S139,0)*Parameters!$B$11,0)</f>
        <v>0</v>
      </c>
      <c r="H140" s="13">
        <f t="shared" si="42"/>
        <v>0</v>
      </c>
      <c r="I140" s="13">
        <f t="shared" si="43"/>
        <v>47494385.671999998</v>
      </c>
      <c r="J140" s="13">
        <f t="shared" si="44"/>
        <v>0</v>
      </c>
      <c r="K140" s="13">
        <f t="shared" si="45"/>
        <v>0</v>
      </c>
      <c r="L140" s="13">
        <f t="shared" si="46"/>
        <v>0</v>
      </c>
      <c r="M140" s="13">
        <f t="shared" si="47"/>
        <v>47494385.671999998</v>
      </c>
      <c r="N140" s="13">
        <f>MAX(0,INT(L140*Parameters!$B$14/Parameters!$B$13/Parameters!$B$12)*Parameters!$B$12)</f>
        <v>0</v>
      </c>
      <c r="O140" s="13">
        <f>MAX(0,INT(M140*Parameters!$B$14/Parameters!$B$13/Parameters!$B$12)*Parameters!$B$12)</f>
        <v>31662835</v>
      </c>
      <c r="P140" s="13">
        <f>N140*Parameters!$B$13*'H237 Tracker'!B140</f>
        <v>0</v>
      </c>
      <c r="Q140" s="13">
        <f>O140*Parameters!$B$13*'H237 Tracker'!C140</f>
        <v>17180254.271000002</v>
      </c>
      <c r="R140" s="13">
        <f t="shared" si="57"/>
        <v>39671541.260000013</v>
      </c>
      <c r="S140" s="13">
        <f t="shared" si="58"/>
        <v>24903098.682999998</v>
      </c>
      <c r="T140" s="13">
        <f t="shared" si="48"/>
        <v>0</v>
      </c>
      <c r="U140" s="13">
        <f t="shared" si="49"/>
        <v>64674639.943000004</v>
      </c>
      <c r="V140" s="12">
        <f t="shared" si="50"/>
        <v>0</v>
      </c>
      <c r="W140" t="str">
        <f>'H237 Tracker'!I140</f>
        <v>B</v>
      </c>
      <c r="X140">
        <f>'H237 Tracker'!J140</f>
        <v>15</v>
      </c>
      <c r="Y140" t="str">
        <f>'H237 Tracker'!K140</f>
        <v>B</v>
      </c>
      <c r="Z140" s="12">
        <f>'H237 Tracker'!O140</f>
        <v>0</v>
      </c>
      <c r="AA140" s="13">
        <f>'H237 Tracker'!P140</f>
        <v>0</v>
      </c>
      <c r="AB140" s="13">
        <f>'H237 Tracker'!Q140</f>
        <v>0</v>
      </c>
      <c r="AC140" s="13">
        <f t="shared" si="51"/>
        <v>0</v>
      </c>
      <c r="AD140" s="13">
        <f t="shared" si="52"/>
        <v>64674639.943000004</v>
      </c>
      <c r="AE140" s="13">
        <f t="shared" si="53"/>
        <v>64674639.943000004</v>
      </c>
      <c r="AF140" s="13">
        <f t="shared" si="59"/>
        <v>70246431.549999997</v>
      </c>
      <c r="AG140" s="24">
        <f t="shared" si="54"/>
        <v>-7.9317788591639737E-2</v>
      </c>
      <c r="AH140" s="8">
        <f>--(COUNTIF('Tax Events'!$A$4:$A$8,A140)&gt;0)</f>
        <v>0</v>
      </c>
      <c r="AI140" s="8">
        <f>--(COUNTIF('Tax Events'!$B$4:$B$9,A140)&gt;0)</f>
        <v>0</v>
      </c>
    </row>
    <row r="141" spans="1:35">
      <c r="A141" s="4">
        <f>'H237 Tracker'!A141</f>
        <v>44165</v>
      </c>
      <c r="B141" s="13">
        <f t="shared" si="55"/>
        <v>0</v>
      </c>
      <c r="C141" s="13">
        <f t="shared" si="56"/>
        <v>64674639.943000004</v>
      </c>
      <c r="D141" s="13">
        <f t="shared" si="40"/>
        <v>0</v>
      </c>
      <c r="E141" s="13">
        <f t="shared" si="41"/>
        <v>64674639.943000004</v>
      </c>
      <c r="F141" s="13">
        <f>IF(AH141=1,MAX(R140,0)*Parameters!$B$11,0)</f>
        <v>0</v>
      </c>
      <c r="G141" s="13">
        <f>IF(AI141=1,MAX(S140,0)*Parameters!$B$11,0)</f>
        <v>0</v>
      </c>
      <c r="H141" s="13">
        <f t="shared" si="42"/>
        <v>0</v>
      </c>
      <c r="I141" s="13">
        <f t="shared" si="43"/>
        <v>64674639.943000004</v>
      </c>
      <c r="J141" s="13">
        <f t="shared" si="44"/>
        <v>0</v>
      </c>
      <c r="K141" s="13">
        <f t="shared" si="45"/>
        <v>0</v>
      </c>
      <c r="L141" s="13">
        <f t="shared" si="46"/>
        <v>0</v>
      </c>
      <c r="M141" s="13">
        <f t="shared" si="47"/>
        <v>64674639.943000004</v>
      </c>
      <c r="N141" s="13">
        <f>MAX(0,INT(L141*Parameters!$B$14/Parameters!$B$13/Parameters!$B$12)*Parameters!$B$12)</f>
        <v>0</v>
      </c>
      <c r="O141" s="13">
        <f>MAX(0,INT(M141*Parameters!$B$14/Parameters!$B$13/Parameters!$B$12)*Parameters!$B$12)</f>
        <v>43116375</v>
      </c>
      <c r="P141" s="13">
        <f>N141*Parameters!$B$13*'H237 Tracker'!B141</f>
        <v>0</v>
      </c>
      <c r="Q141" s="13">
        <f>O141*Parameters!$B$13*'H237 Tracker'!C141</f>
        <v>18091630.949999999</v>
      </c>
      <c r="R141" s="13">
        <f t="shared" si="57"/>
        <v>39671541.260000013</v>
      </c>
      <c r="S141" s="13">
        <f t="shared" si="58"/>
        <v>42994729.633000001</v>
      </c>
      <c r="T141" s="13">
        <f t="shared" si="48"/>
        <v>0</v>
      </c>
      <c r="U141" s="13">
        <f t="shared" si="49"/>
        <v>82766270.893000007</v>
      </c>
      <c r="V141" s="12">
        <f t="shared" si="50"/>
        <v>0</v>
      </c>
      <c r="W141" t="str">
        <f>'H237 Tracker'!I141</f>
        <v>B</v>
      </c>
      <c r="X141">
        <f>'H237 Tracker'!J141</f>
        <v>16</v>
      </c>
      <c r="Y141" t="str">
        <f>'H237 Tracker'!K141</f>
        <v>B</v>
      </c>
      <c r="Z141" s="12">
        <f>'H237 Tracker'!O141</f>
        <v>0</v>
      </c>
      <c r="AA141" s="13">
        <f>'H237 Tracker'!P141</f>
        <v>0</v>
      </c>
      <c r="AB141" s="13">
        <f>'H237 Tracker'!Q141</f>
        <v>0</v>
      </c>
      <c r="AC141" s="13">
        <f t="shared" si="51"/>
        <v>0</v>
      </c>
      <c r="AD141" s="13">
        <f t="shared" si="52"/>
        <v>82766270.893000007</v>
      </c>
      <c r="AE141" s="13">
        <f t="shared" si="53"/>
        <v>82766270.893000007</v>
      </c>
      <c r="AF141" s="13">
        <f t="shared" si="59"/>
        <v>82766270.893000007</v>
      </c>
      <c r="AG141" s="24">
        <f t="shared" si="54"/>
        <v>0</v>
      </c>
      <c r="AH141" s="8">
        <f>--(COUNTIF('Tax Events'!$A$4:$A$8,A141)&gt;0)</f>
        <v>0</v>
      </c>
      <c r="AI141" s="8">
        <f>--(COUNTIF('Tax Events'!$B$4:$B$9,A141)&gt;0)</f>
        <v>0</v>
      </c>
    </row>
    <row r="142" spans="1:35">
      <c r="A142" s="4">
        <f>'H237 Tracker'!A142</f>
        <v>44172</v>
      </c>
      <c r="B142" s="13">
        <f t="shared" si="55"/>
        <v>0</v>
      </c>
      <c r="C142" s="13">
        <f t="shared" si="56"/>
        <v>82766270.893000007</v>
      </c>
      <c r="D142" s="13">
        <f t="shared" si="40"/>
        <v>0</v>
      </c>
      <c r="E142" s="13">
        <f t="shared" si="41"/>
        <v>82766270.893000007</v>
      </c>
      <c r="F142" s="13">
        <f>IF(AH142=1,MAX(R141,0)*Parameters!$B$11,0)</f>
        <v>0</v>
      </c>
      <c r="G142" s="13">
        <f>IF(AI142=1,MAX(S141,0)*Parameters!$B$11,0)</f>
        <v>0</v>
      </c>
      <c r="H142" s="13">
        <f t="shared" si="42"/>
        <v>0</v>
      </c>
      <c r="I142" s="13">
        <f t="shared" si="43"/>
        <v>82766270.893000007</v>
      </c>
      <c r="J142" s="13">
        <f t="shared" si="44"/>
        <v>0</v>
      </c>
      <c r="K142" s="13">
        <f t="shared" si="45"/>
        <v>0</v>
      </c>
      <c r="L142" s="13">
        <f t="shared" si="46"/>
        <v>0</v>
      </c>
      <c r="M142" s="13">
        <f t="shared" si="47"/>
        <v>82766270.893000007</v>
      </c>
      <c r="N142" s="13">
        <f>MAX(0,INT(L142*Parameters!$B$14/Parameters!$B$13/Parameters!$B$12)*Parameters!$B$12)</f>
        <v>0</v>
      </c>
      <c r="O142" s="13">
        <f>MAX(0,INT(M142*Parameters!$B$14/Parameters!$B$13/Parameters!$B$12)*Parameters!$B$12)</f>
        <v>55177460</v>
      </c>
      <c r="P142" s="13">
        <f>N142*Parameters!$B$13*'H237 Tracker'!B142</f>
        <v>0</v>
      </c>
      <c r="Q142" s="13">
        <f>O142*Parameters!$B$13*'H237 Tracker'!C142</f>
        <v>-16553238</v>
      </c>
      <c r="R142" s="13">
        <f t="shared" si="57"/>
        <v>39671541.260000013</v>
      </c>
      <c r="S142" s="13">
        <f t="shared" si="58"/>
        <v>26441491.633000001</v>
      </c>
      <c r="T142" s="13">
        <f t="shared" si="48"/>
        <v>0</v>
      </c>
      <c r="U142" s="13">
        <f t="shared" si="49"/>
        <v>66213032.893000007</v>
      </c>
      <c r="V142" s="12">
        <f t="shared" si="50"/>
        <v>0</v>
      </c>
      <c r="W142" t="str">
        <f>'H237 Tracker'!I142</f>
        <v>B</v>
      </c>
      <c r="X142">
        <f>'H237 Tracker'!J142</f>
        <v>17</v>
      </c>
      <c r="Y142" t="str">
        <f>'H237 Tracker'!K142</f>
        <v>B</v>
      </c>
      <c r="Z142" s="12">
        <f>'H237 Tracker'!O142</f>
        <v>0</v>
      </c>
      <c r="AA142" s="13">
        <f>'H237 Tracker'!P142</f>
        <v>0</v>
      </c>
      <c r="AB142" s="13">
        <f>'H237 Tracker'!Q142</f>
        <v>0</v>
      </c>
      <c r="AC142" s="13">
        <f t="shared" si="51"/>
        <v>0</v>
      </c>
      <c r="AD142" s="13">
        <f t="shared" si="52"/>
        <v>66213032.893000007</v>
      </c>
      <c r="AE142" s="13">
        <f t="shared" si="53"/>
        <v>66213032.893000007</v>
      </c>
      <c r="AF142" s="13">
        <f t="shared" si="59"/>
        <v>82766270.893000007</v>
      </c>
      <c r="AG142" s="24">
        <f t="shared" si="54"/>
        <v>-0.19999980452665289</v>
      </c>
      <c r="AH142" s="8">
        <f>--(COUNTIF('Tax Events'!$A$4:$A$8,A142)&gt;0)</f>
        <v>0</v>
      </c>
      <c r="AI142" s="8">
        <f>--(COUNTIF('Tax Events'!$B$4:$B$9,A142)&gt;0)</f>
        <v>0</v>
      </c>
    </row>
    <row r="143" spans="1:35">
      <c r="A143" s="4">
        <f>'H237 Tracker'!A143</f>
        <v>44179</v>
      </c>
      <c r="B143" s="13">
        <f t="shared" si="55"/>
        <v>0</v>
      </c>
      <c r="C143" s="13">
        <f t="shared" si="56"/>
        <v>66213032.893000007</v>
      </c>
      <c r="D143" s="13">
        <f t="shared" si="40"/>
        <v>0</v>
      </c>
      <c r="E143" s="13">
        <f t="shared" si="41"/>
        <v>66213032.893000007</v>
      </c>
      <c r="F143" s="13">
        <f>IF(AH143=1,MAX(R142,0)*Parameters!$B$11,0)</f>
        <v>0</v>
      </c>
      <c r="G143" s="13">
        <f>IF(AI143=1,MAX(S142,0)*Parameters!$B$11,0)</f>
        <v>0</v>
      </c>
      <c r="H143" s="13">
        <f t="shared" si="42"/>
        <v>0</v>
      </c>
      <c r="I143" s="13">
        <f t="shared" si="43"/>
        <v>66213032.893000007</v>
      </c>
      <c r="J143" s="13">
        <f t="shared" si="44"/>
        <v>0</v>
      </c>
      <c r="K143" s="13">
        <f t="shared" si="45"/>
        <v>0</v>
      </c>
      <c r="L143" s="13">
        <f t="shared" si="46"/>
        <v>0</v>
      </c>
      <c r="M143" s="13">
        <f t="shared" si="47"/>
        <v>66213032.893000007</v>
      </c>
      <c r="N143" s="13">
        <f>MAX(0,INT(L143*Parameters!$B$14/Parameters!$B$13/Parameters!$B$12)*Parameters!$B$12)</f>
        <v>0</v>
      </c>
      <c r="O143" s="13">
        <f>MAX(0,INT(M143*Parameters!$B$14/Parameters!$B$13/Parameters!$B$12)*Parameters!$B$12)</f>
        <v>44141945</v>
      </c>
      <c r="P143" s="13">
        <f>N143*Parameters!$B$13*'H237 Tracker'!B143</f>
        <v>0</v>
      </c>
      <c r="Q143" s="13">
        <f>O143*Parameters!$B$13*'H237 Tracker'!C143</f>
        <v>21417671.714000002</v>
      </c>
      <c r="R143" s="13">
        <f t="shared" si="57"/>
        <v>39671541.260000013</v>
      </c>
      <c r="S143" s="13">
        <f t="shared" si="58"/>
        <v>47859163.347000003</v>
      </c>
      <c r="T143" s="13">
        <f t="shared" si="48"/>
        <v>0</v>
      </c>
      <c r="U143" s="13">
        <f t="shared" si="49"/>
        <v>87630704.607000008</v>
      </c>
      <c r="V143" s="12">
        <f t="shared" si="50"/>
        <v>0</v>
      </c>
      <c r="W143" t="str">
        <f>'H237 Tracker'!I143</f>
        <v>B</v>
      </c>
      <c r="X143">
        <f>'H237 Tracker'!J143</f>
        <v>18</v>
      </c>
      <c r="Y143" t="str">
        <f>'H237 Tracker'!K143</f>
        <v>B</v>
      </c>
      <c r="Z143" s="12">
        <f>'H237 Tracker'!O143</f>
        <v>0</v>
      </c>
      <c r="AA143" s="13">
        <f>'H237 Tracker'!P143</f>
        <v>0</v>
      </c>
      <c r="AB143" s="13">
        <f>'H237 Tracker'!Q143</f>
        <v>0</v>
      </c>
      <c r="AC143" s="13">
        <f t="shared" si="51"/>
        <v>0</v>
      </c>
      <c r="AD143" s="13">
        <f t="shared" si="52"/>
        <v>87630704.607000008</v>
      </c>
      <c r="AE143" s="13">
        <f t="shared" si="53"/>
        <v>87630704.607000008</v>
      </c>
      <c r="AF143" s="13">
        <f t="shared" si="59"/>
        <v>87630704.607000008</v>
      </c>
      <c r="AG143" s="24">
        <f t="shared" si="54"/>
        <v>0</v>
      </c>
      <c r="AH143" s="8">
        <f>--(COUNTIF('Tax Events'!$A$4:$A$8,A143)&gt;0)</f>
        <v>0</v>
      </c>
      <c r="AI143" s="8">
        <f>--(COUNTIF('Tax Events'!$B$4:$B$9,A143)&gt;0)</f>
        <v>0</v>
      </c>
    </row>
    <row r="144" spans="1:35">
      <c r="A144" s="4">
        <f>'H237 Tracker'!A144</f>
        <v>44186</v>
      </c>
      <c r="B144" s="13">
        <f t="shared" si="55"/>
        <v>0</v>
      </c>
      <c r="C144" s="13">
        <f t="shared" si="56"/>
        <v>87630704.607000008</v>
      </c>
      <c r="D144" s="13">
        <f t="shared" si="40"/>
        <v>0</v>
      </c>
      <c r="E144" s="13">
        <f t="shared" si="41"/>
        <v>87630704.607000008</v>
      </c>
      <c r="F144" s="13">
        <f>IF(AH144=1,MAX(R143,0)*Parameters!$B$11,0)</f>
        <v>0</v>
      </c>
      <c r="G144" s="13">
        <f>IF(AI144=1,MAX(S143,0)*Parameters!$B$11,0)</f>
        <v>0</v>
      </c>
      <c r="H144" s="13">
        <f t="shared" si="42"/>
        <v>0</v>
      </c>
      <c r="I144" s="13">
        <f t="shared" si="43"/>
        <v>87630704.607000008</v>
      </c>
      <c r="J144" s="13">
        <f t="shared" si="44"/>
        <v>0</v>
      </c>
      <c r="K144" s="13">
        <f t="shared" si="45"/>
        <v>0</v>
      </c>
      <c r="L144" s="13">
        <f t="shared" si="46"/>
        <v>0</v>
      </c>
      <c r="M144" s="13">
        <f t="shared" si="47"/>
        <v>87630704.607000008</v>
      </c>
      <c r="N144" s="13">
        <f>MAX(0,INT(L144*Parameters!$B$14/Parameters!$B$13/Parameters!$B$12)*Parameters!$B$12)</f>
        <v>0</v>
      </c>
      <c r="O144" s="13">
        <f>MAX(0,INT(M144*Parameters!$B$14/Parameters!$B$13/Parameters!$B$12)*Parameters!$B$12)</f>
        <v>58420460</v>
      </c>
      <c r="P144" s="13">
        <f>N144*Parameters!$B$13*'H237 Tracker'!B144</f>
        <v>0</v>
      </c>
      <c r="Q144" s="13">
        <f>O144*Parameters!$B$13*'H237 Tracker'!C144</f>
        <v>8751384.9079999998</v>
      </c>
      <c r="R144" s="13">
        <f t="shared" si="57"/>
        <v>39671541.260000013</v>
      </c>
      <c r="S144" s="13">
        <f t="shared" si="58"/>
        <v>56610548.255000003</v>
      </c>
      <c r="T144" s="13">
        <f t="shared" si="48"/>
        <v>0</v>
      </c>
      <c r="U144" s="13">
        <f t="shared" si="49"/>
        <v>96382089.515000015</v>
      </c>
      <c r="V144" s="12">
        <f t="shared" si="50"/>
        <v>0</v>
      </c>
      <c r="W144" t="str">
        <f>'H237 Tracker'!I144</f>
        <v>B</v>
      </c>
      <c r="X144">
        <f>'H237 Tracker'!J144</f>
        <v>19</v>
      </c>
      <c r="Y144" t="str">
        <f>'H237 Tracker'!K144</f>
        <v>B</v>
      </c>
      <c r="Z144" s="12">
        <f>'H237 Tracker'!O144</f>
        <v>0</v>
      </c>
      <c r="AA144" s="13">
        <f>'H237 Tracker'!P144</f>
        <v>0</v>
      </c>
      <c r="AB144" s="13">
        <f>'H237 Tracker'!Q144</f>
        <v>0</v>
      </c>
      <c r="AC144" s="13">
        <f t="shared" si="51"/>
        <v>0</v>
      </c>
      <c r="AD144" s="13">
        <f t="shared" si="52"/>
        <v>96382089.515000015</v>
      </c>
      <c r="AE144" s="13">
        <f t="shared" si="53"/>
        <v>96382089.515000015</v>
      </c>
      <c r="AF144" s="13">
        <f t="shared" si="59"/>
        <v>96382089.515000015</v>
      </c>
      <c r="AG144" s="24">
        <f t="shared" si="54"/>
        <v>0</v>
      </c>
      <c r="AH144" s="8">
        <f>--(COUNTIF('Tax Events'!$A$4:$A$8,A144)&gt;0)</f>
        <v>0</v>
      </c>
      <c r="AI144" s="8">
        <f>--(COUNTIF('Tax Events'!$B$4:$B$9,A144)&gt;0)</f>
        <v>0</v>
      </c>
    </row>
    <row r="145" spans="1:35">
      <c r="A145" s="4">
        <f>'H237 Tracker'!A145</f>
        <v>44193</v>
      </c>
      <c r="B145" s="13">
        <f t="shared" si="55"/>
        <v>0</v>
      </c>
      <c r="C145" s="13">
        <f t="shared" si="56"/>
        <v>96382089.515000015</v>
      </c>
      <c r="D145" s="13">
        <f t="shared" si="40"/>
        <v>0</v>
      </c>
      <c r="E145" s="13">
        <f t="shared" si="41"/>
        <v>96382089.515000015</v>
      </c>
      <c r="F145" s="13">
        <f>IF(AH145=1,MAX(R144,0)*Parameters!$B$11,0)</f>
        <v>0</v>
      </c>
      <c r="G145" s="13">
        <f>IF(AI145=1,MAX(S144,0)*Parameters!$B$11,0)</f>
        <v>0</v>
      </c>
      <c r="H145" s="13">
        <f t="shared" si="42"/>
        <v>0</v>
      </c>
      <c r="I145" s="13">
        <f t="shared" si="43"/>
        <v>96382089.515000015</v>
      </c>
      <c r="J145" s="13">
        <f t="shared" si="44"/>
        <v>0</v>
      </c>
      <c r="K145" s="13">
        <f t="shared" si="45"/>
        <v>0</v>
      </c>
      <c r="L145" s="13">
        <f t="shared" si="46"/>
        <v>0</v>
      </c>
      <c r="M145" s="13">
        <f t="shared" si="47"/>
        <v>96382089.515000015</v>
      </c>
      <c r="N145" s="13">
        <f>MAX(0,INT(L145*Parameters!$B$14/Parameters!$B$13/Parameters!$B$12)*Parameters!$B$12)</f>
        <v>0</v>
      </c>
      <c r="O145" s="13">
        <f>MAX(0,INT(M145*Parameters!$B$14/Parameters!$B$13/Parameters!$B$12)*Parameters!$B$12)</f>
        <v>64254640</v>
      </c>
      <c r="P145" s="13">
        <f>N145*Parameters!$B$13*'H237 Tracker'!B145</f>
        <v>0</v>
      </c>
      <c r="Q145" s="13">
        <f>O145*Parameters!$B$13*'H237 Tracker'!C145</f>
        <v>7633451.2319999998</v>
      </c>
      <c r="R145" s="13">
        <f t="shared" si="57"/>
        <v>39671541.260000013</v>
      </c>
      <c r="S145" s="13">
        <f t="shared" si="58"/>
        <v>64243999.487000003</v>
      </c>
      <c r="T145" s="13">
        <f t="shared" si="48"/>
        <v>0</v>
      </c>
      <c r="U145" s="13">
        <f t="shared" si="49"/>
        <v>104015540.74700001</v>
      </c>
      <c r="V145" s="12">
        <f t="shared" si="50"/>
        <v>0</v>
      </c>
      <c r="W145" t="str">
        <f>'H237 Tracker'!I145</f>
        <v>B</v>
      </c>
      <c r="X145">
        <f>'H237 Tracker'!J145</f>
        <v>20</v>
      </c>
      <c r="Y145" t="str">
        <f>'H237 Tracker'!K145</f>
        <v>B</v>
      </c>
      <c r="Z145" s="12">
        <f>'H237 Tracker'!O145</f>
        <v>0</v>
      </c>
      <c r="AA145" s="13">
        <f>'H237 Tracker'!P145</f>
        <v>0</v>
      </c>
      <c r="AB145" s="13">
        <f>'H237 Tracker'!Q145</f>
        <v>0</v>
      </c>
      <c r="AC145" s="13">
        <f t="shared" si="51"/>
        <v>0</v>
      </c>
      <c r="AD145" s="13">
        <f t="shared" si="52"/>
        <v>104015540.74700001</v>
      </c>
      <c r="AE145" s="13">
        <f t="shared" si="53"/>
        <v>104015540.74700001</v>
      </c>
      <c r="AF145" s="13">
        <f t="shared" si="59"/>
        <v>104015540.74700001</v>
      </c>
      <c r="AG145" s="24">
        <f t="shared" si="54"/>
        <v>0</v>
      </c>
      <c r="AH145" s="8">
        <f>--(COUNTIF('Tax Events'!$A$4:$A$8,A145)&gt;0)</f>
        <v>0</v>
      </c>
      <c r="AI145" s="8">
        <f>--(COUNTIF('Tax Events'!$B$4:$B$9,A145)&gt;0)</f>
        <v>0</v>
      </c>
    </row>
    <row r="146" spans="1:35">
      <c r="A146" s="4">
        <f>'H237 Tracker'!A146</f>
        <v>44200</v>
      </c>
      <c r="B146" s="13">
        <f t="shared" si="55"/>
        <v>0</v>
      </c>
      <c r="C146" s="13">
        <f t="shared" si="56"/>
        <v>104015540.74700001</v>
      </c>
      <c r="D146" s="13">
        <f t="shared" si="40"/>
        <v>0</v>
      </c>
      <c r="E146" s="13">
        <f t="shared" si="41"/>
        <v>104015540.74700001</v>
      </c>
      <c r="F146" s="13">
        <f>IF(AH146=1,MAX(R145,0)*Parameters!$B$11,0)</f>
        <v>7537592.8394000027</v>
      </c>
      <c r="G146" s="13">
        <f>IF(AI146=1,MAX(S145,0)*Parameters!$B$11,0)</f>
        <v>12206359.902530001</v>
      </c>
      <c r="H146" s="13">
        <f t="shared" si="42"/>
        <v>-7537592.8394000027</v>
      </c>
      <c r="I146" s="13">
        <f t="shared" si="43"/>
        <v>91809180.844470009</v>
      </c>
      <c r="J146" s="13">
        <f t="shared" si="44"/>
        <v>7537592.8394000027</v>
      </c>
      <c r="K146" s="13">
        <f t="shared" si="45"/>
        <v>0</v>
      </c>
      <c r="L146" s="13">
        <f t="shared" si="46"/>
        <v>0</v>
      </c>
      <c r="M146" s="13">
        <f t="shared" si="47"/>
        <v>84271588.005070001</v>
      </c>
      <c r="N146" s="13">
        <f>MAX(0,INT(L146*Parameters!$B$14/Parameters!$B$13/Parameters!$B$12)*Parameters!$B$12)</f>
        <v>0</v>
      </c>
      <c r="O146" s="13">
        <f>MAX(0,INT(M146*Parameters!$B$14/Parameters!$B$13/Parameters!$B$12)*Parameters!$B$12)</f>
        <v>56180950</v>
      </c>
      <c r="P146" s="13">
        <f>N146*Parameters!$B$13*'H237 Tracker'!B146</f>
        <v>0</v>
      </c>
      <c r="Q146" s="13">
        <f>O146*Parameters!$B$13*'H237 Tracker'!C146</f>
        <v>-17741944.009999998</v>
      </c>
      <c r="R146" s="13">
        <f t="shared" si="57"/>
        <v>0</v>
      </c>
      <c r="S146" s="13">
        <f t="shared" si="58"/>
        <v>-17741944.009999998</v>
      </c>
      <c r="T146" s="13">
        <f t="shared" si="48"/>
        <v>0</v>
      </c>
      <c r="U146" s="13">
        <f t="shared" si="49"/>
        <v>66529643.995070003</v>
      </c>
      <c r="V146" s="12">
        <f t="shared" si="50"/>
        <v>0</v>
      </c>
      <c r="W146" t="str">
        <f>'H237 Tracker'!I146</f>
        <v>B</v>
      </c>
      <c r="X146">
        <f>'H237 Tracker'!J146</f>
        <v>21</v>
      </c>
      <c r="Y146" t="str">
        <f>'H237 Tracker'!K146</f>
        <v>B</v>
      </c>
      <c r="Z146" s="12">
        <f>'H237 Tracker'!O146</f>
        <v>0</v>
      </c>
      <c r="AA146" s="13">
        <f>'H237 Tracker'!P146</f>
        <v>0</v>
      </c>
      <c r="AB146" s="13">
        <f>'H237 Tracker'!Q146</f>
        <v>0</v>
      </c>
      <c r="AC146" s="13">
        <f t="shared" si="51"/>
        <v>0</v>
      </c>
      <c r="AD146" s="13">
        <f t="shared" si="52"/>
        <v>66529643.995070003</v>
      </c>
      <c r="AE146" s="13">
        <f t="shared" si="53"/>
        <v>66529643.995070003</v>
      </c>
      <c r="AF146" s="13">
        <f t="shared" si="59"/>
        <v>104015540.74700001</v>
      </c>
      <c r="AG146" s="24">
        <f t="shared" si="54"/>
        <v>-0.36038746213037565</v>
      </c>
      <c r="AH146" s="8">
        <f>--(COUNTIF('Tax Events'!$A$4:$A$8,A146)&gt;0)</f>
        <v>1</v>
      </c>
      <c r="AI146" s="8">
        <f>--(COUNTIF('Tax Events'!$B$4:$B$9,A146)&gt;0)</f>
        <v>1</v>
      </c>
    </row>
    <row r="147" spans="1:35">
      <c r="A147" s="4">
        <f>'H237 Tracker'!A147</f>
        <v>44207</v>
      </c>
      <c r="B147" s="13">
        <f t="shared" si="55"/>
        <v>0</v>
      </c>
      <c r="C147" s="13">
        <f t="shared" si="56"/>
        <v>66529643.995070003</v>
      </c>
      <c r="D147" s="13">
        <f t="shared" si="40"/>
        <v>0</v>
      </c>
      <c r="E147" s="13">
        <f t="shared" si="41"/>
        <v>66529643.995070003</v>
      </c>
      <c r="F147" s="13">
        <f>IF(AH147=1,MAX(R146,0)*Parameters!$B$11,0)</f>
        <v>0</v>
      </c>
      <c r="G147" s="13">
        <f>IF(AI147=1,MAX(S146,0)*Parameters!$B$11,0)</f>
        <v>0</v>
      </c>
      <c r="H147" s="13">
        <f t="shared" si="42"/>
        <v>0</v>
      </c>
      <c r="I147" s="13">
        <f t="shared" si="43"/>
        <v>66529643.995070003</v>
      </c>
      <c r="J147" s="13">
        <f t="shared" si="44"/>
        <v>0</v>
      </c>
      <c r="K147" s="13">
        <f t="shared" si="45"/>
        <v>0</v>
      </c>
      <c r="L147" s="13">
        <f t="shared" si="46"/>
        <v>0</v>
      </c>
      <c r="M147" s="13">
        <f t="shared" si="47"/>
        <v>66529643.995070003</v>
      </c>
      <c r="N147" s="13">
        <f>MAX(0,INT(L147*Parameters!$B$14/Parameters!$B$13/Parameters!$B$12)*Parameters!$B$12)</f>
        <v>0</v>
      </c>
      <c r="O147" s="13">
        <f>MAX(0,INT(M147*Parameters!$B$14/Parameters!$B$13/Parameters!$B$12)*Parameters!$B$12)</f>
        <v>44353085</v>
      </c>
      <c r="P147" s="13">
        <f>N147*Parameters!$B$13*'H237 Tracker'!B147</f>
        <v>0</v>
      </c>
      <c r="Q147" s="13">
        <f>O147*Parameters!$B$13*'H237 Tracker'!C147</f>
        <v>0</v>
      </c>
      <c r="R147" s="13">
        <f t="shared" si="57"/>
        <v>0</v>
      </c>
      <c r="S147" s="13">
        <f t="shared" si="58"/>
        <v>-17741944.009999998</v>
      </c>
      <c r="T147" s="13">
        <f t="shared" si="48"/>
        <v>0</v>
      </c>
      <c r="U147" s="13">
        <f t="shared" si="49"/>
        <v>66529643.995070003</v>
      </c>
      <c r="V147" s="12">
        <f t="shared" si="50"/>
        <v>0</v>
      </c>
      <c r="W147" t="str">
        <f>'H237 Tracker'!I147</f>
        <v>B</v>
      </c>
      <c r="X147">
        <f>'H237 Tracker'!J147</f>
        <v>22</v>
      </c>
      <c r="Y147" t="str">
        <f>'H237 Tracker'!K147</f>
        <v>B</v>
      </c>
      <c r="Z147" s="12">
        <f>'H237 Tracker'!O147</f>
        <v>0</v>
      </c>
      <c r="AA147" s="13">
        <f>'H237 Tracker'!P147</f>
        <v>0</v>
      </c>
      <c r="AB147" s="13">
        <f>'H237 Tracker'!Q147</f>
        <v>0</v>
      </c>
      <c r="AC147" s="13">
        <f t="shared" si="51"/>
        <v>0</v>
      </c>
      <c r="AD147" s="13">
        <f t="shared" si="52"/>
        <v>66529643.995070003</v>
      </c>
      <c r="AE147" s="13">
        <f t="shared" si="53"/>
        <v>66529643.995070003</v>
      </c>
      <c r="AF147" s="13">
        <f t="shared" si="59"/>
        <v>104015540.74700001</v>
      </c>
      <c r="AG147" s="24">
        <f t="shared" si="54"/>
        <v>-0.36038746213037565</v>
      </c>
      <c r="AH147" s="8">
        <f>--(COUNTIF('Tax Events'!$A$4:$A$8,A147)&gt;0)</f>
        <v>0</v>
      </c>
      <c r="AI147" s="8">
        <f>--(COUNTIF('Tax Events'!$B$4:$B$9,A147)&gt;0)</f>
        <v>0</v>
      </c>
    </row>
    <row r="148" spans="1:35">
      <c r="A148" s="4">
        <f>'H237 Tracker'!A148</f>
        <v>44214</v>
      </c>
      <c r="B148" s="13">
        <f t="shared" si="55"/>
        <v>0</v>
      </c>
      <c r="C148" s="13">
        <f t="shared" si="56"/>
        <v>66529643.995070003</v>
      </c>
      <c r="D148" s="13">
        <f t="shared" si="40"/>
        <v>0</v>
      </c>
      <c r="E148" s="13">
        <f t="shared" si="41"/>
        <v>66529643.995070003</v>
      </c>
      <c r="F148" s="13">
        <f>IF(AH148=1,MAX(R147,0)*Parameters!$B$11,0)</f>
        <v>0</v>
      </c>
      <c r="G148" s="13">
        <f>IF(AI148=1,MAX(S147,0)*Parameters!$B$11,0)</f>
        <v>0</v>
      </c>
      <c r="H148" s="13">
        <f t="shared" si="42"/>
        <v>0</v>
      </c>
      <c r="I148" s="13">
        <f t="shared" si="43"/>
        <v>66529643.995070003</v>
      </c>
      <c r="J148" s="13">
        <f t="shared" si="44"/>
        <v>0</v>
      </c>
      <c r="K148" s="13">
        <f t="shared" si="45"/>
        <v>0</v>
      </c>
      <c r="L148" s="13">
        <f t="shared" si="46"/>
        <v>0</v>
      </c>
      <c r="M148" s="13">
        <f t="shared" si="47"/>
        <v>66529643.995070003</v>
      </c>
      <c r="N148" s="13">
        <f>MAX(0,INT(L148*Parameters!$B$14/Parameters!$B$13/Parameters!$B$12)*Parameters!$B$12)</f>
        <v>0</v>
      </c>
      <c r="O148" s="13">
        <f>MAX(0,INT(M148*Parameters!$B$14/Parameters!$B$13/Parameters!$B$12)*Parameters!$B$12)</f>
        <v>44353085</v>
      </c>
      <c r="P148" s="13">
        <f>N148*Parameters!$B$13*'H237 Tracker'!B148</f>
        <v>0</v>
      </c>
      <c r="Q148" s="13">
        <f>O148*Parameters!$B$13*'H237 Tracker'!C148</f>
        <v>9234312.2970000003</v>
      </c>
      <c r="R148" s="13">
        <f t="shared" si="57"/>
        <v>0</v>
      </c>
      <c r="S148" s="13">
        <f t="shared" si="58"/>
        <v>-8507631.7129999977</v>
      </c>
      <c r="T148" s="13">
        <f t="shared" si="48"/>
        <v>0</v>
      </c>
      <c r="U148" s="13">
        <f t="shared" si="49"/>
        <v>75763956.292070001</v>
      </c>
      <c r="V148" s="12">
        <f t="shared" si="50"/>
        <v>0</v>
      </c>
      <c r="W148" t="str">
        <f>'H237 Tracker'!I148</f>
        <v>B</v>
      </c>
      <c r="X148">
        <f>'H237 Tracker'!J148</f>
        <v>23</v>
      </c>
      <c r="Y148" t="str">
        <f>'H237 Tracker'!K148</f>
        <v>B</v>
      </c>
      <c r="Z148" s="12">
        <f>'H237 Tracker'!O148</f>
        <v>0</v>
      </c>
      <c r="AA148" s="13">
        <f>'H237 Tracker'!P148</f>
        <v>0</v>
      </c>
      <c r="AB148" s="13">
        <f>'H237 Tracker'!Q148</f>
        <v>0</v>
      </c>
      <c r="AC148" s="13">
        <f t="shared" si="51"/>
        <v>0</v>
      </c>
      <c r="AD148" s="13">
        <f t="shared" si="52"/>
        <v>75763956.292070001</v>
      </c>
      <c r="AE148" s="13">
        <f t="shared" si="53"/>
        <v>75763956.292070001</v>
      </c>
      <c r="AF148" s="13">
        <f t="shared" si="59"/>
        <v>104015540.74700001</v>
      </c>
      <c r="AG148" s="24">
        <f t="shared" si="54"/>
        <v>-0.27160926388535678</v>
      </c>
      <c r="AH148" s="8">
        <f>--(COUNTIF('Tax Events'!$A$4:$A$8,A148)&gt;0)</f>
        <v>0</v>
      </c>
      <c r="AI148" s="8">
        <f>--(COUNTIF('Tax Events'!$B$4:$B$9,A148)&gt;0)</f>
        <v>0</v>
      </c>
    </row>
    <row r="149" spans="1:35">
      <c r="A149" s="4">
        <f>'H237 Tracker'!A149</f>
        <v>44221</v>
      </c>
      <c r="B149" s="13">
        <f t="shared" si="55"/>
        <v>0</v>
      </c>
      <c r="C149" s="13">
        <f t="shared" si="56"/>
        <v>75763956.292070001</v>
      </c>
      <c r="D149" s="13">
        <f t="shared" si="40"/>
        <v>0</v>
      </c>
      <c r="E149" s="13">
        <f t="shared" si="41"/>
        <v>75763956.292070001</v>
      </c>
      <c r="F149" s="13">
        <f>IF(AH149=1,MAX(R148,0)*Parameters!$B$11,0)</f>
        <v>0</v>
      </c>
      <c r="G149" s="13">
        <f>IF(AI149=1,MAX(S148,0)*Parameters!$B$11,0)</f>
        <v>0</v>
      </c>
      <c r="H149" s="13">
        <f t="shared" si="42"/>
        <v>0</v>
      </c>
      <c r="I149" s="13">
        <f t="shared" si="43"/>
        <v>75763956.292070001</v>
      </c>
      <c r="J149" s="13">
        <f t="shared" si="44"/>
        <v>0</v>
      </c>
      <c r="K149" s="13">
        <f t="shared" si="45"/>
        <v>0</v>
      </c>
      <c r="L149" s="13">
        <f t="shared" si="46"/>
        <v>0</v>
      </c>
      <c r="M149" s="13">
        <f t="shared" si="47"/>
        <v>75763956.292070001</v>
      </c>
      <c r="N149" s="13">
        <f>MAX(0,INT(L149*Parameters!$B$14/Parameters!$B$13/Parameters!$B$12)*Parameters!$B$12)</f>
        <v>0</v>
      </c>
      <c r="O149" s="13">
        <f>MAX(0,INT(M149*Parameters!$B$14/Parameters!$B$13/Parameters!$B$12)*Parameters!$B$12)</f>
        <v>50509265</v>
      </c>
      <c r="P149" s="13">
        <f>N149*Parameters!$B$13*'H237 Tracker'!B149</f>
        <v>0</v>
      </c>
      <c r="Q149" s="13">
        <f>O149*Parameters!$B$13*'H237 Tracker'!C149</f>
        <v>-9263399.2009999994</v>
      </c>
      <c r="R149" s="13">
        <f t="shared" si="57"/>
        <v>0</v>
      </c>
      <c r="S149" s="13">
        <f t="shared" si="58"/>
        <v>-17771030.913999997</v>
      </c>
      <c r="T149" s="13">
        <f t="shared" si="48"/>
        <v>0</v>
      </c>
      <c r="U149" s="13">
        <f t="shared" si="49"/>
        <v>66500557.091070004</v>
      </c>
      <c r="V149" s="12">
        <f t="shared" si="50"/>
        <v>0</v>
      </c>
      <c r="W149" t="str">
        <f>'H237 Tracker'!I149</f>
        <v>B</v>
      </c>
      <c r="X149">
        <f>'H237 Tracker'!J149</f>
        <v>24</v>
      </c>
      <c r="Y149" t="str">
        <f>'H237 Tracker'!K149</f>
        <v>B</v>
      </c>
      <c r="Z149" s="12">
        <f>'H237 Tracker'!O149</f>
        <v>0</v>
      </c>
      <c r="AA149" s="13">
        <f>'H237 Tracker'!P149</f>
        <v>0</v>
      </c>
      <c r="AB149" s="13">
        <f>'H237 Tracker'!Q149</f>
        <v>0</v>
      </c>
      <c r="AC149" s="13">
        <f t="shared" si="51"/>
        <v>0</v>
      </c>
      <c r="AD149" s="13">
        <f t="shared" si="52"/>
        <v>66500557.091070004</v>
      </c>
      <c r="AE149" s="13">
        <f t="shared" si="53"/>
        <v>66500557.091070004</v>
      </c>
      <c r="AF149" s="13">
        <f t="shared" si="59"/>
        <v>104015540.74700001</v>
      </c>
      <c r="AG149" s="24">
        <f t="shared" si="54"/>
        <v>-0.36066710211293118</v>
      </c>
      <c r="AH149" s="8">
        <f>--(COUNTIF('Tax Events'!$A$4:$A$8,A149)&gt;0)</f>
        <v>0</v>
      </c>
      <c r="AI149" s="8">
        <f>--(COUNTIF('Tax Events'!$B$4:$B$9,A149)&gt;0)</f>
        <v>0</v>
      </c>
    </row>
    <row r="150" spans="1:35">
      <c r="A150" s="4">
        <f>'H237 Tracker'!A150</f>
        <v>44228</v>
      </c>
      <c r="B150" s="13">
        <f t="shared" si="55"/>
        <v>0</v>
      </c>
      <c r="C150" s="13">
        <f t="shared" si="56"/>
        <v>66500557.091070004</v>
      </c>
      <c r="D150" s="13">
        <f t="shared" si="40"/>
        <v>0</v>
      </c>
      <c r="E150" s="13">
        <f t="shared" si="41"/>
        <v>66500557.091070004</v>
      </c>
      <c r="F150" s="13">
        <f>IF(AH150=1,MAX(R149,0)*Parameters!$B$11,0)</f>
        <v>0</v>
      </c>
      <c r="G150" s="13">
        <f>IF(AI150=1,MAX(S149,0)*Parameters!$B$11,0)</f>
        <v>0</v>
      </c>
      <c r="H150" s="13">
        <f t="shared" si="42"/>
        <v>0</v>
      </c>
      <c r="I150" s="13">
        <f t="shared" si="43"/>
        <v>66500557.091070004</v>
      </c>
      <c r="J150" s="13">
        <f t="shared" si="44"/>
        <v>0</v>
      </c>
      <c r="K150" s="13">
        <f t="shared" si="45"/>
        <v>0</v>
      </c>
      <c r="L150" s="13">
        <f t="shared" si="46"/>
        <v>0</v>
      </c>
      <c r="M150" s="13">
        <f t="shared" si="47"/>
        <v>66500557.091070004</v>
      </c>
      <c r="N150" s="13">
        <f>MAX(0,INT(L150*Parameters!$B$14/Parameters!$B$13/Parameters!$B$12)*Parameters!$B$12)</f>
        <v>0</v>
      </c>
      <c r="O150" s="13">
        <f>MAX(0,INT(M150*Parameters!$B$14/Parameters!$B$13/Parameters!$B$12)*Parameters!$B$12)</f>
        <v>44333650</v>
      </c>
      <c r="P150" s="13">
        <f>N150*Parameters!$B$13*'H237 Tracker'!B150</f>
        <v>0</v>
      </c>
      <c r="Q150" s="13">
        <f>O150*Parameters!$B$13*'H237 Tracker'!C150</f>
        <v>11704083.6</v>
      </c>
      <c r="R150" s="13">
        <f t="shared" si="57"/>
        <v>0</v>
      </c>
      <c r="S150" s="13">
        <f t="shared" si="58"/>
        <v>-6066947.3139999975</v>
      </c>
      <c r="T150" s="13">
        <f t="shared" si="48"/>
        <v>0</v>
      </c>
      <c r="U150" s="13">
        <f t="shared" si="49"/>
        <v>78204640.691070005</v>
      </c>
      <c r="V150" s="12">
        <f t="shared" si="50"/>
        <v>0</v>
      </c>
      <c r="W150" t="str">
        <f>'H237 Tracker'!I150</f>
        <v>B</v>
      </c>
      <c r="X150">
        <f>'H237 Tracker'!J150</f>
        <v>25</v>
      </c>
      <c r="Y150" t="str">
        <f>'H237 Tracker'!K150</f>
        <v>B</v>
      </c>
      <c r="Z150" s="12">
        <f>'H237 Tracker'!O150</f>
        <v>0</v>
      </c>
      <c r="AA150" s="13">
        <f>'H237 Tracker'!P150</f>
        <v>0</v>
      </c>
      <c r="AB150" s="13">
        <f>'H237 Tracker'!Q150</f>
        <v>0</v>
      </c>
      <c r="AC150" s="13">
        <f t="shared" si="51"/>
        <v>0</v>
      </c>
      <c r="AD150" s="13">
        <f t="shared" si="52"/>
        <v>78204640.691070005</v>
      </c>
      <c r="AE150" s="13">
        <f t="shared" si="53"/>
        <v>78204640.691070005</v>
      </c>
      <c r="AF150" s="13">
        <f t="shared" si="59"/>
        <v>104015540.74700001</v>
      </c>
      <c r="AG150" s="24">
        <f t="shared" si="54"/>
        <v>-0.24814465098740002</v>
      </c>
      <c r="AH150" s="8">
        <f>--(COUNTIF('Tax Events'!$A$4:$A$8,A150)&gt;0)</f>
        <v>0</v>
      </c>
      <c r="AI150" s="8">
        <f>--(COUNTIF('Tax Events'!$B$4:$B$9,A150)&gt;0)</f>
        <v>0</v>
      </c>
    </row>
    <row r="151" spans="1:35">
      <c r="A151" s="4">
        <f>'H237 Tracker'!A151</f>
        <v>44235</v>
      </c>
      <c r="B151" s="13">
        <f t="shared" si="55"/>
        <v>0</v>
      </c>
      <c r="C151" s="13">
        <f t="shared" si="56"/>
        <v>78204640.691070005</v>
      </c>
      <c r="D151" s="13">
        <f t="shared" si="40"/>
        <v>0</v>
      </c>
      <c r="E151" s="13">
        <f t="shared" si="41"/>
        <v>78204640.691070005</v>
      </c>
      <c r="F151" s="13">
        <f>IF(AH151=1,MAX(R150,0)*Parameters!$B$11,0)</f>
        <v>0</v>
      </c>
      <c r="G151" s="13">
        <f>IF(AI151=1,MAX(S150,0)*Parameters!$B$11,0)</f>
        <v>0</v>
      </c>
      <c r="H151" s="13">
        <f t="shared" si="42"/>
        <v>0</v>
      </c>
      <c r="I151" s="13">
        <f t="shared" si="43"/>
        <v>78204640.691070005</v>
      </c>
      <c r="J151" s="13">
        <f t="shared" si="44"/>
        <v>0</v>
      </c>
      <c r="K151" s="13">
        <f t="shared" si="45"/>
        <v>0</v>
      </c>
      <c r="L151" s="13">
        <f t="shared" si="46"/>
        <v>0</v>
      </c>
      <c r="M151" s="13">
        <f t="shared" si="47"/>
        <v>78204640.691070005</v>
      </c>
      <c r="N151" s="13">
        <f>MAX(0,INT(L151*Parameters!$B$14/Parameters!$B$13/Parameters!$B$12)*Parameters!$B$12)</f>
        <v>0</v>
      </c>
      <c r="O151" s="13">
        <f>MAX(0,INT(M151*Parameters!$B$14/Parameters!$B$13/Parameters!$B$12)*Parameters!$B$12)</f>
        <v>52136400</v>
      </c>
      <c r="P151" s="13">
        <f>N151*Parameters!$B$13*'H237 Tracker'!B151</f>
        <v>0</v>
      </c>
      <c r="Q151" s="13">
        <f>O151*Parameters!$B$13*'H237 Tracker'!C151</f>
        <v>-9457542.959999999</v>
      </c>
      <c r="R151" s="13">
        <f t="shared" si="57"/>
        <v>0</v>
      </c>
      <c r="S151" s="13">
        <f t="shared" si="58"/>
        <v>-15524490.273999996</v>
      </c>
      <c r="T151" s="13">
        <f t="shared" si="48"/>
        <v>0</v>
      </c>
      <c r="U151" s="13">
        <f t="shared" si="49"/>
        <v>68747097.731070012</v>
      </c>
      <c r="V151" s="12">
        <f t="shared" si="50"/>
        <v>0</v>
      </c>
      <c r="W151" t="str">
        <f>'H237 Tracker'!I151</f>
        <v>B</v>
      </c>
      <c r="X151">
        <f>'H237 Tracker'!J151</f>
        <v>26</v>
      </c>
      <c r="Y151" t="str">
        <f>'H237 Tracker'!K151</f>
        <v>B</v>
      </c>
      <c r="Z151" s="12">
        <f>'H237 Tracker'!O151</f>
        <v>0</v>
      </c>
      <c r="AA151" s="13">
        <f>'H237 Tracker'!P151</f>
        <v>0</v>
      </c>
      <c r="AB151" s="13">
        <f>'H237 Tracker'!Q151</f>
        <v>0</v>
      </c>
      <c r="AC151" s="13">
        <f t="shared" si="51"/>
        <v>0</v>
      </c>
      <c r="AD151" s="13">
        <f t="shared" si="52"/>
        <v>68747097.731070012</v>
      </c>
      <c r="AE151" s="13">
        <f t="shared" si="53"/>
        <v>68747097.731070012</v>
      </c>
      <c r="AF151" s="13">
        <f t="shared" si="59"/>
        <v>104015540.74700001</v>
      </c>
      <c r="AG151" s="24">
        <f t="shared" si="54"/>
        <v>-0.33906897721864893</v>
      </c>
      <c r="AH151" s="8">
        <f>--(COUNTIF('Tax Events'!$A$4:$A$8,A151)&gt;0)</f>
        <v>0</v>
      </c>
      <c r="AI151" s="8">
        <f>--(COUNTIF('Tax Events'!$B$4:$B$9,A151)&gt;0)</f>
        <v>0</v>
      </c>
    </row>
    <row r="152" spans="1:35">
      <c r="A152" s="4">
        <f>'H237 Tracker'!A152</f>
        <v>44242</v>
      </c>
      <c r="B152" s="13">
        <f t="shared" si="55"/>
        <v>0</v>
      </c>
      <c r="C152" s="13">
        <f t="shared" si="56"/>
        <v>68747097.731070012</v>
      </c>
      <c r="D152" s="13">
        <f t="shared" si="40"/>
        <v>0</v>
      </c>
      <c r="E152" s="13">
        <f t="shared" si="41"/>
        <v>68747097.731070012</v>
      </c>
      <c r="F152" s="13">
        <f>IF(AH152=1,MAX(R151,0)*Parameters!$B$11,0)</f>
        <v>0</v>
      </c>
      <c r="G152" s="13">
        <f>IF(AI152=1,MAX(S151,0)*Parameters!$B$11,0)</f>
        <v>0</v>
      </c>
      <c r="H152" s="13">
        <f t="shared" si="42"/>
        <v>0</v>
      </c>
      <c r="I152" s="13">
        <f t="shared" si="43"/>
        <v>68747097.731070012</v>
      </c>
      <c r="J152" s="13">
        <f t="shared" si="44"/>
        <v>0</v>
      </c>
      <c r="K152" s="13">
        <f t="shared" si="45"/>
        <v>0</v>
      </c>
      <c r="L152" s="13">
        <f t="shared" si="46"/>
        <v>0</v>
      </c>
      <c r="M152" s="13">
        <f t="shared" si="47"/>
        <v>68747097.731070012</v>
      </c>
      <c r="N152" s="13">
        <f>MAX(0,INT(L152*Parameters!$B$14/Parameters!$B$13/Parameters!$B$12)*Parameters!$B$12)</f>
        <v>0</v>
      </c>
      <c r="O152" s="13">
        <f>MAX(0,INT(M152*Parameters!$B$14/Parameters!$B$13/Parameters!$B$12)*Parameters!$B$12)</f>
        <v>45831295</v>
      </c>
      <c r="P152" s="13">
        <f>N152*Parameters!$B$13*'H237 Tracker'!B152</f>
        <v>0</v>
      </c>
      <c r="Q152" s="13">
        <f>O152*Parameters!$B$13*'H237 Tracker'!C152</f>
        <v>-9102095.186999999</v>
      </c>
      <c r="R152" s="13">
        <f t="shared" si="57"/>
        <v>0</v>
      </c>
      <c r="S152" s="13">
        <f t="shared" si="58"/>
        <v>-24626585.460999995</v>
      </c>
      <c r="T152" s="13">
        <f t="shared" si="48"/>
        <v>0</v>
      </c>
      <c r="U152" s="13">
        <f t="shared" si="49"/>
        <v>59645002.544070013</v>
      </c>
      <c r="V152" s="12">
        <f t="shared" si="50"/>
        <v>0</v>
      </c>
      <c r="W152" t="str">
        <f>'H237 Tracker'!I152</f>
        <v>B</v>
      </c>
      <c r="X152">
        <f>'H237 Tracker'!J152</f>
        <v>27</v>
      </c>
      <c r="Y152" t="str">
        <f>'H237 Tracker'!K152</f>
        <v>B</v>
      </c>
      <c r="Z152" s="12">
        <f>'H237 Tracker'!O152</f>
        <v>0</v>
      </c>
      <c r="AA152" s="13">
        <f>'H237 Tracker'!P152</f>
        <v>0</v>
      </c>
      <c r="AB152" s="13">
        <f>'H237 Tracker'!Q152</f>
        <v>0</v>
      </c>
      <c r="AC152" s="13">
        <f t="shared" si="51"/>
        <v>0</v>
      </c>
      <c r="AD152" s="13">
        <f t="shared" si="52"/>
        <v>59645002.544070013</v>
      </c>
      <c r="AE152" s="13">
        <f t="shared" si="53"/>
        <v>59645002.544070013</v>
      </c>
      <c r="AF152" s="13">
        <f t="shared" si="59"/>
        <v>104015540.74700001</v>
      </c>
      <c r="AG152" s="24">
        <f t="shared" si="54"/>
        <v>-0.42657604704333296</v>
      </c>
      <c r="AH152" s="8">
        <f>--(COUNTIF('Tax Events'!$A$4:$A$8,A152)&gt;0)</f>
        <v>0</v>
      </c>
      <c r="AI152" s="8">
        <f>--(COUNTIF('Tax Events'!$B$4:$B$9,A152)&gt;0)</f>
        <v>0</v>
      </c>
    </row>
    <row r="153" spans="1:35">
      <c r="A153" s="4">
        <f>'H237 Tracker'!A153</f>
        <v>44249</v>
      </c>
      <c r="B153" s="13">
        <f t="shared" si="55"/>
        <v>0</v>
      </c>
      <c r="C153" s="13">
        <f t="shared" si="56"/>
        <v>59645002.544070013</v>
      </c>
      <c r="D153" s="13">
        <f t="shared" si="40"/>
        <v>0</v>
      </c>
      <c r="E153" s="13">
        <f t="shared" si="41"/>
        <v>59645002.544070013</v>
      </c>
      <c r="F153" s="13">
        <f>IF(AH153=1,MAX(R152,0)*Parameters!$B$11,0)</f>
        <v>0</v>
      </c>
      <c r="G153" s="13">
        <f>IF(AI153=1,MAX(S152,0)*Parameters!$B$11,0)</f>
        <v>0</v>
      </c>
      <c r="H153" s="13">
        <f t="shared" si="42"/>
        <v>0</v>
      </c>
      <c r="I153" s="13">
        <f t="shared" si="43"/>
        <v>59645002.544070013</v>
      </c>
      <c r="J153" s="13">
        <f t="shared" si="44"/>
        <v>0</v>
      </c>
      <c r="K153" s="13">
        <f t="shared" si="45"/>
        <v>0</v>
      </c>
      <c r="L153" s="13">
        <f t="shared" si="46"/>
        <v>0</v>
      </c>
      <c r="M153" s="13">
        <f t="shared" si="47"/>
        <v>59645002.544070013</v>
      </c>
      <c r="N153" s="13">
        <f>MAX(0,INT(L153*Parameters!$B$14/Parameters!$B$13/Parameters!$B$12)*Parameters!$B$12)</f>
        <v>0</v>
      </c>
      <c r="O153" s="13">
        <f>MAX(0,INT(M153*Parameters!$B$14/Parameters!$B$13/Parameters!$B$12)*Parameters!$B$12)</f>
        <v>39763320</v>
      </c>
      <c r="P153" s="13">
        <f>N153*Parameters!$B$13*'H237 Tracker'!B153</f>
        <v>0</v>
      </c>
      <c r="Q153" s="13">
        <f>O153*Parameters!$B$13*'H237 Tracker'!C153</f>
        <v>0</v>
      </c>
      <c r="R153" s="13">
        <f t="shared" si="57"/>
        <v>0</v>
      </c>
      <c r="S153" s="13">
        <f t="shared" si="58"/>
        <v>-24626585.460999995</v>
      </c>
      <c r="T153" s="13">
        <f t="shared" si="48"/>
        <v>0</v>
      </c>
      <c r="U153" s="13">
        <f t="shared" si="49"/>
        <v>59645002.544070013</v>
      </c>
      <c r="V153" s="12">
        <f t="shared" si="50"/>
        <v>0</v>
      </c>
      <c r="W153" t="str">
        <f>'H237 Tracker'!I153</f>
        <v>B</v>
      </c>
      <c r="X153">
        <f>'H237 Tracker'!J153</f>
        <v>28</v>
      </c>
      <c r="Y153" t="str">
        <f>'H237 Tracker'!K153</f>
        <v>B</v>
      </c>
      <c r="Z153" s="12">
        <f>'H237 Tracker'!O153</f>
        <v>0</v>
      </c>
      <c r="AA153" s="13">
        <f>'H237 Tracker'!P153</f>
        <v>0</v>
      </c>
      <c r="AB153" s="13">
        <f>'H237 Tracker'!Q153</f>
        <v>0</v>
      </c>
      <c r="AC153" s="13">
        <f t="shared" si="51"/>
        <v>0</v>
      </c>
      <c r="AD153" s="13">
        <f t="shared" si="52"/>
        <v>59645002.544070013</v>
      </c>
      <c r="AE153" s="13">
        <f t="shared" si="53"/>
        <v>59645002.544070013</v>
      </c>
      <c r="AF153" s="13">
        <f t="shared" si="59"/>
        <v>104015540.74700001</v>
      </c>
      <c r="AG153" s="24">
        <f t="shared" si="54"/>
        <v>-0.42657604704333296</v>
      </c>
      <c r="AH153" s="8">
        <f>--(COUNTIF('Tax Events'!$A$4:$A$8,A153)&gt;0)</f>
        <v>0</v>
      </c>
      <c r="AI153" s="8">
        <f>--(COUNTIF('Tax Events'!$B$4:$B$9,A153)&gt;0)</f>
        <v>0</v>
      </c>
    </row>
    <row r="154" spans="1:35">
      <c r="A154" s="4">
        <f>'H237 Tracker'!A154</f>
        <v>44256</v>
      </c>
      <c r="B154" s="13">
        <f t="shared" si="55"/>
        <v>0</v>
      </c>
      <c r="C154" s="13">
        <f t="shared" si="56"/>
        <v>59645002.544070013</v>
      </c>
      <c r="D154" s="13">
        <f t="shared" si="40"/>
        <v>0</v>
      </c>
      <c r="E154" s="13">
        <f t="shared" si="41"/>
        <v>59645002.544070013</v>
      </c>
      <c r="F154" s="13">
        <f>IF(AH154=1,MAX(R153,0)*Parameters!$B$11,0)</f>
        <v>0</v>
      </c>
      <c r="G154" s="13">
        <f>IF(AI154=1,MAX(S153,0)*Parameters!$B$11,0)</f>
        <v>0</v>
      </c>
      <c r="H154" s="13">
        <f t="shared" si="42"/>
        <v>0</v>
      </c>
      <c r="I154" s="13">
        <f t="shared" si="43"/>
        <v>59645002.544070013</v>
      </c>
      <c r="J154" s="13">
        <f t="shared" si="44"/>
        <v>0</v>
      </c>
      <c r="K154" s="13">
        <f t="shared" si="45"/>
        <v>0</v>
      </c>
      <c r="L154" s="13">
        <f t="shared" si="46"/>
        <v>0</v>
      </c>
      <c r="M154" s="13">
        <f t="shared" si="47"/>
        <v>59645002.544070013</v>
      </c>
      <c r="N154" s="13">
        <f>MAX(0,INT(L154*Parameters!$B$14/Parameters!$B$13/Parameters!$B$12)*Parameters!$B$12)</f>
        <v>0</v>
      </c>
      <c r="O154" s="13">
        <f>MAX(0,INT(M154*Parameters!$B$14/Parameters!$B$13/Parameters!$B$12)*Parameters!$B$12)</f>
        <v>39763320</v>
      </c>
      <c r="P154" s="13">
        <f>N154*Parameters!$B$13*'H237 Tracker'!B154</f>
        <v>0</v>
      </c>
      <c r="Q154" s="13">
        <f>O154*Parameters!$B$13*'H237 Tracker'!C154</f>
        <v>0</v>
      </c>
      <c r="R154" s="13">
        <f t="shared" si="57"/>
        <v>0</v>
      </c>
      <c r="S154" s="13">
        <f t="shared" si="58"/>
        <v>-24626585.460999995</v>
      </c>
      <c r="T154" s="13">
        <f t="shared" si="48"/>
        <v>0</v>
      </c>
      <c r="U154" s="13">
        <f t="shared" si="49"/>
        <v>59645002.544070013</v>
      </c>
      <c r="V154" s="12">
        <f t="shared" si="50"/>
        <v>0</v>
      </c>
      <c r="W154" t="str">
        <f>'H237 Tracker'!I154</f>
        <v>B</v>
      </c>
      <c r="X154">
        <f>'H237 Tracker'!J154</f>
        <v>29</v>
      </c>
      <c r="Y154" t="str">
        <f>'H237 Tracker'!K154</f>
        <v>B</v>
      </c>
      <c r="Z154" s="12">
        <f>'H237 Tracker'!O154</f>
        <v>0</v>
      </c>
      <c r="AA154" s="13">
        <f>'H237 Tracker'!P154</f>
        <v>0</v>
      </c>
      <c r="AB154" s="13">
        <f>'H237 Tracker'!Q154</f>
        <v>0</v>
      </c>
      <c r="AC154" s="13">
        <f t="shared" si="51"/>
        <v>0</v>
      </c>
      <c r="AD154" s="13">
        <f t="shared" si="52"/>
        <v>59645002.544070013</v>
      </c>
      <c r="AE154" s="13">
        <f t="shared" si="53"/>
        <v>59645002.544070013</v>
      </c>
      <c r="AF154" s="13">
        <f t="shared" si="59"/>
        <v>104015540.74700001</v>
      </c>
      <c r="AG154" s="24">
        <f t="shared" si="54"/>
        <v>-0.42657604704333296</v>
      </c>
      <c r="AH154" s="8">
        <f>--(COUNTIF('Tax Events'!$A$4:$A$8,A154)&gt;0)</f>
        <v>0</v>
      </c>
      <c r="AI154" s="8">
        <f>--(COUNTIF('Tax Events'!$B$4:$B$9,A154)&gt;0)</f>
        <v>0</v>
      </c>
    </row>
    <row r="155" spans="1:35">
      <c r="A155" s="4">
        <f>'H237 Tracker'!A155</f>
        <v>44263</v>
      </c>
      <c r="B155" s="13">
        <f t="shared" si="55"/>
        <v>0</v>
      </c>
      <c r="C155" s="13">
        <f t="shared" si="56"/>
        <v>59645002.544070013</v>
      </c>
      <c r="D155" s="13">
        <f t="shared" si="40"/>
        <v>0</v>
      </c>
      <c r="E155" s="13">
        <f t="shared" si="41"/>
        <v>59645002.544070013</v>
      </c>
      <c r="F155" s="13">
        <f>IF(AH155=1,MAX(R154,0)*Parameters!$B$11,0)</f>
        <v>0</v>
      </c>
      <c r="G155" s="13">
        <f>IF(AI155=1,MAX(S154,0)*Parameters!$B$11,0)</f>
        <v>0</v>
      </c>
      <c r="H155" s="13">
        <f t="shared" si="42"/>
        <v>0</v>
      </c>
      <c r="I155" s="13">
        <f t="shared" si="43"/>
        <v>59645002.544070013</v>
      </c>
      <c r="J155" s="13">
        <f t="shared" si="44"/>
        <v>0</v>
      </c>
      <c r="K155" s="13">
        <f t="shared" si="45"/>
        <v>0</v>
      </c>
      <c r="L155" s="13">
        <f t="shared" si="46"/>
        <v>0</v>
      </c>
      <c r="M155" s="13">
        <f t="shared" si="47"/>
        <v>59645002.544070013</v>
      </c>
      <c r="N155" s="13">
        <f>MAX(0,INT(L155*Parameters!$B$14/Parameters!$B$13/Parameters!$B$12)*Parameters!$B$12)</f>
        <v>0</v>
      </c>
      <c r="O155" s="13">
        <f>MAX(0,INT(M155*Parameters!$B$14/Parameters!$B$13/Parameters!$B$12)*Parameters!$B$12)</f>
        <v>39763320</v>
      </c>
      <c r="P155" s="13">
        <f>N155*Parameters!$B$13*'H237 Tracker'!B155</f>
        <v>0</v>
      </c>
      <c r="Q155" s="13">
        <f>O155*Parameters!$B$13*'H237 Tracker'!C155</f>
        <v>18625139.088</v>
      </c>
      <c r="R155" s="13">
        <f t="shared" si="57"/>
        <v>0</v>
      </c>
      <c r="S155" s="13">
        <f t="shared" si="58"/>
        <v>-6001446.3729999959</v>
      </c>
      <c r="T155" s="13">
        <f t="shared" si="48"/>
        <v>0</v>
      </c>
      <c r="U155" s="13">
        <f t="shared" si="49"/>
        <v>78270141.632070005</v>
      </c>
      <c r="V155" s="12">
        <f t="shared" si="50"/>
        <v>0</v>
      </c>
      <c r="W155" t="str">
        <f>'H237 Tracker'!I155</f>
        <v>B</v>
      </c>
      <c r="X155">
        <f>'H237 Tracker'!J155</f>
        <v>30</v>
      </c>
      <c r="Y155" t="str">
        <f>'H237 Tracker'!K155</f>
        <v>B</v>
      </c>
      <c r="Z155" s="12">
        <f>'H237 Tracker'!O155</f>
        <v>0</v>
      </c>
      <c r="AA155" s="13">
        <f>'H237 Tracker'!P155</f>
        <v>0</v>
      </c>
      <c r="AB155" s="13">
        <f>'H237 Tracker'!Q155</f>
        <v>0</v>
      </c>
      <c r="AC155" s="13">
        <f t="shared" si="51"/>
        <v>0</v>
      </c>
      <c r="AD155" s="13">
        <f t="shared" si="52"/>
        <v>78270141.632070005</v>
      </c>
      <c r="AE155" s="13">
        <f t="shared" si="53"/>
        <v>78270141.632070005</v>
      </c>
      <c r="AF155" s="13">
        <f t="shared" si="59"/>
        <v>104015540.74700001</v>
      </c>
      <c r="AG155" s="24">
        <f t="shared" si="54"/>
        <v>-0.24751492834663313</v>
      </c>
      <c r="AH155" s="8">
        <f>--(COUNTIF('Tax Events'!$A$4:$A$8,A155)&gt;0)</f>
        <v>0</v>
      </c>
      <c r="AI155" s="8">
        <f>--(COUNTIF('Tax Events'!$B$4:$B$9,A155)&gt;0)</f>
        <v>0</v>
      </c>
    </row>
    <row r="156" spans="1:35">
      <c r="A156" s="4">
        <f>'H237 Tracker'!A156</f>
        <v>44270</v>
      </c>
      <c r="B156" s="13">
        <f t="shared" si="55"/>
        <v>0</v>
      </c>
      <c r="C156" s="13">
        <f t="shared" si="56"/>
        <v>78270141.632070005</v>
      </c>
      <c r="D156" s="13">
        <f t="shared" si="40"/>
        <v>0</v>
      </c>
      <c r="E156" s="13">
        <f t="shared" si="41"/>
        <v>78270141.632070005</v>
      </c>
      <c r="F156" s="13">
        <f>IF(AH156=1,MAX(R155,0)*Parameters!$B$11,0)</f>
        <v>0</v>
      </c>
      <c r="G156" s="13">
        <f>IF(AI156=1,MAX(S155,0)*Parameters!$B$11,0)</f>
        <v>0</v>
      </c>
      <c r="H156" s="13">
        <f t="shared" si="42"/>
        <v>0</v>
      </c>
      <c r="I156" s="13">
        <f t="shared" si="43"/>
        <v>78270141.632070005</v>
      </c>
      <c r="J156" s="13">
        <f t="shared" si="44"/>
        <v>0</v>
      </c>
      <c r="K156" s="13">
        <f t="shared" si="45"/>
        <v>0</v>
      </c>
      <c r="L156" s="13">
        <f t="shared" si="46"/>
        <v>0</v>
      </c>
      <c r="M156" s="13">
        <f t="shared" si="47"/>
        <v>78270141.632070005</v>
      </c>
      <c r="N156" s="13">
        <f>MAX(0,INT(L156*Parameters!$B$14/Parameters!$B$13/Parameters!$B$12)*Parameters!$B$12)</f>
        <v>0</v>
      </c>
      <c r="O156" s="13">
        <f>MAX(0,INT(M156*Parameters!$B$14/Parameters!$B$13/Parameters!$B$12)*Parameters!$B$12)</f>
        <v>52179985</v>
      </c>
      <c r="P156" s="13">
        <f>N156*Parameters!$B$13*'H237 Tracker'!B156</f>
        <v>0</v>
      </c>
      <c r="Q156" s="13">
        <f>O156*Parameters!$B$13*'H237 Tracker'!C156</f>
        <v>10623844.946</v>
      </c>
      <c r="R156" s="13">
        <f t="shared" si="57"/>
        <v>0</v>
      </c>
      <c r="S156" s="13">
        <f t="shared" si="58"/>
        <v>4622398.5730000045</v>
      </c>
      <c r="T156" s="13">
        <f t="shared" si="48"/>
        <v>0</v>
      </c>
      <c r="U156" s="13">
        <f t="shared" si="49"/>
        <v>88893986.57807</v>
      </c>
      <c r="V156" s="12">
        <f t="shared" si="50"/>
        <v>0</v>
      </c>
      <c r="W156" t="str">
        <f>'H237 Tracker'!I156</f>
        <v>B</v>
      </c>
      <c r="X156">
        <f>'H237 Tracker'!J156</f>
        <v>31</v>
      </c>
      <c r="Y156" t="str">
        <f>'H237 Tracker'!K156</f>
        <v>B</v>
      </c>
      <c r="Z156" s="12">
        <f>'H237 Tracker'!O156</f>
        <v>0</v>
      </c>
      <c r="AA156" s="13">
        <f>'H237 Tracker'!P156</f>
        <v>0</v>
      </c>
      <c r="AB156" s="13">
        <f>'H237 Tracker'!Q156</f>
        <v>0</v>
      </c>
      <c r="AC156" s="13">
        <f t="shared" si="51"/>
        <v>0</v>
      </c>
      <c r="AD156" s="13">
        <f t="shared" si="52"/>
        <v>88893986.57807</v>
      </c>
      <c r="AE156" s="13">
        <f t="shared" si="53"/>
        <v>88893986.57807</v>
      </c>
      <c r="AF156" s="13">
        <f t="shared" si="59"/>
        <v>104015540.74700001</v>
      </c>
      <c r="AG156" s="24">
        <f t="shared" si="54"/>
        <v>-0.14537783546893823</v>
      </c>
      <c r="AH156" s="8">
        <f>--(COUNTIF('Tax Events'!$A$4:$A$8,A156)&gt;0)</f>
        <v>0</v>
      </c>
      <c r="AI156" s="8">
        <f>--(COUNTIF('Tax Events'!$B$4:$B$9,A156)&gt;0)</f>
        <v>0</v>
      </c>
    </row>
    <row r="157" spans="1:35">
      <c r="A157" s="4">
        <f>'H237 Tracker'!A157</f>
        <v>44277</v>
      </c>
      <c r="B157" s="13">
        <f t="shared" si="55"/>
        <v>0</v>
      </c>
      <c r="C157" s="13">
        <f t="shared" si="56"/>
        <v>88893986.57807</v>
      </c>
      <c r="D157" s="13">
        <f t="shared" si="40"/>
        <v>0</v>
      </c>
      <c r="E157" s="13">
        <f t="shared" si="41"/>
        <v>88893986.57807</v>
      </c>
      <c r="F157" s="13">
        <f>IF(AH157=1,MAX(R156,0)*Parameters!$B$11,0)</f>
        <v>0</v>
      </c>
      <c r="G157" s="13">
        <f>IF(AI157=1,MAX(S156,0)*Parameters!$B$11,0)</f>
        <v>0</v>
      </c>
      <c r="H157" s="13">
        <f t="shared" si="42"/>
        <v>0</v>
      </c>
      <c r="I157" s="13">
        <f t="shared" si="43"/>
        <v>88893986.57807</v>
      </c>
      <c r="J157" s="13">
        <f t="shared" si="44"/>
        <v>0</v>
      </c>
      <c r="K157" s="13">
        <f t="shared" si="45"/>
        <v>0</v>
      </c>
      <c r="L157" s="13">
        <f t="shared" si="46"/>
        <v>0</v>
      </c>
      <c r="M157" s="13">
        <f t="shared" si="47"/>
        <v>88893986.57807</v>
      </c>
      <c r="N157" s="13">
        <f>MAX(0,INT(L157*Parameters!$B$14/Parameters!$B$13/Parameters!$B$12)*Parameters!$B$12)</f>
        <v>0</v>
      </c>
      <c r="O157" s="13">
        <f>MAX(0,INT(M157*Parameters!$B$14/Parameters!$B$13/Parameters!$B$12)*Parameters!$B$12)</f>
        <v>59262605</v>
      </c>
      <c r="P157" s="13">
        <f>N157*Parameters!$B$13*'H237 Tracker'!B157</f>
        <v>0</v>
      </c>
      <c r="Q157" s="13">
        <f>O157*Parameters!$B$13*'H237 Tracker'!C157</f>
        <v>13298528.562000001</v>
      </c>
      <c r="R157" s="13">
        <f t="shared" si="57"/>
        <v>0</v>
      </c>
      <c r="S157" s="13">
        <f t="shared" si="58"/>
        <v>17920927.135000005</v>
      </c>
      <c r="T157" s="13">
        <f t="shared" si="48"/>
        <v>0</v>
      </c>
      <c r="U157" s="13">
        <f t="shared" si="49"/>
        <v>102192515.14007001</v>
      </c>
      <c r="V157" s="12">
        <f t="shared" si="50"/>
        <v>0</v>
      </c>
      <c r="W157" t="str">
        <f>'H237 Tracker'!I157</f>
        <v>B</v>
      </c>
      <c r="X157">
        <f>'H237 Tracker'!J157</f>
        <v>32</v>
      </c>
      <c r="Y157" t="str">
        <f>'H237 Tracker'!K157</f>
        <v>B</v>
      </c>
      <c r="Z157" s="12">
        <f>'H237 Tracker'!O157</f>
        <v>0</v>
      </c>
      <c r="AA157" s="13">
        <f>'H237 Tracker'!P157</f>
        <v>0</v>
      </c>
      <c r="AB157" s="13">
        <f>'H237 Tracker'!Q157</f>
        <v>0</v>
      </c>
      <c r="AC157" s="13">
        <f t="shared" si="51"/>
        <v>0</v>
      </c>
      <c r="AD157" s="13">
        <f t="shared" si="52"/>
        <v>102192515.14007001</v>
      </c>
      <c r="AE157" s="13">
        <f t="shared" si="53"/>
        <v>102192515.14007001</v>
      </c>
      <c r="AF157" s="13">
        <f t="shared" si="59"/>
        <v>104015540.74700001</v>
      </c>
      <c r="AG157" s="24">
        <f t="shared" si="54"/>
        <v>-1.7526473388858266E-2</v>
      </c>
      <c r="AH157" s="8">
        <f>--(COUNTIF('Tax Events'!$A$4:$A$8,A157)&gt;0)</f>
        <v>0</v>
      </c>
      <c r="AI157" s="8">
        <f>--(COUNTIF('Tax Events'!$B$4:$B$9,A157)&gt;0)</f>
        <v>0</v>
      </c>
    </row>
    <row r="158" spans="1:35">
      <c r="A158" s="4">
        <f>'H237 Tracker'!A158</f>
        <v>44284</v>
      </c>
      <c r="B158" s="13">
        <f t="shared" si="55"/>
        <v>0</v>
      </c>
      <c r="C158" s="13">
        <f t="shared" si="56"/>
        <v>102192515.14007001</v>
      </c>
      <c r="D158" s="13">
        <f t="shared" si="40"/>
        <v>0</v>
      </c>
      <c r="E158" s="13">
        <f t="shared" si="41"/>
        <v>102192515.14007001</v>
      </c>
      <c r="F158" s="13">
        <f>IF(AH158=1,MAX(R157,0)*Parameters!$B$11,0)</f>
        <v>0</v>
      </c>
      <c r="G158" s="13">
        <f>IF(AI158=1,MAX(S157,0)*Parameters!$B$11,0)</f>
        <v>0</v>
      </c>
      <c r="H158" s="13">
        <f t="shared" si="42"/>
        <v>0</v>
      </c>
      <c r="I158" s="13">
        <f t="shared" si="43"/>
        <v>102192515.14007001</v>
      </c>
      <c r="J158" s="13">
        <f t="shared" si="44"/>
        <v>0</v>
      </c>
      <c r="K158" s="13">
        <f t="shared" si="45"/>
        <v>0</v>
      </c>
      <c r="L158" s="13">
        <f t="shared" si="46"/>
        <v>0</v>
      </c>
      <c r="M158" s="13">
        <f t="shared" si="47"/>
        <v>102192515.14007001</v>
      </c>
      <c r="N158" s="13">
        <f>MAX(0,INT(L158*Parameters!$B$14/Parameters!$B$13/Parameters!$B$12)*Parameters!$B$12)</f>
        <v>0</v>
      </c>
      <c r="O158" s="13">
        <f>MAX(0,INT(M158*Parameters!$B$14/Parameters!$B$13/Parameters!$B$12)*Parameters!$B$12)</f>
        <v>68128300</v>
      </c>
      <c r="P158" s="13">
        <f>N158*Parameters!$B$13*'H237 Tracker'!B158</f>
        <v>0</v>
      </c>
      <c r="Q158" s="13">
        <f>O158*Parameters!$B$13*'H237 Tracker'!C158</f>
        <v>39487162.68</v>
      </c>
      <c r="R158" s="13">
        <f t="shared" si="57"/>
        <v>0</v>
      </c>
      <c r="S158" s="13">
        <f t="shared" si="58"/>
        <v>57408089.815000005</v>
      </c>
      <c r="T158" s="13">
        <f t="shared" si="48"/>
        <v>0</v>
      </c>
      <c r="U158" s="13">
        <f t="shared" si="49"/>
        <v>141679677.82007</v>
      </c>
      <c r="V158" s="12">
        <f t="shared" si="50"/>
        <v>0</v>
      </c>
      <c r="W158" t="str">
        <f>'H237 Tracker'!I158</f>
        <v>B</v>
      </c>
      <c r="X158">
        <f>'H237 Tracker'!J158</f>
        <v>33</v>
      </c>
      <c r="Y158" t="str">
        <f>'H237 Tracker'!K158</f>
        <v>B</v>
      </c>
      <c r="Z158" s="12">
        <f>'H237 Tracker'!O158</f>
        <v>0</v>
      </c>
      <c r="AA158" s="13">
        <f>'H237 Tracker'!P158</f>
        <v>0</v>
      </c>
      <c r="AB158" s="13">
        <f>'H237 Tracker'!Q158</f>
        <v>0</v>
      </c>
      <c r="AC158" s="13">
        <f t="shared" si="51"/>
        <v>0</v>
      </c>
      <c r="AD158" s="13">
        <f t="shared" si="52"/>
        <v>141679677.82007</v>
      </c>
      <c r="AE158" s="13">
        <f t="shared" si="53"/>
        <v>141679677.82007</v>
      </c>
      <c r="AF158" s="13">
        <f t="shared" si="59"/>
        <v>141679677.82007</v>
      </c>
      <c r="AG158" s="24">
        <f t="shared" si="54"/>
        <v>0</v>
      </c>
      <c r="AH158" s="8">
        <f>--(COUNTIF('Tax Events'!$A$4:$A$8,A158)&gt;0)</f>
        <v>0</v>
      </c>
      <c r="AI158" s="8">
        <f>--(COUNTIF('Tax Events'!$B$4:$B$9,A158)&gt;0)</f>
        <v>0</v>
      </c>
    </row>
    <row r="159" spans="1:35">
      <c r="A159" s="4">
        <f>'H237 Tracker'!A159</f>
        <v>44291</v>
      </c>
      <c r="B159" s="13">
        <f t="shared" si="55"/>
        <v>0</v>
      </c>
      <c r="C159" s="13">
        <f t="shared" si="56"/>
        <v>141679677.82007</v>
      </c>
      <c r="D159" s="13">
        <f t="shared" si="40"/>
        <v>0</v>
      </c>
      <c r="E159" s="13">
        <f t="shared" si="41"/>
        <v>141679677.82007</v>
      </c>
      <c r="F159" s="13">
        <f>IF(AH159=1,MAX(R158,0)*Parameters!$B$11,0)</f>
        <v>0</v>
      </c>
      <c r="G159" s="13">
        <f>IF(AI159=1,MAX(S158,0)*Parameters!$B$11,0)</f>
        <v>0</v>
      </c>
      <c r="H159" s="13">
        <f t="shared" si="42"/>
        <v>0</v>
      </c>
      <c r="I159" s="13">
        <f t="shared" si="43"/>
        <v>141679677.82007</v>
      </c>
      <c r="J159" s="13">
        <f t="shared" si="44"/>
        <v>0</v>
      </c>
      <c r="K159" s="13">
        <f t="shared" si="45"/>
        <v>0</v>
      </c>
      <c r="L159" s="13">
        <f t="shared" si="46"/>
        <v>0</v>
      </c>
      <c r="M159" s="13">
        <f t="shared" si="47"/>
        <v>141679677.82007</v>
      </c>
      <c r="N159" s="13">
        <f>MAX(0,INT(L159*Parameters!$B$14/Parameters!$B$13/Parameters!$B$12)*Parameters!$B$12)</f>
        <v>0</v>
      </c>
      <c r="O159" s="13">
        <f>MAX(0,INT(M159*Parameters!$B$14/Parameters!$B$13/Parameters!$B$12)*Parameters!$B$12)</f>
        <v>94453065</v>
      </c>
      <c r="P159" s="13">
        <f>N159*Parameters!$B$13*'H237 Tracker'!B159</f>
        <v>0</v>
      </c>
      <c r="Q159" s="13">
        <f>O159*Parameters!$B$13*'H237 Tracker'!C159</f>
        <v>23386578.894000001</v>
      </c>
      <c r="R159" s="13">
        <f t="shared" si="57"/>
        <v>0</v>
      </c>
      <c r="S159" s="13">
        <f t="shared" si="58"/>
        <v>80794668.709000006</v>
      </c>
      <c r="T159" s="13">
        <f t="shared" si="48"/>
        <v>0</v>
      </c>
      <c r="U159" s="13">
        <f t="shared" si="49"/>
        <v>165066256.71406999</v>
      </c>
      <c r="V159" s="12">
        <f t="shared" si="50"/>
        <v>0</v>
      </c>
      <c r="W159" t="str">
        <f>'H237 Tracker'!I159</f>
        <v>B</v>
      </c>
      <c r="X159">
        <f>'H237 Tracker'!J159</f>
        <v>34</v>
      </c>
      <c r="Y159" t="str">
        <f>'H237 Tracker'!K159</f>
        <v>B</v>
      </c>
      <c r="Z159" s="12">
        <f>'H237 Tracker'!O159</f>
        <v>0</v>
      </c>
      <c r="AA159" s="13">
        <f>'H237 Tracker'!P159</f>
        <v>0</v>
      </c>
      <c r="AB159" s="13">
        <f>'H237 Tracker'!Q159</f>
        <v>0</v>
      </c>
      <c r="AC159" s="13">
        <f t="shared" si="51"/>
        <v>0</v>
      </c>
      <c r="AD159" s="13">
        <f t="shared" si="52"/>
        <v>165066256.71406999</v>
      </c>
      <c r="AE159" s="13">
        <f t="shared" si="53"/>
        <v>165066256.71406999</v>
      </c>
      <c r="AF159" s="13">
        <f t="shared" si="59"/>
        <v>165066256.71406999</v>
      </c>
      <c r="AG159" s="24">
        <f t="shared" si="54"/>
        <v>0</v>
      </c>
      <c r="AH159" s="8">
        <f>--(COUNTIF('Tax Events'!$A$4:$A$8,A159)&gt;0)</f>
        <v>0</v>
      </c>
      <c r="AI159" s="8">
        <f>--(COUNTIF('Tax Events'!$B$4:$B$9,A159)&gt;0)</f>
        <v>0</v>
      </c>
    </row>
    <row r="160" spans="1:35">
      <c r="A160" s="4">
        <f>'H237 Tracker'!A160</f>
        <v>44298</v>
      </c>
      <c r="B160" s="13">
        <f t="shared" si="55"/>
        <v>0</v>
      </c>
      <c r="C160" s="13">
        <f t="shared" si="56"/>
        <v>165066256.71406999</v>
      </c>
      <c r="D160" s="13">
        <f t="shared" si="40"/>
        <v>0</v>
      </c>
      <c r="E160" s="13">
        <f t="shared" si="41"/>
        <v>165066256.71406999</v>
      </c>
      <c r="F160" s="13">
        <f>IF(AH160=1,MAX(R159,0)*Parameters!$B$11,0)</f>
        <v>0</v>
      </c>
      <c r="G160" s="13">
        <f>IF(AI160=1,MAX(S159,0)*Parameters!$B$11,0)</f>
        <v>0</v>
      </c>
      <c r="H160" s="13">
        <f t="shared" si="42"/>
        <v>0</v>
      </c>
      <c r="I160" s="13">
        <f t="shared" si="43"/>
        <v>165066256.71406999</v>
      </c>
      <c r="J160" s="13">
        <f t="shared" si="44"/>
        <v>0</v>
      </c>
      <c r="K160" s="13">
        <f t="shared" si="45"/>
        <v>0</v>
      </c>
      <c r="L160" s="13">
        <f t="shared" si="46"/>
        <v>0</v>
      </c>
      <c r="M160" s="13">
        <f t="shared" si="47"/>
        <v>165066256.71406999</v>
      </c>
      <c r="N160" s="13">
        <f>MAX(0,INT(L160*Parameters!$B$14/Parameters!$B$13/Parameters!$B$12)*Parameters!$B$12)</f>
        <v>0</v>
      </c>
      <c r="O160" s="13">
        <f>MAX(0,INT(M160*Parameters!$B$14/Parameters!$B$13/Parameters!$B$12)*Parameters!$B$12)</f>
        <v>110044075</v>
      </c>
      <c r="P160" s="13">
        <f>N160*Parameters!$B$13*'H237 Tracker'!B160</f>
        <v>0</v>
      </c>
      <c r="Q160" s="13">
        <f>O160*Parameters!$B$13*'H237 Tracker'!C160</f>
        <v>38735514.400000006</v>
      </c>
      <c r="R160" s="13">
        <f t="shared" si="57"/>
        <v>0</v>
      </c>
      <c r="S160" s="13">
        <f t="shared" si="58"/>
        <v>119530183.10900001</v>
      </c>
      <c r="T160" s="13">
        <f t="shared" si="48"/>
        <v>0</v>
      </c>
      <c r="U160" s="13">
        <f t="shared" si="49"/>
        <v>203801771.11407</v>
      </c>
      <c r="V160" s="12">
        <f t="shared" si="50"/>
        <v>0</v>
      </c>
      <c r="W160" t="str">
        <f>'H237 Tracker'!I160</f>
        <v>B</v>
      </c>
      <c r="X160">
        <f>'H237 Tracker'!J160</f>
        <v>35</v>
      </c>
      <c r="Y160" t="str">
        <f>'H237 Tracker'!K160</f>
        <v>B</v>
      </c>
      <c r="Z160" s="12">
        <f>'H237 Tracker'!O160</f>
        <v>0</v>
      </c>
      <c r="AA160" s="13">
        <f>'H237 Tracker'!P160</f>
        <v>0</v>
      </c>
      <c r="AB160" s="13">
        <f>'H237 Tracker'!Q160</f>
        <v>0</v>
      </c>
      <c r="AC160" s="13">
        <f t="shared" si="51"/>
        <v>0</v>
      </c>
      <c r="AD160" s="13">
        <f t="shared" si="52"/>
        <v>203801771.11407</v>
      </c>
      <c r="AE160" s="13">
        <f t="shared" si="53"/>
        <v>203801771.11407</v>
      </c>
      <c r="AF160" s="13">
        <f t="shared" si="59"/>
        <v>203801771.11407</v>
      </c>
      <c r="AG160" s="24">
        <f t="shared" si="54"/>
        <v>0</v>
      </c>
      <c r="AH160" s="8">
        <f>--(COUNTIF('Tax Events'!$A$4:$A$8,A160)&gt;0)</f>
        <v>0</v>
      </c>
      <c r="AI160" s="8">
        <f>--(COUNTIF('Tax Events'!$B$4:$B$9,A160)&gt;0)</f>
        <v>0</v>
      </c>
    </row>
    <row r="161" spans="1:35">
      <c r="A161" s="4">
        <f>'H237 Tracker'!A161</f>
        <v>44305</v>
      </c>
      <c r="B161" s="13">
        <f t="shared" si="55"/>
        <v>0</v>
      </c>
      <c r="C161" s="13">
        <f t="shared" si="56"/>
        <v>203801771.11407</v>
      </c>
      <c r="D161" s="13">
        <f t="shared" si="40"/>
        <v>0</v>
      </c>
      <c r="E161" s="13">
        <f t="shared" si="41"/>
        <v>203801771.11407</v>
      </c>
      <c r="F161" s="13">
        <f>IF(AH161=1,MAX(R160,0)*Parameters!$B$11,0)</f>
        <v>0</v>
      </c>
      <c r="G161" s="13">
        <f>IF(AI161=1,MAX(S160,0)*Parameters!$B$11,0)</f>
        <v>0</v>
      </c>
      <c r="H161" s="13">
        <f t="shared" si="42"/>
        <v>0</v>
      </c>
      <c r="I161" s="13">
        <f t="shared" si="43"/>
        <v>203801771.11407</v>
      </c>
      <c r="J161" s="13">
        <f t="shared" si="44"/>
        <v>0</v>
      </c>
      <c r="K161" s="13">
        <f t="shared" si="45"/>
        <v>0</v>
      </c>
      <c r="L161" s="13">
        <f t="shared" si="46"/>
        <v>0</v>
      </c>
      <c r="M161" s="13">
        <f t="shared" si="47"/>
        <v>203801771.11407</v>
      </c>
      <c r="N161" s="13">
        <f>MAX(0,INT(L161*Parameters!$B$14/Parameters!$B$13/Parameters!$B$12)*Parameters!$B$12)</f>
        <v>0</v>
      </c>
      <c r="O161" s="13">
        <f>MAX(0,INT(M161*Parameters!$B$14/Parameters!$B$13/Parameters!$B$12)*Parameters!$B$12)</f>
        <v>135867785</v>
      </c>
      <c r="P161" s="13">
        <f>N161*Parameters!$B$13*'H237 Tracker'!B161</f>
        <v>0</v>
      </c>
      <c r="Q161" s="13">
        <f>O161*Parameters!$B$13*'H237 Tracker'!C161</f>
        <v>-10869422.800000001</v>
      </c>
      <c r="R161" s="13">
        <f t="shared" si="57"/>
        <v>0</v>
      </c>
      <c r="S161" s="13">
        <f t="shared" si="58"/>
        <v>108660760.30900002</v>
      </c>
      <c r="T161" s="13">
        <f t="shared" si="48"/>
        <v>0</v>
      </c>
      <c r="U161" s="13">
        <f t="shared" si="49"/>
        <v>192932348.31406999</v>
      </c>
      <c r="V161" s="12">
        <f t="shared" si="50"/>
        <v>0</v>
      </c>
      <c r="W161" t="str">
        <f>'H237 Tracker'!I161</f>
        <v>B</v>
      </c>
      <c r="X161">
        <f>'H237 Tracker'!J161</f>
        <v>36</v>
      </c>
      <c r="Y161" t="str">
        <f>'H237 Tracker'!K161</f>
        <v>B</v>
      </c>
      <c r="Z161" s="12">
        <f>'H237 Tracker'!O161</f>
        <v>0</v>
      </c>
      <c r="AA161" s="13">
        <f>'H237 Tracker'!P161</f>
        <v>0</v>
      </c>
      <c r="AB161" s="13">
        <f>'H237 Tracker'!Q161</f>
        <v>0</v>
      </c>
      <c r="AC161" s="13">
        <f t="shared" si="51"/>
        <v>0</v>
      </c>
      <c r="AD161" s="13">
        <f t="shared" si="52"/>
        <v>192932348.31406999</v>
      </c>
      <c r="AE161" s="13">
        <f t="shared" si="53"/>
        <v>192932348.31406999</v>
      </c>
      <c r="AF161" s="13">
        <f t="shared" si="59"/>
        <v>203801771.11407</v>
      </c>
      <c r="AG161" s="24">
        <f t="shared" si="54"/>
        <v>-5.3333308835261661E-2</v>
      </c>
      <c r="AH161" s="8">
        <f>--(COUNTIF('Tax Events'!$A$4:$A$8,A161)&gt;0)</f>
        <v>0</v>
      </c>
      <c r="AI161" s="8">
        <f>--(COUNTIF('Tax Events'!$B$4:$B$9,A161)&gt;0)</f>
        <v>0</v>
      </c>
    </row>
    <row r="162" spans="1:35">
      <c r="A162" s="4">
        <f>'H237 Tracker'!A162</f>
        <v>44312</v>
      </c>
      <c r="B162" s="13">
        <f t="shared" si="55"/>
        <v>0</v>
      </c>
      <c r="C162" s="13">
        <f t="shared" si="56"/>
        <v>192932348.31406999</v>
      </c>
      <c r="D162" s="13">
        <f t="shared" si="40"/>
        <v>0</v>
      </c>
      <c r="E162" s="13">
        <f t="shared" si="41"/>
        <v>192932348.31406999</v>
      </c>
      <c r="F162" s="13">
        <f>IF(AH162=1,MAX(R161,0)*Parameters!$B$11,0)</f>
        <v>0</v>
      </c>
      <c r="G162" s="13">
        <f>IF(AI162=1,MAX(S161,0)*Parameters!$B$11,0)</f>
        <v>0</v>
      </c>
      <c r="H162" s="13">
        <f t="shared" si="42"/>
        <v>0</v>
      </c>
      <c r="I162" s="13">
        <f t="shared" si="43"/>
        <v>192932348.31406999</v>
      </c>
      <c r="J162" s="13">
        <f t="shared" si="44"/>
        <v>0</v>
      </c>
      <c r="K162" s="13">
        <f t="shared" si="45"/>
        <v>0</v>
      </c>
      <c r="L162" s="13">
        <f t="shared" si="46"/>
        <v>0</v>
      </c>
      <c r="M162" s="13">
        <f t="shared" si="47"/>
        <v>192932348.31406999</v>
      </c>
      <c r="N162" s="13">
        <f>MAX(0,INT(L162*Parameters!$B$14/Parameters!$B$13/Parameters!$B$12)*Parameters!$B$12)</f>
        <v>0</v>
      </c>
      <c r="O162" s="13">
        <f>MAX(0,INT(M162*Parameters!$B$14/Parameters!$B$13/Parameters!$B$12)*Parameters!$B$12)</f>
        <v>128621520</v>
      </c>
      <c r="P162" s="13">
        <f>N162*Parameters!$B$13*'H237 Tracker'!B162</f>
        <v>0</v>
      </c>
      <c r="Q162" s="13">
        <f>O162*Parameters!$B$13*'H237 Tracker'!C162</f>
        <v>-10289721.6</v>
      </c>
      <c r="R162" s="13">
        <f t="shared" si="57"/>
        <v>0</v>
      </c>
      <c r="S162" s="13">
        <f t="shared" si="58"/>
        <v>98371038.709000021</v>
      </c>
      <c r="T162" s="13">
        <f t="shared" si="48"/>
        <v>0</v>
      </c>
      <c r="U162" s="13">
        <f t="shared" si="49"/>
        <v>182642626.71406999</v>
      </c>
      <c r="V162" s="12">
        <f t="shared" si="50"/>
        <v>0</v>
      </c>
      <c r="W162" t="str">
        <f>'H237 Tracker'!I162</f>
        <v>B</v>
      </c>
      <c r="X162">
        <f>'H237 Tracker'!J162</f>
        <v>37</v>
      </c>
      <c r="Y162" t="str">
        <f>'H237 Tracker'!K162</f>
        <v>B</v>
      </c>
      <c r="Z162" s="12">
        <f>'H237 Tracker'!O162</f>
        <v>0</v>
      </c>
      <c r="AA162" s="13">
        <f>'H237 Tracker'!P162</f>
        <v>0</v>
      </c>
      <c r="AB162" s="13">
        <f>'H237 Tracker'!Q162</f>
        <v>0</v>
      </c>
      <c r="AC162" s="13">
        <f t="shared" si="51"/>
        <v>0</v>
      </c>
      <c r="AD162" s="13">
        <f t="shared" si="52"/>
        <v>182642626.71406999</v>
      </c>
      <c r="AE162" s="13">
        <f t="shared" si="53"/>
        <v>182642626.71406999</v>
      </c>
      <c r="AF162" s="13">
        <f t="shared" si="59"/>
        <v>203801771.11407</v>
      </c>
      <c r="AG162" s="24">
        <f t="shared" si="54"/>
        <v>-0.10382218115345532</v>
      </c>
      <c r="AH162" s="8">
        <f>--(COUNTIF('Tax Events'!$A$4:$A$8,A162)&gt;0)</f>
        <v>0</v>
      </c>
      <c r="AI162" s="8">
        <f>--(COUNTIF('Tax Events'!$B$4:$B$9,A162)&gt;0)</f>
        <v>0</v>
      </c>
    </row>
    <row r="163" spans="1:35">
      <c r="A163" s="4">
        <f>'H237 Tracker'!A163</f>
        <v>44319</v>
      </c>
      <c r="B163" s="13">
        <f t="shared" si="55"/>
        <v>0</v>
      </c>
      <c r="C163" s="13">
        <f t="shared" si="56"/>
        <v>182642626.71406999</v>
      </c>
      <c r="D163" s="13">
        <f t="shared" si="40"/>
        <v>0</v>
      </c>
      <c r="E163" s="13">
        <f t="shared" si="41"/>
        <v>182642626.71406999</v>
      </c>
      <c r="F163" s="13">
        <f>IF(AH163=1,MAX(R162,0)*Parameters!$B$11,0)</f>
        <v>0</v>
      </c>
      <c r="G163" s="13">
        <f>IF(AI163=1,MAX(S162,0)*Parameters!$B$11,0)</f>
        <v>0</v>
      </c>
      <c r="H163" s="13">
        <f t="shared" si="42"/>
        <v>0</v>
      </c>
      <c r="I163" s="13">
        <f t="shared" si="43"/>
        <v>182642626.71406999</v>
      </c>
      <c r="J163" s="13">
        <f t="shared" si="44"/>
        <v>0</v>
      </c>
      <c r="K163" s="13">
        <f t="shared" si="45"/>
        <v>0</v>
      </c>
      <c r="L163" s="13">
        <f t="shared" si="46"/>
        <v>0</v>
      </c>
      <c r="M163" s="13">
        <f t="shared" si="47"/>
        <v>182642626.71406999</v>
      </c>
      <c r="N163" s="13">
        <f>MAX(0,INT(L163*Parameters!$B$14/Parameters!$B$13/Parameters!$B$12)*Parameters!$B$12)</f>
        <v>0</v>
      </c>
      <c r="O163" s="13">
        <f>MAX(0,INT(M163*Parameters!$B$14/Parameters!$B$13/Parameters!$B$12)*Parameters!$B$12)</f>
        <v>121761655</v>
      </c>
      <c r="P163" s="13">
        <f>N163*Parameters!$B$13*'H237 Tracker'!B163</f>
        <v>0</v>
      </c>
      <c r="Q163" s="13">
        <f>O163*Parameters!$B$13*'H237 Tracker'!C163</f>
        <v>-74737303.839000002</v>
      </c>
      <c r="R163" s="13">
        <f t="shared" si="57"/>
        <v>0</v>
      </c>
      <c r="S163" s="13">
        <f t="shared" si="58"/>
        <v>23633734.87000002</v>
      </c>
      <c r="T163" s="13">
        <f t="shared" si="48"/>
        <v>0</v>
      </c>
      <c r="U163" s="13">
        <f t="shared" si="49"/>
        <v>107905322.87506999</v>
      </c>
      <c r="V163" s="12">
        <f t="shared" si="50"/>
        <v>0</v>
      </c>
      <c r="W163" t="str">
        <f>'H237 Tracker'!I163</f>
        <v>B</v>
      </c>
      <c r="X163">
        <f>'H237 Tracker'!J163</f>
        <v>38</v>
      </c>
      <c r="Y163" t="str">
        <f>'H237 Tracker'!K163</f>
        <v>B</v>
      </c>
      <c r="Z163" s="12">
        <f>'H237 Tracker'!O163</f>
        <v>0</v>
      </c>
      <c r="AA163" s="13">
        <f>'H237 Tracker'!P163</f>
        <v>0</v>
      </c>
      <c r="AB163" s="13">
        <f>'H237 Tracker'!Q163</f>
        <v>0</v>
      </c>
      <c r="AC163" s="13">
        <f t="shared" si="51"/>
        <v>0</v>
      </c>
      <c r="AD163" s="13">
        <f t="shared" si="52"/>
        <v>107905322.87506999</v>
      </c>
      <c r="AE163" s="13">
        <f t="shared" si="53"/>
        <v>107905322.87506999</v>
      </c>
      <c r="AF163" s="13">
        <f t="shared" si="59"/>
        <v>203801771.11407</v>
      </c>
      <c r="AG163" s="24">
        <f t="shared" si="54"/>
        <v>-0.47053785506763701</v>
      </c>
      <c r="AH163" s="8">
        <f>--(COUNTIF('Tax Events'!$A$4:$A$8,A163)&gt;0)</f>
        <v>0</v>
      </c>
      <c r="AI163" s="8">
        <f>--(COUNTIF('Tax Events'!$B$4:$B$9,A163)&gt;0)</f>
        <v>0</v>
      </c>
    </row>
    <row r="164" spans="1:35">
      <c r="A164" s="4">
        <f>'H237 Tracker'!A164</f>
        <v>44326</v>
      </c>
      <c r="B164" s="13">
        <f t="shared" si="55"/>
        <v>0</v>
      </c>
      <c r="C164" s="13">
        <f t="shared" si="56"/>
        <v>107905322.87506999</v>
      </c>
      <c r="D164" s="13">
        <f t="shared" si="40"/>
        <v>0</v>
      </c>
      <c r="E164" s="13">
        <f t="shared" si="41"/>
        <v>107905322.87506999</v>
      </c>
      <c r="F164" s="13">
        <f>IF(AH164=1,MAX(R163,0)*Parameters!$B$11,0)</f>
        <v>0</v>
      </c>
      <c r="G164" s="13">
        <f>IF(AI164=1,MAX(S163,0)*Parameters!$B$11,0)</f>
        <v>0</v>
      </c>
      <c r="H164" s="13">
        <f t="shared" si="42"/>
        <v>0</v>
      </c>
      <c r="I164" s="13">
        <f t="shared" si="43"/>
        <v>107905322.87506999</v>
      </c>
      <c r="J164" s="13">
        <f t="shared" si="44"/>
        <v>0</v>
      </c>
      <c r="K164" s="13">
        <f t="shared" si="45"/>
        <v>0</v>
      </c>
      <c r="L164" s="13">
        <f t="shared" si="46"/>
        <v>0</v>
      </c>
      <c r="M164" s="13">
        <f t="shared" si="47"/>
        <v>107905322.87506999</v>
      </c>
      <c r="N164" s="13">
        <f>MAX(0,INT(L164*Parameters!$B$14/Parameters!$B$13/Parameters!$B$12)*Parameters!$B$12)</f>
        <v>0</v>
      </c>
      <c r="O164" s="13">
        <f>MAX(0,INT(M164*Parameters!$B$14/Parameters!$B$13/Parameters!$B$12)*Parameters!$B$12)</f>
        <v>71936870</v>
      </c>
      <c r="P164" s="13">
        <f>N164*Parameters!$B$13*'H237 Tracker'!B164</f>
        <v>0</v>
      </c>
      <c r="Q164" s="13">
        <f>O164*Parameters!$B$13*'H237 Tracker'!C164</f>
        <v>0</v>
      </c>
      <c r="R164" s="13">
        <f t="shared" si="57"/>
        <v>0</v>
      </c>
      <c r="S164" s="13">
        <f t="shared" si="58"/>
        <v>23633734.87000002</v>
      </c>
      <c r="T164" s="13">
        <f t="shared" si="48"/>
        <v>0</v>
      </c>
      <c r="U164" s="13">
        <f t="shared" si="49"/>
        <v>107905322.87506999</v>
      </c>
      <c r="V164" s="12">
        <f t="shared" si="50"/>
        <v>0</v>
      </c>
      <c r="W164" t="str">
        <f>'H237 Tracker'!I164</f>
        <v>B</v>
      </c>
      <c r="X164">
        <f>'H237 Tracker'!J164</f>
        <v>39</v>
      </c>
      <c r="Y164" t="str">
        <f>'H237 Tracker'!K164</f>
        <v>B</v>
      </c>
      <c r="Z164" s="12">
        <f>'H237 Tracker'!O164</f>
        <v>0</v>
      </c>
      <c r="AA164" s="13">
        <f>'H237 Tracker'!P164</f>
        <v>0</v>
      </c>
      <c r="AB164" s="13">
        <f>'H237 Tracker'!Q164</f>
        <v>0</v>
      </c>
      <c r="AC164" s="13">
        <f t="shared" si="51"/>
        <v>0</v>
      </c>
      <c r="AD164" s="13">
        <f t="shared" si="52"/>
        <v>107905322.87506999</v>
      </c>
      <c r="AE164" s="13">
        <f t="shared" si="53"/>
        <v>107905322.87506999</v>
      </c>
      <c r="AF164" s="13">
        <f t="shared" si="59"/>
        <v>203801771.11407</v>
      </c>
      <c r="AG164" s="24">
        <f t="shared" si="54"/>
        <v>-0.47053785506763701</v>
      </c>
      <c r="AH164" s="8">
        <f>--(COUNTIF('Tax Events'!$A$4:$A$8,A164)&gt;0)</f>
        <v>0</v>
      </c>
      <c r="AI164" s="8">
        <f>--(COUNTIF('Tax Events'!$B$4:$B$9,A164)&gt;0)</f>
        <v>0</v>
      </c>
    </row>
    <row r="165" spans="1:35">
      <c r="A165" s="4">
        <f>'H237 Tracker'!A165</f>
        <v>44333</v>
      </c>
      <c r="B165" s="13">
        <f t="shared" si="55"/>
        <v>0</v>
      </c>
      <c r="C165" s="13">
        <f t="shared" si="56"/>
        <v>107905322.87506999</v>
      </c>
      <c r="D165" s="13">
        <f t="shared" si="40"/>
        <v>0</v>
      </c>
      <c r="E165" s="13">
        <f t="shared" si="41"/>
        <v>107905322.87506999</v>
      </c>
      <c r="F165" s="13">
        <f>IF(AH165=1,MAX(R164,0)*Parameters!$B$11,0)</f>
        <v>0</v>
      </c>
      <c r="G165" s="13">
        <f>IF(AI165=1,MAX(S164,0)*Parameters!$B$11,0)</f>
        <v>0</v>
      </c>
      <c r="H165" s="13">
        <f t="shared" si="42"/>
        <v>0</v>
      </c>
      <c r="I165" s="13">
        <f t="shared" si="43"/>
        <v>107905322.87506999</v>
      </c>
      <c r="J165" s="13">
        <f t="shared" si="44"/>
        <v>0</v>
      </c>
      <c r="K165" s="13">
        <f t="shared" si="45"/>
        <v>0</v>
      </c>
      <c r="L165" s="13">
        <f t="shared" si="46"/>
        <v>0</v>
      </c>
      <c r="M165" s="13">
        <f t="shared" si="47"/>
        <v>107905322.87506999</v>
      </c>
      <c r="N165" s="13">
        <f>MAX(0,INT(L165*Parameters!$B$14/Parameters!$B$13/Parameters!$B$12)*Parameters!$B$12)</f>
        <v>0</v>
      </c>
      <c r="O165" s="13">
        <f>MAX(0,INT(M165*Parameters!$B$14/Parameters!$B$13/Parameters!$B$12)*Parameters!$B$12)</f>
        <v>71936870</v>
      </c>
      <c r="P165" s="13">
        <f>N165*Parameters!$B$13*'H237 Tracker'!B165</f>
        <v>0</v>
      </c>
      <c r="Q165" s="13">
        <f>O165*Parameters!$B$13*'H237 Tracker'!C165</f>
        <v>0</v>
      </c>
      <c r="R165" s="13">
        <f t="shared" si="57"/>
        <v>0</v>
      </c>
      <c r="S165" s="13">
        <f t="shared" si="58"/>
        <v>23633734.87000002</v>
      </c>
      <c r="T165" s="13">
        <f t="shared" si="48"/>
        <v>0</v>
      </c>
      <c r="U165" s="13">
        <f t="shared" si="49"/>
        <v>107905322.87506999</v>
      </c>
      <c r="V165" s="12">
        <f t="shared" si="50"/>
        <v>0</v>
      </c>
      <c r="W165" t="str">
        <f>'H237 Tracker'!I165</f>
        <v>B</v>
      </c>
      <c r="X165">
        <f>'H237 Tracker'!J165</f>
        <v>40</v>
      </c>
      <c r="Y165" t="str">
        <f>'H237 Tracker'!K165</f>
        <v>B</v>
      </c>
      <c r="Z165" s="12">
        <f>'H237 Tracker'!O165</f>
        <v>0</v>
      </c>
      <c r="AA165" s="13">
        <f>'H237 Tracker'!P165</f>
        <v>0</v>
      </c>
      <c r="AB165" s="13">
        <f>'H237 Tracker'!Q165</f>
        <v>0</v>
      </c>
      <c r="AC165" s="13">
        <f t="shared" si="51"/>
        <v>0</v>
      </c>
      <c r="AD165" s="13">
        <f t="shared" si="52"/>
        <v>107905322.87506999</v>
      </c>
      <c r="AE165" s="13">
        <f t="shared" si="53"/>
        <v>107905322.87506999</v>
      </c>
      <c r="AF165" s="13">
        <f t="shared" si="59"/>
        <v>203801771.11407</v>
      </c>
      <c r="AG165" s="24">
        <f t="shared" si="54"/>
        <v>-0.47053785506763701</v>
      </c>
      <c r="AH165" s="8">
        <f>--(COUNTIF('Tax Events'!$A$4:$A$8,A165)&gt;0)</f>
        <v>0</v>
      </c>
      <c r="AI165" s="8">
        <f>--(COUNTIF('Tax Events'!$B$4:$B$9,A165)&gt;0)</f>
        <v>0</v>
      </c>
    </row>
    <row r="166" spans="1:35">
      <c r="A166" s="4">
        <f>'H237 Tracker'!A166</f>
        <v>44340</v>
      </c>
      <c r="B166" s="13">
        <f t="shared" si="55"/>
        <v>0</v>
      </c>
      <c r="C166" s="13">
        <f t="shared" si="56"/>
        <v>107905322.87506999</v>
      </c>
      <c r="D166" s="13">
        <f t="shared" si="40"/>
        <v>0</v>
      </c>
      <c r="E166" s="13">
        <f t="shared" si="41"/>
        <v>107905322.87506999</v>
      </c>
      <c r="F166" s="13">
        <f>IF(AH166=1,MAX(R165,0)*Parameters!$B$11,0)</f>
        <v>0</v>
      </c>
      <c r="G166" s="13">
        <f>IF(AI166=1,MAX(S165,0)*Parameters!$B$11,0)</f>
        <v>0</v>
      </c>
      <c r="H166" s="13">
        <f t="shared" si="42"/>
        <v>0</v>
      </c>
      <c r="I166" s="13">
        <f t="shared" si="43"/>
        <v>107905322.87506999</v>
      </c>
      <c r="J166" s="13">
        <f t="shared" si="44"/>
        <v>0</v>
      </c>
      <c r="K166" s="13">
        <f t="shared" si="45"/>
        <v>0</v>
      </c>
      <c r="L166" s="13">
        <f t="shared" si="46"/>
        <v>0</v>
      </c>
      <c r="M166" s="13">
        <f t="shared" si="47"/>
        <v>107905322.87506999</v>
      </c>
      <c r="N166" s="13">
        <f>MAX(0,INT(L166*Parameters!$B$14/Parameters!$B$13/Parameters!$B$12)*Parameters!$B$12)</f>
        <v>0</v>
      </c>
      <c r="O166" s="13">
        <f>MAX(0,INT(M166*Parameters!$B$14/Parameters!$B$13/Parameters!$B$12)*Parameters!$B$12)</f>
        <v>71936870</v>
      </c>
      <c r="P166" s="13">
        <f>N166*Parameters!$B$13*'H237 Tracker'!B166</f>
        <v>0</v>
      </c>
      <c r="Q166" s="13">
        <f>O166*Parameters!$B$13*'H237 Tracker'!C166</f>
        <v>13466582.064000001</v>
      </c>
      <c r="R166" s="13">
        <f t="shared" si="57"/>
        <v>0</v>
      </c>
      <c r="S166" s="13">
        <f t="shared" si="58"/>
        <v>37100316.934000023</v>
      </c>
      <c r="T166" s="13">
        <f t="shared" si="48"/>
        <v>0</v>
      </c>
      <c r="U166" s="13">
        <f t="shared" si="49"/>
        <v>121371904.93906999</v>
      </c>
      <c r="V166" s="12">
        <f t="shared" si="50"/>
        <v>0</v>
      </c>
      <c r="W166" t="str">
        <f>'H237 Tracker'!I166</f>
        <v>B</v>
      </c>
      <c r="X166">
        <f>'H237 Tracker'!J166</f>
        <v>41</v>
      </c>
      <c r="Y166" t="str">
        <f>'H237 Tracker'!K166</f>
        <v>B</v>
      </c>
      <c r="Z166" s="12">
        <f>'H237 Tracker'!O166</f>
        <v>0</v>
      </c>
      <c r="AA166" s="13">
        <f>'H237 Tracker'!P166</f>
        <v>0</v>
      </c>
      <c r="AB166" s="13">
        <f>'H237 Tracker'!Q166</f>
        <v>0</v>
      </c>
      <c r="AC166" s="13">
        <f t="shared" si="51"/>
        <v>0</v>
      </c>
      <c r="AD166" s="13">
        <f t="shared" si="52"/>
        <v>121371904.93906999</v>
      </c>
      <c r="AE166" s="13">
        <f t="shared" si="53"/>
        <v>121371904.93906999</v>
      </c>
      <c r="AF166" s="13">
        <f t="shared" si="59"/>
        <v>203801771.11407</v>
      </c>
      <c r="AG166" s="24">
        <f t="shared" si="54"/>
        <v>-0.40446099032605143</v>
      </c>
      <c r="AH166" s="8">
        <f>--(COUNTIF('Tax Events'!$A$4:$A$8,A166)&gt;0)</f>
        <v>0</v>
      </c>
      <c r="AI166" s="8">
        <f>--(COUNTIF('Tax Events'!$B$4:$B$9,A166)&gt;0)</f>
        <v>0</v>
      </c>
    </row>
    <row r="167" spans="1:35">
      <c r="A167" s="4">
        <f>'H237 Tracker'!A167</f>
        <v>44347</v>
      </c>
      <c r="B167" s="13">
        <f t="shared" si="55"/>
        <v>0</v>
      </c>
      <c r="C167" s="13">
        <f t="shared" si="56"/>
        <v>121371904.93906999</v>
      </c>
      <c r="D167" s="13">
        <f t="shared" si="40"/>
        <v>0</v>
      </c>
      <c r="E167" s="13">
        <f t="shared" si="41"/>
        <v>121371904.93906999</v>
      </c>
      <c r="F167" s="13">
        <f>IF(AH167=1,MAX(R166,0)*Parameters!$B$11,0)</f>
        <v>0</v>
      </c>
      <c r="G167" s="13">
        <f>IF(AI167=1,MAX(S166,0)*Parameters!$B$11,0)</f>
        <v>0</v>
      </c>
      <c r="H167" s="13">
        <f t="shared" si="42"/>
        <v>0</v>
      </c>
      <c r="I167" s="13">
        <f t="shared" si="43"/>
        <v>121371904.93906999</v>
      </c>
      <c r="J167" s="13">
        <f t="shared" si="44"/>
        <v>0</v>
      </c>
      <c r="K167" s="13">
        <f t="shared" si="45"/>
        <v>0</v>
      </c>
      <c r="L167" s="13">
        <f t="shared" si="46"/>
        <v>0</v>
      </c>
      <c r="M167" s="13">
        <f t="shared" si="47"/>
        <v>121371904.93906999</v>
      </c>
      <c r="N167" s="13">
        <f>MAX(0,INT(L167*Parameters!$B$14/Parameters!$B$13/Parameters!$B$12)*Parameters!$B$12)</f>
        <v>0</v>
      </c>
      <c r="O167" s="13">
        <f>MAX(0,INT(M167*Parameters!$B$14/Parameters!$B$13/Parameters!$B$12)*Parameters!$B$12)</f>
        <v>80914575</v>
      </c>
      <c r="P167" s="13">
        <f>N167*Parameters!$B$13*'H237 Tracker'!B167</f>
        <v>0</v>
      </c>
      <c r="Q167" s="13">
        <f>O167*Parameters!$B$13*'H237 Tracker'!C167</f>
        <v>-8350384.1399999997</v>
      </c>
      <c r="R167" s="13">
        <f t="shared" si="57"/>
        <v>0</v>
      </c>
      <c r="S167" s="13">
        <f t="shared" si="58"/>
        <v>28749932.794000022</v>
      </c>
      <c r="T167" s="13">
        <f t="shared" si="48"/>
        <v>0</v>
      </c>
      <c r="U167" s="13">
        <f t="shared" si="49"/>
        <v>113021520.79906999</v>
      </c>
      <c r="V167" s="12">
        <f t="shared" si="50"/>
        <v>0</v>
      </c>
      <c r="W167" t="str">
        <f>'H237 Tracker'!I167</f>
        <v>B</v>
      </c>
      <c r="X167">
        <f>'H237 Tracker'!J167</f>
        <v>42</v>
      </c>
      <c r="Y167" t="str">
        <f>'H237 Tracker'!K167</f>
        <v>B</v>
      </c>
      <c r="Z167" s="12">
        <f>'H237 Tracker'!O167</f>
        <v>0</v>
      </c>
      <c r="AA167" s="13">
        <f>'H237 Tracker'!P167</f>
        <v>0</v>
      </c>
      <c r="AB167" s="13">
        <f>'H237 Tracker'!Q167</f>
        <v>0</v>
      </c>
      <c r="AC167" s="13">
        <f t="shared" si="51"/>
        <v>0</v>
      </c>
      <c r="AD167" s="13">
        <f t="shared" si="52"/>
        <v>113021520.79906999</v>
      </c>
      <c r="AE167" s="13">
        <f t="shared" si="53"/>
        <v>113021520.79906999</v>
      </c>
      <c r="AF167" s="13">
        <f t="shared" si="59"/>
        <v>203801771.11407</v>
      </c>
      <c r="AG167" s="24">
        <f t="shared" si="54"/>
        <v>-0.44543405986491325</v>
      </c>
      <c r="AH167" s="8">
        <f>--(COUNTIF('Tax Events'!$A$4:$A$8,A167)&gt;0)</f>
        <v>0</v>
      </c>
      <c r="AI167" s="8">
        <f>--(COUNTIF('Tax Events'!$B$4:$B$9,A167)&gt;0)</f>
        <v>0</v>
      </c>
    </row>
    <row r="168" spans="1:35">
      <c r="A168" s="4">
        <f>'H237 Tracker'!A168</f>
        <v>44354</v>
      </c>
      <c r="B168" s="13">
        <f t="shared" si="55"/>
        <v>0</v>
      </c>
      <c r="C168" s="13">
        <f t="shared" si="56"/>
        <v>113021520.79906999</v>
      </c>
      <c r="D168" s="13">
        <f t="shared" si="40"/>
        <v>0</v>
      </c>
      <c r="E168" s="13">
        <f t="shared" si="41"/>
        <v>113021520.79906999</v>
      </c>
      <c r="F168" s="13">
        <f>IF(AH168=1,MAX(R167,0)*Parameters!$B$11,0)</f>
        <v>0</v>
      </c>
      <c r="G168" s="13">
        <f>IF(AI168=1,MAX(S167,0)*Parameters!$B$11,0)</f>
        <v>0</v>
      </c>
      <c r="H168" s="13">
        <f t="shared" si="42"/>
        <v>0</v>
      </c>
      <c r="I168" s="13">
        <f t="shared" si="43"/>
        <v>113021520.79906999</v>
      </c>
      <c r="J168" s="13">
        <f t="shared" si="44"/>
        <v>0</v>
      </c>
      <c r="K168" s="13">
        <f t="shared" si="45"/>
        <v>0</v>
      </c>
      <c r="L168" s="13">
        <f t="shared" si="46"/>
        <v>0</v>
      </c>
      <c r="M168" s="13">
        <f t="shared" si="47"/>
        <v>113021520.79906999</v>
      </c>
      <c r="N168" s="13">
        <f>MAX(0,INT(L168*Parameters!$B$14/Parameters!$B$13/Parameters!$B$12)*Parameters!$B$12)</f>
        <v>0</v>
      </c>
      <c r="O168" s="13">
        <f>MAX(0,INT(M168*Parameters!$B$14/Parameters!$B$13/Parameters!$B$12)*Parameters!$B$12)</f>
        <v>75347655</v>
      </c>
      <c r="P168" s="13">
        <f>N168*Parameters!$B$13*'H237 Tracker'!B168</f>
        <v>0</v>
      </c>
      <c r="Q168" s="13">
        <f>O168*Parameters!$B$13*'H237 Tracker'!C168</f>
        <v>27712867.509</v>
      </c>
      <c r="R168" s="13">
        <f t="shared" si="57"/>
        <v>0</v>
      </c>
      <c r="S168" s="13">
        <f t="shared" si="58"/>
        <v>56462800.303000018</v>
      </c>
      <c r="T168" s="13">
        <f t="shared" si="48"/>
        <v>0</v>
      </c>
      <c r="U168" s="13">
        <f t="shared" si="49"/>
        <v>140734388.30806997</v>
      </c>
      <c r="V168" s="12">
        <f t="shared" si="50"/>
        <v>0</v>
      </c>
      <c r="W168" t="str">
        <f>'H237 Tracker'!I168</f>
        <v>B</v>
      </c>
      <c r="X168">
        <f>'H237 Tracker'!J168</f>
        <v>43</v>
      </c>
      <c r="Y168" t="str">
        <f>'H237 Tracker'!K168</f>
        <v>B</v>
      </c>
      <c r="Z168" s="12">
        <f>'H237 Tracker'!O168</f>
        <v>0</v>
      </c>
      <c r="AA168" s="13">
        <f>'H237 Tracker'!P168</f>
        <v>0</v>
      </c>
      <c r="AB168" s="13">
        <f>'H237 Tracker'!Q168</f>
        <v>0</v>
      </c>
      <c r="AC168" s="13">
        <f t="shared" si="51"/>
        <v>0</v>
      </c>
      <c r="AD168" s="13">
        <f t="shared" si="52"/>
        <v>140734388.30806997</v>
      </c>
      <c r="AE168" s="13">
        <f t="shared" si="53"/>
        <v>140734388.30806997</v>
      </c>
      <c r="AF168" s="13">
        <f t="shared" si="59"/>
        <v>203801771.11407</v>
      </c>
      <c r="AG168" s="24">
        <f t="shared" si="54"/>
        <v>-0.30945453742254547</v>
      </c>
      <c r="AH168" s="8">
        <f>--(COUNTIF('Tax Events'!$A$4:$A$8,A168)&gt;0)</f>
        <v>0</v>
      </c>
      <c r="AI168" s="8">
        <f>--(COUNTIF('Tax Events'!$B$4:$B$9,A168)&gt;0)</f>
        <v>0</v>
      </c>
    </row>
    <row r="169" spans="1:35">
      <c r="A169" s="4">
        <f>'H237 Tracker'!A169</f>
        <v>44361</v>
      </c>
      <c r="B169" s="13">
        <f t="shared" si="55"/>
        <v>0</v>
      </c>
      <c r="C169" s="13">
        <f t="shared" si="56"/>
        <v>140734388.30806997</v>
      </c>
      <c r="D169" s="13">
        <f t="shared" si="40"/>
        <v>0</v>
      </c>
      <c r="E169" s="13">
        <f t="shared" si="41"/>
        <v>140734388.30806997</v>
      </c>
      <c r="F169" s="13">
        <f>IF(AH169=1,MAX(R168,0)*Parameters!$B$11,0)</f>
        <v>0</v>
      </c>
      <c r="G169" s="13">
        <f>IF(AI169=1,MAX(S168,0)*Parameters!$B$11,0)</f>
        <v>0</v>
      </c>
      <c r="H169" s="13">
        <f t="shared" si="42"/>
        <v>0</v>
      </c>
      <c r="I169" s="13">
        <f t="shared" si="43"/>
        <v>140734388.30806997</v>
      </c>
      <c r="J169" s="13">
        <f t="shared" si="44"/>
        <v>0</v>
      </c>
      <c r="K169" s="13">
        <f t="shared" si="45"/>
        <v>0</v>
      </c>
      <c r="L169" s="13">
        <f t="shared" si="46"/>
        <v>0</v>
      </c>
      <c r="M169" s="13">
        <f t="shared" si="47"/>
        <v>140734388.30806997</v>
      </c>
      <c r="N169" s="13">
        <f>MAX(0,INT(L169*Parameters!$B$14/Parameters!$B$13/Parameters!$B$12)*Parameters!$B$12)</f>
        <v>0</v>
      </c>
      <c r="O169" s="13">
        <f>MAX(0,INT(M169*Parameters!$B$14/Parameters!$B$13/Parameters!$B$12)*Parameters!$B$12)</f>
        <v>93822865</v>
      </c>
      <c r="P169" s="13">
        <f>N169*Parameters!$B$13*'H237 Tracker'!B169</f>
        <v>0</v>
      </c>
      <c r="Q169" s="13">
        <f>O169*Parameters!$B$13*'H237 Tracker'!C169</f>
        <v>15424479.005999999</v>
      </c>
      <c r="R169" s="13">
        <f t="shared" si="57"/>
        <v>0</v>
      </c>
      <c r="S169" s="13">
        <f t="shared" si="58"/>
        <v>71887279.309000015</v>
      </c>
      <c r="T169" s="13">
        <f t="shared" si="48"/>
        <v>0</v>
      </c>
      <c r="U169" s="13">
        <f t="shared" si="49"/>
        <v>156158867.31406999</v>
      </c>
      <c r="V169" s="12">
        <f t="shared" si="50"/>
        <v>0</v>
      </c>
      <c r="W169" t="str">
        <f>'H237 Tracker'!I169</f>
        <v>B</v>
      </c>
      <c r="X169">
        <f>'H237 Tracker'!J169</f>
        <v>44</v>
      </c>
      <c r="Y169" t="str">
        <f>'H237 Tracker'!K169</f>
        <v>B</v>
      </c>
      <c r="Z169" s="12">
        <f>'H237 Tracker'!O169</f>
        <v>0</v>
      </c>
      <c r="AA169" s="13">
        <f>'H237 Tracker'!P169</f>
        <v>0</v>
      </c>
      <c r="AB169" s="13">
        <f>'H237 Tracker'!Q169</f>
        <v>0</v>
      </c>
      <c r="AC169" s="13">
        <f t="shared" si="51"/>
        <v>0</v>
      </c>
      <c r="AD169" s="13">
        <f t="shared" si="52"/>
        <v>156158867.31406999</v>
      </c>
      <c r="AE169" s="13">
        <f t="shared" si="53"/>
        <v>156158867.31406999</v>
      </c>
      <c r="AF169" s="13">
        <f t="shared" si="59"/>
        <v>203801771.11407</v>
      </c>
      <c r="AG169" s="24">
        <f t="shared" si="54"/>
        <v>-0.23377080355859015</v>
      </c>
      <c r="AH169" s="8">
        <f>--(COUNTIF('Tax Events'!$A$4:$A$8,A169)&gt;0)</f>
        <v>0</v>
      </c>
      <c r="AI169" s="8">
        <f>--(COUNTIF('Tax Events'!$B$4:$B$9,A169)&gt;0)</f>
        <v>0</v>
      </c>
    </row>
    <row r="170" spans="1:35">
      <c r="A170" s="4">
        <f>'H237 Tracker'!A170</f>
        <v>44368</v>
      </c>
      <c r="B170" s="13">
        <f t="shared" si="55"/>
        <v>0</v>
      </c>
      <c r="C170" s="13">
        <f t="shared" si="56"/>
        <v>156158867.31406999</v>
      </c>
      <c r="D170" s="13">
        <f t="shared" si="40"/>
        <v>0</v>
      </c>
      <c r="E170" s="13">
        <f t="shared" si="41"/>
        <v>156158867.31406999</v>
      </c>
      <c r="F170" s="13">
        <f>IF(AH170=1,MAX(R169,0)*Parameters!$B$11,0)</f>
        <v>0</v>
      </c>
      <c r="G170" s="13">
        <f>IF(AI170=1,MAX(S169,0)*Parameters!$B$11,0)</f>
        <v>0</v>
      </c>
      <c r="H170" s="13">
        <f t="shared" si="42"/>
        <v>0</v>
      </c>
      <c r="I170" s="13">
        <f t="shared" si="43"/>
        <v>156158867.31406999</v>
      </c>
      <c r="J170" s="13">
        <f t="shared" si="44"/>
        <v>0</v>
      </c>
      <c r="K170" s="13">
        <f t="shared" si="45"/>
        <v>0</v>
      </c>
      <c r="L170" s="13">
        <f t="shared" si="46"/>
        <v>0</v>
      </c>
      <c r="M170" s="13">
        <f t="shared" si="47"/>
        <v>156158867.31406999</v>
      </c>
      <c r="N170" s="13">
        <f>MAX(0,INT(L170*Parameters!$B$14/Parameters!$B$13/Parameters!$B$12)*Parameters!$B$12)</f>
        <v>0</v>
      </c>
      <c r="O170" s="13">
        <f>MAX(0,INT(M170*Parameters!$B$14/Parameters!$B$13/Parameters!$B$12)*Parameters!$B$12)</f>
        <v>104105820</v>
      </c>
      <c r="P170" s="13">
        <f>N170*Parameters!$B$13*'H237 Tracker'!B170</f>
        <v>0</v>
      </c>
      <c r="Q170" s="13">
        <f>O170*Parameters!$B$13*'H237 Tracker'!C170</f>
        <v>42891597.840000004</v>
      </c>
      <c r="R170" s="13">
        <f t="shared" si="57"/>
        <v>0</v>
      </c>
      <c r="S170" s="13">
        <f t="shared" si="58"/>
        <v>114778877.14900002</v>
      </c>
      <c r="T170" s="13">
        <f t="shared" si="48"/>
        <v>0</v>
      </c>
      <c r="U170" s="13">
        <f t="shared" si="49"/>
        <v>199050465.15406999</v>
      </c>
      <c r="V170" s="12">
        <f t="shared" si="50"/>
        <v>0</v>
      </c>
      <c r="W170" t="str">
        <f>'H237 Tracker'!I170</f>
        <v>B</v>
      </c>
      <c r="X170">
        <f>'H237 Tracker'!J170</f>
        <v>45</v>
      </c>
      <c r="Y170" t="str">
        <f>'H237 Tracker'!K170</f>
        <v>B</v>
      </c>
      <c r="Z170" s="12">
        <f>'H237 Tracker'!O170</f>
        <v>0</v>
      </c>
      <c r="AA170" s="13">
        <f>'H237 Tracker'!P170</f>
        <v>0</v>
      </c>
      <c r="AB170" s="13">
        <f>'H237 Tracker'!Q170</f>
        <v>0</v>
      </c>
      <c r="AC170" s="13">
        <f t="shared" si="51"/>
        <v>0</v>
      </c>
      <c r="AD170" s="13">
        <f t="shared" si="52"/>
        <v>199050465.15406999</v>
      </c>
      <c r="AE170" s="13">
        <f t="shared" si="53"/>
        <v>199050465.15406999</v>
      </c>
      <c r="AF170" s="13">
        <f t="shared" si="59"/>
        <v>203801771.11407</v>
      </c>
      <c r="AG170" s="24">
        <f t="shared" si="54"/>
        <v>-2.3313369329556299E-2</v>
      </c>
      <c r="AH170" s="8">
        <f>--(COUNTIF('Tax Events'!$A$4:$A$8,A170)&gt;0)</f>
        <v>0</v>
      </c>
      <c r="AI170" s="8">
        <f>--(COUNTIF('Tax Events'!$B$4:$B$9,A170)&gt;0)</f>
        <v>0</v>
      </c>
    </row>
    <row r="171" spans="1:35">
      <c r="A171" s="4">
        <f>'H237 Tracker'!A171</f>
        <v>44375</v>
      </c>
      <c r="B171" s="13">
        <f t="shared" si="55"/>
        <v>0</v>
      </c>
      <c r="C171" s="13">
        <f t="shared" si="56"/>
        <v>199050465.15406999</v>
      </c>
      <c r="D171" s="13">
        <f t="shared" si="40"/>
        <v>0</v>
      </c>
      <c r="E171" s="13">
        <f t="shared" si="41"/>
        <v>199050465.15406999</v>
      </c>
      <c r="F171" s="13">
        <f>IF(AH171=1,MAX(R170,0)*Parameters!$B$11,0)</f>
        <v>0</v>
      </c>
      <c r="G171" s="13">
        <f>IF(AI171=1,MAX(S170,0)*Parameters!$B$11,0)</f>
        <v>0</v>
      </c>
      <c r="H171" s="13">
        <f t="shared" si="42"/>
        <v>0</v>
      </c>
      <c r="I171" s="13">
        <f t="shared" si="43"/>
        <v>199050465.15406999</v>
      </c>
      <c r="J171" s="13">
        <f t="shared" si="44"/>
        <v>0</v>
      </c>
      <c r="K171" s="13">
        <f t="shared" si="45"/>
        <v>0</v>
      </c>
      <c r="L171" s="13">
        <f t="shared" si="46"/>
        <v>0</v>
      </c>
      <c r="M171" s="13">
        <f t="shared" si="47"/>
        <v>199050465.15406999</v>
      </c>
      <c r="N171" s="13">
        <f>MAX(0,INT(L171*Parameters!$B$14/Parameters!$B$13/Parameters!$B$12)*Parameters!$B$12)</f>
        <v>0</v>
      </c>
      <c r="O171" s="13">
        <f>MAX(0,INT(M171*Parameters!$B$14/Parameters!$B$13/Parameters!$B$12)*Parameters!$B$12)</f>
        <v>132700225</v>
      </c>
      <c r="P171" s="13">
        <f>N171*Parameters!$B$13*'H237 Tracker'!B171</f>
        <v>0</v>
      </c>
      <c r="Q171" s="13">
        <f>O171*Parameters!$B$13*'H237 Tracker'!C171</f>
        <v>20754315.190000001</v>
      </c>
      <c r="R171" s="13">
        <f t="shared" si="57"/>
        <v>0</v>
      </c>
      <c r="S171" s="13">
        <f t="shared" si="58"/>
        <v>135533192.33900002</v>
      </c>
      <c r="T171" s="13">
        <f t="shared" si="48"/>
        <v>0</v>
      </c>
      <c r="U171" s="13">
        <f t="shared" si="49"/>
        <v>219804780.34406999</v>
      </c>
      <c r="V171" s="12">
        <f t="shared" si="50"/>
        <v>0</v>
      </c>
      <c r="W171" t="str">
        <f>'H237 Tracker'!I171</f>
        <v>B</v>
      </c>
      <c r="X171">
        <f>'H237 Tracker'!J171</f>
        <v>46</v>
      </c>
      <c r="Y171" t="str">
        <f>'H237 Tracker'!K171</f>
        <v>B</v>
      </c>
      <c r="Z171" s="12">
        <f>'H237 Tracker'!O171</f>
        <v>0</v>
      </c>
      <c r="AA171" s="13">
        <f>'H237 Tracker'!P171</f>
        <v>0</v>
      </c>
      <c r="AB171" s="13">
        <f>'H237 Tracker'!Q171</f>
        <v>0</v>
      </c>
      <c r="AC171" s="13">
        <f t="shared" si="51"/>
        <v>0</v>
      </c>
      <c r="AD171" s="13">
        <f t="shared" si="52"/>
        <v>219804780.34406999</v>
      </c>
      <c r="AE171" s="13">
        <f t="shared" si="53"/>
        <v>219804780.34406999</v>
      </c>
      <c r="AF171" s="13">
        <f t="shared" si="59"/>
        <v>219804780.34406999</v>
      </c>
      <c r="AG171" s="24">
        <f t="shared" si="54"/>
        <v>0</v>
      </c>
      <c r="AH171" s="8">
        <f>--(COUNTIF('Tax Events'!$A$4:$A$8,A171)&gt;0)</f>
        <v>0</v>
      </c>
      <c r="AI171" s="8">
        <f>--(COUNTIF('Tax Events'!$B$4:$B$9,A171)&gt;0)</f>
        <v>0</v>
      </c>
    </row>
    <row r="172" spans="1:35">
      <c r="A172" s="4">
        <f>'H237 Tracker'!A172</f>
        <v>44382</v>
      </c>
      <c r="B172" s="13">
        <f t="shared" si="55"/>
        <v>0</v>
      </c>
      <c r="C172" s="13">
        <f t="shared" si="56"/>
        <v>219804780.34406999</v>
      </c>
      <c r="D172" s="13">
        <f t="shared" si="40"/>
        <v>0</v>
      </c>
      <c r="E172" s="13">
        <f t="shared" si="41"/>
        <v>219804780.34406999</v>
      </c>
      <c r="F172" s="13">
        <f>IF(AH172=1,MAX(R171,0)*Parameters!$B$11,0)</f>
        <v>0</v>
      </c>
      <c r="G172" s="13">
        <f>IF(AI172=1,MAX(S171,0)*Parameters!$B$11,0)</f>
        <v>0</v>
      </c>
      <c r="H172" s="13">
        <f t="shared" si="42"/>
        <v>0</v>
      </c>
      <c r="I172" s="13">
        <f t="shared" si="43"/>
        <v>219804780.34406999</v>
      </c>
      <c r="J172" s="13">
        <f t="shared" si="44"/>
        <v>0</v>
      </c>
      <c r="K172" s="13">
        <f t="shared" si="45"/>
        <v>0</v>
      </c>
      <c r="L172" s="13">
        <f t="shared" si="46"/>
        <v>0</v>
      </c>
      <c r="M172" s="13">
        <f t="shared" si="47"/>
        <v>219804780.34406999</v>
      </c>
      <c r="N172" s="13">
        <f>MAX(0,INT(L172*Parameters!$B$14/Parameters!$B$13/Parameters!$B$12)*Parameters!$B$12)</f>
        <v>0</v>
      </c>
      <c r="O172" s="13">
        <f>MAX(0,INT(M172*Parameters!$B$14/Parameters!$B$13/Parameters!$B$12)*Parameters!$B$12)</f>
        <v>146536450</v>
      </c>
      <c r="P172" s="13">
        <f>N172*Parameters!$B$13*'H237 Tracker'!B172</f>
        <v>0</v>
      </c>
      <c r="Q172" s="13">
        <f>O172*Parameters!$B$13*'H237 Tracker'!C172</f>
        <v>-13217587.790000001</v>
      </c>
      <c r="R172" s="13">
        <f t="shared" si="57"/>
        <v>0</v>
      </c>
      <c r="S172" s="13">
        <f t="shared" si="58"/>
        <v>122315604.54900001</v>
      </c>
      <c r="T172" s="13">
        <f t="shared" si="48"/>
        <v>0</v>
      </c>
      <c r="U172" s="13">
        <f t="shared" si="49"/>
        <v>206587192.55407</v>
      </c>
      <c r="V172" s="12">
        <f t="shared" si="50"/>
        <v>0</v>
      </c>
      <c r="W172" t="str">
        <f>'H237 Tracker'!I172</f>
        <v>B</v>
      </c>
      <c r="X172">
        <f>'H237 Tracker'!J172</f>
        <v>47</v>
      </c>
      <c r="Y172" t="str">
        <f>'H237 Tracker'!K172</f>
        <v>B</v>
      </c>
      <c r="Z172" s="12">
        <f>'H237 Tracker'!O172</f>
        <v>0</v>
      </c>
      <c r="AA172" s="13">
        <f>'H237 Tracker'!P172</f>
        <v>0</v>
      </c>
      <c r="AB172" s="13">
        <f>'H237 Tracker'!Q172</f>
        <v>0</v>
      </c>
      <c r="AC172" s="13">
        <f t="shared" si="51"/>
        <v>0</v>
      </c>
      <c r="AD172" s="13">
        <f t="shared" si="52"/>
        <v>206587192.55407</v>
      </c>
      <c r="AE172" s="13">
        <f t="shared" si="53"/>
        <v>206587192.55407</v>
      </c>
      <c r="AF172" s="13">
        <f t="shared" si="59"/>
        <v>219804780.34406999</v>
      </c>
      <c r="AG172" s="24">
        <f t="shared" si="54"/>
        <v>-6.0133304513714014E-2</v>
      </c>
      <c r="AH172" s="8">
        <f>--(COUNTIF('Tax Events'!$A$4:$A$8,A172)&gt;0)</f>
        <v>0</v>
      </c>
      <c r="AI172" s="8">
        <f>--(COUNTIF('Tax Events'!$B$4:$B$9,A172)&gt;0)</f>
        <v>0</v>
      </c>
    </row>
    <row r="173" spans="1:35">
      <c r="A173" s="4">
        <f>'H237 Tracker'!A173</f>
        <v>44389</v>
      </c>
      <c r="B173" s="13">
        <f t="shared" si="55"/>
        <v>0</v>
      </c>
      <c r="C173" s="13">
        <f t="shared" si="56"/>
        <v>206587192.55407</v>
      </c>
      <c r="D173" s="13">
        <f t="shared" si="40"/>
        <v>0</v>
      </c>
      <c r="E173" s="13">
        <f t="shared" si="41"/>
        <v>206587192.55407</v>
      </c>
      <c r="F173" s="13">
        <f>IF(AH173=1,MAX(R172,0)*Parameters!$B$11,0)</f>
        <v>0</v>
      </c>
      <c r="G173" s="13">
        <f>IF(AI173=1,MAX(S172,0)*Parameters!$B$11,0)</f>
        <v>0</v>
      </c>
      <c r="H173" s="13">
        <f t="shared" si="42"/>
        <v>0</v>
      </c>
      <c r="I173" s="13">
        <f t="shared" si="43"/>
        <v>206587192.55407</v>
      </c>
      <c r="J173" s="13">
        <f t="shared" si="44"/>
        <v>0</v>
      </c>
      <c r="K173" s="13">
        <f t="shared" si="45"/>
        <v>0</v>
      </c>
      <c r="L173" s="13">
        <f t="shared" si="46"/>
        <v>0</v>
      </c>
      <c r="M173" s="13">
        <f t="shared" si="47"/>
        <v>206587192.55407</v>
      </c>
      <c r="N173" s="13">
        <f>MAX(0,INT(L173*Parameters!$B$14/Parameters!$B$13/Parameters!$B$12)*Parameters!$B$12)</f>
        <v>0</v>
      </c>
      <c r="O173" s="13">
        <f>MAX(0,INT(M173*Parameters!$B$14/Parameters!$B$13/Parameters!$B$12)*Parameters!$B$12)</f>
        <v>137724690</v>
      </c>
      <c r="P173" s="13">
        <f>N173*Parameters!$B$13*'H237 Tracker'!B173</f>
        <v>0</v>
      </c>
      <c r="Q173" s="13">
        <f>O173*Parameters!$B$13*'H237 Tracker'!C173</f>
        <v>-11017975.200000001</v>
      </c>
      <c r="R173" s="13">
        <f t="shared" si="57"/>
        <v>0</v>
      </c>
      <c r="S173" s="13">
        <f t="shared" si="58"/>
        <v>111297629.34900001</v>
      </c>
      <c r="T173" s="13">
        <f t="shared" si="48"/>
        <v>0</v>
      </c>
      <c r="U173" s="13">
        <f t="shared" si="49"/>
        <v>195569217.35407001</v>
      </c>
      <c r="V173" s="12">
        <f t="shared" si="50"/>
        <v>0</v>
      </c>
      <c r="W173" t="str">
        <f>'H237 Tracker'!I173</f>
        <v>B</v>
      </c>
      <c r="X173">
        <f>'H237 Tracker'!J173</f>
        <v>48</v>
      </c>
      <c r="Y173" t="str">
        <f>'H237 Tracker'!K173</f>
        <v>B</v>
      </c>
      <c r="Z173" s="12">
        <f>'H237 Tracker'!O173</f>
        <v>0</v>
      </c>
      <c r="AA173" s="13">
        <f>'H237 Tracker'!P173</f>
        <v>0</v>
      </c>
      <c r="AB173" s="13">
        <f>'H237 Tracker'!Q173</f>
        <v>0</v>
      </c>
      <c r="AC173" s="13">
        <f t="shared" si="51"/>
        <v>0</v>
      </c>
      <c r="AD173" s="13">
        <f t="shared" si="52"/>
        <v>195569217.35407001</v>
      </c>
      <c r="AE173" s="13">
        <f t="shared" si="53"/>
        <v>195569217.35407001</v>
      </c>
      <c r="AF173" s="13">
        <f t="shared" si="59"/>
        <v>219804780.34406999</v>
      </c>
      <c r="AG173" s="24">
        <f t="shared" si="54"/>
        <v>-0.11025949004413371</v>
      </c>
      <c r="AH173" s="8">
        <f>--(COUNTIF('Tax Events'!$A$4:$A$8,A173)&gt;0)</f>
        <v>0</v>
      </c>
      <c r="AI173" s="8">
        <f>--(COUNTIF('Tax Events'!$B$4:$B$9,A173)&gt;0)</f>
        <v>0</v>
      </c>
    </row>
    <row r="174" spans="1:35">
      <c r="A174" s="4">
        <f>'H237 Tracker'!A174</f>
        <v>44396</v>
      </c>
      <c r="B174" s="13">
        <f t="shared" si="55"/>
        <v>0</v>
      </c>
      <c r="C174" s="13">
        <f t="shared" si="56"/>
        <v>195569217.35407001</v>
      </c>
      <c r="D174" s="13">
        <f t="shared" si="40"/>
        <v>0</v>
      </c>
      <c r="E174" s="13">
        <f t="shared" si="41"/>
        <v>195569217.35407001</v>
      </c>
      <c r="F174" s="13">
        <f>IF(AH174=1,MAX(R173,0)*Parameters!$B$11,0)</f>
        <v>0</v>
      </c>
      <c r="G174" s="13">
        <f>IF(AI174=1,MAX(S173,0)*Parameters!$B$11,0)</f>
        <v>0</v>
      </c>
      <c r="H174" s="13">
        <f t="shared" si="42"/>
        <v>0</v>
      </c>
      <c r="I174" s="13">
        <f t="shared" si="43"/>
        <v>195569217.35407001</v>
      </c>
      <c r="J174" s="13">
        <f t="shared" si="44"/>
        <v>0</v>
      </c>
      <c r="K174" s="13">
        <f t="shared" si="45"/>
        <v>0</v>
      </c>
      <c r="L174" s="13">
        <f t="shared" si="46"/>
        <v>0</v>
      </c>
      <c r="M174" s="13">
        <f t="shared" si="47"/>
        <v>195569217.35407001</v>
      </c>
      <c r="N174" s="13">
        <f>MAX(0,INT(L174*Parameters!$B$14/Parameters!$B$13/Parameters!$B$12)*Parameters!$B$12)</f>
        <v>0</v>
      </c>
      <c r="O174" s="13">
        <f>MAX(0,INT(M174*Parameters!$B$14/Parameters!$B$13/Parameters!$B$12)*Parameters!$B$12)</f>
        <v>130379410</v>
      </c>
      <c r="P174" s="13">
        <f>N174*Parameters!$B$13*'H237 Tracker'!B174</f>
        <v>0</v>
      </c>
      <c r="Q174" s="13">
        <f>O174*Parameters!$B$13*'H237 Tracker'!C174</f>
        <v>0</v>
      </c>
      <c r="R174" s="13">
        <f t="shared" si="57"/>
        <v>0</v>
      </c>
      <c r="S174" s="13">
        <f t="shared" si="58"/>
        <v>111297629.34900001</v>
      </c>
      <c r="T174" s="13">
        <f t="shared" si="48"/>
        <v>0</v>
      </c>
      <c r="U174" s="13">
        <f t="shared" si="49"/>
        <v>195569217.35407001</v>
      </c>
      <c r="V174" s="12">
        <f t="shared" si="50"/>
        <v>0</v>
      </c>
      <c r="W174" t="str">
        <f>'H237 Tracker'!I174</f>
        <v>B</v>
      </c>
      <c r="X174">
        <f>'H237 Tracker'!J174</f>
        <v>49</v>
      </c>
      <c r="Y174" t="str">
        <f>'H237 Tracker'!K174</f>
        <v>B</v>
      </c>
      <c r="Z174" s="12">
        <f>'H237 Tracker'!O174</f>
        <v>0</v>
      </c>
      <c r="AA174" s="13">
        <f>'H237 Tracker'!P174</f>
        <v>0</v>
      </c>
      <c r="AB174" s="13">
        <f>'H237 Tracker'!Q174</f>
        <v>0</v>
      </c>
      <c r="AC174" s="13">
        <f t="shared" si="51"/>
        <v>0</v>
      </c>
      <c r="AD174" s="13">
        <f t="shared" si="52"/>
        <v>195569217.35407001</v>
      </c>
      <c r="AE174" s="13">
        <f t="shared" si="53"/>
        <v>195569217.35407001</v>
      </c>
      <c r="AF174" s="13">
        <f t="shared" si="59"/>
        <v>219804780.34406999</v>
      </c>
      <c r="AG174" s="24">
        <f t="shared" si="54"/>
        <v>-0.11025949004413371</v>
      </c>
      <c r="AH174" s="8">
        <f>--(COUNTIF('Tax Events'!$A$4:$A$8,A174)&gt;0)</f>
        <v>0</v>
      </c>
      <c r="AI174" s="8">
        <f>--(COUNTIF('Tax Events'!$B$4:$B$9,A174)&gt;0)</f>
        <v>0</v>
      </c>
    </row>
    <row r="175" spans="1:35">
      <c r="A175" s="4">
        <f>'H237 Tracker'!A175</f>
        <v>44403</v>
      </c>
      <c r="B175" s="13">
        <f t="shared" si="55"/>
        <v>0</v>
      </c>
      <c r="C175" s="13">
        <f t="shared" si="56"/>
        <v>195569217.35407001</v>
      </c>
      <c r="D175" s="13">
        <f t="shared" si="40"/>
        <v>0</v>
      </c>
      <c r="E175" s="13">
        <f t="shared" si="41"/>
        <v>195569217.35407001</v>
      </c>
      <c r="F175" s="13">
        <f>IF(AH175=1,MAX(R174,0)*Parameters!$B$11,0)</f>
        <v>0</v>
      </c>
      <c r="G175" s="13">
        <f>IF(AI175=1,MAX(S174,0)*Parameters!$B$11,0)</f>
        <v>0</v>
      </c>
      <c r="H175" s="13">
        <f t="shared" si="42"/>
        <v>0</v>
      </c>
      <c r="I175" s="13">
        <f t="shared" si="43"/>
        <v>195569217.35407001</v>
      </c>
      <c r="J175" s="13">
        <f t="shared" si="44"/>
        <v>0</v>
      </c>
      <c r="K175" s="13">
        <f t="shared" si="45"/>
        <v>0</v>
      </c>
      <c r="L175" s="13">
        <f t="shared" si="46"/>
        <v>0</v>
      </c>
      <c r="M175" s="13">
        <f t="shared" si="47"/>
        <v>195569217.35407001</v>
      </c>
      <c r="N175" s="13">
        <f>MAX(0,INT(L175*Parameters!$B$14/Parameters!$B$13/Parameters!$B$12)*Parameters!$B$12)</f>
        <v>0</v>
      </c>
      <c r="O175" s="13">
        <f>MAX(0,INT(M175*Parameters!$B$14/Parameters!$B$13/Parameters!$B$12)*Parameters!$B$12)</f>
        <v>130379410</v>
      </c>
      <c r="P175" s="13">
        <f>N175*Parameters!$B$13*'H237 Tracker'!B175</f>
        <v>0</v>
      </c>
      <c r="Q175" s="13">
        <f>O175*Parameters!$B$13*'H237 Tracker'!C175</f>
        <v>-9960986.9240000006</v>
      </c>
      <c r="R175" s="13">
        <f t="shared" si="57"/>
        <v>0</v>
      </c>
      <c r="S175" s="13">
        <f t="shared" si="58"/>
        <v>101336642.42500001</v>
      </c>
      <c r="T175" s="13">
        <f t="shared" si="48"/>
        <v>0</v>
      </c>
      <c r="U175" s="13">
        <f t="shared" si="49"/>
        <v>185608230.43007001</v>
      </c>
      <c r="V175" s="12">
        <f t="shared" si="50"/>
        <v>0</v>
      </c>
      <c r="W175" t="str">
        <f>'H237 Tracker'!I175</f>
        <v>B</v>
      </c>
      <c r="X175">
        <f>'H237 Tracker'!J175</f>
        <v>50</v>
      </c>
      <c r="Y175" t="str">
        <f>'H237 Tracker'!K175</f>
        <v>B</v>
      </c>
      <c r="Z175" s="12">
        <f>'H237 Tracker'!O175</f>
        <v>0</v>
      </c>
      <c r="AA175" s="13">
        <f>'H237 Tracker'!P175</f>
        <v>0</v>
      </c>
      <c r="AB175" s="13">
        <f>'H237 Tracker'!Q175</f>
        <v>0</v>
      </c>
      <c r="AC175" s="13">
        <f t="shared" si="51"/>
        <v>0</v>
      </c>
      <c r="AD175" s="13">
        <f t="shared" si="52"/>
        <v>185608230.43007001</v>
      </c>
      <c r="AE175" s="13">
        <f t="shared" si="53"/>
        <v>185608230.43007001</v>
      </c>
      <c r="AF175" s="13">
        <f t="shared" si="59"/>
        <v>219804780.34406999</v>
      </c>
      <c r="AG175" s="24">
        <f t="shared" si="54"/>
        <v>-0.15557691630032167</v>
      </c>
      <c r="AH175" s="8">
        <f>--(COUNTIF('Tax Events'!$A$4:$A$8,A175)&gt;0)</f>
        <v>0</v>
      </c>
      <c r="AI175" s="8">
        <f>--(COUNTIF('Tax Events'!$B$4:$B$9,A175)&gt;0)</f>
        <v>0</v>
      </c>
    </row>
    <row r="176" spans="1:35">
      <c r="A176" s="4">
        <f>'H237 Tracker'!A176</f>
        <v>44410</v>
      </c>
      <c r="B176" s="13">
        <f t="shared" si="55"/>
        <v>0</v>
      </c>
      <c r="C176" s="13">
        <f t="shared" si="56"/>
        <v>185608230.43007001</v>
      </c>
      <c r="D176" s="13">
        <f t="shared" si="40"/>
        <v>0</v>
      </c>
      <c r="E176" s="13">
        <f t="shared" si="41"/>
        <v>185608230.43007001</v>
      </c>
      <c r="F176" s="13">
        <f>IF(AH176=1,MAX(R175,0)*Parameters!$B$11,0)</f>
        <v>0</v>
      </c>
      <c r="G176" s="13">
        <f>IF(AI176=1,MAX(S175,0)*Parameters!$B$11,0)</f>
        <v>0</v>
      </c>
      <c r="H176" s="13">
        <f t="shared" si="42"/>
        <v>0</v>
      </c>
      <c r="I176" s="13">
        <f t="shared" si="43"/>
        <v>185608230.43007001</v>
      </c>
      <c r="J176" s="13">
        <f t="shared" si="44"/>
        <v>0</v>
      </c>
      <c r="K176" s="13">
        <f t="shared" si="45"/>
        <v>0</v>
      </c>
      <c r="L176" s="13">
        <f t="shared" si="46"/>
        <v>0</v>
      </c>
      <c r="M176" s="13">
        <f t="shared" si="47"/>
        <v>185608230.43007001</v>
      </c>
      <c r="N176" s="13">
        <f>MAX(0,INT(L176*Parameters!$B$14/Parameters!$B$13/Parameters!$B$12)*Parameters!$B$12)</f>
        <v>0</v>
      </c>
      <c r="O176" s="13">
        <f>MAX(0,INT(M176*Parameters!$B$14/Parameters!$B$13/Parameters!$B$12)*Parameters!$B$12)</f>
        <v>123738735</v>
      </c>
      <c r="P176" s="13">
        <f>N176*Parameters!$B$13*'H237 Tracker'!B176</f>
        <v>0</v>
      </c>
      <c r="Q176" s="13">
        <f>O176*Parameters!$B$13*'H237 Tracker'!C176</f>
        <v>11656188.836999999</v>
      </c>
      <c r="R176" s="13">
        <f t="shared" si="57"/>
        <v>0</v>
      </c>
      <c r="S176" s="13">
        <f t="shared" si="58"/>
        <v>112992831.26200001</v>
      </c>
      <c r="T176" s="13">
        <f t="shared" si="48"/>
        <v>0</v>
      </c>
      <c r="U176" s="13">
        <f t="shared" si="49"/>
        <v>197264419.26707003</v>
      </c>
      <c r="V176" s="12">
        <f t="shared" si="50"/>
        <v>0</v>
      </c>
      <c r="W176" t="str">
        <f>'H237 Tracker'!I176</f>
        <v>B</v>
      </c>
      <c r="X176">
        <f>'H237 Tracker'!J176</f>
        <v>51</v>
      </c>
      <c r="Y176" t="str">
        <f>'H237 Tracker'!K176</f>
        <v>B</v>
      </c>
      <c r="Z176" s="12">
        <f>'H237 Tracker'!O176</f>
        <v>0</v>
      </c>
      <c r="AA176" s="13">
        <f>'H237 Tracker'!P176</f>
        <v>0</v>
      </c>
      <c r="AB176" s="13">
        <f>'H237 Tracker'!Q176</f>
        <v>0</v>
      </c>
      <c r="AC176" s="13">
        <f t="shared" si="51"/>
        <v>0</v>
      </c>
      <c r="AD176" s="13">
        <f t="shared" si="52"/>
        <v>197264419.26707003</v>
      </c>
      <c r="AE176" s="13">
        <f t="shared" si="53"/>
        <v>197264419.26707003</v>
      </c>
      <c r="AF176" s="13">
        <f t="shared" si="59"/>
        <v>219804780.34406999</v>
      </c>
      <c r="AG176" s="24">
        <f t="shared" si="54"/>
        <v>-0.10254718319463552</v>
      </c>
      <c r="AH176" s="8">
        <f>--(COUNTIF('Tax Events'!$A$4:$A$8,A176)&gt;0)</f>
        <v>0</v>
      </c>
      <c r="AI176" s="8">
        <f>--(COUNTIF('Tax Events'!$B$4:$B$9,A176)&gt;0)</f>
        <v>0</v>
      </c>
    </row>
    <row r="177" spans="1:35">
      <c r="A177" s="4">
        <f>'H237 Tracker'!A177</f>
        <v>44417</v>
      </c>
      <c r="B177" s="13">
        <f t="shared" si="55"/>
        <v>0</v>
      </c>
      <c r="C177" s="13">
        <f t="shared" si="56"/>
        <v>197264419.26707003</v>
      </c>
      <c r="D177" s="13">
        <f t="shared" si="40"/>
        <v>0</v>
      </c>
      <c r="E177" s="13">
        <f t="shared" si="41"/>
        <v>197264419.26707003</v>
      </c>
      <c r="F177" s="13">
        <f>IF(AH177=1,MAX(R176,0)*Parameters!$B$11,0)</f>
        <v>0</v>
      </c>
      <c r="G177" s="13">
        <f>IF(AI177=1,MAX(S176,0)*Parameters!$B$11,0)</f>
        <v>0</v>
      </c>
      <c r="H177" s="13">
        <f t="shared" si="42"/>
        <v>0</v>
      </c>
      <c r="I177" s="13">
        <f t="shared" si="43"/>
        <v>197264419.26707003</v>
      </c>
      <c r="J177" s="13">
        <f t="shared" si="44"/>
        <v>0</v>
      </c>
      <c r="K177" s="13">
        <f t="shared" si="45"/>
        <v>0</v>
      </c>
      <c r="L177" s="13">
        <f t="shared" si="46"/>
        <v>0</v>
      </c>
      <c r="M177" s="13">
        <f t="shared" si="47"/>
        <v>197264419.26707003</v>
      </c>
      <c r="N177" s="13">
        <f>MAX(0,INT(L177*Parameters!$B$14/Parameters!$B$13/Parameters!$B$12)*Parameters!$B$12)</f>
        <v>0</v>
      </c>
      <c r="O177" s="13">
        <f>MAX(0,INT(M177*Parameters!$B$14/Parameters!$B$13/Parameters!$B$12)*Parameters!$B$12)</f>
        <v>131509515</v>
      </c>
      <c r="P177" s="13">
        <f>N177*Parameters!$B$13*'H237 Tracker'!B177</f>
        <v>0</v>
      </c>
      <c r="Q177" s="13">
        <f>O177*Parameters!$B$13*'H237 Tracker'!C177</f>
        <v>-7574948.0640000002</v>
      </c>
      <c r="R177" s="13">
        <f t="shared" si="57"/>
        <v>0</v>
      </c>
      <c r="S177" s="13">
        <f t="shared" si="58"/>
        <v>105417883.19800001</v>
      </c>
      <c r="T177" s="13">
        <f t="shared" si="48"/>
        <v>0</v>
      </c>
      <c r="U177" s="13">
        <f t="shared" si="49"/>
        <v>189689471.20307001</v>
      </c>
      <c r="V177" s="12">
        <f t="shared" si="50"/>
        <v>0</v>
      </c>
      <c r="W177" t="str">
        <f>'H237 Tracker'!I177</f>
        <v>A</v>
      </c>
      <c r="X177">
        <f>'H237 Tracker'!J177</f>
        <v>1</v>
      </c>
      <c r="Y177" t="str">
        <f>'H237 Tracker'!K177</f>
        <v>HOLD</v>
      </c>
      <c r="Z177" s="12">
        <f>'H237 Tracker'!O177</f>
        <v>0</v>
      </c>
      <c r="AA177" s="13">
        <f>'H237 Tracker'!P177</f>
        <v>0</v>
      </c>
      <c r="AB177" s="13">
        <f>'H237 Tracker'!Q177</f>
        <v>0</v>
      </c>
      <c r="AC177" s="13">
        <f t="shared" si="51"/>
        <v>0</v>
      </c>
      <c r="AD177" s="13">
        <f t="shared" si="52"/>
        <v>189689471.20307001</v>
      </c>
      <c r="AE177" s="13">
        <f t="shared" si="53"/>
        <v>189689471.20307001</v>
      </c>
      <c r="AF177" s="13">
        <f t="shared" si="59"/>
        <v>219804780.34406999</v>
      </c>
      <c r="AG177" s="24">
        <f t="shared" si="54"/>
        <v>-0.13700934571968437</v>
      </c>
      <c r="AH177" s="8">
        <f>--(COUNTIF('Tax Events'!$A$4:$A$8,A177)&gt;0)</f>
        <v>0</v>
      </c>
      <c r="AI177" s="8">
        <f>--(COUNTIF('Tax Events'!$B$4:$B$9,A177)&gt;0)</f>
        <v>0</v>
      </c>
    </row>
    <row r="178" spans="1:35">
      <c r="A178" s="4">
        <f>'H237 Tracker'!A178</f>
        <v>44424</v>
      </c>
      <c r="B178" s="13">
        <f t="shared" si="55"/>
        <v>0</v>
      </c>
      <c r="C178" s="13">
        <f t="shared" si="56"/>
        <v>189689471.20307001</v>
      </c>
      <c r="D178" s="13">
        <f t="shared" si="40"/>
        <v>0</v>
      </c>
      <c r="E178" s="13">
        <f t="shared" si="41"/>
        <v>189689471.20307001</v>
      </c>
      <c r="F178" s="13">
        <f>IF(AH178=1,MAX(R177,0)*Parameters!$B$11,0)</f>
        <v>0</v>
      </c>
      <c r="G178" s="13">
        <f>IF(AI178=1,MAX(S177,0)*Parameters!$B$11,0)</f>
        <v>0</v>
      </c>
      <c r="H178" s="13">
        <f t="shared" si="42"/>
        <v>0</v>
      </c>
      <c r="I178" s="13">
        <f t="shared" si="43"/>
        <v>189689471.20307001</v>
      </c>
      <c r="J178" s="13">
        <f t="shared" si="44"/>
        <v>0</v>
      </c>
      <c r="K178" s="13">
        <f t="shared" si="45"/>
        <v>0</v>
      </c>
      <c r="L178" s="13">
        <f t="shared" si="46"/>
        <v>0</v>
      </c>
      <c r="M178" s="13">
        <f t="shared" si="47"/>
        <v>189689471.20307001</v>
      </c>
      <c r="N178" s="13">
        <f>MAX(0,INT(L178*Parameters!$B$14/Parameters!$B$13/Parameters!$B$12)*Parameters!$B$12)</f>
        <v>0</v>
      </c>
      <c r="O178" s="13">
        <f>MAX(0,INT(M178*Parameters!$B$14/Parameters!$B$13/Parameters!$B$12)*Parameters!$B$12)</f>
        <v>126459635</v>
      </c>
      <c r="P178" s="13">
        <f>N178*Parameters!$B$13*'H237 Tracker'!B178</f>
        <v>0</v>
      </c>
      <c r="Q178" s="13">
        <f>O178*Parameters!$B$13*'H237 Tracker'!C178</f>
        <v>-10091478.873</v>
      </c>
      <c r="R178" s="13">
        <f t="shared" si="57"/>
        <v>0</v>
      </c>
      <c r="S178" s="13">
        <f t="shared" si="58"/>
        <v>95326404.325000018</v>
      </c>
      <c r="T178" s="13">
        <f t="shared" si="48"/>
        <v>0</v>
      </c>
      <c r="U178" s="13">
        <f t="shared" si="49"/>
        <v>179597992.33007002</v>
      </c>
      <c r="V178" s="12">
        <f t="shared" si="50"/>
        <v>0</v>
      </c>
      <c r="W178" t="str">
        <f>'H237 Tracker'!I178</f>
        <v>A</v>
      </c>
      <c r="X178">
        <f>'H237 Tracker'!J178</f>
        <v>2</v>
      </c>
      <c r="Y178" t="str">
        <f>'H237 Tracker'!K178</f>
        <v>HOLD</v>
      </c>
      <c r="Z178" s="12">
        <f>'H237 Tracker'!O178</f>
        <v>0</v>
      </c>
      <c r="AA178" s="13">
        <f>'H237 Tracker'!P178</f>
        <v>0</v>
      </c>
      <c r="AB178" s="13">
        <f>'H237 Tracker'!Q178</f>
        <v>0</v>
      </c>
      <c r="AC178" s="13">
        <f t="shared" si="51"/>
        <v>0</v>
      </c>
      <c r="AD178" s="13">
        <f t="shared" si="52"/>
        <v>179597992.33007002</v>
      </c>
      <c r="AE178" s="13">
        <f t="shared" si="53"/>
        <v>179597992.33007002</v>
      </c>
      <c r="AF178" s="13">
        <f t="shared" si="59"/>
        <v>219804780.34406999</v>
      </c>
      <c r="AG178" s="24">
        <f t="shared" si="54"/>
        <v>-0.18292044400063789</v>
      </c>
      <c r="AH178" s="8">
        <f>--(COUNTIF('Tax Events'!$A$4:$A$8,A178)&gt;0)</f>
        <v>0</v>
      </c>
      <c r="AI178" s="8">
        <f>--(COUNTIF('Tax Events'!$B$4:$B$9,A178)&gt;0)</f>
        <v>0</v>
      </c>
    </row>
    <row r="179" spans="1:35">
      <c r="A179" s="4">
        <f>'H237 Tracker'!A179</f>
        <v>44431</v>
      </c>
      <c r="B179" s="13">
        <f t="shared" si="55"/>
        <v>0</v>
      </c>
      <c r="C179" s="13">
        <f t="shared" si="56"/>
        <v>179597992.33007002</v>
      </c>
      <c r="D179" s="13">
        <f t="shared" si="40"/>
        <v>0</v>
      </c>
      <c r="E179" s="13">
        <f t="shared" si="41"/>
        <v>179597992.33007002</v>
      </c>
      <c r="F179" s="13">
        <f>IF(AH179=1,MAX(R178,0)*Parameters!$B$11,0)</f>
        <v>0</v>
      </c>
      <c r="G179" s="13">
        <f>IF(AI179=1,MAX(S178,0)*Parameters!$B$11,0)</f>
        <v>0</v>
      </c>
      <c r="H179" s="13">
        <f t="shared" si="42"/>
        <v>0</v>
      </c>
      <c r="I179" s="13">
        <f t="shared" si="43"/>
        <v>179597992.33007002</v>
      </c>
      <c r="J179" s="13">
        <f t="shared" si="44"/>
        <v>0</v>
      </c>
      <c r="K179" s="13">
        <f t="shared" si="45"/>
        <v>0</v>
      </c>
      <c r="L179" s="13">
        <f t="shared" si="46"/>
        <v>0</v>
      </c>
      <c r="M179" s="13">
        <f t="shared" si="47"/>
        <v>179597992.33007002</v>
      </c>
      <c r="N179" s="13">
        <f>MAX(0,INT(L179*Parameters!$B$14/Parameters!$B$13/Parameters!$B$12)*Parameters!$B$12)</f>
        <v>0</v>
      </c>
      <c r="O179" s="13">
        <f>MAX(0,INT(M179*Parameters!$B$14/Parameters!$B$13/Parameters!$B$12)*Parameters!$B$12)</f>
        <v>119731905</v>
      </c>
      <c r="P179" s="13">
        <f>N179*Parameters!$B$13*'H237 Tracker'!B179</f>
        <v>0</v>
      </c>
      <c r="Q179" s="13">
        <f>O179*Parameters!$B$13*'H237 Tracker'!C179</f>
        <v>29813244.344999999</v>
      </c>
      <c r="R179" s="13">
        <f t="shared" si="57"/>
        <v>0</v>
      </c>
      <c r="S179" s="13">
        <f t="shared" si="58"/>
        <v>125139648.67000002</v>
      </c>
      <c r="T179" s="13">
        <f t="shared" si="48"/>
        <v>0</v>
      </c>
      <c r="U179" s="13">
        <f t="shared" si="49"/>
        <v>209411236.67507002</v>
      </c>
      <c r="V179" s="12">
        <f t="shared" si="50"/>
        <v>0</v>
      </c>
      <c r="W179" t="str">
        <f>'H237 Tracker'!I179</f>
        <v>A</v>
      </c>
      <c r="X179">
        <f>'H237 Tracker'!J179</f>
        <v>3</v>
      </c>
      <c r="Y179" t="str">
        <f>'H237 Tracker'!K179</f>
        <v>A</v>
      </c>
      <c r="Z179" s="12">
        <f>'H237 Tracker'!O179</f>
        <v>0.1</v>
      </c>
      <c r="AA179" s="13">
        <f>'H237 Tracker'!P179</f>
        <v>0</v>
      </c>
      <c r="AB179" s="13">
        <f>'H237 Tracker'!Q179</f>
        <v>20941123.667507004</v>
      </c>
      <c r="AC179" s="13">
        <f t="shared" si="51"/>
        <v>20941123.667507004</v>
      </c>
      <c r="AD179" s="13">
        <f t="shared" si="52"/>
        <v>188470113.00756302</v>
      </c>
      <c r="AE179" s="13">
        <f t="shared" si="53"/>
        <v>209411236.67507002</v>
      </c>
      <c r="AF179" s="13">
        <f t="shared" si="59"/>
        <v>219804780.34406999</v>
      </c>
      <c r="AG179" s="24">
        <f t="shared" si="54"/>
        <v>-4.7285339530516612E-2</v>
      </c>
      <c r="AH179" s="8">
        <f>--(COUNTIF('Tax Events'!$A$4:$A$8,A179)&gt;0)</f>
        <v>0</v>
      </c>
      <c r="AI179" s="8">
        <f>--(COUNTIF('Tax Events'!$B$4:$B$9,A179)&gt;0)</f>
        <v>0</v>
      </c>
    </row>
    <row r="180" spans="1:35">
      <c r="A180" s="4">
        <f>'H237 Tracker'!A180</f>
        <v>44438</v>
      </c>
      <c r="B180" s="13">
        <f t="shared" si="55"/>
        <v>20941123.667507004</v>
      </c>
      <c r="C180" s="13">
        <f t="shared" si="56"/>
        <v>188470113.00756302</v>
      </c>
      <c r="D180" s="13">
        <f t="shared" si="40"/>
        <v>20941123.667507004</v>
      </c>
      <c r="E180" s="13">
        <f t="shared" si="41"/>
        <v>188470113.00756302</v>
      </c>
      <c r="F180" s="13">
        <f>IF(AH180=1,MAX(R179,0)*Parameters!$B$11,0)</f>
        <v>0</v>
      </c>
      <c r="G180" s="13">
        <f>IF(AI180=1,MAX(S179,0)*Parameters!$B$11,0)</f>
        <v>0</v>
      </c>
      <c r="H180" s="13">
        <f t="shared" si="42"/>
        <v>20941123.667507004</v>
      </c>
      <c r="I180" s="13">
        <f t="shared" si="43"/>
        <v>188470113.00756302</v>
      </c>
      <c r="J180" s="13">
        <f t="shared" si="44"/>
        <v>0</v>
      </c>
      <c r="K180" s="13">
        <f t="shared" si="45"/>
        <v>0</v>
      </c>
      <c r="L180" s="13">
        <f t="shared" si="46"/>
        <v>20941123.667507004</v>
      </c>
      <c r="M180" s="13">
        <f t="shared" si="47"/>
        <v>188470113.00756302</v>
      </c>
      <c r="N180" s="13">
        <f>MAX(0,INT(L180*Parameters!$B$14/Parameters!$B$13/Parameters!$B$12)*Parameters!$B$12)</f>
        <v>13960655</v>
      </c>
      <c r="O180" s="13">
        <f>MAX(0,INT(M180*Parameters!$B$14/Parameters!$B$13/Parameters!$B$12)*Parameters!$B$12)</f>
        <v>125646700</v>
      </c>
      <c r="P180" s="13">
        <f>N180*Parameters!$B$13*'H237 Tracker'!B180</f>
        <v>2616226.747</v>
      </c>
      <c r="Q180" s="13">
        <f>O180*Parameters!$B$13*'H237 Tracker'!C180</f>
        <v>23546191.579999998</v>
      </c>
      <c r="R180" s="13">
        <f t="shared" si="57"/>
        <v>2616226.747</v>
      </c>
      <c r="S180" s="13">
        <f t="shared" si="58"/>
        <v>148685840.25</v>
      </c>
      <c r="T180" s="13">
        <f t="shared" si="48"/>
        <v>23557350.414507005</v>
      </c>
      <c r="U180" s="13">
        <f t="shared" si="49"/>
        <v>212016304.58756304</v>
      </c>
      <c r="V180" s="12">
        <f t="shared" si="50"/>
        <v>9.9999935961854483E-2</v>
      </c>
      <c r="W180" t="str">
        <f>'H237 Tracker'!I180</f>
        <v>A</v>
      </c>
      <c r="X180">
        <f>'H237 Tracker'!J180</f>
        <v>4</v>
      </c>
      <c r="Y180" t="str">
        <f>'H237 Tracker'!K180</f>
        <v>A</v>
      </c>
      <c r="Z180" s="12">
        <f>'H237 Tracker'!O180</f>
        <v>0.1999999359618545</v>
      </c>
      <c r="AA180" s="13">
        <f>'H237 Tracker'!P180</f>
        <v>0</v>
      </c>
      <c r="AB180" s="13">
        <f>'H237 Tracker'!Q180</f>
        <v>23557365.500207011</v>
      </c>
      <c r="AC180" s="13">
        <f t="shared" si="51"/>
        <v>47114715.914714016</v>
      </c>
      <c r="AD180" s="13">
        <f t="shared" si="52"/>
        <v>188458939.08735603</v>
      </c>
      <c r="AE180" s="13">
        <f t="shared" si="53"/>
        <v>235573655.00207004</v>
      </c>
      <c r="AF180" s="13">
        <f t="shared" si="59"/>
        <v>235573655.00207004</v>
      </c>
      <c r="AG180" s="24">
        <f t="shared" si="54"/>
        <v>0</v>
      </c>
      <c r="AH180" s="8">
        <f>--(COUNTIF('Tax Events'!$A$4:$A$8,A180)&gt;0)</f>
        <v>0</v>
      </c>
      <c r="AI180" s="8">
        <f>--(COUNTIF('Tax Events'!$B$4:$B$9,A180)&gt;0)</f>
        <v>0</v>
      </c>
    </row>
    <row r="181" spans="1:35">
      <c r="A181" s="4">
        <f>'H237 Tracker'!A181</f>
        <v>44445</v>
      </c>
      <c r="B181" s="13">
        <f t="shared" si="55"/>
        <v>47114715.914714016</v>
      </c>
      <c r="C181" s="13">
        <f t="shared" si="56"/>
        <v>188458939.08735603</v>
      </c>
      <c r="D181" s="13">
        <f t="shared" si="40"/>
        <v>47114715.914714016</v>
      </c>
      <c r="E181" s="13">
        <f t="shared" si="41"/>
        <v>188458939.08735603</v>
      </c>
      <c r="F181" s="13">
        <f>IF(AH181=1,MAX(R180,0)*Parameters!$B$11,0)</f>
        <v>0</v>
      </c>
      <c r="G181" s="13">
        <f>IF(AI181=1,MAX(S180,0)*Parameters!$B$11,0)</f>
        <v>0</v>
      </c>
      <c r="H181" s="13">
        <f t="shared" si="42"/>
        <v>47114715.914714016</v>
      </c>
      <c r="I181" s="13">
        <f t="shared" si="43"/>
        <v>188458939.08735603</v>
      </c>
      <c r="J181" s="13">
        <f t="shared" si="44"/>
        <v>0</v>
      </c>
      <c r="K181" s="13">
        <f t="shared" si="45"/>
        <v>0</v>
      </c>
      <c r="L181" s="13">
        <f t="shared" si="46"/>
        <v>47114715.914714016</v>
      </c>
      <c r="M181" s="13">
        <f t="shared" si="47"/>
        <v>188458939.08735603</v>
      </c>
      <c r="N181" s="13">
        <f>MAX(0,INT(L181*Parameters!$B$14/Parameters!$B$13/Parameters!$B$12)*Parameters!$B$12)</f>
        <v>31409720</v>
      </c>
      <c r="O181" s="13">
        <f>MAX(0,INT(M181*Parameters!$B$14/Parameters!$B$13/Parameters!$B$12)*Parameters!$B$12)</f>
        <v>125639225</v>
      </c>
      <c r="P181" s="13">
        <f>N181*Parameters!$B$13*'H237 Tracker'!B181</f>
        <v>-2745209.5279999999</v>
      </c>
      <c r="Q181" s="13">
        <f>O181*Parameters!$B$13*'H237 Tracker'!C181</f>
        <v>-10980868.264999999</v>
      </c>
      <c r="R181" s="13">
        <f t="shared" si="57"/>
        <v>-128982.78099999996</v>
      </c>
      <c r="S181" s="13">
        <f t="shared" si="58"/>
        <v>137704971.98500001</v>
      </c>
      <c r="T181" s="13">
        <f t="shared" si="48"/>
        <v>44369506.386714019</v>
      </c>
      <c r="U181" s="13">
        <f t="shared" si="49"/>
        <v>177478070.82235605</v>
      </c>
      <c r="V181" s="12">
        <f t="shared" si="50"/>
        <v>0.19999995918323696</v>
      </c>
      <c r="W181" t="str">
        <f>'H237 Tracker'!I181</f>
        <v>A</v>
      </c>
      <c r="X181">
        <f>'H237 Tracker'!J181</f>
        <v>5</v>
      </c>
      <c r="Y181" t="str">
        <f>'H237 Tracker'!K181</f>
        <v>A</v>
      </c>
      <c r="Z181" s="12">
        <f>'H237 Tracker'!O181</f>
        <v>0.29999995918323696</v>
      </c>
      <c r="AA181" s="13">
        <f>'H237 Tracker'!P181</f>
        <v>0</v>
      </c>
      <c r="AB181" s="13">
        <f>'H237 Tracker'!Q181</f>
        <v>22184757.72090701</v>
      </c>
      <c r="AC181" s="13">
        <f t="shared" si="51"/>
        <v>66554264.107621029</v>
      </c>
      <c r="AD181" s="13">
        <f t="shared" si="52"/>
        <v>155293313.10144904</v>
      </c>
      <c r="AE181" s="13">
        <f t="shared" si="53"/>
        <v>221847577.20907009</v>
      </c>
      <c r="AF181" s="13">
        <f t="shared" si="59"/>
        <v>235573655.00207004</v>
      </c>
      <c r="AG181" s="24">
        <f t="shared" si="54"/>
        <v>-5.8266607923026625E-2</v>
      </c>
      <c r="AH181" s="8">
        <f>--(COUNTIF('Tax Events'!$A$4:$A$8,A181)&gt;0)</f>
        <v>0</v>
      </c>
      <c r="AI181" s="8">
        <f>--(COUNTIF('Tax Events'!$B$4:$B$9,A181)&gt;0)</f>
        <v>0</v>
      </c>
    </row>
    <row r="182" spans="1:35">
      <c r="A182" s="4">
        <f>'H237 Tracker'!A182</f>
        <v>44452</v>
      </c>
      <c r="B182" s="13">
        <f t="shared" si="55"/>
        <v>66554264.107621029</v>
      </c>
      <c r="C182" s="13">
        <f t="shared" si="56"/>
        <v>155293313.10144904</v>
      </c>
      <c r="D182" s="13">
        <f t="shared" si="40"/>
        <v>66554264.107621029</v>
      </c>
      <c r="E182" s="13">
        <f t="shared" si="41"/>
        <v>155293313.10144904</v>
      </c>
      <c r="F182" s="13">
        <f>IF(AH182=1,MAX(R181,0)*Parameters!$B$11,0)</f>
        <v>0</v>
      </c>
      <c r="G182" s="13">
        <f>IF(AI182=1,MAX(S181,0)*Parameters!$B$11,0)</f>
        <v>0</v>
      </c>
      <c r="H182" s="13">
        <f t="shared" si="42"/>
        <v>66554264.107621029</v>
      </c>
      <c r="I182" s="13">
        <f t="shared" si="43"/>
        <v>155293313.10144904</v>
      </c>
      <c r="J182" s="13">
        <f t="shared" si="44"/>
        <v>0</v>
      </c>
      <c r="K182" s="13">
        <f t="shared" si="45"/>
        <v>0</v>
      </c>
      <c r="L182" s="13">
        <f t="shared" si="46"/>
        <v>66554264.107621029</v>
      </c>
      <c r="M182" s="13">
        <f t="shared" si="47"/>
        <v>155293313.10144904</v>
      </c>
      <c r="N182" s="13">
        <f>MAX(0,INT(L182*Parameters!$B$14/Parameters!$B$13/Parameters!$B$12)*Parameters!$B$12)</f>
        <v>44369415</v>
      </c>
      <c r="O182" s="13">
        <f>MAX(0,INT(M182*Parameters!$B$14/Parameters!$B$13/Parameters!$B$12)*Parameters!$B$12)</f>
        <v>103528865</v>
      </c>
      <c r="P182" s="13">
        <f>N182*Parameters!$B$13*'H237 Tracker'!B182</f>
        <v>-3549553.2</v>
      </c>
      <c r="Q182" s="13">
        <f>O182*Parameters!$B$13*'H237 Tracker'!C182</f>
        <v>-8282309.2000000002</v>
      </c>
      <c r="R182" s="13">
        <f t="shared" si="57"/>
        <v>-3678535.9810000001</v>
      </c>
      <c r="S182" s="13">
        <f t="shared" si="58"/>
        <v>129422662.78500001</v>
      </c>
      <c r="T182" s="13">
        <f t="shared" si="48"/>
        <v>63004710.907621026</v>
      </c>
      <c r="U182" s="13">
        <f t="shared" si="49"/>
        <v>147011003.90144905</v>
      </c>
      <c r="V182" s="12">
        <f t="shared" si="50"/>
        <v>0.29999998316745008</v>
      </c>
      <c r="W182" t="str">
        <f>'H237 Tracker'!I182</f>
        <v>A</v>
      </c>
      <c r="X182">
        <f>'H237 Tracker'!J182</f>
        <v>6</v>
      </c>
      <c r="Y182" t="str">
        <f>'H237 Tracker'!K182</f>
        <v>A</v>
      </c>
      <c r="Z182" s="12">
        <f>'H237 Tracker'!O182</f>
        <v>0.39999998316745011</v>
      </c>
      <c r="AA182" s="13">
        <f>'H237 Tracker'!P182</f>
        <v>0</v>
      </c>
      <c r="AB182" s="13">
        <f>'H237 Tracker'!Q182</f>
        <v>21001571.480907008</v>
      </c>
      <c r="AC182" s="13">
        <f t="shared" si="51"/>
        <v>84006282.388528034</v>
      </c>
      <c r="AD182" s="13">
        <f t="shared" si="52"/>
        <v>126009432.42054205</v>
      </c>
      <c r="AE182" s="13">
        <f t="shared" si="53"/>
        <v>210015714.80907008</v>
      </c>
      <c r="AF182" s="13">
        <f t="shared" si="59"/>
        <v>235573655.00207004</v>
      </c>
      <c r="AG182" s="24">
        <f t="shared" si="54"/>
        <v>-0.10849235324202688</v>
      </c>
      <c r="AH182" s="8">
        <f>--(COUNTIF('Tax Events'!$A$4:$A$8,A182)&gt;0)</f>
        <v>0</v>
      </c>
      <c r="AI182" s="8">
        <f>--(COUNTIF('Tax Events'!$B$4:$B$9,A182)&gt;0)</f>
        <v>0</v>
      </c>
    </row>
    <row r="183" spans="1:35">
      <c r="A183" s="4">
        <f>'H237 Tracker'!A183</f>
        <v>44459</v>
      </c>
      <c r="B183" s="13">
        <f t="shared" si="55"/>
        <v>84006282.388528034</v>
      </c>
      <c r="C183" s="13">
        <f t="shared" si="56"/>
        <v>126009432.42054205</v>
      </c>
      <c r="D183" s="13">
        <f t="shared" si="40"/>
        <v>84006282.388528034</v>
      </c>
      <c r="E183" s="13">
        <f t="shared" si="41"/>
        <v>126009432.42054205</v>
      </c>
      <c r="F183" s="13">
        <f>IF(AH183=1,MAX(R182,0)*Parameters!$B$11,0)</f>
        <v>0</v>
      </c>
      <c r="G183" s="13">
        <f>IF(AI183=1,MAX(S182,0)*Parameters!$B$11,0)</f>
        <v>0</v>
      </c>
      <c r="H183" s="13">
        <f t="shared" si="42"/>
        <v>84006282.388528034</v>
      </c>
      <c r="I183" s="13">
        <f t="shared" si="43"/>
        <v>126009432.42054205</v>
      </c>
      <c r="J183" s="13">
        <f t="shared" si="44"/>
        <v>0</v>
      </c>
      <c r="K183" s="13">
        <f t="shared" si="45"/>
        <v>0</v>
      </c>
      <c r="L183" s="13">
        <f t="shared" si="46"/>
        <v>84006282.388528034</v>
      </c>
      <c r="M183" s="13">
        <f t="shared" si="47"/>
        <v>126009432.42054205</v>
      </c>
      <c r="N183" s="13">
        <f>MAX(0,INT(L183*Parameters!$B$14/Parameters!$B$13/Parameters!$B$12)*Parameters!$B$12)</f>
        <v>56004080</v>
      </c>
      <c r="O183" s="13">
        <f>MAX(0,INT(M183*Parameters!$B$14/Parameters!$B$13/Parameters!$B$12)*Parameters!$B$12)</f>
        <v>84006235</v>
      </c>
      <c r="P183" s="13">
        <f>N183*Parameters!$B$13*'H237 Tracker'!B183</f>
        <v>18391739.872000001</v>
      </c>
      <c r="Q183" s="13">
        <f>O183*Parameters!$B$13*'H237 Tracker'!C183</f>
        <v>0</v>
      </c>
      <c r="R183" s="13">
        <f t="shared" si="57"/>
        <v>14713203.891000001</v>
      </c>
      <c r="S183" s="13">
        <f t="shared" si="58"/>
        <v>129422662.78500001</v>
      </c>
      <c r="T183" s="13">
        <f t="shared" si="48"/>
        <v>102398022.26052803</v>
      </c>
      <c r="U183" s="13">
        <f t="shared" si="49"/>
        <v>126009432.42054205</v>
      </c>
      <c r="V183" s="12">
        <f t="shared" si="50"/>
        <v>0.44831296072848603</v>
      </c>
      <c r="W183" t="str">
        <f>'H237 Tracker'!I183</f>
        <v>A</v>
      </c>
      <c r="X183">
        <f>'H237 Tracker'!J183</f>
        <v>7</v>
      </c>
      <c r="Y183" t="str">
        <f>'H237 Tracker'!K183</f>
        <v>A</v>
      </c>
      <c r="Z183" s="12">
        <f>'H237 Tracker'!O183</f>
        <v>0.54831296072848601</v>
      </c>
      <c r="AA183" s="13">
        <f>'H237 Tracker'!P183</f>
        <v>0</v>
      </c>
      <c r="AB183" s="13">
        <f>'H237 Tracker'!Q183</f>
        <v>22840745.468107</v>
      </c>
      <c r="AC183" s="13">
        <f t="shared" si="51"/>
        <v>125238767.72863503</v>
      </c>
      <c r="AD183" s="13">
        <f t="shared" si="52"/>
        <v>103168686.95243505</v>
      </c>
      <c r="AE183" s="13">
        <f t="shared" si="53"/>
        <v>228407454.68107009</v>
      </c>
      <c r="AF183" s="13">
        <f t="shared" si="59"/>
        <v>235573655.00207004</v>
      </c>
      <c r="AG183" s="24">
        <f t="shared" si="54"/>
        <v>-3.0420211126481744E-2</v>
      </c>
      <c r="AH183" s="8">
        <f>--(COUNTIF('Tax Events'!$A$4:$A$8,A183)&gt;0)</f>
        <v>0</v>
      </c>
      <c r="AI183" s="8">
        <f>--(COUNTIF('Tax Events'!$B$4:$B$9,A183)&gt;0)</f>
        <v>0</v>
      </c>
    </row>
    <row r="184" spans="1:35">
      <c r="A184" s="4">
        <f>'H237 Tracker'!A184</f>
        <v>44466</v>
      </c>
      <c r="B184" s="13">
        <f t="shared" si="55"/>
        <v>125238767.72863503</v>
      </c>
      <c r="C184" s="13">
        <f t="shared" si="56"/>
        <v>103168686.95243505</v>
      </c>
      <c r="D184" s="13">
        <f t="shared" si="40"/>
        <v>125238767.72863503</v>
      </c>
      <c r="E184" s="13">
        <f t="shared" si="41"/>
        <v>103168686.95243505</v>
      </c>
      <c r="F184" s="13">
        <f>IF(AH184=1,MAX(R183,0)*Parameters!$B$11,0)</f>
        <v>0</v>
      </c>
      <c r="G184" s="13">
        <f>IF(AI184=1,MAX(S183,0)*Parameters!$B$11,0)</f>
        <v>0</v>
      </c>
      <c r="H184" s="13">
        <f t="shared" si="42"/>
        <v>125238767.72863503</v>
      </c>
      <c r="I184" s="13">
        <f t="shared" si="43"/>
        <v>103168686.95243505</v>
      </c>
      <c r="J184" s="13">
        <f t="shared" si="44"/>
        <v>0</v>
      </c>
      <c r="K184" s="13">
        <f t="shared" si="45"/>
        <v>0</v>
      </c>
      <c r="L184" s="13">
        <f t="shared" si="46"/>
        <v>125238767.72863503</v>
      </c>
      <c r="M184" s="13">
        <f t="shared" si="47"/>
        <v>103168686.95243505</v>
      </c>
      <c r="N184" s="13">
        <f>MAX(0,INT(L184*Parameters!$B$14/Parameters!$B$13/Parameters!$B$12)*Parameters!$B$12)</f>
        <v>83492415</v>
      </c>
      <c r="O184" s="13">
        <f>MAX(0,INT(M184*Parameters!$B$14/Parameters!$B$13/Parameters!$B$12)*Parameters!$B$12)</f>
        <v>68779085</v>
      </c>
      <c r="P184" s="13">
        <f>N184*Parameters!$B$13*'H237 Tracker'!B184</f>
        <v>-45536763.140999995</v>
      </c>
      <c r="Q184" s="13">
        <f>O184*Parameters!$B$13*'H237 Tracker'!C184</f>
        <v>0</v>
      </c>
      <c r="R184" s="13">
        <f t="shared" si="57"/>
        <v>-30823559.249999993</v>
      </c>
      <c r="S184" s="13">
        <f t="shared" si="58"/>
        <v>129422662.78500001</v>
      </c>
      <c r="T184" s="13">
        <f t="shared" si="48"/>
        <v>79702004.58763504</v>
      </c>
      <c r="U184" s="13">
        <f t="shared" si="49"/>
        <v>103168686.95243505</v>
      </c>
      <c r="V184" s="12">
        <f t="shared" si="50"/>
        <v>0.43583804444776747</v>
      </c>
      <c r="W184" t="str">
        <f>'H237 Tracker'!I184</f>
        <v>A</v>
      </c>
      <c r="X184">
        <f>'H237 Tracker'!J184</f>
        <v>8</v>
      </c>
      <c r="Y184" t="str">
        <f>'H237 Tracker'!K184</f>
        <v>A</v>
      </c>
      <c r="Z184" s="12">
        <f>'H237 Tracker'!O184</f>
        <v>0.5358380444477675</v>
      </c>
      <c r="AA184" s="13">
        <f>'H237 Tracker'!P184</f>
        <v>0</v>
      </c>
      <c r="AB184" s="13">
        <f>'H237 Tracker'!Q184</f>
        <v>18287069.154007018</v>
      </c>
      <c r="AC184" s="13">
        <f t="shared" si="51"/>
        <v>97989073.741642058</v>
      </c>
      <c r="AD184" s="13">
        <f t="shared" si="52"/>
        <v>84881617.798428029</v>
      </c>
      <c r="AE184" s="13">
        <f t="shared" si="53"/>
        <v>182870691.54007009</v>
      </c>
      <c r="AF184" s="13">
        <f t="shared" si="59"/>
        <v>235573655.00207004</v>
      </c>
      <c r="AG184" s="24">
        <f t="shared" si="54"/>
        <v>-0.22372180565580158</v>
      </c>
      <c r="AH184" s="8">
        <f>--(COUNTIF('Tax Events'!$A$4:$A$8,A184)&gt;0)</f>
        <v>0</v>
      </c>
      <c r="AI184" s="8">
        <f>--(COUNTIF('Tax Events'!$B$4:$B$9,A184)&gt;0)</f>
        <v>0</v>
      </c>
    </row>
    <row r="185" spans="1:35">
      <c r="A185" s="4">
        <f>'H237 Tracker'!A185</f>
        <v>44473</v>
      </c>
      <c r="B185" s="13">
        <f t="shared" si="55"/>
        <v>97989073.741642058</v>
      </c>
      <c r="C185" s="13">
        <f t="shared" si="56"/>
        <v>84881617.798428029</v>
      </c>
      <c r="D185" s="13">
        <f t="shared" si="40"/>
        <v>97989073.741642058</v>
      </c>
      <c r="E185" s="13">
        <f t="shared" si="41"/>
        <v>84881617.798428029</v>
      </c>
      <c r="F185" s="13">
        <f>IF(AH185=1,MAX(R184,0)*Parameters!$B$11,0)</f>
        <v>0</v>
      </c>
      <c r="G185" s="13">
        <f>IF(AI185=1,MAX(S184,0)*Parameters!$B$11,0)</f>
        <v>0</v>
      </c>
      <c r="H185" s="13">
        <f t="shared" si="42"/>
        <v>97989073.741642058</v>
      </c>
      <c r="I185" s="13">
        <f t="shared" si="43"/>
        <v>84881617.798428029</v>
      </c>
      <c r="J185" s="13">
        <f t="shared" si="44"/>
        <v>0</v>
      </c>
      <c r="K185" s="13">
        <f t="shared" si="45"/>
        <v>0</v>
      </c>
      <c r="L185" s="13">
        <f t="shared" si="46"/>
        <v>97989073.741642058</v>
      </c>
      <c r="M185" s="13">
        <f t="shared" si="47"/>
        <v>84881617.798428029</v>
      </c>
      <c r="N185" s="13">
        <f>MAX(0,INT(L185*Parameters!$B$14/Parameters!$B$13/Parameters!$B$12)*Parameters!$B$12)</f>
        <v>65325980</v>
      </c>
      <c r="O185" s="13">
        <f>MAX(0,INT(M185*Parameters!$B$14/Parameters!$B$13/Parameters!$B$12)*Parameters!$B$12)</f>
        <v>56587705</v>
      </c>
      <c r="P185" s="13">
        <f>N185*Parameters!$B$13*'H237 Tracker'!B185</f>
        <v>9406941.1199999992</v>
      </c>
      <c r="Q185" s="13">
        <f>O185*Parameters!$B$13*'H237 Tracker'!C185</f>
        <v>-15606889.039000001</v>
      </c>
      <c r="R185" s="13">
        <f t="shared" si="57"/>
        <v>-21416618.129999995</v>
      </c>
      <c r="S185" s="13">
        <f t="shared" si="58"/>
        <v>113815773.74600001</v>
      </c>
      <c r="T185" s="13">
        <f t="shared" si="48"/>
        <v>107396014.86164206</v>
      </c>
      <c r="U185" s="13">
        <f t="shared" si="49"/>
        <v>69274728.759428024</v>
      </c>
      <c r="V185" s="12">
        <f t="shared" si="50"/>
        <v>0.60788794262387313</v>
      </c>
      <c r="W185" t="str">
        <f>'H237 Tracker'!I185</f>
        <v>A</v>
      </c>
      <c r="X185">
        <f>'H237 Tracker'!J185</f>
        <v>9</v>
      </c>
      <c r="Y185" t="str">
        <f>'H237 Tracker'!K185</f>
        <v>A</v>
      </c>
      <c r="Z185" s="12">
        <f>'H237 Tracker'!O185</f>
        <v>0.70788794262387311</v>
      </c>
      <c r="AA185" s="13">
        <f>'H237 Tracker'!P185</f>
        <v>0</v>
      </c>
      <c r="AB185" s="13">
        <f>'H237 Tracker'!Q185</f>
        <v>17667074.362106994</v>
      </c>
      <c r="AC185" s="13">
        <f t="shared" si="51"/>
        <v>125063089.22374906</v>
      </c>
      <c r="AD185" s="13">
        <f t="shared" si="52"/>
        <v>51607654.39732103</v>
      </c>
      <c r="AE185" s="13">
        <f t="shared" si="53"/>
        <v>176670743.62107009</v>
      </c>
      <c r="AF185" s="13">
        <f t="shared" si="59"/>
        <v>235573655.00207004</v>
      </c>
      <c r="AG185" s="24">
        <f t="shared" si="54"/>
        <v>-0.25004031703155583</v>
      </c>
      <c r="AH185" s="8">
        <f>--(COUNTIF('Tax Events'!$A$4:$A$8,A185)&gt;0)</f>
        <v>0</v>
      </c>
      <c r="AI185" s="8">
        <f>--(COUNTIF('Tax Events'!$B$4:$B$9,A185)&gt;0)</f>
        <v>0</v>
      </c>
    </row>
    <row r="186" spans="1:35">
      <c r="A186" s="4">
        <f>'H237 Tracker'!A186</f>
        <v>44480</v>
      </c>
      <c r="B186" s="13">
        <f t="shared" si="55"/>
        <v>125063089.22374906</v>
      </c>
      <c r="C186" s="13">
        <f t="shared" si="56"/>
        <v>51607654.39732103</v>
      </c>
      <c r="D186" s="13">
        <f t="shared" si="40"/>
        <v>125063089.22374906</v>
      </c>
      <c r="E186" s="13">
        <f t="shared" si="41"/>
        <v>51607654.39732103</v>
      </c>
      <c r="F186" s="13">
        <f>IF(AH186=1,MAX(R185,0)*Parameters!$B$11,0)</f>
        <v>0</v>
      </c>
      <c r="G186" s="13">
        <f>IF(AI186=1,MAX(S185,0)*Parameters!$B$11,0)</f>
        <v>0</v>
      </c>
      <c r="H186" s="13">
        <f t="shared" si="42"/>
        <v>125063089.22374906</v>
      </c>
      <c r="I186" s="13">
        <f t="shared" si="43"/>
        <v>51607654.39732103</v>
      </c>
      <c r="J186" s="13">
        <f t="shared" si="44"/>
        <v>0</v>
      </c>
      <c r="K186" s="13">
        <f t="shared" si="45"/>
        <v>0</v>
      </c>
      <c r="L186" s="13">
        <f t="shared" si="46"/>
        <v>125063089.22374906</v>
      </c>
      <c r="M186" s="13">
        <f t="shared" si="47"/>
        <v>51607654.39732103</v>
      </c>
      <c r="N186" s="13">
        <f>MAX(0,INT(L186*Parameters!$B$14/Parameters!$B$13/Parameters!$B$12)*Parameters!$B$12)</f>
        <v>83375345</v>
      </c>
      <c r="O186" s="13">
        <f>MAX(0,INT(M186*Parameters!$B$14/Parameters!$B$13/Parameters!$B$12)*Parameters!$B$12)</f>
        <v>34405010</v>
      </c>
      <c r="P186" s="13">
        <f>N186*Parameters!$B$13*'H237 Tracker'!B186</f>
        <v>-6536627.0479999995</v>
      </c>
      <c r="Q186" s="13">
        <f>O186*Parameters!$B$13*'H237 Tracker'!C186</f>
        <v>-2697352.784</v>
      </c>
      <c r="R186" s="13">
        <f t="shared" si="57"/>
        <v>-27953245.177999996</v>
      </c>
      <c r="S186" s="13">
        <f t="shared" si="58"/>
        <v>111118420.96200001</v>
      </c>
      <c r="T186" s="13">
        <f t="shared" si="48"/>
        <v>118526462.17574906</v>
      </c>
      <c r="U186" s="13">
        <f t="shared" si="49"/>
        <v>48910301.613321029</v>
      </c>
      <c r="V186" s="12">
        <f t="shared" si="50"/>
        <v>0.7078879183610105</v>
      </c>
      <c r="W186" t="str">
        <f>'H237 Tracker'!I186</f>
        <v>A</v>
      </c>
      <c r="X186">
        <f>'H237 Tracker'!J186</f>
        <v>10</v>
      </c>
      <c r="Y186" t="str">
        <f>'H237 Tracker'!K186</f>
        <v>A</v>
      </c>
      <c r="Z186" s="12">
        <f>'H237 Tracker'!O186</f>
        <v>0.80788791836101048</v>
      </c>
      <c r="AA186" s="13">
        <f>'H237 Tracker'!P186</f>
        <v>0</v>
      </c>
      <c r="AB186" s="13">
        <f>'H237 Tracker'!Q186</f>
        <v>16743676.378906995</v>
      </c>
      <c r="AC186" s="13">
        <f t="shared" si="51"/>
        <v>135270138.55465606</v>
      </c>
      <c r="AD186" s="13">
        <f t="shared" si="52"/>
        <v>32166625.234414034</v>
      </c>
      <c r="AE186" s="13">
        <f t="shared" si="53"/>
        <v>167436763.7890701</v>
      </c>
      <c r="AF186" s="13">
        <f t="shared" si="59"/>
        <v>235573655.00207004</v>
      </c>
      <c r="AG186" s="24">
        <f t="shared" si="54"/>
        <v>-0.2892381629533286</v>
      </c>
      <c r="AH186" s="8">
        <f>--(COUNTIF('Tax Events'!$A$4:$A$8,A186)&gt;0)</f>
        <v>0</v>
      </c>
      <c r="AI186" s="8">
        <f>--(COUNTIF('Tax Events'!$B$4:$B$9,A186)&gt;0)</f>
        <v>0</v>
      </c>
    </row>
    <row r="187" spans="1:35">
      <c r="A187" s="4">
        <f>'H237 Tracker'!A187</f>
        <v>44487</v>
      </c>
      <c r="B187" s="13">
        <f t="shared" si="55"/>
        <v>135270138.55465606</v>
      </c>
      <c r="C187" s="13">
        <f t="shared" si="56"/>
        <v>32166625.234414034</v>
      </c>
      <c r="D187" s="13">
        <f t="shared" si="40"/>
        <v>135270138.55465606</v>
      </c>
      <c r="E187" s="13">
        <f t="shared" si="41"/>
        <v>32166625.234414034</v>
      </c>
      <c r="F187" s="13">
        <f>IF(AH187=1,MAX(R186,0)*Parameters!$B$11,0)</f>
        <v>0</v>
      </c>
      <c r="G187" s="13">
        <f>IF(AI187=1,MAX(S186,0)*Parameters!$B$11,0)</f>
        <v>0</v>
      </c>
      <c r="H187" s="13">
        <f t="shared" si="42"/>
        <v>135270138.55465606</v>
      </c>
      <c r="I187" s="13">
        <f t="shared" si="43"/>
        <v>32166625.234414034</v>
      </c>
      <c r="J187" s="13">
        <f t="shared" si="44"/>
        <v>0</v>
      </c>
      <c r="K187" s="13">
        <f t="shared" si="45"/>
        <v>0</v>
      </c>
      <c r="L187" s="13">
        <f t="shared" si="46"/>
        <v>135270138.55465606</v>
      </c>
      <c r="M187" s="13">
        <f t="shared" si="47"/>
        <v>32166625.234414034</v>
      </c>
      <c r="N187" s="13">
        <f>MAX(0,INT(L187*Parameters!$B$14/Parameters!$B$13/Parameters!$B$12)*Parameters!$B$12)</f>
        <v>90180010</v>
      </c>
      <c r="O187" s="13">
        <f>MAX(0,INT(M187*Parameters!$B$14/Parameters!$B$13/Parameters!$B$12)*Parameters!$B$12)</f>
        <v>21444395</v>
      </c>
      <c r="P187" s="13">
        <f>N187*Parameters!$B$13*'H237 Tracker'!B187</f>
        <v>25538978.832000002</v>
      </c>
      <c r="Q187" s="13">
        <f>O187*Parameters!$B$13*'H237 Tracker'!C187</f>
        <v>6073052.6639999999</v>
      </c>
      <c r="R187" s="13">
        <f t="shared" si="57"/>
        <v>-2414266.3459999934</v>
      </c>
      <c r="S187" s="13">
        <f t="shared" si="58"/>
        <v>117191473.62600002</v>
      </c>
      <c r="T187" s="13">
        <f t="shared" si="48"/>
        <v>160809117.38665605</v>
      </c>
      <c r="U187" s="13">
        <f t="shared" si="49"/>
        <v>38239677.898414031</v>
      </c>
      <c r="V187" s="12">
        <f t="shared" si="50"/>
        <v>0.80788792093090234</v>
      </c>
      <c r="W187" t="str">
        <f>'H237 Tracker'!I187</f>
        <v>A</v>
      </c>
      <c r="X187">
        <f>'H237 Tracker'!J187</f>
        <v>11</v>
      </c>
      <c r="Y187" t="str">
        <f>'H237 Tracker'!K187</f>
        <v>A</v>
      </c>
      <c r="Z187" s="12">
        <f>'H237 Tracker'!O187</f>
        <v>0.90788792093090231</v>
      </c>
      <c r="AA187" s="13">
        <f>'H237 Tracker'!P187</f>
        <v>0</v>
      </c>
      <c r="AB187" s="13">
        <f>'H237 Tracker'!Q187</f>
        <v>19904879.528506994</v>
      </c>
      <c r="AC187" s="13">
        <f t="shared" si="51"/>
        <v>180713996.91516304</v>
      </c>
      <c r="AD187" s="13">
        <f t="shared" si="52"/>
        <v>18334798.369907036</v>
      </c>
      <c r="AE187" s="13">
        <f t="shared" si="53"/>
        <v>199048795.28507006</v>
      </c>
      <c r="AF187" s="13">
        <f t="shared" si="59"/>
        <v>235573655.00207004</v>
      </c>
      <c r="AG187" s="24">
        <f t="shared" si="54"/>
        <v>-0.15504645337645684</v>
      </c>
      <c r="AH187" s="8">
        <f>--(COUNTIF('Tax Events'!$A$4:$A$8,A187)&gt;0)</f>
        <v>0</v>
      </c>
      <c r="AI187" s="8">
        <f>--(COUNTIF('Tax Events'!$B$4:$B$9,A187)&gt;0)</f>
        <v>0</v>
      </c>
    </row>
    <row r="188" spans="1:35">
      <c r="A188" s="4">
        <f>'H237 Tracker'!A188</f>
        <v>44494</v>
      </c>
      <c r="B188" s="13">
        <f t="shared" si="55"/>
        <v>180713996.91516304</v>
      </c>
      <c r="C188" s="13">
        <f t="shared" si="56"/>
        <v>18334798.369907036</v>
      </c>
      <c r="D188" s="13">
        <f t="shared" si="40"/>
        <v>180713996.91516304</v>
      </c>
      <c r="E188" s="13">
        <f t="shared" si="41"/>
        <v>18334798.369907036</v>
      </c>
      <c r="F188" s="13">
        <f>IF(AH188=1,MAX(R187,0)*Parameters!$B$11,0)</f>
        <v>0</v>
      </c>
      <c r="G188" s="13">
        <f>IF(AI188=1,MAX(S187,0)*Parameters!$B$11,0)</f>
        <v>0</v>
      </c>
      <c r="H188" s="13">
        <f t="shared" si="42"/>
        <v>180713996.91516304</v>
      </c>
      <c r="I188" s="13">
        <f t="shared" si="43"/>
        <v>18334798.369907036</v>
      </c>
      <c r="J188" s="13">
        <f t="shared" si="44"/>
        <v>0</v>
      </c>
      <c r="K188" s="13">
        <f t="shared" si="45"/>
        <v>0</v>
      </c>
      <c r="L188" s="13">
        <f t="shared" si="46"/>
        <v>180713996.91516304</v>
      </c>
      <c r="M188" s="13">
        <f t="shared" si="47"/>
        <v>18334798.369907036</v>
      </c>
      <c r="N188" s="13">
        <f>MAX(0,INT(L188*Parameters!$B$14/Parameters!$B$13/Parameters!$B$12)*Parameters!$B$12)</f>
        <v>120475955</v>
      </c>
      <c r="O188" s="13">
        <f>MAX(0,INT(M188*Parameters!$B$14/Parameters!$B$13/Parameters!$B$12)*Parameters!$B$12)</f>
        <v>12223120</v>
      </c>
      <c r="P188" s="13">
        <f>N188*Parameters!$B$13*'H237 Tracker'!B188</f>
        <v>20191770.058000002</v>
      </c>
      <c r="Q188" s="13">
        <f>O188*Parameters!$B$13*'H237 Tracker'!C188</f>
        <v>2048594.912</v>
      </c>
      <c r="R188" s="13">
        <f t="shared" si="57"/>
        <v>17777503.712000009</v>
      </c>
      <c r="S188" s="13">
        <f t="shared" si="58"/>
        <v>119240068.53800002</v>
      </c>
      <c r="T188" s="13">
        <f t="shared" si="48"/>
        <v>200905766.97316304</v>
      </c>
      <c r="U188" s="13">
        <f t="shared" si="49"/>
        <v>20383393.281907037</v>
      </c>
      <c r="V188" s="12">
        <f t="shared" si="50"/>
        <v>0.90788797219704742</v>
      </c>
      <c r="W188" t="str">
        <f>'H237 Tracker'!I188</f>
        <v>A</v>
      </c>
      <c r="X188">
        <f>'H237 Tracker'!J188</f>
        <v>12</v>
      </c>
      <c r="Y188" t="str">
        <f>'H237 Tracker'!K188</f>
        <v>A</v>
      </c>
      <c r="Z188" s="12">
        <f>'H237 Tracker'!O188</f>
        <v>1</v>
      </c>
      <c r="AA188" s="13">
        <f>'H237 Tracker'!P188</f>
        <v>0</v>
      </c>
      <c r="AB188" s="13">
        <f>'H237 Tracker'!Q188</f>
        <v>20383393.281907052</v>
      </c>
      <c r="AC188" s="13">
        <f t="shared" si="51"/>
        <v>221289160.25507009</v>
      </c>
      <c r="AD188" s="13">
        <f t="shared" si="52"/>
        <v>0</v>
      </c>
      <c r="AE188" s="13">
        <f t="shared" si="53"/>
        <v>221289160.25507009</v>
      </c>
      <c r="AF188" s="13">
        <f t="shared" si="59"/>
        <v>235573655.00207004</v>
      </c>
      <c r="AG188" s="24">
        <f t="shared" si="54"/>
        <v>-6.0637063795925816E-2</v>
      </c>
      <c r="AH188" s="8">
        <f>--(COUNTIF('Tax Events'!$A$4:$A$8,A188)&gt;0)</f>
        <v>0</v>
      </c>
      <c r="AI188" s="8">
        <f>--(COUNTIF('Tax Events'!$B$4:$B$9,A188)&gt;0)</f>
        <v>0</v>
      </c>
    </row>
    <row r="189" spans="1:35">
      <c r="A189" s="4">
        <f>'H237 Tracker'!A189</f>
        <v>44501</v>
      </c>
      <c r="B189" s="13">
        <f t="shared" si="55"/>
        <v>221289160.25507009</v>
      </c>
      <c r="C189" s="13">
        <f t="shared" si="56"/>
        <v>0</v>
      </c>
      <c r="D189" s="13">
        <f t="shared" si="40"/>
        <v>221289160.25507009</v>
      </c>
      <c r="E189" s="13">
        <f t="shared" si="41"/>
        <v>0</v>
      </c>
      <c r="F189" s="13">
        <f>IF(AH189=1,MAX(R188,0)*Parameters!$B$11,0)</f>
        <v>0</v>
      </c>
      <c r="G189" s="13">
        <f>IF(AI189=1,MAX(S188,0)*Parameters!$B$11,0)</f>
        <v>0</v>
      </c>
      <c r="H189" s="13">
        <f t="shared" si="42"/>
        <v>221289160.25507009</v>
      </c>
      <c r="I189" s="13">
        <f t="shared" si="43"/>
        <v>0</v>
      </c>
      <c r="J189" s="13">
        <f t="shared" si="44"/>
        <v>0</v>
      </c>
      <c r="K189" s="13">
        <f t="shared" si="45"/>
        <v>0</v>
      </c>
      <c r="L189" s="13">
        <f t="shared" si="46"/>
        <v>221289160.25507009</v>
      </c>
      <c r="M189" s="13">
        <f t="shared" si="47"/>
        <v>0</v>
      </c>
      <c r="N189" s="13">
        <f>MAX(0,INT(L189*Parameters!$B$14/Parameters!$B$13/Parameters!$B$12)*Parameters!$B$12)</f>
        <v>147526025</v>
      </c>
      <c r="O189" s="13">
        <f>MAX(0,INT(M189*Parameters!$B$14/Parameters!$B$13/Parameters!$B$12)*Parameters!$B$12)</f>
        <v>0</v>
      </c>
      <c r="P189" s="13">
        <f>N189*Parameters!$B$13*'H237 Tracker'!B189</f>
        <v>89223739.920000002</v>
      </c>
      <c r="Q189" s="13">
        <f>O189*Parameters!$B$13*'H237 Tracker'!C189</f>
        <v>0</v>
      </c>
      <c r="R189" s="13">
        <f t="shared" si="57"/>
        <v>107001243.63200001</v>
      </c>
      <c r="S189" s="13">
        <f t="shared" si="58"/>
        <v>119240068.53800002</v>
      </c>
      <c r="T189" s="13">
        <f t="shared" si="48"/>
        <v>310512900.17507011</v>
      </c>
      <c r="U189" s="13">
        <f t="shared" si="49"/>
        <v>0</v>
      </c>
      <c r="V189" s="12">
        <f t="shared" si="50"/>
        <v>1</v>
      </c>
      <c r="W189" t="str">
        <f>'H237 Tracker'!I189</f>
        <v>A</v>
      </c>
      <c r="X189">
        <f>'H237 Tracker'!J189</f>
        <v>13</v>
      </c>
      <c r="Y189" t="str">
        <f>'H237 Tracker'!K189</f>
        <v>A</v>
      </c>
      <c r="Z189" s="12">
        <f>'H237 Tracker'!O189</f>
        <v>1</v>
      </c>
      <c r="AA189" s="13">
        <f>'H237 Tracker'!P189</f>
        <v>0</v>
      </c>
      <c r="AB189" s="13">
        <f>'H237 Tracker'!Q189</f>
        <v>0</v>
      </c>
      <c r="AC189" s="13">
        <f t="shared" si="51"/>
        <v>310512900.17507011</v>
      </c>
      <c r="AD189" s="13">
        <f t="shared" si="52"/>
        <v>0</v>
      </c>
      <c r="AE189" s="13">
        <f t="shared" si="53"/>
        <v>310512900.17507011</v>
      </c>
      <c r="AF189" s="13">
        <f t="shared" si="59"/>
        <v>310512900.17507011</v>
      </c>
      <c r="AG189" s="24">
        <f t="shared" si="54"/>
        <v>0</v>
      </c>
      <c r="AH189" s="8">
        <f>--(COUNTIF('Tax Events'!$A$4:$A$8,A189)&gt;0)</f>
        <v>0</v>
      </c>
      <c r="AI189" s="8">
        <f>--(COUNTIF('Tax Events'!$B$4:$B$9,A189)&gt;0)</f>
        <v>0</v>
      </c>
    </row>
    <row r="190" spans="1:35">
      <c r="A190" s="4">
        <f>'H237 Tracker'!A190</f>
        <v>44508</v>
      </c>
      <c r="B190" s="13">
        <f t="shared" si="55"/>
        <v>310512900.17507011</v>
      </c>
      <c r="C190" s="13">
        <f t="shared" si="56"/>
        <v>0</v>
      </c>
      <c r="D190" s="13">
        <f t="shared" si="40"/>
        <v>310512900.17507011</v>
      </c>
      <c r="E190" s="13">
        <f t="shared" si="41"/>
        <v>0</v>
      </c>
      <c r="F190" s="13">
        <f>IF(AH190=1,MAX(R189,0)*Parameters!$B$11,0)</f>
        <v>0</v>
      </c>
      <c r="G190" s="13">
        <f>IF(AI190=1,MAX(S189,0)*Parameters!$B$11,0)</f>
        <v>0</v>
      </c>
      <c r="H190" s="13">
        <f t="shared" si="42"/>
        <v>310512900.17507011</v>
      </c>
      <c r="I190" s="13">
        <f t="shared" si="43"/>
        <v>0</v>
      </c>
      <c r="J190" s="13">
        <f t="shared" si="44"/>
        <v>0</v>
      </c>
      <c r="K190" s="13">
        <f t="shared" si="45"/>
        <v>0</v>
      </c>
      <c r="L190" s="13">
        <f t="shared" si="46"/>
        <v>310512900.17507011</v>
      </c>
      <c r="M190" s="13">
        <f t="shared" si="47"/>
        <v>0</v>
      </c>
      <c r="N190" s="13">
        <f>MAX(0,INT(L190*Parameters!$B$14/Parameters!$B$13/Parameters!$B$12)*Parameters!$B$12)</f>
        <v>207008510</v>
      </c>
      <c r="O190" s="13">
        <f>MAX(0,INT(M190*Parameters!$B$14/Parameters!$B$13/Parameters!$B$12)*Parameters!$B$12)</f>
        <v>0</v>
      </c>
      <c r="P190" s="13">
        <f>N190*Parameters!$B$13*'H237 Tracker'!B190</f>
        <v>-91497761.420000002</v>
      </c>
      <c r="Q190" s="13">
        <f>O190*Parameters!$B$13*'H237 Tracker'!C190</f>
        <v>0</v>
      </c>
      <c r="R190" s="13">
        <f t="shared" si="57"/>
        <v>15503482.212000012</v>
      </c>
      <c r="S190" s="13">
        <f t="shared" si="58"/>
        <v>119240068.53800002</v>
      </c>
      <c r="T190" s="13">
        <f t="shared" si="48"/>
        <v>219015138.75507009</v>
      </c>
      <c r="U190" s="13">
        <f t="shared" si="49"/>
        <v>0</v>
      </c>
      <c r="V190" s="12">
        <f t="shared" si="50"/>
        <v>1</v>
      </c>
      <c r="W190" t="str">
        <f>'H237 Tracker'!I190</f>
        <v>A</v>
      </c>
      <c r="X190">
        <f>'H237 Tracker'!J190</f>
        <v>14</v>
      </c>
      <c r="Y190" t="str">
        <f>'H237 Tracker'!K190</f>
        <v>A</v>
      </c>
      <c r="Z190" s="12">
        <f>'H237 Tracker'!O190</f>
        <v>1</v>
      </c>
      <c r="AA190" s="13">
        <f>'H237 Tracker'!P190</f>
        <v>0</v>
      </c>
      <c r="AB190" s="13">
        <f>'H237 Tracker'!Q190</f>
        <v>0</v>
      </c>
      <c r="AC190" s="13">
        <f t="shared" si="51"/>
        <v>219015138.75507009</v>
      </c>
      <c r="AD190" s="13">
        <f t="shared" si="52"/>
        <v>0</v>
      </c>
      <c r="AE190" s="13">
        <f t="shared" si="53"/>
        <v>219015138.75507009</v>
      </c>
      <c r="AF190" s="13">
        <f t="shared" si="59"/>
        <v>310512900.17507011</v>
      </c>
      <c r="AG190" s="24">
        <f t="shared" si="54"/>
        <v>-0.29466653838991141</v>
      </c>
      <c r="AH190" s="8">
        <f>--(COUNTIF('Tax Events'!$A$4:$A$8,A190)&gt;0)</f>
        <v>0</v>
      </c>
      <c r="AI190" s="8">
        <f>--(COUNTIF('Tax Events'!$B$4:$B$9,A190)&gt;0)</f>
        <v>0</v>
      </c>
    </row>
    <row r="191" spans="1:35">
      <c r="A191" s="4">
        <f>'H237 Tracker'!A191</f>
        <v>44515</v>
      </c>
      <c r="B191" s="13">
        <f t="shared" si="55"/>
        <v>219015138.75507009</v>
      </c>
      <c r="C191" s="13">
        <f t="shared" si="56"/>
        <v>0</v>
      </c>
      <c r="D191" s="13">
        <f t="shared" si="40"/>
        <v>219015138.75507009</v>
      </c>
      <c r="E191" s="13">
        <f t="shared" si="41"/>
        <v>0</v>
      </c>
      <c r="F191" s="13">
        <f>IF(AH191=1,MAX(R190,0)*Parameters!$B$11,0)</f>
        <v>0</v>
      </c>
      <c r="G191" s="13">
        <f>IF(AI191=1,MAX(S190,0)*Parameters!$B$11,0)</f>
        <v>0</v>
      </c>
      <c r="H191" s="13">
        <f t="shared" si="42"/>
        <v>219015138.75507009</v>
      </c>
      <c r="I191" s="13">
        <f t="shared" si="43"/>
        <v>0</v>
      </c>
      <c r="J191" s="13">
        <f t="shared" si="44"/>
        <v>0</v>
      </c>
      <c r="K191" s="13">
        <f t="shared" si="45"/>
        <v>0</v>
      </c>
      <c r="L191" s="13">
        <f t="shared" si="46"/>
        <v>219015138.75507009</v>
      </c>
      <c r="M191" s="13">
        <f t="shared" si="47"/>
        <v>0</v>
      </c>
      <c r="N191" s="13">
        <f>MAX(0,INT(L191*Parameters!$B$14/Parameters!$B$13/Parameters!$B$12)*Parameters!$B$12)</f>
        <v>146009980</v>
      </c>
      <c r="O191" s="13">
        <f>MAX(0,INT(M191*Parameters!$B$14/Parameters!$B$13/Parameters!$B$12)*Parameters!$B$12)</f>
        <v>0</v>
      </c>
      <c r="P191" s="13">
        <f>N191*Parameters!$B$13*'H237 Tracker'!B191</f>
        <v>59367657.868000001</v>
      </c>
      <c r="Q191" s="13">
        <f>O191*Parameters!$B$13*'H237 Tracker'!C191</f>
        <v>0</v>
      </c>
      <c r="R191" s="13">
        <f t="shared" si="57"/>
        <v>74871140.080000013</v>
      </c>
      <c r="S191" s="13">
        <f t="shared" si="58"/>
        <v>119240068.53800002</v>
      </c>
      <c r="T191" s="13">
        <f t="shared" si="48"/>
        <v>278382796.62307012</v>
      </c>
      <c r="U191" s="13">
        <f t="shared" si="49"/>
        <v>0</v>
      </c>
      <c r="V191" s="12">
        <f t="shared" si="50"/>
        <v>1</v>
      </c>
      <c r="W191" t="str">
        <f>'H237 Tracker'!I191</f>
        <v>A</v>
      </c>
      <c r="X191">
        <f>'H237 Tracker'!J191</f>
        <v>15</v>
      </c>
      <c r="Y191" t="str">
        <f>'H237 Tracker'!K191</f>
        <v>A</v>
      </c>
      <c r="Z191" s="12">
        <f>'H237 Tracker'!O191</f>
        <v>1</v>
      </c>
      <c r="AA191" s="13">
        <f>'H237 Tracker'!P191</f>
        <v>0</v>
      </c>
      <c r="AB191" s="13">
        <f>'H237 Tracker'!Q191</f>
        <v>0</v>
      </c>
      <c r="AC191" s="13">
        <f t="shared" si="51"/>
        <v>278382796.62307012</v>
      </c>
      <c r="AD191" s="13">
        <f t="shared" si="52"/>
        <v>0</v>
      </c>
      <c r="AE191" s="13">
        <f t="shared" si="53"/>
        <v>278382796.62307012</v>
      </c>
      <c r="AF191" s="13">
        <f t="shared" si="59"/>
        <v>310512900.17507011</v>
      </c>
      <c r="AG191" s="24">
        <f t="shared" si="54"/>
        <v>-0.10347429537994957</v>
      </c>
      <c r="AH191" s="8">
        <f>--(COUNTIF('Tax Events'!$A$4:$A$8,A191)&gt;0)</f>
        <v>0</v>
      </c>
      <c r="AI191" s="8">
        <f>--(COUNTIF('Tax Events'!$B$4:$B$9,A191)&gt;0)</f>
        <v>0</v>
      </c>
    </row>
    <row r="192" spans="1:35">
      <c r="A192" s="4">
        <f>'H237 Tracker'!A192</f>
        <v>44522</v>
      </c>
      <c r="B192" s="13">
        <f t="shared" si="55"/>
        <v>278382796.62307012</v>
      </c>
      <c r="C192" s="13">
        <f t="shared" si="56"/>
        <v>0</v>
      </c>
      <c r="D192" s="13">
        <f t="shared" si="40"/>
        <v>278382796.62307012</v>
      </c>
      <c r="E192" s="13">
        <f t="shared" si="41"/>
        <v>0</v>
      </c>
      <c r="F192" s="13">
        <f>IF(AH192=1,MAX(R191,0)*Parameters!$B$11,0)</f>
        <v>0</v>
      </c>
      <c r="G192" s="13">
        <f>IF(AI192=1,MAX(S191,0)*Parameters!$B$11,0)</f>
        <v>0</v>
      </c>
      <c r="H192" s="13">
        <f t="shared" si="42"/>
        <v>278382796.62307012</v>
      </c>
      <c r="I192" s="13">
        <f t="shared" si="43"/>
        <v>0</v>
      </c>
      <c r="J192" s="13">
        <f t="shared" si="44"/>
        <v>0</v>
      </c>
      <c r="K192" s="13">
        <f t="shared" si="45"/>
        <v>0</v>
      </c>
      <c r="L192" s="13">
        <f t="shared" si="46"/>
        <v>278382796.62307012</v>
      </c>
      <c r="M192" s="13">
        <f t="shared" si="47"/>
        <v>0</v>
      </c>
      <c r="N192" s="13">
        <f>MAX(0,INT(L192*Parameters!$B$14/Parameters!$B$13/Parameters!$B$12)*Parameters!$B$12)</f>
        <v>185588495</v>
      </c>
      <c r="O192" s="13">
        <f>MAX(0,INT(M192*Parameters!$B$14/Parameters!$B$13/Parameters!$B$12)*Parameters!$B$12)</f>
        <v>0</v>
      </c>
      <c r="P192" s="13">
        <f>N192*Parameters!$B$13*'H237 Tracker'!B192</f>
        <v>-86781180.262000009</v>
      </c>
      <c r="Q192" s="13">
        <f>O192*Parameters!$B$13*'H237 Tracker'!C192</f>
        <v>0</v>
      </c>
      <c r="R192" s="13">
        <f t="shared" si="57"/>
        <v>-11910040.181999996</v>
      </c>
      <c r="S192" s="13">
        <f t="shared" si="58"/>
        <v>119240068.53800002</v>
      </c>
      <c r="T192" s="13">
        <f t="shared" si="48"/>
        <v>191601616.3610701</v>
      </c>
      <c r="U192" s="13">
        <f t="shared" si="49"/>
        <v>0</v>
      </c>
      <c r="V192" s="12">
        <f t="shared" si="50"/>
        <v>1</v>
      </c>
      <c r="W192" t="str">
        <f>'H237 Tracker'!I192</f>
        <v>A</v>
      </c>
      <c r="X192">
        <f>'H237 Tracker'!J192</f>
        <v>16</v>
      </c>
      <c r="Y192" t="str">
        <f>'H237 Tracker'!K192</f>
        <v>A</v>
      </c>
      <c r="Z192" s="12">
        <f>'H237 Tracker'!O192</f>
        <v>1</v>
      </c>
      <c r="AA192" s="13">
        <f>'H237 Tracker'!P192</f>
        <v>0</v>
      </c>
      <c r="AB192" s="13">
        <f>'H237 Tracker'!Q192</f>
        <v>0</v>
      </c>
      <c r="AC192" s="13">
        <f t="shared" si="51"/>
        <v>191601616.3610701</v>
      </c>
      <c r="AD192" s="13">
        <f t="shared" si="52"/>
        <v>0</v>
      </c>
      <c r="AE192" s="13">
        <f t="shared" si="53"/>
        <v>191601616.3610701</v>
      </c>
      <c r="AF192" s="13">
        <f t="shared" si="59"/>
        <v>310512900.17507011</v>
      </c>
      <c r="AG192" s="24">
        <f t="shared" si="54"/>
        <v>-0.38295118736437905</v>
      </c>
      <c r="AH192" s="8">
        <f>--(COUNTIF('Tax Events'!$A$4:$A$8,A192)&gt;0)</f>
        <v>0</v>
      </c>
      <c r="AI192" s="8">
        <f>--(COUNTIF('Tax Events'!$B$4:$B$9,A192)&gt;0)</f>
        <v>0</v>
      </c>
    </row>
    <row r="193" spans="1:35">
      <c r="A193" s="4">
        <f>'H237 Tracker'!A193</f>
        <v>44529</v>
      </c>
      <c r="B193" s="13">
        <f t="shared" si="55"/>
        <v>191601616.3610701</v>
      </c>
      <c r="C193" s="13">
        <f t="shared" si="56"/>
        <v>0</v>
      </c>
      <c r="D193" s="13">
        <f t="shared" si="40"/>
        <v>191601616.3610701</v>
      </c>
      <c r="E193" s="13">
        <f t="shared" si="41"/>
        <v>0</v>
      </c>
      <c r="F193" s="13">
        <f>IF(AH193=1,MAX(R192,0)*Parameters!$B$11,0)</f>
        <v>0</v>
      </c>
      <c r="G193" s="13">
        <f>IF(AI193=1,MAX(S192,0)*Parameters!$B$11,0)</f>
        <v>0</v>
      </c>
      <c r="H193" s="13">
        <f t="shared" si="42"/>
        <v>191601616.3610701</v>
      </c>
      <c r="I193" s="13">
        <f t="shared" si="43"/>
        <v>0</v>
      </c>
      <c r="J193" s="13">
        <f t="shared" si="44"/>
        <v>0</v>
      </c>
      <c r="K193" s="13">
        <f t="shared" si="45"/>
        <v>0</v>
      </c>
      <c r="L193" s="13">
        <f t="shared" si="46"/>
        <v>191601616.3610701</v>
      </c>
      <c r="M193" s="13">
        <f t="shared" si="47"/>
        <v>0</v>
      </c>
      <c r="N193" s="13">
        <f>MAX(0,INT(L193*Parameters!$B$14/Parameters!$B$13/Parameters!$B$12)*Parameters!$B$12)</f>
        <v>127734410</v>
      </c>
      <c r="O193" s="13">
        <f>MAX(0,INT(M193*Parameters!$B$14/Parameters!$B$13/Parameters!$B$12)*Parameters!$B$12)</f>
        <v>0</v>
      </c>
      <c r="P193" s="13">
        <f>N193*Parameters!$B$13*'H237 Tracker'!B193</f>
        <v>24576100.484000001</v>
      </c>
      <c r="Q193" s="13">
        <f>O193*Parameters!$B$13*'H237 Tracker'!C193</f>
        <v>0</v>
      </c>
      <c r="R193" s="13">
        <f t="shared" si="57"/>
        <v>12666060.302000005</v>
      </c>
      <c r="S193" s="13">
        <f t="shared" si="58"/>
        <v>119240068.53800002</v>
      </c>
      <c r="T193" s="13">
        <f t="shared" si="48"/>
        <v>216177716.84507009</v>
      </c>
      <c r="U193" s="13">
        <f t="shared" si="49"/>
        <v>0</v>
      </c>
      <c r="V193" s="12">
        <f t="shared" si="50"/>
        <v>1</v>
      </c>
      <c r="W193" t="str">
        <f>'H237 Tracker'!I193</f>
        <v>A</v>
      </c>
      <c r="X193">
        <f>'H237 Tracker'!J193</f>
        <v>17</v>
      </c>
      <c r="Y193" t="str">
        <f>'H237 Tracker'!K193</f>
        <v>A</v>
      </c>
      <c r="Z193" s="12">
        <f>'H237 Tracker'!O193</f>
        <v>1</v>
      </c>
      <c r="AA193" s="13">
        <f>'H237 Tracker'!P193</f>
        <v>0</v>
      </c>
      <c r="AB193" s="13">
        <f>'H237 Tracker'!Q193</f>
        <v>0</v>
      </c>
      <c r="AC193" s="13">
        <f t="shared" si="51"/>
        <v>216177716.84507009</v>
      </c>
      <c r="AD193" s="13">
        <f t="shared" si="52"/>
        <v>0</v>
      </c>
      <c r="AE193" s="13">
        <f t="shared" si="53"/>
        <v>216177716.84507009</v>
      </c>
      <c r="AF193" s="13">
        <f t="shared" si="59"/>
        <v>310512900.17507011</v>
      </c>
      <c r="AG193" s="24">
        <f t="shared" si="54"/>
        <v>-0.30380439355921429</v>
      </c>
      <c r="AH193" s="8">
        <f>--(COUNTIF('Tax Events'!$A$4:$A$8,A193)&gt;0)</f>
        <v>0</v>
      </c>
      <c r="AI193" s="8">
        <f>--(COUNTIF('Tax Events'!$B$4:$B$9,A193)&gt;0)</f>
        <v>0</v>
      </c>
    </row>
    <row r="194" spans="1:35">
      <c r="A194" s="4">
        <f>'H237 Tracker'!A194</f>
        <v>44536</v>
      </c>
      <c r="B194" s="13">
        <f t="shared" si="55"/>
        <v>216177716.84507009</v>
      </c>
      <c r="C194" s="13">
        <f t="shared" si="56"/>
        <v>0</v>
      </c>
      <c r="D194" s="13">
        <f t="shared" si="40"/>
        <v>216177716.84507009</v>
      </c>
      <c r="E194" s="13">
        <f t="shared" si="41"/>
        <v>0</v>
      </c>
      <c r="F194" s="13">
        <f>IF(AH194=1,MAX(R193,0)*Parameters!$B$11,0)</f>
        <v>0</v>
      </c>
      <c r="G194" s="13">
        <f>IF(AI194=1,MAX(S193,0)*Parameters!$B$11,0)</f>
        <v>0</v>
      </c>
      <c r="H194" s="13">
        <f t="shared" si="42"/>
        <v>216177716.84507009</v>
      </c>
      <c r="I194" s="13">
        <f t="shared" si="43"/>
        <v>0</v>
      </c>
      <c r="J194" s="13">
        <f t="shared" si="44"/>
        <v>0</v>
      </c>
      <c r="K194" s="13">
        <f t="shared" si="45"/>
        <v>0</v>
      </c>
      <c r="L194" s="13">
        <f t="shared" si="46"/>
        <v>216177716.84507009</v>
      </c>
      <c r="M194" s="13">
        <f t="shared" si="47"/>
        <v>0</v>
      </c>
      <c r="N194" s="13">
        <f>MAX(0,INT(L194*Parameters!$B$14/Parameters!$B$13/Parameters!$B$12)*Parameters!$B$12)</f>
        <v>144118460</v>
      </c>
      <c r="O194" s="13">
        <f>MAX(0,INT(M194*Parameters!$B$14/Parameters!$B$13/Parameters!$B$12)*Parameters!$B$12)</f>
        <v>0</v>
      </c>
      <c r="P194" s="13">
        <f>N194*Parameters!$B$13*'H237 Tracker'!B194</f>
        <v>21041295.16</v>
      </c>
      <c r="Q194" s="13">
        <f>O194*Parameters!$B$13*'H237 Tracker'!C194</f>
        <v>0</v>
      </c>
      <c r="R194" s="13">
        <f t="shared" si="57"/>
        <v>33707355.462000005</v>
      </c>
      <c r="S194" s="13">
        <f t="shared" si="58"/>
        <v>119240068.53800002</v>
      </c>
      <c r="T194" s="13">
        <f t="shared" si="48"/>
        <v>237219012.00507009</v>
      </c>
      <c r="U194" s="13">
        <f t="shared" si="49"/>
        <v>0</v>
      </c>
      <c r="V194" s="12">
        <f t="shared" si="50"/>
        <v>1</v>
      </c>
      <c r="W194" t="str">
        <f>'H237 Tracker'!I194</f>
        <v>A</v>
      </c>
      <c r="X194">
        <f>'H237 Tracker'!J194</f>
        <v>18</v>
      </c>
      <c r="Y194" t="str">
        <f>'H237 Tracker'!K194</f>
        <v>A</v>
      </c>
      <c r="Z194" s="12">
        <f>'H237 Tracker'!O194</f>
        <v>1</v>
      </c>
      <c r="AA194" s="13">
        <f>'H237 Tracker'!P194</f>
        <v>0</v>
      </c>
      <c r="AB194" s="13">
        <f>'H237 Tracker'!Q194</f>
        <v>0</v>
      </c>
      <c r="AC194" s="13">
        <f t="shared" si="51"/>
        <v>237219012.00507009</v>
      </c>
      <c r="AD194" s="13">
        <f t="shared" si="52"/>
        <v>0</v>
      </c>
      <c r="AE194" s="13">
        <f t="shared" si="53"/>
        <v>237219012.00507009</v>
      </c>
      <c r="AF194" s="13">
        <f t="shared" si="59"/>
        <v>310512900.17507011</v>
      </c>
      <c r="AG194" s="24">
        <f t="shared" si="54"/>
        <v>-0.23604136294716327</v>
      </c>
      <c r="AH194" s="8">
        <f>--(COUNTIF('Tax Events'!$A$4:$A$8,A194)&gt;0)</f>
        <v>0</v>
      </c>
      <c r="AI194" s="8">
        <f>--(COUNTIF('Tax Events'!$B$4:$B$9,A194)&gt;0)</f>
        <v>0</v>
      </c>
    </row>
    <row r="195" spans="1:35">
      <c r="A195" s="4">
        <f>'H237 Tracker'!A195</f>
        <v>44543</v>
      </c>
      <c r="B195" s="13">
        <f t="shared" si="55"/>
        <v>237219012.00507009</v>
      </c>
      <c r="C195" s="13">
        <f t="shared" si="56"/>
        <v>0</v>
      </c>
      <c r="D195" s="13">
        <f t="shared" si="40"/>
        <v>237219012.00507009</v>
      </c>
      <c r="E195" s="13">
        <f t="shared" si="41"/>
        <v>0</v>
      </c>
      <c r="F195" s="13">
        <f>IF(AH195=1,MAX(R194,0)*Parameters!$B$11,0)</f>
        <v>0</v>
      </c>
      <c r="G195" s="13">
        <f>IF(AI195=1,MAX(S194,0)*Parameters!$B$11,0)</f>
        <v>0</v>
      </c>
      <c r="H195" s="13">
        <f t="shared" si="42"/>
        <v>237219012.00507009</v>
      </c>
      <c r="I195" s="13">
        <f t="shared" si="43"/>
        <v>0</v>
      </c>
      <c r="J195" s="13">
        <f t="shared" si="44"/>
        <v>0</v>
      </c>
      <c r="K195" s="13">
        <f t="shared" si="45"/>
        <v>0</v>
      </c>
      <c r="L195" s="13">
        <f t="shared" si="46"/>
        <v>237219012.00507009</v>
      </c>
      <c r="M195" s="13">
        <f t="shared" si="47"/>
        <v>0</v>
      </c>
      <c r="N195" s="13">
        <f>MAX(0,INT(L195*Parameters!$B$14/Parameters!$B$13/Parameters!$B$12)*Parameters!$B$12)</f>
        <v>158145930</v>
      </c>
      <c r="O195" s="13">
        <f>MAX(0,INT(M195*Parameters!$B$14/Parameters!$B$13/Parameters!$B$12)*Parameters!$B$12)</f>
        <v>0</v>
      </c>
      <c r="P195" s="13">
        <f>N195*Parameters!$B$13*'H237 Tracker'!B195</f>
        <v>-12651674.4</v>
      </c>
      <c r="Q195" s="13">
        <f>O195*Parameters!$B$13*'H237 Tracker'!C195</f>
        <v>0</v>
      </c>
      <c r="R195" s="13">
        <f t="shared" si="57"/>
        <v>21055681.062000006</v>
      </c>
      <c r="S195" s="13">
        <f t="shared" si="58"/>
        <v>119240068.53800002</v>
      </c>
      <c r="T195" s="13">
        <f t="shared" si="48"/>
        <v>224567337.60507008</v>
      </c>
      <c r="U195" s="13">
        <f t="shared" si="49"/>
        <v>0</v>
      </c>
      <c r="V195" s="12">
        <f t="shared" si="50"/>
        <v>1</v>
      </c>
      <c r="W195" t="str">
        <f>'H237 Tracker'!I195</f>
        <v>A</v>
      </c>
      <c r="X195">
        <f>'H237 Tracker'!J195</f>
        <v>19</v>
      </c>
      <c r="Y195" t="str">
        <f>'H237 Tracker'!K195</f>
        <v>A</v>
      </c>
      <c r="Z195" s="12">
        <f>'H237 Tracker'!O195</f>
        <v>1</v>
      </c>
      <c r="AA195" s="13">
        <f>'H237 Tracker'!P195</f>
        <v>0</v>
      </c>
      <c r="AB195" s="13">
        <f>'H237 Tracker'!Q195</f>
        <v>0</v>
      </c>
      <c r="AC195" s="13">
        <f t="shared" si="51"/>
        <v>224567337.60507008</v>
      </c>
      <c r="AD195" s="13">
        <f t="shared" si="52"/>
        <v>0</v>
      </c>
      <c r="AE195" s="13">
        <f t="shared" si="53"/>
        <v>224567337.60507008</v>
      </c>
      <c r="AF195" s="13">
        <f t="shared" si="59"/>
        <v>310512900.17507011</v>
      </c>
      <c r="AG195" s="24">
        <f t="shared" si="54"/>
        <v>-0.27678580349332704</v>
      </c>
      <c r="AH195" s="8">
        <f>--(COUNTIF('Tax Events'!$A$4:$A$8,A195)&gt;0)</f>
        <v>0</v>
      </c>
      <c r="AI195" s="8">
        <f>--(COUNTIF('Tax Events'!$B$4:$B$9,A195)&gt;0)</f>
        <v>0</v>
      </c>
    </row>
    <row r="196" spans="1:35">
      <c r="A196" s="4">
        <f>'H237 Tracker'!A196</f>
        <v>44550</v>
      </c>
      <c r="B196" s="13">
        <f t="shared" si="55"/>
        <v>224567337.60507008</v>
      </c>
      <c r="C196" s="13">
        <f t="shared" si="56"/>
        <v>0</v>
      </c>
      <c r="D196" s="13">
        <f t="shared" ref="D196:D259" si="60">B196</f>
        <v>224567337.60507008</v>
      </c>
      <c r="E196" s="13">
        <f t="shared" ref="E196:E259" si="61">C196</f>
        <v>0</v>
      </c>
      <c r="F196" s="13">
        <f>IF(AH196=1,MAX(R195,0)*Parameters!$B$11,0)</f>
        <v>0</v>
      </c>
      <c r="G196" s="13">
        <f>IF(AI196=1,MAX(S195,0)*Parameters!$B$11,0)</f>
        <v>0</v>
      </c>
      <c r="H196" s="13">
        <f t="shared" ref="H196:H259" si="62">D196-F196</f>
        <v>224567337.60507008</v>
      </c>
      <c r="I196" s="13">
        <f t="shared" ref="I196:I259" si="63">E196-G196</f>
        <v>0</v>
      </c>
      <c r="J196" s="13">
        <f t="shared" ref="J196:J259" si="64">IF(H196&lt;0,MIN(-H196,MAX(I196,0)),0)</f>
        <v>0</v>
      </c>
      <c r="K196" s="13">
        <f t="shared" ref="K196:K259" si="65">IF(I196&lt;0,MIN(-I196,MAX(H196,0)),0)</f>
        <v>0</v>
      </c>
      <c r="L196" s="13">
        <f t="shared" ref="L196:L259" si="66">IF(H196&gt;=0,IF(I196&lt;0,MAX(H196+I196,0),H196),0)</f>
        <v>224567337.60507008</v>
      </c>
      <c r="M196" s="13">
        <f t="shared" ref="M196:M259" si="67">IF(I196&gt;=0,IF(H196&lt;0,MAX(H196+I196,0),I196),0)</f>
        <v>0</v>
      </c>
      <c r="N196" s="13">
        <f>MAX(0,INT(L196*Parameters!$B$14/Parameters!$B$13/Parameters!$B$12)*Parameters!$B$12)</f>
        <v>149711485</v>
      </c>
      <c r="O196" s="13">
        <f>MAX(0,INT(M196*Parameters!$B$14/Parameters!$B$13/Parameters!$B$12)*Parameters!$B$12)</f>
        <v>0</v>
      </c>
      <c r="P196" s="13">
        <f>N196*Parameters!$B$13*'H237 Tracker'!B196</f>
        <v>21648280.731000002</v>
      </c>
      <c r="Q196" s="13">
        <f>O196*Parameters!$B$13*'H237 Tracker'!C196</f>
        <v>0</v>
      </c>
      <c r="R196" s="13">
        <f t="shared" si="57"/>
        <v>42703961.793000013</v>
      </c>
      <c r="S196" s="13">
        <f t="shared" si="58"/>
        <v>119240068.53800002</v>
      </c>
      <c r="T196" s="13">
        <f t="shared" ref="T196:T259" si="68">L196+P196</f>
        <v>246215618.33607009</v>
      </c>
      <c r="U196" s="13">
        <f t="shared" ref="U196:U259" si="69">M196+Q196</f>
        <v>0</v>
      </c>
      <c r="V196" s="12">
        <f t="shared" ref="V196:V259" si="70">IF(T196+U196=0,0.5,T196/(T196+U196))</f>
        <v>1</v>
      </c>
      <c r="W196" t="str">
        <f>'H237 Tracker'!I196</f>
        <v>A</v>
      </c>
      <c r="X196">
        <f>'H237 Tracker'!J196</f>
        <v>20</v>
      </c>
      <c r="Y196" t="str">
        <f>'H237 Tracker'!K196</f>
        <v>A</v>
      </c>
      <c r="Z196" s="12">
        <f>'H237 Tracker'!O196</f>
        <v>1</v>
      </c>
      <c r="AA196" s="13">
        <f>'H237 Tracker'!P196</f>
        <v>0</v>
      </c>
      <c r="AB196" s="13">
        <f>'H237 Tracker'!Q196</f>
        <v>0</v>
      </c>
      <c r="AC196" s="13">
        <f t="shared" ref="AC196:AC259" si="71">T196-AA196+AB196</f>
        <v>246215618.33607009</v>
      </c>
      <c r="AD196" s="13">
        <f t="shared" ref="AD196:AD259" si="72">U196+AA196-AB196</f>
        <v>0</v>
      </c>
      <c r="AE196" s="13">
        <f t="shared" ref="AE196:AE259" si="73">AC196+AD196</f>
        <v>246215618.33607009</v>
      </c>
      <c r="AF196" s="13">
        <f t="shared" si="59"/>
        <v>310512900.17507011</v>
      </c>
      <c r="AG196" s="24">
        <f t="shared" ref="AG196:AG259" si="74">IF(AF196=0,0,AE196/AF196-1)</f>
        <v>-0.20706798913265312</v>
      </c>
      <c r="AH196" s="8">
        <f>--(COUNTIF('Tax Events'!$A$4:$A$8,A196)&gt;0)</f>
        <v>0</v>
      </c>
      <c r="AI196" s="8">
        <f>--(COUNTIF('Tax Events'!$B$4:$B$9,A196)&gt;0)</f>
        <v>0</v>
      </c>
    </row>
    <row r="197" spans="1:35">
      <c r="A197" s="4">
        <f>'H237 Tracker'!A197</f>
        <v>44557</v>
      </c>
      <c r="B197" s="13">
        <f t="shared" ref="B197:B260" si="75">AC196</f>
        <v>246215618.33607009</v>
      </c>
      <c r="C197" s="13">
        <f t="shared" ref="C197:C260" si="76">AD196</f>
        <v>0</v>
      </c>
      <c r="D197" s="13">
        <f t="shared" si="60"/>
        <v>246215618.33607009</v>
      </c>
      <c r="E197" s="13">
        <f t="shared" si="61"/>
        <v>0</v>
      </c>
      <c r="F197" s="13">
        <f>IF(AH197=1,MAX(R196,0)*Parameters!$B$11,0)</f>
        <v>0</v>
      </c>
      <c r="G197" s="13">
        <f>IF(AI197=1,MAX(S196,0)*Parameters!$B$11,0)</f>
        <v>0</v>
      </c>
      <c r="H197" s="13">
        <f t="shared" si="62"/>
        <v>246215618.33607009</v>
      </c>
      <c r="I197" s="13">
        <f t="shared" si="63"/>
        <v>0</v>
      </c>
      <c r="J197" s="13">
        <f t="shared" si="64"/>
        <v>0</v>
      </c>
      <c r="K197" s="13">
        <f t="shared" si="65"/>
        <v>0</v>
      </c>
      <c r="L197" s="13">
        <f t="shared" si="66"/>
        <v>246215618.33607009</v>
      </c>
      <c r="M197" s="13">
        <f t="shared" si="67"/>
        <v>0</v>
      </c>
      <c r="N197" s="13">
        <f>MAX(0,INT(L197*Parameters!$B$14/Parameters!$B$13/Parameters!$B$12)*Parameters!$B$12)</f>
        <v>164143640</v>
      </c>
      <c r="O197" s="13">
        <f>MAX(0,INT(M197*Parameters!$B$14/Parameters!$B$13/Parameters!$B$12)*Parameters!$B$12)</f>
        <v>0</v>
      </c>
      <c r="P197" s="13">
        <f>N197*Parameters!$B$13*'H237 Tracker'!B197</f>
        <v>43235434.776000001</v>
      </c>
      <c r="Q197" s="13">
        <f>O197*Parameters!$B$13*'H237 Tracker'!C197</f>
        <v>0</v>
      </c>
      <c r="R197" s="13">
        <f t="shared" ref="R197:R260" si="77">IF(AH197=1,P197,R196+P197)</f>
        <v>85939396.569000006</v>
      </c>
      <c r="S197" s="13">
        <f t="shared" ref="S197:S260" si="78">IF(AI197=1,Q197,S196+Q197)</f>
        <v>119240068.53800002</v>
      </c>
      <c r="T197" s="13">
        <f t="shared" si="68"/>
        <v>289451053.11207008</v>
      </c>
      <c r="U197" s="13">
        <f t="shared" si="69"/>
        <v>0</v>
      </c>
      <c r="V197" s="12">
        <f t="shared" si="70"/>
        <v>1</v>
      </c>
      <c r="W197" t="str">
        <f>'H237 Tracker'!I197</f>
        <v>A</v>
      </c>
      <c r="X197">
        <f>'H237 Tracker'!J197</f>
        <v>21</v>
      </c>
      <c r="Y197" t="str">
        <f>'H237 Tracker'!K197</f>
        <v>A</v>
      </c>
      <c r="Z197" s="12">
        <f>'H237 Tracker'!O197</f>
        <v>1</v>
      </c>
      <c r="AA197" s="13">
        <f>'H237 Tracker'!P197</f>
        <v>0</v>
      </c>
      <c r="AB197" s="13">
        <f>'H237 Tracker'!Q197</f>
        <v>0</v>
      </c>
      <c r="AC197" s="13">
        <f t="shared" si="71"/>
        <v>289451053.11207008</v>
      </c>
      <c r="AD197" s="13">
        <f t="shared" si="72"/>
        <v>0</v>
      </c>
      <c r="AE197" s="13">
        <f t="shared" si="73"/>
        <v>289451053.11207008</v>
      </c>
      <c r="AF197" s="13">
        <f t="shared" ref="AF197:AF260" si="79">MAX(AF196,AE197)</f>
        <v>310512900.17507011</v>
      </c>
      <c r="AG197" s="24">
        <f t="shared" si="74"/>
        <v>-6.7829217565921307E-2</v>
      </c>
      <c r="AH197" s="8">
        <f>--(COUNTIF('Tax Events'!$A$4:$A$8,A197)&gt;0)</f>
        <v>0</v>
      </c>
      <c r="AI197" s="8">
        <f>--(COUNTIF('Tax Events'!$B$4:$B$9,A197)&gt;0)</f>
        <v>0</v>
      </c>
    </row>
    <row r="198" spans="1:35">
      <c r="A198" s="4">
        <f>'H237 Tracker'!A198</f>
        <v>44564</v>
      </c>
      <c r="B198" s="13">
        <f t="shared" si="75"/>
        <v>289451053.11207008</v>
      </c>
      <c r="C198" s="13">
        <f t="shared" si="76"/>
        <v>0</v>
      </c>
      <c r="D198" s="13">
        <f t="shared" si="60"/>
        <v>289451053.11207008</v>
      </c>
      <c r="E198" s="13">
        <f t="shared" si="61"/>
        <v>0</v>
      </c>
      <c r="F198" s="13">
        <f>IF(AH198=1,MAX(R197,0)*Parameters!$B$11,0)</f>
        <v>0</v>
      </c>
      <c r="G198" s="13">
        <f>IF(AI198=1,MAX(S197,0)*Parameters!$B$11,0)</f>
        <v>22655613.022220004</v>
      </c>
      <c r="H198" s="13">
        <f t="shared" si="62"/>
        <v>289451053.11207008</v>
      </c>
      <c r="I198" s="13">
        <f t="shared" si="63"/>
        <v>-22655613.022220004</v>
      </c>
      <c r="J198" s="13">
        <f t="shared" si="64"/>
        <v>0</v>
      </c>
      <c r="K198" s="13">
        <f t="shared" si="65"/>
        <v>22655613.022220004</v>
      </c>
      <c r="L198" s="13">
        <f t="shared" si="66"/>
        <v>266795440.08985007</v>
      </c>
      <c r="M198" s="13">
        <f t="shared" si="67"/>
        <v>0</v>
      </c>
      <c r="N198" s="13">
        <f>MAX(0,INT(L198*Parameters!$B$14/Parameters!$B$13/Parameters!$B$12)*Parameters!$B$12)</f>
        <v>177863600</v>
      </c>
      <c r="O198" s="13">
        <f>MAX(0,INT(M198*Parameters!$B$14/Parameters!$B$13/Parameters!$B$12)*Parameters!$B$12)</f>
        <v>0</v>
      </c>
      <c r="P198" s="13">
        <f>N198*Parameters!$B$13*'H237 Tracker'!B198</f>
        <v>25470067.52</v>
      </c>
      <c r="Q198" s="13">
        <f>O198*Parameters!$B$13*'H237 Tracker'!C198</f>
        <v>0</v>
      </c>
      <c r="R198" s="13">
        <f t="shared" si="77"/>
        <v>111409464.089</v>
      </c>
      <c r="S198" s="13">
        <f t="shared" si="78"/>
        <v>0</v>
      </c>
      <c r="T198" s="13">
        <f t="shared" si="68"/>
        <v>292265507.60985005</v>
      </c>
      <c r="U198" s="13">
        <f t="shared" si="69"/>
        <v>0</v>
      </c>
      <c r="V198" s="12">
        <f t="shared" si="70"/>
        <v>1</v>
      </c>
      <c r="W198" t="str">
        <f>'H237 Tracker'!I198</f>
        <v>A</v>
      </c>
      <c r="X198">
        <f>'H237 Tracker'!J198</f>
        <v>22</v>
      </c>
      <c r="Y198" t="str">
        <f>'H237 Tracker'!K198</f>
        <v>A</v>
      </c>
      <c r="Z198" s="12">
        <f>'H237 Tracker'!O198</f>
        <v>1</v>
      </c>
      <c r="AA198" s="13">
        <f>'H237 Tracker'!P198</f>
        <v>0</v>
      </c>
      <c r="AB198" s="13">
        <f>'H237 Tracker'!Q198</f>
        <v>0</v>
      </c>
      <c r="AC198" s="13">
        <f t="shared" si="71"/>
        <v>292265507.60985005</v>
      </c>
      <c r="AD198" s="13">
        <f t="shared" si="72"/>
        <v>0</v>
      </c>
      <c r="AE198" s="13">
        <f t="shared" si="73"/>
        <v>292265507.60985005</v>
      </c>
      <c r="AF198" s="13">
        <f t="shared" si="79"/>
        <v>310512900.17507011</v>
      </c>
      <c r="AG198" s="24">
        <f t="shared" si="74"/>
        <v>-5.8765328445072651E-2</v>
      </c>
      <c r="AH198" s="8">
        <f>--(COUNTIF('Tax Events'!$A$4:$A$8,A198)&gt;0)</f>
        <v>0</v>
      </c>
      <c r="AI198" s="8">
        <f>--(COUNTIF('Tax Events'!$B$4:$B$9,A198)&gt;0)</f>
        <v>1</v>
      </c>
    </row>
    <row r="199" spans="1:35">
      <c r="A199" s="4">
        <f>'H237 Tracker'!A199</f>
        <v>44571</v>
      </c>
      <c r="B199" s="13">
        <f t="shared" si="75"/>
        <v>292265507.60985005</v>
      </c>
      <c r="C199" s="13">
        <f t="shared" si="76"/>
        <v>0</v>
      </c>
      <c r="D199" s="13">
        <f t="shared" si="60"/>
        <v>292265507.60985005</v>
      </c>
      <c r="E199" s="13">
        <f t="shared" si="61"/>
        <v>0</v>
      </c>
      <c r="F199" s="13">
        <f>IF(AH199=1,MAX(R198,0)*Parameters!$B$11,0)</f>
        <v>0</v>
      </c>
      <c r="G199" s="13">
        <f>IF(AI199=1,MAX(S198,0)*Parameters!$B$11,0)</f>
        <v>0</v>
      </c>
      <c r="H199" s="13">
        <f t="shared" si="62"/>
        <v>292265507.60985005</v>
      </c>
      <c r="I199" s="13">
        <f t="shared" si="63"/>
        <v>0</v>
      </c>
      <c r="J199" s="13">
        <f t="shared" si="64"/>
        <v>0</v>
      </c>
      <c r="K199" s="13">
        <f t="shared" si="65"/>
        <v>0</v>
      </c>
      <c r="L199" s="13">
        <f t="shared" si="66"/>
        <v>292265507.60985005</v>
      </c>
      <c r="M199" s="13">
        <f t="shared" si="67"/>
        <v>0</v>
      </c>
      <c r="N199" s="13">
        <f>MAX(0,INT(L199*Parameters!$B$14/Parameters!$B$13/Parameters!$B$12)*Parameters!$B$12)</f>
        <v>194843580</v>
      </c>
      <c r="O199" s="13">
        <f>MAX(0,INT(M199*Parameters!$B$14/Parameters!$B$13/Parameters!$B$12)*Parameters!$B$12)</f>
        <v>0</v>
      </c>
      <c r="P199" s="13">
        <f>N199*Parameters!$B$13*'H237 Tracker'!B199</f>
        <v>56777419.211999997</v>
      </c>
      <c r="Q199" s="13">
        <f>O199*Parameters!$B$13*'H237 Tracker'!C199</f>
        <v>0</v>
      </c>
      <c r="R199" s="13">
        <f t="shared" si="77"/>
        <v>168186883.301</v>
      </c>
      <c r="S199" s="13">
        <f t="shared" si="78"/>
        <v>0</v>
      </c>
      <c r="T199" s="13">
        <f t="shared" si="68"/>
        <v>349042926.82185006</v>
      </c>
      <c r="U199" s="13">
        <f t="shared" si="69"/>
        <v>0</v>
      </c>
      <c r="V199" s="12">
        <f t="shared" si="70"/>
        <v>1</v>
      </c>
      <c r="W199" t="str">
        <f>'H237 Tracker'!I199</f>
        <v>A</v>
      </c>
      <c r="X199">
        <f>'H237 Tracker'!J199</f>
        <v>23</v>
      </c>
      <c r="Y199" t="str">
        <f>'H237 Tracker'!K199</f>
        <v>A</v>
      </c>
      <c r="Z199" s="12">
        <f>'H237 Tracker'!O199</f>
        <v>1</v>
      </c>
      <c r="AA199" s="13">
        <f>'H237 Tracker'!P199</f>
        <v>0</v>
      </c>
      <c r="AB199" s="13">
        <f>'H237 Tracker'!Q199</f>
        <v>0</v>
      </c>
      <c r="AC199" s="13">
        <f t="shared" si="71"/>
        <v>349042926.82185006</v>
      </c>
      <c r="AD199" s="13">
        <f t="shared" si="72"/>
        <v>0</v>
      </c>
      <c r="AE199" s="13">
        <f t="shared" si="73"/>
        <v>349042926.82185006</v>
      </c>
      <c r="AF199" s="13">
        <f t="shared" si="79"/>
        <v>349042926.82185006</v>
      </c>
      <c r="AG199" s="24">
        <f t="shared" si="74"/>
        <v>0</v>
      </c>
      <c r="AH199" s="8">
        <f>--(COUNTIF('Tax Events'!$A$4:$A$8,A199)&gt;0)</f>
        <v>0</v>
      </c>
      <c r="AI199" s="8">
        <f>--(COUNTIF('Tax Events'!$B$4:$B$9,A199)&gt;0)</f>
        <v>0</v>
      </c>
    </row>
    <row r="200" spans="1:35">
      <c r="A200" s="4">
        <f>'H237 Tracker'!A200</f>
        <v>44578</v>
      </c>
      <c r="B200" s="13">
        <f t="shared" si="75"/>
        <v>349042926.82185006</v>
      </c>
      <c r="C200" s="13">
        <f t="shared" si="76"/>
        <v>0</v>
      </c>
      <c r="D200" s="13">
        <f t="shared" si="60"/>
        <v>349042926.82185006</v>
      </c>
      <c r="E200" s="13">
        <f t="shared" si="61"/>
        <v>0</v>
      </c>
      <c r="F200" s="13">
        <f>IF(AH200=1,MAX(R199,0)*Parameters!$B$11,0)</f>
        <v>0</v>
      </c>
      <c r="G200" s="13">
        <f>IF(AI200=1,MAX(S199,0)*Parameters!$B$11,0)</f>
        <v>0</v>
      </c>
      <c r="H200" s="13">
        <f t="shared" si="62"/>
        <v>349042926.82185006</v>
      </c>
      <c r="I200" s="13">
        <f t="shared" si="63"/>
        <v>0</v>
      </c>
      <c r="J200" s="13">
        <f t="shared" si="64"/>
        <v>0</v>
      </c>
      <c r="K200" s="13">
        <f t="shared" si="65"/>
        <v>0</v>
      </c>
      <c r="L200" s="13">
        <f t="shared" si="66"/>
        <v>349042926.82185006</v>
      </c>
      <c r="M200" s="13">
        <f t="shared" si="67"/>
        <v>0</v>
      </c>
      <c r="N200" s="13">
        <f>MAX(0,INT(L200*Parameters!$B$14/Parameters!$B$13/Parameters!$B$12)*Parameters!$B$12)</f>
        <v>232695255</v>
      </c>
      <c r="O200" s="13">
        <f>MAX(0,INT(M200*Parameters!$B$14/Parameters!$B$13/Parameters!$B$12)*Parameters!$B$12)</f>
        <v>0</v>
      </c>
      <c r="P200" s="13">
        <f>N200*Parameters!$B$13*'H237 Tracker'!B200</f>
        <v>-92100781.92899999</v>
      </c>
      <c r="Q200" s="13">
        <f>O200*Parameters!$B$13*'H237 Tracker'!C200</f>
        <v>0</v>
      </c>
      <c r="R200" s="13">
        <f t="shared" si="77"/>
        <v>76086101.372000009</v>
      </c>
      <c r="S200" s="13">
        <f t="shared" si="78"/>
        <v>0</v>
      </c>
      <c r="T200" s="13">
        <f t="shared" si="68"/>
        <v>256942144.89285007</v>
      </c>
      <c r="U200" s="13">
        <f t="shared" si="69"/>
        <v>0</v>
      </c>
      <c r="V200" s="12">
        <f t="shared" si="70"/>
        <v>1</v>
      </c>
      <c r="W200" t="str">
        <f>'H237 Tracker'!I200</f>
        <v>B</v>
      </c>
      <c r="X200">
        <f>'H237 Tracker'!J200</f>
        <v>1</v>
      </c>
      <c r="Y200" t="str">
        <f>'H237 Tracker'!K200</f>
        <v>HOLD</v>
      </c>
      <c r="Z200" s="12">
        <f>'H237 Tracker'!O200</f>
        <v>1</v>
      </c>
      <c r="AA200" s="13">
        <f>'H237 Tracker'!P200</f>
        <v>0</v>
      </c>
      <c r="AB200" s="13">
        <f>'H237 Tracker'!Q200</f>
        <v>0</v>
      </c>
      <c r="AC200" s="13">
        <f t="shared" si="71"/>
        <v>256942144.89285007</v>
      </c>
      <c r="AD200" s="13">
        <f t="shared" si="72"/>
        <v>0</v>
      </c>
      <c r="AE200" s="13">
        <f t="shared" si="73"/>
        <v>256942144.89285007</v>
      </c>
      <c r="AF200" s="13">
        <f t="shared" si="79"/>
        <v>349042926.82185006</v>
      </c>
      <c r="AG200" s="24">
        <f t="shared" si="74"/>
        <v>-0.26386663316059067</v>
      </c>
      <c r="AH200" s="8">
        <f>--(COUNTIF('Tax Events'!$A$4:$A$8,A200)&gt;0)</f>
        <v>0</v>
      </c>
      <c r="AI200" s="8">
        <f>--(COUNTIF('Tax Events'!$B$4:$B$9,A200)&gt;0)</f>
        <v>0</v>
      </c>
    </row>
    <row r="201" spans="1:35">
      <c r="A201" s="4">
        <f>'H237 Tracker'!A201</f>
        <v>44585</v>
      </c>
      <c r="B201" s="13">
        <f t="shared" si="75"/>
        <v>256942144.89285007</v>
      </c>
      <c r="C201" s="13">
        <f t="shared" si="76"/>
        <v>0</v>
      </c>
      <c r="D201" s="13">
        <f t="shared" si="60"/>
        <v>256942144.89285007</v>
      </c>
      <c r="E201" s="13">
        <f t="shared" si="61"/>
        <v>0</v>
      </c>
      <c r="F201" s="13">
        <f>IF(AH201=1,MAX(R200,0)*Parameters!$B$11,0)</f>
        <v>0</v>
      </c>
      <c r="G201" s="13">
        <f>IF(AI201=1,MAX(S200,0)*Parameters!$B$11,0)</f>
        <v>0</v>
      </c>
      <c r="H201" s="13">
        <f t="shared" si="62"/>
        <v>256942144.89285007</v>
      </c>
      <c r="I201" s="13">
        <f t="shared" si="63"/>
        <v>0</v>
      </c>
      <c r="J201" s="13">
        <f t="shared" si="64"/>
        <v>0</v>
      </c>
      <c r="K201" s="13">
        <f t="shared" si="65"/>
        <v>0</v>
      </c>
      <c r="L201" s="13">
        <f t="shared" si="66"/>
        <v>256942144.89285007</v>
      </c>
      <c r="M201" s="13">
        <f t="shared" si="67"/>
        <v>0</v>
      </c>
      <c r="N201" s="13">
        <f>MAX(0,INT(L201*Parameters!$B$14/Parameters!$B$13/Parameters!$B$12)*Parameters!$B$12)</f>
        <v>171294685</v>
      </c>
      <c r="O201" s="13">
        <f>MAX(0,INT(M201*Parameters!$B$14/Parameters!$B$13/Parameters!$B$12)*Parameters!$B$12)</f>
        <v>0</v>
      </c>
      <c r="P201" s="13">
        <f>N201*Parameters!$B$13*'H237 Tracker'!B201</f>
        <v>74684482.659999996</v>
      </c>
      <c r="Q201" s="13">
        <f>O201*Parameters!$B$13*'H237 Tracker'!C201</f>
        <v>0</v>
      </c>
      <c r="R201" s="13">
        <f t="shared" si="77"/>
        <v>150770584.03200001</v>
      </c>
      <c r="S201" s="13">
        <f t="shared" si="78"/>
        <v>0</v>
      </c>
      <c r="T201" s="13">
        <f t="shared" si="68"/>
        <v>331626627.55285007</v>
      </c>
      <c r="U201" s="13">
        <f t="shared" si="69"/>
        <v>0</v>
      </c>
      <c r="V201" s="12">
        <f t="shared" si="70"/>
        <v>1</v>
      </c>
      <c r="W201" t="str">
        <f>'H237 Tracker'!I201</f>
        <v>B</v>
      </c>
      <c r="X201">
        <f>'H237 Tracker'!J201</f>
        <v>2</v>
      </c>
      <c r="Y201" t="str">
        <f>'H237 Tracker'!K201</f>
        <v>HOLD</v>
      </c>
      <c r="Z201" s="12">
        <f>'H237 Tracker'!O201</f>
        <v>1</v>
      </c>
      <c r="AA201" s="13">
        <f>'H237 Tracker'!P201</f>
        <v>0</v>
      </c>
      <c r="AB201" s="13">
        <f>'H237 Tracker'!Q201</f>
        <v>0</v>
      </c>
      <c r="AC201" s="13">
        <f t="shared" si="71"/>
        <v>331626627.55285007</v>
      </c>
      <c r="AD201" s="13">
        <f t="shared" si="72"/>
        <v>0</v>
      </c>
      <c r="AE201" s="13">
        <f t="shared" si="73"/>
        <v>331626627.55285007</v>
      </c>
      <c r="AF201" s="13">
        <f t="shared" si="79"/>
        <v>349042926.82185006</v>
      </c>
      <c r="AG201" s="24">
        <f t="shared" si="74"/>
        <v>-4.9897298958558212E-2</v>
      </c>
      <c r="AH201" s="8">
        <f>--(COUNTIF('Tax Events'!$A$4:$A$8,A201)&gt;0)</f>
        <v>0</v>
      </c>
      <c r="AI201" s="8">
        <f>--(COUNTIF('Tax Events'!$B$4:$B$9,A201)&gt;0)</f>
        <v>0</v>
      </c>
    </row>
    <row r="202" spans="1:35">
      <c r="A202" s="4">
        <f>'H237 Tracker'!A202</f>
        <v>44592</v>
      </c>
      <c r="B202" s="13">
        <f t="shared" si="75"/>
        <v>331626627.55285007</v>
      </c>
      <c r="C202" s="13">
        <f t="shared" si="76"/>
        <v>0</v>
      </c>
      <c r="D202" s="13">
        <f t="shared" si="60"/>
        <v>331626627.55285007</v>
      </c>
      <c r="E202" s="13">
        <f t="shared" si="61"/>
        <v>0</v>
      </c>
      <c r="F202" s="13">
        <f>IF(AH202=1,MAX(R201,0)*Parameters!$B$11,0)</f>
        <v>0</v>
      </c>
      <c r="G202" s="13">
        <f>IF(AI202=1,MAX(S201,0)*Parameters!$B$11,0)</f>
        <v>0</v>
      </c>
      <c r="H202" s="13">
        <f t="shared" si="62"/>
        <v>331626627.55285007</v>
      </c>
      <c r="I202" s="13">
        <f t="shared" si="63"/>
        <v>0</v>
      </c>
      <c r="J202" s="13">
        <f t="shared" si="64"/>
        <v>0</v>
      </c>
      <c r="K202" s="13">
        <f t="shared" si="65"/>
        <v>0</v>
      </c>
      <c r="L202" s="13">
        <f t="shared" si="66"/>
        <v>331626627.55285007</v>
      </c>
      <c r="M202" s="13">
        <f t="shared" si="67"/>
        <v>0</v>
      </c>
      <c r="N202" s="13">
        <f>MAX(0,INT(L202*Parameters!$B$14/Parameters!$B$13/Parameters!$B$12)*Parameters!$B$12)</f>
        <v>221084395</v>
      </c>
      <c r="O202" s="13">
        <f>MAX(0,INT(M202*Parameters!$B$14/Parameters!$B$13/Parameters!$B$12)*Parameters!$B$12)</f>
        <v>0</v>
      </c>
      <c r="P202" s="13">
        <f>N202*Parameters!$B$13*'H237 Tracker'!B202</f>
        <v>121552200.37100001</v>
      </c>
      <c r="Q202" s="13">
        <f>O202*Parameters!$B$13*'H237 Tracker'!C202</f>
        <v>0</v>
      </c>
      <c r="R202" s="13">
        <f t="shared" si="77"/>
        <v>272322784.403</v>
      </c>
      <c r="S202" s="13">
        <f t="shared" si="78"/>
        <v>0</v>
      </c>
      <c r="T202" s="13">
        <f t="shared" si="68"/>
        <v>453178827.92385006</v>
      </c>
      <c r="U202" s="13">
        <f t="shared" si="69"/>
        <v>0</v>
      </c>
      <c r="V202" s="12">
        <f t="shared" si="70"/>
        <v>1</v>
      </c>
      <c r="W202" t="str">
        <f>'H237 Tracker'!I202</f>
        <v>B</v>
      </c>
      <c r="X202">
        <f>'H237 Tracker'!J202</f>
        <v>3</v>
      </c>
      <c r="Y202" t="str">
        <f>'H237 Tracker'!K202</f>
        <v>B</v>
      </c>
      <c r="Z202" s="12">
        <f>'H237 Tracker'!O202</f>
        <v>0.9</v>
      </c>
      <c r="AA202" s="13">
        <f>'H237 Tracker'!P202</f>
        <v>45317882.792384982</v>
      </c>
      <c r="AB202" s="13">
        <f>'H237 Tracker'!Q202</f>
        <v>0</v>
      </c>
      <c r="AC202" s="13">
        <f t="shared" si="71"/>
        <v>407860945.13146508</v>
      </c>
      <c r="AD202" s="13">
        <f t="shared" si="72"/>
        <v>45317882.792384982</v>
      </c>
      <c r="AE202" s="13">
        <f t="shared" si="73"/>
        <v>453178827.92385006</v>
      </c>
      <c r="AF202" s="13">
        <f t="shared" si="79"/>
        <v>453178827.92385006</v>
      </c>
      <c r="AG202" s="24">
        <f t="shared" si="74"/>
        <v>0</v>
      </c>
      <c r="AH202" s="8">
        <f>--(COUNTIF('Tax Events'!$A$4:$A$8,A202)&gt;0)</f>
        <v>0</v>
      </c>
      <c r="AI202" s="8">
        <f>--(COUNTIF('Tax Events'!$B$4:$B$9,A202)&gt;0)</f>
        <v>0</v>
      </c>
    </row>
    <row r="203" spans="1:35">
      <c r="A203" s="4">
        <f>'H237 Tracker'!A203</f>
        <v>44599</v>
      </c>
      <c r="B203" s="13">
        <f t="shared" si="75"/>
        <v>407860945.13146508</v>
      </c>
      <c r="C203" s="13">
        <f t="shared" si="76"/>
        <v>45317882.792384982</v>
      </c>
      <c r="D203" s="13">
        <f t="shared" si="60"/>
        <v>407860945.13146508</v>
      </c>
      <c r="E203" s="13">
        <f t="shared" si="61"/>
        <v>45317882.792384982</v>
      </c>
      <c r="F203" s="13">
        <f>IF(AH203=1,MAX(R202,0)*Parameters!$B$11,0)</f>
        <v>0</v>
      </c>
      <c r="G203" s="13">
        <f>IF(AI203=1,MAX(S202,0)*Parameters!$B$11,0)</f>
        <v>0</v>
      </c>
      <c r="H203" s="13">
        <f t="shared" si="62"/>
        <v>407860945.13146508</v>
      </c>
      <c r="I203" s="13">
        <f t="shared" si="63"/>
        <v>45317882.792384982</v>
      </c>
      <c r="J203" s="13">
        <f t="shared" si="64"/>
        <v>0</v>
      </c>
      <c r="K203" s="13">
        <f t="shared" si="65"/>
        <v>0</v>
      </c>
      <c r="L203" s="13">
        <f t="shared" si="66"/>
        <v>407860945.13146508</v>
      </c>
      <c r="M203" s="13">
        <f t="shared" si="67"/>
        <v>45317882.792384982</v>
      </c>
      <c r="N203" s="13">
        <f>MAX(0,INT(L203*Parameters!$B$14/Parameters!$B$13/Parameters!$B$12)*Parameters!$B$12)</f>
        <v>271907265</v>
      </c>
      <c r="O203" s="13">
        <f>MAX(0,INT(M203*Parameters!$B$14/Parameters!$B$13/Parameters!$B$12)*Parameters!$B$12)</f>
        <v>30211880</v>
      </c>
      <c r="P203" s="13">
        <f>N203*Parameters!$B$13*'H237 Tracker'!B203</f>
        <v>-21752581.199999999</v>
      </c>
      <c r="Q203" s="13">
        <f>O203*Parameters!$B$13*'H237 Tracker'!C203</f>
        <v>-2416950.4</v>
      </c>
      <c r="R203" s="13">
        <f t="shared" si="77"/>
        <v>250570203.20300001</v>
      </c>
      <c r="S203" s="13">
        <f t="shared" si="78"/>
        <v>-2416950.4</v>
      </c>
      <c r="T203" s="13">
        <f t="shared" si="68"/>
        <v>386108363.93146509</v>
      </c>
      <c r="U203" s="13">
        <f t="shared" si="69"/>
        <v>42900932.392384984</v>
      </c>
      <c r="V203" s="12">
        <f t="shared" si="70"/>
        <v>0.89999999356657301</v>
      </c>
      <c r="W203" t="str">
        <f>'H237 Tracker'!I203</f>
        <v>B</v>
      </c>
      <c r="X203">
        <f>'H237 Tracker'!J203</f>
        <v>4</v>
      </c>
      <c r="Y203" t="str">
        <f>'H237 Tracker'!K203</f>
        <v>B</v>
      </c>
      <c r="Z203" s="12">
        <f>'H237 Tracker'!O203</f>
        <v>0.79999999356657303</v>
      </c>
      <c r="AA203" s="13">
        <f>'H237 Tracker'!P203</f>
        <v>42900929.632385015</v>
      </c>
      <c r="AB203" s="13">
        <f>'H237 Tracker'!Q203</f>
        <v>0</v>
      </c>
      <c r="AC203" s="13">
        <f t="shared" si="71"/>
        <v>343207434.29908007</v>
      </c>
      <c r="AD203" s="13">
        <f t="shared" si="72"/>
        <v>85801862.024769992</v>
      </c>
      <c r="AE203" s="13">
        <f t="shared" si="73"/>
        <v>429009296.32385004</v>
      </c>
      <c r="AF203" s="13">
        <f t="shared" si="79"/>
        <v>453178827.92385006</v>
      </c>
      <c r="AG203" s="24">
        <f t="shared" si="74"/>
        <v>-5.3333320337863088E-2</v>
      </c>
      <c r="AH203" s="8">
        <f>--(COUNTIF('Tax Events'!$A$4:$A$8,A203)&gt;0)</f>
        <v>0</v>
      </c>
      <c r="AI203" s="8">
        <f>--(COUNTIF('Tax Events'!$B$4:$B$9,A203)&gt;0)</f>
        <v>0</v>
      </c>
    </row>
    <row r="204" spans="1:35">
      <c r="A204" s="4">
        <f>'H237 Tracker'!A204</f>
        <v>44606</v>
      </c>
      <c r="B204" s="13">
        <f t="shared" si="75"/>
        <v>343207434.29908007</v>
      </c>
      <c r="C204" s="13">
        <f t="shared" si="76"/>
        <v>85801862.024769992</v>
      </c>
      <c r="D204" s="13">
        <f t="shared" si="60"/>
        <v>343207434.29908007</v>
      </c>
      <c r="E204" s="13">
        <f t="shared" si="61"/>
        <v>85801862.024769992</v>
      </c>
      <c r="F204" s="13">
        <f>IF(AH204=1,MAX(R203,0)*Parameters!$B$11,0)</f>
        <v>0</v>
      </c>
      <c r="G204" s="13">
        <f>IF(AI204=1,MAX(S203,0)*Parameters!$B$11,0)</f>
        <v>0</v>
      </c>
      <c r="H204" s="13">
        <f t="shared" si="62"/>
        <v>343207434.29908007</v>
      </c>
      <c r="I204" s="13">
        <f t="shared" si="63"/>
        <v>85801862.024769992</v>
      </c>
      <c r="J204" s="13">
        <f t="shared" si="64"/>
        <v>0</v>
      </c>
      <c r="K204" s="13">
        <f t="shared" si="65"/>
        <v>0</v>
      </c>
      <c r="L204" s="13">
        <f t="shared" si="66"/>
        <v>343207434.29908007</v>
      </c>
      <c r="M204" s="13">
        <f t="shared" si="67"/>
        <v>85801862.024769992</v>
      </c>
      <c r="N204" s="13">
        <f>MAX(0,INT(L204*Parameters!$B$14/Parameters!$B$13/Parameters!$B$12)*Parameters!$B$12)</f>
        <v>228804920</v>
      </c>
      <c r="O204" s="13">
        <f>MAX(0,INT(M204*Parameters!$B$14/Parameters!$B$13/Parameters!$B$12)*Parameters!$B$12)</f>
        <v>57201230</v>
      </c>
      <c r="P204" s="13">
        <f>N204*Parameters!$B$13*'H237 Tracker'!B204</f>
        <v>74727686.872000009</v>
      </c>
      <c r="Q204" s="13">
        <f>O204*Parameters!$B$13*'H237 Tracker'!C204</f>
        <v>-4061287.33</v>
      </c>
      <c r="R204" s="13">
        <f t="shared" si="77"/>
        <v>325297890.07500005</v>
      </c>
      <c r="S204" s="13">
        <f t="shared" si="78"/>
        <v>-6478237.7300000004</v>
      </c>
      <c r="T204" s="13">
        <f t="shared" si="68"/>
        <v>417935121.17108011</v>
      </c>
      <c r="U204" s="13">
        <f t="shared" si="69"/>
        <v>81740574.694769993</v>
      </c>
      <c r="V204" s="12">
        <f t="shared" si="70"/>
        <v>0.83641274656529385</v>
      </c>
      <c r="W204" t="str">
        <f>'H237 Tracker'!I204</f>
        <v>B</v>
      </c>
      <c r="X204">
        <f>'H237 Tracker'!J204</f>
        <v>5</v>
      </c>
      <c r="Y204" t="str">
        <f>'H237 Tracker'!K204</f>
        <v>B</v>
      </c>
      <c r="Z204" s="12">
        <f>'H237 Tracker'!O204</f>
        <v>0.73641274656529387</v>
      </c>
      <c r="AA204" s="13">
        <f>'H237 Tracker'!P204</f>
        <v>49967569.586584985</v>
      </c>
      <c r="AB204" s="13">
        <f>'H237 Tracker'!Q204</f>
        <v>0</v>
      </c>
      <c r="AC204" s="13">
        <f t="shared" si="71"/>
        <v>367967551.58449513</v>
      </c>
      <c r="AD204" s="13">
        <f t="shared" si="72"/>
        <v>131708144.28135498</v>
      </c>
      <c r="AE204" s="13">
        <f t="shared" si="73"/>
        <v>499675695.86585009</v>
      </c>
      <c r="AF204" s="13">
        <f t="shared" si="79"/>
        <v>499675695.86585009</v>
      </c>
      <c r="AG204" s="24">
        <f t="shared" si="74"/>
        <v>0</v>
      </c>
      <c r="AH204" s="8">
        <f>--(COUNTIF('Tax Events'!$A$4:$A$8,A204)&gt;0)</f>
        <v>0</v>
      </c>
      <c r="AI204" s="8">
        <f>--(COUNTIF('Tax Events'!$B$4:$B$9,A204)&gt;0)</f>
        <v>0</v>
      </c>
    </row>
    <row r="205" spans="1:35">
      <c r="A205" s="4">
        <f>'H237 Tracker'!A205</f>
        <v>44613</v>
      </c>
      <c r="B205" s="13">
        <f t="shared" si="75"/>
        <v>367967551.58449513</v>
      </c>
      <c r="C205" s="13">
        <f t="shared" si="76"/>
        <v>131708144.28135498</v>
      </c>
      <c r="D205" s="13">
        <f t="shared" si="60"/>
        <v>367967551.58449513</v>
      </c>
      <c r="E205" s="13">
        <f t="shared" si="61"/>
        <v>131708144.28135498</v>
      </c>
      <c r="F205" s="13">
        <f>IF(AH205=1,MAX(R204,0)*Parameters!$B$11,0)</f>
        <v>0</v>
      </c>
      <c r="G205" s="13">
        <f>IF(AI205=1,MAX(S204,0)*Parameters!$B$11,0)</f>
        <v>0</v>
      </c>
      <c r="H205" s="13">
        <f t="shared" si="62"/>
        <v>367967551.58449513</v>
      </c>
      <c r="I205" s="13">
        <f t="shared" si="63"/>
        <v>131708144.28135498</v>
      </c>
      <c r="J205" s="13">
        <f t="shared" si="64"/>
        <v>0</v>
      </c>
      <c r="K205" s="13">
        <f t="shared" si="65"/>
        <v>0</v>
      </c>
      <c r="L205" s="13">
        <f t="shared" si="66"/>
        <v>367967551.58449513</v>
      </c>
      <c r="M205" s="13">
        <f t="shared" si="67"/>
        <v>131708144.28135498</v>
      </c>
      <c r="N205" s="13">
        <f>MAX(0,INT(L205*Parameters!$B$14/Parameters!$B$13/Parameters!$B$12)*Parameters!$B$12)</f>
        <v>245311675</v>
      </c>
      <c r="O205" s="13">
        <f>MAX(0,INT(M205*Parameters!$B$14/Parameters!$B$13/Parameters!$B$12)*Parameters!$B$12)</f>
        <v>87805375</v>
      </c>
      <c r="P205" s="13">
        <f>N205*Parameters!$B$13*'H237 Tracker'!B205</f>
        <v>-141348587.13499999</v>
      </c>
      <c r="Q205" s="13">
        <f>O205*Parameters!$B$13*'H237 Tracker'!C205</f>
        <v>-11607870.575000001</v>
      </c>
      <c r="R205" s="13">
        <f t="shared" si="77"/>
        <v>183949302.94000006</v>
      </c>
      <c r="S205" s="13">
        <f t="shared" si="78"/>
        <v>-18086108.305</v>
      </c>
      <c r="T205" s="13">
        <f t="shared" si="68"/>
        <v>226618964.44949514</v>
      </c>
      <c r="U205" s="13">
        <f t="shared" si="69"/>
        <v>120100273.70635498</v>
      </c>
      <c r="V205" s="12">
        <f t="shared" si="70"/>
        <v>0.65360943238929836</v>
      </c>
      <c r="W205" t="str">
        <f>'H237 Tracker'!I205</f>
        <v>B</v>
      </c>
      <c r="X205">
        <f>'H237 Tracker'!J205</f>
        <v>6</v>
      </c>
      <c r="Y205" t="str">
        <f>'H237 Tracker'!K205</f>
        <v>B</v>
      </c>
      <c r="Z205" s="12">
        <f>'H237 Tracker'!O205</f>
        <v>0.55360943238929838</v>
      </c>
      <c r="AA205" s="13">
        <f>'H237 Tracker'!P205</f>
        <v>34671923.815584987</v>
      </c>
      <c r="AB205" s="13">
        <f>'H237 Tracker'!Q205</f>
        <v>0</v>
      </c>
      <c r="AC205" s="13">
        <f t="shared" si="71"/>
        <v>191947040.63391015</v>
      </c>
      <c r="AD205" s="13">
        <f t="shared" si="72"/>
        <v>154772197.52193996</v>
      </c>
      <c r="AE205" s="13">
        <f t="shared" si="73"/>
        <v>346719238.15585011</v>
      </c>
      <c r="AF205" s="13">
        <f t="shared" si="79"/>
        <v>499675695.86585009</v>
      </c>
      <c r="AG205" s="24">
        <f t="shared" si="74"/>
        <v>-0.30611146184517413</v>
      </c>
      <c r="AH205" s="8">
        <f>--(COUNTIF('Tax Events'!$A$4:$A$8,A205)&gt;0)</f>
        <v>0</v>
      </c>
      <c r="AI205" s="8">
        <f>--(COUNTIF('Tax Events'!$B$4:$B$9,A205)&gt;0)</f>
        <v>0</v>
      </c>
    </row>
    <row r="206" spans="1:35">
      <c r="A206" s="4">
        <f>'H237 Tracker'!A206</f>
        <v>44620</v>
      </c>
      <c r="B206" s="13">
        <f t="shared" si="75"/>
        <v>191947040.63391015</v>
      </c>
      <c r="C206" s="13">
        <f t="shared" si="76"/>
        <v>154772197.52193996</v>
      </c>
      <c r="D206" s="13">
        <f t="shared" si="60"/>
        <v>191947040.63391015</v>
      </c>
      <c r="E206" s="13">
        <f t="shared" si="61"/>
        <v>154772197.52193996</v>
      </c>
      <c r="F206" s="13">
        <f>IF(AH206=1,MAX(R205,0)*Parameters!$B$11,0)</f>
        <v>0</v>
      </c>
      <c r="G206" s="13">
        <f>IF(AI206=1,MAX(S205,0)*Parameters!$B$11,0)</f>
        <v>0</v>
      </c>
      <c r="H206" s="13">
        <f t="shared" si="62"/>
        <v>191947040.63391015</v>
      </c>
      <c r="I206" s="13">
        <f t="shared" si="63"/>
        <v>154772197.52193996</v>
      </c>
      <c r="J206" s="13">
        <f t="shared" si="64"/>
        <v>0</v>
      </c>
      <c r="K206" s="13">
        <f t="shared" si="65"/>
        <v>0</v>
      </c>
      <c r="L206" s="13">
        <f t="shared" si="66"/>
        <v>191947040.63391015</v>
      </c>
      <c r="M206" s="13">
        <f t="shared" si="67"/>
        <v>154772197.52193996</v>
      </c>
      <c r="N206" s="13">
        <f>MAX(0,INT(L206*Parameters!$B$14/Parameters!$B$13/Parameters!$B$12)*Parameters!$B$12)</f>
        <v>127964640</v>
      </c>
      <c r="O206" s="13">
        <f>MAX(0,INT(M206*Parameters!$B$14/Parameters!$B$13/Parameters!$B$12)*Parameters!$B$12)</f>
        <v>103181450</v>
      </c>
      <c r="P206" s="13">
        <f>N206*Parameters!$B$13*'H237 Tracker'!B206</f>
        <v>32682169.056000002</v>
      </c>
      <c r="Q206" s="13">
        <f>O206*Parameters!$B$13*'H237 Tracker'!C206</f>
        <v>26352542.330000002</v>
      </c>
      <c r="R206" s="13">
        <f t="shared" si="77"/>
        <v>216631471.99600005</v>
      </c>
      <c r="S206" s="13">
        <f t="shared" si="78"/>
        <v>8266434.0250000022</v>
      </c>
      <c r="T206" s="13">
        <f t="shared" si="68"/>
        <v>224629209.68991014</v>
      </c>
      <c r="U206" s="13">
        <f t="shared" si="69"/>
        <v>181124739.85193998</v>
      </c>
      <c r="V206" s="12">
        <f t="shared" si="70"/>
        <v>0.55360942251713441</v>
      </c>
      <c r="W206" t="str">
        <f>'H237 Tracker'!I206</f>
        <v>B</v>
      </c>
      <c r="X206">
        <f>'H237 Tracker'!J206</f>
        <v>7</v>
      </c>
      <c r="Y206" t="str">
        <f>'H237 Tracker'!K206</f>
        <v>B</v>
      </c>
      <c r="Z206" s="12">
        <f>'H237 Tracker'!O206</f>
        <v>0.45360942251713443</v>
      </c>
      <c r="AA206" s="13">
        <f>'H237 Tracker'!P206</f>
        <v>40575394.954185009</v>
      </c>
      <c r="AB206" s="13">
        <f>'H237 Tracker'!Q206</f>
        <v>0</v>
      </c>
      <c r="AC206" s="13">
        <f t="shared" si="71"/>
        <v>184053814.73572513</v>
      </c>
      <c r="AD206" s="13">
        <f t="shared" si="72"/>
        <v>221700134.80612499</v>
      </c>
      <c r="AE206" s="13">
        <f t="shared" si="73"/>
        <v>405753949.54185009</v>
      </c>
      <c r="AF206" s="13">
        <f t="shared" si="79"/>
        <v>499675695.86585009</v>
      </c>
      <c r="AG206" s="24">
        <f t="shared" si="74"/>
        <v>-0.1879654085661504</v>
      </c>
      <c r="AH206" s="8">
        <f>--(COUNTIF('Tax Events'!$A$4:$A$8,A206)&gt;0)</f>
        <v>0</v>
      </c>
      <c r="AI206" s="8">
        <f>--(COUNTIF('Tax Events'!$B$4:$B$9,A206)&gt;0)</f>
        <v>0</v>
      </c>
    </row>
    <row r="207" spans="1:35">
      <c r="A207" s="4">
        <f>'H237 Tracker'!A207</f>
        <v>44627</v>
      </c>
      <c r="B207" s="13">
        <f t="shared" si="75"/>
        <v>184053814.73572513</v>
      </c>
      <c r="C207" s="13">
        <f t="shared" si="76"/>
        <v>221700134.80612499</v>
      </c>
      <c r="D207" s="13">
        <f t="shared" si="60"/>
        <v>184053814.73572513</v>
      </c>
      <c r="E207" s="13">
        <f t="shared" si="61"/>
        <v>221700134.80612499</v>
      </c>
      <c r="F207" s="13">
        <f>IF(AH207=1,MAX(R206,0)*Parameters!$B$11,0)</f>
        <v>0</v>
      </c>
      <c r="G207" s="13">
        <f>IF(AI207=1,MAX(S206,0)*Parameters!$B$11,0)</f>
        <v>0</v>
      </c>
      <c r="H207" s="13">
        <f t="shared" si="62"/>
        <v>184053814.73572513</v>
      </c>
      <c r="I207" s="13">
        <f t="shared" si="63"/>
        <v>221700134.80612499</v>
      </c>
      <c r="J207" s="13">
        <f t="shared" si="64"/>
        <v>0</v>
      </c>
      <c r="K207" s="13">
        <f t="shared" si="65"/>
        <v>0</v>
      </c>
      <c r="L207" s="13">
        <f t="shared" si="66"/>
        <v>184053814.73572513</v>
      </c>
      <c r="M207" s="13">
        <f t="shared" si="67"/>
        <v>221700134.80612499</v>
      </c>
      <c r="N207" s="13">
        <f>MAX(0,INT(L207*Parameters!$B$14/Parameters!$B$13/Parameters!$B$12)*Parameters!$B$12)</f>
        <v>122702470</v>
      </c>
      <c r="O207" s="13">
        <f>MAX(0,INT(M207*Parameters!$B$14/Parameters!$B$13/Parameters!$B$12)*Parameters!$B$12)</f>
        <v>147800070</v>
      </c>
      <c r="P207" s="13">
        <f>N207*Parameters!$B$13*'H237 Tracker'!B207</f>
        <v>-9816197.5999999996</v>
      </c>
      <c r="Q207" s="13">
        <f>O207*Parameters!$B$13*'H237 Tracker'!C207</f>
        <v>-54035705.592</v>
      </c>
      <c r="R207" s="13">
        <f t="shared" si="77"/>
        <v>206815274.39600006</v>
      </c>
      <c r="S207" s="13">
        <f t="shared" si="78"/>
        <v>-45769271.567000002</v>
      </c>
      <c r="T207" s="13">
        <f t="shared" si="68"/>
        <v>174237617.13572514</v>
      </c>
      <c r="U207" s="13">
        <f t="shared" si="69"/>
        <v>167664429.21412498</v>
      </c>
      <c r="V207" s="12">
        <f t="shared" si="70"/>
        <v>0.50961267706902547</v>
      </c>
      <c r="W207" t="str">
        <f>'H237 Tracker'!I207</f>
        <v>B</v>
      </c>
      <c r="X207">
        <f>'H237 Tracker'!J207</f>
        <v>8</v>
      </c>
      <c r="Y207" t="str">
        <f>'H237 Tracker'!K207</f>
        <v>B</v>
      </c>
      <c r="Z207" s="12">
        <f>'H237 Tracker'!O207</f>
        <v>0.40961267706902549</v>
      </c>
      <c r="AA207" s="13">
        <f>'H237 Tracker'!P207</f>
        <v>34190204.634985</v>
      </c>
      <c r="AB207" s="13">
        <f>'H237 Tracker'!Q207</f>
        <v>0</v>
      </c>
      <c r="AC207" s="13">
        <f t="shared" si="71"/>
        <v>140047412.50074014</v>
      </c>
      <c r="AD207" s="13">
        <f t="shared" si="72"/>
        <v>201854633.84910998</v>
      </c>
      <c r="AE207" s="13">
        <f t="shared" si="73"/>
        <v>341902046.34985012</v>
      </c>
      <c r="AF207" s="13">
        <f t="shared" si="79"/>
        <v>499675695.86585009</v>
      </c>
      <c r="AG207" s="24">
        <f t="shared" si="74"/>
        <v>-0.31575209845379004</v>
      </c>
      <c r="AH207" s="8">
        <f>--(COUNTIF('Tax Events'!$A$4:$A$8,A207)&gt;0)</f>
        <v>0</v>
      </c>
      <c r="AI207" s="8">
        <f>--(COUNTIF('Tax Events'!$B$4:$B$9,A207)&gt;0)</f>
        <v>0</v>
      </c>
    </row>
    <row r="208" spans="1:35">
      <c r="A208" s="4">
        <f>'H237 Tracker'!A208</f>
        <v>44634</v>
      </c>
      <c r="B208" s="13">
        <f t="shared" si="75"/>
        <v>140047412.50074014</v>
      </c>
      <c r="C208" s="13">
        <f t="shared" si="76"/>
        <v>201854633.84910998</v>
      </c>
      <c r="D208" s="13">
        <f t="shared" si="60"/>
        <v>140047412.50074014</v>
      </c>
      <c r="E208" s="13">
        <f t="shared" si="61"/>
        <v>201854633.84910998</v>
      </c>
      <c r="F208" s="13">
        <f>IF(AH208=1,MAX(R207,0)*Parameters!$B$11,0)</f>
        <v>0</v>
      </c>
      <c r="G208" s="13">
        <f>IF(AI208=1,MAX(S207,0)*Parameters!$B$11,0)</f>
        <v>0</v>
      </c>
      <c r="H208" s="13">
        <f t="shared" si="62"/>
        <v>140047412.50074014</v>
      </c>
      <c r="I208" s="13">
        <f t="shared" si="63"/>
        <v>201854633.84910998</v>
      </c>
      <c r="J208" s="13">
        <f t="shared" si="64"/>
        <v>0</v>
      </c>
      <c r="K208" s="13">
        <f t="shared" si="65"/>
        <v>0</v>
      </c>
      <c r="L208" s="13">
        <f t="shared" si="66"/>
        <v>140047412.50074014</v>
      </c>
      <c r="M208" s="13">
        <f t="shared" si="67"/>
        <v>201854633.84910998</v>
      </c>
      <c r="N208" s="13">
        <f>MAX(0,INT(L208*Parameters!$B$14/Parameters!$B$13/Parameters!$B$12)*Parameters!$B$12)</f>
        <v>93364935</v>
      </c>
      <c r="O208" s="13">
        <f>MAX(0,INT(M208*Parameters!$B$14/Parameters!$B$13/Parameters!$B$12)*Parameters!$B$12)</f>
        <v>134569665</v>
      </c>
      <c r="P208" s="13">
        <f>N208*Parameters!$B$13*'H237 Tracker'!B208</f>
        <v>98686736.295000002</v>
      </c>
      <c r="Q208" s="13">
        <f>O208*Parameters!$B$13*'H237 Tracker'!C208</f>
        <v>0</v>
      </c>
      <c r="R208" s="13">
        <f t="shared" si="77"/>
        <v>305502010.69100004</v>
      </c>
      <c r="S208" s="13">
        <f t="shared" si="78"/>
        <v>-45769271.567000002</v>
      </c>
      <c r="T208" s="13">
        <f t="shared" si="68"/>
        <v>238734148.79574013</v>
      </c>
      <c r="U208" s="13">
        <f t="shared" si="69"/>
        <v>201854633.84910998</v>
      </c>
      <c r="V208" s="12">
        <f t="shared" si="70"/>
        <v>0.54185253506142705</v>
      </c>
      <c r="W208" t="str">
        <f>'H237 Tracker'!I208</f>
        <v>A</v>
      </c>
      <c r="X208">
        <f>'H237 Tracker'!J208</f>
        <v>1</v>
      </c>
      <c r="Y208" t="str">
        <f>'H237 Tracker'!K208</f>
        <v>HOLD</v>
      </c>
      <c r="Z208" s="12">
        <f>'H237 Tracker'!O208</f>
        <v>0.54185253506142705</v>
      </c>
      <c r="AA208" s="13">
        <f>'H237 Tracker'!P208</f>
        <v>0</v>
      </c>
      <c r="AB208" s="13">
        <f>'H237 Tracker'!Q208</f>
        <v>0</v>
      </c>
      <c r="AC208" s="13">
        <f t="shared" si="71"/>
        <v>238734148.79574013</v>
      </c>
      <c r="AD208" s="13">
        <f t="shared" si="72"/>
        <v>201854633.84910998</v>
      </c>
      <c r="AE208" s="13">
        <f t="shared" si="73"/>
        <v>440588782.64485013</v>
      </c>
      <c r="AF208" s="13">
        <f t="shared" si="79"/>
        <v>499675695.86585009</v>
      </c>
      <c r="AG208" s="24">
        <f t="shared" si="74"/>
        <v>-0.1182505247100577</v>
      </c>
      <c r="AH208" s="8">
        <f>--(COUNTIF('Tax Events'!$A$4:$A$8,A208)&gt;0)</f>
        <v>0</v>
      </c>
      <c r="AI208" s="8">
        <f>--(COUNTIF('Tax Events'!$B$4:$B$9,A208)&gt;0)</f>
        <v>0</v>
      </c>
    </row>
    <row r="209" spans="1:35">
      <c r="A209" s="4">
        <f>'H237 Tracker'!A209</f>
        <v>44641</v>
      </c>
      <c r="B209" s="13">
        <f t="shared" si="75"/>
        <v>238734148.79574013</v>
      </c>
      <c r="C209" s="13">
        <f t="shared" si="76"/>
        <v>201854633.84910998</v>
      </c>
      <c r="D209" s="13">
        <f t="shared" si="60"/>
        <v>238734148.79574013</v>
      </c>
      <c r="E209" s="13">
        <f t="shared" si="61"/>
        <v>201854633.84910998</v>
      </c>
      <c r="F209" s="13">
        <f>IF(AH209=1,MAX(R208,0)*Parameters!$B$11,0)</f>
        <v>0</v>
      </c>
      <c r="G209" s="13">
        <f>IF(AI209=1,MAX(S208,0)*Parameters!$B$11,0)</f>
        <v>0</v>
      </c>
      <c r="H209" s="13">
        <f t="shared" si="62"/>
        <v>238734148.79574013</v>
      </c>
      <c r="I209" s="13">
        <f t="shared" si="63"/>
        <v>201854633.84910998</v>
      </c>
      <c r="J209" s="13">
        <f t="shared" si="64"/>
        <v>0</v>
      </c>
      <c r="K209" s="13">
        <f t="shared" si="65"/>
        <v>0</v>
      </c>
      <c r="L209" s="13">
        <f t="shared" si="66"/>
        <v>238734148.79574013</v>
      </c>
      <c r="M209" s="13">
        <f t="shared" si="67"/>
        <v>201854633.84910998</v>
      </c>
      <c r="N209" s="13">
        <f>MAX(0,INT(L209*Parameters!$B$14/Parameters!$B$13/Parameters!$B$12)*Parameters!$B$12)</f>
        <v>159156090</v>
      </c>
      <c r="O209" s="13">
        <f>MAX(0,INT(M209*Parameters!$B$14/Parameters!$B$13/Parameters!$B$12)*Parameters!$B$12)</f>
        <v>134569665</v>
      </c>
      <c r="P209" s="13">
        <f>N209*Parameters!$B$13*'H237 Tracker'!B209</f>
        <v>82920322.890000001</v>
      </c>
      <c r="Q209" s="13">
        <f>O209*Parameters!$B$13*'H237 Tracker'!C209</f>
        <v>-15583167.207</v>
      </c>
      <c r="R209" s="13">
        <f t="shared" si="77"/>
        <v>388422333.58100003</v>
      </c>
      <c r="S209" s="13">
        <f t="shared" si="78"/>
        <v>-61352438.774000004</v>
      </c>
      <c r="T209" s="13">
        <f t="shared" si="68"/>
        <v>321654471.68574011</v>
      </c>
      <c r="U209" s="13">
        <f t="shared" si="69"/>
        <v>186271466.64210999</v>
      </c>
      <c r="V209" s="12">
        <f t="shared" si="70"/>
        <v>0.63327041880291279</v>
      </c>
      <c r="W209" t="str">
        <f>'H237 Tracker'!I209</f>
        <v>A</v>
      </c>
      <c r="X209">
        <f>'H237 Tracker'!J209</f>
        <v>2</v>
      </c>
      <c r="Y209" t="str">
        <f>'H237 Tracker'!K209</f>
        <v>HOLD</v>
      </c>
      <c r="Z209" s="12">
        <f>'H237 Tracker'!O209</f>
        <v>0.63327041880291279</v>
      </c>
      <c r="AA209" s="13">
        <f>'H237 Tracker'!P209</f>
        <v>0</v>
      </c>
      <c r="AB209" s="13">
        <f>'H237 Tracker'!Q209</f>
        <v>0</v>
      </c>
      <c r="AC209" s="13">
        <f t="shared" si="71"/>
        <v>321654471.68574011</v>
      </c>
      <c r="AD209" s="13">
        <f t="shared" si="72"/>
        <v>186271466.64210999</v>
      </c>
      <c r="AE209" s="13">
        <f t="shared" si="73"/>
        <v>507925938.3278501</v>
      </c>
      <c r="AF209" s="13">
        <f t="shared" si="79"/>
        <v>507925938.3278501</v>
      </c>
      <c r="AG209" s="24">
        <f t="shared" si="74"/>
        <v>0</v>
      </c>
      <c r="AH209" s="8">
        <f>--(COUNTIF('Tax Events'!$A$4:$A$8,A209)&gt;0)</f>
        <v>0</v>
      </c>
      <c r="AI209" s="8">
        <f>--(COUNTIF('Tax Events'!$B$4:$B$9,A209)&gt;0)</f>
        <v>0</v>
      </c>
    </row>
    <row r="210" spans="1:35">
      <c r="A210" s="4">
        <f>'H237 Tracker'!A210</f>
        <v>44648</v>
      </c>
      <c r="B210" s="13">
        <f t="shared" si="75"/>
        <v>321654471.68574011</v>
      </c>
      <c r="C210" s="13">
        <f t="shared" si="76"/>
        <v>186271466.64210999</v>
      </c>
      <c r="D210" s="13">
        <f t="shared" si="60"/>
        <v>321654471.68574011</v>
      </c>
      <c r="E210" s="13">
        <f t="shared" si="61"/>
        <v>186271466.64210999</v>
      </c>
      <c r="F210" s="13">
        <f>IF(AH210=1,MAX(R209,0)*Parameters!$B$11,0)</f>
        <v>0</v>
      </c>
      <c r="G210" s="13">
        <f>IF(AI210=1,MAX(S209,0)*Parameters!$B$11,0)</f>
        <v>0</v>
      </c>
      <c r="H210" s="13">
        <f t="shared" si="62"/>
        <v>321654471.68574011</v>
      </c>
      <c r="I210" s="13">
        <f t="shared" si="63"/>
        <v>186271466.64210999</v>
      </c>
      <c r="J210" s="13">
        <f t="shared" si="64"/>
        <v>0</v>
      </c>
      <c r="K210" s="13">
        <f t="shared" si="65"/>
        <v>0</v>
      </c>
      <c r="L210" s="13">
        <f t="shared" si="66"/>
        <v>321654471.68574011</v>
      </c>
      <c r="M210" s="13">
        <f t="shared" si="67"/>
        <v>186271466.64210999</v>
      </c>
      <c r="N210" s="13">
        <f>MAX(0,INT(L210*Parameters!$B$14/Parameters!$B$13/Parameters!$B$12)*Parameters!$B$12)</f>
        <v>214436245</v>
      </c>
      <c r="O210" s="13">
        <f>MAX(0,INT(M210*Parameters!$B$14/Parameters!$B$13/Parameters!$B$12)*Parameters!$B$12)</f>
        <v>124180910</v>
      </c>
      <c r="P210" s="13">
        <f>N210*Parameters!$B$13*'H237 Tracker'!B210</f>
        <v>67761853.420000002</v>
      </c>
      <c r="Q210" s="13">
        <f>O210*Parameters!$B$13*'H237 Tracker'!C210</f>
        <v>39241167.560000002</v>
      </c>
      <c r="R210" s="13">
        <f t="shared" si="77"/>
        <v>456184187.00100005</v>
      </c>
      <c r="S210" s="13">
        <f t="shared" si="78"/>
        <v>-22111271.214000002</v>
      </c>
      <c r="T210" s="13">
        <f t="shared" si="68"/>
        <v>389416325.10574013</v>
      </c>
      <c r="U210" s="13">
        <f t="shared" si="69"/>
        <v>225512634.20210999</v>
      </c>
      <c r="V210" s="12">
        <f t="shared" si="70"/>
        <v>0.63327042776462861</v>
      </c>
      <c r="W210" t="str">
        <f>'H237 Tracker'!I210</f>
        <v>A</v>
      </c>
      <c r="X210">
        <f>'H237 Tracker'!J210</f>
        <v>3</v>
      </c>
      <c r="Y210" t="str">
        <f>'H237 Tracker'!K210</f>
        <v>A</v>
      </c>
      <c r="Z210" s="12">
        <f>'H237 Tracker'!O210</f>
        <v>0.73327042776462859</v>
      </c>
      <c r="AA210" s="13">
        <f>'H237 Tracker'!P210</f>
        <v>0</v>
      </c>
      <c r="AB210" s="13">
        <f>'H237 Tracker'!Q210</f>
        <v>61492895.930785</v>
      </c>
      <c r="AC210" s="13">
        <f t="shared" si="71"/>
        <v>450909221.03652513</v>
      </c>
      <c r="AD210" s="13">
        <f t="shared" si="72"/>
        <v>164019738.27132499</v>
      </c>
      <c r="AE210" s="13">
        <f t="shared" si="73"/>
        <v>614928959.30785012</v>
      </c>
      <c r="AF210" s="13">
        <f t="shared" si="79"/>
        <v>614928959.30785012</v>
      </c>
      <c r="AG210" s="24">
        <f t="shared" si="74"/>
        <v>0</v>
      </c>
      <c r="AH210" s="8">
        <f>--(COUNTIF('Tax Events'!$A$4:$A$8,A210)&gt;0)</f>
        <v>0</v>
      </c>
      <c r="AI210" s="8">
        <f>--(COUNTIF('Tax Events'!$B$4:$B$9,A210)&gt;0)</f>
        <v>0</v>
      </c>
    </row>
    <row r="211" spans="1:35">
      <c r="A211" s="4">
        <f>'H237 Tracker'!A211</f>
        <v>44655</v>
      </c>
      <c r="B211" s="13">
        <f t="shared" si="75"/>
        <v>450909221.03652513</v>
      </c>
      <c r="C211" s="13">
        <f t="shared" si="76"/>
        <v>164019738.27132499</v>
      </c>
      <c r="D211" s="13">
        <f t="shared" si="60"/>
        <v>450909221.03652513</v>
      </c>
      <c r="E211" s="13">
        <f t="shared" si="61"/>
        <v>164019738.27132499</v>
      </c>
      <c r="F211" s="13">
        <f>IF(AH211=1,MAX(R210,0)*Parameters!$B$11,0)</f>
        <v>0</v>
      </c>
      <c r="G211" s="13">
        <f>IF(AI211=1,MAX(S210,0)*Parameters!$B$11,0)</f>
        <v>0</v>
      </c>
      <c r="H211" s="13">
        <f t="shared" si="62"/>
        <v>450909221.03652513</v>
      </c>
      <c r="I211" s="13">
        <f t="shared" si="63"/>
        <v>164019738.27132499</v>
      </c>
      <c r="J211" s="13">
        <f t="shared" si="64"/>
        <v>0</v>
      </c>
      <c r="K211" s="13">
        <f t="shared" si="65"/>
        <v>0</v>
      </c>
      <c r="L211" s="13">
        <f t="shared" si="66"/>
        <v>450909221.03652513</v>
      </c>
      <c r="M211" s="13">
        <f t="shared" si="67"/>
        <v>164019738.27132499</v>
      </c>
      <c r="N211" s="13">
        <f>MAX(0,INT(L211*Parameters!$B$14/Parameters!$B$13/Parameters!$B$12)*Parameters!$B$12)</f>
        <v>300606090</v>
      </c>
      <c r="O211" s="13">
        <f>MAX(0,INT(M211*Parameters!$B$14/Parameters!$B$13/Parameters!$B$12)*Parameters!$B$12)</f>
        <v>109346485</v>
      </c>
      <c r="P211" s="13">
        <f>N211*Parameters!$B$13*'H237 Tracker'!B211</f>
        <v>108158071.182</v>
      </c>
      <c r="Q211" s="13">
        <f>O211*Parameters!$B$13*'H237 Tracker'!C211</f>
        <v>39342865.302999996</v>
      </c>
      <c r="R211" s="13">
        <f t="shared" si="77"/>
        <v>564342258.18300009</v>
      </c>
      <c r="S211" s="13">
        <f t="shared" si="78"/>
        <v>17231594.088999994</v>
      </c>
      <c r="T211" s="13">
        <f t="shared" si="68"/>
        <v>559067292.21852517</v>
      </c>
      <c r="U211" s="13">
        <f t="shared" si="69"/>
        <v>203362603.574325</v>
      </c>
      <c r="V211" s="12">
        <f t="shared" si="70"/>
        <v>0.73327042302971557</v>
      </c>
      <c r="W211" t="str">
        <f>'H237 Tracker'!I211</f>
        <v>A</v>
      </c>
      <c r="X211">
        <f>'H237 Tracker'!J211</f>
        <v>4</v>
      </c>
      <c r="Y211" t="str">
        <f>'H237 Tracker'!K211</f>
        <v>A</v>
      </c>
      <c r="Z211" s="12">
        <f>'H237 Tracker'!O211</f>
        <v>0.83327042302971555</v>
      </c>
      <c r="AA211" s="13">
        <f>'H237 Tracker'!P211</f>
        <v>0</v>
      </c>
      <c r="AB211" s="13">
        <f>'H237 Tracker'!Q211</f>
        <v>76242989.579285026</v>
      </c>
      <c r="AC211" s="13">
        <f t="shared" si="71"/>
        <v>635310281.7978102</v>
      </c>
      <c r="AD211" s="13">
        <f t="shared" si="72"/>
        <v>127119613.99503997</v>
      </c>
      <c r="AE211" s="13">
        <f t="shared" si="73"/>
        <v>762429895.79285014</v>
      </c>
      <c r="AF211" s="13">
        <f t="shared" si="79"/>
        <v>762429895.79285014</v>
      </c>
      <c r="AG211" s="24">
        <f t="shared" si="74"/>
        <v>0</v>
      </c>
      <c r="AH211" s="8">
        <f>--(COUNTIF('Tax Events'!$A$4:$A$8,A211)&gt;0)</f>
        <v>0</v>
      </c>
      <c r="AI211" s="8">
        <f>--(COUNTIF('Tax Events'!$B$4:$B$9,A211)&gt;0)</f>
        <v>0</v>
      </c>
    </row>
    <row r="212" spans="1:35">
      <c r="A212" s="4">
        <f>'H237 Tracker'!A212</f>
        <v>44662</v>
      </c>
      <c r="B212" s="13">
        <f t="shared" si="75"/>
        <v>635310281.7978102</v>
      </c>
      <c r="C212" s="13">
        <f t="shared" si="76"/>
        <v>127119613.99503997</v>
      </c>
      <c r="D212" s="13">
        <f t="shared" si="60"/>
        <v>635310281.7978102</v>
      </c>
      <c r="E212" s="13">
        <f t="shared" si="61"/>
        <v>127119613.99503997</v>
      </c>
      <c r="F212" s="13">
        <f>IF(AH212=1,MAX(R211,0)*Parameters!$B$11,0)</f>
        <v>0</v>
      </c>
      <c r="G212" s="13">
        <f>IF(AI212=1,MAX(S211,0)*Parameters!$B$11,0)</f>
        <v>0</v>
      </c>
      <c r="H212" s="13">
        <f t="shared" si="62"/>
        <v>635310281.7978102</v>
      </c>
      <c r="I212" s="13">
        <f t="shared" si="63"/>
        <v>127119613.99503997</v>
      </c>
      <c r="J212" s="13">
        <f t="shared" si="64"/>
        <v>0</v>
      </c>
      <c r="K212" s="13">
        <f t="shared" si="65"/>
        <v>0</v>
      </c>
      <c r="L212" s="13">
        <f t="shared" si="66"/>
        <v>635310281.7978102</v>
      </c>
      <c r="M212" s="13">
        <f t="shared" si="67"/>
        <v>127119613.99503997</v>
      </c>
      <c r="N212" s="13">
        <f>MAX(0,INT(L212*Parameters!$B$14/Parameters!$B$13/Parameters!$B$12)*Parameters!$B$12)</f>
        <v>423540170</v>
      </c>
      <c r="O212" s="13">
        <f>MAX(0,INT(M212*Parameters!$B$14/Parameters!$B$13/Parameters!$B$12)*Parameters!$B$12)</f>
        <v>84746375</v>
      </c>
      <c r="P212" s="13">
        <f>N212*Parameters!$B$13*'H237 Tracker'!B212</f>
        <v>-33798505.566</v>
      </c>
      <c r="Q212" s="13">
        <f>O212*Parameters!$B$13*'H237 Tracker'!C212</f>
        <v>0</v>
      </c>
      <c r="R212" s="13">
        <f t="shared" si="77"/>
        <v>530543752.6170001</v>
      </c>
      <c r="S212" s="13">
        <f t="shared" si="78"/>
        <v>17231594.088999994</v>
      </c>
      <c r="T212" s="13">
        <f t="shared" si="68"/>
        <v>601511776.23181021</v>
      </c>
      <c r="U212" s="13">
        <f t="shared" si="69"/>
        <v>127119613.99503997</v>
      </c>
      <c r="V212" s="12">
        <f t="shared" si="70"/>
        <v>0.82553645684210386</v>
      </c>
      <c r="W212" t="str">
        <f>'H237 Tracker'!I212</f>
        <v>A</v>
      </c>
      <c r="X212">
        <f>'H237 Tracker'!J212</f>
        <v>5</v>
      </c>
      <c r="Y212" t="str">
        <f>'H237 Tracker'!K212</f>
        <v>A</v>
      </c>
      <c r="Z212" s="12">
        <f>'H237 Tracker'!O212</f>
        <v>0.92553645684210384</v>
      </c>
      <c r="AA212" s="13">
        <f>'H237 Tracker'!P212</f>
        <v>0</v>
      </c>
      <c r="AB212" s="13">
        <f>'H237 Tracker'!Q212</f>
        <v>72863139.022685051</v>
      </c>
      <c r="AC212" s="13">
        <f t="shared" si="71"/>
        <v>674374915.25449526</v>
      </c>
      <c r="AD212" s="13">
        <f t="shared" si="72"/>
        <v>54256474.972354919</v>
      </c>
      <c r="AE212" s="13">
        <f t="shared" si="73"/>
        <v>728631390.22685015</v>
      </c>
      <c r="AF212" s="13">
        <f t="shared" si="79"/>
        <v>762429895.79285014</v>
      </c>
      <c r="AG212" s="24">
        <f t="shared" si="74"/>
        <v>-4.4329984635312569E-2</v>
      </c>
      <c r="AH212" s="8">
        <f>--(COUNTIF('Tax Events'!$A$4:$A$8,A212)&gt;0)</f>
        <v>0</v>
      </c>
      <c r="AI212" s="8">
        <f>--(COUNTIF('Tax Events'!$B$4:$B$9,A212)&gt;0)</f>
        <v>0</v>
      </c>
    </row>
    <row r="213" spans="1:35">
      <c r="A213" s="4">
        <f>'H237 Tracker'!A213</f>
        <v>44669</v>
      </c>
      <c r="B213" s="13">
        <f t="shared" si="75"/>
        <v>674374915.25449526</v>
      </c>
      <c r="C213" s="13">
        <f t="shared" si="76"/>
        <v>54256474.972354919</v>
      </c>
      <c r="D213" s="13">
        <f t="shared" si="60"/>
        <v>674374915.25449526</v>
      </c>
      <c r="E213" s="13">
        <f t="shared" si="61"/>
        <v>54256474.972354919</v>
      </c>
      <c r="F213" s="13">
        <f>IF(AH213=1,MAX(R212,0)*Parameters!$B$11,0)</f>
        <v>0</v>
      </c>
      <c r="G213" s="13">
        <f>IF(AI213=1,MAX(S212,0)*Parameters!$B$11,0)</f>
        <v>0</v>
      </c>
      <c r="H213" s="13">
        <f t="shared" si="62"/>
        <v>674374915.25449526</v>
      </c>
      <c r="I213" s="13">
        <f t="shared" si="63"/>
        <v>54256474.972354919</v>
      </c>
      <c r="J213" s="13">
        <f t="shared" si="64"/>
        <v>0</v>
      </c>
      <c r="K213" s="13">
        <f t="shared" si="65"/>
        <v>0</v>
      </c>
      <c r="L213" s="13">
        <f t="shared" si="66"/>
        <v>674374915.25449526</v>
      </c>
      <c r="M213" s="13">
        <f t="shared" si="67"/>
        <v>54256474.972354919</v>
      </c>
      <c r="N213" s="13">
        <f>MAX(0,INT(L213*Parameters!$B$14/Parameters!$B$13/Parameters!$B$12)*Parameters!$B$12)</f>
        <v>449583185</v>
      </c>
      <c r="O213" s="13">
        <f>MAX(0,INT(M213*Parameters!$B$14/Parameters!$B$13/Parameters!$B$12)*Parameters!$B$12)</f>
        <v>36170950</v>
      </c>
      <c r="P213" s="13">
        <f>N213*Parameters!$B$13*'H237 Tracker'!B213</f>
        <v>75619891.717000008</v>
      </c>
      <c r="Q213" s="13">
        <f>O213*Parameters!$B$13*'H237 Tracker'!C213</f>
        <v>6083953.790000001</v>
      </c>
      <c r="R213" s="13">
        <f t="shared" si="77"/>
        <v>606163644.33400011</v>
      </c>
      <c r="S213" s="13">
        <f t="shared" si="78"/>
        <v>23315547.878999993</v>
      </c>
      <c r="T213" s="13">
        <f t="shared" si="68"/>
        <v>749994806.97149527</v>
      </c>
      <c r="U213" s="13">
        <f t="shared" si="69"/>
        <v>60340428.762354918</v>
      </c>
      <c r="V213" s="12">
        <f t="shared" si="70"/>
        <v>0.92553646182285298</v>
      </c>
      <c r="W213" t="str">
        <f>'H237 Tracker'!I213</f>
        <v>A</v>
      </c>
      <c r="X213">
        <f>'H237 Tracker'!J213</f>
        <v>6</v>
      </c>
      <c r="Y213" t="str">
        <f>'H237 Tracker'!K213</f>
        <v>A</v>
      </c>
      <c r="Z213" s="12">
        <f>'H237 Tracker'!O213</f>
        <v>1</v>
      </c>
      <c r="AA213" s="13">
        <f>'H237 Tracker'!P213</f>
        <v>0</v>
      </c>
      <c r="AB213" s="13">
        <f>'H237 Tracker'!Q213</f>
        <v>60340428.76235497</v>
      </c>
      <c r="AC213" s="13">
        <f t="shared" si="71"/>
        <v>810335235.73385024</v>
      </c>
      <c r="AD213" s="13">
        <f t="shared" si="72"/>
        <v>0</v>
      </c>
      <c r="AE213" s="13">
        <f t="shared" si="73"/>
        <v>810335235.73385024</v>
      </c>
      <c r="AF213" s="13">
        <f t="shared" si="79"/>
        <v>810335235.73385024</v>
      </c>
      <c r="AG213" s="24">
        <f t="shared" si="74"/>
        <v>0</v>
      </c>
      <c r="AH213" s="8">
        <f>--(COUNTIF('Tax Events'!$A$4:$A$8,A213)&gt;0)</f>
        <v>0</v>
      </c>
      <c r="AI213" s="8">
        <f>--(COUNTIF('Tax Events'!$B$4:$B$9,A213)&gt;0)</f>
        <v>0</v>
      </c>
    </row>
    <row r="214" spans="1:35">
      <c r="A214" s="4">
        <f>'H237 Tracker'!A214</f>
        <v>44676</v>
      </c>
      <c r="B214" s="13">
        <f t="shared" si="75"/>
        <v>810335235.73385024</v>
      </c>
      <c r="C214" s="13">
        <f t="shared" si="76"/>
        <v>0</v>
      </c>
      <c r="D214" s="13">
        <f t="shared" si="60"/>
        <v>810335235.73385024</v>
      </c>
      <c r="E214" s="13">
        <f t="shared" si="61"/>
        <v>0</v>
      </c>
      <c r="F214" s="13">
        <f>IF(AH214=1,MAX(R213,0)*Parameters!$B$11,0)</f>
        <v>0</v>
      </c>
      <c r="G214" s="13">
        <f>IF(AI214=1,MAX(S213,0)*Parameters!$B$11,0)</f>
        <v>0</v>
      </c>
      <c r="H214" s="13">
        <f t="shared" si="62"/>
        <v>810335235.73385024</v>
      </c>
      <c r="I214" s="13">
        <f t="shared" si="63"/>
        <v>0</v>
      </c>
      <c r="J214" s="13">
        <f t="shared" si="64"/>
        <v>0</v>
      </c>
      <c r="K214" s="13">
        <f t="shared" si="65"/>
        <v>0</v>
      </c>
      <c r="L214" s="13">
        <f t="shared" si="66"/>
        <v>810335235.73385024</v>
      </c>
      <c r="M214" s="13">
        <f t="shared" si="67"/>
        <v>0</v>
      </c>
      <c r="N214" s="13">
        <f>MAX(0,INT(L214*Parameters!$B$14/Parameters!$B$13/Parameters!$B$12)*Parameters!$B$12)</f>
        <v>540223425</v>
      </c>
      <c r="O214" s="13">
        <f>MAX(0,INT(M214*Parameters!$B$14/Parameters!$B$13/Parameters!$B$12)*Parameters!$B$12)</f>
        <v>0</v>
      </c>
      <c r="P214" s="13">
        <f>N214*Parameters!$B$13*'H237 Tracker'!B214</f>
        <v>203556186.53999999</v>
      </c>
      <c r="Q214" s="13">
        <f>O214*Parameters!$B$13*'H237 Tracker'!C214</f>
        <v>0</v>
      </c>
      <c r="R214" s="13">
        <f t="shared" si="77"/>
        <v>809719830.87400007</v>
      </c>
      <c r="S214" s="13">
        <f t="shared" si="78"/>
        <v>23315547.878999993</v>
      </c>
      <c r="T214" s="13">
        <f t="shared" si="68"/>
        <v>1013891422.2738502</v>
      </c>
      <c r="U214" s="13">
        <f t="shared" si="69"/>
        <v>0</v>
      </c>
      <c r="V214" s="12">
        <f t="shared" si="70"/>
        <v>1</v>
      </c>
      <c r="W214" t="str">
        <f>'H237 Tracker'!I214</f>
        <v>A</v>
      </c>
      <c r="X214">
        <f>'H237 Tracker'!J214</f>
        <v>7</v>
      </c>
      <c r="Y214" t="str">
        <f>'H237 Tracker'!K214</f>
        <v>A</v>
      </c>
      <c r="Z214" s="12">
        <f>'H237 Tracker'!O214</f>
        <v>1</v>
      </c>
      <c r="AA214" s="13">
        <f>'H237 Tracker'!P214</f>
        <v>0</v>
      </c>
      <c r="AB214" s="13">
        <f>'H237 Tracker'!Q214</f>
        <v>0</v>
      </c>
      <c r="AC214" s="13">
        <f t="shared" si="71"/>
        <v>1013891422.2738502</v>
      </c>
      <c r="AD214" s="13">
        <f t="shared" si="72"/>
        <v>0</v>
      </c>
      <c r="AE214" s="13">
        <f t="shared" si="73"/>
        <v>1013891422.2738502</v>
      </c>
      <c r="AF214" s="13">
        <f t="shared" si="79"/>
        <v>1013891422.2738502</v>
      </c>
      <c r="AG214" s="24">
        <f t="shared" si="74"/>
        <v>0</v>
      </c>
      <c r="AH214" s="8">
        <f>--(COUNTIF('Tax Events'!$A$4:$A$8,A214)&gt;0)</f>
        <v>0</v>
      </c>
      <c r="AI214" s="8">
        <f>--(COUNTIF('Tax Events'!$B$4:$B$9,A214)&gt;0)</f>
        <v>0</v>
      </c>
    </row>
    <row r="215" spans="1:35">
      <c r="A215" s="4">
        <f>'H237 Tracker'!A215</f>
        <v>44683</v>
      </c>
      <c r="B215" s="13">
        <f t="shared" si="75"/>
        <v>1013891422.2738502</v>
      </c>
      <c r="C215" s="13">
        <f t="shared" si="76"/>
        <v>0</v>
      </c>
      <c r="D215" s="13">
        <f t="shared" si="60"/>
        <v>1013891422.2738502</v>
      </c>
      <c r="E215" s="13">
        <f t="shared" si="61"/>
        <v>0</v>
      </c>
      <c r="F215" s="13">
        <f>IF(AH215=1,MAX(R214,0)*Parameters!$B$11,0)</f>
        <v>0</v>
      </c>
      <c r="G215" s="13">
        <f>IF(AI215=1,MAX(S214,0)*Parameters!$B$11,0)</f>
        <v>0</v>
      </c>
      <c r="H215" s="13">
        <f t="shared" si="62"/>
        <v>1013891422.2738502</v>
      </c>
      <c r="I215" s="13">
        <f t="shared" si="63"/>
        <v>0</v>
      </c>
      <c r="J215" s="13">
        <f t="shared" si="64"/>
        <v>0</v>
      </c>
      <c r="K215" s="13">
        <f t="shared" si="65"/>
        <v>0</v>
      </c>
      <c r="L215" s="13">
        <f t="shared" si="66"/>
        <v>1013891422.2738502</v>
      </c>
      <c r="M215" s="13">
        <f t="shared" si="67"/>
        <v>0</v>
      </c>
      <c r="N215" s="13">
        <f>MAX(0,INT(L215*Parameters!$B$14/Parameters!$B$13/Parameters!$B$12)*Parameters!$B$12)</f>
        <v>675927565</v>
      </c>
      <c r="O215" s="13">
        <f>MAX(0,INT(M215*Parameters!$B$14/Parameters!$B$13/Parameters!$B$12)*Parameters!$B$12)</f>
        <v>0</v>
      </c>
      <c r="P215" s="13">
        <f>N215*Parameters!$B$13*'H237 Tracker'!B215</f>
        <v>248606158.40700001</v>
      </c>
      <c r="Q215" s="13">
        <f>O215*Parameters!$B$13*'H237 Tracker'!C215</f>
        <v>0</v>
      </c>
      <c r="R215" s="13">
        <f t="shared" si="77"/>
        <v>1058325989.2810001</v>
      </c>
      <c r="S215" s="13">
        <f t="shared" si="78"/>
        <v>23315547.878999993</v>
      </c>
      <c r="T215" s="13">
        <f t="shared" si="68"/>
        <v>1262497580.6808503</v>
      </c>
      <c r="U215" s="13">
        <f t="shared" si="69"/>
        <v>0</v>
      </c>
      <c r="V215" s="12">
        <f t="shared" si="70"/>
        <v>1</v>
      </c>
      <c r="W215" t="str">
        <f>'H237 Tracker'!I215</f>
        <v>A</v>
      </c>
      <c r="X215">
        <f>'H237 Tracker'!J215</f>
        <v>8</v>
      </c>
      <c r="Y215" t="str">
        <f>'H237 Tracker'!K215</f>
        <v>A</v>
      </c>
      <c r="Z215" s="12">
        <f>'H237 Tracker'!O215</f>
        <v>1</v>
      </c>
      <c r="AA215" s="13">
        <f>'H237 Tracker'!P215</f>
        <v>0</v>
      </c>
      <c r="AB215" s="13">
        <f>'H237 Tracker'!Q215</f>
        <v>0</v>
      </c>
      <c r="AC215" s="13">
        <f t="shared" si="71"/>
        <v>1262497580.6808503</v>
      </c>
      <c r="AD215" s="13">
        <f t="shared" si="72"/>
        <v>0</v>
      </c>
      <c r="AE215" s="13">
        <f t="shared" si="73"/>
        <v>1262497580.6808503</v>
      </c>
      <c r="AF215" s="13">
        <f t="shared" si="79"/>
        <v>1262497580.6808503</v>
      </c>
      <c r="AG215" s="24">
        <f t="shared" si="74"/>
        <v>0</v>
      </c>
      <c r="AH215" s="8">
        <f>--(COUNTIF('Tax Events'!$A$4:$A$8,A215)&gt;0)</f>
        <v>0</v>
      </c>
      <c r="AI215" s="8">
        <f>--(COUNTIF('Tax Events'!$B$4:$B$9,A215)&gt;0)</f>
        <v>0</v>
      </c>
    </row>
    <row r="216" spans="1:35">
      <c r="A216" s="4">
        <f>'H237 Tracker'!A216</f>
        <v>44690</v>
      </c>
      <c r="B216" s="13">
        <f t="shared" si="75"/>
        <v>1262497580.6808503</v>
      </c>
      <c r="C216" s="13">
        <f t="shared" si="76"/>
        <v>0</v>
      </c>
      <c r="D216" s="13">
        <f t="shared" si="60"/>
        <v>1262497580.6808503</v>
      </c>
      <c r="E216" s="13">
        <f t="shared" si="61"/>
        <v>0</v>
      </c>
      <c r="F216" s="13">
        <f>IF(AH216=1,MAX(R215,0)*Parameters!$B$11,0)</f>
        <v>0</v>
      </c>
      <c r="G216" s="13">
        <f>IF(AI216=1,MAX(S215,0)*Parameters!$B$11,0)</f>
        <v>0</v>
      </c>
      <c r="H216" s="13">
        <f t="shared" si="62"/>
        <v>1262497580.6808503</v>
      </c>
      <c r="I216" s="13">
        <f t="shared" si="63"/>
        <v>0</v>
      </c>
      <c r="J216" s="13">
        <f t="shared" si="64"/>
        <v>0</v>
      </c>
      <c r="K216" s="13">
        <f t="shared" si="65"/>
        <v>0</v>
      </c>
      <c r="L216" s="13">
        <f t="shared" si="66"/>
        <v>1262497580.6808503</v>
      </c>
      <c r="M216" s="13">
        <f t="shared" si="67"/>
        <v>0</v>
      </c>
      <c r="N216" s="13">
        <f>MAX(0,INT(L216*Parameters!$B$14/Parameters!$B$13/Parameters!$B$12)*Parameters!$B$12)</f>
        <v>841664990</v>
      </c>
      <c r="O216" s="13">
        <f>MAX(0,INT(M216*Parameters!$B$14/Parameters!$B$13/Parameters!$B$12)*Parameters!$B$12)</f>
        <v>0</v>
      </c>
      <c r="P216" s="13">
        <f>N216*Parameters!$B$13*'H237 Tracker'!B216</f>
        <v>-67164866.201999992</v>
      </c>
      <c r="Q216" s="13">
        <f>O216*Parameters!$B$13*'H237 Tracker'!C216</f>
        <v>0</v>
      </c>
      <c r="R216" s="13">
        <f t="shared" si="77"/>
        <v>991161123.07900012</v>
      </c>
      <c r="S216" s="13">
        <f t="shared" si="78"/>
        <v>23315547.878999993</v>
      </c>
      <c r="T216" s="13">
        <f t="shared" si="68"/>
        <v>1195332714.4788504</v>
      </c>
      <c r="U216" s="13">
        <f t="shared" si="69"/>
        <v>0</v>
      </c>
      <c r="V216" s="12">
        <f t="shared" si="70"/>
        <v>1</v>
      </c>
      <c r="W216" t="str">
        <f>'H237 Tracker'!I216</f>
        <v>A</v>
      </c>
      <c r="X216">
        <f>'H237 Tracker'!J216</f>
        <v>9</v>
      </c>
      <c r="Y216" t="str">
        <f>'H237 Tracker'!K216</f>
        <v>A</v>
      </c>
      <c r="Z216" s="12">
        <f>'H237 Tracker'!O216</f>
        <v>1</v>
      </c>
      <c r="AA216" s="13">
        <f>'H237 Tracker'!P216</f>
        <v>0</v>
      </c>
      <c r="AB216" s="13">
        <f>'H237 Tracker'!Q216</f>
        <v>0</v>
      </c>
      <c r="AC216" s="13">
        <f t="shared" si="71"/>
        <v>1195332714.4788504</v>
      </c>
      <c r="AD216" s="13">
        <f t="shared" si="72"/>
        <v>0</v>
      </c>
      <c r="AE216" s="13">
        <f t="shared" si="73"/>
        <v>1195332714.4788504</v>
      </c>
      <c r="AF216" s="13">
        <f t="shared" si="79"/>
        <v>1262497580.6808503</v>
      </c>
      <c r="AG216" s="24">
        <f t="shared" si="74"/>
        <v>-5.319999596813374E-2</v>
      </c>
      <c r="AH216" s="8">
        <f>--(COUNTIF('Tax Events'!$A$4:$A$8,A216)&gt;0)</f>
        <v>0</v>
      </c>
      <c r="AI216" s="8">
        <f>--(COUNTIF('Tax Events'!$B$4:$B$9,A216)&gt;0)</f>
        <v>0</v>
      </c>
    </row>
    <row r="217" spans="1:35">
      <c r="A217" s="4">
        <f>'H237 Tracker'!A217</f>
        <v>44697</v>
      </c>
      <c r="B217" s="13">
        <f t="shared" si="75"/>
        <v>1195332714.4788504</v>
      </c>
      <c r="C217" s="13">
        <f t="shared" si="76"/>
        <v>0</v>
      </c>
      <c r="D217" s="13">
        <f t="shared" si="60"/>
        <v>1195332714.4788504</v>
      </c>
      <c r="E217" s="13">
        <f t="shared" si="61"/>
        <v>0</v>
      </c>
      <c r="F217" s="13">
        <f>IF(AH217=1,MAX(R216,0)*Parameters!$B$11,0)</f>
        <v>0</v>
      </c>
      <c r="G217" s="13">
        <f>IF(AI217=1,MAX(S216,0)*Parameters!$B$11,0)</f>
        <v>0</v>
      </c>
      <c r="H217" s="13">
        <f t="shared" si="62"/>
        <v>1195332714.4788504</v>
      </c>
      <c r="I217" s="13">
        <f t="shared" si="63"/>
        <v>0</v>
      </c>
      <c r="J217" s="13">
        <f t="shared" si="64"/>
        <v>0</v>
      </c>
      <c r="K217" s="13">
        <f t="shared" si="65"/>
        <v>0</v>
      </c>
      <c r="L217" s="13">
        <f t="shared" si="66"/>
        <v>1195332714.4788504</v>
      </c>
      <c r="M217" s="13">
        <f t="shared" si="67"/>
        <v>0</v>
      </c>
      <c r="N217" s="13">
        <f>MAX(0,INT(L217*Parameters!$B$14/Parameters!$B$13/Parameters!$B$12)*Parameters!$B$12)</f>
        <v>796888475</v>
      </c>
      <c r="O217" s="13">
        <f>MAX(0,INT(M217*Parameters!$B$14/Parameters!$B$13/Parameters!$B$12)*Parameters!$B$12)</f>
        <v>0</v>
      </c>
      <c r="P217" s="13">
        <f>N217*Parameters!$B$13*'H237 Tracker'!B217</f>
        <v>255641822.77999997</v>
      </c>
      <c r="Q217" s="13">
        <f>O217*Parameters!$B$13*'H237 Tracker'!C217</f>
        <v>0</v>
      </c>
      <c r="R217" s="13">
        <f t="shared" si="77"/>
        <v>1246802945.8590002</v>
      </c>
      <c r="S217" s="13">
        <f t="shared" si="78"/>
        <v>23315547.878999993</v>
      </c>
      <c r="T217" s="13">
        <f t="shared" si="68"/>
        <v>1450974537.2588503</v>
      </c>
      <c r="U217" s="13">
        <f t="shared" si="69"/>
        <v>0</v>
      </c>
      <c r="V217" s="12">
        <f t="shared" si="70"/>
        <v>1</v>
      </c>
      <c r="W217" t="str">
        <f>'H237 Tracker'!I217</f>
        <v>A</v>
      </c>
      <c r="X217">
        <f>'H237 Tracker'!J217</f>
        <v>10</v>
      </c>
      <c r="Y217" t="str">
        <f>'H237 Tracker'!K217</f>
        <v>A</v>
      </c>
      <c r="Z217" s="12">
        <f>'H237 Tracker'!O217</f>
        <v>1</v>
      </c>
      <c r="AA217" s="13">
        <f>'H237 Tracker'!P217</f>
        <v>0</v>
      </c>
      <c r="AB217" s="13">
        <f>'H237 Tracker'!Q217</f>
        <v>0</v>
      </c>
      <c r="AC217" s="13">
        <f t="shared" si="71"/>
        <v>1450974537.2588503</v>
      </c>
      <c r="AD217" s="13">
        <f t="shared" si="72"/>
        <v>0</v>
      </c>
      <c r="AE217" s="13">
        <f t="shared" si="73"/>
        <v>1450974537.2588503</v>
      </c>
      <c r="AF217" s="13">
        <f t="shared" si="79"/>
        <v>1450974537.2588503</v>
      </c>
      <c r="AG217" s="24">
        <f t="shared" si="74"/>
        <v>0</v>
      </c>
      <c r="AH217" s="8">
        <f>--(COUNTIF('Tax Events'!$A$4:$A$8,A217)&gt;0)</f>
        <v>0</v>
      </c>
      <c r="AI217" s="8">
        <f>--(COUNTIF('Tax Events'!$B$4:$B$9,A217)&gt;0)</f>
        <v>0</v>
      </c>
    </row>
    <row r="218" spans="1:35">
      <c r="A218" s="4">
        <f>'H237 Tracker'!A218</f>
        <v>44704</v>
      </c>
      <c r="B218" s="13">
        <f t="shared" si="75"/>
        <v>1450974537.2588503</v>
      </c>
      <c r="C218" s="13">
        <f t="shared" si="76"/>
        <v>0</v>
      </c>
      <c r="D218" s="13">
        <f t="shared" si="60"/>
        <v>1450974537.2588503</v>
      </c>
      <c r="E218" s="13">
        <f t="shared" si="61"/>
        <v>0</v>
      </c>
      <c r="F218" s="13">
        <f>IF(AH218=1,MAX(R217,0)*Parameters!$B$11,0)</f>
        <v>0</v>
      </c>
      <c r="G218" s="13">
        <f>IF(AI218=1,MAX(S217,0)*Parameters!$B$11,0)</f>
        <v>0</v>
      </c>
      <c r="H218" s="13">
        <f t="shared" si="62"/>
        <v>1450974537.2588503</v>
      </c>
      <c r="I218" s="13">
        <f t="shared" si="63"/>
        <v>0</v>
      </c>
      <c r="J218" s="13">
        <f t="shared" si="64"/>
        <v>0</v>
      </c>
      <c r="K218" s="13">
        <f t="shared" si="65"/>
        <v>0</v>
      </c>
      <c r="L218" s="13">
        <f t="shared" si="66"/>
        <v>1450974537.2588503</v>
      </c>
      <c r="M218" s="13">
        <f t="shared" si="67"/>
        <v>0</v>
      </c>
      <c r="N218" s="13">
        <f>MAX(0,INT(L218*Parameters!$B$14/Parameters!$B$13/Parameters!$B$12)*Parameters!$B$12)</f>
        <v>967316290</v>
      </c>
      <c r="O218" s="13">
        <f>MAX(0,INT(M218*Parameters!$B$14/Parameters!$B$13/Parameters!$B$12)*Parameters!$B$12)</f>
        <v>0</v>
      </c>
      <c r="P218" s="13">
        <f>N218*Parameters!$B$13*'H237 Tracker'!B218</f>
        <v>257693059.65600002</v>
      </c>
      <c r="Q218" s="13">
        <f>O218*Parameters!$B$13*'H237 Tracker'!C218</f>
        <v>0</v>
      </c>
      <c r="R218" s="13">
        <f t="shared" si="77"/>
        <v>1504496005.5150003</v>
      </c>
      <c r="S218" s="13">
        <f t="shared" si="78"/>
        <v>23315547.878999993</v>
      </c>
      <c r="T218" s="13">
        <f t="shared" si="68"/>
        <v>1708667596.9148502</v>
      </c>
      <c r="U218" s="13">
        <f t="shared" si="69"/>
        <v>0</v>
      </c>
      <c r="V218" s="12">
        <f t="shared" si="70"/>
        <v>1</v>
      </c>
      <c r="W218" t="str">
        <f>'H237 Tracker'!I218</f>
        <v>A</v>
      </c>
      <c r="X218">
        <f>'H237 Tracker'!J218</f>
        <v>11</v>
      </c>
      <c r="Y218" t="str">
        <f>'H237 Tracker'!K218</f>
        <v>A</v>
      </c>
      <c r="Z218" s="12">
        <f>'H237 Tracker'!O218</f>
        <v>1</v>
      </c>
      <c r="AA218" s="13">
        <f>'H237 Tracker'!P218</f>
        <v>0</v>
      </c>
      <c r="AB218" s="13">
        <f>'H237 Tracker'!Q218</f>
        <v>0</v>
      </c>
      <c r="AC218" s="13">
        <f t="shared" si="71"/>
        <v>1708667596.9148502</v>
      </c>
      <c r="AD218" s="13">
        <f t="shared" si="72"/>
        <v>0</v>
      </c>
      <c r="AE218" s="13">
        <f t="shared" si="73"/>
        <v>1708667596.9148502</v>
      </c>
      <c r="AF218" s="13">
        <f t="shared" si="79"/>
        <v>1708667596.9148502</v>
      </c>
      <c r="AG218" s="24">
        <f t="shared" si="74"/>
        <v>0</v>
      </c>
      <c r="AH218" s="8">
        <f>--(COUNTIF('Tax Events'!$A$4:$A$8,A218)&gt;0)</f>
        <v>0</v>
      </c>
      <c r="AI218" s="8">
        <f>--(COUNTIF('Tax Events'!$B$4:$B$9,A218)&gt;0)</f>
        <v>0</v>
      </c>
    </row>
    <row r="219" spans="1:35">
      <c r="A219" s="4">
        <f>'H237 Tracker'!A219</f>
        <v>44711</v>
      </c>
      <c r="B219" s="13">
        <f t="shared" si="75"/>
        <v>1708667596.9148502</v>
      </c>
      <c r="C219" s="13">
        <f t="shared" si="76"/>
        <v>0</v>
      </c>
      <c r="D219" s="13">
        <f t="shared" si="60"/>
        <v>1708667596.9148502</v>
      </c>
      <c r="E219" s="13">
        <f t="shared" si="61"/>
        <v>0</v>
      </c>
      <c r="F219" s="13">
        <f>IF(AH219=1,MAX(R218,0)*Parameters!$B$11,0)</f>
        <v>0</v>
      </c>
      <c r="G219" s="13">
        <f>IF(AI219=1,MAX(S218,0)*Parameters!$B$11,0)</f>
        <v>0</v>
      </c>
      <c r="H219" s="13">
        <f t="shared" si="62"/>
        <v>1708667596.9148502</v>
      </c>
      <c r="I219" s="13">
        <f t="shared" si="63"/>
        <v>0</v>
      </c>
      <c r="J219" s="13">
        <f t="shared" si="64"/>
        <v>0</v>
      </c>
      <c r="K219" s="13">
        <f t="shared" si="65"/>
        <v>0</v>
      </c>
      <c r="L219" s="13">
        <f t="shared" si="66"/>
        <v>1708667596.9148502</v>
      </c>
      <c r="M219" s="13">
        <f t="shared" si="67"/>
        <v>0</v>
      </c>
      <c r="N219" s="13">
        <f>MAX(0,INT(L219*Parameters!$B$14/Parameters!$B$13/Parameters!$B$12)*Parameters!$B$12)</f>
        <v>1139111685</v>
      </c>
      <c r="O219" s="13">
        <f>MAX(0,INT(M219*Parameters!$B$14/Parameters!$B$13/Parameters!$B$12)*Parameters!$B$12)</f>
        <v>0</v>
      </c>
      <c r="P219" s="13">
        <f>N219*Parameters!$B$13*'H237 Tracker'!B219</f>
        <v>-226911047.65200001</v>
      </c>
      <c r="Q219" s="13">
        <f>O219*Parameters!$B$13*'H237 Tracker'!C219</f>
        <v>0</v>
      </c>
      <c r="R219" s="13">
        <f t="shared" si="77"/>
        <v>1277584957.8630004</v>
      </c>
      <c r="S219" s="13">
        <f t="shared" si="78"/>
        <v>23315547.878999993</v>
      </c>
      <c r="T219" s="13">
        <f t="shared" si="68"/>
        <v>1481756549.2628503</v>
      </c>
      <c r="U219" s="13">
        <f t="shared" si="69"/>
        <v>0</v>
      </c>
      <c r="V219" s="12">
        <f t="shared" si="70"/>
        <v>1</v>
      </c>
      <c r="W219" t="str">
        <f>'H237 Tracker'!I219</f>
        <v>A</v>
      </c>
      <c r="X219">
        <f>'H237 Tracker'!J219</f>
        <v>12</v>
      </c>
      <c r="Y219" t="str">
        <f>'H237 Tracker'!K219</f>
        <v>A</v>
      </c>
      <c r="Z219" s="12">
        <f>'H237 Tracker'!O219</f>
        <v>1</v>
      </c>
      <c r="AA219" s="13">
        <f>'H237 Tracker'!P219</f>
        <v>0</v>
      </c>
      <c r="AB219" s="13">
        <f>'H237 Tracker'!Q219</f>
        <v>0</v>
      </c>
      <c r="AC219" s="13">
        <f t="shared" si="71"/>
        <v>1481756549.2628503</v>
      </c>
      <c r="AD219" s="13">
        <f t="shared" si="72"/>
        <v>0</v>
      </c>
      <c r="AE219" s="13">
        <f t="shared" si="73"/>
        <v>1481756549.2628503</v>
      </c>
      <c r="AF219" s="13">
        <f t="shared" si="79"/>
        <v>1708667596.9148502</v>
      </c>
      <c r="AG219" s="24">
        <f t="shared" si="74"/>
        <v>-0.13279999460498215</v>
      </c>
      <c r="AH219" s="8">
        <f>--(COUNTIF('Tax Events'!$A$4:$A$8,A219)&gt;0)</f>
        <v>0</v>
      </c>
      <c r="AI219" s="8">
        <f>--(COUNTIF('Tax Events'!$B$4:$B$9,A219)&gt;0)</f>
        <v>0</v>
      </c>
    </row>
    <row r="220" spans="1:35">
      <c r="A220" s="4">
        <f>'H237 Tracker'!A220</f>
        <v>44718</v>
      </c>
      <c r="B220" s="13">
        <f t="shared" si="75"/>
        <v>1481756549.2628503</v>
      </c>
      <c r="C220" s="13">
        <f t="shared" si="76"/>
        <v>0</v>
      </c>
      <c r="D220" s="13">
        <f t="shared" si="60"/>
        <v>1481756549.2628503</v>
      </c>
      <c r="E220" s="13">
        <f t="shared" si="61"/>
        <v>0</v>
      </c>
      <c r="F220" s="13">
        <f>IF(AH220=1,MAX(R219,0)*Parameters!$B$11,0)</f>
        <v>0</v>
      </c>
      <c r="G220" s="13">
        <f>IF(AI220=1,MAX(S219,0)*Parameters!$B$11,0)</f>
        <v>0</v>
      </c>
      <c r="H220" s="13">
        <f t="shared" si="62"/>
        <v>1481756549.2628503</v>
      </c>
      <c r="I220" s="13">
        <f t="shared" si="63"/>
        <v>0</v>
      </c>
      <c r="J220" s="13">
        <f t="shared" si="64"/>
        <v>0</v>
      </c>
      <c r="K220" s="13">
        <f t="shared" si="65"/>
        <v>0</v>
      </c>
      <c r="L220" s="13">
        <f t="shared" si="66"/>
        <v>1481756549.2628503</v>
      </c>
      <c r="M220" s="13">
        <f t="shared" si="67"/>
        <v>0</v>
      </c>
      <c r="N220" s="13">
        <f>MAX(0,INT(L220*Parameters!$B$14/Parameters!$B$13/Parameters!$B$12)*Parameters!$B$12)</f>
        <v>987837695</v>
      </c>
      <c r="O220" s="13">
        <f>MAX(0,INT(M220*Parameters!$B$14/Parameters!$B$13/Parameters!$B$12)*Parameters!$B$12)</f>
        <v>0</v>
      </c>
      <c r="P220" s="13">
        <f>N220*Parameters!$B$13*'H237 Tracker'!B220</f>
        <v>-193221053.14200002</v>
      </c>
      <c r="Q220" s="13">
        <f>O220*Parameters!$B$13*'H237 Tracker'!C220</f>
        <v>0</v>
      </c>
      <c r="R220" s="13">
        <f t="shared" si="77"/>
        <v>1084363904.7210004</v>
      </c>
      <c r="S220" s="13">
        <f t="shared" si="78"/>
        <v>23315547.878999993</v>
      </c>
      <c r="T220" s="13">
        <f t="shared" si="68"/>
        <v>1288535496.1208503</v>
      </c>
      <c r="U220" s="13">
        <f t="shared" si="69"/>
        <v>0</v>
      </c>
      <c r="V220" s="12">
        <f t="shared" si="70"/>
        <v>1</v>
      </c>
      <c r="W220" t="str">
        <f>'H237 Tracker'!I220</f>
        <v>A</v>
      </c>
      <c r="X220">
        <f>'H237 Tracker'!J220</f>
        <v>13</v>
      </c>
      <c r="Y220" t="str">
        <f>'H237 Tracker'!K220</f>
        <v>A</v>
      </c>
      <c r="Z220" s="12">
        <f>'H237 Tracker'!O220</f>
        <v>1</v>
      </c>
      <c r="AA220" s="13">
        <f>'H237 Tracker'!P220</f>
        <v>0</v>
      </c>
      <c r="AB220" s="13">
        <f>'H237 Tracker'!Q220</f>
        <v>0</v>
      </c>
      <c r="AC220" s="13">
        <f t="shared" si="71"/>
        <v>1288535496.1208503</v>
      </c>
      <c r="AD220" s="13">
        <f t="shared" si="72"/>
        <v>0</v>
      </c>
      <c r="AE220" s="13">
        <f t="shared" si="73"/>
        <v>1288535496.1208503</v>
      </c>
      <c r="AF220" s="13">
        <f t="shared" si="79"/>
        <v>1708667596.9148502</v>
      </c>
      <c r="AG220" s="24">
        <f t="shared" si="74"/>
        <v>-0.24588287479237358</v>
      </c>
      <c r="AH220" s="8">
        <f>--(COUNTIF('Tax Events'!$A$4:$A$8,A220)&gt;0)</f>
        <v>0</v>
      </c>
      <c r="AI220" s="8">
        <f>--(COUNTIF('Tax Events'!$B$4:$B$9,A220)&gt;0)</f>
        <v>0</v>
      </c>
    </row>
    <row r="221" spans="1:35">
      <c r="A221" s="4">
        <f>'H237 Tracker'!A221</f>
        <v>44725</v>
      </c>
      <c r="B221" s="13">
        <f t="shared" si="75"/>
        <v>1288535496.1208503</v>
      </c>
      <c r="C221" s="13">
        <f t="shared" si="76"/>
        <v>0</v>
      </c>
      <c r="D221" s="13">
        <f t="shared" si="60"/>
        <v>1288535496.1208503</v>
      </c>
      <c r="E221" s="13">
        <f t="shared" si="61"/>
        <v>0</v>
      </c>
      <c r="F221" s="13">
        <f>IF(AH221=1,MAX(R220,0)*Parameters!$B$11,0)</f>
        <v>0</v>
      </c>
      <c r="G221" s="13">
        <f>IF(AI221=1,MAX(S220,0)*Parameters!$B$11,0)</f>
        <v>0</v>
      </c>
      <c r="H221" s="13">
        <f t="shared" si="62"/>
        <v>1288535496.1208503</v>
      </c>
      <c r="I221" s="13">
        <f t="shared" si="63"/>
        <v>0</v>
      </c>
      <c r="J221" s="13">
        <f t="shared" si="64"/>
        <v>0</v>
      </c>
      <c r="K221" s="13">
        <f t="shared" si="65"/>
        <v>0</v>
      </c>
      <c r="L221" s="13">
        <f t="shared" si="66"/>
        <v>1288535496.1208503</v>
      </c>
      <c r="M221" s="13">
        <f t="shared" si="67"/>
        <v>0</v>
      </c>
      <c r="N221" s="13">
        <f>MAX(0,INT(L221*Parameters!$B$14/Parameters!$B$13/Parameters!$B$12)*Parameters!$B$12)</f>
        <v>859023550</v>
      </c>
      <c r="O221" s="13">
        <f>MAX(0,INT(M221*Parameters!$B$14/Parameters!$B$13/Parameters!$B$12)*Parameters!$B$12)</f>
        <v>0</v>
      </c>
      <c r="P221" s="13">
        <f>N221*Parameters!$B$13*'H237 Tracker'!B221</f>
        <v>-65113985.089999996</v>
      </c>
      <c r="Q221" s="13">
        <f>O221*Parameters!$B$13*'H237 Tracker'!C221</f>
        <v>0</v>
      </c>
      <c r="R221" s="13">
        <f t="shared" si="77"/>
        <v>1019249919.6310004</v>
      </c>
      <c r="S221" s="13">
        <f t="shared" si="78"/>
        <v>23315547.878999993</v>
      </c>
      <c r="T221" s="13">
        <f t="shared" si="68"/>
        <v>1223421511.0308504</v>
      </c>
      <c r="U221" s="13">
        <f t="shared" si="69"/>
        <v>0</v>
      </c>
      <c r="V221" s="12">
        <f t="shared" si="70"/>
        <v>1</v>
      </c>
      <c r="W221" t="str">
        <f>'H237 Tracker'!I221</f>
        <v>A</v>
      </c>
      <c r="X221">
        <f>'H237 Tracker'!J221</f>
        <v>14</v>
      </c>
      <c r="Y221" t="str">
        <f>'H237 Tracker'!K221</f>
        <v>A</v>
      </c>
      <c r="Z221" s="12">
        <f>'H237 Tracker'!O221</f>
        <v>1</v>
      </c>
      <c r="AA221" s="13">
        <f>'H237 Tracker'!P221</f>
        <v>0</v>
      </c>
      <c r="AB221" s="13">
        <f>'H237 Tracker'!Q221</f>
        <v>0</v>
      </c>
      <c r="AC221" s="13">
        <f t="shared" si="71"/>
        <v>1223421511.0308504</v>
      </c>
      <c r="AD221" s="13">
        <f t="shared" si="72"/>
        <v>0</v>
      </c>
      <c r="AE221" s="13">
        <f t="shared" si="73"/>
        <v>1223421511.0308504</v>
      </c>
      <c r="AF221" s="13">
        <f t="shared" si="79"/>
        <v>1708667596.9148502</v>
      </c>
      <c r="AG221" s="24">
        <f t="shared" si="74"/>
        <v>-0.28399092179201757</v>
      </c>
      <c r="AH221" s="8">
        <f>--(COUNTIF('Tax Events'!$A$4:$A$8,A221)&gt;0)</f>
        <v>0</v>
      </c>
      <c r="AI221" s="8">
        <f>--(COUNTIF('Tax Events'!$B$4:$B$9,A221)&gt;0)</f>
        <v>0</v>
      </c>
    </row>
    <row r="222" spans="1:35">
      <c r="A222" s="4">
        <f>'H237 Tracker'!A222</f>
        <v>44732</v>
      </c>
      <c r="B222" s="13">
        <f t="shared" si="75"/>
        <v>1223421511.0308504</v>
      </c>
      <c r="C222" s="13">
        <f t="shared" si="76"/>
        <v>0</v>
      </c>
      <c r="D222" s="13">
        <f t="shared" si="60"/>
        <v>1223421511.0308504</v>
      </c>
      <c r="E222" s="13">
        <f t="shared" si="61"/>
        <v>0</v>
      </c>
      <c r="F222" s="13">
        <f>IF(AH222=1,MAX(R221,0)*Parameters!$B$11,0)</f>
        <v>0</v>
      </c>
      <c r="G222" s="13">
        <f>IF(AI222=1,MAX(S221,0)*Parameters!$B$11,0)</f>
        <v>0</v>
      </c>
      <c r="H222" s="13">
        <f t="shared" si="62"/>
        <v>1223421511.0308504</v>
      </c>
      <c r="I222" s="13">
        <f t="shared" si="63"/>
        <v>0</v>
      </c>
      <c r="J222" s="13">
        <f t="shared" si="64"/>
        <v>0</v>
      </c>
      <c r="K222" s="13">
        <f t="shared" si="65"/>
        <v>0</v>
      </c>
      <c r="L222" s="13">
        <f t="shared" si="66"/>
        <v>1223421511.0308504</v>
      </c>
      <c r="M222" s="13">
        <f t="shared" si="67"/>
        <v>0</v>
      </c>
      <c r="N222" s="13">
        <f>MAX(0,INT(L222*Parameters!$B$14/Parameters!$B$13/Parameters!$B$12)*Parameters!$B$12)</f>
        <v>815614270</v>
      </c>
      <c r="O222" s="13">
        <f>MAX(0,INT(M222*Parameters!$B$14/Parameters!$B$13/Parameters!$B$12)*Parameters!$B$12)</f>
        <v>0</v>
      </c>
      <c r="P222" s="13">
        <f>N222*Parameters!$B$13*'H237 Tracker'!B222</f>
        <v>139470040.17000002</v>
      </c>
      <c r="Q222" s="13">
        <f>O222*Parameters!$B$13*'H237 Tracker'!C222</f>
        <v>0</v>
      </c>
      <c r="R222" s="13">
        <f t="shared" si="77"/>
        <v>1158719959.8010004</v>
      </c>
      <c r="S222" s="13">
        <f t="shared" si="78"/>
        <v>23315547.878999993</v>
      </c>
      <c r="T222" s="13">
        <f t="shared" si="68"/>
        <v>1362891551.2008505</v>
      </c>
      <c r="U222" s="13">
        <f t="shared" si="69"/>
        <v>0</v>
      </c>
      <c r="V222" s="12">
        <f t="shared" si="70"/>
        <v>1</v>
      </c>
      <c r="W222" t="str">
        <f>'H237 Tracker'!I222</f>
        <v>A</v>
      </c>
      <c r="X222">
        <f>'H237 Tracker'!J222</f>
        <v>15</v>
      </c>
      <c r="Y222" t="str">
        <f>'H237 Tracker'!K222</f>
        <v>A</v>
      </c>
      <c r="Z222" s="12">
        <f>'H237 Tracker'!O222</f>
        <v>1</v>
      </c>
      <c r="AA222" s="13">
        <f>'H237 Tracker'!P222</f>
        <v>0</v>
      </c>
      <c r="AB222" s="13">
        <f>'H237 Tracker'!Q222</f>
        <v>0</v>
      </c>
      <c r="AC222" s="13">
        <f t="shared" si="71"/>
        <v>1362891551.2008505</v>
      </c>
      <c r="AD222" s="13">
        <f t="shared" si="72"/>
        <v>0</v>
      </c>
      <c r="AE222" s="13">
        <f t="shared" si="73"/>
        <v>1362891551.2008505</v>
      </c>
      <c r="AF222" s="13">
        <f t="shared" si="79"/>
        <v>1708667596.9148502</v>
      </c>
      <c r="AG222" s="24">
        <f t="shared" si="74"/>
        <v>-0.20236589395054305</v>
      </c>
      <c r="AH222" s="8">
        <f>--(COUNTIF('Tax Events'!$A$4:$A$8,A222)&gt;0)</f>
        <v>0</v>
      </c>
      <c r="AI222" s="8">
        <f>--(COUNTIF('Tax Events'!$B$4:$B$9,A222)&gt;0)</f>
        <v>0</v>
      </c>
    </row>
    <row r="223" spans="1:35">
      <c r="A223" s="4">
        <f>'H237 Tracker'!A223</f>
        <v>44739</v>
      </c>
      <c r="B223" s="13">
        <f t="shared" si="75"/>
        <v>1362891551.2008505</v>
      </c>
      <c r="C223" s="13">
        <f t="shared" si="76"/>
        <v>0</v>
      </c>
      <c r="D223" s="13">
        <f t="shared" si="60"/>
        <v>1362891551.2008505</v>
      </c>
      <c r="E223" s="13">
        <f t="shared" si="61"/>
        <v>0</v>
      </c>
      <c r="F223" s="13">
        <f>IF(AH223=1,MAX(R222,0)*Parameters!$B$11,0)</f>
        <v>0</v>
      </c>
      <c r="G223" s="13">
        <f>IF(AI223=1,MAX(S222,0)*Parameters!$B$11,0)</f>
        <v>0</v>
      </c>
      <c r="H223" s="13">
        <f t="shared" si="62"/>
        <v>1362891551.2008505</v>
      </c>
      <c r="I223" s="13">
        <f t="shared" si="63"/>
        <v>0</v>
      </c>
      <c r="J223" s="13">
        <f t="shared" si="64"/>
        <v>0</v>
      </c>
      <c r="K223" s="13">
        <f t="shared" si="65"/>
        <v>0</v>
      </c>
      <c r="L223" s="13">
        <f t="shared" si="66"/>
        <v>1362891551.2008505</v>
      </c>
      <c r="M223" s="13">
        <f t="shared" si="67"/>
        <v>0</v>
      </c>
      <c r="N223" s="13">
        <f>MAX(0,INT(L223*Parameters!$B$14/Parameters!$B$13/Parameters!$B$12)*Parameters!$B$12)</f>
        <v>908594300</v>
      </c>
      <c r="O223" s="13">
        <f>MAX(0,INT(M223*Parameters!$B$14/Parameters!$B$13/Parameters!$B$12)*Parameters!$B$12)</f>
        <v>0</v>
      </c>
      <c r="P223" s="13">
        <f>N223*Parameters!$B$13*'H237 Tracker'!B223</f>
        <v>-741049511.07999992</v>
      </c>
      <c r="Q223" s="13">
        <f>O223*Parameters!$B$13*'H237 Tracker'!C223</f>
        <v>0</v>
      </c>
      <c r="R223" s="13">
        <f t="shared" si="77"/>
        <v>417670448.72100043</v>
      </c>
      <c r="S223" s="13">
        <f t="shared" si="78"/>
        <v>23315547.878999993</v>
      </c>
      <c r="T223" s="13">
        <f t="shared" si="68"/>
        <v>621842040.12085056</v>
      </c>
      <c r="U223" s="13">
        <f t="shared" si="69"/>
        <v>0</v>
      </c>
      <c r="V223" s="12">
        <f t="shared" si="70"/>
        <v>1</v>
      </c>
      <c r="W223" t="str">
        <f>'H237 Tracker'!I223</f>
        <v>A</v>
      </c>
      <c r="X223">
        <f>'H237 Tracker'!J223</f>
        <v>16</v>
      </c>
      <c r="Y223" t="str">
        <f>'H237 Tracker'!K223</f>
        <v>A</v>
      </c>
      <c r="Z223" s="12">
        <f>'H237 Tracker'!O223</f>
        <v>1</v>
      </c>
      <c r="AA223" s="13">
        <f>'H237 Tracker'!P223</f>
        <v>0</v>
      </c>
      <c r="AB223" s="13">
        <f>'H237 Tracker'!Q223</f>
        <v>0</v>
      </c>
      <c r="AC223" s="13">
        <f t="shared" si="71"/>
        <v>621842040.12085056</v>
      </c>
      <c r="AD223" s="13">
        <f t="shared" si="72"/>
        <v>0</v>
      </c>
      <c r="AE223" s="13">
        <f t="shared" si="73"/>
        <v>621842040.12085056</v>
      </c>
      <c r="AF223" s="13">
        <f t="shared" si="79"/>
        <v>1708667596.9148502</v>
      </c>
      <c r="AG223" s="24">
        <f t="shared" si="74"/>
        <v>-0.63606611300896609</v>
      </c>
      <c r="AH223" s="8">
        <f>--(COUNTIF('Tax Events'!$A$4:$A$8,A223)&gt;0)</f>
        <v>0</v>
      </c>
      <c r="AI223" s="8">
        <f>--(COUNTIF('Tax Events'!$B$4:$B$9,A223)&gt;0)</f>
        <v>0</v>
      </c>
    </row>
    <row r="224" spans="1:35">
      <c r="A224" s="4">
        <f>'H237 Tracker'!A224</f>
        <v>44746</v>
      </c>
      <c r="B224" s="13">
        <f t="shared" si="75"/>
        <v>621842040.12085056</v>
      </c>
      <c r="C224" s="13">
        <f t="shared" si="76"/>
        <v>0</v>
      </c>
      <c r="D224" s="13">
        <f t="shared" si="60"/>
        <v>621842040.12085056</v>
      </c>
      <c r="E224" s="13">
        <f t="shared" si="61"/>
        <v>0</v>
      </c>
      <c r="F224" s="13">
        <f>IF(AH224=1,MAX(R223,0)*Parameters!$B$11,0)</f>
        <v>0</v>
      </c>
      <c r="G224" s="13">
        <f>IF(AI224=1,MAX(S223,0)*Parameters!$B$11,0)</f>
        <v>0</v>
      </c>
      <c r="H224" s="13">
        <f t="shared" si="62"/>
        <v>621842040.12085056</v>
      </c>
      <c r="I224" s="13">
        <f t="shared" si="63"/>
        <v>0</v>
      </c>
      <c r="J224" s="13">
        <f t="shared" si="64"/>
        <v>0</v>
      </c>
      <c r="K224" s="13">
        <f t="shared" si="65"/>
        <v>0</v>
      </c>
      <c r="L224" s="13">
        <f t="shared" si="66"/>
        <v>621842040.12085056</v>
      </c>
      <c r="M224" s="13">
        <f t="shared" si="67"/>
        <v>0</v>
      </c>
      <c r="N224" s="13">
        <f>MAX(0,INT(L224*Parameters!$B$14/Parameters!$B$13/Parameters!$B$12)*Parameters!$B$12)</f>
        <v>414561315</v>
      </c>
      <c r="O224" s="13">
        <f>MAX(0,INT(M224*Parameters!$B$14/Parameters!$B$13/Parameters!$B$12)*Parameters!$B$12)</f>
        <v>0</v>
      </c>
      <c r="P224" s="13">
        <f>N224*Parameters!$B$13*'H237 Tracker'!B224</f>
        <v>250726683.31200001</v>
      </c>
      <c r="Q224" s="13">
        <f>O224*Parameters!$B$13*'H237 Tracker'!C224</f>
        <v>0</v>
      </c>
      <c r="R224" s="13">
        <f t="shared" si="77"/>
        <v>668397132.03300047</v>
      </c>
      <c r="S224" s="13">
        <f t="shared" si="78"/>
        <v>23315547.878999993</v>
      </c>
      <c r="T224" s="13">
        <f t="shared" si="68"/>
        <v>872568723.4328506</v>
      </c>
      <c r="U224" s="13">
        <f t="shared" si="69"/>
        <v>0</v>
      </c>
      <c r="V224" s="12">
        <f t="shared" si="70"/>
        <v>1</v>
      </c>
      <c r="W224" t="str">
        <f>'H237 Tracker'!I224</f>
        <v>A</v>
      </c>
      <c r="X224">
        <f>'H237 Tracker'!J224</f>
        <v>17</v>
      </c>
      <c r="Y224" t="str">
        <f>'H237 Tracker'!K224</f>
        <v>A</v>
      </c>
      <c r="Z224" s="12">
        <f>'H237 Tracker'!O224</f>
        <v>1</v>
      </c>
      <c r="AA224" s="13">
        <f>'H237 Tracker'!P224</f>
        <v>0</v>
      </c>
      <c r="AB224" s="13">
        <f>'H237 Tracker'!Q224</f>
        <v>0</v>
      </c>
      <c r="AC224" s="13">
        <f t="shared" si="71"/>
        <v>872568723.4328506</v>
      </c>
      <c r="AD224" s="13">
        <f t="shared" si="72"/>
        <v>0</v>
      </c>
      <c r="AE224" s="13">
        <f t="shared" si="73"/>
        <v>872568723.4328506</v>
      </c>
      <c r="AF224" s="13">
        <f t="shared" si="79"/>
        <v>1708667596.9148502</v>
      </c>
      <c r="AG224" s="24">
        <f t="shared" si="74"/>
        <v>-0.4893279857308992</v>
      </c>
      <c r="AH224" s="8">
        <f>--(COUNTIF('Tax Events'!$A$4:$A$8,A224)&gt;0)</f>
        <v>0</v>
      </c>
      <c r="AI224" s="8">
        <f>--(COUNTIF('Tax Events'!$B$4:$B$9,A224)&gt;0)</f>
        <v>0</v>
      </c>
    </row>
    <row r="225" spans="1:35">
      <c r="A225" s="4">
        <f>'H237 Tracker'!A225</f>
        <v>44753</v>
      </c>
      <c r="B225" s="13">
        <f t="shared" si="75"/>
        <v>872568723.4328506</v>
      </c>
      <c r="C225" s="13">
        <f t="shared" si="76"/>
        <v>0</v>
      </c>
      <c r="D225" s="13">
        <f t="shared" si="60"/>
        <v>872568723.4328506</v>
      </c>
      <c r="E225" s="13">
        <f t="shared" si="61"/>
        <v>0</v>
      </c>
      <c r="F225" s="13">
        <f>IF(AH225=1,MAX(R224,0)*Parameters!$B$11,0)</f>
        <v>0</v>
      </c>
      <c r="G225" s="13">
        <f>IF(AI225=1,MAX(S224,0)*Parameters!$B$11,0)</f>
        <v>0</v>
      </c>
      <c r="H225" s="13">
        <f t="shared" si="62"/>
        <v>872568723.4328506</v>
      </c>
      <c r="I225" s="13">
        <f t="shared" si="63"/>
        <v>0</v>
      </c>
      <c r="J225" s="13">
        <f t="shared" si="64"/>
        <v>0</v>
      </c>
      <c r="K225" s="13">
        <f t="shared" si="65"/>
        <v>0</v>
      </c>
      <c r="L225" s="13">
        <f t="shared" si="66"/>
        <v>872568723.4328506</v>
      </c>
      <c r="M225" s="13">
        <f t="shared" si="67"/>
        <v>0</v>
      </c>
      <c r="N225" s="13">
        <f>MAX(0,INT(L225*Parameters!$B$14/Parameters!$B$13/Parameters!$B$12)*Parameters!$B$12)</f>
        <v>581712435</v>
      </c>
      <c r="O225" s="13">
        <f>MAX(0,INT(M225*Parameters!$B$14/Parameters!$B$13/Parameters!$B$12)*Parameters!$B$12)</f>
        <v>0</v>
      </c>
      <c r="P225" s="13">
        <f>N225*Parameters!$B$13*'H237 Tracker'!B225</f>
        <v>-313659344.95200002</v>
      </c>
      <c r="Q225" s="13">
        <f>O225*Parameters!$B$13*'H237 Tracker'!C225</f>
        <v>0</v>
      </c>
      <c r="R225" s="13">
        <f t="shared" si="77"/>
        <v>354737787.08100045</v>
      </c>
      <c r="S225" s="13">
        <f t="shared" si="78"/>
        <v>23315547.878999993</v>
      </c>
      <c r="T225" s="13">
        <f t="shared" si="68"/>
        <v>558909378.48085058</v>
      </c>
      <c r="U225" s="13">
        <f t="shared" si="69"/>
        <v>0</v>
      </c>
      <c r="V225" s="12">
        <f t="shared" si="70"/>
        <v>1</v>
      </c>
      <c r="W225" t="str">
        <f>'H237 Tracker'!I225</f>
        <v>A</v>
      </c>
      <c r="X225">
        <f>'H237 Tracker'!J225</f>
        <v>18</v>
      </c>
      <c r="Y225" t="str">
        <f>'H237 Tracker'!K225</f>
        <v>A</v>
      </c>
      <c r="Z225" s="12">
        <f>'H237 Tracker'!O225</f>
        <v>1</v>
      </c>
      <c r="AA225" s="13">
        <f>'H237 Tracker'!P225</f>
        <v>0</v>
      </c>
      <c r="AB225" s="13">
        <f>'H237 Tracker'!Q225</f>
        <v>0</v>
      </c>
      <c r="AC225" s="13">
        <f t="shared" si="71"/>
        <v>558909378.48085058</v>
      </c>
      <c r="AD225" s="13">
        <f t="shared" si="72"/>
        <v>0</v>
      </c>
      <c r="AE225" s="13">
        <f t="shared" si="73"/>
        <v>558909378.48085058</v>
      </c>
      <c r="AF225" s="13">
        <f t="shared" si="79"/>
        <v>1708667596.9148502</v>
      </c>
      <c r="AG225" s="24">
        <f t="shared" si="74"/>
        <v>-0.67289753753742931</v>
      </c>
      <c r="AH225" s="8">
        <f>--(COUNTIF('Tax Events'!$A$4:$A$8,A225)&gt;0)</f>
        <v>0</v>
      </c>
      <c r="AI225" s="8">
        <f>--(COUNTIF('Tax Events'!$B$4:$B$9,A225)&gt;0)</f>
        <v>0</v>
      </c>
    </row>
    <row r="226" spans="1:35">
      <c r="A226" s="4">
        <f>'H237 Tracker'!A226</f>
        <v>44760</v>
      </c>
      <c r="B226" s="13">
        <f t="shared" si="75"/>
        <v>558909378.48085058</v>
      </c>
      <c r="C226" s="13">
        <f t="shared" si="76"/>
        <v>0</v>
      </c>
      <c r="D226" s="13">
        <f t="shared" si="60"/>
        <v>558909378.48085058</v>
      </c>
      <c r="E226" s="13">
        <f t="shared" si="61"/>
        <v>0</v>
      </c>
      <c r="F226" s="13">
        <f>IF(AH226=1,MAX(R225,0)*Parameters!$B$11,0)</f>
        <v>0</v>
      </c>
      <c r="G226" s="13">
        <f>IF(AI226=1,MAX(S225,0)*Parameters!$B$11,0)</f>
        <v>0</v>
      </c>
      <c r="H226" s="13">
        <f t="shared" si="62"/>
        <v>558909378.48085058</v>
      </c>
      <c r="I226" s="13">
        <f t="shared" si="63"/>
        <v>0</v>
      </c>
      <c r="J226" s="13">
        <f t="shared" si="64"/>
        <v>0</v>
      </c>
      <c r="K226" s="13">
        <f t="shared" si="65"/>
        <v>0</v>
      </c>
      <c r="L226" s="13">
        <f t="shared" si="66"/>
        <v>558909378.48085058</v>
      </c>
      <c r="M226" s="13">
        <f t="shared" si="67"/>
        <v>0</v>
      </c>
      <c r="N226" s="13">
        <f>MAX(0,INT(L226*Parameters!$B$14/Parameters!$B$13/Parameters!$B$12)*Parameters!$B$12)</f>
        <v>372606210</v>
      </c>
      <c r="O226" s="13">
        <f>MAX(0,INT(M226*Parameters!$B$14/Parameters!$B$13/Parameters!$B$12)*Parameters!$B$12)</f>
        <v>0</v>
      </c>
      <c r="P226" s="13">
        <f>N226*Parameters!$B$13*'H237 Tracker'!B226</f>
        <v>180415926.882</v>
      </c>
      <c r="Q226" s="13">
        <f>O226*Parameters!$B$13*'H237 Tracker'!C226</f>
        <v>0</v>
      </c>
      <c r="R226" s="13">
        <f t="shared" si="77"/>
        <v>535153713.96300042</v>
      </c>
      <c r="S226" s="13">
        <f t="shared" si="78"/>
        <v>23315547.878999993</v>
      </c>
      <c r="T226" s="13">
        <f t="shared" si="68"/>
        <v>739325305.36285055</v>
      </c>
      <c r="U226" s="13">
        <f t="shared" si="69"/>
        <v>0</v>
      </c>
      <c r="V226" s="12">
        <f t="shared" si="70"/>
        <v>1</v>
      </c>
      <c r="W226" t="str">
        <f>'H237 Tracker'!I226</f>
        <v>B</v>
      </c>
      <c r="X226">
        <f>'H237 Tracker'!J226</f>
        <v>1</v>
      </c>
      <c r="Y226" t="str">
        <f>'H237 Tracker'!K226</f>
        <v>HOLD</v>
      </c>
      <c r="Z226" s="12">
        <f>'H237 Tracker'!O226</f>
        <v>1</v>
      </c>
      <c r="AA226" s="13">
        <f>'H237 Tracker'!P226</f>
        <v>0</v>
      </c>
      <c r="AB226" s="13">
        <f>'H237 Tracker'!Q226</f>
        <v>0</v>
      </c>
      <c r="AC226" s="13">
        <f t="shared" si="71"/>
        <v>739325305.36285055</v>
      </c>
      <c r="AD226" s="13">
        <f t="shared" si="72"/>
        <v>0</v>
      </c>
      <c r="AE226" s="13">
        <f t="shared" si="73"/>
        <v>739325305.36285055</v>
      </c>
      <c r="AF226" s="13">
        <f t="shared" si="79"/>
        <v>1708667596.9148502</v>
      </c>
      <c r="AG226" s="24">
        <f t="shared" si="74"/>
        <v>-0.56730887464725877</v>
      </c>
      <c r="AH226" s="8">
        <f>--(COUNTIF('Tax Events'!$A$4:$A$8,A226)&gt;0)</f>
        <v>0</v>
      </c>
      <c r="AI226" s="8">
        <f>--(COUNTIF('Tax Events'!$B$4:$B$9,A226)&gt;0)</f>
        <v>0</v>
      </c>
    </row>
    <row r="227" spans="1:35">
      <c r="A227" s="4">
        <f>'H237 Tracker'!A227</f>
        <v>44767</v>
      </c>
      <c r="B227" s="13">
        <f t="shared" si="75"/>
        <v>739325305.36285055</v>
      </c>
      <c r="C227" s="13">
        <f t="shared" si="76"/>
        <v>0</v>
      </c>
      <c r="D227" s="13">
        <f t="shared" si="60"/>
        <v>739325305.36285055</v>
      </c>
      <c r="E227" s="13">
        <f t="shared" si="61"/>
        <v>0</v>
      </c>
      <c r="F227" s="13">
        <f>IF(AH227=1,MAX(R226,0)*Parameters!$B$11,0)</f>
        <v>0</v>
      </c>
      <c r="G227" s="13">
        <f>IF(AI227=1,MAX(S226,0)*Parameters!$B$11,0)</f>
        <v>0</v>
      </c>
      <c r="H227" s="13">
        <f t="shared" si="62"/>
        <v>739325305.36285055</v>
      </c>
      <c r="I227" s="13">
        <f t="shared" si="63"/>
        <v>0</v>
      </c>
      <c r="J227" s="13">
        <f t="shared" si="64"/>
        <v>0</v>
      </c>
      <c r="K227" s="13">
        <f t="shared" si="65"/>
        <v>0</v>
      </c>
      <c r="L227" s="13">
        <f t="shared" si="66"/>
        <v>739325305.36285055</v>
      </c>
      <c r="M227" s="13">
        <f t="shared" si="67"/>
        <v>0</v>
      </c>
      <c r="N227" s="13">
        <f>MAX(0,INT(L227*Parameters!$B$14/Parameters!$B$13/Parameters!$B$12)*Parameters!$B$12)</f>
        <v>492883445</v>
      </c>
      <c r="O227" s="13">
        <f>MAX(0,INT(M227*Parameters!$B$14/Parameters!$B$13/Parameters!$B$12)*Parameters!$B$12)</f>
        <v>0</v>
      </c>
      <c r="P227" s="13">
        <f>N227*Parameters!$B$13*'H237 Tracker'!B227</f>
        <v>-39430675.600000001</v>
      </c>
      <c r="Q227" s="13">
        <f>O227*Parameters!$B$13*'H237 Tracker'!C227</f>
        <v>0</v>
      </c>
      <c r="R227" s="13">
        <f t="shared" si="77"/>
        <v>495723038.36300039</v>
      </c>
      <c r="S227" s="13">
        <f t="shared" si="78"/>
        <v>23315547.878999993</v>
      </c>
      <c r="T227" s="13">
        <f t="shared" si="68"/>
        <v>699894629.76285052</v>
      </c>
      <c r="U227" s="13">
        <f t="shared" si="69"/>
        <v>0</v>
      </c>
      <c r="V227" s="12">
        <f t="shared" si="70"/>
        <v>1</v>
      </c>
      <c r="W227" t="str">
        <f>'H237 Tracker'!I227</f>
        <v>A</v>
      </c>
      <c r="X227">
        <f>'H237 Tracker'!J227</f>
        <v>1</v>
      </c>
      <c r="Y227" t="str">
        <f>'H237 Tracker'!K227</f>
        <v>HOLD</v>
      </c>
      <c r="Z227" s="12">
        <f>'H237 Tracker'!O227</f>
        <v>1</v>
      </c>
      <c r="AA227" s="13">
        <f>'H237 Tracker'!P227</f>
        <v>0</v>
      </c>
      <c r="AB227" s="13">
        <f>'H237 Tracker'!Q227</f>
        <v>0</v>
      </c>
      <c r="AC227" s="13">
        <f t="shared" si="71"/>
        <v>699894629.76285052</v>
      </c>
      <c r="AD227" s="13">
        <f t="shared" si="72"/>
        <v>0</v>
      </c>
      <c r="AE227" s="13">
        <f t="shared" si="73"/>
        <v>699894629.76285052</v>
      </c>
      <c r="AF227" s="13">
        <f t="shared" si="79"/>
        <v>1708667596.9148502</v>
      </c>
      <c r="AG227" s="24">
        <f t="shared" si="74"/>
        <v>-0.59038573036290276</v>
      </c>
      <c r="AH227" s="8">
        <f>--(COUNTIF('Tax Events'!$A$4:$A$8,A227)&gt;0)</f>
        <v>0</v>
      </c>
      <c r="AI227" s="8">
        <f>--(COUNTIF('Tax Events'!$B$4:$B$9,A227)&gt;0)</f>
        <v>0</v>
      </c>
    </row>
    <row r="228" spans="1:35">
      <c r="A228" s="4">
        <f>'H237 Tracker'!A228</f>
        <v>44774</v>
      </c>
      <c r="B228" s="13">
        <f t="shared" si="75"/>
        <v>699894629.76285052</v>
      </c>
      <c r="C228" s="13">
        <f t="shared" si="76"/>
        <v>0</v>
      </c>
      <c r="D228" s="13">
        <f t="shared" si="60"/>
        <v>699894629.76285052</v>
      </c>
      <c r="E228" s="13">
        <f t="shared" si="61"/>
        <v>0</v>
      </c>
      <c r="F228" s="13">
        <f>IF(AH228=1,MAX(R227,0)*Parameters!$B$11,0)</f>
        <v>0</v>
      </c>
      <c r="G228" s="13">
        <f>IF(AI228=1,MAX(S227,0)*Parameters!$B$11,0)</f>
        <v>0</v>
      </c>
      <c r="H228" s="13">
        <f t="shared" si="62"/>
        <v>699894629.76285052</v>
      </c>
      <c r="I228" s="13">
        <f t="shared" si="63"/>
        <v>0</v>
      </c>
      <c r="J228" s="13">
        <f t="shared" si="64"/>
        <v>0</v>
      </c>
      <c r="K228" s="13">
        <f t="shared" si="65"/>
        <v>0</v>
      </c>
      <c r="L228" s="13">
        <f t="shared" si="66"/>
        <v>699894629.76285052</v>
      </c>
      <c r="M228" s="13">
        <f t="shared" si="67"/>
        <v>0</v>
      </c>
      <c r="N228" s="13">
        <f>MAX(0,INT(L228*Parameters!$B$14/Parameters!$B$13/Parameters!$B$12)*Parameters!$B$12)</f>
        <v>466596400</v>
      </c>
      <c r="O228" s="13">
        <f>MAX(0,INT(M228*Parameters!$B$14/Parameters!$B$13/Parameters!$B$12)*Parameters!$B$12)</f>
        <v>0</v>
      </c>
      <c r="P228" s="13">
        <f>N228*Parameters!$B$13*'H237 Tracker'!B228</f>
        <v>239550591.75999999</v>
      </c>
      <c r="Q228" s="13">
        <f>O228*Parameters!$B$13*'H237 Tracker'!C228</f>
        <v>0</v>
      </c>
      <c r="R228" s="13">
        <f t="shared" si="77"/>
        <v>735273630.12300038</v>
      </c>
      <c r="S228" s="13">
        <f t="shared" si="78"/>
        <v>23315547.878999993</v>
      </c>
      <c r="T228" s="13">
        <f t="shared" si="68"/>
        <v>939445221.52285051</v>
      </c>
      <c r="U228" s="13">
        <f t="shared" si="69"/>
        <v>0</v>
      </c>
      <c r="V228" s="12">
        <f t="shared" si="70"/>
        <v>1</v>
      </c>
      <c r="W228" t="str">
        <f>'H237 Tracker'!I228</f>
        <v>A</v>
      </c>
      <c r="X228">
        <f>'H237 Tracker'!J228</f>
        <v>2</v>
      </c>
      <c r="Y228" t="str">
        <f>'H237 Tracker'!K228</f>
        <v>HOLD</v>
      </c>
      <c r="Z228" s="12">
        <f>'H237 Tracker'!O228</f>
        <v>1</v>
      </c>
      <c r="AA228" s="13">
        <f>'H237 Tracker'!P228</f>
        <v>0</v>
      </c>
      <c r="AB228" s="13">
        <f>'H237 Tracker'!Q228</f>
        <v>0</v>
      </c>
      <c r="AC228" s="13">
        <f t="shared" si="71"/>
        <v>939445221.52285051</v>
      </c>
      <c r="AD228" s="13">
        <f t="shared" si="72"/>
        <v>0</v>
      </c>
      <c r="AE228" s="13">
        <f t="shared" si="73"/>
        <v>939445221.52285051</v>
      </c>
      <c r="AF228" s="13">
        <f t="shared" si="79"/>
        <v>1708667596.9148502</v>
      </c>
      <c r="AG228" s="24">
        <f t="shared" si="74"/>
        <v>-0.45018842563696904</v>
      </c>
      <c r="AH228" s="8">
        <f>--(COUNTIF('Tax Events'!$A$4:$A$8,A228)&gt;0)</f>
        <v>0</v>
      </c>
      <c r="AI228" s="8">
        <f>--(COUNTIF('Tax Events'!$B$4:$B$9,A228)&gt;0)</f>
        <v>0</v>
      </c>
    </row>
    <row r="229" spans="1:35">
      <c r="A229" s="4">
        <f>'H237 Tracker'!A229</f>
        <v>44781</v>
      </c>
      <c r="B229" s="13">
        <f t="shared" si="75"/>
        <v>939445221.52285051</v>
      </c>
      <c r="C229" s="13">
        <f t="shared" si="76"/>
        <v>0</v>
      </c>
      <c r="D229" s="13">
        <f t="shared" si="60"/>
        <v>939445221.52285051</v>
      </c>
      <c r="E229" s="13">
        <f t="shared" si="61"/>
        <v>0</v>
      </c>
      <c r="F229" s="13">
        <f>IF(AH229=1,MAX(R228,0)*Parameters!$B$11,0)</f>
        <v>0</v>
      </c>
      <c r="G229" s="13">
        <f>IF(AI229=1,MAX(S228,0)*Parameters!$B$11,0)</f>
        <v>0</v>
      </c>
      <c r="H229" s="13">
        <f t="shared" si="62"/>
        <v>939445221.52285051</v>
      </c>
      <c r="I229" s="13">
        <f t="shared" si="63"/>
        <v>0</v>
      </c>
      <c r="J229" s="13">
        <f t="shared" si="64"/>
        <v>0</v>
      </c>
      <c r="K229" s="13">
        <f t="shared" si="65"/>
        <v>0</v>
      </c>
      <c r="L229" s="13">
        <f t="shared" si="66"/>
        <v>939445221.52285051</v>
      </c>
      <c r="M229" s="13">
        <f t="shared" si="67"/>
        <v>0</v>
      </c>
      <c r="N229" s="13">
        <f>MAX(0,INT(L229*Parameters!$B$14/Parameters!$B$13/Parameters!$B$12)*Parameters!$B$12)</f>
        <v>626296785</v>
      </c>
      <c r="O229" s="13">
        <f>MAX(0,INT(M229*Parameters!$B$14/Parameters!$B$13/Parameters!$B$12)*Parameters!$B$12)</f>
        <v>0</v>
      </c>
      <c r="P229" s="13">
        <f>N229*Parameters!$B$13*'H237 Tracker'!B229</f>
        <v>-2254668.426</v>
      </c>
      <c r="Q229" s="13">
        <f>O229*Parameters!$B$13*'H237 Tracker'!C229</f>
        <v>0</v>
      </c>
      <c r="R229" s="13">
        <f t="shared" si="77"/>
        <v>733018961.69700038</v>
      </c>
      <c r="S229" s="13">
        <f t="shared" si="78"/>
        <v>23315547.878999993</v>
      </c>
      <c r="T229" s="13">
        <f t="shared" si="68"/>
        <v>937190553.09685051</v>
      </c>
      <c r="U229" s="13">
        <f t="shared" si="69"/>
        <v>0</v>
      </c>
      <c r="V229" s="12">
        <f t="shared" si="70"/>
        <v>1</v>
      </c>
      <c r="W229" t="str">
        <f>'H237 Tracker'!I229</f>
        <v>A</v>
      </c>
      <c r="X229">
        <f>'H237 Tracker'!J229</f>
        <v>3</v>
      </c>
      <c r="Y229" t="str">
        <f>'H237 Tracker'!K229</f>
        <v>A</v>
      </c>
      <c r="Z229" s="12">
        <f>'H237 Tracker'!O229</f>
        <v>1</v>
      </c>
      <c r="AA229" s="13">
        <f>'H237 Tracker'!P229</f>
        <v>0</v>
      </c>
      <c r="AB229" s="13">
        <f>'H237 Tracker'!Q229</f>
        <v>0</v>
      </c>
      <c r="AC229" s="13">
        <f t="shared" si="71"/>
        <v>937190553.09685051</v>
      </c>
      <c r="AD229" s="13">
        <f t="shared" si="72"/>
        <v>0</v>
      </c>
      <c r="AE229" s="13">
        <f t="shared" si="73"/>
        <v>937190553.09685051</v>
      </c>
      <c r="AF229" s="13">
        <f t="shared" si="79"/>
        <v>1708667596.9148502</v>
      </c>
      <c r="AG229" s="24">
        <f t="shared" si="74"/>
        <v>-0.45150797335360571</v>
      </c>
      <c r="AH229" s="8">
        <f>--(COUNTIF('Tax Events'!$A$4:$A$8,A229)&gt;0)</f>
        <v>0</v>
      </c>
      <c r="AI229" s="8">
        <f>--(COUNTIF('Tax Events'!$B$4:$B$9,A229)&gt;0)</f>
        <v>0</v>
      </c>
    </row>
    <row r="230" spans="1:35">
      <c r="A230" s="4">
        <f>'H237 Tracker'!A230</f>
        <v>44788</v>
      </c>
      <c r="B230" s="13">
        <f t="shared" si="75"/>
        <v>937190553.09685051</v>
      </c>
      <c r="C230" s="13">
        <f t="shared" si="76"/>
        <v>0</v>
      </c>
      <c r="D230" s="13">
        <f t="shared" si="60"/>
        <v>937190553.09685051</v>
      </c>
      <c r="E230" s="13">
        <f t="shared" si="61"/>
        <v>0</v>
      </c>
      <c r="F230" s="13">
        <f>IF(AH230=1,MAX(R229,0)*Parameters!$B$11,0)</f>
        <v>0</v>
      </c>
      <c r="G230" s="13">
        <f>IF(AI230=1,MAX(S229,0)*Parameters!$B$11,0)</f>
        <v>0</v>
      </c>
      <c r="H230" s="13">
        <f t="shared" si="62"/>
        <v>937190553.09685051</v>
      </c>
      <c r="I230" s="13">
        <f t="shared" si="63"/>
        <v>0</v>
      </c>
      <c r="J230" s="13">
        <f t="shared" si="64"/>
        <v>0</v>
      </c>
      <c r="K230" s="13">
        <f t="shared" si="65"/>
        <v>0</v>
      </c>
      <c r="L230" s="13">
        <f t="shared" si="66"/>
        <v>937190553.09685051</v>
      </c>
      <c r="M230" s="13">
        <f t="shared" si="67"/>
        <v>0</v>
      </c>
      <c r="N230" s="13">
        <f>MAX(0,INT(L230*Parameters!$B$14/Parameters!$B$13/Parameters!$B$12)*Parameters!$B$12)</f>
        <v>624793620</v>
      </c>
      <c r="O230" s="13">
        <f>MAX(0,INT(M230*Parameters!$B$14/Parameters!$B$13/Parameters!$B$12)*Parameters!$B$12)</f>
        <v>0</v>
      </c>
      <c r="P230" s="13">
        <f>N230*Parameters!$B$13*'H237 Tracker'!B230</f>
        <v>136579885.33200002</v>
      </c>
      <c r="Q230" s="13">
        <f>O230*Parameters!$B$13*'H237 Tracker'!C230</f>
        <v>0</v>
      </c>
      <c r="R230" s="13">
        <f t="shared" si="77"/>
        <v>869598847.0290004</v>
      </c>
      <c r="S230" s="13">
        <f t="shared" si="78"/>
        <v>23315547.878999993</v>
      </c>
      <c r="T230" s="13">
        <f t="shared" si="68"/>
        <v>1073770438.4288507</v>
      </c>
      <c r="U230" s="13">
        <f t="shared" si="69"/>
        <v>0</v>
      </c>
      <c r="V230" s="12">
        <f t="shared" si="70"/>
        <v>1</v>
      </c>
      <c r="W230" t="str">
        <f>'H237 Tracker'!I230</f>
        <v>A</v>
      </c>
      <c r="X230">
        <f>'H237 Tracker'!J230</f>
        <v>4</v>
      </c>
      <c r="Y230" t="str">
        <f>'H237 Tracker'!K230</f>
        <v>A</v>
      </c>
      <c r="Z230" s="12">
        <f>'H237 Tracker'!O230</f>
        <v>1</v>
      </c>
      <c r="AA230" s="13">
        <f>'H237 Tracker'!P230</f>
        <v>0</v>
      </c>
      <c r="AB230" s="13">
        <f>'H237 Tracker'!Q230</f>
        <v>0</v>
      </c>
      <c r="AC230" s="13">
        <f t="shared" si="71"/>
        <v>1073770438.4288507</v>
      </c>
      <c r="AD230" s="13">
        <f t="shared" si="72"/>
        <v>0</v>
      </c>
      <c r="AE230" s="13">
        <f t="shared" si="73"/>
        <v>1073770438.4288507</v>
      </c>
      <c r="AF230" s="13">
        <f t="shared" si="79"/>
        <v>1708667596.9148502</v>
      </c>
      <c r="AG230" s="24">
        <f t="shared" si="74"/>
        <v>-0.37157441250267886</v>
      </c>
      <c r="AH230" s="8">
        <f>--(COUNTIF('Tax Events'!$A$4:$A$8,A230)&gt;0)</f>
        <v>0</v>
      </c>
      <c r="AI230" s="8">
        <f>--(COUNTIF('Tax Events'!$B$4:$B$9,A230)&gt;0)</f>
        <v>0</v>
      </c>
    </row>
    <row r="231" spans="1:35">
      <c r="A231" s="4">
        <f>'H237 Tracker'!A231</f>
        <v>44795</v>
      </c>
      <c r="B231" s="13">
        <f t="shared" si="75"/>
        <v>1073770438.4288507</v>
      </c>
      <c r="C231" s="13">
        <f t="shared" si="76"/>
        <v>0</v>
      </c>
      <c r="D231" s="13">
        <f t="shared" si="60"/>
        <v>1073770438.4288507</v>
      </c>
      <c r="E231" s="13">
        <f t="shared" si="61"/>
        <v>0</v>
      </c>
      <c r="F231" s="13">
        <f>IF(AH231=1,MAX(R230,0)*Parameters!$B$11,0)</f>
        <v>0</v>
      </c>
      <c r="G231" s="13">
        <f>IF(AI231=1,MAX(S230,0)*Parameters!$B$11,0)</f>
        <v>0</v>
      </c>
      <c r="H231" s="13">
        <f t="shared" si="62"/>
        <v>1073770438.4288507</v>
      </c>
      <c r="I231" s="13">
        <f t="shared" si="63"/>
        <v>0</v>
      </c>
      <c r="J231" s="13">
        <f t="shared" si="64"/>
        <v>0</v>
      </c>
      <c r="K231" s="13">
        <f t="shared" si="65"/>
        <v>0</v>
      </c>
      <c r="L231" s="13">
        <f t="shared" si="66"/>
        <v>1073770438.4288507</v>
      </c>
      <c r="M231" s="13">
        <f t="shared" si="67"/>
        <v>0</v>
      </c>
      <c r="N231" s="13">
        <f>MAX(0,INT(L231*Parameters!$B$14/Parameters!$B$13/Parameters!$B$12)*Parameters!$B$12)</f>
        <v>715846940</v>
      </c>
      <c r="O231" s="13">
        <f>MAX(0,INT(M231*Parameters!$B$14/Parameters!$B$13/Parameters!$B$12)*Parameters!$B$12)</f>
        <v>0</v>
      </c>
      <c r="P231" s="13">
        <f>N231*Parameters!$B$13*'H237 Tracker'!B231</f>
        <v>-141165016.56800002</v>
      </c>
      <c r="Q231" s="13">
        <f>O231*Parameters!$B$13*'H237 Tracker'!C231</f>
        <v>0</v>
      </c>
      <c r="R231" s="13">
        <f t="shared" si="77"/>
        <v>728433830.46100044</v>
      </c>
      <c r="S231" s="13">
        <f t="shared" si="78"/>
        <v>23315547.878999993</v>
      </c>
      <c r="T231" s="13">
        <f t="shared" si="68"/>
        <v>932605421.86085057</v>
      </c>
      <c r="U231" s="13">
        <f t="shared" si="69"/>
        <v>0</v>
      </c>
      <c r="V231" s="12">
        <f t="shared" si="70"/>
        <v>1</v>
      </c>
      <c r="W231" t="str">
        <f>'H237 Tracker'!I231</f>
        <v>A</v>
      </c>
      <c r="X231">
        <f>'H237 Tracker'!J231</f>
        <v>5</v>
      </c>
      <c r="Y231" t="str">
        <f>'H237 Tracker'!K231</f>
        <v>A</v>
      </c>
      <c r="Z231" s="12">
        <f>'H237 Tracker'!O231</f>
        <v>1</v>
      </c>
      <c r="AA231" s="13">
        <f>'H237 Tracker'!P231</f>
        <v>0</v>
      </c>
      <c r="AB231" s="13">
        <f>'H237 Tracker'!Q231</f>
        <v>0</v>
      </c>
      <c r="AC231" s="13">
        <f t="shared" si="71"/>
        <v>932605421.86085057</v>
      </c>
      <c r="AD231" s="13">
        <f t="shared" si="72"/>
        <v>0</v>
      </c>
      <c r="AE231" s="13">
        <f t="shared" si="73"/>
        <v>932605421.86085057</v>
      </c>
      <c r="AF231" s="13">
        <f t="shared" si="79"/>
        <v>1708667596.9148502</v>
      </c>
      <c r="AG231" s="24">
        <f t="shared" si="74"/>
        <v>-0.45419142755164799</v>
      </c>
      <c r="AH231" s="8">
        <f>--(COUNTIF('Tax Events'!$A$4:$A$8,A231)&gt;0)</f>
        <v>0</v>
      </c>
      <c r="AI231" s="8">
        <f>--(COUNTIF('Tax Events'!$B$4:$B$9,A231)&gt;0)</f>
        <v>0</v>
      </c>
    </row>
    <row r="232" spans="1:35">
      <c r="A232" s="4">
        <f>'H237 Tracker'!A232</f>
        <v>44802</v>
      </c>
      <c r="B232" s="13">
        <f t="shared" si="75"/>
        <v>932605421.86085057</v>
      </c>
      <c r="C232" s="13">
        <f t="shared" si="76"/>
        <v>0</v>
      </c>
      <c r="D232" s="13">
        <f t="shared" si="60"/>
        <v>932605421.86085057</v>
      </c>
      <c r="E232" s="13">
        <f t="shared" si="61"/>
        <v>0</v>
      </c>
      <c r="F232" s="13">
        <f>IF(AH232=1,MAX(R231,0)*Parameters!$B$11,0)</f>
        <v>0</v>
      </c>
      <c r="G232" s="13">
        <f>IF(AI232=1,MAX(S231,0)*Parameters!$B$11,0)</f>
        <v>0</v>
      </c>
      <c r="H232" s="13">
        <f t="shared" si="62"/>
        <v>932605421.86085057</v>
      </c>
      <c r="I232" s="13">
        <f t="shared" si="63"/>
        <v>0</v>
      </c>
      <c r="J232" s="13">
        <f t="shared" si="64"/>
        <v>0</v>
      </c>
      <c r="K232" s="13">
        <f t="shared" si="65"/>
        <v>0</v>
      </c>
      <c r="L232" s="13">
        <f t="shared" si="66"/>
        <v>932605421.86085057</v>
      </c>
      <c r="M232" s="13">
        <f t="shared" si="67"/>
        <v>0</v>
      </c>
      <c r="N232" s="13">
        <f>MAX(0,INT(L232*Parameters!$B$14/Parameters!$B$13/Parameters!$B$12)*Parameters!$B$12)</f>
        <v>621736920</v>
      </c>
      <c r="O232" s="13">
        <f>MAX(0,INT(M232*Parameters!$B$14/Parameters!$B$13/Parameters!$B$12)*Parameters!$B$12)</f>
        <v>0</v>
      </c>
      <c r="P232" s="13">
        <f>N232*Parameters!$B$13*'H237 Tracker'!B232</f>
        <v>-34817267.520000003</v>
      </c>
      <c r="Q232" s="13">
        <f>O232*Parameters!$B$13*'H237 Tracker'!C232</f>
        <v>0</v>
      </c>
      <c r="R232" s="13">
        <f t="shared" si="77"/>
        <v>693616562.94100046</v>
      </c>
      <c r="S232" s="13">
        <f t="shared" si="78"/>
        <v>23315547.878999993</v>
      </c>
      <c r="T232" s="13">
        <f t="shared" si="68"/>
        <v>897788154.34085059</v>
      </c>
      <c r="U232" s="13">
        <f t="shared" si="69"/>
        <v>0</v>
      </c>
      <c r="V232" s="12">
        <f t="shared" si="70"/>
        <v>1</v>
      </c>
      <c r="W232" t="str">
        <f>'H237 Tracker'!I232</f>
        <v>A</v>
      </c>
      <c r="X232">
        <f>'H237 Tracker'!J232</f>
        <v>6</v>
      </c>
      <c r="Y232" t="str">
        <f>'H237 Tracker'!K232</f>
        <v>A</v>
      </c>
      <c r="Z232" s="12">
        <f>'H237 Tracker'!O232</f>
        <v>1</v>
      </c>
      <c r="AA232" s="13">
        <f>'H237 Tracker'!P232</f>
        <v>0</v>
      </c>
      <c r="AB232" s="13">
        <f>'H237 Tracker'!Q232</f>
        <v>0</v>
      </c>
      <c r="AC232" s="13">
        <f t="shared" si="71"/>
        <v>897788154.34085059</v>
      </c>
      <c r="AD232" s="13">
        <f t="shared" si="72"/>
        <v>0</v>
      </c>
      <c r="AE232" s="13">
        <f t="shared" si="73"/>
        <v>897788154.34085059</v>
      </c>
      <c r="AF232" s="13">
        <f t="shared" si="79"/>
        <v>1708667596.9148502</v>
      </c>
      <c r="AG232" s="24">
        <f t="shared" si="74"/>
        <v>-0.47456828000841933</v>
      </c>
      <c r="AH232" s="8">
        <f>--(COUNTIF('Tax Events'!$A$4:$A$8,A232)&gt;0)</f>
        <v>0</v>
      </c>
      <c r="AI232" s="8">
        <f>--(COUNTIF('Tax Events'!$B$4:$B$9,A232)&gt;0)</f>
        <v>0</v>
      </c>
    </row>
    <row r="233" spans="1:35">
      <c r="A233" s="4">
        <f>'H237 Tracker'!A233</f>
        <v>44809</v>
      </c>
      <c r="B233" s="13">
        <f t="shared" si="75"/>
        <v>897788154.34085059</v>
      </c>
      <c r="C233" s="13">
        <f t="shared" si="76"/>
        <v>0</v>
      </c>
      <c r="D233" s="13">
        <f t="shared" si="60"/>
        <v>897788154.34085059</v>
      </c>
      <c r="E233" s="13">
        <f t="shared" si="61"/>
        <v>0</v>
      </c>
      <c r="F233" s="13">
        <f>IF(AH233=1,MAX(R232,0)*Parameters!$B$11,0)</f>
        <v>0</v>
      </c>
      <c r="G233" s="13">
        <f>IF(AI233=1,MAX(S232,0)*Parameters!$B$11,0)</f>
        <v>0</v>
      </c>
      <c r="H233" s="13">
        <f t="shared" si="62"/>
        <v>897788154.34085059</v>
      </c>
      <c r="I233" s="13">
        <f t="shared" si="63"/>
        <v>0</v>
      </c>
      <c r="J233" s="13">
        <f t="shared" si="64"/>
        <v>0</v>
      </c>
      <c r="K233" s="13">
        <f t="shared" si="65"/>
        <v>0</v>
      </c>
      <c r="L233" s="13">
        <f t="shared" si="66"/>
        <v>897788154.34085059</v>
      </c>
      <c r="M233" s="13">
        <f t="shared" si="67"/>
        <v>0</v>
      </c>
      <c r="N233" s="13">
        <f>MAX(0,INT(L233*Parameters!$B$14/Parameters!$B$13/Parameters!$B$12)*Parameters!$B$12)</f>
        <v>598525435</v>
      </c>
      <c r="O233" s="13">
        <f>MAX(0,INT(M233*Parameters!$B$14/Parameters!$B$13/Parameters!$B$12)*Parameters!$B$12)</f>
        <v>0</v>
      </c>
      <c r="P233" s="13">
        <f>N233*Parameters!$B$13*'H237 Tracker'!B233</f>
        <v>458111367.949</v>
      </c>
      <c r="Q233" s="13">
        <f>O233*Parameters!$B$13*'H237 Tracker'!C233</f>
        <v>0</v>
      </c>
      <c r="R233" s="13">
        <f t="shared" si="77"/>
        <v>1151727930.8900003</v>
      </c>
      <c r="S233" s="13">
        <f t="shared" si="78"/>
        <v>23315547.878999993</v>
      </c>
      <c r="T233" s="13">
        <f t="shared" si="68"/>
        <v>1355899522.2898507</v>
      </c>
      <c r="U233" s="13">
        <f t="shared" si="69"/>
        <v>0</v>
      </c>
      <c r="V233" s="12">
        <f t="shared" si="70"/>
        <v>1</v>
      </c>
      <c r="W233" t="str">
        <f>'H237 Tracker'!I233</f>
        <v>A</v>
      </c>
      <c r="X233">
        <f>'H237 Tracker'!J233</f>
        <v>7</v>
      </c>
      <c r="Y233" t="str">
        <f>'H237 Tracker'!K233</f>
        <v>A</v>
      </c>
      <c r="Z233" s="12">
        <f>'H237 Tracker'!O233</f>
        <v>1</v>
      </c>
      <c r="AA233" s="13">
        <f>'H237 Tracker'!P233</f>
        <v>0</v>
      </c>
      <c r="AB233" s="13">
        <f>'H237 Tracker'!Q233</f>
        <v>0</v>
      </c>
      <c r="AC233" s="13">
        <f t="shared" si="71"/>
        <v>1355899522.2898507</v>
      </c>
      <c r="AD233" s="13">
        <f t="shared" si="72"/>
        <v>0</v>
      </c>
      <c r="AE233" s="13">
        <f t="shared" si="73"/>
        <v>1355899522.2898507</v>
      </c>
      <c r="AF233" s="13">
        <f t="shared" si="79"/>
        <v>1708667596.9148502</v>
      </c>
      <c r="AG233" s="24">
        <f t="shared" si="74"/>
        <v>-0.20645798823712314</v>
      </c>
      <c r="AH233" s="8">
        <f>--(COUNTIF('Tax Events'!$A$4:$A$8,A233)&gt;0)</f>
        <v>0</v>
      </c>
      <c r="AI233" s="8">
        <f>--(COUNTIF('Tax Events'!$B$4:$B$9,A233)&gt;0)</f>
        <v>0</v>
      </c>
    </row>
    <row r="234" spans="1:35">
      <c r="A234" s="4">
        <f>'H237 Tracker'!A234</f>
        <v>44816</v>
      </c>
      <c r="B234" s="13">
        <f t="shared" si="75"/>
        <v>1355899522.2898507</v>
      </c>
      <c r="C234" s="13">
        <f t="shared" si="76"/>
        <v>0</v>
      </c>
      <c r="D234" s="13">
        <f t="shared" si="60"/>
        <v>1355899522.2898507</v>
      </c>
      <c r="E234" s="13">
        <f t="shared" si="61"/>
        <v>0</v>
      </c>
      <c r="F234" s="13">
        <f>IF(AH234=1,MAX(R233,0)*Parameters!$B$11,0)</f>
        <v>0</v>
      </c>
      <c r="G234" s="13">
        <f>IF(AI234=1,MAX(S233,0)*Parameters!$B$11,0)</f>
        <v>0</v>
      </c>
      <c r="H234" s="13">
        <f t="shared" si="62"/>
        <v>1355899522.2898507</v>
      </c>
      <c r="I234" s="13">
        <f t="shared" si="63"/>
        <v>0</v>
      </c>
      <c r="J234" s="13">
        <f t="shared" si="64"/>
        <v>0</v>
      </c>
      <c r="K234" s="13">
        <f t="shared" si="65"/>
        <v>0</v>
      </c>
      <c r="L234" s="13">
        <f t="shared" si="66"/>
        <v>1355899522.2898507</v>
      </c>
      <c r="M234" s="13">
        <f t="shared" si="67"/>
        <v>0</v>
      </c>
      <c r="N234" s="13">
        <f>MAX(0,INT(L234*Parameters!$B$14/Parameters!$B$13/Parameters!$B$12)*Parameters!$B$12)</f>
        <v>903933005</v>
      </c>
      <c r="O234" s="13">
        <f>MAX(0,INT(M234*Parameters!$B$14/Parameters!$B$13/Parameters!$B$12)*Parameters!$B$12)</f>
        <v>0</v>
      </c>
      <c r="P234" s="13">
        <f>N234*Parameters!$B$13*'H237 Tracker'!B234</f>
        <v>145894787.007</v>
      </c>
      <c r="Q234" s="13">
        <f>O234*Parameters!$B$13*'H237 Tracker'!C234</f>
        <v>0</v>
      </c>
      <c r="R234" s="13">
        <f t="shared" si="77"/>
        <v>1297622717.8970003</v>
      </c>
      <c r="S234" s="13">
        <f t="shared" si="78"/>
        <v>23315547.878999993</v>
      </c>
      <c r="T234" s="13">
        <f t="shared" si="68"/>
        <v>1501794309.2968507</v>
      </c>
      <c r="U234" s="13">
        <f t="shared" si="69"/>
        <v>0</v>
      </c>
      <c r="V234" s="12">
        <f t="shared" si="70"/>
        <v>1</v>
      </c>
      <c r="W234" t="str">
        <f>'H237 Tracker'!I234</f>
        <v>B</v>
      </c>
      <c r="X234">
        <f>'H237 Tracker'!J234</f>
        <v>1</v>
      </c>
      <c r="Y234" t="str">
        <f>'H237 Tracker'!K234</f>
        <v>HOLD</v>
      </c>
      <c r="Z234" s="12">
        <f>'H237 Tracker'!O234</f>
        <v>1</v>
      </c>
      <c r="AA234" s="13">
        <f>'H237 Tracker'!P234</f>
        <v>0</v>
      </c>
      <c r="AB234" s="13">
        <f>'H237 Tracker'!Q234</f>
        <v>0</v>
      </c>
      <c r="AC234" s="13">
        <f t="shared" si="71"/>
        <v>1501794309.2968507</v>
      </c>
      <c r="AD234" s="13">
        <f t="shared" si="72"/>
        <v>0</v>
      </c>
      <c r="AE234" s="13">
        <f t="shared" si="73"/>
        <v>1501794309.2968507</v>
      </c>
      <c r="AF234" s="13">
        <f t="shared" si="79"/>
        <v>1708667596.9148502</v>
      </c>
      <c r="AG234" s="24">
        <f t="shared" si="74"/>
        <v>-0.12107286870279943</v>
      </c>
      <c r="AH234" s="8">
        <f>--(COUNTIF('Tax Events'!$A$4:$A$8,A234)&gt;0)</f>
        <v>0</v>
      </c>
      <c r="AI234" s="8">
        <f>--(COUNTIF('Tax Events'!$B$4:$B$9,A234)&gt;0)</f>
        <v>0</v>
      </c>
    </row>
    <row r="235" spans="1:35">
      <c r="A235" s="4">
        <f>'H237 Tracker'!A235</f>
        <v>44823</v>
      </c>
      <c r="B235" s="13">
        <f t="shared" si="75"/>
        <v>1501794309.2968507</v>
      </c>
      <c r="C235" s="13">
        <f t="shared" si="76"/>
        <v>0</v>
      </c>
      <c r="D235" s="13">
        <f t="shared" si="60"/>
        <v>1501794309.2968507</v>
      </c>
      <c r="E235" s="13">
        <f t="shared" si="61"/>
        <v>0</v>
      </c>
      <c r="F235" s="13">
        <f>IF(AH235=1,MAX(R234,0)*Parameters!$B$11,0)</f>
        <v>0</v>
      </c>
      <c r="G235" s="13">
        <f>IF(AI235=1,MAX(S234,0)*Parameters!$B$11,0)</f>
        <v>0</v>
      </c>
      <c r="H235" s="13">
        <f t="shared" si="62"/>
        <v>1501794309.2968507</v>
      </c>
      <c r="I235" s="13">
        <f t="shared" si="63"/>
        <v>0</v>
      </c>
      <c r="J235" s="13">
        <f t="shared" si="64"/>
        <v>0</v>
      </c>
      <c r="K235" s="13">
        <f t="shared" si="65"/>
        <v>0</v>
      </c>
      <c r="L235" s="13">
        <f t="shared" si="66"/>
        <v>1501794309.2968507</v>
      </c>
      <c r="M235" s="13">
        <f t="shared" si="67"/>
        <v>0</v>
      </c>
      <c r="N235" s="13">
        <f>MAX(0,INT(L235*Parameters!$B$14/Parameters!$B$13/Parameters!$B$12)*Parameters!$B$12)</f>
        <v>1001196095</v>
      </c>
      <c r="O235" s="13">
        <f>MAX(0,INT(M235*Parameters!$B$14/Parameters!$B$13/Parameters!$B$12)*Parameters!$B$12)</f>
        <v>0</v>
      </c>
      <c r="P235" s="13">
        <f>N235*Parameters!$B$13*'H237 Tracker'!B235</f>
        <v>373446143.435</v>
      </c>
      <c r="Q235" s="13">
        <f>O235*Parameters!$B$13*'H237 Tracker'!C235</f>
        <v>0</v>
      </c>
      <c r="R235" s="13">
        <f t="shared" si="77"/>
        <v>1671068861.3320003</v>
      </c>
      <c r="S235" s="13">
        <f t="shared" si="78"/>
        <v>23315547.878999993</v>
      </c>
      <c r="T235" s="13">
        <f t="shared" si="68"/>
        <v>1875240452.7318506</v>
      </c>
      <c r="U235" s="13">
        <f t="shared" si="69"/>
        <v>0</v>
      </c>
      <c r="V235" s="12">
        <f t="shared" si="70"/>
        <v>1</v>
      </c>
      <c r="W235" t="str">
        <f>'H237 Tracker'!I235</f>
        <v>B</v>
      </c>
      <c r="X235">
        <f>'H237 Tracker'!J235</f>
        <v>2</v>
      </c>
      <c r="Y235" t="str">
        <f>'H237 Tracker'!K235</f>
        <v>HOLD</v>
      </c>
      <c r="Z235" s="12">
        <f>'H237 Tracker'!O235</f>
        <v>1</v>
      </c>
      <c r="AA235" s="13">
        <f>'H237 Tracker'!P235</f>
        <v>0</v>
      </c>
      <c r="AB235" s="13">
        <f>'H237 Tracker'!Q235</f>
        <v>0</v>
      </c>
      <c r="AC235" s="13">
        <f t="shared" si="71"/>
        <v>1875240452.7318506</v>
      </c>
      <c r="AD235" s="13">
        <f t="shared" si="72"/>
        <v>0</v>
      </c>
      <c r="AE235" s="13">
        <f t="shared" si="73"/>
        <v>1875240452.7318506</v>
      </c>
      <c r="AF235" s="13">
        <f t="shared" si="79"/>
        <v>1875240452.7318506</v>
      </c>
      <c r="AG235" s="24">
        <f t="shared" si="74"/>
        <v>0</v>
      </c>
      <c r="AH235" s="8">
        <f>--(COUNTIF('Tax Events'!$A$4:$A$8,A235)&gt;0)</f>
        <v>0</v>
      </c>
      <c r="AI235" s="8">
        <f>--(COUNTIF('Tax Events'!$B$4:$B$9,A235)&gt;0)</f>
        <v>0</v>
      </c>
    </row>
    <row r="236" spans="1:35">
      <c r="A236" s="4">
        <f>'H237 Tracker'!A236</f>
        <v>44830</v>
      </c>
      <c r="B236" s="13">
        <f t="shared" si="75"/>
        <v>1875240452.7318506</v>
      </c>
      <c r="C236" s="13">
        <f t="shared" si="76"/>
        <v>0</v>
      </c>
      <c r="D236" s="13">
        <f t="shared" si="60"/>
        <v>1875240452.7318506</v>
      </c>
      <c r="E236" s="13">
        <f t="shared" si="61"/>
        <v>0</v>
      </c>
      <c r="F236" s="13">
        <f>IF(AH236=1,MAX(R235,0)*Parameters!$B$11,0)</f>
        <v>0</v>
      </c>
      <c r="G236" s="13">
        <f>IF(AI236=1,MAX(S235,0)*Parameters!$B$11,0)</f>
        <v>0</v>
      </c>
      <c r="H236" s="13">
        <f t="shared" si="62"/>
        <v>1875240452.7318506</v>
      </c>
      <c r="I236" s="13">
        <f t="shared" si="63"/>
        <v>0</v>
      </c>
      <c r="J236" s="13">
        <f t="shared" si="64"/>
        <v>0</v>
      </c>
      <c r="K236" s="13">
        <f t="shared" si="65"/>
        <v>0</v>
      </c>
      <c r="L236" s="13">
        <f t="shared" si="66"/>
        <v>1875240452.7318506</v>
      </c>
      <c r="M236" s="13">
        <f t="shared" si="67"/>
        <v>0</v>
      </c>
      <c r="N236" s="13">
        <f>MAX(0,INT(L236*Parameters!$B$14/Parameters!$B$13/Parameters!$B$12)*Parameters!$B$12)</f>
        <v>1250160285</v>
      </c>
      <c r="O236" s="13">
        <f>MAX(0,INT(M236*Parameters!$B$14/Parameters!$B$13/Parameters!$B$12)*Parameters!$B$12)</f>
        <v>0</v>
      </c>
      <c r="P236" s="13">
        <f>N236*Parameters!$B$13*'H237 Tracker'!B236</f>
        <v>-100012822.8</v>
      </c>
      <c r="Q236" s="13">
        <f>O236*Parameters!$B$13*'H237 Tracker'!C236</f>
        <v>0</v>
      </c>
      <c r="R236" s="13">
        <f t="shared" si="77"/>
        <v>1571056038.5320003</v>
      </c>
      <c r="S236" s="13">
        <f t="shared" si="78"/>
        <v>23315547.878999993</v>
      </c>
      <c r="T236" s="13">
        <f t="shared" si="68"/>
        <v>1775227629.9318507</v>
      </c>
      <c r="U236" s="13">
        <f t="shared" si="69"/>
        <v>0</v>
      </c>
      <c r="V236" s="12">
        <f t="shared" si="70"/>
        <v>1</v>
      </c>
      <c r="W236" t="str">
        <f>'H237 Tracker'!I236</f>
        <v>B</v>
      </c>
      <c r="X236">
        <f>'H237 Tracker'!J236</f>
        <v>3</v>
      </c>
      <c r="Y236" t="str">
        <f>'H237 Tracker'!K236</f>
        <v>B</v>
      </c>
      <c r="Z236" s="12">
        <f>'H237 Tracker'!O236</f>
        <v>0.9</v>
      </c>
      <c r="AA236" s="13">
        <f>'H237 Tracker'!P236</f>
        <v>177522762.99318504</v>
      </c>
      <c r="AB236" s="13">
        <f>'H237 Tracker'!Q236</f>
        <v>0</v>
      </c>
      <c r="AC236" s="13">
        <f t="shared" si="71"/>
        <v>1597704866.9386656</v>
      </c>
      <c r="AD236" s="13">
        <f t="shared" si="72"/>
        <v>177522762.99318504</v>
      </c>
      <c r="AE236" s="13">
        <f t="shared" si="73"/>
        <v>1775227629.9318507</v>
      </c>
      <c r="AF236" s="13">
        <f t="shared" si="79"/>
        <v>1875240452.7318506</v>
      </c>
      <c r="AG236" s="24">
        <f t="shared" si="74"/>
        <v>-5.3333332615719375E-2</v>
      </c>
      <c r="AH236" s="8">
        <f>--(COUNTIF('Tax Events'!$A$4:$A$8,A236)&gt;0)</f>
        <v>0</v>
      </c>
      <c r="AI236" s="8">
        <f>--(COUNTIF('Tax Events'!$B$4:$B$9,A236)&gt;0)</f>
        <v>0</v>
      </c>
    </row>
    <row r="237" spans="1:35">
      <c r="A237" s="4">
        <f>'H237 Tracker'!A237</f>
        <v>44837</v>
      </c>
      <c r="B237" s="13">
        <f t="shared" si="75"/>
        <v>1597704866.9386656</v>
      </c>
      <c r="C237" s="13">
        <f t="shared" si="76"/>
        <v>177522762.99318504</v>
      </c>
      <c r="D237" s="13">
        <f t="shared" si="60"/>
        <v>1597704866.9386656</v>
      </c>
      <c r="E237" s="13">
        <f t="shared" si="61"/>
        <v>177522762.99318504</v>
      </c>
      <c r="F237" s="13">
        <f>IF(AH237=1,MAX(R236,0)*Parameters!$B$11,0)</f>
        <v>0</v>
      </c>
      <c r="G237" s="13">
        <f>IF(AI237=1,MAX(S236,0)*Parameters!$B$11,0)</f>
        <v>0</v>
      </c>
      <c r="H237" s="13">
        <f t="shared" si="62"/>
        <v>1597704866.9386656</v>
      </c>
      <c r="I237" s="13">
        <f t="shared" si="63"/>
        <v>177522762.99318504</v>
      </c>
      <c r="J237" s="13">
        <f t="shared" si="64"/>
        <v>0</v>
      </c>
      <c r="K237" s="13">
        <f t="shared" si="65"/>
        <v>0</v>
      </c>
      <c r="L237" s="13">
        <f t="shared" si="66"/>
        <v>1597704866.9386656</v>
      </c>
      <c r="M237" s="13">
        <f t="shared" si="67"/>
        <v>177522762.99318504</v>
      </c>
      <c r="N237" s="13">
        <f>MAX(0,INT(L237*Parameters!$B$14/Parameters!$B$13/Parameters!$B$12)*Parameters!$B$12)</f>
        <v>1065136555</v>
      </c>
      <c r="O237" s="13">
        <f>MAX(0,INT(M237*Parameters!$B$14/Parameters!$B$13/Parameters!$B$12)*Parameters!$B$12)</f>
        <v>118348455</v>
      </c>
      <c r="P237" s="13">
        <f>N237*Parameters!$B$13*'H237 Tracker'!B237</f>
        <v>388135760.64200002</v>
      </c>
      <c r="Q237" s="13">
        <f>O237*Parameters!$B$13*'H237 Tracker'!C237</f>
        <v>43126177.001999997</v>
      </c>
      <c r="R237" s="13">
        <f t="shared" si="77"/>
        <v>1959191799.1740003</v>
      </c>
      <c r="S237" s="13">
        <f t="shared" si="78"/>
        <v>66441724.88099999</v>
      </c>
      <c r="T237" s="13">
        <f t="shared" si="68"/>
        <v>1985840627.5806656</v>
      </c>
      <c r="U237" s="13">
        <f t="shared" si="69"/>
        <v>220648939.99518505</v>
      </c>
      <c r="V237" s="12">
        <f t="shared" si="70"/>
        <v>0.90000000759686349</v>
      </c>
      <c r="W237" t="str">
        <f>'H237 Tracker'!I237</f>
        <v>B</v>
      </c>
      <c r="X237">
        <f>'H237 Tracker'!J237</f>
        <v>4</v>
      </c>
      <c r="Y237" t="str">
        <f>'H237 Tracker'!K237</f>
        <v>B</v>
      </c>
      <c r="Z237" s="12">
        <f>'H237 Tracker'!O237</f>
        <v>0.80000000759686352</v>
      </c>
      <c r="AA237" s="13">
        <f>'H237 Tracker'!P237</f>
        <v>220648956.75758505</v>
      </c>
      <c r="AB237" s="13">
        <f>'H237 Tracker'!Q237</f>
        <v>0</v>
      </c>
      <c r="AC237" s="13">
        <f t="shared" si="71"/>
        <v>1765191670.8230805</v>
      </c>
      <c r="AD237" s="13">
        <f t="shared" si="72"/>
        <v>441297896.75277007</v>
      </c>
      <c r="AE237" s="13">
        <f t="shared" si="73"/>
        <v>2206489567.5758505</v>
      </c>
      <c r="AF237" s="13">
        <f t="shared" si="79"/>
        <v>2206489567.5758505</v>
      </c>
      <c r="AG237" s="24">
        <f t="shared" si="74"/>
        <v>0</v>
      </c>
      <c r="AH237" s="8">
        <f>--(COUNTIF('Tax Events'!$A$4:$A$8,A237)&gt;0)</f>
        <v>0</v>
      </c>
      <c r="AI237" s="8">
        <f>--(COUNTIF('Tax Events'!$B$4:$B$9,A237)&gt;0)</f>
        <v>0</v>
      </c>
    </row>
    <row r="238" spans="1:35">
      <c r="A238" s="4">
        <f>'H237 Tracker'!A238</f>
        <v>44844</v>
      </c>
      <c r="B238" s="13">
        <f t="shared" si="75"/>
        <v>1765191670.8230805</v>
      </c>
      <c r="C238" s="13">
        <f t="shared" si="76"/>
        <v>441297896.75277007</v>
      </c>
      <c r="D238" s="13">
        <f t="shared" si="60"/>
        <v>1765191670.8230805</v>
      </c>
      <c r="E238" s="13">
        <f t="shared" si="61"/>
        <v>441297896.75277007</v>
      </c>
      <c r="F238" s="13">
        <f>IF(AH238=1,MAX(R237,0)*Parameters!$B$11,0)</f>
        <v>0</v>
      </c>
      <c r="G238" s="13">
        <f>IF(AI238=1,MAX(S237,0)*Parameters!$B$11,0)</f>
        <v>0</v>
      </c>
      <c r="H238" s="13">
        <f t="shared" si="62"/>
        <v>1765191670.8230805</v>
      </c>
      <c r="I238" s="13">
        <f t="shared" si="63"/>
        <v>441297896.75277007</v>
      </c>
      <c r="J238" s="13">
        <f t="shared" si="64"/>
        <v>0</v>
      </c>
      <c r="K238" s="13">
        <f t="shared" si="65"/>
        <v>0</v>
      </c>
      <c r="L238" s="13">
        <f t="shared" si="66"/>
        <v>1765191670.8230805</v>
      </c>
      <c r="M238" s="13">
        <f t="shared" si="67"/>
        <v>441297896.75277007</v>
      </c>
      <c r="N238" s="13">
        <f>MAX(0,INT(L238*Parameters!$B$14/Parameters!$B$13/Parameters!$B$12)*Parameters!$B$12)</f>
        <v>1176794425</v>
      </c>
      <c r="O238" s="13">
        <f>MAX(0,INT(M238*Parameters!$B$14/Parameters!$B$13/Parameters!$B$12)*Parameters!$B$12)</f>
        <v>294198520</v>
      </c>
      <c r="P238" s="13">
        <f>N238*Parameters!$B$13*'H237 Tracker'!B238</f>
        <v>-516848111.45999998</v>
      </c>
      <c r="Q238" s="13">
        <f>O238*Parameters!$B$13*'H237 Tracker'!C238</f>
        <v>-162103384.52000001</v>
      </c>
      <c r="R238" s="13">
        <f t="shared" si="77"/>
        <v>1442343687.7140002</v>
      </c>
      <c r="S238" s="13">
        <f t="shared" si="78"/>
        <v>-95661659.639000028</v>
      </c>
      <c r="T238" s="13">
        <f t="shared" si="68"/>
        <v>1248343559.3630805</v>
      </c>
      <c r="U238" s="13">
        <f t="shared" si="69"/>
        <v>279194512.23277009</v>
      </c>
      <c r="V238" s="12">
        <f t="shared" si="70"/>
        <v>0.81722582407318356</v>
      </c>
      <c r="W238" t="str">
        <f>'H237 Tracker'!I238</f>
        <v>B</v>
      </c>
      <c r="X238">
        <f>'H237 Tracker'!J238</f>
        <v>5</v>
      </c>
      <c r="Y238" t="str">
        <f>'H237 Tracker'!K238</f>
        <v>B</v>
      </c>
      <c r="Z238" s="12">
        <f>'H237 Tracker'!O238</f>
        <v>0.71722582407318358</v>
      </c>
      <c r="AA238" s="13">
        <f>'H237 Tracker'!P238</f>
        <v>152753807.159585</v>
      </c>
      <c r="AB238" s="13">
        <f>'H237 Tracker'!Q238</f>
        <v>0</v>
      </c>
      <c r="AC238" s="13">
        <f t="shared" si="71"/>
        <v>1095589752.2034955</v>
      </c>
      <c r="AD238" s="13">
        <f t="shared" si="72"/>
        <v>431948319.39235508</v>
      </c>
      <c r="AE238" s="13">
        <f t="shared" si="73"/>
        <v>1527538071.5958505</v>
      </c>
      <c r="AF238" s="13">
        <f t="shared" si="79"/>
        <v>2206489567.5758505</v>
      </c>
      <c r="AG238" s="24">
        <f t="shared" si="74"/>
        <v>-0.30770664224165212</v>
      </c>
      <c r="AH238" s="8">
        <f>--(COUNTIF('Tax Events'!$A$4:$A$8,A238)&gt;0)</f>
        <v>0</v>
      </c>
      <c r="AI238" s="8">
        <f>--(COUNTIF('Tax Events'!$B$4:$B$9,A238)&gt;0)</f>
        <v>0</v>
      </c>
    </row>
    <row r="239" spans="1:35">
      <c r="A239" s="4">
        <f>'H237 Tracker'!A239</f>
        <v>44851</v>
      </c>
      <c r="B239" s="13">
        <f t="shared" si="75"/>
        <v>1095589752.2034955</v>
      </c>
      <c r="C239" s="13">
        <f t="shared" si="76"/>
        <v>431948319.39235508</v>
      </c>
      <c r="D239" s="13">
        <f t="shared" si="60"/>
        <v>1095589752.2034955</v>
      </c>
      <c r="E239" s="13">
        <f t="shared" si="61"/>
        <v>431948319.39235508</v>
      </c>
      <c r="F239" s="13">
        <f>IF(AH239=1,MAX(R238,0)*Parameters!$B$11,0)</f>
        <v>0</v>
      </c>
      <c r="G239" s="13">
        <f>IF(AI239=1,MAX(S238,0)*Parameters!$B$11,0)</f>
        <v>0</v>
      </c>
      <c r="H239" s="13">
        <f t="shared" si="62"/>
        <v>1095589752.2034955</v>
      </c>
      <c r="I239" s="13">
        <f t="shared" si="63"/>
        <v>431948319.39235508</v>
      </c>
      <c r="J239" s="13">
        <f t="shared" si="64"/>
        <v>0</v>
      </c>
      <c r="K239" s="13">
        <f t="shared" si="65"/>
        <v>0</v>
      </c>
      <c r="L239" s="13">
        <f t="shared" si="66"/>
        <v>1095589752.2034955</v>
      </c>
      <c r="M239" s="13">
        <f t="shared" si="67"/>
        <v>431948319.39235508</v>
      </c>
      <c r="N239" s="13">
        <f>MAX(0,INT(L239*Parameters!$B$14/Parameters!$B$13/Parameters!$B$12)*Parameters!$B$12)</f>
        <v>730393060</v>
      </c>
      <c r="O239" s="13">
        <f>MAX(0,INT(M239*Parameters!$B$14/Parameters!$B$13/Parameters!$B$12)*Parameters!$B$12)</f>
        <v>287965520</v>
      </c>
      <c r="P239" s="13">
        <f>N239*Parameters!$B$13*'H237 Tracker'!B239</f>
        <v>147539398.12</v>
      </c>
      <c r="Q239" s="13">
        <f>O239*Parameters!$B$13*'H237 Tracker'!C239</f>
        <v>0</v>
      </c>
      <c r="R239" s="13">
        <f t="shared" si="77"/>
        <v>1589883085.8340001</v>
      </c>
      <c r="S239" s="13">
        <f t="shared" si="78"/>
        <v>-95661659.639000028</v>
      </c>
      <c r="T239" s="13">
        <f t="shared" si="68"/>
        <v>1243129150.3234954</v>
      </c>
      <c r="U239" s="13">
        <f t="shared" si="69"/>
        <v>431948319.39235508</v>
      </c>
      <c r="V239" s="12">
        <f t="shared" si="70"/>
        <v>0.74213233286122104</v>
      </c>
      <c r="W239" t="str">
        <f>'H237 Tracker'!I239</f>
        <v>B</v>
      </c>
      <c r="X239">
        <f>'H237 Tracker'!J239</f>
        <v>6</v>
      </c>
      <c r="Y239" t="str">
        <f>'H237 Tracker'!K239</f>
        <v>B</v>
      </c>
      <c r="Z239" s="12">
        <f>'H237 Tracker'!O239</f>
        <v>0.64213233286122107</v>
      </c>
      <c r="AA239" s="13">
        <f>'H237 Tracker'!P239</f>
        <v>167507746.97158504</v>
      </c>
      <c r="AB239" s="13">
        <f>'H237 Tracker'!Q239</f>
        <v>0</v>
      </c>
      <c r="AC239" s="13">
        <f t="shared" si="71"/>
        <v>1075621403.3519104</v>
      </c>
      <c r="AD239" s="13">
        <f t="shared" si="72"/>
        <v>599456066.36394012</v>
      </c>
      <c r="AE239" s="13">
        <f t="shared" si="73"/>
        <v>1675077469.7158504</v>
      </c>
      <c r="AF239" s="13">
        <f t="shared" si="79"/>
        <v>2206489567.5758505</v>
      </c>
      <c r="AG239" s="24">
        <f t="shared" si="74"/>
        <v>-0.24084052137342915</v>
      </c>
      <c r="AH239" s="8">
        <f>--(COUNTIF('Tax Events'!$A$4:$A$8,A239)&gt;0)</f>
        <v>0</v>
      </c>
      <c r="AI239" s="8">
        <f>--(COUNTIF('Tax Events'!$B$4:$B$9,A239)&gt;0)</f>
        <v>0</v>
      </c>
    </row>
    <row r="240" spans="1:35">
      <c r="A240" s="4">
        <f>'H237 Tracker'!A240</f>
        <v>44858</v>
      </c>
      <c r="B240" s="13">
        <f t="shared" si="75"/>
        <v>1075621403.3519104</v>
      </c>
      <c r="C240" s="13">
        <f t="shared" si="76"/>
        <v>599456066.36394012</v>
      </c>
      <c r="D240" s="13">
        <f t="shared" si="60"/>
        <v>1075621403.3519104</v>
      </c>
      <c r="E240" s="13">
        <f t="shared" si="61"/>
        <v>599456066.36394012</v>
      </c>
      <c r="F240" s="13">
        <f>IF(AH240=1,MAX(R239,0)*Parameters!$B$11,0)</f>
        <v>0</v>
      </c>
      <c r="G240" s="13">
        <f>IF(AI240=1,MAX(S239,0)*Parameters!$B$11,0)</f>
        <v>0</v>
      </c>
      <c r="H240" s="13">
        <f t="shared" si="62"/>
        <v>1075621403.3519104</v>
      </c>
      <c r="I240" s="13">
        <f t="shared" si="63"/>
        <v>599456066.36394012</v>
      </c>
      <c r="J240" s="13">
        <f t="shared" si="64"/>
        <v>0</v>
      </c>
      <c r="K240" s="13">
        <f t="shared" si="65"/>
        <v>0</v>
      </c>
      <c r="L240" s="13">
        <f t="shared" si="66"/>
        <v>1075621403.3519104</v>
      </c>
      <c r="M240" s="13">
        <f t="shared" si="67"/>
        <v>599456066.36394012</v>
      </c>
      <c r="N240" s="13">
        <f>MAX(0,INT(L240*Parameters!$B$14/Parameters!$B$13/Parameters!$B$12)*Parameters!$B$12)</f>
        <v>717080890</v>
      </c>
      <c r="O240" s="13">
        <f>MAX(0,INT(M240*Parameters!$B$14/Parameters!$B$13/Parameters!$B$12)*Parameters!$B$12)</f>
        <v>399637305</v>
      </c>
      <c r="P240" s="13">
        <f>N240*Parameters!$B$13*'H237 Tracker'!B240</f>
        <v>155176304.59599999</v>
      </c>
      <c r="Q240" s="13">
        <f>O240*Parameters!$B$13*'H237 Tracker'!C240</f>
        <v>-45478725.309</v>
      </c>
      <c r="R240" s="13">
        <f t="shared" si="77"/>
        <v>1745059390.4300001</v>
      </c>
      <c r="S240" s="13">
        <f t="shared" si="78"/>
        <v>-141140384.94800001</v>
      </c>
      <c r="T240" s="13">
        <f t="shared" si="68"/>
        <v>1230797707.9479103</v>
      </c>
      <c r="U240" s="13">
        <f t="shared" si="69"/>
        <v>553977341.0549401</v>
      </c>
      <c r="V240" s="12">
        <f t="shared" si="70"/>
        <v>0.68960943208812453</v>
      </c>
      <c r="W240" t="str">
        <f>'H237 Tracker'!I240</f>
        <v>B</v>
      </c>
      <c r="X240">
        <f>'H237 Tracker'!J240</f>
        <v>7</v>
      </c>
      <c r="Y240" t="str">
        <f>'H237 Tracker'!K240</f>
        <v>B</v>
      </c>
      <c r="Z240" s="12">
        <f>'H237 Tracker'!O240</f>
        <v>0.58960943208812455</v>
      </c>
      <c r="AA240" s="13">
        <f>'H237 Tracker'!P240</f>
        <v>178477504.90028489</v>
      </c>
      <c r="AB240" s="13">
        <f>'H237 Tracker'!Q240</f>
        <v>0</v>
      </c>
      <c r="AC240" s="13">
        <f t="shared" si="71"/>
        <v>1052320203.0476254</v>
      </c>
      <c r="AD240" s="13">
        <f t="shared" si="72"/>
        <v>732454845.95522499</v>
      </c>
      <c r="AE240" s="13">
        <f t="shared" si="73"/>
        <v>1784775049.0028505</v>
      </c>
      <c r="AF240" s="13">
        <f t="shared" si="79"/>
        <v>2206489567.5758505</v>
      </c>
      <c r="AG240" s="24">
        <f t="shared" si="74"/>
        <v>-0.19112463741957075</v>
      </c>
      <c r="AH240" s="8">
        <f>--(COUNTIF('Tax Events'!$A$4:$A$8,A240)&gt;0)</f>
        <v>0</v>
      </c>
      <c r="AI240" s="8">
        <f>--(COUNTIF('Tax Events'!$B$4:$B$9,A240)&gt;0)</f>
        <v>0</v>
      </c>
    </row>
    <row r="241" spans="1:35">
      <c r="A241" s="4">
        <f>'H237 Tracker'!A241</f>
        <v>44865</v>
      </c>
      <c r="B241" s="13">
        <f t="shared" si="75"/>
        <v>1052320203.0476254</v>
      </c>
      <c r="C241" s="13">
        <f t="shared" si="76"/>
        <v>732454845.95522499</v>
      </c>
      <c r="D241" s="13">
        <f t="shared" si="60"/>
        <v>1052320203.0476254</v>
      </c>
      <c r="E241" s="13">
        <f t="shared" si="61"/>
        <v>732454845.95522499</v>
      </c>
      <c r="F241" s="13">
        <f>IF(AH241=1,MAX(R240,0)*Parameters!$B$11,0)</f>
        <v>0</v>
      </c>
      <c r="G241" s="13">
        <f>IF(AI241=1,MAX(S240,0)*Parameters!$B$11,0)</f>
        <v>0</v>
      </c>
      <c r="H241" s="13">
        <f t="shared" si="62"/>
        <v>1052320203.0476254</v>
      </c>
      <c r="I241" s="13">
        <f t="shared" si="63"/>
        <v>732454845.95522499</v>
      </c>
      <c r="J241" s="13">
        <f t="shared" si="64"/>
        <v>0</v>
      </c>
      <c r="K241" s="13">
        <f t="shared" si="65"/>
        <v>0</v>
      </c>
      <c r="L241" s="13">
        <f t="shared" si="66"/>
        <v>1052320203.0476254</v>
      </c>
      <c r="M241" s="13">
        <f t="shared" si="67"/>
        <v>732454845.95522499</v>
      </c>
      <c r="N241" s="13">
        <f>MAX(0,INT(L241*Parameters!$B$14/Parameters!$B$13/Parameters!$B$12)*Parameters!$B$12)</f>
        <v>701546690</v>
      </c>
      <c r="O241" s="13">
        <f>MAX(0,INT(M241*Parameters!$B$14/Parameters!$B$13/Parameters!$B$12)*Parameters!$B$12)</f>
        <v>488303225</v>
      </c>
      <c r="P241" s="13">
        <f>N241*Parameters!$B$13*'H237 Tracker'!B241</f>
        <v>-55983425.861999996</v>
      </c>
      <c r="Q241" s="13">
        <f>O241*Parameters!$B$13*'H237 Tracker'!C241</f>
        <v>0</v>
      </c>
      <c r="R241" s="13">
        <f t="shared" si="77"/>
        <v>1689075964.5680001</v>
      </c>
      <c r="S241" s="13">
        <f t="shared" si="78"/>
        <v>-141140384.94800001</v>
      </c>
      <c r="T241" s="13">
        <f t="shared" si="68"/>
        <v>996336777.18562543</v>
      </c>
      <c r="U241" s="13">
        <f t="shared" si="69"/>
        <v>732454845.95522499</v>
      </c>
      <c r="V241" s="12">
        <f t="shared" si="70"/>
        <v>0.57631976222530001</v>
      </c>
      <c r="W241" t="str">
        <f>'H237 Tracker'!I241</f>
        <v>B</v>
      </c>
      <c r="X241">
        <f>'H237 Tracker'!J241</f>
        <v>8</v>
      </c>
      <c r="Y241" t="str">
        <f>'H237 Tracker'!K241</f>
        <v>B</v>
      </c>
      <c r="Z241" s="12">
        <f>'H237 Tracker'!O241</f>
        <v>0.47631976222530004</v>
      </c>
      <c r="AA241" s="13">
        <f>'H237 Tracker'!P241</f>
        <v>172879162.31408501</v>
      </c>
      <c r="AB241" s="13">
        <f>'H237 Tracker'!Q241</f>
        <v>0</v>
      </c>
      <c r="AC241" s="13">
        <f t="shared" si="71"/>
        <v>823457614.87154043</v>
      </c>
      <c r="AD241" s="13">
        <f t="shared" si="72"/>
        <v>905334008.26931</v>
      </c>
      <c r="AE241" s="13">
        <f t="shared" si="73"/>
        <v>1728791623.1408505</v>
      </c>
      <c r="AF241" s="13">
        <f t="shared" si="79"/>
        <v>2206489567.5758505</v>
      </c>
      <c r="AG241" s="24">
        <f t="shared" si="74"/>
        <v>-0.21649680626399725</v>
      </c>
      <c r="AH241" s="8">
        <f>--(COUNTIF('Tax Events'!$A$4:$A$8,A241)&gt;0)</f>
        <v>0</v>
      </c>
      <c r="AI241" s="8">
        <f>--(COUNTIF('Tax Events'!$B$4:$B$9,A241)&gt;0)</f>
        <v>0</v>
      </c>
    </row>
    <row r="242" spans="1:35">
      <c r="A242" s="4">
        <f>'H237 Tracker'!A242</f>
        <v>44872</v>
      </c>
      <c r="B242" s="13">
        <f t="shared" si="75"/>
        <v>823457614.87154043</v>
      </c>
      <c r="C242" s="13">
        <f t="shared" si="76"/>
        <v>905334008.26931</v>
      </c>
      <c r="D242" s="13">
        <f t="shared" si="60"/>
        <v>823457614.87154043</v>
      </c>
      <c r="E242" s="13">
        <f t="shared" si="61"/>
        <v>905334008.26931</v>
      </c>
      <c r="F242" s="13">
        <f>IF(AH242=1,MAX(R241,0)*Parameters!$B$11,0)</f>
        <v>0</v>
      </c>
      <c r="G242" s="13">
        <f>IF(AI242=1,MAX(S241,0)*Parameters!$B$11,0)</f>
        <v>0</v>
      </c>
      <c r="H242" s="13">
        <f t="shared" si="62"/>
        <v>823457614.87154043</v>
      </c>
      <c r="I242" s="13">
        <f t="shared" si="63"/>
        <v>905334008.26931</v>
      </c>
      <c r="J242" s="13">
        <f t="shared" si="64"/>
        <v>0</v>
      </c>
      <c r="K242" s="13">
        <f t="shared" si="65"/>
        <v>0</v>
      </c>
      <c r="L242" s="13">
        <f t="shared" si="66"/>
        <v>823457614.87154043</v>
      </c>
      <c r="M242" s="13">
        <f t="shared" si="67"/>
        <v>905334008.26931</v>
      </c>
      <c r="N242" s="13">
        <f>MAX(0,INT(L242*Parameters!$B$14/Parameters!$B$13/Parameters!$B$12)*Parameters!$B$12)</f>
        <v>548971705</v>
      </c>
      <c r="O242" s="13">
        <f>MAX(0,INT(M242*Parameters!$B$14/Parameters!$B$13/Parameters!$B$12)*Parameters!$B$12)</f>
        <v>603555995</v>
      </c>
      <c r="P242" s="13">
        <f>N242*Parameters!$B$13*'H237 Tracker'!B242</f>
        <v>80369457.612000003</v>
      </c>
      <c r="Q242" s="13">
        <f>O242*Parameters!$B$13*'H237 Tracker'!C242</f>
        <v>88360597.667999998</v>
      </c>
      <c r="R242" s="13">
        <f t="shared" si="77"/>
        <v>1769445422.1800001</v>
      </c>
      <c r="S242" s="13">
        <f t="shared" si="78"/>
        <v>-52779787.280000016</v>
      </c>
      <c r="T242" s="13">
        <f t="shared" si="68"/>
        <v>903827072.48354042</v>
      </c>
      <c r="U242" s="13">
        <f t="shared" si="69"/>
        <v>993694605.93730998</v>
      </c>
      <c r="V242" s="12">
        <f t="shared" si="70"/>
        <v>0.47631976106629814</v>
      </c>
      <c r="W242" t="str">
        <f>'H237 Tracker'!I242</f>
        <v>B</v>
      </c>
      <c r="X242">
        <f>'H237 Tracker'!J242</f>
        <v>9</v>
      </c>
      <c r="Y242" t="str">
        <f>'H237 Tracker'!K242</f>
        <v>B</v>
      </c>
      <c r="Z242" s="12">
        <f>'H237 Tracker'!O242</f>
        <v>0.37631976106629816</v>
      </c>
      <c r="AA242" s="13">
        <f>'H237 Tracker'!P242</f>
        <v>189752167.842085</v>
      </c>
      <c r="AB242" s="13">
        <f>'H237 Tracker'!Q242</f>
        <v>0</v>
      </c>
      <c r="AC242" s="13">
        <f t="shared" si="71"/>
        <v>714074904.64145541</v>
      </c>
      <c r="AD242" s="13">
        <f t="shared" si="72"/>
        <v>1183446773.7793951</v>
      </c>
      <c r="AE242" s="13">
        <f t="shared" si="73"/>
        <v>1897521678.4208505</v>
      </c>
      <c r="AF242" s="13">
        <f t="shared" si="79"/>
        <v>2206489567.5758505</v>
      </c>
      <c r="AG242" s="24">
        <f t="shared" si="74"/>
        <v>-0.14002689779061417</v>
      </c>
      <c r="AH242" s="8">
        <f>--(COUNTIF('Tax Events'!$A$4:$A$8,A242)&gt;0)</f>
        <v>0</v>
      </c>
      <c r="AI242" s="8">
        <f>--(COUNTIF('Tax Events'!$B$4:$B$9,A242)&gt;0)</f>
        <v>0</v>
      </c>
    </row>
    <row r="243" spans="1:35">
      <c r="A243" s="4">
        <f>'H237 Tracker'!A243</f>
        <v>44879</v>
      </c>
      <c r="B243" s="13">
        <f t="shared" si="75"/>
        <v>714074904.64145541</v>
      </c>
      <c r="C243" s="13">
        <f t="shared" si="76"/>
        <v>1183446773.7793951</v>
      </c>
      <c r="D243" s="13">
        <f t="shared" si="60"/>
        <v>714074904.64145541</v>
      </c>
      <c r="E243" s="13">
        <f t="shared" si="61"/>
        <v>1183446773.7793951</v>
      </c>
      <c r="F243" s="13">
        <f>IF(AH243=1,MAX(R242,0)*Parameters!$B$11,0)</f>
        <v>0</v>
      </c>
      <c r="G243" s="13">
        <f>IF(AI243=1,MAX(S242,0)*Parameters!$B$11,0)</f>
        <v>0</v>
      </c>
      <c r="H243" s="13">
        <f t="shared" si="62"/>
        <v>714074904.64145541</v>
      </c>
      <c r="I243" s="13">
        <f t="shared" si="63"/>
        <v>1183446773.7793951</v>
      </c>
      <c r="J243" s="13">
        <f t="shared" si="64"/>
        <v>0</v>
      </c>
      <c r="K243" s="13">
        <f t="shared" si="65"/>
        <v>0</v>
      </c>
      <c r="L243" s="13">
        <f t="shared" si="66"/>
        <v>714074904.64145541</v>
      </c>
      <c r="M243" s="13">
        <f t="shared" si="67"/>
        <v>1183446773.7793951</v>
      </c>
      <c r="N243" s="13">
        <f>MAX(0,INT(L243*Parameters!$B$14/Parameters!$B$13/Parameters!$B$12)*Parameters!$B$12)</f>
        <v>476049860</v>
      </c>
      <c r="O243" s="13">
        <f>MAX(0,INT(M243*Parameters!$B$14/Parameters!$B$13/Parameters!$B$12)*Parameters!$B$12)</f>
        <v>788964515</v>
      </c>
      <c r="P243" s="13">
        <f>N243*Parameters!$B$13*'H237 Tracker'!B243</f>
        <v>213841597.11200002</v>
      </c>
      <c r="Q243" s="13">
        <f>O243*Parameters!$B$13*'H237 Tracker'!C243</f>
        <v>354402860.13800001</v>
      </c>
      <c r="R243" s="13">
        <f t="shared" si="77"/>
        <v>1983287019.2920001</v>
      </c>
      <c r="S243" s="13">
        <f t="shared" si="78"/>
        <v>301623072.85799998</v>
      </c>
      <c r="T243" s="13">
        <f t="shared" si="68"/>
        <v>927916501.7534554</v>
      </c>
      <c r="U243" s="13">
        <f t="shared" si="69"/>
        <v>1537849633.9173951</v>
      </c>
      <c r="V243" s="12">
        <f t="shared" si="70"/>
        <v>0.37631975244116206</v>
      </c>
      <c r="W243" t="str">
        <f>'H237 Tracker'!I243</f>
        <v>B</v>
      </c>
      <c r="X243">
        <f>'H237 Tracker'!J243</f>
        <v>10</v>
      </c>
      <c r="Y243" t="str">
        <f>'H237 Tracker'!K243</f>
        <v>B</v>
      </c>
      <c r="Z243" s="12">
        <f>'H237 Tracker'!O243</f>
        <v>0.27631975244116203</v>
      </c>
      <c r="AA243" s="13">
        <f>'H237 Tracker'!P243</f>
        <v>246576613.56708515</v>
      </c>
      <c r="AB243" s="13">
        <f>'H237 Tracker'!Q243</f>
        <v>0</v>
      </c>
      <c r="AC243" s="13">
        <f t="shared" si="71"/>
        <v>681339888.18637025</v>
      </c>
      <c r="AD243" s="13">
        <f t="shared" si="72"/>
        <v>1784426247.4844804</v>
      </c>
      <c r="AE243" s="13">
        <f t="shared" si="73"/>
        <v>2465766135.6708508</v>
      </c>
      <c r="AF243" s="13">
        <f t="shared" si="79"/>
        <v>2465766135.6708508</v>
      </c>
      <c r="AG243" s="24">
        <f t="shared" si="74"/>
        <v>0</v>
      </c>
      <c r="AH243" s="8">
        <f>--(COUNTIF('Tax Events'!$A$4:$A$8,A243)&gt;0)</f>
        <v>0</v>
      </c>
      <c r="AI243" s="8">
        <f>--(COUNTIF('Tax Events'!$B$4:$B$9,A243)&gt;0)</f>
        <v>0</v>
      </c>
    </row>
    <row r="244" spans="1:35">
      <c r="A244" s="4">
        <f>'H237 Tracker'!A244</f>
        <v>44886</v>
      </c>
      <c r="B244" s="13">
        <f t="shared" si="75"/>
        <v>681339888.18637025</v>
      </c>
      <c r="C244" s="13">
        <f t="shared" si="76"/>
        <v>1784426247.4844804</v>
      </c>
      <c r="D244" s="13">
        <f t="shared" si="60"/>
        <v>681339888.18637025</v>
      </c>
      <c r="E244" s="13">
        <f t="shared" si="61"/>
        <v>1784426247.4844804</v>
      </c>
      <c r="F244" s="13">
        <f>IF(AH244=1,MAX(R243,0)*Parameters!$B$11,0)</f>
        <v>0</v>
      </c>
      <c r="G244" s="13">
        <f>IF(AI244=1,MAX(S243,0)*Parameters!$B$11,0)</f>
        <v>0</v>
      </c>
      <c r="H244" s="13">
        <f t="shared" si="62"/>
        <v>681339888.18637025</v>
      </c>
      <c r="I244" s="13">
        <f t="shared" si="63"/>
        <v>1784426247.4844804</v>
      </c>
      <c r="J244" s="13">
        <f t="shared" si="64"/>
        <v>0</v>
      </c>
      <c r="K244" s="13">
        <f t="shared" si="65"/>
        <v>0</v>
      </c>
      <c r="L244" s="13">
        <f t="shared" si="66"/>
        <v>681339888.18637025</v>
      </c>
      <c r="M244" s="13">
        <f t="shared" si="67"/>
        <v>1784426247.4844804</v>
      </c>
      <c r="N244" s="13">
        <f>MAX(0,INT(L244*Parameters!$B$14/Parameters!$B$13/Parameters!$B$12)*Parameters!$B$12)</f>
        <v>454226540</v>
      </c>
      <c r="O244" s="13">
        <f>MAX(0,INT(M244*Parameters!$B$14/Parameters!$B$13/Parameters!$B$12)*Parameters!$B$12)</f>
        <v>1189617385</v>
      </c>
      <c r="P244" s="13">
        <f>N244*Parameters!$B$13*'H237 Tracker'!B244</f>
        <v>115827767.69999999</v>
      </c>
      <c r="Q244" s="13">
        <f>O244*Parameters!$B$13*'H237 Tracker'!C244</f>
        <v>303352433.17499995</v>
      </c>
      <c r="R244" s="13">
        <f t="shared" si="77"/>
        <v>2099114786.9920001</v>
      </c>
      <c r="S244" s="13">
        <f t="shared" si="78"/>
        <v>604975506.03299999</v>
      </c>
      <c r="T244" s="13">
        <f t="shared" si="68"/>
        <v>797167655.88637018</v>
      </c>
      <c r="U244" s="13">
        <f t="shared" si="69"/>
        <v>2087778680.6594803</v>
      </c>
      <c r="V244" s="12">
        <f t="shared" si="70"/>
        <v>0.27631975187476793</v>
      </c>
      <c r="W244" t="str">
        <f>'H237 Tracker'!I244</f>
        <v>B</v>
      </c>
      <c r="X244">
        <f>'H237 Tracker'!J244</f>
        <v>11</v>
      </c>
      <c r="Y244" t="str">
        <f>'H237 Tracker'!K244</f>
        <v>B</v>
      </c>
      <c r="Z244" s="12">
        <f>'H237 Tracker'!O244</f>
        <v>0.17631975187476792</v>
      </c>
      <c r="AA244" s="13">
        <f>'H237 Tracker'!P244</f>
        <v>288494633.65458506</v>
      </c>
      <c r="AB244" s="13">
        <f>'H237 Tracker'!Q244</f>
        <v>0</v>
      </c>
      <c r="AC244" s="13">
        <f t="shared" si="71"/>
        <v>508673022.23178512</v>
      </c>
      <c r="AD244" s="13">
        <f t="shared" si="72"/>
        <v>2376273314.3140655</v>
      </c>
      <c r="AE244" s="13">
        <f t="shared" si="73"/>
        <v>2884946336.5458508</v>
      </c>
      <c r="AF244" s="13">
        <f t="shared" si="79"/>
        <v>2884946336.5458508</v>
      </c>
      <c r="AG244" s="24">
        <f t="shared" si="74"/>
        <v>0</v>
      </c>
      <c r="AH244" s="8">
        <f>--(COUNTIF('Tax Events'!$A$4:$A$8,A244)&gt;0)</f>
        <v>0</v>
      </c>
      <c r="AI244" s="8">
        <f>--(COUNTIF('Tax Events'!$B$4:$B$9,A244)&gt;0)</f>
        <v>0</v>
      </c>
    </row>
    <row r="245" spans="1:35">
      <c r="A245" s="4">
        <f>'H237 Tracker'!A245</f>
        <v>44893</v>
      </c>
      <c r="B245" s="13">
        <f t="shared" si="75"/>
        <v>508673022.23178512</v>
      </c>
      <c r="C245" s="13">
        <f t="shared" si="76"/>
        <v>2376273314.3140655</v>
      </c>
      <c r="D245" s="13">
        <f t="shared" si="60"/>
        <v>508673022.23178512</v>
      </c>
      <c r="E245" s="13">
        <f t="shared" si="61"/>
        <v>2376273314.3140655</v>
      </c>
      <c r="F245" s="13">
        <f>IF(AH245=1,MAX(R244,0)*Parameters!$B$11,0)</f>
        <v>0</v>
      </c>
      <c r="G245" s="13">
        <f>IF(AI245=1,MAX(S244,0)*Parameters!$B$11,0)</f>
        <v>0</v>
      </c>
      <c r="H245" s="13">
        <f t="shared" si="62"/>
        <v>508673022.23178512</v>
      </c>
      <c r="I245" s="13">
        <f t="shared" si="63"/>
        <v>2376273314.3140655</v>
      </c>
      <c r="J245" s="13">
        <f t="shared" si="64"/>
        <v>0</v>
      </c>
      <c r="K245" s="13">
        <f t="shared" si="65"/>
        <v>0</v>
      </c>
      <c r="L245" s="13">
        <f t="shared" si="66"/>
        <v>508673022.23178512</v>
      </c>
      <c r="M245" s="13">
        <f t="shared" si="67"/>
        <v>2376273314.3140655</v>
      </c>
      <c r="N245" s="13">
        <f>MAX(0,INT(L245*Parameters!$B$14/Parameters!$B$13/Parameters!$B$12)*Parameters!$B$12)</f>
        <v>339115335</v>
      </c>
      <c r="O245" s="13">
        <f>MAX(0,INT(M245*Parameters!$B$14/Parameters!$B$13/Parameters!$B$12)*Parameters!$B$12)</f>
        <v>1584182155</v>
      </c>
      <c r="P245" s="13">
        <f>N245*Parameters!$B$13*'H237 Tracker'!B245</f>
        <v>-27129226.800000001</v>
      </c>
      <c r="Q245" s="13">
        <f>O245*Parameters!$B$13*'H237 Tracker'!C245</f>
        <v>-126734572.40000001</v>
      </c>
      <c r="R245" s="13">
        <f t="shared" si="77"/>
        <v>2071985560.1920002</v>
      </c>
      <c r="S245" s="13">
        <f t="shared" si="78"/>
        <v>478240933.63300002</v>
      </c>
      <c r="T245" s="13">
        <f t="shared" si="68"/>
        <v>481543795.43178511</v>
      </c>
      <c r="U245" s="13">
        <f t="shared" si="69"/>
        <v>2249538741.9140654</v>
      </c>
      <c r="V245" s="12">
        <f t="shared" si="70"/>
        <v>0.17631975191045091</v>
      </c>
      <c r="W245" t="str">
        <f>'H237 Tracker'!I245</f>
        <v>B</v>
      </c>
      <c r="X245">
        <f>'H237 Tracker'!J245</f>
        <v>12</v>
      </c>
      <c r="Y245" t="str">
        <f>'H237 Tracker'!K245</f>
        <v>B</v>
      </c>
      <c r="Z245" s="12">
        <f>'H237 Tracker'!O245</f>
        <v>7.63197519104509E-2</v>
      </c>
      <c r="AA245" s="13">
        <f>'H237 Tracker'!P245</f>
        <v>273108253.73458505</v>
      </c>
      <c r="AB245" s="13">
        <f>'H237 Tracker'!Q245</f>
        <v>0</v>
      </c>
      <c r="AC245" s="13">
        <f t="shared" si="71"/>
        <v>208435541.69720006</v>
      </c>
      <c r="AD245" s="13">
        <f t="shared" si="72"/>
        <v>2522646995.6486502</v>
      </c>
      <c r="AE245" s="13">
        <f t="shared" si="73"/>
        <v>2731082537.34585</v>
      </c>
      <c r="AF245" s="13">
        <f t="shared" si="79"/>
        <v>2884946336.5458508</v>
      </c>
      <c r="AG245" s="24">
        <f t="shared" si="74"/>
        <v>-5.3333331456078992E-2</v>
      </c>
      <c r="AH245" s="8">
        <f>--(COUNTIF('Tax Events'!$A$4:$A$8,A245)&gt;0)</f>
        <v>0</v>
      </c>
      <c r="AI245" s="8">
        <f>--(COUNTIF('Tax Events'!$B$4:$B$9,A245)&gt;0)</f>
        <v>0</v>
      </c>
    </row>
    <row r="246" spans="1:35">
      <c r="A246" s="4">
        <f>'H237 Tracker'!A246</f>
        <v>44900</v>
      </c>
      <c r="B246" s="13">
        <f t="shared" si="75"/>
        <v>208435541.69720006</v>
      </c>
      <c r="C246" s="13">
        <f t="shared" si="76"/>
        <v>2522646995.6486502</v>
      </c>
      <c r="D246" s="13">
        <f t="shared" si="60"/>
        <v>208435541.69720006</v>
      </c>
      <c r="E246" s="13">
        <f t="shared" si="61"/>
        <v>2522646995.6486502</v>
      </c>
      <c r="F246" s="13">
        <f>IF(AH246=1,MAX(R245,0)*Parameters!$B$11,0)</f>
        <v>0</v>
      </c>
      <c r="G246" s="13">
        <f>IF(AI246=1,MAX(S245,0)*Parameters!$B$11,0)</f>
        <v>0</v>
      </c>
      <c r="H246" s="13">
        <f t="shared" si="62"/>
        <v>208435541.69720006</v>
      </c>
      <c r="I246" s="13">
        <f t="shared" si="63"/>
        <v>2522646995.6486502</v>
      </c>
      <c r="J246" s="13">
        <f t="shared" si="64"/>
        <v>0</v>
      </c>
      <c r="K246" s="13">
        <f t="shared" si="65"/>
        <v>0</v>
      </c>
      <c r="L246" s="13">
        <f t="shared" si="66"/>
        <v>208435541.69720006</v>
      </c>
      <c r="M246" s="13">
        <f t="shared" si="67"/>
        <v>2522646995.6486502</v>
      </c>
      <c r="N246" s="13">
        <f>MAX(0,INT(L246*Parameters!$B$14/Parameters!$B$13/Parameters!$B$12)*Parameters!$B$12)</f>
        <v>138956915</v>
      </c>
      <c r="O246" s="13">
        <f>MAX(0,INT(M246*Parameters!$B$14/Parameters!$B$13/Parameters!$B$12)*Parameters!$B$12)</f>
        <v>1681764600</v>
      </c>
      <c r="P246" s="13">
        <f>N246*Parameters!$B$13*'H237 Tracker'!B246</f>
        <v>-97186466.350999996</v>
      </c>
      <c r="Q246" s="13">
        <f>O246*Parameters!$B$13*'H237 Tracker'!C246</f>
        <v>-804219831.72000003</v>
      </c>
      <c r="R246" s="13">
        <f t="shared" si="77"/>
        <v>1974799093.8410001</v>
      </c>
      <c r="S246" s="13">
        <f t="shared" si="78"/>
        <v>-325978898.08700001</v>
      </c>
      <c r="T246" s="13">
        <f t="shared" si="68"/>
        <v>111249075.34620006</v>
      </c>
      <c r="U246" s="13">
        <f t="shared" si="69"/>
        <v>1718427163.9286501</v>
      </c>
      <c r="V246" s="12">
        <f t="shared" si="70"/>
        <v>6.0802601552223834E-2</v>
      </c>
      <c r="W246" t="str">
        <f>'H237 Tracker'!I246</f>
        <v>B</v>
      </c>
      <c r="X246">
        <f>'H237 Tracker'!J246</f>
        <v>13</v>
      </c>
      <c r="Y246" t="str">
        <f>'H237 Tracker'!K246</f>
        <v>B</v>
      </c>
      <c r="Z246" s="12">
        <f>'H237 Tracker'!O246</f>
        <v>0</v>
      </c>
      <c r="AA246" s="13">
        <f>'H237 Tracker'!P246</f>
        <v>111249075.34620006</v>
      </c>
      <c r="AB246" s="13">
        <f>'H237 Tracker'!Q246</f>
        <v>0</v>
      </c>
      <c r="AC246" s="13">
        <f t="shared" si="71"/>
        <v>0</v>
      </c>
      <c r="AD246" s="13">
        <f t="shared" si="72"/>
        <v>1829676239.2748501</v>
      </c>
      <c r="AE246" s="13">
        <f t="shared" si="73"/>
        <v>1829676239.2748501</v>
      </c>
      <c r="AF246" s="13">
        <f t="shared" si="79"/>
        <v>2884946336.5458508</v>
      </c>
      <c r="AG246" s="24">
        <f t="shared" si="74"/>
        <v>-0.36578500053989793</v>
      </c>
      <c r="AH246" s="8">
        <f>--(COUNTIF('Tax Events'!$A$4:$A$8,A246)&gt;0)</f>
        <v>0</v>
      </c>
      <c r="AI246" s="8">
        <f>--(COUNTIF('Tax Events'!$B$4:$B$9,A246)&gt;0)</f>
        <v>0</v>
      </c>
    </row>
    <row r="247" spans="1:35">
      <c r="A247" s="4">
        <f>'H237 Tracker'!A247</f>
        <v>44907</v>
      </c>
      <c r="B247" s="13">
        <f t="shared" si="75"/>
        <v>0</v>
      </c>
      <c r="C247" s="13">
        <f t="shared" si="76"/>
        <v>1829676239.2748501</v>
      </c>
      <c r="D247" s="13">
        <f t="shared" si="60"/>
        <v>0</v>
      </c>
      <c r="E247" s="13">
        <f t="shared" si="61"/>
        <v>1829676239.2748501</v>
      </c>
      <c r="F247" s="13">
        <f>IF(AH247=1,MAX(R246,0)*Parameters!$B$11,0)</f>
        <v>0</v>
      </c>
      <c r="G247" s="13">
        <f>IF(AI247=1,MAX(S246,0)*Parameters!$B$11,0)</f>
        <v>0</v>
      </c>
      <c r="H247" s="13">
        <f t="shared" si="62"/>
        <v>0</v>
      </c>
      <c r="I247" s="13">
        <f t="shared" si="63"/>
        <v>1829676239.2748501</v>
      </c>
      <c r="J247" s="13">
        <f t="shared" si="64"/>
        <v>0</v>
      </c>
      <c r="K247" s="13">
        <f t="shared" si="65"/>
        <v>0</v>
      </c>
      <c r="L247" s="13">
        <f t="shared" si="66"/>
        <v>0</v>
      </c>
      <c r="M247" s="13">
        <f t="shared" si="67"/>
        <v>1829676239.2748501</v>
      </c>
      <c r="N247" s="13">
        <f>MAX(0,INT(L247*Parameters!$B$14/Parameters!$B$13/Parameters!$B$12)*Parameters!$B$12)</f>
        <v>0</v>
      </c>
      <c r="O247" s="13">
        <f>MAX(0,INT(M247*Parameters!$B$14/Parameters!$B$13/Parameters!$B$12)*Parameters!$B$12)</f>
        <v>1219784070</v>
      </c>
      <c r="P247" s="13">
        <f>N247*Parameters!$B$13*'H237 Tracker'!B247</f>
        <v>0</v>
      </c>
      <c r="Q247" s="13">
        <f>O247*Parameters!$B$13*'H237 Tracker'!C247</f>
        <v>249811777.53600001</v>
      </c>
      <c r="R247" s="13">
        <f t="shared" si="77"/>
        <v>1974799093.8410001</v>
      </c>
      <c r="S247" s="13">
        <f t="shared" si="78"/>
        <v>-76167120.550999999</v>
      </c>
      <c r="T247" s="13">
        <f t="shared" si="68"/>
        <v>0</v>
      </c>
      <c r="U247" s="13">
        <f t="shared" si="69"/>
        <v>2079488016.8108501</v>
      </c>
      <c r="V247" s="12">
        <f t="shared" si="70"/>
        <v>0</v>
      </c>
      <c r="W247" t="str">
        <f>'H237 Tracker'!I247</f>
        <v>B</v>
      </c>
      <c r="X247">
        <f>'H237 Tracker'!J247</f>
        <v>14</v>
      </c>
      <c r="Y247" t="str">
        <f>'H237 Tracker'!K247</f>
        <v>B</v>
      </c>
      <c r="Z247" s="12">
        <f>'H237 Tracker'!O247</f>
        <v>0</v>
      </c>
      <c r="AA247" s="13">
        <f>'H237 Tracker'!P247</f>
        <v>0</v>
      </c>
      <c r="AB247" s="13">
        <f>'H237 Tracker'!Q247</f>
        <v>0</v>
      </c>
      <c r="AC247" s="13">
        <f t="shared" si="71"/>
        <v>0</v>
      </c>
      <c r="AD247" s="13">
        <f t="shared" si="72"/>
        <v>2079488016.8108501</v>
      </c>
      <c r="AE247" s="13">
        <f t="shared" si="73"/>
        <v>2079488016.8108501</v>
      </c>
      <c r="AF247" s="13">
        <f t="shared" si="79"/>
        <v>2884946336.5458508</v>
      </c>
      <c r="AG247" s="24">
        <f t="shared" si="74"/>
        <v>-0.27919351896832045</v>
      </c>
      <c r="AH247" s="8">
        <f>--(COUNTIF('Tax Events'!$A$4:$A$8,A247)&gt;0)</f>
        <v>0</v>
      </c>
      <c r="AI247" s="8">
        <f>--(COUNTIF('Tax Events'!$B$4:$B$9,A247)&gt;0)</f>
        <v>0</v>
      </c>
    </row>
    <row r="248" spans="1:35">
      <c r="A248" s="4">
        <f>'H237 Tracker'!A248</f>
        <v>44914</v>
      </c>
      <c r="B248" s="13">
        <f t="shared" si="75"/>
        <v>0</v>
      </c>
      <c r="C248" s="13">
        <f t="shared" si="76"/>
        <v>2079488016.8108501</v>
      </c>
      <c r="D248" s="13">
        <f t="shared" si="60"/>
        <v>0</v>
      </c>
      <c r="E248" s="13">
        <f t="shared" si="61"/>
        <v>2079488016.8108501</v>
      </c>
      <c r="F248" s="13">
        <f>IF(AH248=1,MAX(R247,0)*Parameters!$B$11,0)</f>
        <v>0</v>
      </c>
      <c r="G248" s="13">
        <f>IF(AI248=1,MAX(S247,0)*Parameters!$B$11,0)</f>
        <v>0</v>
      </c>
      <c r="H248" s="13">
        <f t="shared" si="62"/>
        <v>0</v>
      </c>
      <c r="I248" s="13">
        <f t="shared" si="63"/>
        <v>2079488016.8108501</v>
      </c>
      <c r="J248" s="13">
        <f t="shared" si="64"/>
        <v>0</v>
      </c>
      <c r="K248" s="13">
        <f t="shared" si="65"/>
        <v>0</v>
      </c>
      <c r="L248" s="13">
        <f t="shared" si="66"/>
        <v>0</v>
      </c>
      <c r="M248" s="13">
        <f t="shared" si="67"/>
        <v>2079488016.8108501</v>
      </c>
      <c r="N248" s="13">
        <f>MAX(0,INT(L248*Parameters!$B$14/Parameters!$B$13/Parameters!$B$12)*Parameters!$B$12)</f>
        <v>0</v>
      </c>
      <c r="O248" s="13">
        <f>MAX(0,INT(M248*Parameters!$B$14/Parameters!$B$13/Parameters!$B$12)*Parameters!$B$12)</f>
        <v>1386325230</v>
      </c>
      <c r="P248" s="13">
        <f>N248*Parameters!$B$13*'H237 Tracker'!B248</f>
        <v>0</v>
      </c>
      <c r="Q248" s="13">
        <f>O248*Parameters!$B$13*'H237 Tracker'!C248</f>
        <v>-110906018.40000001</v>
      </c>
      <c r="R248" s="13">
        <f t="shared" si="77"/>
        <v>1974799093.8410001</v>
      </c>
      <c r="S248" s="13">
        <f t="shared" si="78"/>
        <v>-187073138.95100001</v>
      </c>
      <c r="T248" s="13">
        <f t="shared" si="68"/>
        <v>0</v>
      </c>
      <c r="U248" s="13">
        <f t="shared" si="69"/>
        <v>1968581998.41085</v>
      </c>
      <c r="V248" s="12">
        <f t="shared" si="70"/>
        <v>0</v>
      </c>
      <c r="W248" t="str">
        <f>'H237 Tracker'!I248</f>
        <v>B</v>
      </c>
      <c r="X248">
        <f>'H237 Tracker'!J248</f>
        <v>15</v>
      </c>
      <c r="Y248" t="str">
        <f>'H237 Tracker'!K248</f>
        <v>B</v>
      </c>
      <c r="Z248" s="12">
        <f>'H237 Tracker'!O248</f>
        <v>0</v>
      </c>
      <c r="AA248" s="13">
        <f>'H237 Tracker'!P248</f>
        <v>0</v>
      </c>
      <c r="AB248" s="13">
        <f>'H237 Tracker'!Q248</f>
        <v>0</v>
      </c>
      <c r="AC248" s="13">
        <f t="shared" si="71"/>
        <v>0</v>
      </c>
      <c r="AD248" s="13">
        <f t="shared" si="72"/>
        <v>1968581998.41085</v>
      </c>
      <c r="AE248" s="13">
        <f t="shared" si="73"/>
        <v>1968581998.41085</v>
      </c>
      <c r="AF248" s="13">
        <f t="shared" si="79"/>
        <v>2884946336.5458508</v>
      </c>
      <c r="AG248" s="24">
        <f t="shared" si="74"/>
        <v>-0.31763652811378273</v>
      </c>
      <c r="AH248" s="8">
        <f>--(COUNTIF('Tax Events'!$A$4:$A$8,A248)&gt;0)</f>
        <v>0</v>
      </c>
      <c r="AI248" s="8">
        <f>--(COUNTIF('Tax Events'!$B$4:$B$9,A248)&gt;0)</f>
        <v>0</v>
      </c>
    </row>
    <row r="249" spans="1:35">
      <c r="A249" s="4">
        <f>'H237 Tracker'!A249</f>
        <v>44921</v>
      </c>
      <c r="B249" s="13">
        <f t="shared" si="75"/>
        <v>0</v>
      </c>
      <c r="C249" s="13">
        <f t="shared" si="76"/>
        <v>1968581998.41085</v>
      </c>
      <c r="D249" s="13">
        <f t="shared" si="60"/>
        <v>0</v>
      </c>
      <c r="E249" s="13">
        <f t="shared" si="61"/>
        <v>1968581998.41085</v>
      </c>
      <c r="F249" s="13">
        <f>IF(AH249=1,MAX(R248,0)*Parameters!$B$11,0)</f>
        <v>0</v>
      </c>
      <c r="G249" s="13">
        <f>IF(AI249=1,MAX(S248,0)*Parameters!$B$11,0)</f>
        <v>0</v>
      </c>
      <c r="H249" s="13">
        <f t="shared" si="62"/>
        <v>0</v>
      </c>
      <c r="I249" s="13">
        <f t="shared" si="63"/>
        <v>1968581998.41085</v>
      </c>
      <c r="J249" s="13">
        <f t="shared" si="64"/>
        <v>0</v>
      </c>
      <c r="K249" s="13">
        <f t="shared" si="65"/>
        <v>0</v>
      </c>
      <c r="L249" s="13">
        <f t="shared" si="66"/>
        <v>0</v>
      </c>
      <c r="M249" s="13">
        <f t="shared" si="67"/>
        <v>1968581998.41085</v>
      </c>
      <c r="N249" s="13">
        <f>MAX(0,INT(L249*Parameters!$B$14/Parameters!$B$13/Parameters!$B$12)*Parameters!$B$12)</f>
        <v>0</v>
      </c>
      <c r="O249" s="13">
        <f>MAX(0,INT(M249*Parameters!$B$14/Parameters!$B$13/Parameters!$B$12)*Parameters!$B$12)</f>
        <v>1312387935</v>
      </c>
      <c r="P249" s="13">
        <f>N249*Parameters!$B$13*'H237 Tracker'!B249</f>
        <v>0</v>
      </c>
      <c r="Q249" s="13">
        <f>O249*Parameters!$B$13*'H237 Tracker'!C249</f>
        <v>0</v>
      </c>
      <c r="R249" s="13">
        <f t="shared" si="77"/>
        <v>1974799093.8410001</v>
      </c>
      <c r="S249" s="13">
        <f t="shared" si="78"/>
        <v>-187073138.95100001</v>
      </c>
      <c r="T249" s="13">
        <f t="shared" si="68"/>
        <v>0</v>
      </c>
      <c r="U249" s="13">
        <f t="shared" si="69"/>
        <v>1968581998.41085</v>
      </c>
      <c r="V249" s="12">
        <f t="shared" si="70"/>
        <v>0</v>
      </c>
      <c r="W249" t="str">
        <f>'H237 Tracker'!I249</f>
        <v>B</v>
      </c>
      <c r="X249">
        <f>'H237 Tracker'!J249</f>
        <v>16</v>
      </c>
      <c r="Y249" t="str">
        <f>'H237 Tracker'!K249</f>
        <v>B</v>
      </c>
      <c r="Z249" s="12">
        <f>'H237 Tracker'!O249</f>
        <v>0</v>
      </c>
      <c r="AA249" s="13">
        <f>'H237 Tracker'!P249</f>
        <v>0</v>
      </c>
      <c r="AB249" s="13">
        <f>'H237 Tracker'!Q249</f>
        <v>0</v>
      </c>
      <c r="AC249" s="13">
        <f t="shared" si="71"/>
        <v>0</v>
      </c>
      <c r="AD249" s="13">
        <f t="shared" si="72"/>
        <v>1968581998.41085</v>
      </c>
      <c r="AE249" s="13">
        <f t="shared" si="73"/>
        <v>1968581998.41085</v>
      </c>
      <c r="AF249" s="13">
        <f t="shared" si="79"/>
        <v>2884946336.5458508</v>
      </c>
      <c r="AG249" s="24">
        <f t="shared" si="74"/>
        <v>-0.31763652811378273</v>
      </c>
      <c r="AH249" s="8">
        <f>--(COUNTIF('Tax Events'!$A$4:$A$8,A249)&gt;0)</f>
        <v>0</v>
      </c>
      <c r="AI249" s="8">
        <f>--(COUNTIF('Tax Events'!$B$4:$B$9,A249)&gt;0)</f>
        <v>0</v>
      </c>
    </row>
    <row r="250" spans="1:35">
      <c r="A250" s="4">
        <f>'H237 Tracker'!A250</f>
        <v>44928</v>
      </c>
      <c r="B250" s="13">
        <f t="shared" si="75"/>
        <v>0</v>
      </c>
      <c r="C250" s="13">
        <f t="shared" si="76"/>
        <v>1968581998.41085</v>
      </c>
      <c r="D250" s="13">
        <f t="shared" si="60"/>
        <v>0</v>
      </c>
      <c r="E250" s="13">
        <f t="shared" si="61"/>
        <v>1968581998.41085</v>
      </c>
      <c r="F250" s="13">
        <f>IF(AH250=1,MAX(R249,0)*Parameters!$B$11,0)</f>
        <v>375211827.82979</v>
      </c>
      <c r="G250" s="13">
        <f>IF(AI250=1,MAX(S249,0)*Parameters!$B$11,0)</f>
        <v>0</v>
      </c>
      <c r="H250" s="13">
        <f t="shared" si="62"/>
        <v>-375211827.82979</v>
      </c>
      <c r="I250" s="13">
        <f t="shared" si="63"/>
        <v>1968581998.41085</v>
      </c>
      <c r="J250" s="13">
        <f t="shared" si="64"/>
        <v>375211827.82979</v>
      </c>
      <c r="K250" s="13">
        <f t="shared" si="65"/>
        <v>0</v>
      </c>
      <c r="L250" s="13">
        <f t="shared" si="66"/>
        <v>0</v>
      </c>
      <c r="M250" s="13">
        <f t="shared" si="67"/>
        <v>1593370170.5810599</v>
      </c>
      <c r="N250" s="13">
        <f>MAX(0,INT(L250*Parameters!$B$14/Parameters!$B$13/Parameters!$B$12)*Parameters!$B$12)</f>
        <v>0</v>
      </c>
      <c r="O250" s="13">
        <f>MAX(0,INT(M250*Parameters!$B$14/Parameters!$B$13/Parameters!$B$12)*Parameters!$B$12)</f>
        <v>1062246720</v>
      </c>
      <c r="P250" s="13">
        <f>N250*Parameters!$B$13*'H237 Tracker'!B250</f>
        <v>0</v>
      </c>
      <c r="Q250" s="13">
        <f>O250*Parameters!$B$13*'H237 Tracker'!C250</f>
        <v>-328659135.16799998</v>
      </c>
      <c r="R250" s="13">
        <f t="shared" si="77"/>
        <v>0</v>
      </c>
      <c r="S250" s="13">
        <f t="shared" si="78"/>
        <v>-328659135.16799998</v>
      </c>
      <c r="T250" s="13">
        <f t="shared" si="68"/>
        <v>0</v>
      </c>
      <c r="U250" s="13">
        <f t="shared" si="69"/>
        <v>1264711035.4130599</v>
      </c>
      <c r="V250" s="12">
        <f t="shared" si="70"/>
        <v>0</v>
      </c>
      <c r="W250" t="str">
        <f>'H237 Tracker'!I250</f>
        <v>B</v>
      </c>
      <c r="X250">
        <f>'H237 Tracker'!J250</f>
        <v>17</v>
      </c>
      <c r="Y250" t="str">
        <f>'H237 Tracker'!K250</f>
        <v>B</v>
      </c>
      <c r="Z250" s="12">
        <f>'H237 Tracker'!O250</f>
        <v>0</v>
      </c>
      <c r="AA250" s="13">
        <f>'H237 Tracker'!P250</f>
        <v>0</v>
      </c>
      <c r="AB250" s="13">
        <f>'H237 Tracker'!Q250</f>
        <v>0</v>
      </c>
      <c r="AC250" s="13">
        <f t="shared" si="71"/>
        <v>0</v>
      </c>
      <c r="AD250" s="13">
        <f t="shared" si="72"/>
        <v>1264711035.4130599</v>
      </c>
      <c r="AE250" s="13">
        <f t="shared" si="73"/>
        <v>1264711035.4130599</v>
      </c>
      <c r="AF250" s="13">
        <f t="shared" si="79"/>
        <v>2884946336.5458508</v>
      </c>
      <c r="AG250" s="24">
        <f t="shared" si="74"/>
        <v>-0.56161713672383251</v>
      </c>
      <c r="AH250" s="8">
        <f>--(COUNTIF('Tax Events'!$A$4:$A$8,A250)&gt;0)</f>
        <v>1</v>
      </c>
      <c r="AI250" s="8">
        <f>--(COUNTIF('Tax Events'!$B$4:$B$9,A250)&gt;0)</f>
        <v>1</v>
      </c>
    </row>
    <row r="251" spans="1:35">
      <c r="A251" s="4">
        <f>'H237 Tracker'!A251</f>
        <v>44935</v>
      </c>
      <c r="B251" s="13">
        <f t="shared" si="75"/>
        <v>0</v>
      </c>
      <c r="C251" s="13">
        <f t="shared" si="76"/>
        <v>1264711035.4130599</v>
      </c>
      <c r="D251" s="13">
        <f t="shared" si="60"/>
        <v>0</v>
      </c>
      <c r="E251" s="13">
        <f t="shared" si="61"/>
        <v>1264711035.4130599</v>
      </c>
      <c r="F251" s="13">
        <f>IF(AH251=1,MAX(R250,0)*Parameters!$B$11,0)</f>
        <v>0</v>
      </c>
      <c r="G251" s="13">
        <f>IF(AI251=1,MAX(S250,0)*Parameters!$B$11,0)</f>
        <v>0</v>
      </c>
      <c r="H251" s="13">
        <f t="shared" si="62"/>
        <v>0</v>
      </c>
      <c r="I251" s="13">
        <f t="shared" si="63"/>
        <v>1264711035.4130599</v>
      </c>
      <c r="J251" s="13">
        <f t="shared" si="64"/>
        <v>0</v>
      </c>
      <c r="K251" s="13">
        <f t="shared" si="65"/>
        <v>0</v>
      </c>
      <c r="L251" s="13">
        <f t="shared" si="66"/>
        <v>0</v>
      </c>
      <c r="M251" s="13">
        <f t="shared" si="67"/>
        <v>1264711035.4130599</v>
      </c>
      <c r="N251" s="13">
        <f>MAX(0,INT(L251*Parameters!$B$14/Parameters!$B$13/Parameters!$B$12)*Parameters!$B$12)</f>
        <v>0</v>
      </c>
      <c r="O251" s="13">
        <f>MAX(0,INT(M251*Parameters!$B$14/Parameters!$B$13/Parameters!$B$12)*Parameters!$B$12)</f>
        <v>843140670</v>
      </c>
      <c r="P251" s="13">
        <f>N251*Parameters!$B$13*'H237 Tracker'!B251</f>
        <v>0</v>
      </c>
      <c r="Q251" s="13">
        <f>O251*Parameters!$B$13*'H237 Tracker'!C251</f>
        <v>626959402.21200001</v>
      </c>
      <c r="R251" s="13">
        <f t="shared" si="77"/>
        <v>0</v>
      </c>
      <c r="S251" s="13">
        <f t="shared" si="78"/>
        <v>298300267.04400003</v>
      </c>
      <c r="T251" s="13">
        <f t="shared" si="68"/>
        <v>0</v>
      </c>
      <c r="U251" s="13">
        <f t="shared" si="69"/>
        <v>1891670437.6250601</v>
      </c>
      <c r="V251" s="12">
        <f t="shared" si="70"/>
        <v>0</v>
      </c>
      <c r="W251" t="str">
        <f>'H237 Tracker'!I251</f>
        <v>B</v>
      </c>
      <c r="X251">
        <f>'H237 Tracker'!J251</f>
        <v>18</v>
      </c>
      <c r="Y251" t="str">
        <f>'H237 Tracker'!K251</f>
        <v>B</v>
      </c>
      <c r="Z251" s="12">
        <f>'H237 Tracker'!O251</f>
        <v>0</v>
      </c>
      <c r="AA251" s="13">
        <f>'H237 Tracker'!P251</f>
        <v>0</v>
      </c>
      <c r="AB251" s="13">
        <f>'H237 Tracker'!Q251</f>
        <v>0</v>
      </c>
      <c r="AC251" s="13">
        <f t="shared" si="71"/>
        <v>0</v>
      </c>
      <c r="AD251" s="13">
        <f t="shared" si="72"/>
        <v>1891670437.6250601</v>
      </c>
      <c r="AE251" s="13">
        <f t="shared" si="73"/>
        <v>1891670437.6250601</v>
      </c>
      <c r="AF251" s="13">
        <f t="shared" si="79"/>
        <v>2884946336.5458508</v>
      </c>
      <c r="AG251" s="24">
        <f t="shared" si="74"/>
        <v>-0.34429614386174023</v>
      </c>
      <c r="AH251" s="8">
        <f>--(COUNTIF('Tax Events'!$A$4:$A$8,A251)&gt;0)</f>
        <v>0</v>
      </c>
      <c r="AI251" s="8">
        <f>--(COUNTIF('Tax Events'!$B$4:$B$9,A251)&gt;0)</f>
        <v>0</v>
      </c>
    </row>
    <row r="252" spans="1:35">
      <c r="A252" s="4">
        <f>'H237 Tracker'!A252</f>
        <v>44942</v>
      </c>
      <c r="B252" s="13">
        <f t="shared" si="75"/>
        <v>0</v>
      </c>
      <c r="C252" s="13">
        <f t="shared" si="76"/>
        <v>1891670437.6250601</v>
      </c>
      <c r="D252" s="13">
        <f t="shared" si="60"/>
        <v>0</v>
      </c>
      <c r="E252" s="13">
        <f t="shared" si="61"/>
        <v>1891670437.6250601</v>
      </c>
      <c r="F252" s="13">
        <f>IF(AH252=1,MAX(R251,0)*Parameters!$B$11,0)</f>
        <v>0</v>
      </c>
      <c r="G252" s="13">
        <f>IF(AI252=1,MAX(S251,0)*Parameters!$B$11,0)</f>
        <v>0</v>
      </c>
      <c r="H252" s="13">
        <f t="shared" si="62"/>
        <v>0</v>
      </c>
      <c r="I252" s="13">
        <f t="shared" si="63"/>
        <v>1891670437.6250601</v>
      </c>
      <c r="J252" s="13">
        <f t="shared" si="64"/>
        <v>0</v>
      </c>
      <c r="K252" s="13">
        <f t="shared" si="65"/>
        <v>0</v>
      </c>
      <c r="L252" s="13">
        <f t="shared" si="66"/>
        <v>0</v>
      </c>
      <c r="M252" s="13">
        <f t="shared" si="67"/>
        <v>1891670437.6250601</v>
      </c>
      <c r="N252" s="13">
        <f>MAX(0,INT(L252*Parameters!$B$14/Parameters!$B$13/Parameters!$B$12)*Parameters!$B$12)</f>
        <v>0</v>
      </c>
      <c r="O252" s="13">
        <f>MAX(0,INT(M252*Parameters!$B$14/Parameters!$B$13/Parameters!$B$12)*Parameters!$B$12)</f>
        <v>1261113575</v>
      </c>
      <c r="P252" s="13">
        <f>N252*Parameters!$B$13*'H237 Tracker'!B252</f>
        <v>0</v>
      </c>
      <c r="Q252" s="13">
        <f>O252*Parameters!$B$13*'H237 Tracker'!C252</f>
        <v>-283498331.66000003</v>
      </c>
      <c r="R252" s="13">
        <f t="shared" si="77"/>
        <v>0</v>
      </c>
      <c r="S252" s="13">
        <f t="shared" si="78"/>
        <v>14801935.384000003</v>
      </c>
      <c r="T252" s="13">
        <f t="shared" si="68"/>
        <v>0</v>
      </c>
      <c r="U252" s="13">
        <f t="shared" si="69"/>
        <v>1608172105.96506</v>
      </c>
      <c r="V252" s="12">
        <f t="shared" si="70"/>
        <v>0</v>
      </c>
      <c r="W252" t="str">
        <f>'H237 Tracker'!I252</f>
        <v>B</v>
      </c>
      <c r="X252">
        <f>'H237 Tracker'!J252</f>
        <v>19</v>
      </c>
      <c r="Y252" t="str">
        <f>'H237 Tracker'!K252</f>
        <v>B</v>
      </c>
      <c r="Z252" s="12">
        <f>'H237 Tracker'!O252</f>
        <v>0</v>
      </c>
      <c r="AA252" s="13">
        <f>'H237 Tracker'!P252</f>
        <v>0</v>
      </c>
      <c r="AB252" s="13">
        <f>'H237 Tracker'!Q252</f>
        <v>0</v>
      </c>
      <c r="AC252" s="13">
        <f t="shared" si="71"/>
        <v>0</v>
      </c>
      <c r="AD252" s="13">
        <f t="shared" si="72"/>
        <v>1608172105.96506</v>
      </c>
      <c r="AE252" s="13">
        <f t="shared" si="73"/>
        <v>1608172105.96506</v>
      </c>
      <c r="AF252" s="13">
        <f t="shared" si="79"/>
        <v>2884946336.5458508</v>
      </c>
      <c r="AG252" s="24">
        <f t="shared" si="74"/>
        <v>-0.44256429119907781</v>
      </c>
      <c r="AH252" s="8">
        <f>--(COUNTIF('Tax Events'!$A$4:$A$8,A252)&gt;0)</f>
        <v>0</v>
      </c>
      <c r="AI252" s="8">
        <f>--(COUNTIF('Tax Events'!$B$4:$B$9,A252)&gt;0)</f>
        <v>0</v>
      </c>
    </row>
    <row r="253" spans="1:35">
      <c r="A253" s="4">
        <f>'H237 Tracker'!A253</f>
        <v>44949</v>
      </c>
      <c r="B253" s="13">
        <f t="shared" si="75"/>
        <v>0</v>
      </c>
      <c r="C253" s="13">
        <f t="shared" si="76"/>
        <v>1608172105.96506</v>
      </c>
      <c r="D253" s="13">
        <f t="shared" si="60"/>
        <v>0</v>
      </c>
      <c r="E253" s="13">
        <f t="shared" si="61"/>
        <v>1608172105.96506</v>
      </c>
      <c r="F253" s="13">
        <f>IF(AH253=1,MAX(R252,0)*Parameters!$B$11,0)</f>
        <v>0</v>
      </c>
      <c r="G253" s="13">
        <f>IF(AI253=1,MAX(S252,0)*Parameters!$B$11,0)</f>
        <v>0</v>
      </c>
      <c r="H253" s="13">
        <f t="shared" si="62"/>
        <v>0</v>
      </c>
      <c r="I253" s="13">
        <f t="shared" si="63"/>
        <v>1608172105.96506</v>
      </c>
      <c r="J253" s="13">
        <f t="shared" si="64"/>
        <v>0</v>
      </c>
      <c r="K253" s="13">
        <f t="shared" si="65"/>
        <v>0</v>
      </c>
      <c r="L253" s="13">
        <f t="shared" si="66"/>
        <v>0</v>
      </c>
      <c r="M253" s="13">
        <f t="shared" si="67"/>
        <v>1608172105.96506</v>
      </c>
      <c r="N253" s="13">
        <f>MAX(0,INT(L253*Parameters!$B$14/Parameters!$B$13/Parameters!$B$12)*Parameters!$B$12)</f>
        <v>0</v>
      </c>
      <c r="O253" s="13">
        <f>MAX(0,INT(M253*Parameters!$B$14/Parameters!$B$13/Parameters!$B$12)*Parameters!$B$12)</f>
        <v>1072114640</v>
      </c>
      <c r="P253" s="13">
        <f>N253*Parameters!$B$13*'H237 Tracker'!B253</f>
        <v>0</v>
      </c>
      <c r="Q253" s="13">
        <f>O253*Parameters!$B$13*'H237 Tracker'!C253</f>
        <v>392179535.31200004</v>
      </c>
      <c r="R253" s="13">
        <f t="shared" si="77"/>
        <v>0</v>
      </c>
      <c r="S253" s="13">
        <f t="shared" si="78"/>
        <v>406981470.69600004</v>
      </c>
      <c r="T253" s="13">
        <f t="shared" si="68"/>
        <v>0</v>
      </c>
      <c r="U253" s="13">
        <f t="shared" si="69"/>
        <v>2000351641.27706</v>
      </c>
      <c r="V253" s="12">
        <f t="shared" si="70"/>
        <v>0</v>
      </c>
      <c r="W253" t="str">
        <f>'H237 Tracker'!I253</f>
        <v>B</v>
      </c>
      <c r="X253">
        <f>'H237 Tracker'!J253</f>
        <v>20</v>
      </c>
      <c r="Y253" t="str">
        <f>'H237 Tracker'!K253</f>
        <v>B</v>
      </c>
      <c r="Z253" s="12">
        <f>'H237 Tracker'!O253</f>
        <v>0</v>
      </c>
      <c r="AA253" s="13">
        <f>'H237 Tracker'!P253</f>
        <v>0</v>
      </c>
      <c r="AB253" s="13">
        <f>'H237 Tracker'!Q253</f>
        <v>0</v>
      </c>
      <c r="AC253" s="13">
        <f t="shared" si="71"/>
        <v>0</v>
      </c>
      <c r="AD253" s="13">
        <f t="shared" si="72"/>
        <v>2000351641.27706</v>
      </c>
      <c r="AE253" s="13">
        <f t="shared" si="73"/>
        <v>2000351641.27706</v>
      </c>
      <c r="AF253" s="13">
        <f t="shared" si="79"/>
        <v>2884946336.5458508</v>
      </c>
      <c r="AG253" s="24">
        <f t="shared" si="74"/>
        <v>-0.3066243153513617</v>
      </c>
      <c r="AH253" s="8">
        <f>--(COUNTIF('Tax Events'!$A$4:$A$8,A253)&gt;0)</f>
        <v>0</v>
      </c>
      <c r="AI253" s="8">
        <f>--(COUNTIF('Tax Events'!$B$4:$B$9,A253)&gt;0)</f>
        <v>0</v>
      </c>
    </row>
    <row r="254" spans="1:35">
      <c r="A254" s="4">
        <f>'H237 Tracker'!A254</f>
        <v>44956</v>
      </c>
      <c r="B254" s="13">
        <f t="shared" si="75"/>
        <v>0</v>
      </c>
      <c r="C254" s="13">
        <f t="shared" si="76"/>
        <v>2000351641.27706</v>
      </c>
      <c r="D254" s="13">
        <f t="shared" si="60"/>
        <v>0</v>
      </c>
      <c r="E254" s="13">
        <f t="shared" si="61"/>
        <v>2000351641.27706</v>
      </c>
      <c r="F254" s="13">
        <f>IF(AH254=1,MAX(R253,0)*Parameters!$B$11,0)</f>
        <v>0</v>
      </c>
      <c r="G254" s="13">
        <f>IF(AI254=1,MAX(S253,0)*Parameters!$B$11,0)</f>
        <v>0</v>
      </c>
      <c r="H254" s="13">
        <f t="shared" si="62"/>
        <v>0</v>
      </c>
      <c r="I254" s="13">
        <f t="shared" si="63"/>
        <v>2000351641.27706</v>
      </c>
      <c r="J254" s="13">
        <f t="shared" si="64"/>
        <v>0</v>
      </c>
      <c r="K254" s="13">
        <f t="shared" si="65"/>
        <v>0</v>
      </c>
      <c r="L254" s="13">
        <f t="shared" si="66"/>
        <v>0</v>
      </c>
      <c r="M254" s="13">
        <f t="shared" si="67"/>
        <v>2000351641.27706</v>
      </c>
      <c r="N254" s="13">
        <f>MAX(0,INT(L254*Parameters!$B$14/Parameters!$B$13/Parameters!$B$12)*Parameters!$B$12)</f>
        <v>0</v>
      </c>
      <c r="O254" s="13">
        <f>MAX(0,INT(M254*Parameters!$B$14/Parameters!$B$13/Parameters!$B$12)*Parameters!$B$12)</f>
        <v>1333567715</v>
      </c>
      <c r="P254" s="13">
        <f>N254*Parameters!$B$13*'H237 Tracker'!B254</f>
        <v>0</v>
      </c>
      <c r="Q254" s="13">
        <f>O254*Parameters!$B$13*'H237 Tracker'!C254</f>
        <v>1704832966.8560002</v>
      </c>
      <c r="R254" s="13">
        <f t="shared" si="77"/>
        <v>0</v>
      </c>
      <c r="S254" s="13">
        <f t="shared" si="78"/>
        <v>2111814437.5520003</v>
      </c>
      <c r="T254" s="13">
        <f t="shared" si="68"/>
        <v>0</v>
      </c>
      <c r="U254" s="13">
        <f t="shared" si="69"/>
        <v>3705184608.1330605</v>
      </c>
      <c r="V254" s="12">
        <f t="shared" si="70"/>
        <v>0</v>
      </c>
      <c r="W254" t="str">
        <f>'H237 Tracker'!I254</f>
        <v>B</v>
      </c>
      <c r="X254">
        <f>'H237 Tracker'!J254</f>
        <v>21</v>
      </c>
      <c r="Y254" t="str">
        <f>'H237 Tracker'!K254</f>
        <v>B</v>
      </c>
      <c r="Z254" s="12">
        <f>'H237 Tracker'!O254</f>
        <v>0</v>
      </c>
      <c r="AA254" s="13">
        <f>'H237 Tracker'!P254</f>
        <v>0</v>
      </c>
      <c r="AB254" s="13">
        <f>'H237 Tracker'!Q254</f>
        <v>0</v>
      </c>
      <c r="AC254" s="13">
        <f t="shared" si="71"/>
        <v>0</v>
      </c>
      <c r="AD254" s="13">
        <f t="shared" si="72"/>
        <v>3705184608.1330605</v>
      </c>
      <c r="AE254" s="13">
        <f t="shared" si="73"/>
        <v>3705184608.1330605</v>
      </c>
      <c r="AF254" s="13">
        <f t="shared" si="79"/>
        <v>3705184608.1330605</v>
      </c>
      <c r="AG254" s="24">
        <f t="shared" si="74"/>
        <v>0</v>
      </c>
      <c r="AH254" s="8">
        <f>--(COUNTIF('Tax Events'!$A$4:$A$8,A254)&gt;0)</f>
        <v>0</v>
      </c>
      <c r="AI254" s="8">
        <f>--(COUNTIF('Tax Events'!$B$4:$B$9,A254)&gt;0)</f>
        <v>0</v>
      </c>
    </row>
    <row r="255" spans="1:35">
      <c r="A255" s="4">
        <f>'H237 Tracker'!A255</f>
        <v>44963</v>
      </c>
      <c r="B255" s="13">
        <f t="shared" si="75"/>
        <v>0</v>
      </c>
      <c r="C255" s="13">
        <f t="shared" si="76"/>
        <v>3705184608.1330605</v>
      </c>
      <c r="D255" s="13">
        <f t="shared" si="60"/>
        <v>0</v>
      </c>
      <c r="E255" s="13">
        <f t="shared" si="61"/>
        <v>3705184608.1330605</v>
      </c>
      <c r="F255" s="13">
        <f>IF(AH255=1,MAX(R254,0)*Parameters!$B$11,0)</f>
        <v>0</v>
      </c>
      <c r="G255" s="13">
        <f>IF(AI255=1,MAX(S254,0)*Parameters!$B$11,0)</f>
        <v>0</v>
      </c>
      <c r="H255" s="13">
        <f t="shared" si="62"/>
        <v>0</v>
      </c>
      <c r="I255" s="13">
        <f t="shared" si="63"/>
        <v>3705184608.1330605</v>
      </c>
      <c r="J255" s="13">
        <f t="shared" si="64"/>
        <v>0</v>
      </c>
      <c r="K255" s="13">
        <f t="shared" si="65"/>
        <v>0</v>
      </c>
      <c r="L255" s="13">
        <f t="shared" si="66"/>
        <v>0</v>
      </c>
      <c r="M255" s="13">
        <f t="shared" si="67"/>
        <v>3705184608.1330605</v>
      </c>
      <c r="N255" s="13">
        <f>MAX(0,INT(L255*Parameters!$B$14/Parameters!$B$13/Parameters!$B$12)*Parameters!$B$12)</f>
        <v>0</v>
      </c>
      <c r="O255" s="13">
        <f>MAX(0,INT(M255*Parameters!$B$14/Parameters!$B$13/Parameters!$B$12)*Parameters!$B$12)</f>
        <v>2470123065</v>
      </c>
      <c r="P255" s="13">
        <f>N255*Parameters!$B$13*'H237 Tracker'!B255</f>
        <v>0</v>
      </c>
      <c r="Q255" s="13">
        <f>O255*Parameters!$B$13*'H237 Tracker'!C255</f>
        <v>1002869964.39</v>
      </c>
      <c r="R255" s="13">
        <f t="shared" si="77"/>
        <v>0</v>
      </c>
      <c r="S255" s="13">
        <f t="shared" si="78"/>
        <v>3114684401.9420004</v>
      </c>
      <c r="T255" s="13">
        <f t="shared" si="68"/>
        <v>0</v>
      </c>
      <c r="U255" s="13">
        <f t="shared" si="69"/>
        <v>4708054572.5230608</v>
      </c>
      <c r="V255" s="12">
        <f t="shared" si="70"/>
        <v>0</v>
      </c>
      <c r="W255" t="str">
        <f>'H237 Tracker'!I255</f>
        <v>B</v>
      </c>
      <c r="X255">
        <f>'H237 Tracker'!J255</f>
        <v>22</v>
      </c>
      <c r="Y255" t="str">
        <f>'H237 Tracker'!K255</f>
        <v>B</v>
      </c>
      <c r="Z255" s="12">
        <f>'H237 Tracker'!O255</f>
        <v>0</v>
      </c>
      <c r="AA255" s="13">
        <f>'H237 Tracker'!P255</f>
        <v>0</v>
      </c>
      <c r="AB255" s="13">
        <f>'H237 Tracker'!Q255</f>
        <v>0</v>
      </c>
      <c r="AC255" s="13">
        <f t="shared" si="71"/>
        <v>0</v>
      </c>
      <c r="AD255" s="13">
        <f t="shared" si="72"/>
        <v>4708054572.5230608</v>
      </c>
      <c r="AE255" s="13">
        <f t="shared" si="73"/>
        <v>4708054572.5230608</v>
      </c>
      <c r="AF255" s="13">
        <f t="shared" si="79"/>
        <v>4708054572.5230608</v>
      </c>
      <c r="AG255" s="24">
        <f t="shared" si="74"/>
        <v>0</v>
      </c>
      <c r="AH255" s="8">
        <f>--(COUNTIF('Tax Events'!$A$4:$A$8,A255)&gt;0)</f>
        <v>0</v>
      </c>
      <c r="AI255" s="8">
        <f>--(COUNTIF('Tax Events'!$B$4:$B$9,A255)&gt;0)</f>
        <v>0</v>
      </c>
    </row>
    <row r="256" spans="1:35">
      <c r="A256" s="4">
        <f>'H237 Tracker'!A256</f>
        <v>44970</v>
      </c>
      <c r="B256" s="13">
        <f t="shared" si="75"/>
        <v>0</v>
      </c>
      <c r="C256" s="13">
        <f t="shared" si="76"/>
        <v>4708054572.5230608</v>
      </c>
      <c r="D256" s="13">
        <f t="shared" si="60"/>
        <v>0</v>
      </c>
      <c r="E256" s="13">
        <f t="shared" si="61"/>
        <v>4708054572.5230608</v>
      </c>
      <c r="F256" s="13">
        <f>IF(AH256=1,MAX(R255,0)*Parameters!$B$11,0)</f>
        <v>0</v>
      </c>
      <c r="G256" s="13">
        <f>IF(AI256=1,MAX(S255,0)*Parameters!$B$11,0)</f>
        <v>0</v>
      </c>
      <c r="H256" s="13">
        <f t="shared" si="62"/>
        <v>0</v>
      </c>
      <c r="I256" s="13">
        <f t="shared" si="63"/>
        <v>4708054572.5230608</v>
      </c>
      <c r="J256" s="13">
        <f t="shared" si="64"/>
        <v>0</v>
      </c>
      <c r="K256" s="13">
        <f t="shared" si="65"/>
        <v>0</v>
      </c>
      <c r="L256" s="13">
        <f t="shared" si="66"/>
        <v>0</v>
      </c>
      <c r="M256" s="13">
        <f t="shared" si="67"/>
        <v>4708054572.5230608</v>
      </c>
      <c r="N256" s="13">
        <f>MAX(0,INT(L256*Parameters!$B$14/Parameters!$B$13/Parameters!$B$12)*Parameters!$B$12)</f>
        <v>0</v>
      </c>
      <c r="O256" s="13">
        <f>MAX(0,INT(M256*Parameters!$B$14/Parameters!$B$13/Parameters!$B$12)*Parameters!$B$12)</f>
        <v>3138702935</v>
      </c>
      <c r="P256" s="13">
        <f>N256*Parameters!$B$13*'H237 Tracker'!B256</f>
        <v>0</v>
      </c>
      <c r="Q256" s="13">
        <f>O256*Parameters!$B$13*'H237 Tracker'!C256</f>
        <v>732573265.02900004</v>
      </c>
      <c r="R256" s="13">
        <f t="shared" si="77"/>
        <v>0</v>
      </c>
      <c r="S256" s="13">
        <f t="shared" si="78"/>
        <v>3847257666.9710007</v>
      </c>
      <c r="T256" s="13">
        <f t="shared" si="68"/>
        <v>0</v>
      </c>
      <c r="U256" s="13">
        <f t="shared" si="69"/>
        <v>5440627837.5520611</v>
      </c>
      <c r="V256" s="12">
        <f t="shared" si="70"/>
        <v>0</v>
      </c>
      <c r="W256" t="str">
        <f>'H237 Tracker'!I256</f>
        <v>B</v>
      </c>
      <c r="X256">
        <f>'H237 Tracker'!J256</f>
        <v>23</v>
      </c>
      <c r="Y256" t="str">
        <f>'H237 Tracker'!K256</f>
        <v>B</v>
      </c>
      <c r="Z256" s="12">
        <f>'H237 Tracker'!O256</f>
        <v>0</v>
      </c>
      <c r="AA256" s="13">
        <f>'H237 Tracker'!P256</f>
        <v>0</v>
      </c>
      <c r="AB256" s="13">
        <f>'H237 Tracker'!Q256</f>
        <v>0</v>
      </c>
      <c r="AC256" s="13">
        <f t="shared" si="71"/>
        <v>0</v>
      </c>
      <c r="AD256" s="13">
        <f t="shared" si="72"/>
        <v>5440627837.5520611</v>
      </c>
      <c r="AE256" s="13">
        <f t="shared" si="73"/>
        <v>5440627837.5520611</v>
      </c>
      <c r="AF256" s="13">
        <f t="shared" si="79"/>
        <v>5440627837.5520611</v>
      </c>
      <c r="AG256" s="24">
        <f t="shared" si="74"/>
        <v>0</v>
      </c>
      <c r="AH256" s="8">
        <f>--(COUNTIF('Tax Events'!$A$4:$A$8,A256)&gt;0)</f>
        <v>0</v>
      </c>
      <c r="AI256" s="8">
        <f>--(COUNTIF('Tax Events'!$B$4:$B$9,A256)&gt;0)</f>
        <v>0</v>
      </c>
    </row>
    <row r="257" spans="1:35">
      <c r="A257" s="4">
        <f>'H237 Tracker'!A257</f>
        <v>44977</v>
      </c>
      <c r="B257" s="13">
        <f t="shared" si="75"/>
        <v>0</v>
      </c>
      <c r="C257" s="13">
        <f t="shared" si="76"/>
        <v>5440627837.5520611</v>
      </c>
      <c r="D257" s="13">
        <f t="shared" si="60"/>
        <v>0</v>
      </c>
      <c r="E257" s="13">
        <f t="shared" si="61"/>
        <v>5440627837.5520611</v>
      </c>
      <c r="F257" s="13">
        <f>IF(AH257=1,MAX(R256,0)*Parameters!$B$11,0)</f>
        <v>0</v>
      </c>
      <c r="G257" s="13">
        <f>IF(AI257=1,MAX(S256,0)*Parameters!$B$11,0)</f>
        <v>0</v>
      </c>
      <c r="H257" s="13">
        <f t="shared" si="62"/>
        <v>0</v>
      </c>
      <c r="I257" s="13">
        <f t="shared" si="63"/>
        <v>5440627837.5520611</v>
      </c>
      <c r="J257" s="13">
        <f t="shared" si="64"/>
        <v>0</v>
      </c>
      <c r="K257" s="13">
        <f t="shared" si="65"/>
        <v>0</v>
      </c>
      <c r="L257" s="13">
        <f t="shared" si="66"/>
        <v>0</v>
      </c>
      <c r="M257" s="13">
        <f t="shared" si="67"/>
        <v>5440627837.5520611</v>
      </c>
      <c r="N257" s="13">
        <f>MAX(0,INT(L257*Parameters!$B$14/Parameters!$B$13/Parameters!$B$12)*Parameters!$B$12)</f>
        <v>0</v>
      </c>
      <c r="O257" s="13">
        <f>MAX(0,INT(M257*Parameters!$B$14/Parameters!$B$13/Parameters!$B$12)*Parameters!$B$12)</f>
        <v>3627085165</v>
      </c>
      <c r="P257" s="13">
        <f>N257*Parameters!$B$13*'H237 Tracker'!B257</f>
        <v>0</v>
      </c>
      <c r="Q257" s="13">
        <f>O257*Parameters!$B$13*'H237 Tracker'!C257</f>
        <v>0</v>
      </c>
      <c r="R257" s="13">
        <f t="shared" si="77"/>
        <v>0</v>
      </c>
      <c r="S257" s="13">
        <f t="shared" si="78"/>
        <v>3847257666.9710007</v>
      </c>
      <c r="T257" s="13">
        <f t="shared" si="68"/>
        <v>0</v>
      </c>
      <c r="U257" s="13">
        <f t="shared" si="69"/>
        <v>5440627837.5520611</v>
      </c>
      <c r="V257" s="12">
        <f t="shared" si="70"/>
        <v>0</v>
      </c>
      <c r="W257" t="str">
        <f>'H237 Tracker'!I257</f>
        <v>B</v>
      </c>
      <c r="X257">
        <f>'H237 Tracker'!J257</f>
        <v>24</v>
      </c>
      <c r="Y257" t="str">
        <f>'H237 Tracker'!K257</f>
        <v>B</v>
      </c>
      <c r="Z257" s="12">
        <f>'H237 Tracker'!O257</f>
        <v>0</v>
      </c>
      <c r="AA257" s="13">
        <f>'H237 Tracker'!P257</f>
        <v>0</v>
      </c>
      <c r="AB257" s="13">
        <f>'H237 Tracker'!Q257</f>
        <v>0</v>
      </c>
      <c r="AC257" s="13">
        <f t="shared" si="71"/>
        <v>0</v>
      </c>
      <c r="AD257" s="13">
        <f t="shared" si="72"/>
        <v>5440627837.5520611</v>
      </c>
      <c r="AE257" s="13">
        <f t="shared" si="73"/>
        <v>5440627837.5520611</v>
      </c>
      <c r="AF257" s="13">
        <f t="shared" si="79"/>
        <v>5440627837.5520611</v>
      </c>
      <c r="AG257" s="24">
        <f t="shared" si="74"/>
        <v>0</v>
      </c>
      <c r="AH257" s="8">
        <f>--(COUNTIF('Tax Events'!$A$4:$A$8,A257)&gt;0)</f>
        <v>0</v>
      </c>
      <c r="AI257" s="8">
        <f>--(COUNTIF('Tax Events'!$B$4:$B$9,A257)&gt;0)</f>
        <v>0</v>
      </c>
    </row>
    <row r="258" spans="1:35">
      <c r="A258" s="4">
        <f>'H237 Tracker'!A258</f>
        <v>44984</v>
      </c>
      <c r="B258" s="13">
        <f t="shared" si="75"/>
        <v>0</v>
      </c>
      <c r="C258" s="13">
        <f t="shared" si="76"/>
        <v>5440627837.5520611</v>
      </c>
      <c r="D258" s="13">
        <f t="shared" si="60"/>
        <v>0</v>
      </c>
      <c r="E258" s="13">
        <f t="shared" si="61"/>
        <v>5440627837.5520611</v>
      </c>
      <c r="F258" s="13">
        <f>IF(AH258=1,MAX(R257,0)*Parameters!$B$11,0)</f>
        <v>0</v>
      </c>
      <c r="G258" s="13">
        <f>IF(AI258=1,MAX(S257,0)*Parameters!$B$11,0)</f>
        <v>0</v>
      </c>
      <c r="H258" s="13">
        <f t="shared" si="62"/>
        <v>0</v>
      </c>
      <c r="I258" s="13">
        <f t="shared" si="63"/>
        <v>5440627837.5520611</v>
      </c>
      <c r="J258" s="13">
        <f t="shared" si="64"/>
        <v>0</v>
      </c>
      <c r="K258" s="13">
        <f t="shared" si="65"/>
        <v>0</v>
      </c>
      <c r="L258" s="13">
        <f t="shared" si="66"/>
        <v>0</v>
      </c>
      <c r="M258" s="13">
        <f t="shared" si="67"/>
        <v>5440627837.5520611</v>
      </c>
      <c r="N258" s="13">
        <f>MAX(0,INT(L258*Parameters!$B$14/Parameters!$B$13/Parameters!$B$12)*Parameters!$B$12)</f>
        <v>0</v>
      </c>
      <c r="O258" s="13">
        <f>MAX(0,INT(M258*Parameters!$B$14/Parameters!$B$13/Parameters!$B$12)*Parameters!$B$12)</f>
        <v>3627085165</v>
      </c>
      <c r="P258" s="13">
        <f>N258*Parameters!$B$13*'H237 Tracker'!B258</f>
        <v>0</v>
      </c>
      <c r="Q258" s="13">
        <f>O258*Parameters!$B$13*'H237 Tracker'!C258</f>
        <v>-520124012.66100001</v>
      </c>
      <c r="R258" s="13">
        <f t="shared" si="77"/>
        <v>0</v>
      </c>
      <c r="S258" s="13">
        <f t="shared" si="78"/>
        <v>3327133654.3100004</v>
      </c>
      <c r="T258" s="13">
        <f t="shared" si="68"/>
        <v>0</v>
      </c>
      <c r="U258" s="13">
        <f t="shared" si="69"/>
        <v>4920503824.8910608</v>
      </c>
      <c r="V258" s="12">
        <f t="shared" si="70"/>
        <v>0</v>
      </c>
      <c r="W258" t="str">
        <f>'H237 Tracker'!I258</f>
        <v>B</v>
      </c>
      <c r="X258">
        <f>'H237 Tracker'!J258</f>
        <v>25</v>
      </c>
      <c r="Y258" t="str">
        <f>'H237 Tracker'!K258</f>
        <v>B</v>
      </c>
      <c r="Z258" s="12">
        <f>'H237 Tracker'!O258</f>
        <v>0</v>
      </c>
      <c r="AA258" s="13">
        <f>'H237 Tracker'!P258</f>
        <v>0</v>
      </c>
      <c r="AB258" s="13">
        <f>'H237 Tracker'!Q258</f>
        <v>0</v>
      </c>
      <c r="AC258" s="13">
        <f t="shared" si="71"/>
        <v>0</v>
      </c>
      <c r="AD258" s="13">
        <f t="shared" si="72"/>
        <v>4920503824.8910608</v>
      </c>
      <c r="AE258" s="13">
        <f t="shared" si="73"/>
        <v>4920503824.8910608</v>
      </c>
      <c r="AF258" s="13">
        <f t="shared" si="79"/>
        <v>5440627837.5520611</v>
      </c>
      <c r="AG258" s="24">
        <f t="shared" si="74"/>
        <v>-9.5599998417650101E-2</v>
      </c>
      <c r="AH258" s="8">
        <f>--(COUNTIF('Tax Events'!$A$4:$A$8,A258)&gt;0)</f>
        <v>0</v>
      </c>
      <c r="AI258" s="8">
        <f>--(COUNTIF('Tax Events'!$B$4:$B$9,A258)&gt;0)</f>
        <v>0</v>
      </c>
    </row>
    <row r="259" spans="1:35">
      <c r="A259" s="4">
        <f>'H237 Tracker'!A259</f>
        <v>44991</v>
      </c>
      <c r="B259" s="13">
        <f t="shared" si="75"/>
        <v>0</v>
      </c>
      <c r="C259" s="13">
        <f t="shared" si="76"/>
        <v>4920503824.8910608</v>
      </c>
      <c r="D259" s="13">
        <f t="shared" si="60"/>
        <v>0</v>
      </c>
      <c r="E259" s="13">
        <f t="shared" si="61"/>
        <v>4920503824.8910608</v>
      </c>
      <c r="F259" s="13">
        <f>IF(AH259=1,MAX(R258,0)*Parameters!$B$11,0)</f>
        <v>0</v>
      </c>
      <c r="G259" s="13">
        <f>IF(AI259=1,MAX(S258,0)*Parameters!$B$11,0)</f>
        <v>0</v>
      </c>
      <c r="H259" s="13">
        <f t="shared" si="62"/>
        <v>0</v>
      </c>
      <c r="I259" s="13">
        <f t="shared" si="63"/>
        <v>4920503824.8910608</v>
      </c>
      <c r="J259" s="13">
        <f t="shared" si="64"/>
        <v>0</v>
      </c>
      <c r="K259" s="13">
        <f t="shared" si="65"/>
        <v>0</v>
      </c>
      <c r="L259" s="13">
        <f t="shared" si="66"/>
        <v>0</v>
      </c>
      <c r="M259" s="13">
        <f t="shared" si="67"/>
        <v>4920503824.8910608</v>
      </c>
      <c r="N259" s="13">
        <f>MAX(0,INT(L259*Parameters!$B$14/Parameters!$B$13/Parameters!$B$12)*Parameters!$B$12)</f>
        <v>0</v>
      </c>
      <c r="O259" s="13">
        <f>MAX(0,INT(M259*Parameters!$B$14/Parameters!$B$13/Parameters!$B$12)*Parameters!$B$12)</f>
        <v>3280335785</v>
      </c>
      <c r="P259" s="13">
        <f>N259*Parameters!$B$13*'H237 Tracker'!B259</f>
        <v>0</v>
      </c>
      <c r="Q259" s="13">
        <f>O259*Parameters!$B$13*'H237 Tracker'!C259</f>
        <v>-644914015.33099997</v>
      </c>
      <c r="R259" s="13">
        <f t="shared" si="77"/>
        <v>0</v>
      </c>
      <c r="S259" s="13">
        <f t="shared" si="78"/>
        <v>2682219638.9790006</v>
      </c>
      <c r="T259" s="13">
        <f t="shared" si="68"/>
        <v>0</v>
      </c>
      <c r="U259" s="13">
        <f t="shared" si="69"/>
        <v>4275589809.560061</v>
      </c>
      <c r="V259" s="12">
        <f t="shared" si="70"/>
        <v>0</v>
      </c>
      <c r="W259" t="str">
        <f>'H237 Tracker'!I259</f>
        <v>B</v>
      </c>
      <c r="X259">
        <f>'H237 Tracker'!J259</f>
        <v>26</v>
      </c>
      <c r="Y259" t="str">
        <f>'H237 Tracker'!K259</f>
        <v>B</v>
      </c>
      <c r="Z259" s="12">
        <f>'H237 Tracker'!O259</f>
        <v>0</v>
      </c>
      <c r="AA259" s="13">
        <f>'H237 Tracker'!P259</f>
        <v>0</v>
      </c>
      <c r="AB259" s="13">
        <f>'H237 Tracker'!Q259</f>
        <v>0</v>
      </c>
      <c r="AC259" s="13">
        <f t="shared" si="71"/>
        <v>0</v>
      </c>
      <c r="AD259" s="13">
        <f t="shared" si="72"/>
        <v>4275589809.560061</v>
      </c>
      <c r="AE259" s="13">
        <f t="shared" si="73"/>
        <v>4275589809.560061</v>
      </c>
      <c r="AF259" s="13">
        <f t="shared" si="79"/>
        <v>5440627837.5520611</v>
      </c>
      <c r="AG259" s="24">
        <f t="shared" si="74"/>
        <v>-0.21413668840767353</v>
      </c>
      <c r="AH259" s="8">
        <f>--(COUNTIF('Tax Events'!$A$4:$A$8,A259)&gt;0)</f>
        <v>0</v>
      </c>
      <c r="AI259" s="8">
        <f>--(COUNTIF('Tax Events'!$B$4:$B$9,A259)&gt;0)</f>
        <v>0</v>
      </c>
    </row>
    <row r="260" spans="1:35">
      <c r="A260" s="4">
        <f>'H237 Tracker'!A260</f>
        <v>44998</v>
      </c>
      <c r="B260" s="13">
        <f t="shared" si="75"/>
        <v>0</v>
      </c>
      <c r="C260" s="13">
        <f t="shared" si="76"/>
        <v>4275589809.560061</v>
      </c>
      <c r="D260" s="13">
        <f t="shared" ref="D260:D323" si="80">B260</f>
        <v>0</v>
      </c>
      <c r="E260" s="13">
        <f t="shared" ref="E260:E323" si="81">C260</f>
        <v>4275589809.560061</v>
      </c>
      <c r="F260" s="13">
        <f>IF(AH260=1,MAX(R259,0)*Parameters!$B$11,0)</f>
        <v>0</v>
      </c>
      <c r="G260" s="13">
        <f>IF(AI260=1,MAX(S259,0)*Parameters!$B$11,0)</f>
        <v>0</v>
      </c>
      <c r="H260" s="13">
        <f t="shared" ref="H260:H323" si="82">D260-F260</f>
        <v>0</v>
      </c>
      <c r="I260" s="13">
        <f t="shared" ref="I260:I323" si="83">E260-G260</f>
        <v>4275589809.560061</v>
      </c>
      <c r="J260" s="13">
        <f t="shared" ref="J260:J323" si="84">IF(H260&lt;0,MIN(-H260,MAX(I260,0)),0)</f>
        <v>0</v>
      </c>
      <c r="K260" s="13">
        <f t="shared" ref="K260:K323" si="85">IF(I260&lt;0,MIN(-I260,MAX(H260,0)),0)</f>
        <v>0</v>
      </c>
      <c r="L260" s="13">
        <f t="shared" ref="L260:L323" si="86">IF(H260&gt;=0,IF(I260&lt;0,MAX(H260+I260,0),H260),0)</f>
        <v>0</v>
      </c>
      <c r="M260" s="13">
        <f t="shared" ref="M260:M323" si="87">IF(I260&gt;=0,IF(H260&lt;0,MAX(H260+I260,0),I260),0)</f>
        <v>4275589809.560061</v>
      </c>
      <c r="N260" s="13">
        <f>MAX(0,INT(L260*Parameters!$B$14/Parameters!$B$13/Parameters!$B$12)*Parameters!$B$12)</f>
        <v>0</v>
      </c>
      <c r="O260" s="13">
        <f>MAX(0,INT(M260*Parameters!$B$14/Parameters!$B$13/Parameters!$B$12)*Parameters!$B$12)</f>
        <v>2850393105</v>
      </c>
      <c r="P260" s="13">
        <f>N260*Parameters!$B$13*'H237 Tracker'!B260</f>
        <v>0</v>
      </c>
      <c r="Q260" s="13">
        <f>O260*Parameters!$B$13*'H237 Tracker'!C260</f>
        <v>766185666.62400007</v>
      </c>
      <c r="R260" s="13">
        <f t="shared" si="77"/>
        <v>0</v>
      </c>
      <c r="S260" s="13">
        <f t="shared" si="78"/>
        <v>3448405305.6030006</v>
      </c>
      <c r="T260" s="13">
        <f t="shared" ref="T260:T323" si="88">L260+P260</f>
        <v>0</v>
      </c>
      <c r="U260" s="13">
        <f t="shared" ref="U260:U323" si="89">M260+Q260</f>
        <v>5041775476.1840611</v>
      </c>
      <c r="V260" s="12">
        <f t="shared" ref="V260:V323" si="90">IF(T260+U260=0,0.5,T260/(T260+U260))</f>
        <v>0</v>
      </c>
      <c r="W260" t="str">
        <f>'H237 Tracker'!I260</f>
        <v>B</v>
      </c>
      <c r="X260">
        <f>'H237 Tracker'!J260</f>
        <v>27</v>
      </c>
      <c r="Y260" t="str">
        <f>'H237 Tracker'!K260</f>
        <v>B</v>
      </c>
      <c r="Z260" s="12">
        <f>'H237 Tracker'!O260</f>
        <v>0</v>
      </c>
      <c r="AA260" s="13">
        <f>'H237 Tracker'!P260</f>
        <v>0</v>
      </c>
      <c r="AB260" s="13">
        <f>'H237 Tracker'!Q260</f>
        <v>0</v>
      </c>
      <c r="AC260" s="13">
        <f t="shared" ref="AC260:AC323" si="91">T260-AA260+AB260</f>
        <v>0</v>
      </c>
      <c r="AD260" s="13">
        <f t="shared" ref="AD260:AD323" si="92">U260+AA260-AB260</f>
        <v>5041775476.1840611</v>
      </c>
      <c r="AE260" s="13">
        <f t="shared" ref="AE260:AE323" si="93">AC260+AD260</f>
        <v>5041775476.1840611</v>
      </c>
      <c r="AF260" s="13">
        <f t="shared" si="79"/>
        <v>5440627837.5520611</v>
      </c>
      <c r="AG260" s="24">
        <f t="shared" ref="AG260:AG323" si="94">IF(AF260=0,0,AE260/AF260-1)</f>
        <v>-7.3309987978787849E-2</v>
      </c>
      <c r="AH260" s="8">
        <f>--(COUNTIF('Tax Events'!$A$4:$A$8,A260)&gt;0)</f>
        <v>0</v>
      </c>
      <c r="AI260" s="8">
        <f>--(COUNTIF('Tax Events'!$B$4:$B$9,A260)&gt;0)</f>
        <v>0</v>
      </c>
    </row>
    <row r="261" spans="1:35">
      <c r="A261" s="4">
        <f>'H237 Tracker'!A261</f>
        <v>45005</v>
      </c>
      <c r="B261" s="13">
        <f t="shared" ref="B261:B324" si="95">AC260</f>
        <v>0</v>
      </c>
      <c r="C261" s="13">
        <f t="shared" ref="C261:C324" si="96">AD260</f>
        <v>5041775476.1840611</v>
      </c>
      <c r="D261" s="13">
        <f t="shared" si="80"/>
        <v>0</v>
      </c>
      <c r="E261" s="13">
        <f t="shared" si="81"/>
        <v>5041775476.1840611</v>
      </c>
      <c r="F261" s="13">
        <f>IF(AH261=1,MAX(R260,0)*Parameters!$B$11,0)</f>
        <v>0</v>
      </c>
      <c r="G261" s="13">
        <f>IF(AI261=1,MAX(S260,0)*Parameters!$B$11,0)</f>
        <v>0</v>
      </c>
      <c r="H261" s="13">
        <f t="shared" si="82"/>
        <v>0</v>
      </c>
      <c r="I261" s="13">
        <f t="shared" si="83"/>
        <v>5041775476.1840611</v>
      </c>
      <c r="J261" s="13">
        <f t="shared" si="84"/>
        <v>0</v>
      </c>
      <c r="K261" s="13">
        <f t="shared" si="85"/>
        <v>0</v>
      </c>
      <c r="L261" s="13">
        <f t="shared" si="86"/>
        <v>0</v>
      </c>
      <c r="M261" s="13">
        <f t="shared" si="87"/>
        <v>5041775476.1840611</v>
      </c>
      <c r="N261" s="13">
        <f>MAX(0,INT(L261*Parameters!$B$14/Parameters!$B$13/Parameters!$B$12)*Parameters!$B$12)</f>
        <v>0</v>
      </c>
      <c r="O261" s="13">
        <f>MAX(0,INT(M261*Parameters!$B$14/Parameters!$B$13/Parameters!$B$12)*Parameters!$B$12)</f>
        <v>3361183545</v>
      </c>
      <c r="P261" s="13">
        <f>N261*Parameters!$B$13*'H237 Tracker'!B261</f>
        <v>0</v>
      </c>
      <c r="Q261" s="13">
        <f>O261*Parameters!$B$13*'H237 Tracker'!C261</f>
        <v>1363296045.852</v>
      </c>
      <c r="R261" s="13">
        <f t="shared" ref="R261:R324" si="97">IF(AH261=1,P261,R260+P261)</f>
        <v>0</v>
      </c>
      <c r="S261" s="13">
        <f t="shared" ref="S261:S324" si="98">IF(AI261=1,Q261,S260+Q261)</f>
        <v>4811701351.4550009</v>
      </c>
      <c r="T261" s="13">
        <f t="shared" si="88"/>
        <v>0</v>
      </c>
      <c r="U261" s="13">
        <f t="shared" si="89"/>
        <v>6405071522.0360613</v>
      </c>
      <c r="V261" s="12">
        <f t="shared" si="90"/>
        <v>0</v>
      </c>
      <c r="W261" t="str">
        <f>'H237 Tracker'!I261</f>
        <v>B</v>
      </c>
      <c r="X261">
        <f>'H237 Tracker'!J261</f>
        <v>28</v>
      </c>
      <c r="Y261" t="str">
        <f>'H237 Tracker'!K261</f>
        <v>B</v>
      </c>
      <c r="Z261" s="12">
        <f>'H237 Tracker'!O261</f>
        <v>0</v>
      </c>
      <c r="AA261" s="13">
        <f>'H237 Tracker'!P261</f>
        <v>0</v>
      </c>
      <c r="AB261" s="13">
        <f>'H237 Tracker'!Q261</f>
        <v>0</v>
      </c>
      <c r="AC261" s="13">
        <f t="shared" si="91"/>
        <v>0</v>
      </c>
      <c r="AD261" s="13">
        <f t="shared" si="92"/>
        <v>6405071522.0360613</v>
      </c>
      <c r="AE261" s="13">
        <f t="shared" si="93"/>
        <v>6405071522.0360613</v>
      </c>
      <c r="AF261" s="13">
        <f t="shared" ref="AF261:AF324" si="99">MAX(AF260,AE261)</f>
        <v>6405071522.0360613</v>
      </c>
      <c r="AG261" s="24">
        <f t="shared" si="94"/>
        <v>0</v>
      </c>
      <c r="AH261" s="8">
        <f>--(COUNTIF('Tax Events'!$A$4:$A$8,A261)&gt;0)</f>
        <v>0</v>
      </c>
      <c r="AI261" s="8">
        <f>--(COUNTIF('Tax Events'!$B$4:$B$9,A261)&gt;0)</f>
        <v>0</v>
      </c>
    </row>
    <row r="262" spans="1:35">
      <c r="A262" s="4">
        <f>'H237 Tracker'!A262</f>
        <v>45012</v>
      </c>
      <c r="B262" s="13">
        <f t="shared" si="95"/>
        <v>0</v>
      </c>
      <c r="C262" s="13">
        <f t="shared" si="96"/>
        <v>6405071522.0360613</v>
      </c>
      <c r="D262" s="13">
        <f t="shared" si="80"/>
        <v>0</v>
      </c>
      <c r="E262" s="13">
        <f t="shared" si="81"/>
        <v>6405071522.0360613</v>
      </c>
      <c r="F262" s="13">
        <f>IF(AH262=1,MAX(R261,0)*Parameters!$B$11,0)</f>
        <v>0</v>
      </c>
      <c r="G262" s="13">
        <f>IF(AI262=1,MAX(S261,0)*Parameters!$B$11,0)</f>
        <v>0</v>
      </c>
      <c r="H262" s="13">
        <f t="shared" si="82"/>
        <v>0</v>
      </c>
      <c r="I262" s="13">
        <f t="shared" si="83"/>
        <v>6405071522.0360613</v>
      </c>
      <c r="J262" s="13">
        <f t="shared" si="84"/>
        <v>0</v>
      </c>
      <c r="K262" s="13">
        <f t="shared" si="85"/>
        <v>0</v>
      </c>
      <c r="L262" s="13">
        <f t="shared" si="86"/>
        <v>0</v>
      </c>
      <c r="M262" s="13">
        <f t="shared" si="87"/>
        <v>6405071522.0360613</v>
      </c>
      <c r="N262" s="13">
        <f>MAX(0,INT(L262*Parameters!$B$14/Parameters!$B$13/Parameters!$B$12)*Parameters!$B$12)</f>
        <v>0</v>
      </c>
      <c r="O262" s="13">
        <f>MAX(0,INT(M262*Parameters!$B$14/Parameters!$B$13/Parameters!$B$12)*Parameters!$B$12)</f>
        <v>4270047635</v>
      </c>
      <c r="P262" s="13">
        <f>N262*Parameters!$B$13*'H237 Tracker'!B262</f>
        <v>0</v>
      </c>
      <c r="Q262" s="13">
        <f>O262*Parameters!$B$13*'H237 Tracker'!C262</f>
        <v>-340749801.27299994</v>
      </c>
      <c r="R262" s="13">
        <f t="shared" si="97"/>
        <v>0</v>
      </c>
      <c r="S262" s="13">
        <f t="shared" si="98"/>
        <v>4470951550.1820011</v>
      </c>
      <c r="T262" s="13">
        <f t="shared" si="88"/>
        <v>0</v>
      </c>
      <c r="U262" s="13">
        <f t="shared" si="89"/>
        <v>6064321720.7630615</v>
      </c>
      <c r="V262" s="12">
        <f t="shared" si="90"/>
        <v>0</v>
      </c>
      <c r="W262" t="str">
        <f>'H237 Tracker'!I262</f>
        <v>B</v>
      </c>
      <c r="X262">
        <f>'H237 Tracker'!J262</f>
        <v>29</v>
      </c>
      <c r="Y262" t="str">
        <f>'H237 Tracker'!K262</f>
        <v>B</v>
      </c>
      <c r="Z262" s="12">
        <f>'H237 Tracker'!O262</f>
        <v>0</v>
      </c>
      <c r="AA262" s="13">
        <f>'H237 Tracker'!P262</f>
        <v>0</v>
      </c>
      <c r="AB262" s="13">
        <f>'H237 Tracker'!Q262</f>
        <v>0</v>
      </c>
      <c r="AC262" s="13">
        <f t="shared" si="91"/>
        <v>0</v>
      </c>
      <c r="AD262" s="13">
        <f t="shared" si="92"/>
        <v>6064321720.7630615</v>
      </c>
      <c r="AE262" s="13">
        <f t="shared" si="93"/>
        <v>6064321720.7630615</v>
      </c>
      <c r="AF262" s="13">
        <f t="shared" si="99"/>
        <v>6405071522.0360613</v>
      </c>
      <c r="AG262" s="24">
        <f t="shared" si="94"/>
        <v>-5.3199999422439137E-2</v>
      </c>
      <c r="AH262" s="8">
        <f>--(COUNTIF('Tax Events'!$A$4:$A$8,A262)&gt;0)</f>
        <v>0</v>
      </c>
      <c r="AI262" s="8">
        <f>--(COUNTIF('Tax Events'!$B$4:$B$9,A262)&gt;0)</f>
        <v>0</v>
      </c>
    </row>
    <row r="263" spans="1:35">
      <c r="A263" s="4">
        <f>'H237 Tracker'!A263</f>
        <v>45019</v>
      </c>
      <c r="B263" s="13">
        <f t="shared" si="95"/>
        <v>0</v>
      </c>
      <c r="C263" s="13">
        <f t="shared" si="96"/>
        <v>6064321720.7630615</v>
      </c>
      <c r="D263" s="13">
        <f t="shared" si="80"/>
        <v>0</v>
      </c>
      <c r="E263" s="13">
        <f t="shared" si="81"/>
        <v>6064321720.7630615</v>
      </c>
      <c r="F263" s="13">
        <f>IF(AH263=1,MAX(R262,0)*Parameters!$B$11,0)</f>
        <v>0</v>
      </c>
      <c r="G263" s="13">
        <f>IF(AI263=1,MAX(S262,0)*Parameters!$B$11,0)</f>
        <v>0</v>
      </c>
      <c r="H263" s="13">
        <f t="shared" si="82"/>
        <v>0</v>
      </c>
      <c r="I263" s="13">
        <f t="shared" si="83"/>
        <v>6064321720.7630615</v>
      </c>
      <c r="J263" s="13">
        <f t="shared" si="84"/>
        <v>0</v>
      </c>
      <c r="K263" s="13">
        <f t="shared" si="85"/>
        <v>0</v>
      </c>
      <c r="L263" s="13">
        <f t="shared" si="86"/>
        <v>0</v>
      </c>
      <c r="M263" s="13">
        <f t="shared" si="87"/>
        <v>6064321720.7630615</v>
      </c>
      <c r="N263" s="13">
        <f>MAX(0,INT(L263*Parameters!$B$14/Parameters!$B$13/Parameters!$B$12)*Parameters!$B$12)</f>
        <v>0</v>
      </c>
      <c r="O263" s="13">
        <f>MAX(0,INT(M263*Parameters!$B$14/Parameters!$B$13/Parameters!$B$12)*Parameters!$B$12)</f>
        <v>4042881120</v>
      </c>
      <c r="P263" s="13">
        <f>N263*Parameters!$B$13*'H237 Tracker'!B263</f>
        <v>0</v>
      </c>
      <c r="Q263" s="13">
        <f>O263*Parameters!$B$13*'H237 Tracker'!C263</f>
        <v>-829599205.824</v>
      </c>
      <c r="R263" s="13">
        <f t="shared" si="97"/>
        <v>0</v>
      </c>
      <c r="S263" s="13">
        <f t="shared" si="98"/>
        <v>3641352344.3580012</v>
      </c>
      <c r="T263" s="13">
        <f t="shared" si="88"/>
        <v>0</v>
      </c>
      <c r="U263" s="13">
        <f t="shared" si="89"/>
        <v>5234722514.9390612</v>
      </c>
      <c r="V263" s="12">
        <f t="shared" si="90"/>
        <v>0</v>
      </c>
      <c r="W263" t="str">
        <f>'H237 Tracker'!I263</f>
        <v>B</v>
      </c>
      <c r="X263">
        <f>'H237 Tracker'!J263</f>
        <v>30</v>
      </c>
      <c r="Y263" t="str">
        <f>'H237 Tracker'!K263</f>
        <v>B</v>
      </c>
      <c r="Z263" s="12">
        <f>'H237 Tracker'!O263</f>
        <v>0</v>
      </c>
      <c r="AA263" s="13">
        <f>'H237 Tracker'!P263</f>
        <v>0</v>
      </c>
      <c r="AB263" s="13">
        <f>'H237 Tracker'!Q263</f>
        <v>0</v>
      </c>
      <c r="AC263" s="13">
        <f t="shared" si="91"/>
        <v>0</v>
      </c>
      <c r="AD263" s="13">
        <f t="shared" si="92"/>
        <v>5234722514.9390612</v>
      </c>
      <c r="AE263" s="13">
        <f t="shared" si="93"/>
        <v>5234722514.9390612</v>
      </c>
      <c r="AF263" s="13">
        <f t="shared" si="99"/>
        <v>6405071522.0360613</v>
      </c>
      <c r="AG263" s="24">
        <f t="shared" si="94"/>
        <v>-0.18272223863082893</v>
      </c>
      <c r="AH263" s="8">
        <f>--(COUNTIF('Tax Events'!$A$4:$A$8,A263)&gt;0)</f>
        <v>0</v>
      </c>
      <c r="AI263" s="8">
        <f>--(COUNTIF('Tax Events'!$B$4:$B$9,A263)&gt;0)</f>
        <v>0</v>
      </c>
    </row>
    <row r="264" spans="1:35">
      <c r="A264" s="4">
        <f>'H237 Tracker'!A264</f>
        <v>45026</v>
      </c>
      <c r="B264" s="13">
        <f t="shared" si="95"/>
        <v>0</v>
      </c>
      <c r="C264" s="13">
        <f t="shared" si="96"/>
        <v>5234722514.9390612</v>
      </c>
      <c r="D264" s="13">
        <f t="shared" si="80"/>
        <v>0</v>
      </c>
      <c r="E264" s="13">
        <f t="shared" si="81"/>
        <v>5234722514.9390612</v>
      </c>
      <c r="F264" s="13">
        <f>IF(AH264=1,MAX(R263,0)*Parameters!$B$11,0)</f>
        <v>0</v>
      </c>
      <c r="G264" s="13">
        <f>IF(AI264=1,MAX(S263,0)*Parameters!$B$11,0)</f>
        <v>0</v>
      </c>
      <c r="H264" s="13">
        <f t="shared" si="82"/>
        <v>0</v>
      </c>
      <c r="I264" s="13">
        <f t="shared" si="83"/>
        <v>5234722514.9390612</v>
      </c>
      <c r="J264" s="13">
        <f t="shared" si="84"/>
        <v>0</v>
      </c>
      <c r="K264" s="13">
        <f t="shared" si="85"/>
        <v>0</v>
      </c>
      <c r="L264" s="13">
        <f t="shared" si="86"/>
        <v>0</v>
      </c>
      <c r="M264" s="13">
        <f t="shared" si="87"/>
        <v>5234722514.9390612</v>
      </c>
      <c r="N264" s="13">
        <f>MAX(0,INT(L264*Parameters!$B$14/Parameters!$B$13/Parameters!$B$12)*Parameters!$B$12)</f>
        <v>0</v>
      </c>
      <c r="O264" s="13">
        <f>MAX(0,INT(M264*Parameters!$B$14/Parameters!$B$13/Parameters!$B$12)*Parameters!$B$12)</f>
        <v>3489814955</v>
      </c>
      <c r="P264" s="13">
        <f>N264*Parameters!$B$13*'H237 Tracker'!B264</f>
        <v>0</v>
      </c>
      <c r="Q264" s="13">
        <f>O264*Parameters!$B$13*'H237 Tracker'!C264</f>
        <v>0</v>
      </c>
      <c r="R264" s="13">
        <f t="shared" si="97"/>
        <v>0</v>
      </c>
      <c r="S264" s="13">
        <f t="shared" si="98"/>
        <v>3641352344.3580012</v>
      </c>
      <c r="T264" s="13">
        <f t="shared" si="88"/>
        <v>0</v>
      </c>
      <c r="U264" s="13">
        <f t="shared" si="89"/>
        <v>5234722514.9390612</v>
      </c>
      <c r="V264" s="12">
        <f t="shared" si="90"/>
        <v>0</v>
      </c>
      <c r="W264" t="str">
        <f>'H237 Tracker'!I264</f>
        <v>B</v>
      </c>
      <c r="X264">
        <f>'H237 Tracker'!J264</f>
        <v>31</v>
      </c>
      <c r="Y264" t="str">
        <f>'H237 Tracker'!K264</f>
        <v>B</v>
      </c>
      <c r="Z264" s="12">
        <f>'H237 Tracker'!O264</f>
        <v>0</v>
      </c>
      <c r="AA264" s="13">
        <f>'H237 Tracker'!P264</f>
        <v>0</v>
      </c>
      <c r="AB264" s="13">
        <f>'H237 Tracker'!Q264</f>
        <v>0</v>
      </c>
      <c r="AC264" s="13">
        <f t="shared" si="91"/>
        <v>0</v>
      </c>
      <c r="AD264" s="13">
        <f t="shared" si="92"/>
        <v>5234722514.9390612</v>
      </c>
      <c r="AE264" s="13">
        <f t="shared" si="93"/>
        <v>5234722514.9390612</v>
      </c>
      <c r="AF264" s="13">
        <f t="shared" si="99"/>
        <v>6405071522.0360613</v>
      </c>
      <c r="AG264" s="24">
        <f t="shared" si="94"/>
        <v>-0.18272223863082893</v>
      </c>
      <c r="AH264" s="8">
        <f>--(COUNTIF('Tax Events'!$A$4:$A$8,A264)&gt;0)</f>
        <v>0</v>
      </c>
      <c r="AI264" s="8">
        <f>--(COUNTIF('Tax Events'!$B$4:$B$9,A264)&gt;0)</f>
        <v>0</v>
      </c>
    </row>
    <row r="265" spans="1:35">
      <c r="A265" s="4">
        <f>'H237 Tracker'!A265</f>
        <v>45033</v>
      </c>
      <c r="B265" s="13">
        <f t="shared" si="95"/>
        <v>0</v>
      </c>
      <c r="C265" s="13">
        <f t="shared" si="96"/>
        <v>5234722514.9390612</v>
      </c>
      <c r="D265" s="13">
        <f t="shared" si="80"/>
        <v>0</v>
      </c>
      <c r="E265" s="13">
        <f t="shared" si="81"/>
        <v>5234722514.9390612</v>
      </c>
      <c r="F265" s="13">
        <f>IF(AH265=1,MAX(R264,0)*Parameters!$B$11,0)</f>
        <v>0</v>
      </c>
      <c r="G265" s="13">
        <f>IF(AI265=1,MAX(S264,0)*Parameters!$B$11,0)</f>
        <v>0</v>
      </c>
      <c r="H265" s="13">
        <f t="shared" si="82"/>
        <v>0</v>
      </c>
      <c r="I265" s="13">
        <f t="shared" si="83"/>
        <v>5234722514.9390612</v>
      </c>
      <c r="J265" s="13">
        <f t="shared" si="84"/>
        <v>0</v>
      </c>
      <c r="K265" s="13">
        <f t="shared" si="85"/>
        <v>0</v>
      </c>
      <c r="L265" s="13">
        <f t="shared" si="86"/>
        <v>0</v>
      </c>
      <c r="M265" s="13">
        <f t="shared" si="87"/>
        <v>5234722514.9390612</v>
      </c>
      <c r="N265" s="13">
        <f>MAX(0,INT(L265*Parameters!$B$14/Parameters!$B$13/Parameters!$B$12)*Parameters!$B$12)</f>
        <v>0</v>
      </c>
      <c r="O265" s="13">
        <f>MAX(0,INT(M265*Parameters!$B$14/Parameters!$B$13/Parameters!$B$12)*Parameters!$B$12)</f>
        <v>3489814955</v>
      </c>
      <c r="P265" s="13">
        <f>N265*Parameters!$B$13*'H237 Tracker'!B265</f>
        <v>0</v>
      </c>
      <c r="Q265" s="13">
        <f>O265*Parameters!$B$13*'H237 Tracker'!C265</f>
        <v>-291050567.24699998</v>
      </c>
      <c r="R265" s="13">
        <f t="shared" si="97"/>
        <v>0</v>
      </c>
      <c r="S265" s="13">
        <f t="shared" si="98"/>
        <v>3350301777.111001</v>
      </c>
      <c r="T265" s="13">
        <f t="shared" si="88"/>
        <v>0</v>
      </c>
      <c r="U265" s="13">
        <f t="shared" si="89"/>
        <v>4943671947.6920614</v>
      </c>
      <c r="V265" s="12">
        <f t="shared" si="90"/>
        <v>0</v>
      </c>
      <c r="W265" t="str">
        <f>'H237 Tracker'!I265</f>
        <v>B</v>
      </c>
      <c r="X265">
        <f>'H237 Tracker'!J265</f>
        <v>32</v>
      </c>
      <c r="Y265" t="str">
        <f>'H237 Tracker'!K265</f>
        <v>B</v>
      </c>
      <c r="Z265" s="12">
        <f>'H237 Tracker'!O265</f>
        <v>0</v>
      </c>
      <c r="AA265" s="13">
        <f>'H237 Tracker'!P265</f>
        <v>0</v>
      </c>
      <c r="AB265" s="13">
        <f>'H237 Tracker'!Q265</f>
        <v>0</v>
      </c>
      <c r="AC265" s="13">
        <f t="shared" si="91"/>
        <v>0</v>
      </c>
      <c r="AD265" s="13">
        <f t="shared" si="92"/>
        <v>4943671947.6920614</v>
      </c>
      <c r="AE265" s="13">
        <f t="shared" si="93"/>
        <v>4943671947.6920614</v>
      </c>
      <c r="AF265" s="13">
        <f t="shared" si="99"/>
        <v>6405071522.0360613</v>
      </c>
      <c r="AG265" s="24">
        <f t="shared" si="94"/>
        <v>-0.22816288144733254</v>
      </c>
      <c r="AH265" s="8">
        <f>--(COUNTIF('Tax Events'!$A$4:$A$8,A265)&gt;0)</f>
        <v>0</v>
      </c>
      <c r="AI265" s="8">
        <f>--(COUNTIF('Tax Events'!$B$4:$B$9,A265)&gt;0)</f>
        <v>0</v>
      </c>
    </row>
    <row r="266" spans="1:35">
      <c r="A266" s="4">
        <f>'H237 Tracker'!A266</f>
        <v>45040</v>
      </c>
      <c r="B266" s="13">
        <f t="shared" si="95"/>
        <v>0</v>
      </c>
      <c r="C266" s="13">
        <f t="shared" si="96"/>
        <v>4943671947.6920614</v>
      </c>
      <c r="D266" s="13">
        <f t="shared" si="80"/>
        <v>0</v>
      </c>
      <c r="E266" s="13">
        <f t="shared" si="81"/>
        <v>4943671947.6920614</v>
      </c>
      <c r="F266" s="13">
        <f>IF(AH266=1,MAX(R265,0)*Parameters!$B$11,0)</f>
        <v>0</v>
      </c>
      <c r="G266" s="13">
        <f>IF(AI266=1,MAX(S265,0)*Parameters!$B$11,0)</f>
        <v>0</v>
      </c>
      <c r="H266" s="13">
        <f t="shared" si="82"/>
        <v>0</v>
      </c>
      <c r="I266" s="13">
        <f t="shared" si="83"/>
        <v>4943671947.6920614</v>
      </c>
      <c r="J266" s="13">
        <f t="shared" si="84"/>
        <v>0</v>
      </c>
      <c r="K266" s="13">
        <f t="shared" si="85"/>
        <v>0</v>
      </c>
      <c r="L266" s="13">
        <f t="shared" si="86"/>
        <v>0</v>
      </c>
      <c r="M266" s="13">
        <f t="shared" si="87"/>
        <v>4943671947.6920614</v>
      </c>
      <c r="N266" s="13">
        <f>MAX(0,INT(L266*Parameters!$B$14/Parameters!$B$13/Parameters!$B$12)*Parameters!$B$12)</f>
        <v>0</v>
      </c>
      <c r="O266" s="13">
        <f>MAX(0,INT(M266*Parameters!$B$14/Parameters!$B$13/Parameters!$B$12)*Parameters!$B$12)</f>
        <v>3295781205</v>
      </c>
      <c r="P266" s="13">
        <f>N266*Parameters!$B$13*'H237 Tracker'!B266</f>
        <v>0</v>
      </c>
      <c r="Q266" s="13">
        <f>O266*Parameters!$B$13*'H237 Tracker'!C266</f>
        <v>-537871492.65600002</v>
      </c>
      <c r="R266" s="13">
        <f t="shared" si="97"/>
        <v>0</v>
      </c>
      <c r="S266" s="13">
        <f t="shared" si="98"/>
        <v>2812430284.4550009</v>
      </c>
      <c r="T266" s="13">
        <f t="shared" si="88"/>
        <v>0</v>
      </c>
      <c r="U266" s="13">
        <f t="shared" si="89"/>
        <v>4405800455.0360613</v>
      </c>
      <c r="V266" s="12">
        <f t="shared" si="90"/>
        <v>0</v>
      </c>
      <c r="W266" t="str">
        <f>'H237 Tracker'!I266</f>
        <v>B</v>
      </c>
      <c r="X266">
        <f>'H237 Tracker'!J266</f>
        <v>33</v>
      </c>
      <c r="Y266" t="str">
        <f>'H237 Tracker'!K266</f>
        <v>B</v>
      </c>
      <c r="Z266" s="12">
        <f>'H237 Tracker'!O266</f>
        <v>0</v>
      </c>
      <c r="AA266" s="13">
        <f>'H237 Tracker'!P266</f>
        <v>0</v>
      </c>
      <c r="AB266" s="13">
        <f>'H237 Tracker'!Q266</f>
        <v>0</v>
      </c>
      <c r="AC266" s="13">
        <f t="shared" si="91"/>
        <v>0</v>
      </c>
      <c r="AD266" s="13">
        <f t="shared" si="92"/>
        <v>4405800455.0360613</v>
      </c>
      <c r="AE266" s="13">
        <f t="shared" si="93"/>
        <v>4405800455.0360613</v>
      </c>
      <c r="AF266" s="13">
        <f t="shared" si="99"/>
        <v>6405071522.0360613</v>
      </c>
      <c r="AG266" s="24">
        <f t="shared" si="94"/>
        <v>-0.31213875756448484</v>
      </c>
      <c r="AH266" s="8">
        <f>--(COUNTIF('Tax Events'!$A$4:$A$8,A266)&gt;0)</f>
        <v>0</v>
      </c>
      <c r="AI266" s="8">
        <f>--(COUNTIF('Tax Events'!$B$4:$B$9,A266)&gt;0)</f>
        <v>0</v>
      </c>
    </row>
    <row r="267" spans="1:35">
      <c r="A267" s="4">
        <f>'H237 Tracker'!A267</f>
        <v>45047</v>
      </c>
      <c r="B267" s="13">
        <f t="shared" si="95"/>
        <v>0</v>
      </c>
      <c r="C267" s="13">
        <f t="shared" si="96"/>
        <v>4405800455.0360613</v>
      </c>
      <c r="D267" s="13">
        <f t="shared" si="80"/>
        <v>0</v>
      </c>
      <c r="E267" s="13">
        <f t="shared" si="81"/>
        <v>4405800455.0360613</v>
      </c>
      <c r="F267" s="13">
        <f>IF(AH267=1,MAX(R266,0)*Parameters!$B$11,0)</f>
        <v>0</v>
      </c>
      <c r="G267" s="13">
        <f>IF(AI267=1,MAX(S266,0)*Parameters!$B$11,0)</f>
        <v>0</v>
      </c>
      <c r="H267" s="13">
        <f t="shared" si="82"/>
        <v>0</v>
      </c>
      <c r="I267" s="13">
        <f t="shared" si="83"/>
        <v>4405800455.0360613</v>
      </c>
      <c r="J267" s="13">
        <f t="shared" si="84"/>
        <v>0</v>
      </c>
      <c r="K267" s="13">
        <f t="shared" si="85"/>
        <v>0</v>
      </c>
      <c r="L267" s="13">
        <f t="shared" si="86"/>
        <v>0</v>
      </c>
      <c r="M267" s="13">
        <f t="shared" si="87"/>
        <v>4405800455.0360613</v>
      </c>
      <c r="N267" s="13">
        <f>MAX(0,INT(L267*Parameters!$B$14/Parameters!$B$13/Parameters!$B$12)*Parameters!$B$12)</f>
        <v>0</v>
      </c>
      <c r="O267" s="13">
        <f>MAX(0,INT(M267*Parameters!$B$14/Parameters!$B$13/Parameters!$B$12)*Parameters!$B$12)</f>
        <v>2937200280</v>
      </c>
      <c r="P267" s="13">
        <f>N267*Parameters!$B$13*'H237 Tracker'!B267</f>
        <v>0</v>
      </c>
      <c r="Q267" s="13">
        <f>O267*Parameters!$B$13*'H237 Tracker'!C267</f>
        <v>-234976022.40000001</v>
      </c>
      <c r="R267" s="13">
        <f t="shared" si="97"/>
        <v>0</v>
      </c>
      <c r="S267" s="13">
        <f t="shared" si="98"/>
        <v>2577454262.0550008</v>
      </c>
      <c r="T267" s="13">
        <f t="shared" si="88"/>
        <v>0</v>
      </c>
      <c r="U267" s="13">
        <f t="shared" si="89"/>
        <v>4170824432.6360612</v>
      </c>
      <c r="V267" s="12">
        <f t="shared" si="90"/>
        <v>0</v>
      </c>
      <c r="W267" t="str">
        <f>'H237 Tracker'!I267</f>
        <v>B</v>
      </c>
      <c r="X267">
        <f>'H237 Tracker'!J267</f>
        <v>34</v>
      </c>
      <c r="Y267" t="str">
        <f>'H237 Tracker'!K267</f>
        <v>B</v>
      </c>
      <c r="Z267" s="12">
        <f>'H237 Tracker'!O267</f>
        <v>0</v>
      </c>
      <c r="AA267" s="13">
        <f>'H237 Tracker'!P267</f>
        <v>0</v>
      </c>
      <c r="AB267" s="13">
        <f>'H237 Tracker'!Q267</f>
        <v>0</v>
      </c>
      <c r="AC267" s="13">
        <f t="shared" si="91"/>
        <v>0</v>
      </c>
      <c r="AD267" s="13">
        <f t="shared" si="92"/>
        <v>4170824432.6360612</v>
      </c>
      <c r="AE267" s="13">
        <f t="shared" si="93"/>
        <v>4170824432.6360612</v>
      </c>
      <c r="AF267" s="13">
        <f t="shared" si="99"/>
        <v>6405071522.0360613</v>
      </c>
      <c r="AG267" s="24">
        <f t="shared" si="94"/>
        <v>-0.34882469020264295</v>
      </c>
      <c r="AH267" s="8">
        <f>--(COUNTIF('Tax Events'!$A$4:$A$8,A267)&gt;0)</f>
        <v>0</v>
      </c>
      <c r="AI267" s="8">
        <f>--(COUNTIF('Tax Events'!$B$4:$B$9,A267)&gt;0)</f>
        <v>0</v>
      </c>
    </row>
    <row r="268" spans="1:35">
      <c r="A268" s="4">
        <f>'H237 Tracker'!A268</f>
        <v>45054</v>
      </c>
      <c r="B268" s="13">
        <f t="shared" si="95"/>
        <v>0</v>
      </c>
      <c r="C268" s="13">
        <f t="shared" si="96"/>
        <v>4170824432.6360612</v>
      </c>
      <c r="D268" s="13">
        <f t="shared" si="80"/>
        <v>0</v>
      </c>
      <c r="E268" s="13">
        <f t="shared" si="81"/>
        <v>4170824432.6360612</v>
      </c>
      <c r="F268" s="13">
        <f>IF(AH268=1,MAX(R267,0)*Parameters!$B$11,0)</f>
        <v>0</v>
      </c>
      <c r="G268" s="13">
        <f>IF(AI268=1,MAX(S267,0)*Parameters!$B$11,0)</f>
        <v>0</v>
      </c>
      <c r="H268" s="13">
        <f t="shared" si="82"/>
        <v>0</v>
      </c>
      <c r="I268" s="13">
        <f t="shared" si="83"/>
        <v>4170824432.6360612</v>
      </c>
      <c r="J268" s="13">
        <f t="shared" si="84"/>
        <v>0</v>
      </c>
      <c r="K268" s="13">
        <f t="shared" si="85"/>
        <v>0</v>
      </c>
      <c r="L268" s="13">
        <f t="shared" si="86"/>
        <v>0</v>
      </c>
      <c r="M268" s="13">
        <f t="shared" si="87"/>
        <v>4170824432.6360612</v>
      </c>
      <c r="N268" s="13">
        <f>MAX(0,INT(L268*Parameters!$B$14/Parameters!$B$13/Parameters!$B$12)*Parameters!$B$12)</f>
        <v>0</v>
      </c>
      <c r="O268" s="13">
        <f>MAX(0,INT(M268*Parameters!$B$14/Parameters!$B$13/Parameters!$B$12)*Parameters!$B$12)</f>
        <v>2780549580</v>
      </c>
      <c r="P268" s="13">
        <f>N268*Parameters!$B$13*'H237 Tracker'!B268</f>
        <v>0</v>
      </c>
      <c r="Q268" s="13">
        <f>O268*Parameters!$B$13*'H237 Tracker'!C268</f>
        <v>431541294.81600004</v>
      </c>
      <c r="R268" s="13">
        <f t="shared" si="97"/>
        <v>0</v>
      </c>
      <c r="S268" s="13">
        <f t="shared" si="98"/>
        <v>3008995556.8710008</v>
      </c>
      <c r="T268" s="13">
        <f t="shared" si="88"/>
        <v>0</v>
      </c>
      <c r="U268" s="13">
        <f t="shared" si="89"/>
        <v>4602365727.4520617</v>
      </c>
      <c r="V268" s="12">
        <f t="shared" si="90"/>
        <v>0</v>
      </c>
      <c r="W268" t="str">
        <f>'H237 Tracker'!I268</f>
        <v>B</v>
      </c>
      <c r="X268">
        <f>'H237 Tracker'!J268</f>
        <v>35</v>
      </c>
      <c r="Y268" t="str">
        <f>'H237 Tracker'!K268</f>
        <v>B</v>
      </c>
      <c r="Z268" s="12">
        <f>'H237 Tracker'!O268</f>
        <v>0</v>
      </c>
      <c r="AA268" s="13">
        <f>'H237 Tracker'!P268</f>
        <v>0</v>
      </c>
      <c r="AB268" s="13">
        <f>'H237 Tracker'!Q268</f>
        <v>0</v>
      </c>
      <c r="AC268" s="13">
        <f t="shared" si="91"/>
        <v>0</v>
      </c>
      <c r="AD268" s="13">
        <f t="shared" si="92"/>
        <v>4602365727.4520617</v>
      </c>
      <c r="AE268" s="13">
        <f t="shared" si="93"/>
        <v>4602365727.4520617</v>
      </c>
      <c r="AF268" s="13">
        <f t="shared" si="99"/>
        <v>6405071522.0360613</v>
      </c>
      <c r="AG268" s="24">
        <f t="shared" si="94"/>
        <v>-0.28144975249409088</v>
      </c>
      <c r="AH268" s="8">
        <f>--(COUNTIF('Tax Events'!$A$4:$A$8,A268)&gt;0)</f>
        <v>0</v>
      </c>
      <c r="AI268" s="8">
        <f>--(COUNTIF('Tax Events'!$B$4:$B$9,A268)&gt;0)</f>
        <v>0</v>
      </c>
    </row>
    <row r="269" spans="1:35">
      <c r="A269" s="4">
        <f>'H237 Tracker'!A269</f>
        <v>45061</v>
      </c>
      <c r="B269" s="13">
        <f t="shared" si="95"/>
        <v>0</v>
      </c>
      <c r="C269" s="13">
        <f t="shared" si="96"/>
        <v>4602365727.4520617</v>
      </c>
      <c r="D269" s="13">
        <f t="shared" si="80"/>
        <v>0</v>
      </c>
      <c r="E269" s="13">
        <f t="shared" si="81"/>
        <v>4602365727.4520617</v>
      </c>
      <c r="F269" s="13">
        <f>IF(AH269=1,MAX(R268,0)*Parameters!$B$11,0)</f>
        <v>0</v>
      </c>
      <c r="G269" s="13">
        <f>IF(AI269=1,MAX(S268,0)*Parameters!$B$11,0)</f>
        <v>0</v>
      </c>
      <c r="H269" s="13">
        <f t="shared" si="82"/>
        <v>0</v>
      </c>
      <c r="I269" s="13">
        <f t="shared" si="83"/>
        <v>4602365727.4520617</v>
      </c>
      <c r="J269" s="13">
        <f t="shared" si="84"/>
        <v>0</v>
      </c>
      <c r="K269" s="13">
        <f t="shared" si="85"/>
        <v>0</v>
      </c>
      <c r="L269" s="13">
        <f t="shared" si="86"/>
        <v>0</v>
      </c>
      <c r="M269" s="13">
        <f t="shared" si="87"/>
        <v>4602365727.4520617</v>
      </c>
      <c r="N269" s="13">
        <f>MAX(0,INT(L269*Parameters!$B$14/Parameters!$B$13/Parameters!$B$12)*Parameters!$B$12)</f>
        <v>0</v>
      </c>
      <c r="O269" s="13">
        <f>MAX(0,INT(M269*Parameters!$B$14/Parameters!$B$13/Parameters!$B$12)*Parameters!$B$12)</f>
        <v>3068243815</v>
      </c>
      <c r="P269" s="13">
        <f>N269*Parameters!$B$13*'H237 Tracker'!B269</f>
        <v>0</v>
      </c>
      <c r="Q269" s="13">
        <f>O269*Parameters!$B$13*'H237 Tracker'!C269</f>
        <v>2042223083.2639999</v>
      </c>
      <c r="R269" s="13">
        <f t="shared" si="97"/>
        <v>0</v>
      </c>
      <c r="S269" s="13">
        <f t="shared" si="98"/>
        <v>5051218640.1350002</v>
      </c>
      <c r="T269" s="13">
        <f t="shared" si="88"/>
        <v>0</v>
      </c>
      <c r="U269" s="13">
        <f t="shared" si="89"/>
        <v>6644588810.7160616</v>
      </c>
      <c r="V269" s="12">
        <f t="shared" si="90"/>
        <v>0</v>
      </c>
      <c r="W269" t="str">
        <f>'H237 Tracker'!I269</f>
        <v>B</v>
      </c>
      <c r="X269">
        <f>'H237 Tracker'!J269</f>
        <v>36</v>
      </c>
      <c r="Y269" t="str">
        <f>'H237 Tracker'!K269</f>
        <v>B</v>
      </c>
      <c r="Z269" s="12">
        <f>'H237 Tracker'!O269</f>
        <v>0</v>
      </c>
      <c r="AA269" s="13">
        <f>'H237 Tracker'!P269</f>
        <v>0</v>
      </c>
      <c r="AB269" s="13">
        <f>'H237 Tracker'!Q269</f>
        <v>0</v>
      </c>
      <c r="AC269" s="13">
        <f t="shared" si="91"/>
        <v>0</v>
      </c>
      <c r="AD269" s="13">
        <f t="shared" si="92"/>
        <v>6644588810.7160616</v>
      </c>
      <c r="AE269" s="13">
        <f t="shared" si="93"/>
        <v>6644588810.7160616</v>
      </c>
      <c r="AF269" s="13">
        <f t="shared" si="99"/>
        <v>6644588810.7160616</v>
      </c>
      <c r="AG269" s="24">
        <f t="shared" si="94"/>
        <v>0</v>
      </c>
      <c r="AH269" s="8">
        <f>--(COUNTIF('Tax Events'!$A$4:$A$8,A269)&gt;0)</f>
        <v>0</v>
      </c>
      <c r="AI269" s="8">
        <f>--(COUNTIF('Tax Events'!$B$4:$B$9,A269)&gt;0)</f>
        <v>0</v>
      </c>
    </row>
    <row r="270" spans="1:35">
      <c r="A270" s="4">
        <f>'H237 Tracker'!A270</f>
        <v>45068</v>
      </c>
      <c r="B270" s="13">
        <f t="shared" si="95"/>
        <v>0</v>
      </c>
      <c r="C270" s="13">
        <f t="shared" si="96"/>
        <v>6644588810.7160616</v>
      </c>
      <c r="D270" s="13">
        <f t="shared" si="80"/>
        <v>0</v>
      </c>
      <c r="E270" s="13">
        <f t="shared" si="81"/>
        <v>6644588810.7160616</v>
      </c>
      <c r="F270" s="13">
        <f>IF(AH270=1,MAX(R269,0)*Parameters!$B$11,0)</f>
        <v>0</v>
      </c>
      <c r="G270" s="13">
        <f>IF(AI270=1,MAX(S269,0)*Parameters!$B$11,0)</f>
        <v>0</v>
      </c>
      <c r="H270" s="13">
        <f t="shared" si="82"/>
        <v>0</v>
      </c>
      <c r="I270" s="13">
        <f t="shared" si="83"/>
        <v>6644588810.7160616</v>
      </c>
      <c r="J270" s="13">
        <f t="shared" si="84"/>
        <v>0</v>
      </c>
      <c r="K270" s="13">
        <f t="shared" si="85"/>
        <v>0</v>
      </c>
      <c r="L270" s="13">
        <f t="shared" si="86"/>
        <v>0</v>
      </c>
      <c r="M270" s="13">
        <f t="shared" si="87"/>
        <v>6644588810.7160616</v>
      </c>
      <c r="N270" s="13">
        <f>MAX(0,INT(L270*Parameters!$B$14/Parameters!$B$13/Parameters!$B$12)*Parameters!$B$12)</f>
        <v>0</v>
      </c>
      <c r="O270" s="13">
        <f>MAX(0,INT(M270*Parameters!$B$14/Parameters!$B$13/Parameters!$B$12)*Parameters!$B$12)</f>
        <v>4429725825</v>
      </c>
      <c r="P270" s="13">
        <f>N270*Parameters!$B$13*'H237 Tracker'!B270</f>
        <v>0</v>
      </c>
      <c r="Q270" s="13">
        <f>O270*Parameters!$B$13*'H237 Tracker'!C270</f>
        <v>238319249.38500002</v>
      </c>
      <c r="R270" s="13">
        <f t="shared" si="97"/>
        <v>0</v>
      </c>
      <c r="S270" s="13">
        <f t="shared" si="98"/>
        <v>5289537889.5200005</v>
      </c>
      <c r="T270" s="13">
        <f t="shared" si="88"/>
        <v>0</v>
      </c>
      <c r="U270" s="13">
        <f t="shared" si="89"/>
        <v>6882908060.1010618</v>
      </c>
      <c r="V270" s="12">
        <f t="shared" si="90"/>
        <v>0</v>
      </c>
      <c r="W270" t="str">
        <f>'H237 Tracker'!I270</f>
        <v>B</v>
      </c>
      <c r="X270">
        <f>'H237 Tracker'!J270</f>
        <v>37</v>
      </c>
      <c r="Y270" t="str">
        <f>'H237 Tracker'!K270</f>
        <v>B</v>
      </c>
      <c r="Z270" s="12">
        <f>'H237 Tracker'!O270</f>
        <v>0</v>
      </c>
      <c r="AA270" s="13">
        <f>'H237 Tracker'!P270</f>
        <v>0</v>
      </c>
      <c r="AB270" s="13">
        <f>'H237 Tracker'!Q270</f>
        <v>0</v>
      </c>
      <c r="AC270" s="13">
        <f t="shared" si="91"/>
        <v>0</v>
      </c>
      <c r="AD270" s="13">
        <f t="shared" si="92"/>
        <v>6882908060.1010618</v>
      </c>
      <c r="AE270" s="13">
        <f t="shared" si="93"/>
        <v>6882908060.1010618</v>
      </c>
      <c r="AF270" s="13">
        <f t="shared" si="99"/>
        <v>6882908060.1010618</v>
      </c>
      <c r="AG270" s="24">
        <f t="shared" si="94"/>
        <v>0</v>
      </c>
      <c r="AH270" s="8">
        <f>--(COUNTIF('Tax Events'!$A$4:$A$8,A270)&gt;0)</f>
        <v>0</v>
      </c>
      <c r="AI270" s="8">
        <f>--(COUNTIF('Tax Events'!$B$4:$B$9,A270)&gt;0)</f>
        <v>0</v>
      </c>
    </row>
    <row r="271" spans="1:35">
      <c r="A271" s="4">
        <f>'H237 Tracker'!A271</f>
        <v>45075</v>
      </c>
      <c r="B271" s="13">
        <f t="shared" si="95"/>
        <v>0</v>
      </c>
      <c r="C271" s="13">
        <f t="shared" si="96"/>
        <v>6882908060.1010618</v>
      </c>
      <c r="D271" s="13">
        <f t="shared" si="80"/>
        <v>0</v>
      </c>
      <c r="E271" s="13">
        <f t="shared" si="81"/>
        <v>6882908060.1010618</v>
      </c>
      <c r="F271" s="13">
        <f>IF(AH271=1,MAX(R270,0)*Parameters!$B$11,0)</f>
        <v>0</v>
      </c>
      <c r="G271" s="13">
        <f>IF(AI271=1,MAX(S270,0)*Parameters!$B$11,0)</f>
        <v>0</v>
      </c>
      <c r="H271" s="13">
        <f t="shared" si="82"/>
        <v>0</v>
      </c>
      <c r="I271" s="13">
        <f t="shared" si="83"/>
        <v>6882908060.1010618</v>
      </c>
      <c r="J271" s="13">
        <f t="shared" si="84"/>
        <v>0</v>
      </c>
      <c r="K271" s="13">
        <f t="shared" si="85"/>
        <v>0</v>
      </c>
      <c r="L271" s="13">
        <f t="shared" si="86"/>
        <v>0</v>
      </c>
      <c r="M271" s="13">
        <f t="shared" si="87"/>
        <v>6882908060.1010618</v>
      </c>
      <c r="N271" s="13">
        <f>MAX(0,INT(L271*Parameters!$B$14/Parameters!$B$13/Parameters!$B$12)*Parameters!$B$12)</f>
        <v>0</v>
      </c>
      <c r="O271" s="13">
        <f>MAX(0,INT(M271*Parameters!$B$14/Parameters!$B$13/Parameters!$B$12)*Parameters!$B$12)</f>
        <v>4588605340</v>
      </c>
      <c r="P271" s="13">
        <f>N271*Parameters!$B$13*'H237 Tracker'!B271</f>
        <v>0</v>
      </c>
      <c r="Q271" s="13">
        <f>O271*Parameters!$B$13*'H237 Tracker'!C271</f>
        <v>-1383005649.4760001</v>
      </c>
      <c r="R271" s="13">
        <f t="shared" si="97"/>
        <v>0</v>
      </c>
      <c r="S271" s="13">
        <f t="shared" si="98"/>
        <v>3906532240.0440006</v>
      </c>
      <c r="T271" s="13">
        <f t="shared" si="88"/>
        <v>0</v>
      </c>
      <c r="U271" s="13">
        <f t="shared" si="89"/>
        <v>5499902410.625062</v>
      </c>
      <c r="V271" s="12">
        <f t="shared" si="90"/>
        <v>0</v>
      </c>
      <c r="W271" t="str">
        <f>'H237 Tracker'!I271</f>
        <v>B</v>
      </c>
      <c r="X271">
        <f>'H237 Tracker'!J271</f>
        <v>38</v>
      </c>
      <c r="Y271" t="str">
        <f>'H237 Tracker'!K271</f>
        <v>B</v>
      </c>
      <c r="Z271" s="12">
        <f>'H237 Tracker'!O271</f>
        <v>0</v>
      </c>
      <c r="AA271" s="13">
        <f>'H237 Tracker'!P271</f>
        <v>0</v>
      </c>
      <c r="AB271" s="13">
        <f>'H237 Tracker'!Q271</f>
        <v>0</v>
      </c>
      <c r="AC271" s="13">
        <f t="shared" si="91"/>
        <v>0</v>
      </c>
      <c r="AD271" s="13">
        <f t="shared" si="92"/>
        <v>5499902410.625062</v>
      </c>
      <c r="AE271" s="13">
        <f t="shared" si="93"/>
        <v>5499902410.625062</v>
      </c>
      <c r="AF271" s="13">
        <f t="shared" si="99"/>
        <v>6882908060.1010618</v>
      </c>
      <c r="AG271" s="24">
        <f t="shared" si="94"/>
        <v>-0.2009333318707287</v>
      </c>
      <c r="AH271" s="8">
        <f>--(COUNTIF('Tax Events'!$A$4:$A$8,A271)&gt;0)</f>
        <v>0</v>
      </c>
      <c r="AI271" s="8">
        <f>--(COUNTIF('Tax Events'!$B$4:$B$9,A271)&gt;0)</f>
        <v>0</v>
      </c>
    </row>
    <row r="272" spans="1:35">
      <c r="A272" s="4">
        <f>'H237 Tracker'!A272</f>
        <v>45082</v>
      </c>
      <c r="B272" s="13">
        <f t="shared" si="95"/>
        <v>0</v>
      </c>
      <c r="C272" s="13">
        <f t="shared" si="96"/>
        <v>5499902410.625062</v>
      </c>
      <c r="D272" s="13">
        <f t="shared" si="80"/>
        <v>0</v>
      </c>
      <c r="E272" s="13">
        <f t="shared" si="81"/>
        <v>5499902410.625062</v>
      </c>
      <c r="F272" s="13">
        <f>IF(AH272=1,MAX(R271,0)*Parameters!$B$11,0)</f>
        <v>0</v>
      </c>
      <c r="G272" s="13">
        <f>IF(AI272=1,MAX(S271,0)*Parameters!$B$11,0)</f>
        <v>0</v>
      </c>
      <c r="H272" s="13">
        <f t="shared" si="82"/>
        <v>0</v>
      </c>
      <c r="I272" s="13">
        <f t="shared" si="83"/>
        <v>5499902410.625062</v>
      </c>
      <c r="J272" s="13">
        <f t="shared" si="84"/>
        <v>0</v>
      </c>
      <c r="K272" s="13">
        <f t="shared" si="85"/>
        <v>0</v>
      </c>
      <c r="L272" s="13">
        <f t="shared" si="86"/>
        <v>0</v>
      </c>
      <c r="M272" s="13">
        <f t="shared" si="87"/>
        <v>5499902410.625062</v>
      </c>
      <c r="N272" s="13">
        <f>MAX(0,INT(L272*Parameters!$B$14/Parameters!$B$13/Parameters!$B$12)*Parameters!$B$12)</f>
        <v>0</v>
      </c>
      <c r="O272" s="13">
        <f>MAX(0,INT(M272*Parameters!$B$14/Parameters!$B$13/Parameters!$B$12)*Parameters!$B$12)</f>
        <v>3666601580</v>
      </c>
      <c r="P272" s="13">
        <f>N272*Parameters!$B$13*'H237 Tracker'!B272</f>
        <v>0</v>
      </c>
      <c r="Q272" s="13">
        <f>O272*Parameters!$B$13*'H237 Tracker'!C272</f>
        <v>-1209245201.0840001</v>
      </c>
      <c r="R272" s="13">
        <f t="shared" si="97"/>
        <v>0</v>
      </c>
      <c r="S272" s="13">
        <f t="shared" si="98"/>
        <v>2697287038.9600005</v>
      </c>
      <c r="T272" s="13">
        <f t="shared" si="88"/>
        <v>0</v>
      </c>
      <c r="U272" s="13">
        <f t="shared" si="89"/>
        <v>4290657209.5410619</v>
      </c>
      <c r="V272" s="12">
        <f t="shared" si="90"/>
        <v>0</v>
      </c>
      <c r="W272" t="str">
        <f>'H237 Tracker'!I272</f>
        <v>B</v>
      </c>
      <c r="X272">
        <f>'H237 Tracker'!J272</f>
        <v>39</v>
      </c>
      <c r="Y272" t="str">
        <f>'H237 Tracker'!K272</f>
        <v>B</v>
      </c>
      <c r="Z272" s="12">
        <f>'H237 Tracker'!O272</f>
        <v>0</v>
      </c>
      <c r="AA272" s="13">
        <f>'H237 Tracker'!P272</f>
        <v>0</v>
      </c>
      <c r="AB272" s="13">
        <f>'H237 Tracker'!Q272</f>
        <v>0</v>
      </c>
      <c r="AC272" s="13">
        <f t="shared" si="91"/>
        <v>0</v>
      </c>
      <c r="AD272" s="13">
        <f t="shared" si="92"/>
        <v>4290657209.5410619</v>
      </c>
      <c r="AE272" s="13">
        <f t="shared" si="93"/>
        <v>4290657209.5410619</v>
      </c>
      <c r="AF272" s="13">
        <f t="shared" si="99"/>
        <v>6882908060.1010618</v>
      </c>
      <c r="AG272" s="24">
        <f t="shared" si="94"/>
        <v>-0.3766214553390298</v>
      </c>
      <c r="AH272" s="8">
        <f>--(COUNTIF('Tax Events'!$A$4:$A$8,A272)&gt;0)</f>
        <v>0</v>
      </c>
      <c r="AI272" s="8">
        <f>--(COUNTIF('Tax Events'!$B$4:$B$9,A272)&gt;0)</f>
        <v>0</v>
      </c>
    </row>
    <row r="273" spans="1:35">
      <c r="A273" s="4">
        <f>'H237 Tracker'!A273</f>
        <v>45089</v>
      </c>
      <c r="B273" s="13">
        <f t="shared" si="95"/>
        <v>0</v>
      </c>
      <c r="C273" s="13">
        <f t="shared" si="96"/>
        <v>4290657209.5410619</v>
      </c>
      <c r="D273" s="13">
        <f t="shared" si="80"/>
        <v>0</v>
      </c>
      <c r="E273" s="13">
        <f t="shared" si="81"/>
        <v>4290657209.5410619</v>
      </c>
      <c r="F273" s="13">
        <f>IF(AH273=1,MAX(R272,0)*Parameters!$B$11,0)</f>
        <v>0</v>
      </c>
      <c r="G273" s="13">
        <f>IF(AI273=1,MAX(S272,0)*Parameters!$B$11,0)</f>
        <v>0</v>
      </c>
      <c r="H273" s="13">
        <f t="shared" si="82"/>
        <v>0</v>
      </c>
      <c r="I273" s="13">
        <f t="shared" si="83"/>
        <v>4290657209.5410619</v>
      </c>
      <c r="J273" s="13">
        <f t="shared" si="84"/>
        <v>0</v>
      </c>
      <c r="K273" s="13">
        <f t="shared" si="85"/>
        <v>0</v>
      </c>
      <c r="L273" s="13">
        <f t="shared" si="86"/>
        <v>0</v>
      </c>
      <c r="M273" s="13">
        <f t="shared" si="87"/>
        <v>4290657209.5410619</v>
      </c>
      <c r="N273" s="13">
        <f>MAX(0,INT(L273*Parameters!$B$14/Parameters!$B$13/Parameters!$B$12)*Parameters!$B$12)</f>
        <v>0</v>
      </c>
      <c r="O273" s="13">
        <f>MAX(0,INT(M273*Parameters!$B$14/Parameters!$B$13/Parameters!$B$12)*Parameters!$B$12)</f>
        <v>2860438125</v>
      </c>
      <c r="P273" s="13">
        <f>N273*Parameters!$B$13*'H237 Tracker'!B273</f>
        <v>0</v>
      </c>
      <c r="Q273" s="13">
        <f>O273*Parameters!$B$13*'H237 Tracker'!C273</f>
        <v>736276773.375</v>
      </c>
      <c r="R273" s="13">
        <f t="shared" si="97"/>
        <v>0</v>
      </c>
      <c r="S273" s="13">
        <f t="shared" si="98"/>
        <v>3433563812.3350005</v>
      </c>
      <c r="T273" s="13">
        <f t="shared" si="88"/>
        <v>0</v>
      </c>
      <c r="U273" s="13">
        <f t="shared" si="89"/>
        <v>5026933982.9160614</v>
      </c>
      <c r="V273" s="12">
        <f t="shared" si="90"/>
        <v>0</v>
      </c>
      <c r="W273" t="str">
        <f>'H237 Tracker'!I273</f>
        <v>B</v>
      </c>
      <c r="X273">
        <f>'H237 Tracker'!J273</f>
        <v>40</v>
      </c>
      <c r="Y273" t="str">
        <f>'H237 Tracker'!K273</f>
        <v>B</v>
      </c>
      <c r="Z273" s="12">
        <f>'H237 Tracker'!O273</f>
        <v>0</v>
      </c>
      <c r="AA273" s="13">
        <f>'H237 Tracker'!P273</f>
        <v>0</v>
      </c>
      <c r="AB273" s="13">
        <f>'H237 Tracker'!Q273</f>
        <v>0</v>
      </c>
      <c r="AC273" s="13">
        <f t="shared" si="91"/>
        <v>0</v>
      </c>
      <c r="AD273" s="13">
        <f t="shared" si="92"/>
        <v>5026933982.9160614</v>
      </c>
      <c r="AE273" s="13">
        <f t="shared" si="93"/>
        <v>5026933982.9160614</v>
      </c>
      <c r="AF273" s="13">
        <f t="shared" si="99"/>
        <v>6882908060.1010618</v>
      </c>
      <c r="AG273" s="24">
        <f t="shared" si="94"/>
        <v>-0.26964969762472013</v>
      </c>
      <c r="AH273" s="8">
        <f>--(COUNTIF('Tax Events'!$A$4:$A$8,A273)&gt;0)</f>
        <v>0</v>
      </c>
      <c r="AI273" s="8">
        <f>--(COUNTIF('Tax Events'!$B$4:$B$9,A273)&gt;0)</f>
        <v>0</v>
      </c>
    </row>
    <row r="274" spans="1:35">
      <c r="A274" s="4">
        <f>'H237 Tracker'!A274</f>
        <v>45096</v>
      </c>
      <c r="B274" s="13">
        <f t="shared" si="95"/>
        <v>0</v>
      </c>
      <c r="C274" s="13">
        <f t="shared" si="96"/>
        <v>5026933982.9160614</v>
      </c>
      <c r="D274" s="13">
        <f t="shared" si="80"/>
        <v>0</v>
      </c>
      <c r="E274" s="13">
        <f t="shared" si="81"/>
        <v>5026933982.9160614</v>
      </c>
      <c r="F274" s="13">
        <f>IF(AH274=1,MAX(R273,0)*Parameters!$B$11,0)</f>
        <v>0</v>
      </c>
      <c r="G274" s="13">
        <f>IF(AI274=1,MAX(S273,0)*Parameters!$B$11,0)</f>
        <v>0</v>
      </c>
      <c r="H274" s="13">
        <f t="shared" si="82"/>
        <v>0</v>
      </c>
      <c r="I274" s="13">
        <f t="shared" si="83"/>
        <v>5026933982.9160614</v>
      </c>
      <c r="J274" s="13">
        <f t="shared" si="84"/>
        <v>0</v>
      </c>
      <c r="K274" s="13">
        <f t="shared" si="85"/>
        <v>0</v>
      </c>
      <c r="L274" s="13">
        <f t="shared" si="86"/>
        <v>0</v>
      </c>
      <c r="M274" s="13">
        <f t="shared" si="87"/>
        <v>5026933982.9160614</v>
      </c>
      <c r="N274" s="13">
        <f>MAX(0,INT(L274*Parameters!$B$14/Parameters!$B$13/Parameters!$B$12)*Parameters!$B$12)</f>
        <v>0</v>
      </c>
      <c r="O274" s="13">
        <f>MAX(0,INT(M274*Parameters!$B$14/Parameters!$B$13/Parameters!$B$12)*Parameters!$B$12)</f>
        <v>3351289290</v>
      </c>
      <c r="P274" s="13">
        <f>N274*Parameters!$B$13*'H237 Tracker'!B274</f>
        <v>0</v>
      </c>
      <c r="Q274" s="13">
        <f>O274*Parameters!$B$13*'H237 Tracker'!C274</f>
        <v>-751359058.81799996</v>
      </c>
      <c r="R274" s="13">
        <f t="shared" si="97"/>
        <v>0</v>
      </c>
      <c r="S274" s="13">
        <f t="shared" si="98"/>
        <v>2682204753.5170007</v>
      </c>
      <c r="T274" s="13">
        <f t="shared" si="88"/>
        <v>0</v>
      </c>
      <c r="U274" s="13">
        <f t="shared" si="89"/>
        <v>4275574924.0980616</v>
      </c>
      <c r="V274" s="12">
        <f t="shared" si="90"/>
        <v>0</v>
      </c>
      <c r="W274" t="str">
        <f>'H237 Tracker'!I274</f>
        <v>B</v>
      </c>
      <c r="X274">
        <f>'H237 Tracker'!J274</f>
        <v>41</v>
      </c>
      <c r="Y274" t="str">
        <f>'H237 Tracker'!K274</f>
        <v>B</v>
      </c>
      <c r="Z274" s="12">
        <f>'H237 Tracker'!O274</f>
        <v>0</v>
      </c>
      <c r="AA274" s="13">
        <f>'H237 Tracker'!P274</f>
        <v>0</v>
      </c>
      <c r="AB274" s="13">
        <f>'H237 Tracker'!Q274</f>
        <v>0</v>
      </c>
      <c r="AC274" s="13">
        <f t="shared" si="91"/>
        <v>0</v>
      </c>
      <c r="AD274" s="13">
        <f t="shared" si="92"/>
        <v>4275574924.0980616</v>
      </c>
      <c r="AE274" s="13">
        <f t="shared" si="93"/>
        <v>4275574924.0980616</v>
      </c>
      <c r="AF274" s="13">
        <f t="shared" si="99"/>
        <v>6882908060.1010618</v>
      </c>
      <c r="AG274" s="24">
        <f t="shared" si="94"/>
        <v>-0.37881272177921799</v>
      </c>
      <c r="AH274" s="8">
        <f>--(COUNTIF('Tax Events'!$A$4:$A$8,A274)&gt;0)</f>
        <v>0</v>
      </c>
      <c r="AI274" s="8">
        <f>--(COUNTIF('Tax Events'!$B$4:$B$9,A274)&gt;0)</f>
        <v>0</v>
      </c>
    </row>
    <row r="275" spans="1:35">
      <c r="A275" s="4">
        <f>'H237 Tracker'!A275</f>
        <v>45103</v>
      </c>
      <c r="B275" s="13">
        <f t="shared" si="95"/>
        <v>0</v>
      </c>
      <c r="C275" s="13">
        <f t="shared" si="96"/>
        <v>4275574924.0980616</v>
      </c>
      <c r="D275" s="13">
        <f t="shared" si="80"/>
        <v>0</v>
      </c>
      <c r="E275" s="13">
        <f t="shared" si="81"/>
        <v>4275574924.0980616</v>
      </c>
      <c r="F275" s="13">
        <f>IF(AH275=1,MAX(R274,0)*Parameters!$B$11,0)</f>
        <v>0</v>
      </c>
      <c r="G275" s="13">
        <f>IF(AI275=1,MAX(S274,0)*Parameters!$B$11,0)</f>
        <v>0</v>
      </c>
      <c r="H275" s="13">
        <f t="shared" si="82"/>
        <v>0</v>
      </c>
      <c r="I275" s="13">
        <f t="shared" si="83"/>
        <v>4275574924.0980616</v>
      </c>
      <c r="J275" s="13">
        <f t="shared" si="84"/>
        <v>0</v>
      </c>
      <c r="K275" s="13">
        <f t="shared" si="85"/>
        <v>0</v>
      </c>
      <c r="L275" s="13">
        <f t="shared" si="86"/>
        <v>0</v>
      </c>
      <c r="M275" s="13">
        <f t="shared" si="87"/>
        <v>4275574924.0980616</v>
      </c>
      <c r="N275" s="13">
        <f>MAX(0,INT(L275*Parameters!$B$14/Parameters!$B$13/Parameters!$B$12)*Parameters!$B$12)</f>
        <v>0</v>
      </c>
      <c r="O275" s="13">
        <f>MAX(0,INT(M275*Parameters!$B$14/Parameters!$B$13/Parameters!$B$12)*Parameters!$B$12)</f>
        <v>2850383215</v>
      </c>
      <c r="P275" s="13">
        <f>N275*Parameters!$B$13*'H237 Tracker'!B275</f>
        <v>0</v>
      </c>
      <c r="Q275" s="13">
        <f>O275*Parameters!$B$13*'H237 Tracker'!C275</f>
        <v>1096827461.132</v>
      </c>
      <c r="R275" s="13">
        <f t="shared" si="97"/>
        <v>0</v>
      </c>
      <c r="S275" s="13">
        <f t="shared" si="98"/>
        <v>3779032214.6490006</v>
      </c>
      <c r="T275" s="13">
        <f t="shared" si="88"/>
        <v>0</v>
      </c>
      <c r="U275" s="13">
        <f t="shared" si="89"/>
        <v>5372402385.2300615</v>
      </c>
      <c r="V275" s="12">
        <f t="shared" si="90"/>
        <v>0</v>
      </c>
      <c r="W275" t="str">
        <f>'H237 Tracker'!I275</f>
        <v>B</v>
      </c>
      <c r="X275">
        <f>'H237 Tracker'!J275</f>
        <v>42</v>
      </c>
      <c r="Y275" t="str">
        <f>'H237 Tracker'!K275</f>
        <v>B</v>
      </c>
      <c r="Z275" s="12">
        <f>'H237 Tracker'!O275</f>
        <v>0</v>
      </c>
      <c r="AA275" s="13">
        <f>'H237 Tracker'!P275</f>
        <v>0</v>
      </c>
      <c r="AB275" s="13">
        <f>'H237 Tracker'!Q275</f>
        <v>0</v>
      </c>
      <c r="AC275" s="13">
        <f t="shared" si="91"/>
        <v>0</v>
      </c>
      <c r="AD275" s="13">
        <f t="shared" si="92"/>
        <v>5372402385.2300615</v>
      </c>
      <c r="AE275" s="13">
        <f t="shared" si="93"/>
        <v>5372402385.2300615</v>
      </c>
      <c r="AF275" s="13">
        <f t="shared" si="99"/>
        <v>6882908060.1010618</v>
      </c>
      <c r="AG275" s="24">
        <f t="shared" si="94"/>
        <v>-0.21945748245964825</v>
      </c>
      <c r="AH275" s="8">
        <f>--(COUNTIF('Tax Events'!$A$4:$A$8,A275)&gt;0)</f>
        <v>0</v>
      </c>
      <c r="AI275" s="8">
        <f>--(COUNTIF('Tax Events'!$B$4:$B$9,A275)&gt;0)</f>
        <v>0</v>
      </c>
    </row>
    <row r="276" spans="1:35">
      <c r="A276" s="4">
        <f>'H237 Tracker'!A276</f>
        <v>45110</v>
      </c>
      <c r="B276" s="13">
        <f t="shared" si="95"/>
        <v>0</v>
      </c>
      <c r="C276" s="13">
        <f t="shared" si="96"/>
        <v>5372402385.2300615</v>
      </c>
      <c r="D276" s="13">
        <f t="shared" si="80"/>
        <v>0</v>
      </c>
      <c r="E276" s="13">
        <f t="shared" si="81"/>
        <v>5372402385.2300615</v>
      </c>
      <c r="F276" s="13">
        <f>IF(AH276=1,MAX(R275,0)*Parameters!$B$11,0)</f>
        <v>0</v>
      </c>
      <c r="G276" s="13">
        <f>IF(AI276=1,MAX(S275,0)*Parameters!$B$11,0)</f>
        <v>0</v>
      </c>
      <c r="H276" s="13">
        <f t="shared" si="82"/>
        <v>0</v>
      </c>
      <c r="I276" s="13">
        <f t="shared" si="83"/>
        <v>5372402385.2300615</v>
      </c>
      <c r="J276" s="13">
        <f t="shared" si="84"/>
        <v>0</v>
      </c>
      <c r="K276" s="13">
        <f t="shared" si="85"/>
        <v>0</v>
      </c>
      <c r="L276" s="13">
        <f t="shared" si="86"/>
        <v>0</v>
      </c>
      <c r="M276" s="13">
        <f t="shared" si="87"/>
        <v>5372402385.2300615</v>
      </c>
      <c r="N276" s="13">
        <f>MAX(0,INT(L276*Parameters!$B$14/Parameters!$B$13/Parameters!$B$12)*Parameters!$B$12)</f>
        <v>0</v>
      </c>
      <c r="O276" s="13">
        <f>MAX(0,INT(M276*Parameters!$B$14/Parameters!$B$13/Parameters!$B$12)*Parameters!$B$12)</f>
        <v>3581601515</v>
      </c>
      <c r="P276" s="13">
        <f>N276*Parameters!$B$13*'H237 Tracker'!B276</f>
        <v>0</v>
      </c>
      <c r="Q276" s="13">
        <f>O276*Parameters!$B$13*'H237 Tracker'!C276</f>
        <v>-297989246.04799998</v>
      </c>
      <c r="R276" s="13">
        <f t="shared" si="97"/>
        <v>0</v>
      </c>
      <c r="S276" s="13">
        <f t="shared" si="98"/>
        <v>3481042968.6010008</v>
      </c>
      <c r="T276" s="13">
        <f t="shared" si="88"/>
        <v>0</v>
      </c>
      <c r="U276" s="13">
        <f t="shared" si="89"/>
        <v>5074413139.1820612</v>
      </c>
      <c r="V276" s="12">
        <f t="shared" si="90"/>
        <v>0</v>
      </c>
      <c r="W276" t="str">
        <f>'H237 Tracker'!I276</f>
        <v>B</v>
      </c>
      <c r="X276">
        <f>'H237 Tracker'!J276</f>
        <v>43</v>
      </c>
      <c r="Y276" t="str">
        <f>'H237 Tracker'!K276</f>
        <v>B</v>
      </c>
      <c r="Z276" s="12">
        <f>'H237 Tracker'!O276</f>
        <v>0</v>
      </c>
      <c r="AA276" s="13">
        <f>'H237 Tracker'!P276</f>
        <v>0</v>
      </c>
      <c r="AB276" s="13">
        <f>'H237 Tracker'!Q276</f>
        <v>0</v>
      </c>
      <c r="AC276" s="13">
        <f t="shared" si="91"/>
        <v>0</v>
      </c>
      <c r="AD276" s="13">
        <f t="shared" si="92"/>
        <v>5074413139.1820612</v>
      </c>
      <c r="AE276" s="13">
        <f t="shared" si="93"/>
        <v>5074413139.1820612</v>
      </c>
      <c r="AF276" s="13">
        <f t="shared" si="99"/>
        <v>6882908060.1010618</v>
      </c>
      <c r="AG276" s="24">
        <f t="shared" si="94"/>
        <v>-0.26275157319077225</v>
      </c>
      <c r="AH276" s="8">
        <f>--(COUNTIF('Tax Events'!$A$4:$A$8,A276)&gt;0)</f>
        <v>0</v>
      </c>
      <c r="AI276" s="8">
        <f>--(COUNTIF('Tax Events'!$B$4:$B$9,A276)&gt;0)</f>
        <v>0</v>
      </c>
    </row>
    <row r="277" spans="1:35">
      <c r="A277" s="4">
        <f>'H237 Tracker'!A277</f>
        <v>45117</v>
      </c>
      <c r="B277" s="13">
        <f t="shared" si="95"/>
        <v>0</v>
      </c>
      <c r="C277" s="13">
        <f t="shared" si="96"/>
        <v>5074413139.1820612</v>
      </c>
      <c r="D277" s="13">
        <f t="shared" si="80"/>
        <v>0</v>
      </c>
      <c r="E277" s="13">
        <f t="shared" si="81"/>
        <v>5074413139.1820612</v>
      </c>
      <c r="F277" s="13">
        <f>IF(AH277=1,MAX(R276,0)*Parameters!$B$11,0)</f>
        <v>0</v>
      </c>
      <c r="G277" s="13">
        <f>IF(AI277=1,MAX(S276,0)*Parameters!$B$11,0)</f>
        <v>0</v>
      </c>
      <c r="H277" s="13">
        <f t="shared" si="82"/>
        <v>0</v>
      </c>
      <c r="I277" s="13">
        <f t="shared" si="83"/>
        <v>5074413139.1820612</v>
      </c>
      <c r="J277" s="13">
        <f t="shared" si="84"/>
        <v>0</v>
      </c>
      <c r="K277" s="13">
        <f t="shared" si="85"/>
        <v>0</v>
      </c>
      <c r="L277" s="13">
        <f t="shared" si="86"/>
        <v>0</v>
      </c>
      <c r="M277" s="13">
        <f t="shared" si="87"/>
        <v>5074413139.1820612</v>
      </c>
      <c r="N277" s="13">
        <f>MAX(0,INT(L277*Parameters!$B$14/Parameters!$B$13/Parameters!$B$12)*Parameters!$B$12)</f>
        <v>0</v>
      </c>
      <c r="O277" s="13">
        <f>MAX(0,INT(M277*Parameters!$B$14/Parameters!$B$13/Parameters!$B$12)*Parameters!$B$12)</f>
        <v>3382942005</v>
      </c>
      <c r="P277" s="13">
        <f>N277*Parameters!$B$13*'H237 Tracker'!B277</f>
        <v>0</v>
      </c>
      <c r="Q277" s="13">
        <f>O277*Parameters!$B$13*'H237 Tracker'!C277</f>
        <v>2430982124.7929997</v>
      </c>
      <c r="R277" s="13">
        <f t="shared" si="97"/>
        <v>0</v>
      </c>
      <c r="S277" s="13">
        <f t="shared" si="98"/>
        <v>5912025093.394001</v>
      </c>
      <c r="T277" s="13">
        <f t="shared" si="88"/>
        <v>0</v>
      </c>
      <c r="U277" s="13">
        <f t="shared" si="89"/>
        <v>7505395263.9750614</v>
      </c>
      <c r="V277" s="12">
        <f t="shared" si="90"/>
        <v>0</v>
      </c>
      <c r="W277" t="str">
        <f>'H237 Tracker'!I277</f>
        <v>B</v>
      </c>
      <c r="X277">
        <f>'H237 Tracker'!J277</f>
        <v>44</v>
      </c>
      <c r="Y277" t="str">
        <f>'H237 Tracker'!K277</f>
        <v>B</v>
      </c>
      <c r="Z277" s="12">
        <f>'H237 Tracker'!O277</f>
        <v>0</v>
      </c>
      <c r="AA277" s="13">
        <f>'H237 Tracker'!P277</f>
        <v>0</v>
      </c>
      <c r="AB277" s="13">
        <f>'H237 Tracker'!Q277</f>
        <v>0</v>
      </c>
      <c r="AC277" s="13">
        <f t="shared" si="91"/>
        <v>0</v>
      </c>
      <c r="AD277" s="13">
        <f t="shared" si="92"/>
        <v>7505395263.9750614</v>
      </c>
      <c r="AE277" s="13">
        <f t="shared" si="93"/>
        <v>7505395263.9750614</v>
      </c>
      <c r="AF277" s="13">
        <f t="shared" si="99"/>
        <v>7505395263.9750614</v>
      </c>
      <c r="AG277" s="24">
        <f t="shared" si="94"/>
        <v>0</v>
      </c>
      <c r="AH277" s="8">
        <f>--(COUNTIF('Tax Events'!$A$4:$A$8,A277)&gt;0)</f>
        <v>0</v>
      </c>
      <c r="AI277" s="8">
        <f>--(COUNTIF('Tax Events'!$B$4:$B$9,A277)&gt;0)</f>
        <v>0</v>
      </c>
    </row>
    <row r="278" spans="1:35">
      <c r="A278" s="4">
        <f>'H237 Tracker'!A278</f>
        <v>45124</v>
      </c>
      <c r="B278" s="13">
        <f t="shared" si="95"/>
        <v>0</v>
      </c>
      <c r="C278" s="13">
        <f t="shared" si="96"/>
        <v>7505395263.9750614</v>
      </c>
      <c r="D278" s="13">
        <f t="shared" si="80"/>
        <v>0</v>
      </c>
      <c r="E278" s="13">
        <f t="shared" si="81"/>
        <v>7505395263.9750614</v>
      </c>
      <c r="F278" s="13">
        <f>IF(AH278=1,MAX(R277,0)*Parameters!$B$11,0)</f>
        <v>0</v>
      </c>
      <c r="G278" s="13">
        <f>IF(AI278=1,MAX(S277,0)*Parameters!$B$11,0)</f>
        <v>0</v>
      </c>
      <c r="H278" s="13">
        <f t="shared" si="82"/>
        <v>0</v>
      </c>
      <c r="I278" s="13">
        <f t="shared" si="83"/>
        <v>7505395263.9750614</v>
      </c>
      <c r="J278" s="13">
        <f t="shared" si="84"/>
        <v>0</v>
      </c>
      <c r="K278" s="13">
        <f t="shared" si="85"/>
        <v>0</v>
      </c>
      <c r="L278" s="13">
        <f t="shared" si="86"/>
        <v>0</v>
      </c>
      <c r="M278" s="13">
        <f t="shared" si="87"/>
        <v>7505395263.9750614</v>
      </c>
      <c r="N278" s="13">
        <f>MAX(0,INT(L278*Parameters!$B$14/Parameters!$B$13/Parameters!$B$12)*Parameters!$B$12)</f>
        <v>0</v>
      </c>
      <c r="O278" s="13">
        <f>MAX(0,INT(M278*Parameters!$B$14/Parameters!$B$13/Parameters!$B$12)*Parameters!$B$12)</f>
        <v>5003596755</v>
      </c>
      <c r="P278" s="13">
        <f>N278*Parameters!$B$13*'H237 Tracker'!B278</f>
        <v>0</v>
      </c>
      <c r="Q278" s="13">
        <f>O278*Parameters!$B$13*'H237 Tracker'!C278</f>
        <v>-400287740.40000004</v>
      </c>
      <c r="R278" s="13">
        <f t="shared" si="97"/>
        <v>0</v>
      </c>
      <c r="S278" s="13">
        <f t="shared" si="98"/>
        <v>5511737352.9940014</v>
      </c>
      <c r="T278" s="13">
        <f t="shared" si="88"/>
        <v>0</v>
      </c>
      <c r="U278" s="13">
        <f t="shared" si="89"/>
        <v>7105107523.5750618</v>
      </c>
      <c r="V278" s="12">
        <f t="shared" si="90"/>
        <v>0</v>
      </c>
      <c r="W278" t="str">
        <f>'H237 Tracker'!I278</f>
        <v>B</v>
      </c>
      <c r="X278">
        <f>'H237 Tracker'!J278</f>
        <v>45</v>
      </c>
      <c r="Y278" t="str">
        <f>'H237 Tracker'!K278</f>
        <v>B</v>
      </c>
      <c r="Z278" s="12">
        <f>'H237 Tracker'!O278</f>
        <v>0</v>
      </c>
      <c r="AA278" s="13">
        <f>'H237 Tracker'!P278</f>
        <v>0</v>
      </c>
      <c r="AB278" s="13">
        <f>'H237 Tracker'!Q278</f>
        <v>0</v>
      </c>
      <c r="AC278" s="13">
        <f t="shared" si="91"/>
        <v>0</v>
      </c>
      <c r="AD278" s="13">
        <f t="shared" si="92"/>
        <v>7105107523.5750618</v>
      </c>
      <c r="AE278" s="13">
        <f t="shared" si="93"/>
        <v>7105107523.5750618</v>
      </c>
      <c r="AF278" s="13">
        <f t="shared" si="99"/>
        <v>7505395263.9750614</v>
      </c>
      <c r="AG278" s="24">
        <f t="shared" si="94"/>
        <v>-5.3333332399071565E-2</v>
      </c>
      <c r="AH278" s="8">
        <f>--(COUNTIF('Tax Events'!$A$4:$A$8,A278)&gt;0)</f>
        <v>0</v>
      </c>
      <c r="AI278" s="8">
        <f>--(COUNTIF('Tax Events'!$B$4:$B$9,A278)&gt;0)</f>
        <v>0</v>
      </c>
    </row>
    <row r="279" spans="1:35">
      <c r="A279" s="4">
        <f>'H237 Tracker'!A279</f>
        <v>45131</v>
      </c>
      <c r="B279" s="13">
        <f t="shared" si="95"/>
        <v>0</v>
      </c>
      <c r="C279" s="13">
        <f t="shared" si="96"/>
        <v>7105107523.5750618</v>
      </c>
      <c r="D279" s="13">
        <f t="shared" si="80"/>
        <v>0</v>
      </c>
      <c r="E279" s="13">
        <f t="shared" si="81"/>
        <v>7105107523.5750618</v>
      </c>
      <c r="F279" s="13">
        <f>IF(AH279=1,MAX(R278,0)*Parameters!$B$11,0)</f>
        <v>0</v>
      </c>
      <c r="G279" s="13">
        <f>IF(AI279=1,MAX(S278,0)*Parameters!$B$11,0)</f>
        <v>0</v>
      </c>
      <c r="H279" s="13">
        <f t="shared" si="82"/>
        <v>0</v>
      </c>
      <c r="I279" s="13">
        <f t="shared" si="83"/>
        <v>7105107523.5750618</v>
      </c>
      <c r="J279" s="13">
        <f t="shared" si="84"/>
        <v>0</v>
      </c>
      <c r="K279" s="13">
        <f t="shared" si="85"/>
        <v>0</v>
      </c>
      <c r="L279" s="13">
        <f t="shared" si="86"/>
        <v>0</v>
      </c>
      <c r="M279" s="13">
        <f t="shared" si="87"/>
        <v>7105107523.5750618</v>
      </c>
      <c r="N279" s="13">
        <f>MAX(0,INT(L279*Parameters!$B$14/Parameters!$B$13/Parameters!$B$12)*Parameters!$B$12)</f>
        <v>0</v>
      </c>
      <c r="O279" s="13">
        <f>MAX(0,INT(M279*Parameters!$B$14/Parameters!$B$13/Parameters!$B$12)*Parameters!$B$12)</f>
        <v>4736738335</v>
      </c>
      <c r="P279" s="13">
        <f>N279*Parameters!$B$13*'H237 Tracker'!B279</f>
        <v>0</v>
      </c>
      <c r="Q279" s="13">
        <f>O279*Parameters!$B$13*'H237 Tracker'!C279</f>
        <v>1641753506.9110003</v>
      </c>
      <c r="R279" s="13">
        <f t="shared" si="97"/>
        <v>0</v>
      </c>
      <c r="S279" s="13">
        <f t="shared" si="98"/>
        <v>7153490859.9050016</v>
      </c>
      <c r="T279" s="13">
        <f t="shared" si="88"/>
        <v>0</v>
      </c>
      <c r="U279" s="13">
        <f t="shared" si="89"/>
        <v>8746861030.4860611</v>
      </c>
      <c r="V279" s="12">
        <f t="shared" si="90"/>
        <v>0</v>
      </c>
      <c r="W279" t="str">
        <f>'H237 Tracker'!I279</f>
        <v>B</v>
      </c>
      <c r="X279">
        <f>'H237 Tracker'!J279</f>
        <v>46</v>
      </c>
      <c r="Y279" t="str">
        <f>'H237 Tracker'!K279</f>
        <v>B</v>
      </c>
      <c r="Z279" s="12">
        <f>'H237 Tracker'!O279</f>
        <v>0</v>
      </c>
      <c r="AA279" s="13">
        <f>'H237 Tracker'!P279</f>
        <v>0</v>
      </c>
      <c r="AB279" s="13">
        <f>'H237 Tracker'!Q279</f>
        <v>0</v>
      </c>
      <c r="AC279" s="13">
        <f t="shared" si="91"/>
        <v>0</v>
      </c>
      <c r="AD279" s="13">
        <f t="shared" si="92"/>
        <v>8746861030.4860611</v>
      </c>
      <c r="AE279" s="13">
        <f t="shared" si="93"/>
        <v>8746861030.4860611</v>
      </c>
      <c r="AF279" s="13">
        <f t="shared" si="99"/>
        <v>8746861030.4860611</v>
      </c>
      <c r="AG279" s="24">
        <f t="shared" si="94"/>
        <v>0</v>
      </c>
      <c r="AH279" s="8">
        <f>--(COUNTIF('Tax Events'!$A$4:$A$8,A279)&gt;0)</f>
        <v>0</v>
      </c>
      <c r="AI279" s="8">
        <f>--(COUNTIF('Tax Events'!$B$4:$B$9,A279)&gt;0)</f>
        <v>0</v>
      </c>
    </row>
    <row r="280" spans="1:35">
      <c r="A280" s="4">
        <f>'H237 Tracker'!A280</f>
        <v>45138</v>
      </c>
      <c r="B280" s="13">
        <f t="shared" si="95"/>
        <v>0</v>
      </c>
      <c r="C280" s="13">
        <f t="shared" si="96"/>
        <v>8746861030.4860611</v>
      </c>
      <c r="D280" s="13">
        <f t="shared" si="80"/>
        <v>0</v>
      </c>
      <c r="E280" s="13">
        <f t="shared" si="81"/>
        <v>8746861030.4860611</v>
      </c>
      <c r="F280" s="13">
        <f>IF(AH280=1,MAX(R279,0)*Parameters!$B$11,0)</f>
        <v>0</v>
      </c>
      <c r="G280" s="13">
        <f>IF(AI280=1,MAX(S279,0)*Parameters!$B$11,0)</f>
        <v>0</v>
      </c>
      <c r="H280" s="13">
        <f t="shared" si="82"/>
        <v>0</v>
      </c>
      <c r="I280" s="13">
        <f t="shared" si="83"/>
        <v>8746861030.4860611</v>
      </c>
      <c r="J280" s="13">
        <f t="shared" si="84"/>
        <v>0</v>
      </c>
      <c r="K280" s="13">
        <f t="shared" si="85"/>
        <v>0</v>
      </c>
      <c r="L280" s="13">
        <f t="shared" si="86"/>
        <v>0</v>
      </c>
      <c r="M280" s="13">
        <f t="shared" si="87"/>
        <v>8746861030.4860611</v>
      </c>
      <c r="N280" s="13">
        <f>MAX(0,INT(L280*Parameters!$B$14/Parameters!$B$13/Parameters!$B$12)*Parameters!$B$12)</f>
        <v>0</v>
      </c>
      <c r="O280" s="13">
        <f>MAX(0,INT(M280*Parameters!$B$14/Parameters!$B$13/Parameters!$B$12)*Parameters!$B$12)</f>
        <v>5831240600</v>
      </c>
      <c r="P280" s="13">
        <f>N280*Parameters!$B$13*'H237 Tracker'!B280</f>
        <v>0</v>
      </c>
      <c r="Q280" s="13">
        <f>O280*Parameters!$B$13*'H237 Tracker'!C280</f>
        <v>-2889962841.3600001</v>
      </c>
      <c r="R280" s="13">
        <f t="shared" si="97"/>
        <v>0</v>
      </c>
      <c r="S280" s="13">
        <f t="shared" si="98"/>
        <v>4263528018.5450015</v>
      </c>
      <c r="T280" s="13">
        <f t="shared" si="88"/>
        <v>0</v>
      </c>
      <c r="U280" s="13">
        <f t="shared" si="89"/>
        <v>5856898189.1260605</v>
      </c>
      <c r="V280" s="12">
        <f t="shared" si="90"/>
        <v>0</v>
      </c>
      <c r="W280" t="str">
        <f>'H237 Tracker'!I280</f>
        <v>B</v>
      </c>
      <c r="X280">
        <f>'H237 Tracker'!J280</f>
        <v>47</v>
      </c>
      <c r="Y280" t="str">
        <f>'H237 Tracker'!K280</f>
        <v>B</v>
      </c>
      <c r="Z280" s="12">
        <f>'H237 Tracker'!O280</f>
        <v>0</v>
      </c>
      <c r="AA280" s="13">
        <f>'H237 Tracker'!P280</f>
        <v>0</v>
      </c>
      <c r="AB280" s="13">
        <f>'H237 Tracker'!Q280</f>
        <v>0</v>
      </c>
      <c r="AC280" s="13">
        <f t="shared" si="91"/>
        <v>0</v>
      </c>
      <c r="AD280" s="13">
        <f t="shared" si="92"/>
        <v>5856898189.1260605</v>
      </c>
      <c r="AE280" s="13">
        <f t="shared" si="93"/>
        <v>5856898189.1260605</v>
      </c>
      <c r="AF280" s="13">
        <f t="shared" si="99"/>
        <v>8746861030.4860611</v>
      </c>
      <c r="AG280" s="24">
        <f t="shared" si="94"/>
        <v>-0.3303999950710782</v>
      </c>
      <c r="AH280" s="8">
        <f>--(COUNTIF('Tax Events'!$A$4:$A$8,A280)&gt;0)</f>
        <v>0</v>
      </c>
      <c r="AI280" s="8">
        <f>--(COUNTIF('Tax Events'!$B$4:$B$9,A280)&gt;0)</f>
        <v>0</v>
      </c>
    </row>
    <row r="281" spans="1:35">
      <c r="A281" s="4">
        <f>'H237 Tracker'!A281</f>
        <v>45145</v>
      </c>
      <c r="B281" s="13">
        <f t="shared" si="95"/>
        <v>0</v>
      </c>
      <c r="C281" s="13">
        <f t="shared" si="96"/>
        <v>5856898189.1260605</v>
      </c>
      <c r="D281" s="13">
        <f t="shared" si="80"/>
        <v>0</v>
      </c>
      <c r="E281" s="13">
        <f t="shared" si="81"/>
        <v>5856898189.1260605</v>
      </c>
      <c r="F281" s="13">
        <f>IF(AH281=1,MAX(R280,0)*Parameters!$B$11,0)</f>
        <v>0</v>
      </c>
      <c r="G281" s="13">
        <f>IF(AI281=1,MAX(S280,0)*Parameters!$B$11,0)</f>
        <v>0</v>
      </c>
      <c r="H281" s="13">
        <f t="shared" si="82"/>
        <v>0</v>
      </c>
      <c r="I281" s="13">
        <f t="shared" si="83"/>
        <v>5856898189.1260605</v>
      </c>
      <c r="J281" s="13">
        <f t="shared" si="84"/>
        <v>0</v>
      </c>
      <c r="K281" s="13">
        <f t="shared" si="85"/>
        <v>0</v>
      </c>
      <c r="L281" s="13">
        <f t="shared" si="86"/>
        <v>0</v>
      </c>
      <c r="M281" s="13">
        <f t="shared" si="87"/>
        <v>5856898189.1260605</v>
      </c>
      <c r="N281" s="13">
        <f>MAX(0,INT(L281*Parameters!$B$14/Parameters!$B$13/Parameters!$B$12)*Parameters!$B$12)</f>
        <v>0</v>
      </c>
      <c r="O281" s="13">
        <f>MAX(0,INT(M281*Parameters!$B$14/Parameters!$B$13/Parameters!$B$12)*Parameters!$B$12)</f>
        <v>3904598680</v>
      </c>
      <c r="P281" s="13">
        <f>N281*Parameters!$B$13*'H237 Tracker'!B281</f>
        <v>0</v>
      </c>
      <c r="Q281" s="13">
        <f>O281*Parameters!$B$13*'H237 Tracker'!C281</f>
        <v>-299873178.62400001</v>
      </c>
      <c r="R281" s="13">
        <f t="shared" si="97"/>
        <v>0</v>
      </c>
      <c r="S281" s="13">
        <f t="shared" si="98"/>
        <v>3963654839.9210014</v>
      </c>
      <c r="T281" s="13">
        <f t="shared" si="88"/>
        <v>0</v>
      </c>
      <c r="U281" s="13">
        <f t="shared" si="89"/>
        <v>5557025010.5020609</v>
      </c>
      <c r="V281" s="12">
        <f t="shared" si="90"/>
        <v>0</v>
      </c>
      <c r="W281" t="str">
        <f>'H237 Tracker'!I281</f>
        <v>B</v>
      </c>
      <c r="X281">
        <f>'H237 Tracker'!J281</f>
        <v>48</v>
      </c>
      <c r="Y281" t="str">
        <f>'H237 Tracker'!K281</f>
        <v>B</v>
      </c>
      <c r="Z281" s="12">
        <f>'H237 Tracker'!O281</f>
        <v>0</v>
      </c>
      <c r="AA281" s="13">
        <f>'H237 Tracker'!P281</f>
        <v>0</v>
      </c>
      <c r="AB281" s="13">
        <f>'H237 Tracker'!Q281</f>
        <v>0</v>
      </c>
      <c r="AC281" s="13">
        <f t="shared" si="91"/>
        <v>0</v>
      </c>
      <c r="AD281" s="13">
        <f t="shared" si="92"/>
        <v>5557025010.5020609</v>
      </c>
      <c r="AE281" s="13">
        <f t="shared" si="93"/>
        <v>5557025010.5020609</v>
      </c>
      <c r="AF281" s="13">
        <f t="shared" si="99"/>
        <v>8746861030.4860611</v>
      </c>
      <c r="AG281" s="24">
        <f t="shared" si="94"/>
        <v>-0.36468351433345469</v>
      </c>
      <c r="AH281" s="8">
        <f>--(COUNTIF('Tax Events'!$A$4:$A$8,A281)&gt;0)</f>
        <v>0</v>
      </c>
      <c r="AI281" s="8">
        <f>--(COUNTIF('Tax Events'!$B$4:$B$9,A281)&gt;0)</f>
        <v>0</v>
      </c>
    </row>
    <row r="282" spans="1:35">
      <c r="A282" s="4">
        <f>'H237 Tracker'!A282</f>
        <v>45152</v>
      </c>
      <c r="B282" s="13">
        <f t="shared" si="95"/>
        <v>0</v>
      </c>
      <c r="C282" s="13">
        <f t="shared" si="96"/>
        <v>5557025010.5020609</v>
      </c>
      <c r="D282" s="13">
        <f t="shared" si="80"/>
        <v>0</v>
      </c>
      <c r="E282" s="13">
        <f t="shared" si="81"/>
        <v>5557025010.5020609</v>
      </c>
      <c r="F282" s="13">
        <f>IF(AH282=1,MAX(R281,0)*Parameters!$B$11,0)</f>
        <v>0</v>
      </c>
      <c r="G282" s="13">
        <f>IF(AI282=1,MAX(S281,0)*Parameters!$B$11,0)</f>
        <v>0</v>
      </c>
      <c r="H282" s="13">
        <f t="shared" si="82"/>
        <v>0</v>
      </c>
      <c r="I282" s="13">
        <f t="shared" si="83"/>
        <v>5557025010.5020609</v>
      </c>
      <c r="J282" s="13">
        <f t="shared" si="84"/>
        <v>0</v>
      </c>
      <c r="K282" s="13">
        <f t="shared" si="85"/>
        <v>0</v>
      </c>
      <c r="L282" s="13">
        <f t="shared" si="86"/>
        <v>0</v>
      </c>
      <c r="M282" s="13">
        <f t="shared" si="87"/>
        <v>5557025010.5020609</v>
      </c>
      <c r="N282" s="13">
        <f>MAX(0,INT(L282*Parameters!$B$14/Parameters!$B$13/Parameters!$B$12)*Parameters!$B$12)</f>
        <v>0</v>
      </c>
      <c r="O282" s="13">
        <f>MAX(0,INT(M282*Parameters!$B$14/Parameters!$B$13/Parameters!$B$12)*Parameters!$B$12)</f>
        <v>3704683255</v>
      </c>
      <c r="P282" s="13">
        <f>N282*Parameters!$B$13*'H237 Tracker'!B282</f>
        <v>0</v>
      </c>
      <c r="Q282" s="13">
        <f>O282*Parameters!$B$13*'H237 Tracker'!C282</f>
        <v>1002487288.803</v>
      </c>
      <c r="R282" s="13">
        <f t="shared" si="97"/>
        <v>0</v>
      </c>
      <c r="S282" s="13">
        <f t="shared" si="98"/>
        <v>4966142128.7240009</v>
      </c>
      <c r="T282" s="13">
        <f t="shared" si="88"/>
        <v>0</v>
      </c>
      <c r="U282" s="13">
        <f t="shared" si="89"/>
        <v>6559512299.3050613</v>
      </c>
      <c r="V282" s="12">
        <f t="shared" si="90"/>
        <v>0</v>
      </c>
      <c r="W282" t="str">
        <f>'H237 Tracker'!I282</f>
        <v>B</v>
      </c>
      <c r="X282">
        <f>'H237 Tracker'!J282</f>
        <v>49</v>
      </c>
      <c r="Y282" t="str">
        <f>'H237 Tracker'!K282</f>
        <v>B</v>
      </c>
      <c r="Z282" s="12">
        <f>'H237 Tracker'!O282</f>
        <v>0</v>
      </c>
      <c r="AA282" s="13">
        <f>'H237 Tracker'!P282</f>
        <v>0</v>
      </c>
      <c r="AB282" s="13">
        <f>'H237 Tracker'!Q282</f>
        <v>0</v>
      </c>
      <c r="AC282" s="13">
        <f t="shared" si="91"/>
        <v>0</v>
      </c>
      <c r="AD282" s="13">
        <f t="shared" si="92"/>
        <v>6559512299.3050613</v>
      </c>
      <c r="AE282" s="13">
        <f t="shared" si="93"/>
        <v>6559512299.3050613</v>
      </c>
      <c r="AF282" s="13">
        <f t="shared" si="99"/>
        <v>8746861030.4860611</v>
      </c>
      <c r="AG282" s="24">
        <f t="shared" si="94"/>
        <v>-0.25007242295919374</v>
      </c>
      <c r="AH282" s="8">
        <f>--(COUNTIF('Tax Events'!$A$4:$A$8,A282)&gt;0)</f>
        <v>0</v>
      </c>
      <c r="AI282" s="8">
        <f>--(COUNTIF('Tax Events'!$B$4:$B$9,A282)&gt;0)</f>
        <v>0</v>
      </c>
    </row>
    <row r="283" spans="1:35">
      <c r="A283" s="4">
        <f>'H237 Tracker'!A283</f>
        <v>45159</v>
      </c>
      <c r="B283" s="13">
        <f t="shared" si="95"/>
        <v>0</v>
      </c>
      <c r="C283" s="13">
        <f t="shared" si="96"/>
        <v>6559512299.3050613</v>
      </c>
      <c r="D283" s="13">
        <f t="shared" si="80"/>
        <v>0</v>
      </c>
      <c r="E283" s="13">
        <f t="shared" si="81"/>
        <v>6559512299.3050613</v>
      </c>
      <c r="F283" s="13">
        <f>IF(AH283=1,MAX(R282,0)*Parameters!$B$11,0)</f>
        <v>0</v>
      </c>
      <c r="G283" s="13">
        <f>IF(AI283=1,MAX(S282,0)*Parameters!$B$11,0)</f>
        <v>0</v>
      </c>
      <c r="H283" s="13">
        <f t="shared" si="82"/>
        <v>0</v>
      </c>
      <c r="I283" s="13">
        <f t="shared" si="83"/>
        <v>6559512299.3050613</v>
      </c>
      <c r="J283" s="13">
        <f t="shared" si="84"/>
        <v>0</v>
      </c>
      <c r="K283" s="13">
        <f t="shared" si="85"/>
        <v>0</v>
      </c>
      <c r="L283" s="13">
        <f t="shared" si="86"/>
        <v>0</v>
      </c>
      <c r="M283" s="13">
        <f t="shared" si="87"/>
        <v>6559512299.3050613</v>
      </c>
      <c r="N283" s="13">
        <f>MAX(0,INT(L283*Parameters!$B$14/Parameters!$B$13/Parameters!$B$12)*Parameters!$B$12)</f>
        <v>0</v>
      </c>
      <c r="O283" s="13">
        <f>MAX(0,INT(M283*Parameters!$B$14/Parameters!$B$13/Parameters!$B$12)*Parameters!$B$12)</f>
        <v>4373008170</v>
      </c>
      <c r="P283" s="13">
        <f>N283*Parameters!$B$13*'H237 Tracker'!B283</f>
        <v>0</v>
      </c>
      <c r="Q283" s="13">
        <f>O283*Parameters!$B$13*'H237 Tracker'!C283</f>
        <v>1016287098.7080001</v>
      </c>
      <c r="R283" s="13">
        <f t="shared" si="97"/>
        <v>0</v>
      </c>
      <c r="S283" s="13">
        <f t="shared" si="98"/>
        <v>5982429227.4320011</v>
      </c>
      <c r="T283" s="13">
        <f t="shared" si="88"/>
        <v>0</v>
      </c>
      <c r="U283" s="13">
        <f t="shared" si="89"/>
        <v>7575799398.0130615</v>
      </c>
      <c r="V283" s="12">
        <f t="shared" si="90"/>
        <v>0</v>
      </c>
      <c r="W283" t="str">
        <f>'H237 Tracker'!I283</f>
        <v>B</v>
      </c>
      <c r="X283">
        <f>'H237 Tracker'!J283</f>
        <v>50</v>
      </c>
      <c r="Y283" t="str">
        <f>'H237 Tracker'!K283</f>
        <v>B</v>
      </c>
      <c r="Z283" s="12">
        <f>'H237 Tracker'!O283</f>
        <v>0</v>
      </c>
      <c r="AA283" s="13">
        <f>'H237 Tracker'!P283</f>
        <v>0</v>
      </c>
      <c r="AB283" s="13">
        <f>'H237 Tracker'!Q283</f>
        <v>0</v>
      </c>
      <c r="AC283" s="13">
        <f t="shared" si="91"/>
        <v>0</v>
      </c>
      <c r="AD283" s="13">
        <f t="shared" si="92"/>
        <v>7575799398.0130615</v>
      </c>
      <c r="AE283" s="13">
        <f t="shared" si="93"/>
        <v>7575799398.0130615</v>
      </c>
      <c r="AF283" s="13">
        <f t="shared" si="99"/>
        <v>8746861030.4860611</v>
      </c>
      <c r="AG283" s="24">
        <f t="shared" si="94"/>
        <v>-0.133883644474448</v>
      </c>
      <c r="AH283" s="8">
        <f>--(COUNTIF('Tax Events'!$A$4:$A$8,A283)&gt;0)</f>
        <v>0</v>
      </c>
      <c r="AI283" s="8">
        <f>--(COUNTIF('Tax Events'!$B$4:$B$9,A283)&gt;0)</f>
        <v>0</v>
      </c>
    </row>
    <row r="284" spans="1:35">
      <c r="A284" s="4">
        <f>'H237 Tracker'!A284</f>
        <v>45166</v>
      </c>
      <c r="B284" s="13">
        <f t="shared" si="95"/>
        <v>0</v>
      </c>
      <c r="C284" s="13">
        <f t="shared" si="96"/>
        <v>7575799398.0130615</v>
      </c>
      <c r="D284" s="13">
        <f t="shared" si="80"/>
        <v>0</v>
      </c>
      <c r="E284" s="13">
        <f t="shared" si="81"/>
        <v>7575799398.0130615</v>
      </c>
      <c r="F284" s="13">
        <f>IF(AH284=1,MAX(R283,0)*Parameters!$B$11,0)</f>
        <v>0</v>
      </c>
      <c r="G284" s="13">
        <f>IF(AI284=1,MAX(S283,0)*Parameters!$B$11,0)</f>
        <v>0</v>
      </c>
      <c r="H284" s="13">
        <f t="shared" si="82"/>
        <v>0</v>
      </c>
      <c r="I284" s="13">
        <f t="shared" si="83"/>
        <v>7575799398.0130615</v>
      </c>
      <c r="J284" s="13">
        <f t="shared" si="84"/>
        <v>0</v>
      </c>
      <c r="K284" s="13">
        <f t="shared" si="85"/>
        <v>0</v>
      </c>
      <c r="L284" s="13">
        <f t="shared" si="86"/>
        <v>0</v>
      </c>
      <c r="M284" s="13">
        <f t="shared" si="87"/>
        <v>7575799398.0130615</v>
      </c>
      <c r="N284" s="13">
        <f>MAX(0,INT(L284*Parameters!$B$14/Parameters!$B$13/Parameters!$B$12)*Parameters!$B$12)</f>
        <v>0</v>
      </c>
      <c r="O284" s="13">
        <f>MAX(0,INT(M284*Parameters!$B$14/Parameters!$B$13/Parameters!$B$12)*Parameters!$B$12)</f>
        <v>5050532855</v>
      </c>
      <c r="P284" s="13">
        <f>N284*Parameters!$B$13*'H237 Tracker'!B284</f>
        <v>0</v>
      </c>
      <c r="Q284" s="13">
        <f>O284*Parameters!$B$13*'H237 Tracker'!C284</f>
        <v>2145466356.8039999</v>
      </c>
      <c r="R284" s="13">
        <f t="shared" si="97"/>
        <v>0</v>
      </c>
      <c r="S284" s="13">
        <f t="shared" si="98"/>
        <v>8127895584.236001</v>
      </c>
      <c r="T284" s="13">
        <f t="shared" si="88"/>
        <v>0</v>
      </c>
      <c r="U284" s="13">
        <f t="shared" si="89"/>
        <v>9721265754.8170624</v>
      </c>
      <c r="V284" s="12">
        <f t="shared" si="90"/>
        <v>0</v>
      </c>
      <c r="W284" t="str">
        <f>'H237 Tracker'!I284</f>
        <v>B</v>
      </c>
      <c r="X284">
        <f>'H237 Tracker'!J284</f>
        <v>51</v>
      </c>
      <c r="Y284" t="str">
        <f>'H237 Tracker'!K284</f>
        <v>B</v>
      </c>
      <c r="Z284" s="12">
        <f>'H237 Tracker'!O284</f>
        <v>0</v>
      </c>
      <c r="AA284" s="13">
        <f>'H237 Tracker'!P284</f>
        <v>0</v>
      </c>
      <c r="AB284" s="13">
        <f>'H237 Tracker'!Q284</f>
        <v>0</v>
      </c>
      <c r="AC284" s="13">
        <f t="shared" si="91"/>
        <v>0</v>
      </c>
      <c r="AD284" s="13">
        <f t="shared" si="92"/>
        <v>9721265754.8170624</v>
      </c>
      <c r="AE284" s="13">
        <f t="shared" si="93"/>
        <v>9721265754.8170624</v>
      </c>
      <c r="AF284" s="13">
        <f t="shared" si="99"/>
        <v>9721265754.8170624</v>
      </c>
      <c r="AG284" s="24">
        <f t="shared" si="94"/>
        <v>0</v>
      </c>
      <c r="AH284" s="8">
        <f>--(COUNTIF('Tax Events'!$A$4:$A$8,A284)&gt;0)</f>
        <v>0</v>
      </c>
      <c r="AI284" s="8">
        <f>--(COUNTIF('Tax Events'!$B$4:$B$9,A284)&gt;0)</f>
        <v>0</v>
      </c>
    </row>
    <row r="285" spans="1:35">
      <c r="A285" s="4">
        <f>'H237 Tracker'!A285</f>
        <v>45173</v>
      </c>
      <c r="B285" s="13">
        <f t="shared" si="95"/>
        <v>0</v>
      </c>
      <c r="C285" s="13">
        <f t="shared" si="96"/>
        <v>9721265754.8170624</v>
      </c>
      <c r="D285" s="13">
        <f t="shared" si="80"/>
        <v>0</v>
      </c>
      <c r="E285" s="13">
        <f t="shared" si="81"/>
        <v>9721265754.8170624</v>
      </c>
      <c r="F285" s="13">
        <f>IF(AH285=1,MAX(R284,0)*Parameters!$B$11,0)</f>
        <v>0</v>
      </c>
      <c r="G285" s="13">
        <f>IF(AI285=1,MAX(S284,0)*Parameters!$B$11,0)</f>
        <v>0</v>
      </c>
      <c r="H285" s="13">
        <f t="shared" si="82"/>
        <v>0</v>
      </c>
      <c r="I285" s="13">
        <f t="shared" si="83"/>
        <v>9721265754.8170624</v>
      </c>
      <c r="J285" s="13">
        <f t="shared" si="84"/>
        <v>0</v>
      </c>
      <c r="K285" s="13">
        <f t="shared" si="85"/>
        <v>0</v>
      </c>
      <c r="L285" s="13">
        <f t="shared" si="86"/>
        <v>0</v>
      </c>
      <c r="M285" s="13">
        <f t="shared" si="87"/>
        <v>9721265754.8170624</v>
      </c>
      <c r="N285" s="13">
        <f>MAX(0,INT(L285*Parameters!$B$14/Parameters!$B$13/Parameters!$B$12)*Parameters!$B$12)</f>
        <v>0</v>
      </c>
      <c r="O285" s="13">
        <f>MAX(0,INT(M285*Parameters!$B$14/Parameters!$B$13/Parameters!$B$12)*Parameters!$B$12)</f>
        <v>6480843745</v>
      </c>
      <c r="P285" s="13">
        <f>N285*Parameters!$B$13*'H237 Tracker'!B285</f>
        <v>0</v>
      </c>
      <c r="Q285" s="13">
        <f>O285*Parameters!$B$13*'H237 Tracker'!C285</f>
        <v>-740112355.67900002</v>
      </c>
      <c r="R285" s="13">
        <f t="shared" si="97"/>
        <v>0</v>
      </c>
      <c r="S285" s="13">
        <f t="shared" si="98"/>
        <v>7387783228.5570011</v>
      </c>
      <c r="T285" s="13">
        <f t="shared" si="88"/>
        <v>0</v>
      </c>
      <c r="U285" s="13">
        <f t="shared" si="89"/>
        <v>8981153399.1380615</v>
      </c>
      <c r="V285" s="12">
        <f t="shared" si="90"/>
        <v>0</v>
      </c>
      <c r="W285" t="str">
        <f>'H237 Tracker'!I285</f>
        <v>B</v>
      </c>
      <c r="X285">
        <f>'H237 Tracker'!J285</f>
        <v>52</v>
      </c>
      <c r="Y285" t="str">
        <f>'H237 Tracker'!K285</f>
        <v>B</v>
      </c>
      <c r="Z285" s="12">
        <f>'H237 Tracker'!O285</f>
        <v>0</v>
      </c>
      <c r="AA285" s="13">
        <f>'H237 Tracker'!P285</f>
        <v>0</v>
      </c>
      <c r="AB285" s="13">
        <f>'H237 Tracker'!Q285</f>
        <v>0</v>
      </c>
      <c r="AC285" s="13">
        <f t="shared" si="91"/>
        <v>0</v>
      </c>
      <c r="AD285" s="13">
        <f t="shared" si="92"/>
        <v>8981153399.1380615</v>
      </c>
      <c r="AE285" s="13">
        <f t="shared" si="93"/>
        <v>8981153399.1380615</v>
      </c>
      <c r="AF285" s="13">
        <f t="shared" si="99"/>
        <v>9721265754.8170624</v>
      </c>
      <c r="AG285" s="24">
        <f t="shared" si="94"/>
        <v>-7.6133332257917297E-2</v>
      </c>
      <c r="AH285" s="8">
        <f>--(COUNTIF('Tax Events'!$A$4:$A$8,A285)&gt;0)</f>
        <v>0</v>
      </c>
      <c r="AI285" s="8">
        <f>--(COUNTIF('Tax Events'!$B$4:$B$9,A285)&gt;0)</f>
        <v>0</v>
      </c>
    </row>
    <row r="286" spans="1:35">
      <c r="A286" s="4">
        <f>'H237 Tracker'!A286</f>
        <v>45180</v>
      </c>
      <c r="B286" s="13">
        <f t="shared" si="95"/>
        <v>0</v>
      </c>
      <c r="C286" s="13">
        <f t="shared" si="96"/>
        <v>8981153399.1380615</v>
      </c>
      <c r="D286" s="13">
        <f t="shared" si="80"/>
        <v>0</v>
      </c>
      <c r="E286" s="13">
        <f t="shared" si="81"/>
        <v>8981153399.1380615</v>
      </c>
      <c r="F286" s="13">
        <f>IF(AH286=1,MAX(R285,0)*Parameters!$B$11,0)</f>
        <v>0</v>
      </c>
      <c r="G286" s="13">
        <f>IF(AI286=1,MAX(S285,0)*Parameters!$B$11,0)</f>
        <v>0</v>
      </c>
      <c r="H286" s="13">
        <f t="shared" si="82"/>
        <v>0</v>
      </c>
      <c r="I286" s="13">
        <f t="shared" si="83"/>
        <v>8981153399.1380615</v>
      </c>
      <c r="J286" s="13">
        <f t="shared" si="84"/>
        <v>0</v>
      </c>
      <c r="K286" s="13">
        <f t="shared" si="85"/>
        <v>0</v>
      </c>
      <c r="L286" s="13">
        <f t="shared" si="86"/>
        <v>0</v>
      </c>
      <c r="M286" s="13">
        <f t="shared" si="87"/>
        <v>8981153399.1380615</v>
      </c>
      <c r="N286" s="13">
        <f>MAX(0,INT(L286*Parameters!$B$14/Parameters!$B$13/Parameters!$B$12)*Parameters!$B$12)</f>
        <v>0</v>
      </c>
      <c r="O286" s="13">
        <f>MAX(0,INT(M286*Parameters!$B$14/Parameters!$B$13/Parameters!$B$12)*Parameters!$B$12)</f>
        <v>5987435555</v>
      </c>
      <c r="P286" s="13">
        <f>N286*Parameters!$B$13*'H237 Tracker'!B286</f>
        <v>0</v>
      </c>
      <c r="Q286" s="13">
        <f>O286*Parameters!$B$13*'H237 Tracker'!C286</f>
        <v>-478994844.40000004</v>
      </c>
      <c r="R286" s="13">
        <f t="shared" si="97"/>
        <v>0</v>
      </c>
      <c r="S286" s="13">
        <f t="shared" si="98"/>
        <v>6908788384.1570015</v>
      </c>
      <c r="T286" s="13">
        <f t="shared" si="88"/>
        <v>0</v>
      </c>
      <c r="U286" s="13">
        <f t="shared" si="89"/>
        <v>8502158554.7380619</v>
      </c>
      <c r="V286" s="12">
        <f t="shared" si="90"/>
        <v>0</v>
      </c>
      <c r="W286" t="str">
        <f>'H237 Tracker'!I286</f>
        <v>B</v>
      </c>
      <c r="X286">
        <f>'H237 Tracker'!J286</f>
        <v>53</v>
      </c>
      <c r="Y286" t="str">
        <f>'H237 Tracker'!K286</f>
        <v>B</v>
      </c>
      <c r="Z286" s="12">
        <f>'H237 Tracker'!O286</f>
        <v>0</v>
      </c>
      <c r="AA286" s="13">
        <f>'H237 Tracker'!P286</f>
        <v>0</v>
      </c>
      <c r="AB286" s="13">
        <f>'H237 Tracker'!Q286</f>
        <v>0</v>
      </c>
      <c r="AC286" s="13">
        <f t="shared" si="91"/>
        <v>0</v>
      </c>
      <c r="AD286" s="13">
        <f t="shared" si="92"/>
        <v>8502158554.7380619</v>
      </c>
      <c r="AE286" s="13">
        <f t="shared" si="93"/>
        <v>8502158554.7380619</v>
      </c>
      <c r="AF286" s="13">
        <f t="shared" si="99"/>
        <v>9721265754.8170624</v>
      </c>
      <c r="AG286" s="24">
        <f t="shared" si="94"/>
        <v>-0.12540622083856834</v>
      </c>
      <c r="AH286" s="8">
        <f>--(COUNTIF('Tax Events'!$A$4:$A$8,A286)&gt;0)</f>
        <v>0</v>
      </c>
      <c r="AI286" s="8">
        <f>--(COUNTIF('Tax Events'!$B$4:$B$9,A286)&gt;0)</f>
        <v>0</v>
      </c>
    </row>
    <row r="287" spans="1:35">
      <c r="A287" s="4">
        <f>'H237 Tracker'!A287</f>
        <v>45187</v>
      </c>
      <c r="B287" s="13">
        <f t="shared" si="95"/>
        <v>0</v>
      </c>
      <c r="C287" s="13">
        <f t="shared" si="96"/>
        <v>8502158554.7380619</v>
      </c>
      <c r="D287" s="13">
        <f t="shared" si="80"/>
        <v>0</v>
      </c>
      <c r="E287" s="13">
        <f t="shared" si="81"/>
        <v>8502158554.7380619</v>
      </c>
      <c r="F287" s="13">
        <f>IF(AH287=1,MAX(R286,0)*Parameters!$B$11,0)</f>
        <v>0</v>
      </c>
      <c r="G287" s="13">
        <f>IF(AI287=1,MAX(S286,0)*Parameters!$B$11,0)</f>
        <v>0</v>
      </c>
      <c r="H287" s="13">
        <f t="shared" si="82"/>
        <v>0</v>
      </c>
      <c r="I287" s="13">
        <f t="shared" si="83"/>
        <v>8502158554.7380619</v>
      </c>
      <c r="J287" s="13">
        <f t="shared" si="84"/>
        <v>0</v>
      </c>
      <c r="K287" s="13">
        <f t="shared" si="85"/>
        <v>0</v>
      </c>
      <c r="L287" s="13">
        <f t="shared" si="86"/>
        <v>0</v>
      </c>
      <c r="M287" s="13">
        <f t="shared" si="87"/>
        <v>8502158554.7380619</v>
      </c>
      <c r="N287" s="13">
        <f>MAX(0,INT(L287*Parameters!$B$14/Parameters!$B$13/Parameters!$B$12)*Parameters!$B$12)</f>
        <v>0</v>
      </c>
      <c r="O287" s="13">
        <f>MAX(0,INT(M287*Parameters!$B$14/Parameters!$B$13/Parameters!$B$12)*Parameters!$B$12)</f>
        <v>5668105625</v>
      </c>
      <c r="P287" s="13">
        <f>N287*Parameters!$B$13*'H237 Tracker'!B287</f>
        <v>0</v>
      </c>
      <c r="Q287" s="13">
        <f>O287*Parameters!$B$13*'H237 Tracker'!C287</f>
        <v>-1511116959.625</v>
      </c>
      <c r="R287" s="13">
        <f t="shared" si="97"/>
        <v>0</v>
      </c>
      <c r="S287" s="13">
        <f t="shared" si="98"/>
        <v>5397671424.5320015</v>
      </c>
      <c r="T287" s="13">
        <f t="shared" si="88"/>
        <v>0</v>
      </c>
      <c r="U287" s="13">
        <f t="shared" si="89"/>
        <v>6991041595.1130619</v>
      </c>
      <c r="V287" s="12">
        <f t="shared" si="90"/>
        <v>0</v>
      </c>
      <c r="W287" t="str">
        <f>'H237 Tracker'!I287</f>
        <v>B</v>
      </c>
      <c r="X287">
        <f>'H237 Tracker'!J287</f>
        <v>54</v>
      </c>
      <c r="Y287" t="str">
        <f>'H237 Tracker'!K287</f>
        <v>B</v>
      </c>
      <c r="Z287" s="12">
        <f>'H237 Tracker'!O287</f>
        <v>0</v>
      </c>
      <c r="AA287" s="13">
        <f>'H237 Tracker'!P287</f>
        <v>0</v>
      </c>
      <c r="AB287" s="13">
        <f>'H237 Tracker'!Q287</f>
        <v>0</v>
      </c>
      <c r="AC287" s="13">
        <f t="shared" si="91"/>
        <v>0</v>
      </c>
      <c r="AD287" s="13">
        <f t="shared" si="92"/>
        <v>6991041595.1130619</v>
      </c>
      <c r="AE287" s="13">
        <f t="shared" si="93"/>
        <v>6991041595.1130619</v>
      </c>
      <c r="AF287" s="13">
        <f t="shared" si="99"/>
        <v>9721265754.8170624</v>
      </c>
      <c r="AG287" s="24">
        <f t="shared" si="94"/>
        <v>-0.2808506863780702</v>
      </c>
      <c r="AH287" s="8">
        <f>--(COUNTIF('Tax Events'!$A$4:$A$8,A287)&gt;0)</f>
        <v>0</v>
      </c>
      <c r="AI287" s="8">
        <f>--(COUNTIF('Tax Events'!$B$4:$B$9,A287)&gt;0)</f>
        <v>0</v>
      </c>
    </row>
    <row r="288" spans="1:35">
      <c r="A288" s="4">
        <f>'H237 Tracker'!A288</f>
        <v>45194</v>
      </c>
      <c r="B288" s="13">
        <f t="shared" si="95"/>
        <v>0</v>
      </c>
      <c r="C288" s="13">
        <f t="shared" si="96"/>
        <v>6991041595.1130619</v>
      </c>
      <c r="D288" s="13">
        <f t="shared" si="80"/>
        <v>0</v>
      </c>
      <c r="E288" s="13">
        <f t="shared" si="81"/>
        <v>6991041595.1130619</v>
      </c>
      <c r="F288" s="13">
        <f>IF(AH288=1,MAX(R287,0)*Parameters!$B$11,0)</f>
        <v>0</v>
      </c>
      <c r="G288" s="13">
        <f>IF(AI288=1,MAX(S287,0)*Parameters!$B$11,0)</f>
        <v>0</v>
      </c>
      <c r="H288" s="13">
        <f t="shared" si="82"/>
        <v>0</v>
      </c>
      <c r="I288" s="13">
        <f t="shared" si="83"/>
        <v>6991041595.1130619</v>
      </c>
      <c r="J288" s="13">
        <f t="shared" si="84"/>
        <v>0</v>
      </c>
      <c r="K288" s="13">
        <f t="shared" si="85"/>
        <v>0</v>
      </c>
      <c r="L288" s="13">
        <f t="shared" si="86"/>
        <v>0</v>
      </c>
      <c r="M288" s="13">
        <f t="shared" si="87"/>
        <v>6991041595.1130619</v>
      </c>
      <c r="N288" s="13">
        <f>MAX(0,INT(L288*Parameters!$B$14/Parameters!$B$13/Parameters!$B$12)*Parameters!$B$12)</f>
        <v>0</v>
      </c>
      <c r="O288" s="13">
        <f>MAX(0,INT(M288*Parameters!$B$14/Parameters!$B$13/Parameters!$B$12)*Parameters!$B$12)</f>
        <v>4660694355</v>
      </c>
      <c r="P288" s="13">
        <f>N288*Parameters!$B$13*'H237 Tracker'!B288</f>
        <v>0</v>
      </c>
      <c r="Q288" s="13">
        <f>O288*Parameters!$B$13*'H237 Tracker'!C288</f>
        <v>766218151.96200001</v>
      </c>
      <c r="R288" s="13">
        <f t="shared" si="97"/>
        <v>0</v>
      </c>
      <c r="S288" s="13">
        <f t="shared" si="98"/>
        <v>6163889576.4940014</v>
      </c>
      <c r="T288" s="13">
        <f t="shared" si="88"/>
        <v>0</v>
      </c>
      <c r="U288" s="13">
        <f t="shared" si="89"/>
        <v>7757259747.0750618</v>
      </c>
      <c r="V288" s="12">
        <f t="shared" si="90"/>
        <v>0</v>
      </c>
      <c r="W288" t="str">
        <f>'H237 Tracker'!I288</f>
        <v>B</v>
      </c>
      <c r="X288">
        <f>'H237 Tracker'!J288</f>
        <v>55</v>
      </c>
      <c r="Y288" t="str">
        <f>'H237 Tracker'!K288</f>
        <v>B</v>
      </c>
      <c r="Z288" s="12">
        <f>'H237 Tracker'!O288</f>
        <v>0</v>
      </c>
      <c r="AA288" s="13">
        <f>'H237 Tracker'!P288</f>
        <v>0</v>
      </c>
      <c r="AB288" s="13">
        <f>'H237 Tracker'!Q288</f>
        <v>0</v>
      </c>
      <c r="AC288" s="13">
        <f t="shared" si="91"/>
        <v>0</v>
      </c>
      <c r="AD288" s="13">
        <f t="shared" si="92"/>
        <v>7757259747.0750618</v>
      </c>
      <c r="AE288" s="13">
        <f t="shared" si="93"/>
        <v>7757259747.0750618</v>
      </c>
      <c r="AF288" s="13">
        <f t="shared" si="99"/>
        <v>9721265754.8170624</v>
      </c>
      <c r="AG288" s="24">
        <f t="shared" si="94"/>
        <v>-0.20203192231102207</v>
      </c>
      <c r="AH288" s="8">
        <f>--(COUNTIF('Tax Events'!$A$4:$A$8,A288)&gt;0)</f>
        <v>0</v>
      </c>
      <c r="AI288" s="8">
        <f>--(COUNTIF('Tax Events'!$B$4:$B$9,A288)&gt;0)</f>
        <v>0</v>
      </c>
    </row>
    <row r="289" spans="1:35">
      <c r="A289" s="4">
        <f>'H237 Tracker'!A289</f>
        <v>45201</v>
      </c>
      <c r="B289" s="13">
        <f t="shared" si="95"/>
        <v>0</v>
      </c>
      <c r="C289" s="13">
        <f t="shared" si="96"/>
        <v>7757259747.0750618</v>
      </c>
      <c r="D289" s="13">
        <f t="shared" si="80"/>
        <v>0</v>
      </c>
      <c r="E289" s="13">
        <f t="shared" si="81"/>
        <v>7757259747.0750618</v>
      </c>
      <c r="F289" s="13">
        <f>IF(AH289=1,MAX(R288,0)*Parameters!$B$11,0)</f>
        <v>0</v>
      </c>
      <c r="G289" s="13">
        <f>IF(AI289=1,MAX(S288,0)*Parameters!$B$11,0)</f>
        <v>0</v>
      </c>
      <c r="H289" s="13">
        <f t="shared" si="82"/>
        <v>0</v>
      </c>
      <c r="I289" s="13">
        <f t="shared" si="83"/>
        <v>7757259747.0750618</v>
      </c>
      <c r="J289" s="13">
        <f t="shared" si="84"/>
        <v>0</v>
      </c>
      <c r="K289" s="13">
        <f t="shared" si="85"/>
        <v>0</v>
      </c>
      <c r="L289" s="13">
        <f t="shared" si="86"/>
        <v>0</v>
      </c>
      <c r="M289" s="13">
        <f t="shared" si="87"/>
        <v>7757259747.0750618</v>
      </c>
      <c r="N289" s="13">
        <f>MAX(0,INT(L289*Parameters!$B$14/Parameters!$B$13/Parameters!$B$12)*Parameters!$B$12)</f>
        <v>0</v>
      </c>
      <c r="O289" s="13">
        <f>MAX(0,INT(M289*Parameters!$B$14/Parameters!$B$13/Parameters!$B$12)*Parameters!$B$12)</f>
        <v>5171506415</v>
      </c>
      <c r="P289" s="13">
        <f>N289*Parameters!$B$13*'H237 Tracker'!B289</f>
        <v>0</v>
      </c>
      <c r="Q289" s="13">
        <f>O289*Parameters!$B$13*'H237 Tracker'!C289</f>
        <v>852264257.19200003</v>
      </c>
      <c r="R289" s="13">
        <f t="shared" si="97"/>
        <v>0</v>
      </c>
      <c r="S289" s="13">
        <f t="shared" si="98"/>
        <v>7016153833.6860018</v>
      </c>
      <c r="T289" s="13">
        <f t="shared" si="88"/>
        <v>0</v>
      </c>
      <c r="U289" s="13">
        <f t="shared" si="89"/>
        <v>8609524004.2670612</v>
      </c>
      <c r="V289" s="12">
        <f t="shared" si="90"/>
        <v>0</v>
      </c>
      <c r="W289" t="str">
        <f>'H237 Tracker'!I289</f>
        <v>B</v>
      </c>
      <c r="X289">
        <f>'H237 Tracker'!J289</f>
        <v>56</v>
      </c>
      <c r="Y289" t="str">
        <f>'H237 Tracker'!K289</f>
        <v>B</v>
      </c>
      <c r="Z289" s="12">
        <f>'H237 Tracker'!O289</f>
        <v>0</v>
      </c>
      <c r="AA289" s="13">
        <f>'H237 Tracker'!P289</f>
        <v>0</v>
      </c>
      <c r="AB289" s="13">
        <f>'H237 Tracker'!Q289</f>
        <v>0</v>
      </c>
      <c r="AC289" s="13">
        <f t="shared" si="91"/>
        <v>0</v>
      </c>
      <c r="AD289" s="13">
        <f t="shared" si="92"/>
        <v>8609524004.2670612</v>
      </c>
      <c r="AE289" s="13">
        <f t="shared" si="93"/>
        <v>8609524004.2670612</v>
      </c>
      <c r="AF289" s="13">
        <f t="shared" si="99"/>
        <v>9721265754.8170624</v>
      </c>
      <c r="AG289" s="24">
        <f t="shared" si="94"/>
        <v>-0.11436183091683438</v>
      </c>
      <c r="AH289" s="8">
        <f>--(COUNTIF('Tax Events'!$A$4:$A$8,A289)&gt;0)</f>
        <v>0</v>
      </c>
      <c r="AI289" s="8">
        <f>--(COUNTIF('Tax Events'!$B$4:$B$9,A289)&gt;0)</f>
        <v>0</v>
      </c>
    </row>
    <row r="290" spans="1:35">
      <c r="A290" s="4">
        <f>'H237 Tracker'!A290</f>
        <v>45208</v>
      </c>
      <c r="B290" s="13">
        <f t="shared" si="95"/>
        <v>0</v>
      </c>
      <c r="C290" s="13">
        <f t="shared" si="96"/>
        <v>8609524004.2670612</v>
      </c>
      <c r="D290" s="13">
        <f t="shared" si="80"/>
        <v>0</v>
      </c>
      <c r="E290" s="13">
        <f t="shared" si="81"/>
        <v>8609524004.2670612</v>
      </c>
      <c r="F290" s="13">
        <f>IF(AH290=1,MAX(R289,0)*Parameters!$B$11,0)</f>
        <v>0</v>
      </c>
      <c r="G290" s="13">
        <f>IF(AI290=1,MAX(S289,0)*Parameters!$B$11,0)</f>
        <v>0</v>
      </c>
      <c r="H290" s="13">
        <f t="shared" si="82"/>
        <v>0</v>
      </c>
      <c r="I290" s="13">
        <f t="shared" si="83"/>
        <v>8609524004.2670612</v>
      </c>
      <c r="J290" s="13">
        <f t="shared" si="84"/>
        <v>0</v>
      </c>
      <c r="K290" s="13">
        <f t="shared" si="85"/>
        <v>0</v>
      </c>
      <c r="L290" s="13">
        <f t="shared" si="86"/>
        <v>0</v>
      </c>
      <c r="M290" s="13">
        <f t="shared" si="87"/>
        <v>8609524004.2670612</v>
      </c>
      <c r="N290" s="13">
        <f>MAX(0,INT(L290*Parameters!$B$14/Parameters!$B$13/Parameters!$B$12)*Parameters!$B$12)</f>
        <v>0</v>
      </c>
      <c r="O290" s="13">
        <f>MAX(0,INT(M290*Parameters!$B$14/Parameters!$B$13/Parameters!$B$12)*Parameters!$B$12)</f>
        <v>5739682660</v>
      </c>
      <c r="P290" s="13">
        <f>N290*Parameters!$B$13*'H237 Tracker'!B290</f>
        <v>0</v>
      </c>
      <c r="Q290" s="13">
        <f>O290*Parameters!$B$13*'H237 Tracker'!C290</f>
        <v>1347677488.5680001</v>
      </c>
      <c r="R290" s="13">
        <f t="shared" si="97"/>
        <v>0</v>
      </c>
      <c r="S290" s="13">
        <f t="shared" si="98"/>
        <v>8363831322.2540016</v>
      </c>
      <c r="T290" s="13">
        <f t="shared" si="88"/>
        <v>0</v>
      </c>
      <c r="U290" s="13">
        <f t="shared" si="89"/>
        <v>9957201492.835062</v>
      </c>
      <c r="V290" s="12">
        <f t="shared" si="90"/>
        <v>0</v>
      </c>
      <c r="W290" t="str">
        <f>'H237 Tracker'!I290</f>
        <v>HOLD</v>
      </c>
      <c r="X290">
        <f>'H237 Tracker'!J290</f>
        <v>0</v>
      </c>
      <c r="Y290" t="str">
        <f>'H237 Tracker'!K290</f>
        <v>HOLD</v>
      </c>
      <c r="Z290" s="12">
        <f>'H237 Tracker'!O290</f>
        <v>0</v>
      </c>
      <c r="AA290" s="13">
        <f>'H237 Tracker'!P290</f>
        <v>0</v>
      </c>
      <c r="AB290" s="13">
        <f>'H237 Tracker'!Q290</f>
        <v>0</v>
      </c>
      <c r="AC290" s="13">
        <f t="shared" si="91"/>
        <v>0</v>
      </c>
      <c r="AD290" s="13">
        <f t="shared" si="92"/>
        <v>9957201492.835062</v>
      </c>
      <c r="AE290" s="13">
        <f t="shared" si="93"/>
        <v>9957201492.835062</v>
      </c>
      <c r="AF290" s="13">
        <f t="shared" si="99"/>
        <v>9957201492.835062</v>
      </c>
      <c r="AG290" s="24">
        <f t="shared" si="94"/>
        <v>0</v>
      </c>
      <c r="AH290" s="8">
        <f>--(COUNTIF('Tax Events'!$A$4:$A$8,A290)&gt;0)</f>
        <v>0</v>
      </c>
      <c r="AI290" s="8">
        <f>--(COUNTIF('Tax Events'!$B$4:$B$9,A290)&gt;0)</f>
        <v>0</v>
      </c>
    </row>
    <row r="291" spans="1:35">
      <c r="A291" s="4">
        <f>'H237 Tracker'!A291</f>
        <v>45215</v>
      </c>
      <c r="B291" s="13">
        <f t="shared" si="95"/>
        <v>0</v>
      </c>
      <c r="C291" s="13">
        <f t="shared" si="96"/>
        <v>9957201492.835062</v>
      </c>
      <c r="D291" s="13">
        <f t="shared" si="80"/>
        <v>0</v>
      </c>
      <c r="E291" s="13">
        <f t="shared" si="81"/>
        <v>9957201492.835062</v>
      </c>
      <c r="F291" s="13">
        <f>IF(AH291=1,MAX(R290,0)*Parameters!$B$11,0)</f>
        <v>0</v>
      </c>
      <c r="G291" s="13">
        <f>IF(AI291=1,MAX(S290,0)*Parameters!$B$11,0)</f>
        <v>0</v>
      </c>
      <c r="H291" s="13">
        <f t="shared" si="82"/>
        <v>0</v>
      </c>
      <c r="I291" s="13">
        <f t="shared" si="83"/>
        <v>9957201492.835062</v>
      </c>
      <c r="J291" s="13">
        <f t="shared" si="84"/>
        <v>0</v>
      </c>
      <c r="K291" s="13">
        <f t="shared" si="85"/>
        <v>0</v>
      </c>
      <c r="L291" s="13">
        <f t="shared" si="86"/>
        <v>0</v>
      </c>
      <c r="M291" s="13">
        <f t="shared" si="87"/>
        <v>9957201492.835062</v>
      </c>
      <c r="N291" s="13">
        <f>MAX(0,INT(L291*Parameters!$B$14/Parameters!$B$13/Parameters!$B$12)*Parameters!$B$12)</f>
        <v>0</v>
      </c>
      <c r="O291" s="13">
        <f>MAX(0,INT(M291*Parameters!$B$14/Parameters!$B$13/Parameters!$B$12)*Parameters!$B$12)</f>
        <v>6638134305</v>
      </c>
      <c r="P291" s="13">
        <f>N291*Parameters!$B$13*'H237 Tracker'!B291</f>
        <v>0</v>
      </c>
      <c r="Q291" s="13">
        <f>O291*Parameters!$B$13*'H237 Tracker'!C291</f>
        <v>975805742.83499992</v>
      </c>
      <c r="R291" s="13">
        <f t="shared" si="97"/>
        <v>0</v>
      </c>
      <c r="S291" s="13">
        <f t="shared" si="98"/>
        <v>9339637065.0890007</v>
      </c>
      <c r="T291" s="13">
        <f t="shared" si="88"/>
        <v>0</v>
      </c>
      <c r="U291" s="13">
        <f t="shared" si="89"/>
        <v>10933007235.670061</v>
      </c>
      <c r="V291" s="12">
        <f t="shared" si="90"/>
        <v>0</v>
      </c>
      <c r="W291" t="str">
        <f>'H237 Tracker'!I291</f>
        <v>HOLD</v>
      </c>
      <c r="X291">
        <f>'H237 Tracker'!J291</f>
        <v>0</v>
      </c>
      <c r="Y291" t="str">
        <f>'H237 Tracker'!K291</f>
        <v>HOLD</v>
      </c>
      <c r="Z291" s="12">
        <f>'H237 Tracker'!O291</f>
        <v>0</v>
      </c>
      <c r="AA291" s="13">
        <f>'H237 Tracker'!P291</f>
        <v>0</v>
      </c>
      <c r="AB291" s="13">
        <f>'H237 Tracker'!Q291</f>
        <v>0</v>
      </c>
      <c r="AC291" s="13">
        <f t="shared" si="91"/>
        <v>0</v>
      </c>
      <c r="AD291" s="13">
        <f t="shared" si="92"/>
        <v>10933007235.670061</v>
      </c>
      <c r="AE291" s="13">
        <f t="shared" si="93"/>
        <v>10933007235.670061</v>
      </c>
      <c r="AF291" s="13">
        <f t="shared" si="99"/>
        <v>10933007235.670061</v>
      </c>
      <c r="AG291" s="24">
        <f t="shared" si="94"/>
        <v>0</v>
      </c>
      <c r="AH291" s="8">
        <f>--(COUNTIF('Tax Events'!$A$4:$A$8,A291)&gt;0)</f>
        <v>0</v>
      </c>
      <c r="AI291" s="8">
        <f>--(COUNTIF('Tax Events'!$B$4:$B$9,A291)&gt;0)</f>
        <v>0</v>
      </c>
    </row>
    <row r="292" spans="1:35">
      <c r="A292" s="4">
        <f>'H237 Tracker'!A292</f>
        <v>45222</v>
      </c>
      <c r="B292" s="13">
        <f t="shared" si="95"/>
        <v>0</v>
      </c>
      <c r="C292" s="13">
        <f t="shared" si="96"/>
        <v>10933007235.670061</v>
      </c>
      <c r="D292" s="13">
        <f t="shared" si="80"/>
        <v>0</v>
      </c>
      <c r="E292" s="13">
        <f t="shared" si="81"/>
        <v>10933007235.670061</v>
      </c>
      <c r="F292" s="13">
        <f>IF(AH292=1,MAX(R291,0)*Parameters!$B$11,0)</f>
        <v>0</v>
      </c>
      <c r="G292" s="13">
        <f>IF(AI292=1,MAX(S291,0)*Parameters!$B$11,0)</f>
        <v>0</v>
      </c>
      <c r="H292" s="13">
        <f t="shared" si="82"/>
        <v>0</v>
      </c>
      <c r="I292" s="13">
        <f t="shared" si="83"/>
        <v>10933007235.670061</v>
      </c>
      <c r="J292" s="13">
        <f t="shared" si="84"/>
        <v>0</v>
      </c>
      <c r="K292" s="13">
        <f t="shared" si="85"/>
        <v>0</v>
      </c>
      <c r="L292" s="13">
        <f t="shared" si="86"/>
        <v>0</v>
      </c>
      <c r="M292" s="13">
        <f t="shared" si="87"/>
        <v>10933007235.670061</v>
      </c>
      <c r="N292" s="13">
        <f>MAX(0,INT(L292*Parameters!$B$14/Parameters!$B$13/Parameters!$B$12)*Parameters!$B$12)</f>
        <v>0</v>
      </c>
      <c r="O292" s="13">
        <f>MAX(0,INT(M292*Parameters!$B$14/Parameters!$B$13/Parameters!$B$12)*Parameters!$B$12)</f>
        <v>7288671480</v>
      </c>
      <c r="P292" s="13">
        <f>N292*Parameters!$B$13*'H237 Tracker'!B292</f>
        <v>0</v>
      </c>
      <c r="Q292" s="13">
        <f>O292*Parameters!$B$13*'H237 Tracker'!C292</f>
        <v>1169102905.392</v>
      </c>
      <c r="R292" s="13">
        <f t="shared" si="97"/>
        <v>0</v>
      </c>
      <c r="S292" s="13">
        <f t="shared" si="98"/>
        <v>10508739970.481001</v>
      </c>
      <c r="T292" s="13">
        <f t="shared" si="88"/>
        <v>0</v>
      </c>
      <c r="U292" s="13">
        <f t="shared" si="89"/>
        <v>12102110141.062061</v>
      </c>
      <c r="V292" s="12">
        <f t="shared" si="90"/>
        <v>0</v>
      </c>
      <c r="W292" t="str">
        <f>'H237 Tracker'!I292</f>
        <v>HOLD</v>
      </c>
      <c r="X292">
        <f>'H237 Tracker'!J292</f>
        <v>0</v>
      </c>
      <c r="Y292" t="str">
        <f>'H237 Tracker'!K292</f>
        <v>HOLD</v>
      </c>
      <c r="Z292" s="12">
        <f>'H237 Tracker'!O292</f>
        <v>0</v>
      </c>
      <c r="AA292" s="13">
        <f>'H237 Tracker'!P292</f>
        <v>0</v>
      </c>
      <c r="AB292" s="13">
        <f>'H237 Tracker'!Q292</f>
        <v>0</v>
      </c>
      <c r="AC292" s="13">
        <f t="shared" si="91"/>
        <v>0</v>
      </c>
      <c r="AD292" s="13">
        <f t="shared" si="92"/>
        <v>12102110141.062061</v>
      </c>
      <c r="AE292" s="13">
        <f t="shared" si="93"/>
        <v>12102110141.062061</v>
      </c>
      <c r="AF292" s="13">
        <f t="shared" si="99"/>
        <v>12102110141.062061</v>
      </c>
      <c r="AG292" s="24">
        <f t="shared" si="94"/>
        <v>0</v>
      </c>
      <c r="AH292" s="8">
        <f>--(COUNTIF('Tax Events'!$A$4:$A$8,A292)&gt;0)</f>
        <v>0</v>
      </c>
      <c r="AI292" s="8">
        <f>--(COUNTIF('Tax Events'!$B$4:$B$9,A292)&gt;0)</f>
        <v>0</v>
      </c>
    </row>
    <row r="293" spans="1:35">
      <c r="A293" s="4">
        <f>'H237 Tracker'!A293</f>
        <v>45229</v>
      </c>
      <c r="B293" s="13">
        <f t="shared" si="95"/>
        <v>0</v>
      </c>
      <c r="C293" s="13">
        <f t="shared" si="96"/>
        <v>12102110141.062061</v>
      </c>
      <c r="D293" s="13">
        <f t="shared" si="80"/>
        <v>0</v>
      </c>
      <c r="E293" s="13">
        <f t="shared" si="81"/>
        <v>12102110141.062061</v>
      </c>
      <c r="F293" s="13">
        <f>IF(AH293=1,MAX(R292,0)*Parameters!$B$11,0)</f>
        <v>0</v>
      </c>
      <c r="G293" s="13">
        <f>IF(AI293=1,MAX(S292,0)*Parameters!$B$11,0)</f>
        <v>0</v>
      </c>
      <c r="H293" s="13">
        <f t="shared" si="82"/>
        <v>0</v>
      </c>
      <c r="I293" s="13">
        <f t="shared" si="83"/>
        <v>12102110141.062061</v>
      </c>
      <c r="J293" s="13">
        <f t="shared" si="84"/>
        <v>0</v>
      </c>
      <c r="K293" s="13">
        <f t="shared" si="85"/>
        <v>0</v>
      </c>
      <c r="L293" s="13">
        <f t="shared" si="86"/>
        <v>0</v>
      </c>
      <c r="M293" s="13">
        <f t="shared" si="87"/>
        <v>12102110141.062061</v>
      </c>
      <c r="N293" s="13">
        <f>MAX(0,INT(L293*Parameters!$B$14/Parameters!$B$13/Parameters!$B$12)*Parameters!$B$12)</f>
        <v>0</v>
      </c>
      <c r="O293" s="13">
        <f>MAX(0,INT(M293*Parameters!$B$14/Parameters!$B$13/Parameters!$B$12)*Parameters!$B$12)</f>
        <v>8068073400</v>
      </c>
      <c r="P293" s="13">
        <f>N293*Parameters!$B$13*'H237 Tracker'!B293</f>
        <v>0</v>
      </c>
      <c r="Q293" s="13">
        <f>O293*Parameters!$B$13*'H237 Tracker'!C293</f>
        <v>9281511639.3600006</v>
      </c>
      <c r="R293" s="13">
        <f t="shared" si="97"/>
        <v>0</v>
      </c>
      <c r="S293" s="13">
        <f t="shared" si="98"/>
        <v>19790251609.841003</v>
      </c>
      <c r="T293" s="13">
        <f t="shared" si="88"/>
        <v>0</v>
      </c>
      <c r="U293" s="13">
        <f t="shared" si="89"/>
        <v>21383621780.422062</v>
      </c>
      <c r="V293" s="12">
        <f t="shared" si="90"/>
        <v>0</v>
      </c>
      <c r="W293" t="str">
        <f>'H237 Tracker'!I293</f>
        <v>HOLD</v>
      </c>
      <c r="X293">
        <f>'H237 Tracker'!J293</f>
        <v>0</v>
      </c>
      <c r="Y293" t="str">
        <f>'H237 Tracker'!K293</f>
        <v>HOLD</v>
      </c>
      <c r="Z293" s="12">
        <f>'H237 Tracker'!O293</f>
        <v>0</v>
      </c>
      <c r="AA293" s="13">
        <f>'H237 Tracker'!P293</f>
        <v>0</v>
      </c>
      <c r="AB293" s="13">
        <f>'H237 Tracker'!Q293</f>
        <v>0</v>
      </c>
      <c r="AC293" s="13">
        <f t="shared" si="91"/>
        <v>0</v>
      </c>
      <c r="AD293" s="13">
        <f t="shared" si="92"/>
        <v>21383621780.422062</v>
      </c>
      <c r="AE293" s="13">
        <f t="shared" si="93"/>
        <v>21383621780.422062</v>
      </c>
      <c r="AF293" s="13">
        <f t="shared" si="99"/>
        <v>21383621780.422062</v>
      </c>
      <c r="AG293" s="24">
        <f t="shared" si="94"/>
        <v>0</v>
      </c>
      <c r="AH293" s="8">
        <f>--(COUNTIF('Tax Events'!$A$4:$A$8,A293)&gt;0)</f>
        <v>0</v>
      </c>
      <c r="AI293" s="8">
        <f>--(COUNTIF('Tax Events'!$B$4:$B$9,A293)&gt;0)</f>
        <v>0</v>
      </c>
    </row>
    <row r="294" spans="1:35">
      <c r="A294" s="4">
        <f>'H237 Tracker'!A294</f>
        <v>45236</v>
      </c>
      <c r="B294" s="13">
        <f t="shared" si="95"/>
        <v>0</v>
      </c>
      <c r="C294" s="13">
        <f t="shared" si="96"/>
        <v>21383621780.422062</v>
      </c>
      <c r="D294" s="13">
        <f t="shared" si="80"/>
        <v>0</v>
      </c>
      <c r="E294" s="13">
        <f t="shared" si="81"/>
        <v>21383621780.422062</v>
      </c>
      <c r="F294" s="13">
        <f>IF(AH294=1,MAX(R293,0)*Parameters!$B$11,0)</f>
        <v>0</v>
      </c>
      <c r="G294" s="13">
        <f>IF(AI294=1,MAX(S293,0)*Parameters!$B$11,0)</f>
        <v>0</v>
      </c>
      <c r="H294" s="13">
        <f t="shared" si="82"/>
        <v>0</v>
      </c>
      <c r="I294" s="13">
        <f t="shared" si="83"/>
        <v>21383621780.422062</v>
      </c>
      <c r="J294" s="13">
        <f t="shared" si="84"/>
        <v>0</v>
      </c>
      <c r="K294" s="13">
        <f t="shared" si="85"/>
        <v>0</v>
      </c>
      <c r="L294" s="13">
        <f t="shared" si="86"/>
        <v>0</v>
      </c>
      <c r="M294" s="13">
        <f t="shared" si="87"/>
        <v>21383621780.422062</v>
      </c>
      <c r="N294" s="13">
        <f>MAX(0,INT(L294*Parameters!$B$14/Parameters!$B$13/Parameters!$B$12)*Parameters!$B$12)</f>
        <v>0</v>
      </c>
      <c r="O294" s="13">
        <f>MAX(0,INT(M294*Parameters!$B$14/Parameters!$B$13/Parameters!$B$12)*Parameters!$B$12)</f>
        <v>14255747760</v>
      </c>
      <c r="P294" s="13">
        <f>N294*Parameters!$B$13*'H237 Tracker'!B294</f>
        <v>0</v>
      </c>
      <c r="Q294" s="13">
        <f>O294*Parameters!$B$13*'H237 Tracker'!C294</f>
        <v>7618271602.9440002</v>
      </c>
      <c r="R294" s="13">
        <f t="shared" si="97"/>
        <v>0</v>
      </c>
      <c r="S294" s="13">
        <f t="shared" si="98"/>
        <v>27408523212.785004</v>
      </c>
      <c r="T294" s="13">
        <f t="shared" si="88"/>
        <v>0</v>
      </c>
      <c r="U294" s="13">
        <f t="shared" si="89"/>
        <v>29001893383.366062</v>
      </c>
      <c r="V294" s="12">
        <f t="shared" si="90"/>
        <v>0</v>
      </c>
      <c r="W294" t="str">
        <f>'H237 Tracker'!I294</f>
        <v>HOLD</v>
      </c>
      <c r="X294">
        <f>'H237 Tracker'!J294</f>
        <v>0</v>
      </c>
      <c r="Y294" t="str">
        <f>'H237 Tracker'!K294</f>
        <v>HOLD</v>
      </c>
      <c r="Z294" s="12">
        <f>'H237 Tracker'!O294</f>
        <v>0</v>
      </c>
      <c r="AA294" s="13">
        <f>'H237 Tracker'!P294</f>
        <v>0</v>
      </c>
      <c r="AB294" s="13">
        <f>'H237 Tracker'!Q294</f>
        <v>0</v>
      </c>
      <c r="AC294" s="13">
        <f t="shared" si="91"/>
        <v>0</v>
      </c>
      <c r="AD294" s="13">
        <f t="shared" si="92"/>
        <v>29001893383.366062</v>
      </c>
      <c r="AE294" s="13">
        <f t="shared" si="93"/>
        <v>29001893383.366062</v>
      </c>
      <c r="AF294" s="13">
        <f t="shared" si="99"/>
        <v>29001893383.366062</v>
      </c>
      <c r="AG294" s="24">
        <f t="shared" si="94"/>
        <v>0</v>
      </c>
      <c r="AH294" s="8">
        <f>--(COUNTIF('Tax Events'!$A$4:$A$8,A294)&gt;0)</f>
        <v>0</v>
      </c>
      <c r="AI294" s="8">
        <f>--(COUNTIF('Tax Events'!$B$4:$B$9,A294)&gt;0)</f>
        <v>0</v>
      </c>
    </row>
    <row r="295" spans="1:35">
      <c r="A295" s="4">
        <f>'H237 Tracker'!A295</f>
        <v>45243</v>
      </c>
      <c r="B295" s="13">
        <f t="shared" si="95"/>
        <v>0</v>
      </c>
      <c r="C295" s="13">
        <f t="shared" si="96"/>
        <v>29001893383.366062</v>
      </c>
      <c r="D295" s="13">
        <f t="shared" si="80"/>
        <v>0</v>
      </c>
      <c r="E295" s="13">
        <f t="shared" si="81"/>
        <v>29001893383.366062</v>
      </c>
      <c r="F295" s="13">
        <f>IF(AH295=1,MAX(R294,0)*Parameters!$B$11,0)</f>
        <v>0</v>
      </c>
      <c r="G295" s="13">
        <f>IF(AI295=1,MAX(S294,0)*Parameters!$B$11,0)</f>
        <v>0</v>
      </c>
      <c r="H295" s="13">
        <f t="shared" si="82"/>
        <v>0</v>
      </c>
      <c r="I295" s="13">
        <f t="shared" si="83"/>
        <v>29001893383.366062</v>
      </c>
      <c r="J295" s="13">
        <f t="shared" si="84"/>
        <v>0</v>
      </c>
      <c r="K295" s="13">
        <f t="shared" si="85"/>
        <v>0</v>
      </c>
      <c r="L295" s="13">
        <f t="shared" si="86"/>
        <v>0</v>
      </c>
      <c r="M295" s="13">
        <f t="shared" si="87"/>
        <v>29001893383.366062</v>
      </c>
      <c r="N295" s="13">
        <f>MAX(0,INT(L295*Parameters!$B$14/Parameters!$B$13/Parameters!$B$12)*Parameters!$B$12)</f>
        <v>0</v>
      </c>
      <c r="O295" s="13">
        <f>MAX(0,INT(M295*Parameters!$B$14/Parameters!$B$13/Parameters!$B$12)*Parameters!$B$12)</f>
        <v>19334595570</v>
      </c>
      <c r="P295" s="13">
        <f>N295*Parameters!$B$13*'H237 Tracker'!B295</f>
        <v>0</v>
      </c>
      <c r="Q295" s="13">
        <f>O295*Parameters!$B$13*'H237 Tracker'!C295</f>
        <v>7845978882.3059998</v>
      </c>
      <c r="R295" s="13">
        <f t="shared" si="97"/>
        <v>0</v>
      </c>
      <c r="S295" s="13">
        <f t="shared" si="98"/>
        <v>35254502095.091003</v>
      </c>
      <c r="T295" s="13">
        <f t="shared" si="88"/>
        <v>0</v>
      </c>
      <c r="U295" s="13">
        <f t="shared" si="89"/>
        <v>36847872265.672058</v>
      </c>
      <c r="V295" s="12">
        <f t="shared" si="90"/>
        <v>0</v>
      </c>
      <c r="W295" t="str">
        <f>'H237 Tracker'!I295</f>
        <v>HOLD</v>
      </c>
      <c r="X295">
        <f>'H237 Tracker'!J295</f>
        <v>0</v>
      </c>
      <c r="Y295" t="str">
        <f>'H237 Tracker'!K295</f>
        <v>HOLD</v>
      </c>
      <c r="Z295" s="12">
        <f>'H237 Tracker'!O295</f>
        <v>0</v>
      </c>
      <c r="AA295" s="13">
        <f>'H237 Tracker'!P295</f>
        <v>0</v>
      </c>
      <c r="AB295" s="13">
        <f>'H237 Tracker'!Q295</f>
        <v>0</v>
      </c>
      <c r="AC295" s="13">
        <f t="shared" si="91"/>
        <v>0</v>
      </c>
      <c r="AD295" s="13">
        <f t="shared" si="92"/>
        <v>36847872265.672058</v>
      </c>
      <c r="AE295" s="13">
        <f t="shared" si="93"/>
        <v>36847872265.672058</v>
      </c>
      <c r="AF295" s="13">
        <f t="shared" si="99"/>
        <v>36847872265.672058</v>
      </c>
      <c r="AG295" s="24">
        <f t="shared" si="94"/>
        <v>0</v>
      </c>
      <c r="AH295" s="8">
        <f>--(COUNTIF('Tax Events'!$A$4:$A$8,A295)&gt;0)</f>
        <v>0</v>
      </c>
      <c r="AI295" s="8">
        <f>--(COUNTIF('Tax Events'!$B$4:$B$9,A295)&gt;0)</f>
        <v>0</v>
      </c>
    </row>
    <row r="296" spans="1:35">
      <c r="A296" s="4">
        <f>'H237 Tracker'!A296</f>
        <v>45250</v>
      </c>
      <c r="B296" s="13">
        <f t="shared" si="95"/>
        <v>0</v>
      </c>
      <c r="C296" s="13">
        <f t="shared" si="96"/>
        <v>36847872265.672058</v>
      </c>
      <c r="D296" s="13">
        <f t="shared" si="80"/>
        <v>0</v>
      </c>
      <c r="E296" s="13">
        <f t="shared" si="81"/>
        <v>36847872265.672058</v>
      </c>
      <c r="F296" s="13">
        <f>IF(AH296=1,MAX(R295,0)*Parameters!$B$11,0)</f>
        <v>0</v>
      </c>
      <c r="G296" s="13">
        <f>IF(AI296=1,MAX(S295,0)*Parameters!$B$11,0)</f>
        <v>0</v>
      </c>
      <c r="H296" s="13">
        <f t="shared" si="82"/>
        <v>0</v>
      </c>
      <c r="I296" s="13">
        <f t="shared" si="83"/>
        <v>36847872265.672058</v>
      </c>
      <c r="J296" s="13">
        <f t="shared" si="84"/>
        <v>0</v>
      </c>
      <c r="K296" s="13">
        <f t="shared" si="85"/>
        <v>0</v>
      </c>
      <c r="L296" s="13">
        <f t="shared" si="86"/>
        <v>0</v>
      </c>
      <c r="M296" s="13">
        <f t="shared" si="87"/>
        <v>36847872265.672058</v>
      </c>
      <c r="N296" s="13">
        <f>MAX(0,INT(L296*Parameters!$B$14/Parameters!$B$13/Parameters!$B$12)*Parameters!$B$12)</f>
        <v>0</v>
      </c>
      <c r="O296" s="13">
        <f>MAX(0,INT(M296*Parameters!$B$14/Parameters!$B$13/Parameters!$B$12)*Parameters!$B$12)</f>
        <v>24565248095</v>
      </c>
      <c r="P296" s="13">
        <f>N296*Parameters!$B$13*'H237 Tracker'!B296</f>
        <v>0</v>
      </c>
      <c r="Q296" s="13">
        <f>O296*Parameters!$B$13*'H237 Tracker'!C296</f>
        <v>5925137840.5139999</v>
      </c>
      <c r="R296" s="13">
        <f t="shared" si="97"/>
        <v>0</v>
      </c>
      <c r="S296" s="13">
        <f t="shared" si="98"/>
        <v>41179639935.605003</v>
      </c>
      <c r="T296" s="13">
        <f t="shared" si="88"/>
        <v>0</v>
      </c>
      <c r="U296" s="13">
        <f t="shared" si="89"/>
        <v>42773010106.186058</v>
      </c>
      <c r="V296" s="12">
        <f t="shared" si="90"/>
        <v>0</v>
      </c>
      <c r="W296" t="str">
        <f>'H237 Tracker'!I296</f>
        <v>HOLD</v>
      </c>
      <c r="X296">
        <f>'H237 Tracker'!J296</f>
        <v>0</v>
      </c>
      <c r="Y296" t="str">
        <f>'H237 Tracker'!K296</f>
        <v>HOLD</v>
      </c>
      <c r="Z296" s="12">
        <f>'H237 Tracker'!O296</f>
        <v>0</v>
      </c>
      <c r="AA296" s="13">
        <f>'H237 Tracker'!P296</f>
        <v>0</v>
      </c>
      <c r="AB296" s="13">
        <f>'H237 Tracker'!Q296</f>
        <v>0</v>
      </c>
      <c r="AC296" s="13">
        <f t="shared" si="91"/>
        <v>0</v>
      </c>
      <c r="AD296" s="13">
        <f t="shared" si="92"/>
        <v>42773010106.186058</v>
      </c>
      <c r="AE296" s="13">
        <f t="shared" si="93"/>
        <v>42773010106.186058</v>
      </c>
      <c r="AF296" s="13">
        <f t="shared" si="99"/>
        <v>42773010106.186058</v>
      </c>
      <c r="AG296" s="24">
        <f t="shared" si="94"/>
        <v>0</v>
      </c>
      <c r="AH296" s="8">
        <f>--(COUNTIF('Tax Events'!$A$4:$A$8,A296)&gt;0)</f>
        <v>0</v>
      </c>
      <c r="AI296" s="8">
        <f>--(COUNTIF('Tax Events'!$B$4:$B$9,A296)&gt;0)</f>
        <v>0</v>
      </c>
    </row>
    <row r="297" spans="1:35">
      <c r="A297" s="4">
        <f>'H237 Tracker'!A297</f>
        <v>45257</v>
      </c>
      <c r="B297" s="13">
        <f t="shared" si="95"/>
        <v>0</v>
      </c>
      <c r="C297" s="13">
        <f t="shared" si="96"/>
        <v>42773010106.186058</v>
      </c>
      <c r="D297" s="13">
        <f t="shared" si="80"/>
        <v>0</v>
      </c>
      <c r="E297" s="13">
        <f t="shared" si="81"/>
        <v>42773010106.186058</v>
      </c>
      <c r="F297" s="13">
        <f>IF(AH297=1,MAX(R296,0)*Parameters!$B$11,0)</f>
        <v>0</v>
      </c>
      <c r="G297" s="13">
        <f>IF(AI297=1,MAX(S296,0)*Parameters!$B$11,0)</f>
        <v>0</v>
      </c>
      <c r="H297" s="13">
        <f t="shared" si="82"/>
        <v>0</v>
      </c>
      <c r="I297" s="13">
        <f t="shared" si="83"/>
        <v>42773010106.186058</v>
      </c>
      <c r="J297" s="13">
        <f t="shared" si="84"/>
        <v>0</v>
      </c>
      <c r="K297" s="13">
        <f t="shared" si="85"/>
        <v>0</v>
      </c>
      <c r="L297" s="13">
        <f t="shared" si="86"/>
        <v>0</v>
      </c>
      <c r="M297" s="13">
        <f t="shared" si="87"/>
        <v>42773010106.186058</v>
      </c>
      <c r="N297" s="13">
        <f>MAX(0,INT(L297*Parameters!$B$14/Parameters!$B$13/Parameters!$B$12)*Parameters!$B$12)</f>
        <v>0</v>
      </c>
      <c r="O297" s="13">
        <f>MAX(0,INT(M297*Parameters!$B$14/Parameters!$B$13/Parameters!$B$12)*Parameters!$B$12)</f>
        <v>28515339970</v>
      </c>
      <c r="P297" s="13">
        <f>N297*Parameters!$B$13*'H237 Tracker'!B297</f>
        <v>0</v>
      </c>
      <c r="Q297" s="13">
        <f>O297*Parameters!$B$13*'H237 Tracker'!C297</f>
        <v>-2281227197.5999999</v>
      </c>
      <c r="R297" s="13">
        <f t="shared" si="97"/>
        <v>0</v>
      </c>
      <c r="S297" s="13">
        <f t="shared" si="98"/>
        <v>38898412738.005005</v>
      </c>
      <c r="T297" s="13">
        <f t="shared" si="88"/>
        <v>0</v>
      </c>
      <c r="U297" s="13">
        <f t="shared" si="89"/>
        <v>40491782908.58606</v>
      </c>
      <c r="V297" s="12">
        <f t="shared" si="90"/>
        <v>0</v>
      </c>
      <c r="W297" t="str">
        <f>'H237 Tracker'!I297</f>
        <v>HOLD</v>
      </c>
      <c r="X297">
        <f>'H237 Tracker'!J297</f>
        <v>0</v>
      </c>
      <c r="Y297" t="str">
        <f>'H237 Tracker'!K297</f>
        <v>HOLD</v>
      </c>
      <c r="Z297" s="12">
        <f>'H237 Tracker'!O297</f>
        <v>0</v>
      </c>
      <c r="AA297" s="13">
        <f>'H237 Tracker'!P297</f>
        <v>0</v>
      </c>
      <c r="AB297" s="13">
        <f>'H237 Tracker'!Q297</f>
        <v>0</v>
      </c>
      <c r="AC297" s="13">
        <f t="shared" si="91"/>
        <v>0</v>
      </c>
      <c r="AD297" s="13">
        <f t="shared" si="92"/>
        <v>40491782908.58606</v>
      </c>
      <c r="AE297" s="13">
        <f t="shared" si="93"/>
        <v>40491782908.58606</v>
      </c>
      <c r="AF297" s="13">
        <f t="shared" si="99"/>
        <v>42773010106.186058</v>
      </c>
      <c r="AG297" s="24">
        <f t="shared" si="94"/>
        <v>-5.3333333144820583E-2</v>
      </c>
      <c r="AH297" s="8">
        <f>--(COUNTIF('Tax Events'!$A$4:$A$8,A297)&gt;0)</f>
        <v>0</v>
      </c>
      <c r="AI297" s="8">
        <f>--(COUNTIF('Tax Events'!$B$4:$B$9,A297)&gt;0)</f>
        <v>0</v>
      </c>
    </row>
    <row r="298" spans="1:35">
      <c r="A298" s="4">
        <f>'H237 Tracker'!A298</f>
        <v>45264</v>
      </c>
      <c r="B298" s="13">
        <f t="shared" si="95"/>
        <v>0</v>
      </c>
      <c r="C298" s="13">
        <f t="shared" si="96"/>
        <v>40491782908.58606</v>
      </c>
      <c r="D298" s="13">
        <f t="shared" si="80"/>
        <v>0</v>
      </c>
      <c r="E298" s="13">
        <f t="shared" si="81"/>
        <v>40491782908.58606</v>
      </c>
      <c r="F298" s="13">
        <f>IF(AH298=1,MAX(R297,0)*Parameters!$B$11,0)</f>
        <v>0</v>
      </c>
      <c r="G298" s="13">
        <f>IF(AI298=1,MAX(S297,0)*Parameters!$B$11,0)</f>
        <v>0</v>
      </c>
      <c r="H298" s="13">
        <f t="shared" si="82"/>
        <v>0</v>
      </c>
      <c r="I298" s="13">
        <f t="shared" si="83"/>
        <v>40491782908.58606</v>
      </c>
      <c r="J298" s="13">
        <f t="shared" si="84"/>
        <v>0</v>
      </c>
      <c r="K298" s="13">
        <f t="shared" si="85"/>
        <v>0</v>
      </c>
      <c r="L298" s="13">
        <f t="shared" si="86"/>
        <v>0</v>
      </c>
      <c r="M298" s="13">
        <f t="shared" si="87"/>
        <v>40491782908.58606</v>
      </c>
      <c r="N298" s="13">
        <f>MAX(0,INT(L298*Parameters!$B$14/Parameters!$B$13/Parameters!$B$12)*Parameters!$B$12)</f>
        <v>0</v>
      </c>
      <c r="O298" s="13">
        <f>MAX(0,INT(M298*Parameters!$B$14/Parameters!$B$13/Parameters!$B$12)*Parameters!$B$12)</f>
        <v>26994521895</v>
      </c>
      <c r="P298" s="13">
        <f>N298*Parameters!$B$13*'H237 Tracker'!B298</f>
        <v>0</v>
      </c>
      <c r="Q298" s="13">
        <f>O298*Parameters!$B$13*'H237 Tracker'!C298</f>
        <v>0</v>
      </c>
      <c r="R298" s="13">
        <f t="shared" si="97"/>
        <v>0</v>
      </c>
      <c r="S298" s="13">
        <f t="shared" si="98"/>
        <v>38898412738.005005</v>
      </c>
      <c r="T298" s="13">
        <f t="shared" si="88"/>
        <v>0</v>
      </c>
      <c r="U298" s="13">
        <f t="shared" si="89"/>
        <v>40491782908.58606</v>
      </c>
      <c r="V298" s="12">
        <f t="shared" si="90"/>
        <v>0</v>
      </c>
      <c r="W298" t="str">
        <f>'H237 Tracker'!I298</f>
        <v>B</v>
      </c>
      <c r="X298">
        <f>'H237 Tracker'!J298</f>
        <v>1</v>
      </c>
      <c r="Y298" t="str">
        <f>'H237 Tracker'!K298</f>
        <v>HOLD</v>
      </c>
      <c r="Z298" s="12">
        <f>'H237 Tracker'!O298</f>
        <v>0</v>
      </c>
      <c r="AA298" s="13">
        <f>'H237 Tracker'!P298</f>
        <v>0</v>
      </c>
      <c r="AB298" s="13">
        <f>'H237 Tracker'!Q298</f>
        <v>0</v>
      </c>
      <c r="AC298" s="13">
        <f t="shared" si="91"/>
        <v>0</v>
      </c>
      <c r="AD298" s="13">
        <f t="shared" si="92"/>
        <v>40491782908.58606</v>
      </c>
      <c r="AE298" s="13">
        <f t="shared" si="93"/>
        <v>40491782908.58606</v>
      </c>
      <c r="AF298" s="13">
        <f t="shared" si="99"/>
        <v>42773010106.186058</v>
      </c>
      <c r="AG298" s="24">
        <f t="shared" si="94"/>
        <v>-5.3333333144820583E-2</v>
      </c>
      <c r="AH298" s="8">
        <f>--(COUNTIF('Tax Events'!$A$4:$A$8,A298)&gt;0)</f>
        <v>0</v>
      </c>
      <c r="AI298" s="8">
        <f>--(COUNTIF('Tax Events'!$B$4:$B$9,A298)&gt;0)</f>
        <v>0</v>
      </c>
    </row>
    <row r="299" spans="1:35">
      <c r="A299" s="4">
        <f>'H237 Tracker'!A299</f>
        <v>45271</v>
      </c>
      <c r="B299" s="13">
        <f t="shared" si="95"/>
        <v>0</v>
      </c>
      <c r="C299" s="13">
        <f t="shared" si="96"/>
        <v>40491782908.58606</v>
      </c>
      <c r="D299" s="13">
        <f t="shared" si="80"/>
        <v>0</v>
      </c>
      <c r="E299" s="13">
        <f t="shared" si="81"/>
        <v>40491782908.58606</v>
      </c>
      <c r="F299" s="13">
        <f>IF(AH299=1,MAX(R298,0)*Parameters!$B$11,0)</f>
        <v>0</v>
      </c>
      <c r="G299" s="13">
        <f>IF(AI299=1,MAX(S298,0)*Parameters!$B$11,0)</f>
        <v>0</v>
      </c>
      <c r="H299" s="13">
        <f t="shared" si="82"/>
        <v>0</v>
      </c>
      <c r="I299" s="13">
        <f t="shared" si="83"/>
        <v>40491782908.58606</v>
      </c>
      <c r="J299" s="13">
        <f t="shared" si="84"/>
        <v>0</v>
      </c>
      <c r="K299" s="13">
        <f t="shared" si="85"/>
        <v>0</v>
      </c>
      <c r="L299" s="13">
        <f t="shared" si="86"/>
        <v>0</v>
      </c>
      <c r="M299" s="13">
        <f t="shared" si="87"/>
        <v>40491782908.58606</v>
      </c>
      <c r="N299" s="13">
        <f>MAX(0,INT(L299*Parameters!$B$14/Parameters!$B$13/Parameters!$B$12)*Parameters!$B$12)</f>
        <v>0</v>
      </c>
      <c r="O299" s="13">
        <f>MAX(0,INT(M299*Parameters!$B$14/Parameters!$B$13/Parameters!$B$12)*Parameters!$B$12)</f>
        <v>26994521895</v>
      </c>
      <c r="P299" s="13">
        <f>N299*Parameters!$B$13*'H237 Tracker'!B299</f>
        <v>0</v>
      </c>
      <c r="Q299" s="13">
        <f>O299*Parameters!$B$13*'H237 Tracker'!C299</f>
        <v>5452893422.79</v>
      </c>
      <c r="R299" s="13">
        <f t="shared" si="97"/>
        <v>0</v>
      </c>
      <c r="S299" s="13">
        <f t="shared" si="98"/>
        <v>44351306160.795006</v>
      </c>
      <c r="T299" s="13">
        <f t="shared" si="88"/>
        <v>0</v>
      </c>
      <c r="U299" s="13">
        <f t="shared" si="89"/>
        <v>45944676331.37606</v>
      </c>
      <c r="V299" s="12">
        <f t="shared" si="90"/>
        <v>0</v>
      </c>
      <c r="W299" t="str">
        <f>'H237 Tracker'!I299</f>
        <v>B</v>
      </c>
      <c r="X299">
        <f>'H237 Tracker'!J299</f>
        <v>2</v>
      </c>
      <c r="Y299" t="str">
        <f>'H237 Tracker'!K299</f>
        <v>HOLD</v>
      </c>
      <c r="Z299" s="12">
        <f>'H237 Tracker'!O299</f>
        <v>0</v>
      </c>
      <c r="AA299" s="13">
        <f>'H237 Tracker'!P299</f>
        <v>0</v>
      </c>
      <c r="AB299" s="13">
        <f>'H237 Tracker'!Q299</f>
        <v>0</v>
      </c>
      <c r="AC299" s="13">
        <f t="shared" si="91"/>
        <v>0</v>
      </c>
      <c r="AD299" s="13">
        <f t="shared" si="92"/>
        <v>45944676331.37606</v>
      </c>
      <c r="AE299" s="13">
        <f t="shared" si="93"/>
        <v>45944676331.37606</v>
      </c>
      <c r="AF299" s="13">
        <f t="shared" si="99"/>
        <v>45944676331.37606</v>
      </c>
      <c r="AG299" s="24">
        <f t="shared" si="94"/>
        <v>0</v>
      </c>
      <c r="AH299" s="8">
        <f>--(COUNTIF('Tax Events'!$A$4:$A$8,A299)&gt;0)</f>
        <v>0</v>
      </c>
      <c r="AI299" s="8">
        <f>--(COUNTIF('Tax Events'!$B$4:$B$9,A299)&gt;0)</f>
        <v>0</v>
      </c>
    </row>
    <row r="300" spans="1:35">
      <c r="A300" s="4">
        <f>'H237 Tracker'!A300</f>
        <v>45278</v>
      </c>
      <c r="B300" s="13">
        <f t="shared" si="95"/>
        <v>0</v>
      </c>
      <c r="C300" s="13">
        <f t="shared" si="96"/>
        <v>45944676331.37606</v>
      </c>
      <c r="D300" s="13">
        <f t="shared" si="80"/>
        <v>0</v>
      </c>
      <c r="E300" s="13">
        <f t="shared" si="81"/>
        <v>45944676331.37606</v>
      </c>
      <c r="F300" s="13">
        <f>IF(AH300=1,MAX(R299,0)*Parameters!$B$11,0)</f>
        <v>0</v>
      </c>
      <c r="G300" s="13">
        <f>IF(AI300=1,MAX(S299,0)*Parameters!$B$11,0)</f>
        <v>0</v>
      </c>
      <c r="H300" s="13">
        <f t="shared" si="82"/>
        <v>0</v>
      </c>
      <c r="I300" s="13">
        <f t="shared" si="83"/>
        <v>45944676331.37606</v>
      </c>
      <c r="J300" s="13">
        <f t="shared" si="84"/>
        <v>0</v>
      </c>
      <c r="K300" s="13">
        <f t="shared" si="85"/>
        <v>0</v>
      </c>
      <c r="L300" s="13">
        <f t="shared" si="86"/>
        <v>0</v>
      </c>
      <c r="M300" s="13">
        <f t="shared" si="87"/>
        <v>45944676331.37606</v>
      </c>
      <c r="N300" s="13">
        <f>MAX(0,INT(L300*Parameters!$B$14/Parameters!$B$13/Parameters!$B$12)*Parameters!$B$12)</f>
        <v>0</v>
      </c>
      <c r="O300" s="13">
        <f>MAX(0,INT(M300*Parameters!$B$14/Parameters!$B$13/Parameters!$B$12)*Parameters!$B$12)</f>
        <v>30629784135</v>
      </c>
      <c r="P300" s="13">
        <f>N300*Parameters!$B$13*'H237 Tracker'!B300</f>
        <v>0</v>
      </c>
      <c r="Q300" s="13">
        <f>O300*Parameters!$B$13*'H237 Tracker'!C300</f>
        <v>-1647882386.4630001</v>
      </c>
      <c r="R300" s="13">
        <f t="shared" si="97"/>
        <v>0</v>
      </c>
      <c r="S300" s="13">
        <f t="shared" si="98"/>
        <v>42703423774.332008</v>
      </c>
      <c r="T300" s="13">
        <f t="shared" si="88"/>
        <v>0</v>
      </c>
      <c r="U300" s="13">
        <f t="shared" si="89"/>
        <v>44296793944.913063</v>
      </c>
      <c r="V300" s="12">
        <f t="shared" si="90"/>
        <v>0</v>
      </c>
      <c r="W300" t="str">
        <f>'H237 Tracker'!I300</f>
        <v>B</v>
      </c>
      <c r="X300">
        <f>'H237 Tracker'!J300</f>
        <v>3</v>
      </c>
      <c r="Y300" t="str">
        <f>'H237 Tracker'!K300</f>
        <v>B</v>
      </c>
      <c r="Z300" s="12">
        <f>'H237 Tracker'!O300</f>
        <v>0</v>
      </c>
      <c r="AA300" s="13">
        <f>'H237 Tracker'!P300</f>
        <v>0</v>
      </c>
      <c r="AB300" s="13">
        <f>'H237 Tracker'!Q300</f>
        <v>0</v>
      </c>
      <c r="AC300" s="13">
        <f t="shared" si="91"/>
        <v>0</v>
      </c>
      <c r="AD300" s="13">
        <f t="shared" si="92"/>
        <v>44296793944.913063</v>
      </c>
      <c r="AE300" s="13">
        <f t="shared" si="93"/>
        <v>44296793944.913063</v>
      </c>
      <c r="AF300" s="13">
        <f t="shared" si="99"/>
        <v>45944676331.37606</v>
      </c>
      <c r="AG300" s="24">
        <f t="shared" si="94"/>
        <v>-3.5866666566059635E-2</v>
      </c>
      <c r="AH300" s="8">
        <f>--(COUNTIF('Tax Events'!$A$4:$A$8,A300)&gt;0)</f>
        <v>0</v>
      </c>
      <c r="AI300" s="8">
        <f>--(COUNTIF('Tax Events'!$B$4:$B$9,A300)&gt;0)</f>
        <v>0</v>
      </c>
    </row>
    <row r="301" spans="1:35">
      <c r="A301" s="4">
        <f>'H237 Tracker'!A301</f>
        <v>45285</v>
      </c>
      <c r="B301" s="13">
        <f t="shared" si="95"/>
        <v>0</v>
      </c>
      <c r="C301" s="13">
        <f t="shared" si="96"/>
        <v>44296793944.913063</v>
      </c>
      <c r="D301" s="13">
        <f t="shared" si="80"/>
        <v>0</v>
      </c>
      <c r="E301" s="13">
        <f t="shared" si="81"/>
        <v>44296793944.913063</v>
      </c>
      <c r="F301" s="13">
        <f>IF(AH301=1,MAX(R300,0)*Parameters!$B$11,0)</f>
        <v>0</v>
      </c>
      <c r="G301" s="13">
        <f>IF(AI301=1,MAX(S300,0)*Parameters!$B$11,0)</f>
        <v>0</v>
      </c>
      <c r="H301" s="13">
        <f t="shared" si="82"/>
        <v>0</v>
      </c>
      <c r="I301" s="13">
        <f t="shared" si="83"/>
        <v>44296793944.913063</v>
      </c>
      <c r="J301" s="13">
        <f t="shared" si="84"/>
        <v>0</v>
      </c>
      <c r="K301" s="13">
        <f t="shared" si="85"/>
        <v>0</v>
      </c>
      <c r="L301" s="13">
        <f t="shared" si="86"/>
        <v>0</v>
      </c>
      <c r="M301" s="13">
        <f t="shared" si="87"/>
        <v>44296793944.913063</v>
      </c>
      <c r="N301" s="13">
        <f>MAX(0,INT(L301*Parameters!$B$14/Parameters!$B$13/Parameters!$B$12)*Parameters!$B$12)</f>
        <v>0</v>
      </c>
      <c r="O301" s="13">
        <f>MAX(0,INT(M301*Parameters!$B$14/Parameters!$B$13/Parameters!$B$12)*Parameters!$B$12)</f>
        <v>29531195920</v>
      </c>
      <c r="P301" s="13">
        <f>N301*Parameters!$B$13*'H237 Tracker'!B301</f>
        <v>0</v>
      </c>
      <c r="Q301" s="13">
        <f>O301*Parameters!$B$13*'H237 Tracker'!C301</f>
        <v>407530503.69599998</v>
      </c>
      <c r="R301" s="13">
        <f t="shared" si="97"/>
        <v>0</v>
      </c>
      <c r="S301" s="13">
        <f t="shared" si="98"/>
        <v>43110954278.028008</v>
      </c>
      <c r="T301" s="13">
        <f t="shared" si="88"/>
        <v>0</v>
      </c>
      <c r="U301" s="13">
        <f t="shared" si="89"/>
        <v>44704324448.609062</v>
      </c>
      <c r="V301" s="12">
        <f t="shared" si="90"/>
        <v>0</v>
      </c>
      <c r="W301" t="str">
        <f>'H237 Tracker'!I301</f>
        <v>B</v>
      </c>
      <c r="X301">
        <f>'H237 Tracker'!J301</f>
        <v>4</v>
      </c>
      <c r="Y301" t="str">
        <f>'H237 Tracker'!K301</f>
        <v>B</v>
      </c>
      <c r="Z301" s="12">
        <f>'H237 Tracker'!O301</f>
        <v>0</v>
      </c>
      <c r="AA301" s="13">
        <f>'H237 Tracker'!P301</f>
        <v>0</v>
      </c>
      <c r="AB301" s="13">
        <f>'H237 Tracker'!Q301</f>
        <v>0</v>
      </c>
      <c r="AC301" s="13">
        <f t="shared" si="91"/>
        <v>0</v>
      </c>
      <c r="AD301" s="13">
        <f t="shared" si="92"/>
        <v>44704324448.609062</v>
      </c>
      <c r="AE301" s="13">
        <f t="shared" si="93"/>
        <v>44704324448.609062</v>
      </c>
      <c r="AF301" s="13">
        <f t="shared" si="99"/>
        <v>45944676331.37606</v>
      </c>
      <c r="AG301" s="24">
        <f t="shared" si="94"/>
        <v>-2.6996639911465614E-2</v>
      </c>
      <c r="AH301" s="8">
        <f>--(COUNTIF('Tax Events'!$A$4:$A$8,A301)&gt;0)</f>
        <v>0</v>
      </c>
      <c r="AI301" s="8">
        <f>--(COUNTIF('Tax Events'!$B$4:$B$9,A301)&gt;0)</f>
        <v>0</v>
      </c>
    </row>
    <row r="302" spans="1:35">
      <c r="A302" s="4">
        <f>'H237 Tracker'!A302</f>
        <v>45292</v>
      </c>
      <c r="B302" s="13">
        <f t="shared" si="95"/>
        <v>0</v>
      </c>
      <c r="C302" s="13">
        <f t="shared" si="96"/>
        <v>44704324448.609062</v>
      </c>
      <c r="D302" s="13">
        <f t="shared" si="80"/>
        <v>0</v>
      </c>
      <c r="E302" s="13">
        <f t="shared" si="81"/>
        <v>44704324448.609062</v>
      </c>
      <c r="F302" s="13">
        <f>IF(AH302=1,MAX(R301,0)*Parameters!$B$11,0)</f>
        <v>0</v>
      </c>
      <c r="G302" s="13">
        <f>IF(AI302=1,MAX(S301,0)*Parameters!$B$11,0)</f>
        <v>8191081312.8253212</v>
      </c>
      <c r="H302" s="13">
        <f t="shared" si="82"/>
        <v>0</v>
      </c>
      <c r="I302" s="13">
        <f t="shared" si="83"/>
        <v>36513243135.783737</v>
      </c>
      <c r="J302" s="13">
        <f t="shared" si="84"/>
        <v>0</v>
      </c>
      <c r="K302" s="13">
        <f t="shared" si="85"/>
        <v>0</v>
      </c>
      <c r="L302" s="13">
        <f t="shared" si="86"/>
        <v>0</v>
      </c>
      <c r="M302" s="13">
        <f t="shared" si="87"/>
        <v>36513243135.783737</v>
      </c>
      <c r="N302" s="13">
        <f>MAX(0,INT(L302*Parameters!$B$14/Parameters!$B$13/Parameters!$B$12)*Parameters!$B$12)</f>
        <v>0</v>
      </c>
      <c r="O302" s="13">
        <f>MAX(0,INT(M302*Parameters!$B$14/Parameters!$B$13/Parameters!$B$12)*Parameters!$B$12)</f>
        <v>24342162010</v>
      </c>
      <c r="P302" s="13">
        <f>N302*Parameters!$B$13*'H237 Tracker'!B302</f>
        <v>0</v>
      </c>
      <c r="Q302" s="13">
        <f>O302*Parameters!$B$13*'H237 Tracker'!C302</f>
        <v>-8495414541.4899998</v>
      </c>
      <c r="R302" s="13">
        <f t="shared" si="97"/>
        <v>0</v>
      </c>
      <c r="S302" s="13">
        <f t="shared" si="98"/>
        <v>-8495414541.4899998</v>
      </c>
      <c r="T302" s="13">
        <f t="shared" si="88"/>
        <v>0</v>
      </c>
      <c r="U302" s="13">
        <f t="shared" si="89"/>
        <v>28017828594.293739</v>
      </c>
      <c r="V302" s="12">
        <f t="shared" si="90"/>
        <v>0</v>
      </c>
      <c r="W302" t="str">
        <f>'H237 Tracker'!I302</f>
        <v>B</v>
      </c>
      <c r="X302">
        <f>'H237 Tracker'!J302</f>
        <v>5</v>
      </c>
      <c r="Y302" t="str">
        <f>'H237 Tracker'!K302</f>
        <v>B</v>
      </c>
      <c r="Z302" s="12">
        <f>'H237 Tracker'!O302</f>
        <v>0</v>
      </c>
      <c r="AA302" s="13">
        <f>'H237 Tracker'!P302</f>
        <v>0</v>
      </c>
      <c r="AB302" s="13">
        <f>'H237 Tracker'!Q302</f>
        <v>0</v>
      </c>
      <c r="AC302" s="13">
        <f t="shared" si="91"/>
        <v>0</v>
      </c>
      <c r="AD302" s="13">
        <f t="shared" si="92"/>
        <v>28017828594.293739</v>
      </c>
      <c r="AE302" s="13">
        <f t="shared" si="93"/>
        <v>28017828594.293739</v>
      </c>
      <c r="AF302" s="13">
        <f t="shared" si="99"/>
        <v>45944676331.37606</v>
      </c>
      <c r="AG302" s="24">
        <f t="shared" si="94"/>
        <v>-0.39018335024900164</v>
      </c>
      <c r="AH302" s="8">
        <f>--(COUNTIF('Tax Events'!$A$4:$A$8,A302)&gt;0)</f>
        <v>1</v>
      </c>
      <c r="AI302" s="8">
        <f>--(COUNTIF('Tax Events'!$B$4:$B$9,A302)&gt;0)</f>
        <v>1</v>
      </c>
    </row>
    <row r="303" spans="1:35">
      <c r="A303" s="4">
        <f>'H237 Tracker'!A303</f>
        <v>45299</v>
      </c>
      <c r="B303" s="13">
        <f t="shared" si="95"/>
        <v>0</v>
      </c>
      <c r="C303" s="13">
        <f t="shared" si="96"/>
        <v>28017828594.293739</v>
      </c>
      <c r="D303" s="13">
        <f t="shared" si="80"/>
        <v>0</v>
      </c>
      <c r="E303" s="13">
        <f t="shared" si="81"/>
        <v>28017828594.293739</v>
      </c>
      <c r="F303" s="13">
        <f>IF(AH303=1,MAX(R302,0)*Parameters!$B$11,0)</f>
        <v>0</v>
      </c>
      <c r="G303" s="13">
        <f>IF(AI303=1,MAX(S302,0)*Parameters!$B$11,0)</f>
        <v>0</v>
      </c>
      <c r="H303" s="13">
        <f t="shared" si="82"/>
        <v>0</v>
      </c>
      <c r="I303" s="13">
        <f t="shared" si="83"/>
        <v>28017828594.293739</v>
      </c>
      <c r="J303" s="13">
        <f t="shared" si="84"/>
        <v>0</v>
      </c>
      <c r="K303" s="13">
        <f t="shared" si="85"/>
        <v>0</v>
      </c>
      <c r="L303" s="13">
        <f t="shared" si="86"/>
        <v>0</v>
      </c>
      <c r="M303" s="13">
        <f t="shared" si="87"/>
        <v>28017828594.293739</v>
      </c>
      <c r="N303" s="13">
        <f>MAX(0,INT(L303*Parameters!$B$14/Parameters!$B$13/Parameters!$B$12)*Parameters!$B$12)</f>
        <v>0</v>
      </c>
      <c r="O303" s="13">
        <f>MAX(0,INT(M303*Parameters!$B$14/Parameters!$B$13/Parameters!$B$12)*Parameters!$B$12)</f>
        <v>18678552310</v>
      </c>
      <c r="P303" s="13">
        <f>N303*Parameters!$B$13*'H237 Tracker'!B303</f>
        <v>0</v>
      </c>
      <c r="Q303" s="13">
        <f>O303*Parameters!$B$13*'H237 Tracker'!C303</f>
        <v>6653300332.8219995</v>
      </c>
      <c r="R303" s="13">
        <f t="shared" si="97"/>
        <v>0</v>
      </c>
      <c r="S303" s="13">
        <f t="shared" si="98"/>
        <v>-1842114208.6680002</v>
      </c>
      <c r="T303" s="13">
        <f t="shared" si="88"/>
        <v>0</v>
      </c>
      <c r="U303" s="13">
        <f t="shared" si="89"/>
        <v>34671128927.115738</v>
      </c>
      <c r="V303" s="12">
        <f t="shared" si="90"/>
        <v>0</v>
      </c>
      <c r="W303" t="str">
        <f>'H237 Tracker'!I303</f>
        <v>B</v>
      </c>
      <c r="X303">
        <f>'H237 Tracker'!J303</f>
        <v>6</v>
      </c>
      <c r="Y303" t="str">
        <f>'H237 Tracker'!K303</f>
        <v>B</v>
      </c>
      <c r="Z303" s="12">
        <f>'H237 Tracker'!O303</f>
        <v>0</v>
      </c>
      <c r="AA303" s="13">
        <f>'H237 Tracker'!P303</f>
        <v>0</v>
      </c>
      <c r="AB303" s="13">
        <f>'H237 Tracker'!Q303</f>
        <v>0</v>
      </c>
      <c r="AC303" s="13">
        <f t="shared" si="91"/>
        <v>0</v>
      </c>
      <c r="AD303" s="13">
        <f t="shared" si="92"/>
        <v>34671128927.115738</v>
      </c>
      <c r="AE303" s="13">
        <f t="shared" si="93"/>
        <v>34671128927.115738</v>
      </c>
      <c r="AF303" s="13">
        <f t="shared" si="99"/>
        <v>45944676331.37606</v>
      </c>
      <c r="AG303" s="24">
        <f t="shared" si="94"/>
        <v>-0.24537222382305712</v>
      </c>
      <c r="AH303" s="8">
        <f>--(COUNTIF('Tax Events'!$A$4:$A$8,A303)&gt;0)</f>
        <v>0</v>
      </c>
      <c r="AI303" s="8">
        <f>--(COUNTIF('Tax Events'!$B$4:$B$9,A303)&gt;0)</f>
        <v>0</v>
      </c>
    </row>
    <row r="304" spans="1:35">
      <c r="A304" s="4">
        <f>'H237 Tracker'!A304</f>
        <v>45306</v>
      </c>
      <c r="B304" s="13">
        <f t="shared" si="95"/>
        <v>0</v>
      </c>
      <c r="C304" s="13">
        <f t="shared" si="96"/>
        <v>34671128927.115738</v>
      </c>
      <c r="D304" s="13">
        <f t="shared" si="80"/>
        <v>0</v>
      </c>
      <c r="E304" s="13">
        <f t="shared" si="81"/>
        <v>34671128927.115738</v>
      </c>
      <c r="F304" s="13">
        <f>IF(AH304=1,MAX(R303,0)*Parameters!$B$11,0)</f>
        <v>0</v>
      </c>
      <c r="G304" s="13">
        <f>IF(AI304=1,MAX(S303,0)*Parameters!$B$11,0)</f>
        <v>0</v>
      </c>
      <c r="H304" s="13">
        <f t="shared" si="82"/>
        <v>0</v>
      </c>
      <c r="I304" s="13">
        <f t="shared" si="83"/>
        <v>34671128927.115738</v>
      </c>
      <c r="J304" s="13">
        <f t="shared" si="84"/>
        <v>0</v>
      </c>
      <c r="K304" s="13">
        <f t="shared" si="85"/>
        <v>0</v>
      </c>
      <c r="L304" s="13">
        <f t="shared" si="86"/>
        <v>0</v>
      </c>
      <c r="M304" s="13">
        <f t="shared" si="87"/>
        <v>34671128927.115738</v>
      </c>
      <c r="N304" s="13">
        <f>MAX(0,INT(L304*Parameters!$B$14/Parameters!$B$13/Parameters!$B$12)*Parameters!$B$12)</f>
        <v>0</v>
      </c>
      <c r="O304" s="13">
        <f>MAX(0,INT(M304*Parameters!$B$14/Parameters!$B$13/Parameters!$B$12)*Parameters!$B$12)</f>
        <v>23114085865</v>
      </c>
      <c r="P304" s="13">
        <f>N304*Parameters!$B$13*'H237 Tracker'!B304</f>
        <v>0</v>
      </c>
      <c r="Q304" s="13">
        <f>O304*Parameters!$B$13*'H237 Tracker'!C304</f>
        <v>14866980028.368</v>
      </c>
      <c r="R304" s="13">
        <f t="shared" si="97"/>
        <v>0</v>
      </c>
      <c r="S304" s="13">
        <f t="shared" si="98"/>
        <v>13024865819.700001</v>
      </c>
      <c r="T304" s="13">
        <f t="shared" si="88"/>
        <v>0</v>
      </c>
      <c r="U304" s="13">
        <f t="shared" si="89"/>
        <v>49538108955.483734</v>
      </c>
      <c r="V304" s="12">
        <f t="shared" si="90"/>
        <v>0</v>
      </c>
      <c r="W304" t="str">
        <f>'H237 Tracker'!I304</f>
        <v>B</v>
      </c>
      <c r="X304">
        <f>'H237 Tracker'!J304</f>
        <v>7</v>
      </c>
      <c r="Y304" t="str">
        <f>'H237 Tracker'!K304</f>
        <v>B</v>
      </c>
      <c r="Z304" s="12">
        <f>'H237 Tracker'!O304</f>
        <v>0</v>
      </c>
      <c r="AA304" s="13">
        <f>'H237 Tracker'!P304</f>
        <v>0</v>
      </c>
      <c r="AB304" s="13">
        <f>'H237 Tracker'!Q304</f>
        <v>0</v>
      </c>
      <c r="AC304" s="13">
        <f t="shared" si="91"/>
        <v>0</v>
      </c>
      <c r="AD304" s="13">
        <f t="shared" si="92"/>
        <v>49538108955.483734</v>
      </c>
      <c r="AE304" s="13">
        <f t="shared" si="93"/>
        <v>49538108955.483734</v>
      </c>
      <c r="AF304" s="13">
        <f t="shared" si="99"/>
        <v>49538108955.483734</v>
      </c>
      <c r="AG304" s="24">
        <f t="shared" si="94"/>
        <v>0</v>
      </c>
      <c r="AH304" s="8">
        <f>--(COUNTIF('Tax Events'!$A$4:$A$8,A304)&gt;0)</f>
        <v>0</v>
      </c>
      <c r="AI304" s="8">
        <f>--(COUNTIF('Tax Events'!$B$4:$B$9,A304)&gt;0)</f>
        <v>0</v>
      </c>
    </row>
    <row r="305" spans="1:35">
      <c r="A305" s="4">
        <f>'H237 Tracker'!A305</f>
        <v>45313</v>
      </c>
      <c r="B305" s="13">
        <f t="shared" si="95"/>
        <v>0</v>
      </c>
      <c r="C305" s="13">
        <f t="shared" si="96"/>
        <v>49538108955.483734</v>
      </c>
      <c r="D305" s="13">
        <f t="shared" si="80"/>
        <v>0</v>
      </c>
      <c r="E305" s="13">
        <f t="shared" si="81"/>
        <v>49538108955.483734</v>
      </c>
      <c r="F305" s="13">
        <f>IF(AH305=1,MAX(R304,0)*Parameters!$B$11,0)</f>
        <v>0</v>
      </c>
      <c r="G305" s="13">
        <f>IF(AI305=1,MAX(S304,0)*Parameters!$B$11,0)</f>
        <v>0</v>
      </c>
      <c r="H305" s="13">
        <f t="shared" si="82"/>
        <v>0</v>
      </c>
      <c r="I305" s="13">
        <f t="shared" si="83"/>
        <v>49538108955.483734</v>
      </c>
      <c r="J305" s="13">
        <f t="shared" si="84"/>
        <v>0</v>
      </c>
      <c r="K305" s="13">
        <f t="shared" si="85"/>
        <v>0</v>
      </c>
      <c r="L305" s="13">
        <f t="shared" si="86"/>
        <v>0</v>
      </c>
      <c r="M305" s="13">
        <f t="shared" si="87"/>
        <v>49538108955.483734</v>
      </c>
      <c r="N305" s="13">
        <f>MAX(0,INT(L305*Parameters!$B$14/Parameters!$B$13/Parameters!$B$12)*Parameters!$B$12)</f>
        <v>0</v>
      </c>
      <c r="O305" s="13">
        <f>MAX(0,INT(M305*Parameters!$B$14/Parameters!$B$13/Parameters!$B$12)*Parameters!$B$12)</f>
        <v>33025405945</v>
      </c>
      <c r="P305" s="13">
        <f>N305*Parameters!$B$13*'H237 Tracker'!B305</f>
        <v>0</v>
      </c>
      <c r="Q305" s="13">
        <f>O305*Parameters!$B$13*'H237 Tracker'!C305</f>
        <v>488776007.986</v>
      </c>
      <c r="R305" s="13">
        <f t="shared" si="97"/>
        <v>0</v>
      </c>
      <c r="S305" s="13">
        <f t="shared" si="98"/>
        <v>13513641827.686001</v>
      </c>
      <c r="T305" s="13">
        <f t="shared" si="88"/>
        <v>0</v>
      </c>
      <c r="U305" s="13">
        <f t="shared" si="89"/>
        <v>50026884963.469734</v>
      </c>
      <c r="V305" s="12">
        <f t="shared" si="90"/>
        <v>0</v>
      </c>
      <c r="W305" t="str">
        <f>'H237 Tracker'!I305</f>
        <v>B</v>
      </c>
      <c r="X305">
        <f>'H237 Tracker'!J305</f>
        <v>8</v>
      </c>
      <c r="Y305" t="str">
        <f>'H237 Tracker'!K305</f>
        <v>B</v>
      </c>
      <c r="Z305" s="12">
        <f>'H237 Tracker'!O305</f>
        <v>0</v>
      </c>
      <c r="AA305" s="13">
        <f>'H237 Tracker'!P305</f>
        <v>0</v>
      </c>
      <c r="AB305" s="13">
        <f>'H237 Tracker'!Q305</f>
        <v>0</v>
      </c>
      <c r="AC305" s="13">
        <f t="shared" si="91"/>
        <v>0</v>
      </c>
      <c r="AD305" s="13">
        <f t="shared" si="92"/>
        <v>50026884963.469734</v>
      </c>
      <c r="AE305" s="13">
        <f t="shared" si="93"/>
        <v>50026884963.469734</v>
      </c>
      <c r="AF305" s="13">
        <f t="shared" si="99"/>
        <v>50026884963.469734</v>
      </c>
      <c r="AG305" s="24">
        <f t="shared" si="94"/>
        <v>0</v>
      </c>
      <c r="AH305" s="8">
        <f>--(COUNTIF('Tax Events'!$A$4:$A$8,A305)&gt;0)</f>
        <v>0</v>
      </c>
      <c r="AI305" s="8">
        <f>--(COUNTIF('Tax Events'!$B$4:$B$9,A305)&gt;0)</f>
        <v>0</v>
      </c>
    </row>
    <row r="306" spans="1:35">
      <c r="A306" s="4">
        <f>'H237 Tracker'!A306</f>
        <v>45320</v>
      </c>
      <c r="B306" s="13">
        <f t="shared" si="95"/>
        <v>0</v>
      </c>
      <c r="C306" s="13">
        <f t="shared" si="96"/>
        <v>50026884963.469734</v>
      </c>
      <c r="D306" s="13">
        <f t="shared" si="80"/>
        <v>0</v>
      </c>
      <c r="E306" s="13">
        <f t="shared" si="81"/>
        <v>50026884963.469734</v>
      </c>
      <c r="F306" s="13">
        <f>IF(AH306=1,MAX(R305,0)*Parameters!$B$11,0)</f>
        <v>0</v>
      </c>
      <c r="G306" s="13">
        <f>IF(AI306=1,MAX(S305,0)*Parameters!$B$11,0)</f>
        <v>0</v>
      </c>
      <c r="H306" s="13">
        <f t="shared" si="82"/>
        <v>0</v>
      </c>
      <c r="I306" s="13">
        <f t="shared" si="83"/>
        <v>50026884963.469734</v>
      </c>
      <c r="J306" s="13">
        <f t="shared" si="84"/>
        <v>0</v>
      </c>
      <c r="K306" s="13">
        <f t="shared" si="85"/>
        <v>0</v>
      </c>
      <c r="L306" s="13">
        <f t="shared" si="86"/>
        <v>0</v>
      </c>
      <c r="M306" s="13">
        <f t="shared" si="87"/>
        <v>50026884963.469734</v>
      </c>
      <c r="N306" s="13">
        <f>MAX(0,INT(L306*Parameters!$B$14/Parameters!$B$13/Parameters!$B$12)*Parameters!$B$12)</f>
        <v>0</v>
      </c>
      <c r="O306" s="13">
        <f>MAX(0,INT(M306*Parameters!$B$14/Parameters!$B$13/Parameters!$B$12)*Parameters!$B$12)</f>
        <v>33351256605</v>
      </c>
      <c r="P306" s="13">
        <f>N306*Parameters!$B$13*'H237 Tracker'!B306</f>
        <v>0</v>
      </c>
      <c r="Q306" s="13">
        <f>O306*Parameters!$B$13*'H237 Tracker'!C306</f>
        <v>5976545183.6159992</v>
      </c>
      <c r="R306" s="13">
        <f t="shared" si="97"/>
        <v>0</v>
      </c>
      <c r="S306" s="13">
        <f t="shared" si="98"/>
        <v>19490187011.302002</v>
      </c>
      <c r="T306" s="13">
        <f t="shared" si="88"/>
        <v>0</v>
      </c>
      <c r="U306" s="13">
        <f t="shared" si="89"/>
        <v>56003430147.085732</v>
      </c>
      <c r="V306" s="12">
        <f t="shared" si="90"/>
        <v>0</v>
      </c>
      <c r="W306" t="str">
        <f>'H237 Tracker'!I306</f>
        <v>B</v>
      </c>
      <c r="X306">
        <f>'H237 Tracker'!J306</f>
        <v>9</v>
      </c>
      <c r="Y306" t="str">
        <f>'H237 Tracker'!K306</f>
        <v>B</v>
      </c>
      <c r="Z306" s="12">
        <f>'H237 Tracker'!O306</f>
        <v>0</v>
      </c>
      <c r="AA306" s="13">
        <f>'H237 Tracker'!P306</f>
        <v>0</v>
      </c>
      <c r="AB306" s="13">
        <f>'H237 Tracker'!Q306</f>
        <v>0</v>
      </c>
      <c r="AC306" s="13">
        <f t="shared" si="91"/>
        <v>0</v>
      </c>
      <c r="AD306" s="13">
        <f t="shared" si="92"/>
        <v>56003430147.085732</v>
      </c>
      <c r="AE306" s="13">
        <f t="shared" si="93"/>
        <v>56003430147.085732</v>
      </c>
      <c r="AF306" s="13">
        <f t="shared" si="99"/>
        <v>56003430147.085732</v>
      </c>
      <c r="AG306" s="24">
        <f t="shared" si="94"/>
        <v>0</v>
      </c>
      <c r="AH306" s="8">
        <f>--(COUNTIF('Tax Events'!$A$4:$A$8,A306)&gt;0)</f>
        <v>0</v>
      </c>
      <c r="AI306" s="8">
        <f>--(COUNTIF('Tax Events'!$B$4:$B$9,A306)&gt;0)</f>
        <v>0</v>
      </c>
    </row>
    <row r="307" spans="1:35">
      <c r="A307" s="4">
        <f>'H237 Tracker'!A307</f>
        <v>45327</v>
      </c>
      <c r="B307" s="13">
        <f t="shared" si="95"/>
        <v>0</v>
      </c>
      <c r="C307" s="13">
        <f t="shared" si="96"/>
        <v>56003430147.085732</v>
      </c>
      <c r="D307" s="13">
        <f t="shared" si="80"/>
        <v>0</v>
      </c>
      <c r="E307" s="13">
        <f t="shared" si="81"/>
        <v>56003430147.085732</v>
      </c>
      <c r="F307" s="13">
        <f>IF(AH307=1,MAX(R306,0)*Parameters!$B$11,0)</f>
        <v>0</v>
      </c>
      <c r="G307" s="13">
        <f>IF(AI307=1,MAX(S306,0)*Parameters!$B$11,0)</f>
        <v>0</v>
      </c>
      <c r="H307" s="13">
        <f t="shared" si="82"/>
        <v>0</v>
      </c>
      <c r="I307" s="13">
        <f t="shared" si="83"/>
        <v>56003430147.085732</v>
      </c>
      <c r="J307" s="13">
        <f t="shared" si="84"/>
        <v>0</v>
      </c>
      <c r="K307" s="13">
        <f t="shared" si="85"/>
        <v>0</v>
      </c>
      <c r="L307" s="13">
        <f t="shared" si="86"/>
        <v>0</v>
      </c>
      <c r="M307" s="13">
        <f t="shared" si="87"/>
        <v>56003430147.085732</v>
      </c>
      <c r="N307" s="13">
        <f>MAX(0,INT(L307*Parameters!$B$14/Parameters!$B$13/Parameters!$B$12)*Parameters!$B$12)</f>
        <v>0</v>
      </c>
      <c r="O307" s="13">
        <f>MAX(0,INT(M307*Parameters!$B$14/Parameters!$B$13/Parameters!$B$12)*Parameters!$B$12)</f>
        <v>37335620090</v>
      </c>
      <c r="P307" s="13">
        <f>N307*Parameters!$B$13*'H237 Tracker'!B307</f>
        <v>0</v>
      </c>
      <c r="Q307" s="13">
        <f>O307*Parameters!$B$13*'H237 Tracker'!C307</f>
        <v>13552830092.67</v>
      </c>
      <c r="R307" s="13">
        <f t="shared" si="97"/>
        <v>0</v>
      </c>
      <c r="S307" s="13">
        <f t="shared" si="98"/>
        <v>33043017103.972</v>
      </c>
      <c r="T307" s="13">
        <f t="shared" si="88"/>
        <v>0</v>
      </c>
      <c r="U307" s="13">
        <f t="shared" si="89"/>
        <v>69556260239.755737</v>
      </c>
      <c r="V307" s="12">
        <f t="shared" si="90"/>
        <v>0</v>
      </c>
      <c r="W307" t="str">
        <f>'H237 Tracker'!I307</f>
        <v>B</v>
      </c>
      <c r="X307">
        <f>'H237 Tracker'!J307</f>
        <v>10</v>
      </c>
      <c r="Y307" t="str">
        <f>'H237 Tracker'!K307</f>
        <v>B</v>
      </c>
      <c r="Z307" s="12">
        <f>'H237 Tracker'!O307</f>
        <v>0</v>
      </c>
      <c r="AA307" s="13">
        <f>'H237 Tracker'!P307</f>
        <v>0</v>
      </c>
      <c r="AB307" s="13">
        <f>'H237 Tracker'!Q307</f>
        <v>0</v>
      </c>
      <c r="AC307" s="13">
        <f t="shared" si="91"/>
        <v>0</v>
      </c>
      <c r="AD307" s="13">
        <f t="shared" si="92"/>
        <v>69556260239.755737</v>
      </c>
      <c r="AE307" s="13">
        <f t="shared" si="93"/>
        <v>69556260239.755737</v>
      </c>
      <c r="AF307" s="13">
        <f t="shared" si="99"/>
        <v>69556260239.755737</v>
      </c>
      <c r="AG307" s="24">
        <f t="shared" si="94"/>
        <v>0</v>
      </c>
      <c r="AH307" s="8">
        <f>--(COUNTIF('Tax Events'!$A$4:$A$8,A307)&gt;0)</f>
        <v>0</v>
      </c>
      <c r="AI307" s="8">
        <f>--(COUNTIF('Tax Events'!$B$4:$B$9,A307)&gt;0)</f>
        <v>0</v>
      </c>
    </row>
    <row r="308" spans="1:35">
      <c r="A308" s="4">
        <f>'H237 Tracker'!A308</f>
        <v>45334</v>
      </c>
      <c r="B308" s="13">
        <f t="shared" si="95"/>
        <v>0</v>
      </c>
      <c r="C308" s="13">
        <f t="shared" si="96"/>
        <v>69556260239.755737</v>
      </c>
      <c r="D308" s="13">
        <f t="shared" si="80"/>
        <v>0</v>
      </c>
      <c r="E308" s="13">
        <f t="shared" si="81"/>
        <v>69556260239.755737</v>
      </c>
      <c r="F308" s="13">
        <f>IF(AH308=1,MAX(R307,0)*Parameters!$B$11,0)</f>
        <v>0</v>
      </c>
      <c r="G308" s="13">
        <f>IF(AI308=1,MAX(S307,0)*Parameters!$B$11,0)</f>
        <v>0</v>
      </c>
      <c r="H308" s="13">
        <f t="shared" si="82"/>
        <v>0</v>
      </c>
      <c r="I308" s="13">
        <f t="shared" si="83"/>
        <v>69556260239.755737</v>
      </c>
      <c r="J308" s="13">
        <f t="shared" si="84"/>
        <v>0</v>
      </c>
      <c r="K308" s="13">
        <f t="shared" si="85"/>
        <v>0</v>
      </c>
      <c r="L308" s="13">
        <f t="shared" si="86"/>
        <v>0</v>
      </c>
      <c r="M308" s="13">
        <f t="shared" si="87"/>
        <v>69556260239.755737</v>
      </c>
      <c r="N308" s="13">
        <f>MAX(0,INT(L308*Parameters!$B$14/Parameters!$B$13/Parameters!$B$12)*Parameters!$B$12)</f>
        <v>0</v>
      </c>
      <c r="O308" s="13">
        <f>MAX(0,INT(M308*Parameters!$B$14/Parameters!$B$13/Parameters!$B$12)*Parameters!$B$12)</f>
        <v>46370840155</v>
      </c>
      <c r="P308" s="13">
        <f>N308*Parameters!$B$13*'H237 Tracker'!B308</f>
        <v>0</v>
      </c>
      <c r="Q308" s="13">
        <f>O308*Parameters!$B$13*'H237 Tracker'!C308</f>
        <v>-7641914457.5440006</v>
      </c>
      <c r="R308" s="13">
        <f t="shared" si="97"/>
        <v>0</v>
      </c>
      <c r="S308" s="13">
        <f t="shared" si="98"/>
        <v>25401102646.428001</v>
      </c>
      <c r="T308" s="13">
        <f t="shared" si="88"/>
        <v>0</v>
      </c>
      <c r="U308" s="13">
        <f t="shared" si="89"/>
        <v>61914345782.211739</v>
      </c>
      <c r="V308" s="12">
        <f t="shared" si="90"/>
        <v>0</v>
      </c>
      <c r="W308" t="str">
        <f>'H237 Tracker'!I308</f>
        <v>B</v>
      </c>
      <c r="X308">
        <f>'H237 Tracker'!J308</f>
        <v>11</v>
      </c>
      <c r="Y308" t="str">
        <f>'H237 Tracker'!K308</f>
        <v>B</v>
      </c>
      <c r="Z308" s="12">
        <f>'H237 Tracker'!O308</f>
        <v>0</v>
      </c>
      <c r="AA308" s="13">
        <f>'H237 Tracker'!P308</f>
        <v>0</v>
      </c>
      <c r="AB308" s="13">
        <f>'H237 Tracker'!Q308</f>
        <v>0</v>
      </c>
      <c r="AC308" s="13">
        <f t="shared" si="91"/>
        <v>0</v>
      </c>
      <c r="AD308" s="13">
        <f t="shared" si="92"/>
        <v>61914345782.211739</v>
      </c>
      <c r="AE308" s="13">
        <f t="shared" si="93"/>
        <v>61914345782.211739</v>
      </c>
      <c r="AF308" s="13">
        <f t="shared" si="99"/>
        <v>69556260239.755737</v>
      </c>
      <c r="AG308" s="24">
        <f t="shared" si="94"/>
        <v>-0.10986666665520595</v>
      </c>
      <c r="AH308" s="8">
        <f>--(COUNTIF('Tax Events'!$A$4:$A$8,A308)&gt;0)</f>
        <v>0</v>
      </c>
      <c r="AI308" s="8">
        <f>--(COUNTIF('Tax Events'!$B$4:$B$9,A308)&gt;0)</f>
        <v>0</v>
      </c>
    </row>
    <row r="309" spans="1:35">
      <c r="A309" s="4">
        <f>'H237 Tracker'!A309</f>
        <v>45341</v>
      </c>
      <c r="B309" s="13">
        <f t="shared" si="95"/>
        <v>0</v>
      </c>
      <c r="C309" s="13">
        <f t="shared" si="96"/>
        <v>61914345782.211739</v>
      </c>
      <c r="D309" s="13">
        <f t="shared" si="80"/>
        <v>0</v>
      </c>
      <c r="E309" s="13">
        <f t="shared" si="81"/>
        <v>61914345782.211739</v>
      </c>
      <c r="F309" s="13">
        <f>IF(AH309=1,MAX(R308,0)*Parameters!$B$11,0)</f>
        <v>0</v>
      </c>
      <c r="G309" s="13">
        <f>IF(AI309=1,MAX(S308,0)*Parameters!$B$11,0)</f>
        <v>0</v>
      </c>
      <c r="H309" s="13">
        <f t="shared" si="82"/>
        <v>0</v>
      </c>
      <c r="I309" s="13">
        <f t="shared" si="83"/>
        <v>61914345782.211739</v>
      </c>
      <c r="J309" s="13">
        <f t="shared" si="84"/>
        <v>0</v>
      </c>
      <c r="K309" s="13">
        <f t="shared" si="85"/>
        <v>0</v>
      </c>
      <c r="L309" s="13">
        <f t="shared" si="86"/>
        <v>0</v>
      </c>
      <c r="M309" s="13">
        <f t="shared" si="87"/>
        <v>61914345782.211739</v>
      </c>
      <c r="N309" s="13">
        <f>MAX(0,INT(L309*Parameters!$B$14/Parameters!$B$13/Parameters!$B$12)*Parameters!$B$12)</f>
        <v>0</v>
      </c>
      <c r="O309" s="13">
        <f>MAX(0,INT(M309*Parameters!$B$14/Parameters!$B$13/Parameters!$B$12)*Parameters!$B$12)</f>
        <v>41276230445</v>
      </c>
      <c r="P309" s="13">
        <f>N309*Parameters!$B$13*'H237 Tracker'!B309</f>
        <v>0</v>
      </c>
      <c r="Q309" s="13">
        <f>O309*Parameters!$B$13*'H237 Tracker'!C309</f>
        <v>2080322014.428</v>
      </c>
      <c r="R309" s="13">
        <f t="shared" si="97"/>
        <v>0</v>
      </c>
      <c r="S309" s="13">
        <f t="shared" si="98"/>
        <v>27481424660.856003</v>
      </c>
      <c r="T309" s="13">
        <f t="shared" si="88"/>
        <v>0</v>
      </c>
      <c r="U309" s="13">
        <f t="shared" si="89"/>
        <v>63994667796.63974</v>
      </c>
      <c r="V309" s="12">
        <f t="shared" si="90"/>
        <v>0</v>
      </c>
      <c r="W309" t="str">
        <f>'H237 Tracker'!I309</f>
        <v>B</v>
      </c>
      <c r="X309">
        <f>'H237 Tracker'!J309</f>
        <v>12</v>
      </c>
      <c r="Y309" t="str">
        <f>'H237 Tracker'!K309</f>
        <v>B</v>
      </c>
      <c r="Z309" s="12">
        <f>'H237 Tracker'!O309</f>
        <v>0</v>
      </c>
      <c r="AA309" s="13">
        <f>'H237 Tracker'!P309</f>
        <v>0</v>
      </c>
      <c r="AB309" s="13">
        <f>'H237 Tracker'!Q309</f>
        <v>0</v>
      </c>
      <c r="AC309" s="13">
        <f t="shared" si="91"/>
        <v>0</v>
      </c>
      <c r="AD309" s="13">
        <f t="shared" si="92"/>
        <v>63994667796.63974</v>
      </c>
      <c r="AE309" s="13">
        <f t="shared" si="93"/>
        <v>63994667796.63974</v>
      </c>
      <c r="AF309" s="13">
        <f t="shared" si="99"/>
        <v>69556260239.755737</v>
      </c>
      <c r="AG309" s="24">
        <f t="shared" si="94"/>
        <v>-7.9958186710233803E-2</v>
      </c>
      <c r="AH309" s="8">
        <f>--(COUNTIF('Tax Events'!$A$4:$A$8,A309)&gt;0)</f>
        <v>0</v>
      </c>
      <c r="AI309" s="8">
        <f>--(COUNTIF('Tax Events'!$B$4:$B$9,A309)&gt;0)</f>
        <v>0</v>
      </c>
    </row>
    <row r="310" spans="1:35">
      <c r="A310" s="4">
        <f>'H237 Tracker'!A310</f>
        <v>45348</v>
      </c>
      <c r="B310" s="13">
        <f t="shared" si="95"/>
        <v>0</v>
      </c>
      <c r="C310" s="13">
        <f t="shared" si="96"/>
        <v>63994667796.63974</v>
      </c>
      <c r="D310" s="13">
        <f t="shared" si="80"/>
        <v>0</v>
      </c>
      <c r="E310" s="13">
        <f t="shared" si="81"/>
        <v>63994667796.63974</v>
      </c>
      <c r="F310" s="13">
        <f>IF(AH310=1,MAX(R309,0)*Parameters!$B$11,0)</f>
        <v>0</v>
      </c>
      <c r="G310" s="13">
        <f>IF(AI310=1,MAX(S309,0)*Parameters!$B$11,0)</f>
        <v>0</v>
      </c>
      <c r="H310" s="13">
        <f t="shared" si="82"/>
        <v>0</v>
      </c>
      <c r="I310" s="13">
        <f t="shared" si="83"/>
        <v>63994667796.63974</v>
      </c>
      <c r="J310" s="13">
        <f t="shared" si="84"/>
        <v>0</v>
      </c>
      <c r="K310" s="13">
        <f t="shared" si="85"/>
        <v>0</v>
      </c>
      <c r="L310" s="13">
        <f t="shared" si="86"/>
        <v>0</v>
      </c>
      <c r="M310" s="13">
        <f t="shared" si="87"/>
        <v>63994667796.63974</v>
      </c>
      <c r="N310" s="13">
        <f>MAX(0,INT(L310*Parameters!$B$14/Parameters!$B$13/Parameters!$B$12)*Parameters!$B$12)</f>
        <v>0</v>
      </c>
      <c r="O310" s="13">
        <f>MAX(0,INT(M310*Parameters!$B$14/Parameters!$B$13/Parameters!$B$12)*Parameters!$B$12)</f>
        <v>42663111815</v>
      </c>
      <c r="P310" s="13">
        <f>N310*Parameters!$B$13*'H237 Tracker'!B310</f>
        <v>0</v>
      </c>
      <c r="Q310" s="13">
        <f>O310*Parameters!$B$13*'H237 Tracker'!C310</f>
        <v>-6928489358.7560005</v>
      </c>
      <c r="R310" s="13">
        <f t="shared" si="97"/>
        <v>0</v>
      </c>
      <c r="S310" s="13">
        <f t="shared" si="98"/>
        <v>20552935302.100002</v>
      </c>
      <c r="T310" s="13">
        <f t="shared" si="88"/>
        <v>0</v>
      </c>
      <c r="U310" s="13">
        <f t="shared" si="89"/>
        <v>57066178437.883743</v>
      </c>
      <c r="V310" s="12">
        <f t="shared" si="90"/>
        <v>0</v>
      </c>
      <c r="W310" t="str">
        <f>'H237 Tracker'!I310</f>
        <v>B</v>
      </c>
      <c r="X310">
        <f>'H237 Tracker'!J310</f>
        <v>13</v>
      </c>
      <c r="Y310" t="str">
        <f>'H237 Tracker'!K310</f>
        <v>B</v>
      </c>
      <c r="Z310" s="12">
        <f>'H237 Tracker'!O310</f>
        <v>0</v>
      </c>
      <c r="AA310" s="13">
        <f>'H237 Tracker'!P310</f>
        <v>0</v>
      </c>
      <c r="AB310" s="13">
        <f>'H237 Tracker'!Q310</f>
        <v>0</v>
      </c>
      <c r="AC310" s="13">
        <f t="shared" si="91"/>
        <v>0</v>
      </c>
      <c r="AD310" s="13">
        <f t="shared" si="92"/>
        <v>57066178437.883743</v>
      </c>
      <c r="AE310" s="13">
        <f t="shared" si="93"/>
        <v>57066178437.883743</v>
      </c>
      <c r="AF310" s="13">
        <f t="shared" si="99"/>
        <v>69556260239.755737</v>
      </c>
      <c r="AG310" s="24">
        <f t="shared" si="94"/>
        <v>-0.17956804691367134</v>
      </c>
      <c r="AH310" s="8">
        <f>--(COUNTIF('Tax Events'!$A$4:$A$8,A310)&gt;0)</f>
        <v>0</v>
      </c>
      <c r="AI310" s="8">
        <f>--(COUNTIF('Tax Events'!$B$4:$B$9,A310)&gt;0)</f>
        <v>0</v>
      </c>
    </row>
    <row r="311" spans="1:35">
      <c r="A311" s="4">
        <f>'H237 Tracker'!A311</f>
        <v>45355</v>
      </c>
      <c r="B311" s="13">
        <f t="shared" si="95"/>
        <v>0</v>
      </c>
      <c r="C311" s="13">
        <f t="shared" si="96"/>
        <v>57066178437.883743</v>
      </c>
      <c r="D311" s="13">
        <f t="shared" si="80"/>
        <v>0</v>
      </c>
      <c r="E311" s="13">
        <f t="shared" si="81"/>
        <v>57066178437.883743</v>
      </c>
      <c r="F311" s="13">
        <f>IF(AH311=1,MAX(R310,0)*Parameters!$B$11,0)</f>
        <v>0</v>
      </c>
      <c r="G311" s="13">
        <f>IF(AI311=1,MAX(S310,0)*Parameters!$B$11,0)</f>
        <v>0</v>
      </c>
      <c r="H311" s="13">
        <f t="shared" si="82"/>
        <v>0</v>
      </c>
      <c r="I311" s="13">
        <f t="shared" si="83"/>
        <v>57066178437.883743</v>
      </c>
      <c r="J311" s="13">
        <f t="shared" si="84"/>
        <v>0</v>
      </c>
      <c r="K311" s="13">
        <f t="shared" si="85"/>
        <v>0</v>
      </c>
      <c r="L311" s="13">
        <f t="shared" si="86"/>
        <v>0</v>
      </c>
      <c r="M311" s="13">
        <f t="shared" si="87"/>
        <v>57066178437.883743</v>
      </c>
      <c r="N311" s="13">
        <f>MAX(0,INT(L311*Parameters!$B$14/Parameters!$B$13/Parameters!$B$12)*Parameters!$B$12)</f>
        <v>0</v>
      </c>
      <c r="O311" s="13">
        <f>MAX(0,INT(M311*Parameters!$B$14/Parameters!$B$13/Parameters!$B$12)*Parameters!$B$12)</f>
        <v>38044118875</v>
      </c>
      <c r="P311" s="13">
        <f>N311*Parameters!$B$13*'H237 Tracker'!B311</f>
        <v>0</v>
      </c>
      <c r="Q311" s="13">
        <f>O311*Parameters!$B$13*'H237 Tracker'!C311</f>
        <v>-11230623891.9</v>
      </c>
      <c r="R311" s="13">
        <f t="shared" si="97"/>
        <v>0</v>
      </c>
      <c r="S311" s="13">
        <f t="shared" si="98"/>
        <v>9322311410.2000027</v>
      </c>
      <c r="T311" s="13">
        <f t="shared" si="88"/>
        <v>0</v>
      </c>
      <c r="U311" s="13">
        <f t="shared" si="89"/>
        <v>45835554545.983742</v>
      </c>
      <c r="V311" s="12">
        <f t="shared" si="90"/>
        <v>0</v>
      </c>
      <c r="W311" t="str">
        <f>'H237 Tracker'!I311</f>
        <v>B</v>
      </c>
      <c r="X311">
        <f>'H237 Tracker'!J311</f>
        <v>14</v>
      </c>
      <c r="Y311" t="str">
        <f>'H237 Tracker'!K311</f>
        <v>B</v>
      </c>
      <c r="Z311" s="12">
        <f>'H237 Tracker'!O311</f>
        <v>0</v>
      </c>
      <c r="AA311" s="13">
        <f>'H237 Tracker'!P311</f>
        <v>0</v>
      </c>
      <c r="AB311" s="13">
        <f>'H237 Tracker'!Q311</f>
        <v>0</v>
      </c>
      <c r="AC311" s="13">
        <f t="shared" si="91"/>
        <v>0</v>
      </c>
      <c r="AD311" s="13">
        <f t="shared" si="92"/>
        <v>45835554545.983742</v>
      </c>
      <c r="AE311" s="13">
        <f t="shared" si="93"/>
        <v>45835554545.983742</v>
      </c>
      <c r="AF311" s="13">
        <f t="shared" si="99"/>
        <v>69556260239.755737</v>
      </c>
      <c r="AG311" s="24">
        <f t="shared" si="94"/>
        <v>-0.34102905492630464</v>
      </c>
      <c r="AH311" s="8">
        <f>--(COUNTIF('Tax Events'!$A$4:$A$8,A311)&gt;0)</f>
        <v>0</v>
      </c>
      <c r="AI311" s="8">
        <f>--(COUNTIF('Tax Events'!$B$4:$B$9,A311)&gt;0)</f>
        <v>0</v>
      </c>
    </row>
    <row r="312" spans="1:35">
      <c r="A312" s="4">
        <f>'H237 Tracker'!A312</f>
        <v>45362</v>
      </c>
      <c r="B312" s="13">
        <f t="shared" si="95"/>
        <v>0</v>
      </c>
      <c r="C312" s="13">
        <f t="shared" si="96"/>
        <v>45835554545.983742</v>
      </c>
      <c r="D312" s="13">
        <f t="shared" si="80"/>
        <v>0</v>
      </c>
      <c r="E312" s="13">
        <f t="shared" si="81"/>
        <v>45835554545.983742</v>
      </c>
      <c r="F312" s="13">
        <f>IF(AH312=1,MAX(R311,0)*Parameters!$B$11,0)</f>
        <v>0</v>
      </c>
      <c r="G312" s="13">
        <f>IF(AI312=1,MAX(S311,0)*Parameters!$B$11,0)</f>
        <v>0</v>
      </c>
      <c r="H312" s="13">
        <f t="shared" si="82"/>
        <v>0</v>
      </c>
      <c r="I312" s="13">
        <f t="shared" si="83"/>
        <v>45835554545.983742</v>
      </c>
      <c r="J312" s="13">
        <f t="shared" si="84"/>
        <v>0</v>
      </c>
      <c r="K312" s="13">
        <f t="shared" si="85"/>
        <v>0</v>
      </c>
      <c r="L312" s="13">
        <f t="shared" si="86"/>
        <v>0</v>
      </c>
      <c r="M312" s="13">
        <f t="shared" si="87"/>
        <v>45835554545.983742</v>
      </c>
      <c r="N312" s="13">
        <f>MAX(0,INT(L312*Parameters!$B$14/Parameters!$B$13/Parameters!$B$12)*Parameters!$B$12)</f>
        <v>0</v>
      </c>
      <c r="O312" s="13">
        <f>MAX(0,INT(M312*Parameters!$B$14/Parameters!$B$13/Parameters!$B$12)*Parameters!$B$12)</f>
        <v>30557036285</v>
      </c>
      <c r="P312" s="13">
        <f>N312*Parameters!$B$13*'H237 Tracker'!B312</f>
        <v>0</v>
      </c>
      <c r="Q312" s="13">
        <f>O312*Parameters!$B$13*'H237 Tracker'!C312</f>
        <v>-2444562902.8000002</v>
      </c>
      <c r="R312" s="13">
        <f t="shared" si="97"/>
        <v>0</v>
      </c>
      <c r="S312" s="13">
        <f t="shared" si="98"/>
        <v>6877748507.4000025</v>
      </c>
      <c r="T312" s="13">
        <f t="shared" si="88"/>
        <v>0</v>
      </c>
      <c r="U312" s="13">
        <f t="shared" si="89"/>
        <v>43390991643.183739</v>
      </c>
      <c r="V312" s="12">
        <f t="shared" si="90"/>
        <v>0</v>
      </c>
      <c r="W312" t="str">
        <f>'H237 Tracker'!I312</f>
        <v>B</v>
      </c>
      <c r="X312">
        <f>'H237 Tracker'!J312</f>
        <v>15</v>
      </c>
      <c r="Y312" t="str">
        <f>'H237 Tracker'!K312</f>
        <v>B</v>
      </c>
      <c r="Z312" s="12">
        <f>'H237 Tracker'!O312</f>
        <v>0</v>
      </c>
      <c r="AA312" s="13">
        <f>'H237 Tracker'!P312</f>
        <v>0</v>
      </c>
      <c r="AB312" s="13">
        <f>'H237 Tracker'!Q312</f>
        <v>0</v>
      </c>
      <c r="AC312" s="13">
        <f t="shared" si="91"/>
        <v>0</v>
      </c>
      <c r="AD312" s="13">
        <f t="shared" si="92"/>
        <v>43390991643.183739</v>
      </c>
      <c r="AE312" s="13">
        <f t="shared" si="93"/>
        <v>43390991643.183739</v>
      </c>
      <c r="AF312" s="13">
        <f t="shared" si="99"/>
        <v>69556260239.755737</v>
      </c>
      <c r="AG312" s="24">
        <f t="shared" si="94"/>
        <v>-0.37617417190605251</v>
      </c>
      <c r="AH312" s="8">
        <f>--(COUNTIF('Tax Events'!$A$4:$A$8,A312)&gt;0)</f>
        <v>0</v>
      </c>
      <c r="AI312" s="8">
        <f>--(COUNTIF('Tax Events'!$B$4:$B$9,A312)&gt;0)</f>
        <v>0</v>
      </c>
    </row>
    <row r="313" spans="1:35">
      <c r="A313" s="4">
        <f>'H237 Tracker'!A313</f>
        <v>45369</v>
      </c>
      <c r="B313" s="13">
        <f t="shared" si="95"/>
        <v>0</v>
      </c>
      <c r="C313" s="13">
        <f t="shared" si="96"/>
        <v>43390991643.183739</v>
      </c>
      <c r="D313" s="13">
        <f t="shared" si="80"/>
        <v>0</v>
      </c>
      <c r="E313" s="13">
        <f t="shared" si="81"/>
        <v>43390991643.183739</v>
      </c>
      <c r="F313" s="13">
        <f>IF(AH313=1,MAX(R312,0)*Parameters!$B$11,0)</f>
        <v>0</v>
      </c>
      <c r="G313" s="13">
        <f>IF(AI313=1,MAX(S312,0)*Parameters!$B$11,0)</f>
        <v>0</v>
      </c>
      <c r="H313" s="13">
        <f t="shared" si="82"/>
        <v>0</v>
      </c>
      <c r="I313" s="13">
        <f t="shared" si="83"/>
        <v>43390991643.183739</v>
      </c>
      <c r="J313" s="13">
        <f t="shared" si="84"/>
        <v>0</v>
      </c>
      <c r="K313" s="13">
        <f t="shared" si="85"/>
        <v>0</v>
      </c>
      <c r="L313" s="13">
        <f t="shared" si="86"/>
        <v>0</v>
      </c>
      <c r="M313" s="13">
        <f t="shared" si="87"/>
        <v>43390991643.183739</v>
      </c>
      <c r="N313" s="13">
        <f>MAX(0,INT(L313*Parameters!$B$14/Parameters!$B$13/Parameters!$B$12)*Parameters!$B$12)</f>
        <v>0</v>
      </c>
      <c r="O313" s="13">
        <f>MAX(0,INT(M313*Parameters!$B$14/Parameters!$B$13/Parameters!$B$12)*Parameters!$B$12)</f>
        <v>28927327700</v>
      </c>
      <c r="P313" s="13">
        <f>N313*Parameters!$B$13*'H237 Tracker'!B313</f>
        <v>0</v>
      </c>
      <c r="Q313" s="13">
        <f>O313*Parameters!$B$13*'H237 Tracker'!C313</f>
        <v>9395596036.960001</v>
      </c>
      <c r="R313" s="13">
        <f t="shared" si="97"/>
        <v>0</v>
      </c>
      <c r="S313" s="13">
        <f t="shared" si="98"/>
        <v>16273344544.360004</v>
      </c>
      <c r="T313" s="13">
        <f t="shared" si="88"/>
        <v>0</v>
      </c>
      <c r="U313" s="13">
        <f t="shared" si="89"/>
        <v>52786587680.143738</v>
      </c>
      <c r="V313" s="12">
        <f t="shared" si="90"/>
        <v>0</v>
      </c>
      <c r="W313" t="str">
        <f>'H237 Tracker'!I313</f>
        <v>B</v>
      </c>
      <c r="X313">
        <f>'H237 Tracker'!J313</f>
        <v>16</v>
      </c>
      <c r="Y313" t="str">
        <f>'H237 Tracker'!K313</f>
        <v>B</v>
      </c>
      <c r="Z313" s="12">
        <f>'H237 Tracker'!O313</f>
        <v>0</v>
      </c>
      <c r="AA313" s="13">
        <f>'H237 Tracker'!P313</f>
        <v>0</v>
      </c>
      <c r="AB313" s="13">
        <f>'H237 Tracker'!Q313</f>
        <v>0</v>
      </c>
      <c r="AC313" s="13">
        <f t="shared" si="91"/>
        <v>0</v>
      </c>
      <c r="AD313" s="13">
        <f t="shared" si="92"/>
        <v>52786587680.143738</v>
      </c>
      <c r="AE313" s="13">
        <f t="shared" si="93"/>
        <v>52786587680.143738</v>
      </c>
      <c r="AF313" s="13">
        <f t="shared" si="99"/>
        <v>69556260239.755737</v>
      </c>
      <c r="AG313" s="24">
        <f t="shared" si="94"/>
        <v>-0.24109508621953035</v>
      </c>
      <c r="AH313" s="8">
        <f>--(COUNTIF('Tax Events'!$A$4:$A$8,A313)&gt;0)</f>
        <v>0</v>
      </c>
      <c r="AI313" s="8">
        <f>--(COUNTIF('Tax Events'!$B$4:$B$9,A313)&gt;0)</f>
        <v>0</v>
      </c>
    </row>
    <row r="314" spans="1:35">
      <c r="A314" s="4">
        <f>'H237 Tracker'!A314</f>
        <v>45376</v>
      </c>
      <c r="B314" s="13">
        <f t="shared" si="95"/>
        <v>0</v>
      </c>
      <c r="C314" s="13">
        <f t="shared" si="96"/>
        <v>52786587680.143738</v>
      </c>
      <c r="D314" s="13">
        <f t="shared" si="80"/>
        <v>0</v>
      </c>
      <c r="E314" s="13">
        <f t="shared" si="81"/>
        <v>52786587680.143738</v>
      </c>
      <c r="F314" s="13">
        <f>IF(AH314=1,MAX(R313,0)*Parameters!$B$11,0)</f>
        <v>0</v>
      </c>
      <c r="G314" s="13">
        <f>IF(AI314=1,MAX(S313,0)*Parameters!$B$11,0)</f>
        <v>0</v>
      </c>
      <c r="H314" s="13">
        <f t="shared" si="82"/>
        <v>0</v>
      </c>
      <c r="I314" s="13">
        <f t="shared" si="83"/>
        <v>52786587680.143738</v>
      </c>
      <c r="J314" s="13">
        <f t="shared" si="84"/>
        <v>0</v>
      </c>
      <c r="K314" s="13">
        <f t="shared" si="85"/>
        <v>0</v>
      </c>
      <c r="L314" s="13">
        <f t="shared" si="86"/>
        <v>0</v>
      </c>
      <c r="M314" s="13">
        <f t="shared" si="87"/>
        <v>52786587680.143738</v>
      </c>
      <c r="N314" s="13">
        <f>MAX(0,INT(L314*Parameters!$B$14/Parameters!$B$13/Parameters!$B$12)*Parameters!$B$12)</f>
        <v>0</v>
      </c>
      <c r="O314" s="13">
        <f>MAX(0,INT(M314*Parameters!$B$14/Parameters!$B$13/Parameters!$B$12)*Parameters!$B$12)</f>
        <v>35191058345</v>
      </c>
      <c r="P314" s="13">
        <f>N314*Parameters!$B$13*'H237 Tracker'!B314</f>
        <v>0</v>
      </c>
      <c r="Q314" s="13">
        <f>O314*Parameters!$B$13*'H237 Tracker'!C314</f>
        <v>443407335.14700001</v>
      </c>
      <c r="R314" s="13">
        <f t="shared" si="97"/>
        <v>0</v>
      </c>
      <c r="S314" s="13">
        <f t="shared" si="98"/>
        <v>16716751879.507004</v>
      </c>
      <c r="T314" s="13">
        <f t="shared" si="88"/>
        <v>0</v>
      </c>
      <c r="U314" s="13">
        <f t="shared" si="89"/>
        <v>53229995015.290741</v>
      </c>
      <c r="V314" s="12">
        <f t="shared" si="90"/>
        <v>0</v>
      </c>
      <c r="W314" t="str">
        <f>'H237 Tracker'!I314</f>
        <v>B</v>
      </c>
      <c r="X314">
        <f>'H237 Tracker'!J314</f>
        <v>17</v>
      </c>
      <c r="Y314" t="str">
        <f>'H237 Tracker'!K314</f>
        <v>B</v>
      </c>
      <c r="Z314" s="12">
        <f>'H237 Tracker'!O314</f>
        <v>0</v>
      </c>
      <c r="AA314" s="13">
        <f>'H237 Tracker'!P314</f>
        <v>0</v>
      </c>
      <c r="AB314" s="13">
        <f>'H237 Tracker'!Q314</f>
        <v>0</v>
      </c>
      <c r="AC314" s="13">
        <f t="shared" si="91"/>
        <v>0</v>
      </c>
      <c r="AD314" s="13">
        <f t="shared" si="92"/>
        <v>53229995015.290741</v>
      </c>
      <c r="AE314" s="13">
        <f t="shared" si="93"/>
        <v>53229995015.290741</v>
      </c>
      <c r="AF314" s="13">
        <f t="shared" si="99"/>
        <v>69556260239.755737</v>
      </c>
      <c r="AG314" s="24">
        <f t="shared" si="94"/>
        <v>-0.23472028496341613</v>
      </c>
      <c r="AH314" s="8">
        <f>--(COUNTIF('Tax Events'!$A$4:$A$8,A314)&gt;0)</f>
        <v>0</v>
      </c>
      <c r="AI314" s="8">
        <f>--(COUNTIF('Tax Events'!$B$4:$B$9,A314)&gt;0)</f>
        <v>0</v>
      </c>
    </row>
    <row r="315" spans="1:35">
      <c r="A315" s="4">
        <f>'H237 Tracker'!A315</f>
        <v>45383</v>
      </c>
      <c r="B315" s="13">
        <f t="shared" si="95"/>
        <v>0</v>
      </c>
      <c r="C315" s="13">
        <f t="shared" si="96"/>
        <v>53229995015.290741</v>
      </c>
      <c r="D315" s="13">
        <f t="shared" si="80"/>
        <v>0</v>
      </c>
      <c r="E315" s="13">
        <f t="shared" si="81"/>
        <v>53229995015.290741</v>
      </c>
      <c r="F315" s="13">
        <f>IF(AH315=1,MAX(R314,0)*Parameters!$B$11,0)</f>
        <v>0</v>
      </c>
      <c r="G315" s="13">
        <f>IF(AI315=1,MAX(S314,0)*Parameters!$B$11,0)</f>
        <v>0</v>
      </c>
      <c r="H315" s="13">
        <f t="shared" si="82"/>
        <v>0</v>
      </c>
      <c r="I315" s="13">
        <f t="shared" si="83"/>
        <v>53229995015.290741</v>
      </c>
      <c r="J315" s="13">
        <f t="shared" si="84"/>
        <v>0</v>
      </c>
      <c r="K315" s="13">
        <f t="shared" si="85"/>
        <v>0</v>
      </c>
      <c r="L315" s="13">
        <f t="shared" si="86"/>
        <v>0</v>
      </c>
      <c r="M315" s="13">
        <f t="shared" si="87"/>
        <v>53229995015.290741</v>
      </c>
      <c r="N315" s="13">
        <f>MAX(0,INT(L315*Parameters!$B$14/Parameters!$B$13/Parameters!$B$12)*Parameters!$B$12)</f>
        <v>0</v>
      </c>
      <c r="O315" s="13">
        <f>MAX(0,INT(M315*Parameters!$B$14/Parameters!$B$13/Parameters!$B$12)*Parameters!$B$12)</f>
        <v>35486663315</v>
      </c>
      <c r="P315" s="13">
        <f>N315*Parameters!$B$13*'H237 Tracker'!B315</f>
        <v>0</v>
      </c>
      <c r="Q315" s="13">
        <f>O315*Parameters!$B$13*'H237 Tracker'!C315</f>
        <v>-2838933065.2000003</v>
      </c>
      <c r="R315" s="13">
        <f t="shared" si="97"/>
        <v>0</v>
      </c>
      <c r="S315" s="13">
        <f t="shared" si="98"/>
        <v>13877818814.307003</v>
      </c>
      <c r="T315" s="13">
        <f t="shared" si="88"/>
        <v>0</v>
      </c>
      <c r="U315" s="13">
        <f t="shared" si="89"/>
        <v>50391061950.090744</v>
      </c>
      <c r="V315" s="12">
        <f t="shared" si="90"/>
        <v>0</v>
      </c>
      <c r="W315" t="str">
        <f>'H237 Tracker'!I315</f>
        <v>B</v>
      </c>
      <c r="X315">
        <f>'H237 Tracker'!J315</f>
        <v>18</v>
      </c>
      <c r="Y315" t="str">
        <f>'H237 Tracker'!K315</f>
        <v>B</v>
      </c>
      <c r="Z315" s="12">
        <f>'H237 Tracker'!O315</f>
        <v>0</v>
      </c>
      <c r="AA315" s="13">
        <f>'H237 Tracker'!P315</f>
        <v>0</v>
      </c>
      <c r="AB315" s="13">
        <f>'H237 Tracker'!Q315</f>
        <v>0</v>
      </c>
      <c r="AC315" s="13">
        <f t="shared" si="91"/>
        <v>0</v>
      </c>
      <c r="AD315" s="13">
        <f t="shared" si="92"/>
        <v>50391061950.090744</v>
      </c>
      <c r="AE315" s="13">
        <f t="shared" si="93"/>
        <v>50391061950.090744</v>
      </c>
      <c r="AF315" s="13">
        <f t="shared" si="99"/>
        <v>69556260239.755737</v>
      </c>
      <c r="AG315" s="24">
        <f t="shared" si="94"/>
        <v>-0.27553520306589008</v>
      </c>
      <c r="AH315" s="8">
        <f>--(COUNTIF('Tax Events'!$A$4:$A$8,A315)&gt;0)</f>
        <v>0</v>
      </c>
      <c r="AI315" s="8">
        <f>--(COUNTIF('Tax Events'!$B$4:$B$9,A315)&gt;0)</f>
        <v>0</v>
      </c>
    </row>
    <row r="316" spans="1:35">
      <c r="A316" s="4">
        <f>'H237 Tracker'!A316</f>
        <v>45390</v>
      </c>
      <c r="B316" s="13">
        <f t="shared" si="95"/>
        <v>0</v>
      </c>
      <c r="C316" s="13">
        <f t="shared" si="96"/>
        <v>50391061950.090744</v>
      </c>
      <c r="D316" s="13">
        <f t="shared" si="80"/>
        <v>0</v>
      </c>
      <c r="E316" s="13">
        <f t="shared" si="81"/>
        <v>50391061950.090744</v>
      </c>
      <c r="F316" s="13">
        <f>IF(AH316=1,MAX(R315,0)*Parameters!$B$11,0)</f>
        <v>0</v>
      </c>
      <c r="G316" s="13">
        <f>IF(AI316=1,MAX(S315,0)*Parameters!$B$11,0)</f>
        <v>0</v>
      </c>
      <c r="H316" s="13">
        <f t="shared" si="82"/>
        <v>0</v>
      </c>
      <c r="I316" s="13">
        <f t="shared" si="83"/>
        <v>50391061950.090744</v>
      </c>
      <c r="J316" s="13">
        <f t="shared" si="84"/>
        <v>0</v>
      </c>
      <c r="K316" s="13">
        <f t="shared" si="85"/>
        <v>0</v>
      </c>
      <c r="L316" s="13">
        <f t="shared" si="86"/>
        <v>0</v>
      </c>
      <c r="M316" s="13">
        <f t="shared" si="87"/>
        <v>50391061950.090744</v>
      </c>
      <c r="N316" s="13">
        <f>MAX(0,INT(L316*Parameters!$B$14/Parameters!$B$13/Parameters!$B$12)*Parameters!$B$12)</f>
        <v>0</v>
      </c>
      <c r="O316" s="13">
        <f>MAX(0,INT(M316*Parameters!$B$14/Parameters!$B$13/Parameters!$B$12)*Parameters!$B$12)</f>
        <v>33594041270</v>
      </c>
      <c r="P316" s="13">
        <f>N316*Parameters!$B$13*'H237 Tracker'!B316</f>
        <v>0</v>
      </c>
      <c r="Q316" s="13">
        <f>O316*Parameters!$B$13*'H237 Tracker'!C316</f>
        <v>-5469109918.7559996</v>
      </c>
      <c r="R316" s="13">
        <f t="shared" si="97"/>
        <v>0</v>
      </c>
      <c r="S316" s="13">
        <f t="shared" si="98"/>
        <v>8408708895.5510035</v>
      </c>
      <c r="T316" s="13">
        <f t="shared" si="88"/>
        <v>0</v>
      </c>
      <c r="U316" s="13">
        <f t="shared" si="89"/>
        <v>44921952031.334747</v>
      </c>
      <c r="V316" s="12">
        <f t="shared" si="90"/>
        <v>0</v>
      </c>
      <c r="W316" t="str">
        <f>'H237 Tracker'!I316</f>
        <v>B</v>
      </c>
      <c r="X316">
        <f>'H237 Tracker'!J316</f>
        <v>19</v>
      </c>
      <c r="Y316" t="str">
        <f>'H237 Tracker'!K316</f>
        <v>B</v>
      </c>
      <c r="Z316" s="12">
        <f>'H237 Tracker'!O316</f>
        <v>0</v>
      </c>
      <c r="AA316" s="13">
        <f>'H237 Tracker'!P316</f>
        <v>0</v>
      </c>
      <c r="AB316" s="13">
        <f>'H237 Tracker'!Q316</f>
        <v>0</v>
      </c>
      <c r="AC316" s="13">
        <f t="shared" si="91"/>
        <v>0</v>
      </c>
      <c r="AD316" s="13">
        <f t="shared" si="92"/>
        <v>44921952031.334747</v>
      </c>
      <c r="AE316" s="13">
        <f t="shared" si="93"/>
        <v>44921952031.334747</v>
      </c>
      <c r="AF316" s="13">
        <f t="shared" si="99"/>
        <v>69556260239.755737</v>
      </c>
      <c r="AG316" s="24">
        <f t="shared" si="94"/>
        <v>-0.35416378228944734</v>
      </c>
      <c r="AH316" s="8">
        <f>--(COUNTIF('Tax Events'!$A$4:$A$8,A316)&gt;0)</f>
        <v>0</v>
      </c>
      <c r="AI316" s="8">
        <f>--(COUNTIF('Tax Events'!$B$4:$B$9,A316)&gt;0)</f>
        <v>0</v>
      </c>
    </row>
    <row r="317" spans="1:35">
      <c r="A317" s="4">
        <f>'H237 Tracker'!A317</f>
        <v>45397</v>
      </c>
      <c r="B317" s="13">
        <f t="shared" si="95"/>
        <v>0</v>
      </c>
      <c r="C317" s="13">
        <f t="shared" si="96"/>
        <v>44921952031.334747</v>
      </c>
      <c r="D317" s="13">
        <f t="shared" si="80"/>
        <v>0</v>
      </c>
      <c r="E317" s="13">
        <f t="shared" si="81"/>
        <v>44921952031.334747</v>
      </c>
      <c r="F317" s="13">
        <f>IF(AH317=1,MAX(R316,0)*Parameters!$B$11,0)</f>
        <v>0</v>
      </c>
      <c r="G317" s="13">
        <f>IF(AI317=1,MAX(S316,0)*Parameters!$B$11,0)</f>
        <v>0</v>
      </c>
      <c r="H317" s="13">
        <f t="shared" si="82"/>
        <v>0</v>
      </c>
      <c r="I317" s="13">
        <f t="shared" si="83"/>
        <v>44921952031.334747</v>
      </c>
      <c r="J317" s="13">
        <f t="shared" si="84"/>
        <v>0</v>
      </c>
      <c r="K317" s="13">
        <f t="shared" si="85"/>
        <v>0</v>
      </c>
      <c r="L317" s="13">
        <f t="shared" si="86"/>
        <v>0</v>
      </c>
      <c r="M317" s="13">
        <f t="shared" si="87"/>
        <v>44921952031.334747</v>
      </c>
      <c r="N317" s="13">
        <f>MAX(0,INT(L317*Parameters!$B$14/Parameters!$B$13/Parameters!$B$12)*Parameters!$B$12)</f>
        <v>0</v>
      </c>
      <c r="O317" s="13">
        <f>MAX(0,INT(M317*Parameters!$B$14/Parameters!$B$13/Parameters!$B$12)*Parameters!$B$12)</f>
        <v>29947967995</v>
      </c>
      <c r="P317" s="13">
        <f>N317*Parameters!$B$13*'H237 Tracker'!B317</f>
        <v>0</v>
      </c>
      <c r="Q317" s="13">
        <f>O317*Parameters!$B$13*'H237 Tracker'!C317</f>
        <v>-21107327842.875999</v>
      </c>
      <c r="R317" s="13">
        <f t="shared" si="97"/>
        <v>0</v>
      </c>
      <c r="S317" s="13">
        <f t="shared" si="98"/>
        <v>-12698618947.324997</v>
      </c>
      <c r="T317" s="13">
        <f t="shared" si="88"/>
        <v>0</v>
      </c>
      <c r="U317" s="13">
        <f t="shared" si="89"/>
        <v>23814624188.458748</v>
      </c>
      <c r="V317" s="12">
        <f t="shared" si="90"/>
        <v>0</v>
      </c>
      <c r="W317" t="str">
        <f>'H237 Tracker'!I317</f>
        <v>B</v>
      </c>
      <c r="X317">
        <f>'H237 Tracker'!J317</f>
        <v>20</v>
      </c>
      <c r="Y317" t="str">
        <f>'H237 Tracker'!K317</f>
        <v>B</v>
      </c>
      <c r="Z317" s="12">
        <f>'H237 Tracker'!O317</f>
        <v>0</v>
      </c>
      <c r="AA317" s="13">
        <f>'H237 Tracker'!P317</f>
        <v>0</v>
      </c>
      <c r="AB317" s="13">
        <f>'H237 Tracker'!Q317</f>
        <v>0</v>
      </c>
      <c r="AC317" s="13">
        <f t="shared" si="91"/>
        <v>0</v>
      </c>
      <c r="AD317" s="13">
        <f t="shared" si="92"/>
        <v>23814624188.458748</v>
      </c>
      <c r="AE317" s="13">
        <f t="shared" si="93"/>
        <v>23814624188.458748</v>
      </c>
      <c r="AF317" s="13">
        <f t="shared" si="99"/>
        <v>69556260239.755737</v>
      </c>
      <c r="AG317" s="24">
        <f t="shared" si="94"/>
        <v>-0.65762069285537572</v>
      </c>
      <c r="AH317" s="8">
        <f>--(COUNTIF('Tax Events'!$A$4:$A$8,A317)&gt;0)</f>
        <v>0</v>
      </c>
      <c r="AI317" s="8">
        <f>--(COUNTIF('Tax Events'!$B$4:$B$9,A317)&gt;0)</f>
        <v>0</v>
      </c>
    </row>
    <row r="318" spans="1:35">
      <c r="A318" s="4">
        <f>'H237 Tracker'!A318</f>
        <v>45404</v>
      </c>
      <c r="B318" s="13">
        <f t="shared" si="95"/>
        <v>0</v>
      </c>
      <c r="C318" s="13">
        <f t="shared" si="96"/>
        <v>23814624188.458748</v>
      </c>
      <c r="D318" s="13">
        <f t="shared" si="80"/>
        <v>0</v>
      </c>
      <c r="E318" s="13">
        <f t="shared" si="81"/>
        <v>23814624188.458748</v>
      </c>
      <c r="F318" s="13">
        <f>IF(AH318=1,MAX(R317,0)*Parameters!$B$11,0)</f>
        <v>0</v>
      </c>
      <c r="G318" s="13">
        <f>IF(AI318=1,MAX(S317,0)*Parameters!$B$11,0)</f>
        <v>0</v>
      </c>
      <c r="H318" s="13">
        <f t="shared" si="82"/>
        <v>0</v>
      </c>
      <c r="I318" s="13">
        <f t="shared" si="83"/>
        <v>23814624188.458748</v>
      </c>
      <c r="J318" s="13">
        <f t="shared" si="84"/>
        <v>0</v>
      </c>
      <c r="K318" s="13">
        <f t="shared" si="85"/>
        <v>0</v>
      </c>
      <c r="L318" s="13">
        <f t="shared" si="86"/>
        <v>0</v>
      </c>
      <c r="M318" s="13">
        <f t="shared" si="87"/>
        <v>23814624188.458748</v>
      </c>
      <c r="N318" s="13">
        <f>MAX(0,INT(L318*Parameters!$B$14/Parameters!$B$13/Parameters!$B$12)*Parameters!$B$12)</f>
        <v>0</v>
      </c>
      <c r="O318" s="13">
        <f>MAX(0,INT(M318*Parameters!$B$14/Parameters!$B$13/Parameters!$B$12)*Parameters!$B$12)</f>
        <v>15876416080</v>
      </c>
      <c r="P318" s="13">
        <f>N318*Parameters!$B$13*'H237 Tracker'!B318</f>
        <v>0</v>
      </c>
      <c r="Q318" s="13">
        <f>O318*Parameters!$B$13*'H237 Tracker'!C318</f>
        <v>10586394242.144001</v>
      </c>
      <c r="R318" s="13">
        <f t="shared" si="97"/>
        <v>0</v>
      </c>
      <c r="S318" s="13">
        <f t="shared" si="98"/>
        <v>-2112224705.1809959</v>
      </c>
      <c r="T318" s="13">
        <f t="shared" si="88"/>
        <v>0</v>
      </c>
      <c r="U318" s="13">
        <f t="shared" si="89"/>
        <v>34401018430.602753</v>
      </c>
      <c r="V318" s="12">
        <f t="shared" si="90"/>
        <v>0</v>
      </c>
      <c r="W318" t="str">
        <f>'H237 Tracker'!I318</f>
        <v>B</v>
      </c>
      <c r="X318">
        <f>'H237 Tracker'!J318</f>
        <v>21</v>
      </c>
      <c r="Y318" t="str">
        <f>'H237 Tracker'!K318</f>
        <v>B</v>
      </c>
      <c r="Z318" s="12">
        <f>'H237 Tracker'!O318</f>
        <v>0</v>
      </c>
      <c r="AA318" s="13">
        <f>'H237 Tracker'!P318</f>
        <v>0</v>
      </c>
      <c r="AB318" s="13">
        <f>'H237 Tracker'!Q318</f>
        <v>0</v>
      </c>
      <c r="AC318" s="13">
        <f t="shared" si="91"/>
        <v>0</v>
      </c>
      <c r="AD318" s="13">
        <f t="shared" si="92"/>
        <v>34401018430.602753</v>
      </c>
      <c r="AE318" s="13">
        <f t="shared" si="93"/>
        <v>34401018430.602753</v>
      </c>
      <c r="AF318" s="13">
        <f t="shared" si="99"/>
        <v>69556260239.755737</v>
      </c>
      <c r="AG318" s="24">
        <f t="shared" si="94"/>
        <v>-0.50542167862353782</v>
      </c>
      <c r="AH318" s="8">
        <f>--(COUNTIF('Tax Events'!$A$4:$A$8,A318)&gt;0)</f>
        <v>0</v>
      </c>
      <c r="AI318" s="8">
        <f>--(COUNTIF('Tax Events'!$B$4:$B$9,A318)&gt;0)</f>
        <v>0</v>
      </c>
    </row>
    <row r="319" spans="1:35">
      <c r="A319" s="4">
        <f>'H237 Tracker'!A319</f>
        <v>45411</v>
      </c>
      <c r="B319" s="13">
        <f t="shared" si="95"/>
        <v>0</v>
      </c>
      <c r="C319" s="13">
        <f t="shared" si="96"/>
        <v>34401018430.602753</v>
      </c>
      <c r="D319" s="13">
        <f t="shared" si="80"/>
        <v>0</v>
      </c>
      <c r="E319" s="13">
        <f t="shared" si="81"/>
        <v>34401018430.602753</v>
      </c>
      <c r="F319" s="13">
        <f>IF(AH319=1,MAX(R318,0)*Parameters!$B$11,0)</f>
        <v>0</v>
      </c>
      <c r="G319" s="13">
        <f>IF(AI319=1,MAX(S318,0)*Parameters!$B$11,0)</f>
        <v>0</v>
      </c>
      <c r="H319" s="13">
        <f t="shared" si="82"/>
        <v>0</v>
      </c>
      <c r="I319" s="13">
        <f t="shared" si="83"/>
        <v>34401018430.602753</v>
      </c>
      <c r="J319" s="13">
        <f t="shared" si="84"/>
        <v>0</v>
      </c>
      <c r="K319" s="13">
        <f t="shared" si="85"/>
        <v>0</v>
      </c>
      <c r="L319" s="13">
        <f t="shared" si="86"/>
        <v>0</v>
      </c>
      <c r="M319" s="13">
        <f t="shared" si="87"/>
        <v>34401018430.602753</v>
      </c>
      <c r="N319" s="13">
        <f>MAX(0,INT(L319*Parameters!$B$14/Parameters!$B$13/Parameters!$B$12)*Parameters!$B$12)</f>
        <v>0</v>
      </c>
      <c r="O319" s="13">
        <f>MAX(0,INT(M319*Parameters!$B$14/Parameters!$B$13/Parameters!$B$12)*Parameters!$B$12)</f>
        <v>22934012195</v>
      </c>
      <c r="P319" s="13">
        <f>N319*Parameters!$B$13*'H237 Tracker'!B319</f>
        <v>0</v>
      </c>
      <c r="Q319" s="13">
        <f>O319*Parameters!$B$13*'H237 Tracker'!C319</f>
        <v>-11563328948.719</v>
      </c>
      <c r="R319" s="13">
        <f t="shared" si="97"/>
        <v>0</v>
      </c>
      <c r="S319" s="13">
        <f t="shared" si="98"/>
        <v>-13675553653.899996</v>
      </c>
      <c r="T319" s="13">
        <f t="shared" si="88"/>
        <v>0</v>
      </c>
      <c r="U319" s="13">
        <f t="shared" si="89"/>
        <v>22837689481.883751</v>
      </c>
      <c r="V319" s="12">
        <f t="shared" si="90"/>
        <v>0</v>
      </c>
      <c r="W319" t="str">
        <f>'H237 Tracker'!I319</f>
        <v>B</v>
      </c>
      <c r="X319">
        <f>'H237 Tracker'!J319</f>
        <v>22</v>
      </c>
      <c r="Y319" t="str">
        <f>'H237 Tracker'!K319</f>
        <v>B</v>
      </c>
      <c r="Z319" s="12">
        <f>'H237 Tracker'!O319</f>
        <v>0</v>
      </c>
      <c r="AA319" s="13">
        <f>'H237 Tracker'!P319</f>
        <v>0</v>
      </c>
      <c r="AB319" s="13">
        <f>'H237 Tracker'!Q319</f>
        <v>0</v>
      </c>
      <c r="AC319" s="13">
        <f t="shared" si="91"/>
        <v>0</v>
      </c>
      <c r="AD319" s="13">
        <f t="shared" si="92"/>
        <v>22837689481.883751</v>
      </c>
      <c r="AE319" s="13">
        <f t="shared" si="93"/>
        <v>22837689481.883751</v>
      </c>
      <c r="AF319" s="13">
        <f t="shared" si="99"/>
        <v>69556260239.755737</v>
      </c>
      <c r="AG319" s="24">
        <f t="shared" si="94"/>
        <v>-0.67166593771482574</v>
      </c>
      <c r="AH319" s="8">
        <f>--(COUNTIF('Tax Events'!$A$4:$A$8,A319)&gt;0)</f>
        <v>0</v>
      </c>
      <c r="AI319" s="8">
        <f>--(COUNTIF('Tax Events'!$B$4:$B$9,A319)&gt;0)</f>
        <v>0</v>
      </c>
    </row>
    <row r="320" spans="1:35">
      <c r="A320" s="4">
        <f>'H237 Tracker'!A320</f>
        <v>45418</v>
      </c>
      <c r="B320" s="13">
        <f t="shared" si="95"/>
        <v>0</v>
      </c>
      <c r="C320" s="13">
        <f t="shared" si="96"/>
        <v>22837689481.883751</v>
      </c>
      <c r="D320" s="13">
        <f t="shared" si="80"/>
        <v>0</v>
      </c>
      <c r="E320" s="13">
        <f t="shared" si="81"/>
        <v>22837689481.883751</v>
      </c>
      <c r="F320" s="13">
        <f>IF(AH320=1,MAX(R319,0)*Parameters!$B$11,0)</f>
        <v>0</v>
      </c>
      <c r="G320" s="13">
        <f>IF(AI320=1,MAX(S319,0)*Parameters!$B$11,0)</f>
        <v>0</v>
      </c>
      <c r="H320" s="13">
        <f t="shared" si="82"/>
        <v>0</v>
      </c>
      <c r="I320" s="13">
        <f t="shared" si="83"/>
        <v>22837689481.883751</v>
      </c>
      <c r="J320" s="13">
        <f t="shared" si="84"/>
        <v>0</v>
      </c>
      <c r="K320" s="13">
        <f t="shared" si="85"/>
        <v>0</v>
      </c>
      <c r="L320" s="13">
        <f t="shared" si="86"/>
        <v>0</v>
      </c>
      <c r="M320" s="13">
        <f t="shared" si="87"/>
        <v>22837689481.883751</v>
      </c>
      <c r="N320" s="13">
        <f>MAX(0,INT(L320*Parameters!$B$14/Parameters!$B$13/Parameters!$B$12)*Parameters!$B$12)</f>
        <v>0</v>
      </c>
      <c r="O320" s="13">
        <f>MAX(0,INT(M320*Parameters!$B$14/Parameters!$B$13/Parameters!$B$12)*Parameters!$B$12)</f>
        <v>15225126230</v>
      </c>
      <c r="P320" s="13">
        <f>N320*Parameters!$B$13*'H237 Tracker'!B320</f>
        <v>0</v>
      </c>
      <c r="Q320" s="13">
        <f>O320*Parameters!$B$13*'H237 Tracker'!C320</f>
        <v>3300807366.664</v>
      </c>
      <c r="R320" s="13">
        <f t="shared" si="97"/>
        <v>0</v>
      </c>
      <c r="S320" s="13">
        <f t="shared" si="98"/>
        <v>-10374746287.235996</v>
      </c>
      <c r="T320" s="13">
        <f t="shared" si="88"/>
        <v>0</v>
      </c>
      <c r="U320" s="13">
        <f t="shared" si="89"/>
        <v>26138496848.547752</v>
      </c>
      <c r="V320" s="12">
        <f t="shared" si="90"/>
        <v>0</v>
      </c>
      <c r="W320" t="str">
        <f>'H237 Tracker'!I320</f>
        <v>B</v>
      </c>
      <c r="X320">
        <f>'H237 Tracker'!J320</f>
        <v>23</v>
      </c>
      <c r="Y320" t="str">
        <f>'H237 Tracker'!K320</f>
        <v>B</v>
      </c>
      <c r="Z320" s="12">
        <f>'H237 Tracker'!O320</f>
        <v>0</v>
      </c>
      <c r="AA320" s="13">
        <f>'H237 Tracker'!P320</f>
        <v>0</v>
      </c>
      <c r="AB320" s="13">
        <f>'H237 Tracker'!Q320</f>
        <v>0</v>
      </c>
      <c r="AC320" s="13">
        <f t="shared" si="91"/>
        <v>0</v>
      </c>
      <c r="AD320" s="13">
        <f t="shared" si="92"/>
        <v>26138496848.547752</v>
      </c>
      <c r="AE320" s="13">
        <f t="shared" si="93"/>
        <v>26138496848.547752</v>
      </c>
      <c r="AF320" s="13">
        <f t="shared" si="99"/>
        <v>69556260239.755737</v>
      </c>
      <c r="AG320" s="24">
        <f t="shared" si="94"/>
        <v>-0.62421072153031054</v>
      </c>
      <c r="AH320" s="8">
        <f>--(COUNTIF('Tax Events'!$A$4:$A$8,A320)&gt;0)</f>
        <v>0</v>
      </c>
      <c r="AI320" s="8">
        <f>--(COUNTIF('Tax Events'!$B$4:$B$9,A320)&gt;0)</f>
        <v>0</v>
      </c>
    </row>
    <row r="321" spans="1:35">
      <c r="A321" s="4">
        <f>'H237 Tracker'!A321</f>
        <v>45425</v>
      </c>
      <c r="B321" s="13">
        <f t="shared" si="95"/>
        <v>0</v>
      </c>
      <c r="C321" s="13">
        <f t="shared" si="96"/>
        <v>26138496848.547752</v>
      </c>
      <c r="D321" s="13">
        <f t="shared" si="80"/>
        <v>0</v>
      </c>
      <c r="E321" s="13">
        <f t="shared" si="81"/>
        <v>26138496848.547752</v>
      </c>
      <c r="F321" s="13">
        <f>IF(AH321=1,MAX(R320,0)*Parameters!$B$11,0)</f>
        <v>0</v>
      </c>
      <c r="G321" s="13">
        <f>IF(AI321=1,MAX(S320,0)*Parameters!$B$11,0)</f>
        <v>0</v>
      </c>
      <c r="H321" s="13">
        <f t="shared" si="82"/>
        <v>0</v>
      </c>
      <c r="I321" s="13">
        <f t="shared" si="83"/>
        <v>26138496848.547752</v>
      </c>
      <c r="J321" s="13">
        <f t="shared" si="84"/>
        <v>0</v>
      </c>
      <c r="K321" s="13">
        <f t="shared" si="85"/>
        <v>0</v>
      </c>
      <c r="L321" s="13">
        <f t="shared" si="86"/>
        <v>0</v>
      </c>
      <c r="M321" s="13">
        <f t="shared" si="87"/>
        <v>26138496848.547752</v>
      </c>
      <c r="N321" s="13">
        <f>MAX(0,INT(L321*Parameters!$B$14/Parameters!$B$13/Parameters!$B$12)*Parameters!$B$12)</f>
        <v>0</v>
      </c>
      <c r="O321" s="13">
        <f>MAX(0,INT(M321*Parameters!$B$14/Parameters!$B$13/Parameters!$B$12)*Parameters!$B$12)</f>
        <v>17425664455</v>
      </c>
      <c r="P321" s="13">
        <f>N321*Parameters!$B$13*'H237 Tracker'!B321</f>
        <v>0</v>
      </c>
      <c r="Q321" s="13">
        <f>O321*Parameters!$B$13*'H237 Tracker'!C321</f>
        <v>5677281479.4389992</v>
      </c>
      <c r="R321" s="13">
        <f t="shared" si="97"/>
        <v>0</v>
      </c>
      <c r="S321" s="13">
        <f t="shared" si="98"/>
        <v>-4697464807.7969971</v>
      </c>
      <c r="T321" s="13">
        <f t="shared" si="88"/>
        <v>0</v>
      </c>
      <c r="U321" s="13">
        <f t="shared" si="89"/>
        <v>31815778327.986752</v>
      </c>
      <c r="V321" s="12">
        <f t="shared" si="90"/>
        <v>0</v>
      </c>
      <c r="W321" t="str">
        <f>'H237 Tracker'!I321</f>
        <v>B</v>
      </c>
      <c r="X321">
        <f>'H237 Tracker'!J321</f>
        <v>24</v>
      </c>
      <c r="Y321" t="str">
        <f>'H237 Tracker'!K321</f>
        <v>B</v>
      </c>
      <c r="Z321" s="12">
        <f>'H237 Tracker'!O321</f>
        <v>0</v>
      </c>
      <c r="AA321" s="13">
        <f>'H237 Tracker'!P321</f>
        <v>0</v>
      </c>
      <c r="AB321" s="13">
        <f>'H237 Tracker'!Q321</f>
        <v>0</v>
      </c>
      <c r="AC321" s="13">
        <f t="shared" si="91"/>
        <v>0</v>
      </c>
      <c r="AD321" s="13">
        <f t="shared" si="92"/>
        <v>31815778327.986752</v>
      </c>
      <c r="AE321" s="13">
        <f t="shared" si="93"/>
        <v>31815778327.986752</v>
      </c>
      <c r="AF321" s="13">
        <f t="shared" si="99"/>
        <v>69556260239.755737</v>
      </c>
      <c r="AG321" s="24">
        <f t="shared" si="94"/>
        <v>-0.54258929076520346</v>
      </c>
      <c r="AH321" s="8">
        <f>--(COUNTIF('Tax Events'!$A$4:$A$8,A321)&gt;0)</f>
        <v>0</v>
      </c>
      <c r="AI321" s="8">
        <f>--(COUNTIF('Tax Events'!$B$4:$B$9,A321)&gt;0)</f>
        <v>0</v>
      </c>
    </row>
    <row r="322" spans="1:35">
      <c r="A322" s="4">
        <f>'H237 Tracker'!A322</f>
        <v>45432</v>
      </c>
      <c r="B322" s="13">
        <f t="shared" si="95"/>
        <v>0</v>
      </c>
      <c r="C322" s="13">
        <f t="shared" si="96"/>
        <v>31815778327.986752</v>
      </c>
      <c r="D322" s="13">
        <f t="shared" si="80"/>
        <v>0</v>
      </c>
      <c r="E322" s="13">
        <f t="shared" si="81"/>
        <v>31815778327.986752</v>
      </c>
      <c r="F322" s="13">
        <f>IF(AH322=1,MAX(R321,0)*Parameters!$B$11,0)</f>
        <v>0</v>
      </c>
      <c r="G322" s="13">
        <f>IF(AI322=1,MAX(S321,0)*Parameters!$B$11,0)</f>
        <v>0</v>
      </c>
      <c r="H322" s="13">
        <f t="shared" si="82"/>
        <v>0</v>
      </c>
      <c r="I322" s="13">
        <f t="shared" si="83"/>
        <v>31815778327.986752</v>
      </c>
      <c r="J322" s="13">
        <f t="shared" si="84"/>
        <v>0</v>
      </c>
      <c r="K322" s="13">
        <f t="shared" si="85"/>
        <v>0</v>
      </c>
      <c r="L322" s="13">
        <f t="shared" si="86"/>
        <v>0</v>
      </c>
      <c r="M322" s="13">
        <f t="shared" si="87"/>
        <v>31815778327.986752</v>
      </c>
      <c r="N322" s="13">
        <f>MAX(0,INT(L322*Parameters!$B$14/Parameters!$B$13/Parameters!$B$12)*Parameters!$B$12)</f>
        <v>0</v>
      </c>
      <c r="O322" s="13">
        <f>MAX(0,INT(M322*Parameters!$B$14/Parameters!$B$13/Parameters!$B$12)*Parameters!$B$12)</f>
        <v>21210518810</v>
      </c>
      <c r="P322" s="13">
        <f>N322*Parameters!$B$13*'H237 Tracker'!B322</f>
        <v>0</v>
      </c>
      <c r="Q322" s="13">
        <f>O322*Parameters!$B$13*'H237 Tracker'!C322</f>
        <v>5671692729.7939997</v>
      </c>
      <c r="R322" s="13">
        <f t="shared" si="97"/>
        <v>0</v>
      </c>
      <c r="S322" s="13">
        <f t="shared" si="98"/>
        <v>974227921.9970026</v>
      </c>
      <c r="T322" s="13">
        <f t="shared" si="88"/>
        <v>0</v>
      </c>
      <c r="U322" s="13">
        <f t="shared" si="89"/>
        <v>37487471057.780754</v>
      </c>
      <c r="V322" s="12">
        <f t="shared" si="90"/>
        <v>0</v>
      </c>
      <c r="W322" t="str">
        <f>'H237 Tracker'!I322</f>
        <v>B</v>
      </c>
      <c r="X322">
        <f>'H237 Tracker'!J322</f>
        <v>25</v>
      </c>
      <c r="Y322" t="str">
        <f>'H237 Tracker'!K322</f>
        <v>B</v>
      </c>
      <c r="Z322" s="12">
        <f>'H237 Tracker'!O322</f>
        <v>0</v>
      </c>
      <c r="AA322" s="13">
        <f>'H237 Tracker'!P322</f>
        <v>0</v>
      </c>
      <c r="AB322" s="13">
        <f>'H237 Tracker'!Q322</f>
        <v>0</v>
      </c>
      <c r="AC322" s="13">
        <f t="shared" si="91"/>
        <v>0</v>
      </c>
      <c r="AD322" s="13">
        <f t="shared" si="92"/>
        <v>37487471057.780754</v>
      </c>
      <c r="AE322" s="13">
        <f t="shared" si="93"/>
        <v>37487471057.780754</v>
      </c>
      <c r="AF322" s="13">
        <f t="shared" si="99"/>
        <v>69556260239.755737</v>
      </c>
      <c r="AG322" s="24">
        <f t="shared" si="94"/>
        <v>-0.46104820862185558</v>
      </c>
      <c r="AH322" s="8">
        <f>--(COUNTIF('Tax Events'!$A$4:$A$8,A322)&gt;0)</f>
        <v>0</v>
      </c>
      <c r="AI322" s="8">
        <f>--(COUNTIF('Tax Events'!$B$4:$B$9,A322)&gt;0)</f>
        <v>0</v>
      </c>
    </row>
    <row r="323" spans="1:35">
      <c r="A323" s="4">
        <f>'H237 Tracker'!A323</f>
        <v>45439</v>
      </c>
      <c r="B323" s="13">
        <f t="shared" si="95"/>
        <v>0</v>
      </c>
      <c r="C323" s="13">
        <f t="shared" si="96"/>
        <v>37487471057.780754</v>
      </c>
      <c r="D323" s="13">
        <f t="shared" si="80"/>
        <v>0</v>
      </c>
      <c r="E323" s="13">
        <f t="shared" si="81"/>
        <v>37487471057.780754</v>
      </c>
      <c r="F323" s="13">
        <f>IF(AH323=1,MAX(R322,0)*Parameters!$B$11,0)</f>
        <v>0</v>
      </c>
      <c r="G323" s="13">
        <f>IF(AI323=1,MAX(S322,0)*Parameters!$B$11,0)</f>
        <v>0</v>
      </c>
      <c r="H323" s="13">
        <f t="shared" si="82"/>
        <v>0</v>
      </c>
      <c r="I323" s="13">
        <f t="shared" si="83"/>
        <v>37487471057.780754</v>
      </c>
      <c r="J323" s="13">
        <f t="shared" si="84"/>
        <v>0</v>
      </c>
      <c r="K323" s="13">
        <f t="shared" si="85"/>
        <v>0</v>
      </c>
      <c r="L323" s="13">
        <f t="shared" si="86"/>
        <v>0</v>
      </c>
      <c r="M323" s="13">
        <f t="shared" si="87"/>
        <v>37487471057.780754</v>
      </c>
      <c r="N323" s="13">
        <f>MAX(0,INT(L323*Parameters!$B$14/Parameters!$B$13/Parameters!$B$12)*Parameters!$B$12)</f>
        <v>0</v>
      </c>
      <c r="O323" s="13">
        <f>MAX(0,INT(M323*Parameters!$B$14/Parameters!$B$13/Parameters!$B$12)*Parameters!$B$12)</f>
        <v>24991647280</v>
      </c>
      <c r="P323" s="13">
        <f>N323*Parameters!$B$13*'H237 Tracker'!B323</f>
        <v>0</v>
      </c>
      <c r="Q323" s="13">
        <f>O323*Parameters!$B$13*'H237 Tracker'!C323</f>
        <v>-4453511545.2959995</v>
      </c>
      <c r="R323" s="13">
        <f t="shared" si="97"/>
        <v>0</v>
      </c>
      <c r="S323" s="13">
        <f t="shared" si="98"/>
        <v>-3479283623.2989969</v>
      </c>
      <c r="T323" s="13">
        <f t="shared" si="88"/>
        <v>0</v>
      </c>
      <c r="U323" s="13">
        <f t="shared" si="89"/>
        <v>33033959512.484756</v>
      </c>
      <c r="V323" s="12">
        <f t="shared" si="90"/>
        <v>0</v>
      </c>
      <c r="W323" t="str">
        <f>'H237 Tracker'!I323</f>
        <v>B</v>
      </c>
      <c r="X323">
        <f>'H237 Tracker'!J323</f>
        <v>26</v>
      </c>
      <c r="Y323" t="str">
        <f>'H237 Tracker'!K323</f>
        <v>B</v>
      </c>
      <c r="Z323" s="12">
        <f>'H237 Tracker'!O323</f>
        <v>0</v>
      </c>
      <c r="AA323" s="13">
        <f>'H237 Tracker'!P323</f>
        <v>0</v>
      </c>
      <c r="AB323" s="13">
        <f>'H237 Tracker'!Q323</f>
        <v>0</v>
      </c>
      <c r="AC323" s="13">
        <f t="shared" si="91"/>
        <v>0</v>
      </c>
      <c r="AD323" s="13">
        <f t="shared" si="92"/>
        <v>33033959512.484756</v>
      </c>
      <c r="AE323" s="13">
        <f t="shared" si="93"/>
        <v>33033959512.484756</v>
      </c>
      <c r="AF323" s="13">
        <f t="shared" si="99"/>
        <v>69556260239.755737</v>
      </c>
      <c r="AG323" s="24">
        <f t="shared" si="94"/>
        <v>-0.52507568120225367</v>
      </c>
      <c r="AH323" s="8">
        <f>--(COUNTIF('Tax Events'!$A$4:$A$8,A323)&gt;0)</f>
        <v>0</v>
      </c>
      <c r="AI323" s="8">
        <f>--(COUNTIF('Tax Events'!$B$4:$B$9,A323)&gt;0)</f>
        <v>0</v>
      </c>
    </row>
    <row r="324" spans="1:35">
      <c r="A324" s="4">
        <f>'H237 Tracker'!A324</f>
        <v>45446</v>
      </c>
      <c r="B324" s="13">
        <f t="shared" si="95"/>
        <v>0</v>
      </c>
      <c r="C324" s="13">
        <f t="shared" si="96"/>
        <v>33033959512.484756</v>
      </c>
      <c r="D324" s="13">
        <f t="shared" ref="D324:D387" si="100">B324</f>
        <v>0</v>
      </c>
      <c r="E324" s="13">
        <f t="shared" ref="E324:E387" si="101">C324</f>
        <v>33033959512.484756</v>
      </c>
      <c r="F324" s="13">
        <f>IF(AH324=1,MAX(R323,0)*Parameters!$B$11,0)</f>
        <v>0</v>
      </c>
      <c r="G324" s="13">
        <f>IF(AI324=1,MAX(S323,0)*Parameters!$B$11,0)</f>
        <v>0</v>
      </c>
      <c r="H324" s="13">
        <f t="shared" ref="H324:H387" si="102">D324-F324</f>
        <v>0</v>
      </c>
      <c r="I324" s="13">
        <f t="shared" ref="I324:I387" si="103">E324-G324</f>
        <v>33033959512.484756</v>
      </c>
      <c r="J324" s="13">
        <f t="shared" ref="J324:J387" si="104">IF(H324&lt;0,MIN(-H324,MAX(I324,0)),0)</f>
        <v>0</v>
      </c>
      <c r="K324" s="13">
        <f t="shared" ref="K324:K387" si="105">IF(I324&lt;0,MIN(-I324,MAX(H324,0)),0)</f>
        <v>0</v>
      </c>
      <c r="L324" s="13">
        <f t="shared" ref="L324:L387" si="106">IF(H324&gt;=0,IF(I324&lt;0,MAX(H324+I324,0),H324),0)</f>
        <v>0</v>
      </c>
      <c r="M324" s="13">
        <f t="shared" ref="M324:M387" si="107">IF(I324&gt;=0,IF(H324&lt;0,MAX(H324+I324,0),I324),0)</f>
        <v>33033959512.484756</v>
      </c>
      <c r="N324" s="13">
        <f>MAX(0,INT(L324*Parameters!$B$14/Parameters!$B$13/Parameters!$B$12)*Parameters!$B$12)</f>
        <v>0</v>
      </c>
      <c r="O324" s="13">
        <f>MAX(0,INT(M324*Parameters!$B$14/Parameters!$B$13/Parameters!$B$12)*Parameters!$B$12)</f>
        <v>22022639610</v>
      </c>
      <c r="P324" s="13">
        <f>N324*Parameters!$B$13*'H237 Tracker'!B324</f>
        <v>0</v>
      </c>
      <c r="Q324" s="13">
        <f>O324*Parameters!$B$13*'H237 Tracker'!C324</f>
        <v>8047072513.4940004</v>
      </c>
      <c r="R324" s="13">
        <f t="shared" si="97"/>
        <v>0</v>
      </c>
      <c r="S324" s="13">
        <f t="shared" si="98"/>
        <v>4567788890.1950035</v>
      </c>
      <c r="T324" s="13">
        <f t="shared" ref="T324:T387" si="108">L324+P324</f>
        <v>0</v>
      </c>
      <c r="U324" s="13">
        <f t="shared" ref="U324:U387" si="109">M324+Q324</f>
        <v>41081032025.97876</v>
      </c>
      <c r="V324" s="12">
        <f t="shared" ref="V324:V387" si="110">IF(T324+U324=0,0.5,T324/(T324+U324))</f>
        <v>0</v>
      </c>
      <c r="W324" t="str">
        <f>'H237 Tracker'!I324</f>
        <v>HOLD</v>
      </c>
      <c r="X324">
        <f>'H237 Tracker'!J324</f>
        <v>0</v>
      </c>
      <c r="Y324" t="str">
        <f>'H237 Tracker'!K324</f>
        <v>HOLD</v>
      </c>
      <c r="Z324" s="12">
        <f>'H237 Tracker'!O324</f>
        <v>0</v>
      </c>
      <c r="AA324" s="13">
        <f>'H237 Tracker'!P324</f>
        <v>0</v>
      </c>
      <c r="AB324" s="13">
        <f>'H237 Tracker'!Q324</f>
        <v>0</v>
      </c>
      <c r="AC324" s="13">
        <f t="shared" ref="AC324:AC387" si="111">T324-AA324+AB324</f>
        <v>0</v>
      </c>
      <c r="AD324" s="13">
        <f t="shared" ref="AD324:AD387" si="112">U324+AA324-AB324</f>
        <v>41081032025.97876</v>
      </c>
      <c r="AE324" s="13">
        <f t="shared" ref="AE324:AE387" si="113">AC324+AD324</f>
        <v>41081032025.97876</v>
      </c>
      <c r="AF324" s="13">
        <f t="shared" si="99"/>
        <v>69556260239.755737</v>
      </c>
      <c r="AG324" s="24">
        <f t="shared" ref="AG324:AG387" si="114">IF(AF324=0,0,AE324/AF324-1)</f>
        <v>-0.40938411748453396</v>
      </c>
      <c r="AH324" s="8">
        <f>--(COUNTIF('Tax Events'!$A$4:$A$8,A324)&gt;0)</f>
        <v>0</v>
      </c>
      <c r="AI324" s="8">
        <f>--(COUNTIF('Tax Events'!$B$4:$B$9,A324)&gt;0)</f>
        <v>0</v>
      </c>
    </row>
    <row r="325" spans="1:35">
      <c r="A325" s="4">
        <f>'H237 Tracker'!A325</f>
        <v>45453</v>
      </c>
      <c r="B325" s="13">
        <f t="shared" ref="B325:B388" si="115">AC324</f>
        <v>0</v>
      </c>
      <c r="C325" s="13">
        <f t="shared" ref="C325:C388" si="116">AD324</f>
        <v>41081032025.97876</v>
      </c>
      <c r="D325" s="13">
        <f t="shared" si="100"/>
        <v>0</v>
      </c>
      <c r="E325" s="13">
        <f t="shared" si="101"/>
        <v>41081032025.97876</v>
      </c>
      <c r="F325" s="13">
        <f>IF(AH325=1,MAX(R324,0)*Parameters!$B$11,0)</f>
        <v>0</v>
      </c>
      <c r="G325" s="13">
        <f>IF(AI325=1,MAX(S324,0)*Parameters!$B$11,0)</f>
        <v>0</v>
      </c>
      <c r="H325" s="13">
        <f t="shared" si="102"/>
        <v>0</v>
      </c>
      <c r="I325" s="13">
        <f t="shared" si="103"/>
        <v>41081032025.97876</v>
      </c>
      <c r="J325" s="13">
        <f t="shared" si="104"/>
        <v>0</v>
      </c>
      <c r="K325" s="13">
        <f t="shared" si="105"/>
        <v>0</v>
      </c>
      <c r="L325" s="13">
        <f t="shared" si="106"/>
        <v>0</v>
      </c>
      <c r="M325" s="13">
        <f t="shared" si="107"/>
        <v>41081032025.97876</v>
      </c>
      <c r="N325" s="13">
        <f>MAX(0,INT(L325*Parameters!$B$14/Parameters!$B$13/Parameters!$B$12)*Parameters!$B$12)</f>
        <v>0</v>
      </c>
      <c r="O325" s="13">
        <f>MAX(0,INT(M325*Parameters!$B$14/Parameters!$B$13/Parameters!$B$12)*Parameters!$B$12)</f>
        <v>27387354650</v>
      </c>
      <c r="P325" s="13">
        <f>N325*Parameters!$B$13*'H237 Tracker'!B325</f>
        <v>0</v>
      </c>
      <c r="Q325" s="13">
        <f>O325*Parameters!$B$13*'H237 Tracker'!C325</f>
        <v>20518606103.779999</v>
      </c>
      <c r="R325" s="13">
        <f t="shared" ref="R325:R388" si="117">IF(AH325=1,P325,R324+P325)</f>
        <v>0</v>
      </c>
      <c r="S325" s="13">
        <f t="shared" ref="S325:S388" si="118">IF(AI325=1,Q325,S324+Q325)</f>
        <v>25086394993.975002</v>
      </c>
      <c r="T325" s="13">
        <f t="shared" si="108"/>
        <v>0</v>
      </c>
      <c r="U325" s="13">
        <f t="shared" si="109"/>
        <v>61599638129.758759</v>
      </c>
      <c r="V325" s="12">
        <f t="shared" si="110"/>
        <v>0</v>
      </c>
      <c r="W325" t="str">
        <f>'H237 Tracker'!I325</f>
        <v>HOLD</v>
      </c>
      <c r="X325">
        <f>'H237 Tracker'!J325</f>
        <v>0</v>
      </c>
      <c r="Y325" t="str">
        <f>'H237 Tracker'!K325</f>
        <v>HOLD</v>
      </c>
      <c r="Z325" s="12">
        <f>'H237 Tracker'!O325</f>
        <v>0</v>
      </c>
      <c r="AA325" s="13">
        <f>'H237 Tracker'!P325</f>
        <v>0</v>
      </c>
      <c r="AB325" s="13">
        <f>'H237 Tracker'!Q325</f>
        <v>0</v>
      </c>
      <c r="AC325" s="13">
        <f t="shared" si="111"/>
        <v>0</v>
      </c>
      <c r="AD325" s="13">
        <f t="shared" si="112"/>
        <v>61599638129.758759</v>
      </c>
      <c r="AE325" s="13">
        <f t="shared" si="113"/>
        <v>61599638129.758759</v>
      </c>
      <c r="AF325" s="13">
        <f t="shared" ref="AF325:AF388" si="119">MAX(AF324,AE325)</f>
        <v>69556260239.755737</v>
      </c>
      <c r="AG325" s="24">
        <f t="shared" si="114"/>
        <v>-0.11439117173020863</v>
      </c>
      <c r="AH325" s="8">
        <f>--(COUNTIF('Tax Events'!$A$4:$A$8,A325)&gt;0)</f>
        <v>0</v>
      </c>
      <c r="AI325" s="8">
        <f>--(COUNTIF('Tax Events'!$B$4:$B$9,A325)&gt;0)</f>
        <v>0</v>
      </c>
    </row>
    <row r="326" spans="1:35">
      <c r="A326" s="4">
        <f>'H237 Tracker'!A326</f>
        <v>45460</v>
      </c>
      <c r="B326" s="13">
        <f t="shared" si="115"/>
        <v>0</v>
      </c>
      <c r="C326" s="13">
        <f t="shared" si="116"/>
        <v>61599638129.758759</v>
      </c>
      <c r="D326" s="13">
        <f t="shared" si="100"/>
        <v>0</v>
      </c>
      <c r="E326" s="13">
        <f t="shared" si="101"/>
        <v>61599638129.758759</v>
      </c>
      <c r="F326" s="13">
        <f>IF(AH326=1,MAX(R325,0)*Parameters!$B$11,0)</f>
        <v>0</v>
      </c>
      <c r="G326" s="13">
        <f>IF(AI326=1,MAX(S325,0)*Parameters!$B$11,0)</f>
        <v>0</v>
      </c>
      <c r="H326" s="13">
        <f t="shared" si="102"/>
        <v>0</v>
      </c>
      <c r="I326" s="13">
        <f t="shared" si="103"/>
        <v>61599638129.758759</v>
      </c>
      <c r="J326" s="13">
        <f t="shared" si="104"/>
        <v>0</v>
      </c>
      <c r="K326" s="13">
        <f t="shared" si="105"/>
        <v>0</v>
      </c>
      <c r="L326" s="13">
        <f t="shared" si="106"/>
        <v>0</v>
      </c>
      <c r="M326" s="13">
        <f t="shared" si="107"/>
        <v>61599638129.758759</v>
      </c>
      <c r="N326" s="13">
        <f>MAX(0,INT(L326*Parameters!$B$14/Parameters!$B$13/Parameters!$B$12)*Parameters!$B$12)</f>
        <v>0</v>
      </c>
      <c r="O326" s="13">
        <f>MAX(0,INT(M326*Parameters!$B$14/Parameters!$B$13/Parameters!$B$12)*Parameters!$B$12)</f>
        <v>41066425365</v>
      </c>
      <c r="P326" s="13">
        <f>N326*Parameters!$B$13*'H237 Tracker'!B326</f>
        <v>0</v>
      </c>
      <c r="Q326" s="13">
        <f>O326*Parameters!$B$13*'H237 Tracker'!C326</f>
        <v>9248158992.198</v>
      </c>
      <c r="R326" s="13">
        <f t="shared" si="117"/>
        <v>0</v>
      </c>
      <c r="S326" s="13">
        <f t="shared" si="118"/>
        <v>34334553986.173004</v>
      </c>
      <c r="T326" s="13">
        <f t="shared" si="108"/>
        <v>0</v>
      </c>
      <c r="U326" s="13">
        <f t="shared" si="109"/>
        <v>70847797121.956757</v>
      </c>
      <c r="V326" s="12">
        <f t="shared" si="110"/>
        <v>0</v>
      </c>
      <c r="W326" t="str">
        <f>'H237 Tracker'!I326</f>
        <v>HOLD</v>
      </c>
      <c r="X326">
        <f>'H237 Tracker'!J326</f>
        <v>0</v>
      </c>
      <c r="Y326" t="str">
        <f>'H237 Tracker'!K326</f>
        <v>HOLD</v>
      </c>
      <c r="Z326" s="12">
        <f>'H237 Tracker'!O326</f>
        <v>0</v>
      </c>
      <c r="AA326" s="13">
        <f>'H237 Tracker'!P326</f>
        <v>0</v>
      </c>
      <c r="AB326" s="13">
        <f>'H237 Tracker'!Q326</f>
        <v>0</v>
      </c>
      <c r="AC326" s="13">
        <f t="shared" si="111"/>
        <v>0</v>
      </c>
      <c r="AD326" s="13">
        <f t="shared" si="112"/>
        <v>70847797121.956757</v>
      </c>
      <c r="AE326" s="13">
        <f t="shared" si="113"/>
        <v>70847797121.956757</v>
      </c>
      <c r="AF326" s="13">
        <f t="shared" si="119"/>
        <v>70847797121.956757</v>
      </c>
      <c r="AG326" s="24">
        <f t="shared" si="114"/>
        <v>0</v>
      </c>
      <c r="AH326" s="8">
        <f>--(COUNTIF('Tax Events'!$A$4:$A$8,A326)&gt;0)</f>
        <v>0</v>
      </c>
      <c r="AI326" s="8">
        <f>--(COUNTIF('Tax Events'!$B$4:$B$9,A326)&gt;0)</f>
        <v>0</v>
      </c>
    </row>
    <row r="327" spans="1:35">
      <c r="A327" s="4">
        <f>'H237 Tracker'!A327</f>
        <v>45467</v>
      </c>
      <c r="B327" s="13">
        <f t="shared" si="115"/>
        <v>0</v>
      </c>
      <c r="C327" s="13">
        <f t="shared" si="116"/>
        <v>70847797121.956757</v>
      </c>
      <c r="D327" s="13">
        <f t="shared" si="100"/>
        <v>0</v>
      </c>
      <c r="E327" s="13">
        <f t="shared" si="101"/>
        <v>70847797121.956757</v>
      </c>
      <c r="F327" s="13">
        <f>IF(AH327=1,MAX(R326,0)*Parameters!$B$11,0)</f>
        <v>0</v>
      </c>
      <c r="G327" s="13">
        <f>IF(AI327=1,MAX(S326,0)*Parameters!$B$11,0)</f>
        <v>0</v>
      </c>
      <c r="H327" s="13">
        <f t="shared" si="102"/>
        <v>0</v>
      </c>
      <c r="I327" s="13">
        <f t="shared" si="103"/>
        <v>70847797121.956757</v>
      </c>
      <c r="J327" s="13">
        <f t="shared" si="104"/>
        <v>0</v>
      </c>
      <c r="K327" s="13">
        <f t="shared" si="105"/>
        <v>0</v>
      </c>
      <c r="L327" s="13">
        <f t="shared" si="106"/>
        <v>0</v>
      </c>
      <c r="M327" s="13">
        <f t="shared" si="107"/>
        <v>70847797121.956757</v>
      </c>
      <c r="N327" s="13">
        <f>MAX(0,INT(L327*Parameters!$B$14/Parameters!$B$13/Parameters!$B$12)*Parameters!$B$12)</f>
        <v>0</v>
      </c>
      <c r="O327" s="13">
        <f>MAX(0,INT(M327*Parameters!$B$14/Parameters!$B$13/Parameters!$B$12)*Parameters!$B$12)</f>
        <v>47231864705</v>
      </c>
      <c r="P327" s="13">
        <f>N327*Parameters!$B$13*'H237 Tracker'!B327</f>
        <v>0</v>
      </c>
      <c r="Q327" s="13">
        <f>O327*Parameters!$B$13*'H237 Tracker'!C327</f>
        <v>2437164218.7779999</v>
      </c>
      <c r="R327" s="13">
        <f t="shared" si="117"/>
        <v>0</v>
      </c>
      <c r="S327" s="13">
        <f t="shared" si="118"/>
        <v>36771718204.951004</v>
      </c>
      <c r="T327" s="13">
        <f t="shared" si="108"/>
        <v>0</v>
      </c>
      <c r="U327" s="13">
        <f t="shared" si="109"/>
        <v>73284961340.734756</v>
      </c>
      <c r="V327" s="12">
        <f t="shared" si="110"/>
        <v>0</v>
      </c>
      <c r="W327" t="str">
        <f>'H237 Tracker'!I327</f>
        <v>HOLD</v>
      </c>
      <c r="X327">
        <f>'H237 Tracker'!J327</f>
        <v>0</v>
      </c>
      <c r="Y327" t="str">
        <f>'H237 Tracker'!K327</f>
        <v>HOLD</v>
      </c>
      <c r="Z327" s="12">
        <f>'H237 Tracker'!O327</f>
        <v>0</v>
      </c>
      <c r="AA327" s="13">
        <f>'H237 Tracker'!P327</f>
        <v>0</v>
      </c>
      <c r="AB327" s="13">
        <f>'H237 Tracker'!Q327</f>
        <v>0</v>
      </c>
      <c r="AC327" s="13">
        <f t="shared" si="111"/>
        <v>0</v>
      </c>
      <c r="AD327" s="13">
        <f t="shared" si="112"/>
        <v>73284961340.734756</v>
      </c>
      <c r="AE327" s="13">
        <f t="shared" si="113"/>
        <v>73284961340.734756</v>
      </c>
      <c r="AF327" s="13">
        <f t="shared" si="119"/>
        <v>73284961340.734756</v>
      </c>
      <c r="AG327" s="24">
        <f t="shared" si="114"/>
        <v>0</v>
      </c>
      <c r="AH327" s="8">
        <f>--(COUNTIF('Tax Events'!$A$4:$A$8,A327)&gt;0)</f>
        <v>0</v>
      </c>
      <c r="AI327" s="8">
        <f>--(COUNTIF('Tax Events'!$B$4:$B$9,A327)&gt;0)</f>
        <v>0</v>
      </c>
    </row>
    <row r="328" spans="1:35">
      <c r="A328" s="4">
        <f>'H237 Tracker'!A328</f>
        <v>45474</v>
      </c>
      <c r="B328" s="13">
        <f t="shared" si="115"/>
        <v>0</v>
      </c>
      <c r="C328" s="13">
        <f t="shared" si="116"/>
        <v>73284961340.734756</v>
      </c>
      <c r="D328" s="13">
        <f t="shared" si="100"/>
        <v>0</v>
      </c>
      <c r="E328" s="13">
        <f t="shared" si="101"/>
        <v>73284961340.734756</v>
      </c>
      <c r="F328" s="13">
        <f>IF(AH328=1,MAX(R327,0)*Parameters!$B$11,0)</f>
        <v>0</v>
      </c>
      <c r="G328" s="13">
        <f>IF(AI328=1,MAX(S327,0)*Parameters!$B$11,0)</f>
        <v>0</v>
      </c>
      <c r="H328" s="13">
        <f t="shared" si="102"/>
        <v>0</v>
      </c>
      <c r="I328" s="13">
        <f t="shared" si="103"/>
        <v>73284961340.734756</v>
      </c>
      <c r="J328" s="13">
        <f t="shared" si="104"/>
        <v>0</v>
      </c>
      <c r="K328" s="13">
        <f t="shared" si="105"/>
        <v>0</v>
      </c>
      <c r="L328" s="13">
        <f t="shared" si="106"/>
        <v>0</v>
      </c>
      <c r="M328" s="13">
        <f t="shared" si="107"/>
        <v>73284961340.734756</v>
      </c>
      <c r="N328" s="13">
        <f>MAX(0,INT(L328*Parameters!$B$14/Parameters!$B$13/Parameters!$B$12)*Parameters!$B$12)</f>
        <v>0</v>
      </c>
      <c r="O328" s="13">
        <f>MAX(0,INT(M328*Parameters!$B$14/Parameters!$B$13/Parameters!$B$12)*Parameters!$B$12)</f>
        <v>48856640825</v>
      </c>
      <c r="P328" s="13">
        <f>N328*Parameters!$B$13*'H237 Tracker'!B328</f>
        <v>0</v>
      </c>
      <c r="Q328" s="13">
        <f>O328*Parameters!$B$13*'H237 Tracker'!C328</f>
        <v>32255154272.664997</v>
      </c>
      <c r="R328" s="13">
        <f t="shared" si="117"/>
        <v>0</v>
      </c>
      <c r="S328" s="13">
        <f t="shared" si="118"/>
        <v>69026872477.615997</v>
      </c>
      <c r="T328" s="13">
        <f t="shared" si="108"/>
        <v>0</v>
      </c>
      <c r="U328" s="13">
        <f t="shared" si="109"/>
        <v>105540115613.39975</v>
      </c>
      <c r="V328" s="12">
        <f t="shared" si="110"/>
        <v>0</v>
      </c>
      <c r="W328" t="str">
        <f>'H237 Tracker'!I328</f>
        <v>HOLD</v>
      </c>
      <c r="X328">
        <f>'H237 Tracker'!J328</f>
        <v>0</v>
      </c>
      <c r="Y328" t="str">
        <f>'H237 Tracker'!K328</f>
        <v>HOLD</v>
      </c>
      <c r="Z328" s="12">
        <f>'H237 Tracker'!O328</f>
        <v>0</v>
      </c>
      <c r="AA328" s="13">
        <f>'H237 Tracker'!P328</f>
        <v>0</v>
      </c>
      <c r="AB328" s="13">
        <f>'H237 Tracker'!Q328</f>
        <v>0</v>
      </c>
      <c r="AC328" s="13">
        <f t="shared" si="111"/>
        <v>0</v>
      </c>
      <c r="AD328" s="13">
        <f t="shared" si="112"/>
        <v>105540115613.39975</v>
      </c>
      <c r="AE328" s="13">
        <f t="shared" si="113"/>
        <v>105540115613.39975</v>
      </c>
      <c r="AF328" s="13">
        <f t="shared" si="119"/>
        <v>105540115613.39975</v>
      </c>
      <c r="AG328" s="24">
        <f t="shared" si="114"/>
        <v>0</v>
      </c>
      <c r="AH328" s="8">
        <f>--(COUNTIF('Tax Events'!$A$4:$A$8,A328)&gt;0)</f>
        <v>0</v>
      </c>
      <c r="AI328" s="8">
        <f>--(COUNTIF('Tax Events'!$B$4:$B$9,A328)&gt;0)</f>
        <v>0</v>
      </c>
    </row>
    <row r="329" spans="1:35">
      <c r="A329" s="4">
        <f>'H237 Tracker'!A329</f>
        <v>45481</v>
      </c>
      <c r="B329" s="13">
        <f t="shared" si="115"/>
        <v>0</v>
      </c>
      <c r="C329" s="13">
        <f t="shared" si="116"/>
        <v>105540115613.39975</v>
      </c>
      <c r="D329" s="13">
        <f t="shared" si="100"/>
        <v>0</v>
      </c>
      <c r="E329" s="13">
        <f t="shared" si="101"/>
        <v>105540115613.39975</v>
      </c>
      <c r="F329" s="13">
        <f>IF(AH329=1,MAX(R328,0)*Parameters!$B$11,0)</f>
        <v>0</v>
      </c>
      <c r="G329" s="13">
        <f>IF(AI329=1,MAX(S328,0)*Parameters!$B$11,0)</f>
        <v>0</v>
      </c>
      <c r="H329" s="13">
        <f t="shared" si="102"/>
        <v>0</v>
      </c>
      <c r="I329" s="13">
        <f t="shared" si="103"/>
        <v>105540115613.39975</v>
      </c>
      <c r="J329" s="13">
        <f t="shared" si="104"/>
        <v>0</v>
      </c>
      <c r="K329" s="13">
        <f t="shared" si="105"/>
        <v>0</v>
      </c>
      <c r="L329" s="13">
        <f t="shared" si="106"/>
        <v>0</v>
      </c>
      <c r="M329" s="13">
        <f t="shared" si="107"/>
        <v>105540115613.39975</v>
      </c>
      <c r="N329" s="13">
        <f>MAX(0,INT(L329*Parameters!$B$14/Parameters!$B$13/Parameters!$B$12)*Parameters!$B$12)</f>
        <v>0</v>
      </c>
      <c r="O329" s="13">
        <f>MAX(0,INT(M329*Parameters!$B$14/Parameters!$B$13/Parameters!$B$12)*Parameters!$B$12)</f>
        <v>70360077055</v>
      </c>
      <c r="P329" s="13">
        <f>N329*Parameters!$B$13*'H237 Tracker'!B329</f>
        <v>0</v>
      </c>
      <c r="Q329" s="13">
        <f>O329*Parameters!$B$13*'H237 Tracker'!C329</f>
        <v>-5628806164.4000006</v>
      </c>
      <c r="R329" s="13">
        <f t="shared" si="117"/>
        <v>0</v>
      </c>
      <c r="S329" s="13">
        <f t="shared" si="118"/>
        <v>63398066313.215996</v>
      </c>
      <c r="T329" s="13">
        <f t="shared" si="108"/>
        <v>0</v>
      </c>
      <c r="U329" s="13">
        <f t="shared" si="109"/>
        <v>99911309448.999756</v>
      </c>
      <c r="V329" s="12">
        <f t="shared" si="110"/>
        <v>0</v>
      </c>
      <c r="W329" t="str">
        <f>'H237 Tracker'!I329</f>
        <v>HOLD</v>
      </c>
      <c r="X329">
        <f>'H237 Tracker'!J329</f>
        <v>0</v>
      </c>
      <c r="Y329" t="str">
        <f>'H237 Tracker'!K329</f>
        <v>HOLD</v>
      </c>
      <c r="Z329" s="12">
        <f>'H237 Tracker'!O329</f>
        <v>0</v>
      </c>
      <c r="AA329" s="13">
        <f>'H237 Tracker'!P329</f>
        <v>0</v>
      </c>
      <c r="AB329" s="13">
        <f>'H237 Tracker'!Q329</f>
        <v>0</v>
      </c>
      <c r="AC329" s="13">
        <f t="shared" si="111"/>
        <v>0</v>
      </c>
      <c r="AD329" s="13">
        <f t="shared" si="112"/>
        <v>99911309448.999756</v>
      </c>
      <c r="AE329" s="13">
        <f t="shared" si="113"/>
        <v>99911309448.999756</v>
      </c>
      <c r="AF329" s="13">
        <f t="shared" si="119"/>
        <v>105540115613.39975</v>
      </c>
      <c r="AG329" s="24">
        <f t="shared" si="114"/>
        <v>-5.3333333317718501E-2</v>
      </c>
      <c r="AH329" s="8">
        <f>--(COUNTIF('Tax Events'!$A$4:$A$8,A329)&gt;0)</f>
        <v>0</v>
      </c>
      <c r="AI329" s="8">
        <f>--(COUNTIF('Tax Events'!$B$4:$B$9,A329)&gt;0)</f>
        <v>0</v>
      </c>
    </row>
    <row r="330" spans="1:35">
      <c r="A330" s="4">
        <f>'H237 Tracker'!A330</f>
        <v>45488</v>
      </c>
      <c r="B330" s="13">
        <f t="shared" si="115"/>
        <v>0</v>
      </c>
      <c r="C330" s="13">
        <f t="shared" si="116"/>
        <v>99911309448.999756</v>
      </c>
      <c r="D330" s="13">
        <f t="shared" si="100"/>
        <v>0</v>
      </c>
      <c r="E330" s="13">
        <f t="shared" si="101"/>
        <v>99911309448.999756</v>
      </c>
      <c r="F330" s="13">
        <f>IF(AH330=1,MAX(R329,0)*Parameters!$B$11,0)</f>
        <v>0</v>
      </c>
      <c r="G330" s="13">
        <f>IF(AI330=1,MAX(S329,0)*Parameters!$B$11,0)</f>
        <v>0</v>
      </c>
      <c r="H330" s="13">
        <f t="shared" si="102"/>
        <v>0</v>
      </c>
      <c r="I330" s="13">
        <f t="shared" si="103"/>
        <v>99911309448.999756</v>
      </c>
      <c r="J330" s="13">
        <f t="shared" si="104"/>
        <v>0</v>
      </c>
      <c r="K330" s="13">
        <f t="shared" si="105"/>
        <v>0</v>
      </c>
      <c r="L330" s="13">
        <f t="shared" si="106"/>
        <v>0</v>
      </c>
      <c r="M330" s="13">
        <f t="shared" si="107"/>
        <v>99911309448.999756</v>
      </c>
      <c r="N330" s="13">
        <f>MAX(0,INT(L330*Parameters!$B$14/Parameters!$B$13/Parameters!$B$12)*Parameters!$B$12)</f>
        <v>0</v>
      </c>
      <c r="O330" s="13">
        <f>MAX(0,INT(M330*Parameters!$B$14/Parameters!$B$13/Parameters!$B$12)*Parameters!$B$12)</f>
        <v>66607539540</v>
      </c>
      <c r="P330" s="13">
        <f>N330*Parameters!$B$13*'H237 Tracker'!B330</f>
        <v>0</v>
      </c>
      <c r="Q330" s="13">
        <f>O330*Parameters!$B$13*'H237 Tracker'!C330</f>
        <v>-36674111270.723999</v>
      </c>
      <c r="R330" s="13">
        <f t="shared" si="117"/>
        <v>0</v>
      </c>
      <c r="S330" s="13">
        <f t="shared" si="118"/>
        <v>26723955042.491997</v>
      </c>
      <c r="T330" s="13">
        <f t="shared" si="108"/>
        <v>0</v>
      </c>
      <c r="U330" s="13">
        <f t="shared" si="109"/>
        <v>63237198178.275757</v>
      </c>
      <c r="V330" s="12">
        <f t="shared" si="110"/>
        <v>0</v>
      </c>
      <c r="W330" t="str">
        <f>'H237 Tracker'!I330</f>
        <v>HOLD</v>
      </c>
      <c r="X330">
        <f>'H237 Tracker'!J330</f>
        <v>0</v>
      </c>
      <c r="Y330" t="str">
        <f>'H237 Tracker'!K330</f>
        <v>HOLD</v>
      </c>
      <c r="Z330" s="12">
        <f>'H237 Tracker'!O330</f>
        <v>0</v>
      </c>
      <c r="AA330" s="13">
        <f>'H237 Tracker'!P330</f>
        <v>0</v>
      </c>
      <c r="AB330" s="13">
        <f>'H237 Tracker'!Q330</f>
        <v>0</v>
      </c>
      <c r="AC330" s="13">
        <f t="shared" si="111"/>
        <v>0</v>
      </c>
      <c r="AD330" s="13">
        <f t="shared" si="112"/>
        <v>63237198178.275757</v>
      </c>
      <c r="AE330" s="13">
        <f t="shared" si="113"/>
        <v>63237198178.275757</v>
      </c>
      <c r="AF330" s="13">
        <f t="shared" si="119"/>
        <v>105540115613.39975</v>
      </c>
      <c r="AG330" s="24">
        <f t="shared" si="114"/>
        <v>-0.40082311061778919</v>
      </c>
      <c r="AH330" s="8">
        <f>--(COUNTIF('Tax Events'!$A$4:$A$8,A330)&gt;0)</f>
        <v>0</v>
      </c>
      <c r="AI330" s="8">
        <f>--(COUNTIF('Tax Events'!$B$4:$B$9,A330)&gt;0)</f>
        <v>0</v>
      </c>
    </row>
    <row r="331" spans="1:35">
      <c r="A331" s="4">
        <f>'H237 Tracker'!A331</f>
        <v>45495</v>
      </c>
      <c r="B331" s="13">
        <f t="shared" si="115"/>
        <v>0</v>
      </c>
      <c r="C331" s="13">
        <f t="shared" si="116"/>
        <v>63237198178.275757</v>
      </c>
      <c r="D331" s="13">
        <f t="shared" si="100"/>
        <v>0</v>
      </c>
      <c r="E331" s="13">
        <f t="shared" si="101"/>
        <v>63237198178.275757</v>
      </c>
      <c r="F331" s="13">
        <f>IF(AH331=1,MAX(R330,0)*Parameters!$B$11,0)</f>
        <v>0</v>
      </c>
      <c r="G331" s="13">
        <f>IF(AI331=1,MAX(S330,0)*Parameters!$B$11,0)</f>
        <v>0</v>
      </c>
      <c r="H331" s="13">
        <f t="shared" si="102"/>
        <v>0</v>
      </c>
      <c r="I331" s="13">
        <f t="shared" si="103"/>
        <v>63237198178.275757</v>
      </c>
      <c r="J331" s="13">
        <f t="shared" si="104"/>
        <v>0</v>
      </c>
      <c r="K331" s="13">
        <f t="shared" si="105"/>
        <v>0</v>
      </c>
      <c r="L331" s="13">
        <f t="shared" si="106"/>
        <v>0</v>
      </c>
      <c r="M331" s="13">
        <f t="shared" si="107"/>
        <v>63237198178.275757</v>
      </c>
      <c r="N331" s="13">
        <f>MAX(0,INT(L331*Parameters!$B$14/Parameters!$B$13/Parameters!$B$12)*Parameters!$B$12)</f>
        <v>0</v>
      </c>
      <c r="O331" s="13">
        <f>MAX(0,INT(M331*Parameters!$B$14/Parameters!$B$13/Parameters!$B$12)*Parameters!$B$12)</f>
        <v>42158132095</v>
      </c>
      <c r="P331" s="13">
        <f>N331*Parameters!$B$13*'H237 Tracker'!B331</f>
        <v>0</v>
      </c>
      <c r="Q331" s="13">
        <f>O331*Parameters!$B$13*'H237 Tracker'!C331</f>
        <v>0</v>
      </c>
      <c r="R331" s="13">
        <f t="shared" si="117"/>
        <v>0</v>
      </c>
      <c r="S331" s="13">
        <f t="shared" si="118"/>
        <v>26723955042.491997</v>
      </c>
      <c r="T331" s="13">
        <f t="shared" si="108"/>
        <v>0</v>
      </c>
      <c r="U331" s="13">
        <f t="shared" si="109"/>
        <v>63237198178.275757</v>
      </c>
      <c r="V331" s="12">
        <f t="shared" si="110"/>
        <v>0</v>
      </c>
      <c r="W331" t="str">
        <f>'H237 Tracker'!I331</f>
        <v>HOLD</v>
      </c>
      <c r="X331">
        <f>'H237 Tracker'!J331</f>
        <v>0</v>
      </c>
      <c r="Y331" t="str">
        <f>'H237 Tracker'!K331</f>
        <v>HOLD</v>
      </c>
      <c r="Z331" s="12">
        <f>'H237 Tracker'!O331</f>
        <v>0</v>
      </c>
      <c r="AA331" s="13">
        <f>'H237 Tracker'!P331</f>
        <v>0</v>
      </c>
      <c r="AB331" s="13">
        <f>'H237 Tracker'!Q331</f>
        <v>0</v>
      </c>
      <c r="AC331" s="13">
        <f t="shared" si="111"/>
        <v>0</v>
      </c>
      <c r="AD331" s="13">
        <f t="shared" si="112"/>
        <v>63237198178.275757</v>
      </c>
      <c r="AE331" s="13">
        <f t="shared" si="113"/>
        <v>63237198178.275757</v>
      </c>
      <c r="AF331" s="13">
        <f t="shared" si="119"/>
        <v>105540115613.39975</v>
      </c>
      <c r="AG331" s="24">
        <f t="shared" si="114"/>
        <v>-0.40082311061778919</v>
      </c>
      <c r="AH331" s="8">
        <f>--(COUNTIF('Tax Events'!$A$4:$A$8,A331)&gt;0)</f>
        <v>0</v>
      </c>
      <c r="AI331" s="8">
        <f>--(COUNTIF('Tax Events'!$B$4:$B$9,A331)&gt;0)</f>
        <v>0</v>
      </c>
    </row>
    <row r="332" spans="1:35">
      <c r="A332" s="4">
        <f>'H237 Tracker'!A332</f>
        <v>45502</v>
      </c>
      <c r="B332" s="13">
        <f t="shared" si="115"/>
        <v>0</v>
      </c>
      <c r="C332" s="13">
        <f t="shared" si="116"/>
        <v>63237198178.275757</v>
      </c>
      <c r="D332" s="13">
        <f t="shared" si="100"/>
        <v>0</v>
      </c>
      <c r="E332" s="13">
        <f t="shared" si="101"/>
        <v>63237198178.275757</v>
      </c>
      <c r="F332" s="13">
        <f>IF(AH332=1,MAX(R331,0)*Parameters!$B$11,0)</f>
        <v>0</v>
      </c>
      <c r="G332" s="13">
        <f>IF(AI332=1,MAX(S331,0)*Parameters!$B$11,0)</f>
        <v>0</v>
      </c>
      <c r="H332" s="13">
        <f t="shared" si="102"/>
        <v>0</v>
      </c>
      <c r="I332" s="13">
        <f t="shared" si="103"/>
        <v>63237198178.275757</v>
      </c>
      <c r="J332" s="13">
        <f t="shared" si="104"/>
        <v>0</v>
      </c>
      <c r="K332" s="13">
        <f t="shared" si="105"/>
        <v>0</v>
      </c>
      <c r="L332" s="13">
        <f t="shared" si="106"/>
        <v>0</v>
      </c>
      <c r="M332" s="13">
        <f t="shared" si="107"/>
        <v>63237198178.275757</v>
      </c>
      <c r="N332" s="13">
        <f>MAX(0,INT(L332*Parameters!$B$14/Parameters!$B$13/Parameters!$B$12)*Parameters!$B$12)</f>
        <v>0</v>
      </c>
      <c r="O332" s="13">
        <f>MAX(0,INT(M332*Parameters!$B$14/Parameters!$B$13/Parameters!$B$12)*Parameters!$B$12)</f>
        <v>42158132095</v>
      </c>
      <c r="P332" s="13">
        <f>N332*Parameters!$B$13*'H237 Tracker'!B332</f>
        <v>0</v>
      </c>
      <c r="Q332" s="13">
        <f>O332*Parameters!$B$13*'H237 Tracker'!C332</f>
        <v>-3178723159.9629998</v>
      </c>
      <c r="R332" s="13">
        <f t="shared" si="117"/>
        <v>0</v>
      </c>
      <c r="S332" s="13">
        <f t="shared" si="118"/>
        <v>23545231882.528996</v>
      </c>
      <c r="T332" s="13">
        <f t="shared" si="108"/>
        <v>0</v>
      </c>
      <c r="U332" s="13">
        <f t="shared" si="109"/>
        <v>60058475018.312759</v>
      </c>
      <c r="V332" s="12">
        <f t="shared" si="110"/>
        <v>0</v>
      </c>
      <c r="W332" t="str">
        <f>'H237 Tracker'!I332</f>
        <v>HOLD</v>
      </c>
      <c r="X332">
        <f>'H237 Tracker'!J332</f>
        <v>0</v>
      </c>
      <c r="Y332" t="str">
        <f>'H237 Tracker'!K332</f>
        <v>HOLD</v>
      </c>
      <c r="Z332" s="12">
        <f>'H237 Tracker'!O332</f>
        <v>0</v>
      </c>
      <c r="AA332" s="13">
        <f>'H237 Tracker'!P332</f>
        <v>0</v>
      </c>
      <c r="AB332" s="13">
        <f>'H237 Tracker'!Q332</f>
        <v>0</v>
      </c>
      <c r="AC332" s="13">
        <f t="shared" si="111"/>
        <v>0</v>
      </c>
      <c r="AD332" s="13">
        <f t="shared" si="112"/>
        <v>60058475018.312759</v>
      </c>
      <c r="AE332" s="13">
        <f t="shared" si="113"/>
        <v>60058475018.312759</v>
      </c>
      <c r="AF332" s="13">
        <f t="shared" si="119"/>
        <v>105540115613.39975</v>
      </c>
      <c r="AG332" s="24">
        <f t="shared" si="114"/>
        <v>-0.43094173557369575</v>
      </c>
      <c r="AH332" s="8">
        <f>--(COUNTIF('Tax Events'!$A$4:$A$8,A332)&gt;0)</f>
        <v>0</v>
      </c>
      <c r="AI332" s="8">
        <f>--(COUNTIF('Tax Events'!$B$4:$B$9,A332)&gt;0)</f>
        <v>0</v>
      </c>
    </row>
    <row r="333" spans="1:35">
      <c r="A333" s="4">
        <f>'H237 Tracker'!A333</f>
        <v>45509</v>
      </c>
      <c r="B333" s="13">
        <f t="shared" si="115"/>
        <v>0</v>
      </c>
      <c r="C333" s="13">
        <f t="shared" si="116"/>
        <v>60058475018.312759</v>
      </c>
      <c r="D333" s="13">
        <f t="shared" si="100"/>
        <v>0</v>
      </c>
      <c r="E333" s="13">
        <f t="shared" si="101"/>
        <v>60058475018.312759</v>
      </c>
      <c r="F333" s="13">
        <f>IF(AH333=1,MAX(R332,0)*Parameters!$B$11,0)</f>
        <v>0</v>
      </c>
      <c r="G333" s="13">
        <f>IF(AI333=1,MAX(S332,0)*Parameters!$B$11,0)</f>
        <v>0</v>
      </c>
      <c r="H333" s="13">
        <f t="shared" si="102"/>
        <v>0</v>
      </c>
      <c r="I333" s="13">
        <f t="shared" si="103"/>
        <v>60058475018.312759</v>
      </c>
      <c r="J333" s="13">
        <f t="shared" si="104"/>
        <v>0</v>
      </c>
      <c r="K333" s="13">
        <f t="shared" si="105"/>
        <v>0</v>
      </c>
      <c r="L333" s="13">
        <f t="shared" si="106"/>
        <v>0</v>
      </c>
      <c r="M333" s="13">
        <f t="shared" si="107"/>
        <v>60058475018.312759</v>
      </c>
      <c r="N333" s="13">
        <f>MAX(0,INT(L333*Parameters!$B$14/Parameters!$B$13/Parameters!$B$12)*Parameters!$B$12)</f>
        <v>0</v>
      </c>
      <c r="O333" s="13">
        <f>MAX(0,INT(M333*Parameters!$B$14/Parameters!$B$13/Parameters!$B$12)*Parameters!$B$12)</f>
        <v>40038983280</v>
      </c>
      <c r="P333" s="13">
        <f>N333*Parameters!$B$13*'H237 Tracker'!B333</f>
        <v>0</v>
      </c>
      <c r="Q333" s="13">
        <f>O333*Parameters!$B$13*'H237 Tracker'!C333</f>
        <v>22589994366.576</v>
      </c>
      <c r="R333" s="13">
        <f t="shared" si="117"/>
        <v>0</v>
      </c>
      <c r="S333" s="13">
        <f t="shared" si="118"/>
        <v>46135226249.104996</v>
      </c>
      <c r="T333" s="13">
        <f t="shared" si="108"/>
        <v>0</v>
      </c>
      <c r="U333" s="13">
        <f t="shared" si="109"/>
        <v>82648469384.888763</v>
      </c>
      <c r="V333" s="12">
        <f t="shared" si="110"/>
        <v>0</v>
      </c>
      <c r="W333" t="str">
        <f>'H237 Tracker'!I333</f>
        <v>HOLD</v>
      </c>
      <c r="X333">
        <f>'H237 Tracker'!J333</f>
        <v>0</v>
      </c>
      <c r="Y333" t="str">
        <f>'H237 Tracker'!K333</f>
        <v>HOLD</v>
      </c>
      <c r="Z333" s="12">
        <f>'H237 Tracker'!O333</f>
        <v>0</v>
      </c>
      <c r="AA333" s="13">
        <f>'H237 Tracker'!P333</f>
        <v>0</v>
      </c>
      <c r="AB333" s="13">
        <f>'H237 Tracker'!Q333</f>
        <v>0</v>
      </c>
      <c r="AC333" s="13">
        <f t="shared" si="111"/>
        <v>0</v>
      </c>
      <c r="AD333" s="13">
        <f t="shared" si="112"/>
        <v>82648469384.888763</v>
      </c>
      <c r="AE333" s="13">
        <f t="shared" si="113"/>
        <v>82648469384.888763</v>
      </c>
      <c r="AF333" s="13">
        <f t="shared" si="119"/>
        <v>105540115613.39975</v>
      </c>
      <c r="AG333" s="24">
        <f t="shared" si="114"/>
        <v>-0.21689995406452423</v>
      </c>
      <c r="AH333" s="8">
        <f>--(COUNTIF('Tax Events'!$A$4:$A$8,A333)&gt;0)</f>
        <v>0</v>
      </c>
      <c r="AI333" s="8">
        <f>--(COUNTIF('Tax Events'!$B$4:$B$9,A333)&gt;0)</f>
        <v>0</v>
      </c>
    </row>
    <row r="334" spans="1:35">
      <c r="A334" s="4">
        <f>'H237 Tracker'!A334</f>
        <v>45516</v>
      </c>
      <c r="B334" s="13">
        <f t="shared" si="115"/>
        <v>0</v>
      </c>
      <c r="C334" s="13">
        <f t="shared" si="116"/>
        <v>82648469384.888763</v>
      </c>
      <c r="D334" s="13">
        <f t="shared" si="100"/>
        <v>0</v>
      </c>
      <c r="E334" s="13">
        <f t="shared" si="101"/>
        <v>82648469384.888763</v>
      </c>
      <c r="F334" s="13">
        <f>IF(AH334=1,MAX(R333,0)*Parameters!$B$11,0)</f>
        <v>0</v>
      </c>
      <c r="G334" s="13">
        <f>IF(AI334=1,MAX(S333,0)*Parameters!$B$11,0)</f>
        <v>0</v>
      </c>
      <c r="H334" s="13">
        <f t="shared" si="102"/>
        <v>0</v>
      </c>
      <c r="I334" s="13">
        <f t="shared" si="103"/>
        <v>82648469384.888763</v>
      </c>
      <c r="J334" s="13">
        <f t="shared" si="104"/>
        <v>0</v>
      </c>
      <c r="K334" s="13">
        <f t="shared" si="105"/>
        <v>0</v>
      </c>
      <c r="L334" s="13">
        <f t="shared" si="106"/>
        <v>0</v>
      </c>
      <c r="M334" s="13">
        <f t="shared" si="107"/>
        <v>82648469384.888763</v>
      </c>
      <c r="N334" s="13">
        <f>MAX(0,INT(L334*Parameters!$B$14/Parameters!$B$13/Parameters!$B$12)*Parameters!$B$12)</f>
        <v>0</v>
      </c>
      <c r="O334" s="13">
        <f>MAX(0,INT(M334*Parameters!$B$14/Parameters!$B$13/Parameters!$B$12)*Parameters!$B$12)</f>
        <v>55098979515</v>
      </c>
      <c r="P334" s="13">
        <f>N334*Parameters!$B$13*'H237 Tracker'!B334</f>
        <v>0</v>
      </c>
      <c r="Q334" s="13">
        <f>O334*Parameters!$B$13*'H237 Tracker'!C334</f>
        <v>26546688330.327</v>
      </c>
      <c r="R334" s="13">
        <f t="shared" si="117"/>
        <v>0</v>
      </c>
      <c r="S334" s="13">
        <f t="shared" si="118"/>
        <v>72681914579.431992</v>
      </c>
      <c r="T334" s="13">
        <f t="shared" si="108"/>
        <v>0</v>
      </c>
      <c r="U334" s="13">
        <f t="shared" si="109"/>
        <v>109195157715.21576</v>
      </c>
      <c r="V334" s="12">
        <f t="shared" si="110"/>
        <v>0</v>
      </c>
      <c r="W334" t="str">
        <f>'H237 Tracker'!I334</f>
        <v>HOLD</v>
      </c>
      <c r="X334">
        <f>'H237 Tracker'!J334</f>
        <v>0</v>
      </c>
      <c r="Y334" t="str">
        <f>'H237 Tracker'!K334</f>
        <v>HOLD</v>
      </c>
      <c r="Z334" s="12">
        <f>'H237 Tracker'!O334</f>
        <v>0</v>
      </c>
      <c r="AA334" s="13">
        <f>'H237 Tracker'!P334</f>
        <v>0</v>
      </c>
      <c r="AB334" s="13">
        <f>'H237 Tracker'!Q334</f>
        <v>0</v>
      </c>
      <c r="AC334" s="13">
        <f t="shared" si="111"/>
        <v>0</v>
      </c>
      <c r="AD334" s="13">
        <f t="shared" si="112"/>
        <v>109195157715.21576</v>
      </c>
      <c r="AE334" s="13">
        <f t="shared" si="113"/>
        <v>109195157715.21576</v>
      </c>
      <c r="AF334" s="13">
        <f t="shared" si="119"/>
        <v>109195157715.21576</v>
      </c>
      <c r="AG334" s="24">
        <f t="shared" si="114"/>
        <v>0</v>
      </c>
      <c r="AH334" s="8">
        <f>--(COUNTIF('Tax Events'!$A$4:$A$8,A334)&gt;0)</f>
        <v>0</v>
      </c>
      <c r="AI334" s="8">
        <f>--(COUNTIF('Tax Events'!$B$4:$B$9,A334)&gt;0)</f>
        <v>0</v>
      </c>
    </row>
    <row r="335" spans="1:35">
      <c r="A335" s="4">
        <f>'H237 Tracker'!A335</f>
        <v>45523</v>
      </c>
      <c r="B335" s="13">
        <f t="shared" si="115"/>
        <v>0</v>
      </c>
      <c r="C335" s="13">
        <f t="shared" si="116"/>
        <v>109195157715.21576</v>
      </c>
      <c r="D335" s="13">
        <f t="shared" si="100"/>
        <v>0</v>
      </c>
      <c r="E335" s="13">
        <f t="shared" si="101"/>
        <v>109195157715.21576</v>
      </c>
      <c r="F335" s="13">
        <f>IF(AH335=1,MAX(R334,0)*Parameters!$B$11,0)</f>
        <v>0</v>
      </c>
      <c r="G335" s="13">
        <f>IF(AI335=1,MAX(S334,0)*Parameters!$B$11,0)</f>
        <v>0</v>
      </c>
      <c r="H335" s="13">
        <f t="shared" si="102"/>
        <v>0</v>
      </c>
      <c r="I335" s="13">
        <f t="shared" si="103"/>
        <v>109195157715.21576</v>
      </c>
      <c r="J335" s="13">
        <f t="shared" si="104"/>
        <v>0</v>
      </c>
      <c r="K335" s="13">
        <f t="shared" si="105"/>
        <v>0</v>
      </c>
      <c r="L335" s="13">
        <f t="shared" si="106"/>
        <v>0</v>
      </c>
      <c r="M335" s="13">
        <f t="shared" si="107"/>
        <v>109195157715.21576</v>
      </c>
      <c r="N335" s="13">
        <f>MAX(0,INT(L335*Parameters!$B$14/Parameters!$B$13/Parameters!$B$12)*Parameters!$B$12)</f>
        <v>0</v>
      </c>
      <c r="O335" s="13">
        <f>MAX(0,INT(M335*Parameters!$B$14/Parameters!$B$13/Parameters!$B$12)*Parameters!$B$12)</f>
        <v>72796771805</v>
      </c>
      <c r="P335" s="13">
        <f>N335*Parameters!$B$13*'H237 Tracker'!B335</f>
        <v>0</v>
      </c>
      <c r="Q335" s="13">
        <f>O335*Parameters!$B$13*'H237 Tracker'!C335</f>
        <v>17995361990.195999</v>
      </c>
      <c r="R335" s="13">
        <f t="shared" si="117"/>
        <v>0</v>
      </c>
      <c r="S335" s="13">
        <f t="shared" si="118"/>
        <v>90677276569.627991</v>
      </c>
      <c r="T335" s="13">
        <f t="shared" si="108"/>
        <v>0</v>
      </c>
      <c r="U335" s="13">
        <f t="shared" si="109"/>
        <v>127190519705.41176</v>
      </c>
      <c r="V335" s="12">
        <f t="shared" si="110"/>
        <v>0</v>
      </c>
      <c r="W335" t="str">
        <f>'H237 Tracker'!I335</f>
        <v>HOLD</v>
      </c>
      <c r="X335">
        <f>'H237 Tracker'!J335</f>
        <v>0</v>
      </c>
      <c r="Y335" t="str">
        <f>'H237 Tracker'!K335</f>
        <v>HOLD</v>
      </c>
      <c r="Z335" s="12">
        <f>'H237 Tracker'!O335</f>
        <v>0</v>
      </c>
      <c r="AA335" s="13">
        <f>'H237 Tracker'!P335</f>
        <v>0</v>
      </c>
      <c r="AB335" s="13">
        <f>'H237 Tracker'!Q335</f>
        <v>0</v>
      </c>
      <c r="AC335" s="13">
        <f t="shared" si="111"/>
        <v>0</v>
      </c>
      <c r="AD335" s="13">
        <f t="shared" si="112"/>
        <v>127190519705.41176</v>
      </c>
      <c r="AE335" s="13">
        <f t="shared" si="113"/>
        <v>127190519705.41176</v>
      </c>
      <c r="AF335" s="13">
        <f t="shared" si="119"/>
        <v>127190519705.41176</v>
      </c>
      <c r="AG335" s="24">
        <f t="shared" si="114"/>
        <v>0</v>
      </c>
      <c r="AH335" s="8">
        <f>--(COUNTIF('Tax Events'!$A$4:$A$8,A335)&gt;0)</f>
        <v>0</v>
      </c>
      <c r="AI335" s="8">
        <f>--(COUNTIF('Tax Events'!$B$4:$B$9,A335)&gt;0)</f>
        <v>0</v>
      </c>
    </row>
    <row r="336" spans="1:35">
      <c r="A336" s="4">
        <f>'H237 Tracker'!A336</f>
        <v>45530</v>
      </c>
      <c r="B336" s="13">
        <f t="shared" si="115"/>
        <v>0</v>
      </c>
      <c r="C336" s="13">
        <f t="shared" si="116"/>
        <v>127190519705.41176</v>
      </c>
      <c r="D336" s="13">
        <f t="shared" si="100"/>
        <v>0</v>
      </c>
      <c r="E336" s="13">
        <f t="shared" si="101"/>
        <v>127190519705.41176</v>
      </c>
      <c r="F336" s="13">
        <f>IF(AH336=1,MAX(R335,0)*Parameters!$B$11,0)</f>
        <v>0</v>
      </c>
      <c r="G336" s="13">
        <f>IF(AI336=1,MAX(S335,0)*Parameters!$B$11,0)</f>
        <v>0</v>
      </c>
      <c r="H336" s="13">
        <f t="shared" si="102"/>
        <v>0</v>
      </c>
      <c r="I336" s="13">
        <f t="shared" si="103"/>
        <v>127190519705.41176</v>
      </c>
      <c r="J336" s="13">
        <f t="shared" si="104"/>
        <v>0</v>
      </c>
      <c r="K336" s="13">
        <f t="shared" si="105"/>
        <v>0</v>
      </c>
      <c r="L336" s="13">
        <f t="shared" si="106"/>
        <v>0</v>
      </c>
      <c r="M336" s="13">
        <f t="shared" si="107"/>
        <v>127190519705.41176</v>
      </c>
      <c r="N336" s="13">
        <f>MAX(0,INT(L336*Parameters!$B$14/Parameters!$B$13/Parameters!$B$12)*Parameters!$B$12)</f>
        <v>0</v>
      </c>
      <c r="O336" s="13">
        <f>MAX(0,INT(M336*Parameters!$B$14/Parameters!$B$13/Parameters!$B$12)*Parameters!$B$12)</f>
        <v>84793679790</v>
      </c>
      <c r="P336" s="13">
        <f>N336*Parameters!$B$13*'H237 Tracker'!B336</f>
        <v>0</v>
      </c>
      <c r="Q336" s="13">
        <f>O336*Parameters!$B$13*'H237 Tracker'!C336</f>
        <v>-6596948287.6619997</v>
      </c>
      <c r="R336" s="13">
        <f t="shared" si="117"/>
        <v>0</v>
      </c>
      <c r="S336" s="13">
        <f t="shared" si="118"/>
        <v>84080328281.965988</v>
      </c>
      <c r="T336" s="13">
        <f t="shared" si="108"/>
        <v>0</v>
      </c>
      <c r="U336" s="13">
        <f t="shared" si="109"/>
        <v>120593571417.74976</v>
      </c>
      <c r="V336" s="12">
        <f t="shared" si="110"/>
        <v>0</v>
      </c>
      <c r="W336" t="str">
        <f>'H237 Tracker'!I336</f>
        <v>HOLD</v>
      </c>
      <c r="X336">
        <f>'H237 Tracker'!J336</f>
        <v>0</v>
      </c>
      <c r="Y336" t="str">
        <f>'H237 Tracker'!K336</f>
        <v>HOLD</v>
      </c>
      <c r="Z336" s="12">
        <f>'H237 Tracker'!O336</f>
        <v>0</v>
      </c>
      <c r="AA336" s="13">
        <f>'H237 Tracker'!P336</f>
        <v>0</v>
      </c>
      <c r="AB336" s="13">
        <f>'H237 Tracker'!Q336</f>
        <v>0</v>
      </c>
      <c r="AC336" s="13">
        <f t="shared" si="111"/>
        <v>0</v>
      </c>
      <c r="AD336" s="13">
        <f t="shared" si="112"/>
        <v>120593571417.74976</v>
      </c>
      <c r="AE336" s="13">
        <f t="shared" si="113"/>
        <v>120593571417.74976</v>
      </c>
      <c r="AF336" s="13">
        <f t="shared" si="119"/>
        <v>127190519705.41176</v>
      </c>
      <c r="AG336" s="24">
        <f t="shared" si="114"/>
        <v>-5.1866666658343052E-2</v>
      </c>
      <c r="AH336" s="8">
        <f>--(COUNTIF('Tax Events'!$A$4:$A$8,A336)&gt;0)</f>
        <v>0</v>
      </c>
      <c r="AI336" s="8">
        <f>--(COUNTIF('Tax Events'!$B$4:$B$9,A336)&gt;0)</f>
        <v>0</v>
      </c>
    </row>
    <row r="337" spans="1:35">
      <c r="A337" s="4">
        <f>'H237 Tracker'!A337</f>
        <v>45537</v>
      </c>
      <c r="B337" s="13">
        <f t="shared" si="115"/>
        <v>0</v>
      </c>
      <c r="C337" s="13">
        <f t="shared" si="116"/>
        <v>120593571417.74976</v>
      </c>
      <c r="D337" s="13">
        <f t="shared" si="100"/>
        <v>0</v>
      </c>
      <c r="E337" s="13">
        <f t="shared" si="101"/>
        <v>120593571417.74976</v>
      </c>
      <c r="F337" s="13">
        <f>IF(AH337=1,MAX(R336,0)*Parameters!$B$11,0)</f>
        <v>0</v>
      </c>
      <c r="G337" s="13">
        <f>IF(AI337=1,MAX(S336,0)*Parameters!$B$11,0)</f>
        <v>0</v>
      </c>
      <c r="H337" s="13">
        <f t="shared" si="102"/>
        <v>0</v>
      </c>
      <c r="I337" s="13">
        <f t="shared" si="103"/>
        <v>120593571417.74976</v>
      </c>
      <c r="J337" s="13">
        <f t="shared" si="104"/>
        <v>0</v>
      </c>
      <c r="K337" s="13">
        <f t="shared" si="105"/>
        <v>0</v>
      </c>
      <c r="L337" s="13">
        <f t="shared" si="106"/>
        <v>0</v>
      </c>
      <c r="M337" s="13">
        <f t="shared" si="107"/>
        <v>120593571417.74976</v>
      </c>
      <c r="N337" s="13">
        <f>MAX(0,INT(L337*Parameters!$B$14/Parameters!$B$13/Parameters!$B$12)*Parameters!$B$12)</f>
        <v>0</v>
      </c>
      <c r="O337" s="13">
        <f>MAX(0,INT(M337*Parameters!$B$14/Parameters!$B$13/Parameters!$B$12)*Parameters!$B$12)</f>
        <v>80395714205</v>
      </c>
      <c r="P337" s="13">
        <f>N337*Parameters!$B$13*'H237 Tracker'!B337</f>
        <v>0</v>
      </c>
      <c r="Q337" s="13">
        <f>O337*Parameters!$B$13*'H237 Tracker'!C337</f>
        <v>0</v>
      </c>
      <c r="R337" s="13">
        <f t="shared" si="117"/>
        <v>0</v>
      </c>
      <c r="S337" s="13">
        <f t="shared" si="118"/>
        <v>84080328281.965988</v>
      </c>
      <c r="T337" s="13">
        <f t="shared" si="108"/>
        <v>0</v>
      </c>
      <c r="U337" s="13">
        <f t="shared" si="109"/>
        <v>120593571417.74976</v>
      </c>
      <c r="V337" s="12">
        <f t="shared" si="110"/>
        <v>0</v>
      </c>
      <c r="W337" t="str">
        <f>'H237 Tracker'!I337</f>
        <v>HOLD</v>
      </c>
      <c r="X337">
        <f>'H237 Tracker'!J337</f>
        <v>0</v>
      </c>
      <c r="Y337" t="str">
        <f>'H237 Tracker'!K337</f>
        <v>HOLD</v>
      </c>
      <c r="Z337" s="12">
        <f>'H237 Tracker'!O337</f>
        <v>0</v>
      </c>
      <c r="AA337" s="13">
        <f>'H237 Tracker'!P337</f>
        <v>0</v>
      </c>
      <c r="AB337" s="13">
        <f>'H237 Tracker'!Q337</f>
        <v>0</v>
      </c>
      <c r="AC337" s="13">
        <f t="shared" si="111"/>
        <v>0</v>
      </c>
      <c r="AD337" s="13">
        <f t="shared" si="112"/>
        <v>120593571417.74976</v>
      </c>
      <c r="AE337" s="13">
        <f t="shared" si="113"/>
        <v>120593571417.74976</v>
      </c>
      <c r="AF337" s="13">
        <f t="shared" si="119"/>
        <v>127190519705.41176</v>
      </c>
      <c r="AG337" s="24">
        <f t="shared" si="114"/>
        <v>-5.1866666658343052E-2</v>
      </c>
      <c r="AH337" s="8">
        <f>--(COUNTIF('Tax Events'!$A$4:$A$8,A337)&gt;0)</f>
        <v>0</v>
      </c>
      <c r="AI337" s="8">
        <f>--(COUNTIF('Tax Events'!$B$4:$B$9,A337)&gt;0)</f>
        <v>0</v>
      </c>
    </row>
    <row r="338" spans="1:35">
      <c r="A338" s="4">
        <f>'H237 Tracker'!A338</f>
        <v>45544</v>
      </c>
      <c r="B338" s="13">
        <f t="shared" si="115"/>
        <v>0</v>
      </c>
      <c r="C338" s="13">
        <f t="shared" si="116"/>
        <v>120593571417.74976</v>
      </c>
      <c r="D338" s="13">
        <f t="shared" si="100"/>
        <v>0</v>
      </c>
      <c r="E338" s="13">
        <f t="shared" si="101"/>
        <v>120593571417.74976</v>
      </c>
      <c r="F338" s="13">
        <f>IF(AH338=1,MAX(R337,0)*Parameters!$B$11,0)</f>
        <v>0</v>
      </c>
      <c r="G338" s="13">
        <f>IF(AI338=1,MAX(S337,0)*Parameters!$B$11,0)</f>
        <v>0</v>
      </c>
      <c r="H338" s="13">
        <f t="shared" si="102"/>
        <v>0</v>
      </c>
      <c r="I338" s="13">
        <f t="shared" si="103"/>
        <v>120593571417.74976</v>
      </c>
      <c r="J338" s="13">
        <f t="shared" si="104"/>
        <v>0</v>
      </c>
      <c r="K338" s="13">
        <f t="shared" si="105"/>
        <v>0</v>
      </c>
      <c r="L338" s="13">
        <f t="shared" si="106"/>
        <v>0</v>
      </c>
      <c r="M338" s="13">
        <f t="shared" si="107"/>
        <v>120593571417.74976</v>
      </c>
      <c r="N338" s="13">
        <f>MAX(0,INT(L338*Parameters!$B$14/Parameters!$B$13/Parameters!$B$12)*Parameters!$B$12)</f>
        <v>0</v>
      </c>
      <c r="O338" s="13">
        <f>MAX(0,INT(M338*Parameters!$B$14/Parameters!$B$13/Parameters!$B$12)*Parameters!$B$12)</f>
        <v>80395714205</v>
      </c>
      <c r="P338" s="13">
        <f>N338*Parameters!$B$13*'H237 Tracker'!B338</f>
        <v>0</v>
      </c>
      <c r="Q338" s="13">
        <f>O338*Parameters!$B$13*'H237 Tracker'!C338</f>
        <v>78080317635.895996</v>
      </c>
      <c r="R338" s="13">
        <f t="shared" si="117"/>
        <v>0</v>
      </c>
      <c r="S338" s="13">
        <f t="shared" si="118"/>
        <v>162160645917.862</v>
      </c>
      <c r="T338" s="13">
        <f t="shared" si="108"/>
        <v>0</v>
      </c>
      <c r="U338" s="13">
        <f t="shared" si="109"/>
        <v>198673889053.64575</v>
      </c>
      <c r="V338" s="12">
        <f t="shared" si="110"/>
        <v>0</v>
      </c>
      <c r="W338" t="str">
        <f>'H237 Tracker'!I338</f>
        <v>HOLD</v>
      </c>
      <c r="X338">
        <f>'H237 Tracker'!J338</f>
        <v>0</v>
      </c>
      <c r="Y338" t="str">
        <f>'H237 Tracker'!K338</f>
        <v>HOLD</v>
      </c>
      <c r="Z338" s="12">
        <f>'H237 Tracker'!O338</f>
        <v>0</v>
      </c>
      <c r="AA338" s="13">
        <f>'H237 Tracker'!P338</f>
        <v>0</v>
      </c>
      <c r="AB338" s="13">
        <f>'H237 Tracker'!Q338</f>
        <v>0</v>
      </c>
      <c r="AC338" s="13">
        <f t="shared" si="111"/>
        <v>0</v>
      </c>
      <c r="AD338" s="13">
        <f t="shared" si="112"/>
        <v>198673889053.64575</v>
      </c>
      <c r="AE338" s="13">
        <f t="shared" si="113"/>
        <v>198673889053.64575</v>
      </c>
      <c r="AF338" s="13">
        <f t="shared" si="119"/>
        <v>198673889053.64575</v>
      </c>
      <c r="AG338" s="24">
        <f t="shared" si="114"/>
        <v>0</v>
      </c>
      <c r="AH338" s="8">
        <f>--(COUNTIF('Tax Events'!$A$4:$A$8,A338)&gt;0)</f>
        <v>0</v>
      </c>
      <c r="AI338" s="8">
        <f>--(COUNTIF('Tax Events'!$B$4:$B$9,A338)&gt;0)</f>
        <v>0</v>
      </c>
    </row>
    <row r="339" spans="1:35">
      <c r="A339" s="4">
        <f>'H237 Tracker'!A339</f>
        <v>45551</v>
      </c>
      <c r="B339" s="13">
        <f t="shared" si="115"/>
        <v>0</v>
      </c>
      <c r="C339" s="13">
        <f t="shared" si="116"/>
        <v>198673889053.64575</v>
      </c>
      <c r="D339" s="13">
        <f t="shared" si="100"/>
        <v>0</v>
      </c>
      <c r="E339" s="13">
        <f t="shared" si="101"/>
        <v>198673889053.64575</v>
      </c>
      <c r="F339" s="13">
        <f>IF(AH339=1,MAX(R338,0)*Parameters!$B$11,0)</f>
        <v>0</v>
      </c>
      <c r="G339" s="13">
        <f>IF(AI339=1,MAX(S338,0)*Parameters!$B$11,0)</f>
        <v>0</v>
      </c>
      <c r="H339" s="13">
        <f t="shared" si="102"/>
        <v>0</v>
      </c>
      <c r="I339" s="13">
        <f t="shared" si="103"/>
        <v>198673889053.64575</v>
      </c>
      <c r="J339" s="13">
        <f t="shared" si="104"/>
        <v>0</v>
      </c>
      <c r="K339" s="13">
        <f t="shared" si="105"/>
        <v>0</v>
      </c>
      <c r="L339" s="13">
        <f t="shared" si="106"/>
        <v>0</v>
      </c>
      <c r="M339" s="13">
        <f t="shared" si="107"/>
        <v>198673889053.64575</v>
      </c>
      <c r="N339" s="13">
        <f>MAX(0,INT(L339*Parameters!$B$14/Parameters!$B$13/Parameters!$B$12)*Parameters!$B$12)</f>
        <v>0</v>
      </c>
      <c r="O339" s="13">
        <f>MAX(0,INT(M339*Parameters!$B$14/Parameters!$B$13/Parameters!$B$12)*Parameters!$B$12)</f>
        <v>132449259350</v>
      </c>
      <c r="P339" s="13">
        <f>N339*Parameters!$B$13*'H237 Tracker'!B339</f>
        <v>0</v>
      </c>
      <c r="Q339" s="13">
        <f>O339*Parameters!$B$13*'H237 Tracker'!C339</f>
        <v>52132028480.159996</v>
      </c>
      <c r="R339" s="13">
        <f t="shared" si="117"/>
        <v>0</v>
      </c>
      <c r="S339" s="13">
        <f t="shared" si="118"/>
        <v>214292674398.022</v>
      </c>
      <c r="T339" s="13">
        <f t="shared" si="108"/>
        <v>0</v>
      </c>
      <c r="U339" s="13">
        <f t="shared" si="109"/>
        <v>250805917533.80576</v>
      </c>
      <c r="V339" s="12">
        <f t="shared" si="110"/>
        <v>0</v>
      </c>
      <c r="W339" t="str">
        <f>'H237 Tracker'!I339</f>
        <v>HOLD</v>
      </c>
      <c r="X339">
        <f>'H237 Tracker'!J339</f>
        <v>0</v>
      </c>
      <c r="Y339" t="str">
        <f>'H237 Tracker'!K339</f>
        <v>HOLD</v>
      </c>
      <c r="Z339" s="12">
        <f>'H237 Tracker'!O339</f>
        <v>0</v>
      </c>
      <c r="AA339" s="13">
        <f>'H237 Tracker'!P339</f>
        <v>0</v>
      </c>
      <c r="AB339" s="13">
        <f>'H237 Tracker'!Q339</f>
        <v>0</v>
      </c>
      <c r="AC339" s="13">
        <f t="shared" si="111"/>
        <v>0</v>
      </c>
      <c r="AD339" s="13">
        <f t="shared" si="112"/>
        <v>250805917533.80576</v>
      </c>
      <c r="AE339" s="13">
        <f t="shared" si="113"/>
        <v>250805917533.80576</v>
      </c>
      <c r="AF339" s="13">
        <f t="shared" si="119"/>
        <v>250805917533.80576</v>
      </c>
      <c r="AG339" s="24">
        <f t="shared" si="114"/>
        <v>0</v>
      </c>
      <c r="AH339" s="8">
        <f>--(COUNTIF('Tax Events'!$A$4:$A$8,A339)&gt;0)</f>
        <v>0</v>
      </c>
      <c r="AI339" s="8">
        <f>--(COUNTIF('Tax Events'!$B$4:$B$9,A339)&gt;0)</f>
        <v>0</v>
      </c>
    </row>
    <row r="340" spans="1:35">
      <c r="A340" s="4">
        <f>'H237 Tracker'!A340</f>
        <v>45558</v>
      </c>
      <c r="B340" s="13">
        <f t="shared" si="115"/>
        <v>0</v>
      </c>
      <c r="C340" s="13">
        <f t="shared" si="116"/>
        <v>250805917533.80576</v>
      </c>
      <c r="D340" s="13">
        <f t="shared" si="100"/>
        <v>0</v>
      </c>
      <c r="E340" s="13">
        <f t="shared" si="101"/>
        <v>250805917533.80576</v>
      </c>
      <c r="F340" s="13">
        <f>IF(AH340=1,MAX(R339,0)*Parameters!$B$11,0)</f>
        <v>0</v>
      </c>
      <c r="G340" s="13">
        <f>IF(AI340=1,MAX(S339,0)*Parameters!$B$11,0)</f>
        <v>0</v>
      </c>
      <c r="H340" s="13">
        <f t="shared" si="102"/>
        <v>0</v>
      </c>
      <c r="I340" s="13">
        <f t="shared" si="103"/>
        <v>250805917533.80576</v>
      </c>
      <c r="J340" s="13">
        <f t="shared" si="104"/>
        <v>0</v>
      </c>
      <c r="K340" s="13">
        <f t="shared" si="105"/>
        <v>0</v>
      </c>
      <c r="L340" s="13">
        <f t="shared" si="106"/>
        <v>0</v>
      </c>
      <c r="M340" s="13">
        <f t="shared" si="107"/>
        <v>250805917533.80576</v>
      </c>
      <c r="N340" s="13">
        <f>MAX(0,INT(L340*Parameters!$B$14/Parameters!$B$13/Parameters!$B$12)*Parameters!$B$12)</f>
        <v>0</v>
      </c>
      <c r="O340" s="13">
        <f>MAX(0,INT(M340*Parameters!$B$14/Parameters!$B$13/Parameters!$B$12)*Parameters!$B$12)</f>
        <v>167203945020</v>
      </c>
      <c r="P340" s="13">
        <f>N340*Parameters!$B$13*'H237 Tracker'!B340</f>
        <v>0</v>
      </c>
      <c r="Q340" s="13">
        <f>O340*Parameters!$B$13*'H237 Tracker'!C340</f>
        <v>25916611478.099998</v>
      </c>
      <c r="R340" s="13">
        <f t="shared" si="117"/>
        <v>0</v>
      </c>
      <c r="S340" s="13">
        <f t="shared" si="118"/>
        <v>240209285876.12201</v>
      </c>
      <c r="T340" s="13">
        <f t="shared" si="108"/>
        <v>0</v>
      </c>
      <c r="U340" s="13">
        <f t="shared" si="109"/>
        <v>276722529011.90576</v>
      </c>
      <c r="V340" s="12">
        <f t="shared" si="110"/>
        <v>0</v>
      </c>
      <c r="W340" t="str">
        <f>'H237 Tracker'!I340</f>
        <v>HOLD</v>
      </c>
      <c r="X340">
        <f>'H237 Tracker'!J340</f>
        <v>0</v>
      </c>
      <c r="Y340" t="str">
        <f>'H237 Tracker'!K340</f>
        <v>HOLD</v>
      </c>
      <c r="Z340" s="12">
        <f>'H237 Tracker'!O340</f>
        <v>0</v>
      </c>
      <c r="AA340" s="13">
        <f>'H237 Tracker'!P340</f>
        <v>0</v>
      </c>
      <c r="AB340" s="13">
        <f>'H237 Tracker'!Q340</f>
        <v>0</v>
      </c>
      <c r="AC340" s="13">
        <f t="shared" si="111"/>
        <v>0</v>
      </c>
      <c r="AD340" s="13">
        <f t="shared" si="112"/>
        <v>276722529011.90576</v>
      </c>
      <c r="AE340" s="13">
        <f t="shared" si="113"/>
        <v>276722529011.90576</v>
      </c>
      <c r="AF340" s="13">
        <f t="shared" si="119"/>
        <v>276722529011.90576</v>
      </c>
      <c r="AG340" s="24">
        <f t="shared" si="114"/>
        <v>0</v>
      </c>
      <c r="AH340" s="8">
        <f>--(COUNTIF('Tax Events'!$A$4:$A$8,A340)&gt;0)</f>
        <v>0</v>
      </c>
      <c r="AI340" s="8">
        <f>--(COUNTIF('Tax Events'!$B$4:$B$9,A340)&gt;0)</f>
        <v>0</v>
      </c>
    </row>
    <row r="341" spans="1:35">
      <c r="A341" s="4">
        <f>'H237 Tracker'!A341</f>
        <v>45565</v>
      </c>
      <c r="B341" s="13">
        <f t="shared" si="115"/>
        <v>0</v>
      </c>
      <c r="C341" s="13">
        <f t="shared" si="116"/>
        <v>276722529011.90576</v>
      </c>
      <c r="D341" s="13">
        <f t="shared" si="100"/>
        <v>0</v>
      </c>
      <c r="E341" s="13">
        <f t="shared" si="101"/>
        <v>276722529011.90576</v>
      </c>
      <c r="F341" s="13">
        <f>IF(AH341=1,MAX(R340,0)*Parameters!$B$11,0)</f>
        <v>0</v>
      </c>
      <c r="G341" s="13">
        <f>IF(AI341=1,MAX(S340,0)*Parameters!$B$11,0)</f>
        <v>0</v>
      </c>
      <c r="H341" s="13">
        <f t="shared" si="102"/>
        <v>0</v>
      </c>
      <c r="I341" s="13">
        <f t="shared" si="103"/>
        <v>276722529011.90576</v>
      </c>
      <c r="J341" s="13">
        <f t="shared" si="104"/>
        <v>0</v>
      </c>
      <c r="K341" s="13">
        <f t="shared" si="105"/>
        <v>0</v>
      </c>
      <c r="L341" s="13">
        <f t="shared" si="106"/>
        <v>0</v>
      </c>
      <c r="M341" s="13">
        <f t="shared" si="107"/>
        <v>276722529011.90576</v>
      </c>
      <c r="N341" s="13">
        <f>MAX(0,INT(L341*Parameters!$B$14/Parameters!$B$13/Parameters!$B$12)*Parameters!$B$12)</f>
        <v>0</v>
      </c>
      <c r="O341" s="13">
        <f>MAX(0,INT(M341*Parameters!$B$14/Parameters!$B$13/Parameters!$B$12)*Parameters!$B$12)</f>
        <v>184481685895</v>
      </c>
      <c r="P341" s="13">
        <f>N341*Parameters!$B$13*'H237 Tracker'!B341</f>
        <v>0</v>
      </c>
      <c r="Q341" s="13">
        <f>O341*Parameters!$B$13*'H237 Tracker'!C341</f>
        <v>-37560471248.222</v>
      </c>
      <c r="R341" s="13">
        <f t="shared" si="117"/>
        <v>0</v>
      </c>
      <c r="S341" s="13">
        <f t="shared" si="118"/>
        <v>202648814627.90002</v>
      </c>
      <c r="T341" s="13">
        <f t="shared" si="108"/>
        <v>0</v>
      </c>
      <c r="U341" s="13">
        <f t="shared" si="109"/>
        <v>239162057763.68378</v>
      </c>
      <c r="V341" s="12">
        <f t="shared" si="110"/>
        <v>0</v>
      </c>
      <c r="W341" t="str">
        <f>'H237 Tracker'!I341</f>
        <v>HOLD</v>
      </c>
      <c r="X341">
        <f>'H237 Tracker'!J341</f>
        <v>0</v>
      </c>
      <c r="Y341" t="str">
        <f>'H237 Tracker'!K341</f>
        <v>HOLD</v>
      </c>
      <c r="Z341" s="12">
        <f>'H237 Tracker'!O341</f>
        <v>0</v>
      </c>
      <c r="AA341" s="13">
        <f>'H237 Tracker'!P341</f>
        <v>0</v>
      </c>
      <c r="AB341" s="13">
        <f>'H237 Tracker'!Q341</f>
        <v>0</v>
      </c>
      <c r="AC341" s="13">
        <f t="shared" si="111"/>
        <v>0</v>
      </c>
      <c r="AD341" s="13">
        <f t="shared" si="112"/>
        <v>239162057763.68378</v>
      </c>
      <c r="AE341" s="13">
        <f t="shared" si="113"/>
        <v>239162057763.68378</v>
      </c>
      <c r="AF341" s="13">
        <f t="shared" si="119"/>
        <v>276722529011.90576</v>
      </c>
      <c r="AG341" s="24">
        <f t="shared" si="114"/>
        <v>-0.13573333325023917</v>
      </c>
      <c r="AH341" s="8">
        <f>--(COUNTIF('Tax Events'!$A$4:$A$8,A341)&gt;0)</f>
        <v>0</v>
      </c>
      <c r="AI341" s="8">
        <f>--(COUNTIF('Tax Events'!$B$4:$B$9,A341)&gt;0)</f>
        <v>0</v>
      </c>
    </row>
    <row r="342" spans="1:35">
      <c r="A342" s="4">
        <f>'H237 Tracker'!A342</f>
        <v>45572</v>
      </c>
      <c r="B342" s="13">
        <f t="shared" si="115"/>
        <v>0</v>
      </c>
      <c r="C342" s="13">
        <f t="shared" si="116"/>
        <v>239162057763.68378</v>
      </c>
      <c r="D342" s="13">
        <f t="shared" si="100"/>
        <v>0</v>
      </c>
      <c r="E342" s="13">
        <f t="shared" si="101"/>
        <v>239162057763.68378</v>
      </c>
      <c r="F342" s="13">
        <f>IF(AH342=1,MAX(R341,0)*Parameters!$B$11,0)</f>
        <v>0</v>
      </c>
      <c r="G342" s="13">
        <f>IF(AI342=1,MAX(S341,0)*Parameters!$B$11,0)</f>
        <v>0</v>
      </c>
      <c r="H342" s="13">
        <f t="shared" si="102"/>
        <v>0</v>
      </c>
      <c r="I342" s="13">
        <f t="shared" si="103"/>
        <v>239162057763.68378</v>
      </c>
      <c r="J342" s="13">
        <f t="shared" si="104"/>
        <v>0</v>
      </c>
      <c r="K342" s="13">
        <f t="shared" si="105"/>
        <v>0</v>
      </c>
      <c r="L342" s="13">
        <f t="shared" si="106"/>
        <v>0</v>
      </c>
      <c r="M342" s="13">
        <f t="shared" si="107"/>
        <v>239162057763.68378</v>
      </c>
      <c r="N342" s="13">
        <f>MAX(0,INT(L342*Parameters!$B$14/Parameters!$B$13/Parameters!$B$12)*Parameters!$B$12)</f>
        <v>0</v>
      </c>
      <c r="O342" s="13">
        <f>MAX(0,INT(M342*Parameters!$B$14/Parameters!$B$13/Parameters!$B$12)*Parameters!$B$12)</f>
        <v>159441371765</v>
      </c>
      <c r="P342" s="13">
        <f>N342*Parameters!$B$13*'H237 Tracker'!B342</f>
        <v>0</v>
      </c>
      <c r="Q342" s="13">
        <f>O342*Parameters!$B$13*'H237 Tracker'!C342</f>
        <v>52806982328.567993</v>
      </c>
      <c r="R342" s="13">
        <f t="shared" si="117"/>
        <v>0</v>
      </c>
      <c r="S342" s="13">
        <f t="shared" si="118"/>
        <v>255455796956.46802</v>
      </c>
      <c r="T342" s="13">
        <f t="shared" si="108"/>
        <v>0</v>
      </c>
      <c r="U342" s="13">
        <f t="shared" si="109"/>
        <v>291969040092.25177</v>
      </c>
      <c r="V342" s="12">
        <f t="shared" si="110"/>
        <v>0</v>
      </c>
      <c r="W342" t="str">
        <f>'H237 Tracker'!I342</f>
        <v>HOLD</v>
      </c>
      <c r="X342">
        <f>'H237 Tracker'!J342</f>
        <v>0</v>
      </c>
      <c r="Y342" t="str">
        <f>'H237 Tracker'!K342</f>
        <v>HOLD</v>
      </c>
      <c r="Z342" s="12">
        <f>'H237 Tracker'!O342</f>
        <v>0</v>
      </c>
      <c r="AA342" s="13">
        <f>'H237 Tracker'!P342</f>
        <v>0</v>
      </c>
      <c r="AB342" s="13">
        <f>'H237 Tracker'!Q342</f>
        <v>0</v>
      </c>
      <c r="AC342" s="13">
        <f t="shared" si="111"/>
        <v>0</v>
      </c>
      <c r="AD342" s="13">
        <f t="shared" si="112"/>
        <v>291969040092.25177</v>
      </c>
      <c r="AE342" s="13">
        <f t="shared" si="113"/>
        <v>291969040092.25177</v>
      </c>
      <c r="AF342" s="13">
        <f t="shared" si="119"/>
        <v>291969040092.25177</v>
      </c>
      <c r="AG342" s="24">
        <f t="shared" si="114"/>
        <v>0</v>
      </c>
      <c r="AH342" s="8">
        <f>--(COUNTIF('Tax Events'!$A$4:$A$8,A342)&gt;0)</f>
        <v>0</v>
      </c>
      <c r="AI342" s="8">
        <f>--(COUNTIF('Tax Events'!$B$4:$B$9,A342)&gt;0)</f>
        <v>0</v>
      </c>
    </row>
    <row r="343" spans="1:35">
      <c r="A343" s="4">
        <f>'H237 Tracker'!A343</f>
        <v>45579</v>
      </c>
      <c r="B343" s="13">
        <f t="shared" si="115"/>
        <v>0</v>
      </c>
      <c r="C343" s="13">
        <f t="shared" si="116"/>
        <v>291969040092.25177</v>
      </c>
      <c r="D343" s="13">
        <f t="shared" si="100"/>
        <v>0</v>
      </c>
      <c r="E343" s="13">
        <f t="shared" si="101"/>
        <v>291969040092.25177</v>
      </c>
      <c r="F343" s="13">
        <f>IF(AH343=1,MAX(R342,0)*Parameters!$B$11,0)</f>
        <v>0</v>
      </c>
      <c r="G343" s="13">
        <f>IF(AI343=1,MAX(S342,0)*Parameters!$B$11,0)</f>
        <v>0</v>
      </c>
      <c r="H343" s="13">
        <f t="shared" si="102"/>
        <v>0</v>
      </c>
      <c r="I343" s="13">
        <f t="shared" si="103"/>
        <v>291969040092.25177</v>
      </c>
      <c r="J343" s="13">
        <f t="shared" si="104"/>
        <v>0</v>
      </c>
      <c r="K343" s="13">
        <f t="shared" si="105"/>
        <v>0</v>
      </c>
      <c r="L343" s="13">
        <f t="shared" si="106"/>
        <v>0</v>
      </c>
      <c r="M343" s="13">
        <f t="shared" si="107"/>
        <v>291969040092.25177</v>
      </c>
      <c r="N343" s="13">
        <f>MAX(0,INT(L343*Parameters!$B$14/Parameters!$B$13/Parameters!$B$12)*Parameters!$B$12)</f>
        <v>0</v>
      </c>
      <c r="O343" s="13">
        <f>MAX(0,INT(M343*Parameters!$B$14/Parameters!$B$13/Parameters!$B$12)*Parameters!$B$12)</f>
        <v>194646026675</v>
      </c>
      <c r="P343" s="13">
        <f>N343*Parameters!$B$13*'H237 Tracker'!B343</f>
        <v>0</v>
      </c>
      <c r="Q343" s="13">
        <f>O343*Parameters!$B$13*'H237 Tracker'!C343</f>
        <v>-21956071808.939999</v>
      </c>
      <c r="R343" s="13">
        <f t="shared" si="117"/>
        <v>0</v>
      </c>
      <c r="S343" s="13">
        <f t="shared" si="118"/>
        <v>233499725147.52802</v>
      </c>
      <c r="T343" s="13">
        <f t="shared" si="108"/>
        <v>0</v>
      </c>
      <c r="U343" s="13">
        <f t="shared" si="109"/>
        <v>270012968283.31177</v>
      </c>
      <c r="V343" s="12">
        <f t="shared" si="110"/>
        <v>0</v>
      </c>
      <c r="W343" t="str">
        <f>'H237 Tracker'!I343</f>
        <v>HOLD</v>
      </c>
      <c r="X343">
        <f>'H237 Tracker'!J343</f>
        <v>0</v>
      </c>
      <c r="Y343" t="str">
        <f>'H237 Tracker'!K343</f>
        <v>HOLD</v>
      </c>
      <c r="Z343" s="12">
        <f>'H237 Tracker'!O343</f>
        <v>0</v>
      </c>
      <c r="AA343" s="13">
        <f>'H237 Tracker'!P343</f>
        <v>0</v>
      </c>
      <c r="AB343" s="13">
        <f>'H237 Tracker'!Q343</f>
        <v>0</v>
      </c>
      <c r="AC343" s="13">
        <f t="shared" si="111"/>
        <v>0</v>
      </c>
      <c r="AD343" s="13">
        <f t="shared" si="112"/>
        <v>270012968283.31177</v>
      </c>
      <c r="AE343" s="13">
        <f t="shared" si="113"/>
        <v>270012968283.31177</v>
      </c>
      <c r="AF343" s="13">
        <f t="shared" si="119"/>
        <v>291969040092.25177</v>
      </c>
      <c r="AG343" s="24">
        <f t="shared" si="114"/>
        <v>-7.5199999979459031E-2</v>
      </c>
      <c r="AH343" s="8">
        <f>--(COUNTIF('Tax Events'!$A$4:$A$8,A343)&gt;0)</f>
        <v>0</v>
      </c>
      <c r="AI343" s="8">
        <f>--(COUNTIF('Tax Events'!$B$4:$B$9,A343)&gt;0)</f>
        <v>0</v>
      </c>
    </row>
    <row r="344" spans="1:35">
      <c r="A344" s="4">
        <f>'H237 Tracker'!A344</f>
        <v>45586</v>
      </c>
      <c r="B344" s="13">
        <f t="shared" si="115"/>
        <v>0</v>
      </c>
      <c r="C344" s="13">
        <f t="shared" si="116"/>
        <v>270012968283.31177</v>
      </c>
      <c r="D344" s="13">
        <f t="shared" si="100"/>
        <v>0</v>
      </c>
      <c r="E344" s="13">
        <f t="shared" si="101"/>
        <v>270012968283.31177</v>
      </c>
      <c r="F344" s="13">
        <f>IF(AH344=1,MAX(R343,0)*Parameters!$B$11,0)</f>
        <v>0</v>
      </c>
      <c r="G344" s="13">
        <f>IF(AI344=1,MAX(S343,0)*Parameters!$B$11,0)</f>
        <v>0</v>
      </c>
      <c r="H344" s="13">
        <f t="shared" si="102"/>
        <v>0</v>
      </c>
      <c r="I344" s="13">
        <f t="shared" si="103"/>
        <v>270012968283.31177</v>
      </c>
      <c r="J344" s="13">
        <f t="shared" si="104"/>
        <v>0</v>
      </c>
      <c r="K344" s="13">
        <f t="shared" si="105"/>
        <v>0</v>
      </c>
      <c r="L344" s="13">
        <f t="shared" si="106"/>
        <v>0</v>
      </c>
      <c r="M344" s="13">
        <f t="shared" si="107"/>
        <v>270012968283.31177</v>
      </c>
      <c r="N344" s="13">
        <f>MAX(0,INT(L344*Parameters!$B$14/Parameters!$B$13/Parameters!$B$12)*Parameters!$B$12)</f>
        <v>0</v>
      </c>
      <c r="O344" s="13">
        <f>MAX(0,INT(M344*Parameters!$B$14/Parameters!$B$13/Parameters!$B$12)*Parameters!$B$12)</f>
        <v>180008645435</v>
      </c>
      <c r="P344" s="13">
        <f>N344*Parameters!$B$13*'H237 Tracker'!B344</f>
        <v>0</v>
      </c>
      <c r="Q344" s="13">
        <f>O344*Parameters!$B$13*'H237 Tracker'!C344</f>
        <v>-22393075492.113998</v>
      </c>
      <c r="R344" s="13">
        <f t="shared" si="117"/>
        <v>0</v>
      </c>
      <c r="S344" s="13">
        <f t="shared" si="118"/>
        <v>211106649655.414</v>
      </c>
      <c r="T344" s="13">
        <f t="shared" si="108"/>
        <v>0</v>
      </c>
      <c r="U344" s="13">
        <f t="shared" si="109"/>
        <v>247619892791.19775</v>
      </c>
      <c r="V344" s="12">
        <f t="shared" si="110"/>
        <v>0</v>
      </c>
      <c r="W344" t="str">
        <f>'H237 Tracker'!I344</f>
        <v>HOLD</v>
      </c>
      <c r="X344">
        <f>'H237 Tracker'!J344</f>
        <v>0</v>
      </c>
      <c r="Y344" t="str">
        <f>'H237 Tracker'!K344</f>
        <v>HOLD</v>
      </c>
      <c r="Z344" s="12">
        <f>'H237 Tracker'!O344</f>
        <v>0</v>
      </c>
      <c r="AA344" s="13">
        <f>'H237 Tracker'!P344</f>
        <v>0</v>
      </c>
      <c r="AB344" s="13">
        <f>'H237 Tracker'!Q344</f>
        <v>0</v>
      </c>
      <c r="AC344" s="13">
        <f t="shared" si="111"/>
        <v>0</v>
      </c>
      <c r="AD344" s="13">
        <f t="shared" si="112"/>
        <v>247619892791.19775</v>
      </c>
      <c r="AE344" s="13">
        <f t="shared" si="113"/>
        <v>247619892791.19775</v>
      </c>
      <c r="AF344" s="13">
        <f t="shared" si="119"/>
        <v>291969040092.25177</v>
      </c>
      <c r="AG344" s="24">
        <f t="shared" si="114"/>
        <v>-0.15189674661067243</v>
      </c>
      <c r="AH344" s="8">
        <f>--(COUNTIF('Tax Events'!$A$4:$A$8,A344)&gt;0)</f>
        <v>0</v>
      </c>
      <c r="AI344" s="8">
        <f>--(COUNTIF('Tax Events'!$B$4:$B$9,A344)&gt;0)</f>
        <v>0</v>
      </c>
    </row>
    <row r="345" spans="1:35">
      <c r="A345" s="4">
        <f>'H237 Tracker'!A345</f>
        <v>45593</v>
      </c>
      <c r="B345" s="13">
        <f t="shared" si="115"/>
        <v>0</v>
      </c>
      <c r="C345" s="13">
        <f t="shared" si="116"/>
        <v>247619892791.19775</v>
      </c>
      <c r="D345" s="13">
        <f t="shared" si="100"/>
        <v>0</v>
      </c>
      <c r="E345" s="13">
        <f t="shared" si="101"/>
        <v>247619892791.19775</v>
      </c>
      <c r="F345" s="13">
        <f>IF(AH345=1,MAX(R344,0)*Parameters!$B$11,0)</f>
        <v>0</v>
      </c>
      <c r="G345" s="13">
        <f>IF(AI345=1,MAX(S344,0)*Parameters!$B$11,0)</f>
        <v>0</v>
      </c>
      <c r="H345" s="13">
        <f t="shared" si="102"/>
        <v>0</v>
      </c>
      <c r="I345" s="13">
        <f t="shared" si="103"/>
        <v>247619892791.19775</v>
      </c>
      <c r="J345" s="13">
        <f t="shared" si="104"/>
        <v>0</v>
      </c>
      <c r="K345" s="13">
        <f t="shared" si="105"/>
        <v>0</v>
      </c>
      <c r="L345" s="13">
        <f t="shared" si="106"/>
        <v>0</v>
      </c>
      <c r="M345" s="13">
        <f t="shared" si="107"/>
        <v>247619892791.19775</v>
      </c>
      <c r="N345" s="13">
        <f>MAX(0,INT(L345*Parameters!$B$14/Parameters!$B$13/Parameters!$B$12)*Parameters!$B$12)</f>
        <v>0</v>
      </c>
      <c r="O345" s="13">
        <f>MAX(0,INT(M345*Parameters!$B$14/Parameters!$B$13/Parameters!$B$12)*Parameters!$B$12)</f>
        <v>165079928485</v>
      </c>
      <c r="P345" s="13">
        <f>N345*Parameters!$B$13*'H237 Tracker'!B345</f>
        <v>0</v>
      </c>
      <c r="Q345" s="13">
        <f>O345*Parameters!$B$13*'H237 Tracker'!C345</f>
        <v>-27238188200.025002</v>
      </c>
      <c r="R345" s="13">
        <f t="shared" si="117"/>
        <v>0</v>
      </c>
      <c r="S345" s="13">
        <f t="shared" si="118"/>
        <v>183868461455.38901</v>
      </c>
      <c r="T345" s="13">
        <f t="shared" si="108"/>
        <v>0</v>
      </c>
      <c r="U345" s="13">
        <f t="shared" si="109"/>
        <v>220381704591.17276</v>
      </c>
      <c r="V345" s="12">
        <f t="shared" si="110"/>
        <v>0</v>
      </c>
      <c r="W345" t="str">
        <f>'H237 Tracker'!I345</f>
        <v>HOLD</v>
      </c>
      <c r="X345">
        <f>'H237 Tracker'!J345</f>
        <v>0</v>
      </c>
      <c r="Y345" t="str">
        <f>'H237 Tracker'!K345</f>
        <v>HOLD</v>
      </c>
      <c r="Z345" s="12">
        <f>'H237 Tracker'!O345</f>
        <v>0</v>
      </c>
      <c r="AA345" s="13">
        <f>'H237 Tracker'!P345</f>
        <v>0</v>
      </c>
      <c r="AB345" s="13">
        <f>'H237 Tracker'!Q345</f>
        <v>0</v>
      </c>
      <c r="AC345" s="13">
        <f t="shared" si="111"/>
        <v>0</v>
      </c>
      <c r="AD345" s="13">
        <f t="shared" si="112"/>
        <v>220381704591.17276</v>
      </c>
      <c r="AE345" s="13">
        <f t="shared" si="113"/>
        <v>220381704591.17276</v>
      </c>
      <c r="AF345" s="13">
        <f t="shared" si="119"/>
        <v>291969040092.25177</v>
      </c>
      <c r="AG345" s="24">
        <f t="shared" si="114"/>
        <v>-0.24518810445950012</v>
      </c>
      <c r="AH345" s="8">
        <f>--(COUNTIF('Tax Events'!$A$4:$A$8,A345)&gt;0)</f>
        <v>0</v>
      </c>
      <c r="AI345" s="8">
        <f>--(COUNTIF('Tax Events'!$B$4:$B$9,A345)&gt;0)</f>
        <v>0</v>
      </c>
    </row>
    <row r="346" spans="1:35">
      <c r="A346" s="4">
        <f>'H237 Tracker'!A346</f>
        <v>45600</v>
      </c>
      <c r="B346" s="13">
        <f t="shared" si="115"/>
        <v>0</v>
      </c>
      <c r="C346" s="13">
        <f t="shared" si="116"/>
        <v>220381704591.17276</v>
      </c>
      <c r="D346" s="13">
        <f t="shared" si="100"/>
        <v>0</v>
      </c>
      <c r="E346" s="13">
        <f t="shared" si="101"/>
        <v>220381704591.17276</v>
      </c>
      <c r="F346" s="13">
        <f>IF(AH346=1,MAX(R345,0)*Parameters!$B$11,0)</f>
        <v>0</v>
      </c>
      <c r="G346" s="13">
        <f>IF(AI346=1,MAX(S345,0)*Parameters!$B$11,0)</f>
        <v>0</v>
      </c>
      <c r="H346" s="13">
        <f t="shared" si="102"/>
        <v>0</v>
      </c>
      <c r="I346" s="13">
        <f t="shared" si="103"/>
        <v>220381704591.17276</v>
      </c>
      <c r="J346" s="13">
        <f t="shared" si="104"/>
        <v>0</v>
      </c>
      <c r="K346" s="13">
        <f t="shared" si="105"/>
        <v>0</v>
      </c>
      <c r="L346" s="13">
        <f t="shared" si="106"/>
        <v>0</v>
      </c>
      <c r="M346" s="13">
        <f t="shared" si="107"/>
        <v>220381704591.17276</v>
      </c>
      <c r="N346" s="13">
        <f>MAX(0,INT(L346*Parameters!$B$14/Parameters!$B$13/Parameters!$B$12)*Parameters!$B$12)</f>
        <v>0</v>
      </c>
      <c r="O346" s="13">
        <f>MAX(0,INT(M346*Parameters!$B$14/Parameters!$B$13/Parameters!$B$12)*Parameters!$B$12)</f>
        <v>146921136385</v>
      </c>
      <c r="P346" s="13">
        <f>N346*Parameters!$B$13*'H237 Tracker'!B346</f>
        <v>0</v>
      </c>
      <c r="Q346" s="13">
        <f>O346*Parameters!$B$13*'H237 Tracker'!C346</f>
        <v>161701402705.33099</v>
      </c>
      <c r="R346" s="13">
        <f t="shared" si="117"/>
        <v>0</v>
      </c>
      <c r="S346" s="13">
        <f t="shared" si="118"/>
        <v>345569864160.71997</v>
      </c>
      <c r="T346" s="13">
        <f t="shared" si="108"/>
        <v>0</v>
      </c>
      <c r="U346" s="13">
        <f t="shared" si="109"/>
        <v>382083107296.50378</v>
      </c>
      <c r="V346" s="12">
        <f t="shared" si="110"/>
        <v>0</v>
      </c>
      <c r="W346" t="str">
        <f>'H237 Tracker'!I346</f>
        <v>HOLD</v>
      </c>
      <c r="X346">
        <f>'H237 Tracker'!J346</f>
        <v>0</v>
      </c>
      <c r="Y346" t="str">
        <f>'H237 Tracker'!K346</f>
        <v>HOLD</v>
      </c>
      <c r="Z346" s="12">
        <f>'H237 Tracker'!O346</f>
        <v>0</v>
      </c>
      <c r="AA346" s="13">
        <f>'H237 Tracker'!P346</f>
        <v>0</v>
      </c>
      <c r="AB346" s="13">
        <f>'H237 Tracker'!Q346</f>
        <v>0</v>
      </c>
      <c r="AC346" s="13">
        <f t="shared" si="111"/>
        <v>0</v>
      </c>
      <c r="AD346" s="13">
        <f t="shared" si="112"/>
        <v>382083107296.50378</v>
      </c>
      <c r="AE346" s="13">
        <f t="shared" si="113"/>
        <v>382083107296.50378</v>
      </c>
      <c r="AF346" s="13">
        <f t="shared" si="119"/>
        <v>382083107296.50378</v>
      </c>
      <c r="AG346" s="24">
        <f t="shared" si="114"/>
        <v>0</v>
      </c>
      <c r="AH346" s="8">
        <f>--(COUNTIF('Tax Events'!$A$4:$A$8,A346)&gt;0)</f>
        <v>0</v>
      </c>
      <c r="AI346" s="8">
        <f>--(COUNTIF('Tax Events'!$B$4:$B$9,A346)&gt;0)</f>
        <v>0</v>
      </c>
    </row>
    <row r="347" spans="1:35">
      <c r="A347" s="4">
        <f>'H237 Tracker'!A347</f>
        <v>45607</v>
      </c>
      <c r="B347" s="13">
        <f t="shared" si="115"/>
        <v>0</v>
      </c>
      <c r="C347" s="13">
        <f t="shared" si="116"/>
        <v>382083107296.50378</v>
      </c>
      <c r="D347" s="13">
        <f t="shared" si="100"/>
        <v>0</v>
      </c>
      <c r="E347" s="13">
        <f t="shared" si="101"/>
        <v>382083107296.50378</v>
      </c>
      <c r="F347" s="13">
        <f>IF(AH347=1,MAX(R346,0)*Parameters!$B$11,0)</f>
        <v>0</v>
      </c>
      <c r="G347" s="13">
        <f>IF(AI347=1,MAX(S346,0)*Parameters!$B$11,0)</f>
        <v>0</v>
      </c>
      <c r="H347" s="13">
        <f t="shared" si="102"/>
        <v>0</v>
      </c>
      <c r="I347" s="13">
        <f t="shared" si="103"/>
        <v>382083107296.50378</v>
      </c>
      <c r="J347" s="13">
        <f t="shared" si="104"/>
        <v>0</v>
      </c>
      <c r="K347" s="13">
        <f t="shared" si="105"/>
        <v>0</v>
      </c>
      <c r="L347" s="13">
        <f t="shared" si="106"/>
        <v>0</v>
      </c>
      <c r="M347" s="13">
        <f t="shared" si="107"/>
        <v>382083107296.50378</v>
      </c>
      <c r="N347" s="13">
        <f>MAX(0,INT(L347*Parameters!$B$14/Parameters!$B$13/Parameters!$B$12)*Parameters!$B$12)</f>
        <v>0</v>
      </c>
      <c r="O347" s="13">
        <f>MAX(0,INT(M347*Parameters!$B$14/Parameters!$B$13/Parameters!$B$12)*Parameters!$B$12)</f>
        <v>254722071525</v>
      </c>
      <c r="P347" s="13">
        <f>N347*Parameters!$B$13*'H237 Tracker'!B347</f>
        <v>0</v>
      </c>
      <c r="Q347" s="13">
        <f>O347*Parameters!$B$13*'H237 Tracker'!C347</f>
        <v>-19053210950.07</v>
      </c>
      <c r="R347" s="13">
        <f t="shared" si="117"/>
        <v>0</v>
      </c>
      <c r="S347" s="13">
        <f t="shared" si="118"/>
        <v>326516653210.64996</v>
      </c>
      <c r="T347" s="13">
        <f t="shared" si="108"/>
        <v>0</v>
      </c>
      <c r="U347" s="13">
        <f t="shared" si="109"/>
        <v>363029896346.43378</v>
      </c>
      <c r="V347" s="12">
        <f t="shared" si="110"/>
        <v>0</v>
      </c>
      <c r="W347" t="str">
        <f>'H237 Tracker'!I347</f>
        <v>HOLD</v>
      </c>
      <c r="X347">
        <f>'H237 Tracker'!J347</f>
        <v>0</v>
      </c>
      <c r="Y347" t="str">
        <f>'H237 Tracker'!K347</f>
        <v>HOLD</v>
      </c>
      <c r="Z347" s="12">
        <f>'H237 Tracker'!O347</f>
        <v>0</v>
      </c>
      <c r="AA347" s="13">
        <f>'H237 Tracker'!P347</f>
        <v>0</v>
      </c>
      <c r="AB347" s="13">
        <f>'H237 Tracker'!Q347</f>
        <v>0</v>
      </c>
      <c r="AC347" s="13">
        <f t="shared" si="111"/>
        <v>0</v>
      </c>
      <c r="AD347" s="13">
        <f t="shared" si="112"/>
        <v>363029896346.43378</v>
      </c>
      <c r="AE347" s="13">
        <f t="shared" si="113"/>
        <v>363029896346.43378</v>
      </c>
      <c r="AF347" s="13">
        <f t="shared" si="119"/>
        <v>382083107296.50378</v>
      </c>
      <c r="AG347" s="24">
        <f t="shared" si="114"/>
        <v>-4.9866666665491555E-2</v>
      </c>
      <c r="AH347" s="8">
        <f>--(COUNTIF('Tax Events'!$A$4:$A$8,A347)&gt;0)</f>
        <v>0</v>
      </c>
      <c r="AI347" s="8">
        <f>--(COUNTIF('Tax Events'!$B$4:$B$9,A347)&gt;0)</f>
        <v>0</v>
      </c>
    </row>
    <row r="348" spans="1:35">
      <c r="A348" s="4">
        <f>'H237 Tracker'!A348</f>
        <v>45614</v>
      </c>
      <c r="B348" s="13">
        <f t="shared" si="115"/>
        <v>0</v>
      </c>
      <c r="C348" s="13">
        <f t="shared" si="116"/>
        <v>363029896346.43378</v>
      </c>
      <c r="D348" s="13">
        <f t="shared" si="100"/>
        <v>0</v>
      </c>
      <c r="E348" s="13">
        <f t="shared" si="101"/>
        <v>363029896346.43378</v>
      </c>
      <c r="F348" s="13">
        <f>IF(AH348=1,MAX(R347,0)*Parameters!$B$11,0)</f>
        <v>0</v>
      </c>
      <c r="G348" s="13">
        <f>IF(AI348=1,MAX(S347,0)*Parameters!$B$11,0)</f>
        <v>0</v>
      </c>
      <c r="H348" s="13">
        <f t="shared" si="102"/>
        <v>0</v>
      </c>
      <c r="I348" s="13">
        <f t="shared" si="103"/>
        <v>363029896346.43378</v>
      </c>
      <c r="J348" s="13">
        <f t="shared" si="104"/>
        <v>0</v>
      </c>
      <c r="K348" s="13">
        <f t="shared" si="105"/>
        <v>0</v>
      </c>
      <c r="L348" s="13">
        <f t="shared" si="106"/>
        <v>0</v>
      </c>
      <c r="M348" s="13">
        <f t="shared" si="107"/>
        <v>363029896346.43378</v>
      </c>
      <c r="N348" s="13">
        <f>MAX(0,INT(L348*Parameters!$B$14/Parameters!$B$13/Parameters!$B$12)*Parameters!$B$12)</f>
        <v>0</v>
      </c>
      <c r="O348" s="13">
        <f>MAX(0,INT(M348*Parameters!$B$14/Parameters!$B$13/Parameters!$B$12)*Parameters!$B$12)</f>
        <v>242019930870</v>
      </c>
      <c r="P348" s="13">
        <f>N348*Parameters!$B$13*'H237 Tracker'!B348</f>
        <v>0</v>
      </c>
      <c r="Q348" s="13">
        <f>O348*Parameters!$B$13*'H237 Tracker'!C348</f>
        <v>74832562625.003998</v>
      </c>
      <c r="R348" s="13">
        <f t="shared" si="117"/>
        <v>0</v>
      </c>
      <c r="S348" s="13">
        <f t="shared" si="118"/>
        <v>401349215835.65393</v>
      </c>
      <c r="T348" s="13">
        <f t="shared" si="108"/>
        <v>0</v>
      </c>
      <c r="U348" s="13">
        <f t="shared" si="109"/>
        <v>437862458971.43774</v>
      </c>
      <c r="V348" s="12">
        <f t="shared" si="110"/>
        <v>0</v>
      </c>
      <c r="W348" t="str">
        <f>'H237 Tracker'!I348</f>
        <v>HOLD</v>
      </c>
      <c r="X348">
        <f>'H237 Tracker'!J348</f>
        <v>0</v>
      </c>
      <c r="Y348" t="str">
        <f>'H237 Tracker'!K348</f>
        <v>HOLD</v>
      </c>
      <c r="Z348" s="12">
        <f>'H237 Tracker'!O348</f>
        <v>0</v>
      </c>
      <c r="AA348" s="13">
        <f>'H237 Tracker'!P348</f>
        <v>0</v>
      </c>
      <c r="AB348" s="13">
        <f>'H237 Tracker'!Q348</f>
        <v>0</v>
      </c>
      <c r="AC348" s="13">
        <f t="shared" si="111"/>
        <v>0</v>
      </c>
      <c r="AD348" s="13">
        <f t="shared" si="112"/>
        <v>437862458971.43774</v>
      </c>
      <c r="AE348" s="13">
        <f t="shared" si="113"/>
        <v>437862458971.43774</v>
      </c>
      <c r="AF348" s="13">
        <f t="shared" si="119"/>
        <v>437862458971.43774</v>
      </c>
      <c r="AG348" s="24">
        <f t="shared" si="114"/>
        <v>0</v>
      </c>
      <c r="AH348" s="8">
        <f>--(COUNTIF('Tax Events'!$A$4:$A$8,A348)&gt;0)</f>
        <v>0</v>
      </c>
      <c r="AI348" s="8">
        <f>--(COUNTIF('Tax Events'!$B$4:$B$9,A348)&gt;0)</f>
        <v>0</v>
      </c>
    </row>
    <row r="349" spans="1:35">
      <c r="A349" s="4">
        <f>'H237 Tracker'!A349</f>
        <v>45621</v>
      </c>
      <c r="B349" s="13">
        <f t="shared" si="115"/>
        <v>0</v>
      </c>
      <c r="C349" s="13">
        <f t="shared" si="116"/>
        <v>437862458971.43774</v>
      </c>
      <c r="D349" s="13">
        <f t="shared" si="100"/>
        <v>0</v>
      </c>
      <c r="E349" s="13">
        <f t="shared" si="101"/>
        <v>437862458971.43774</v>
      </c>
      <c r="F349" s="13">
        <f>IF(AH349=1,MAX(R348,0)*Parameters!$B$11,0)</f>
        <v>0</v>
      </c>
      <c r="G349" s="13">
        <f>IF(AI349=1,MAX(S348,0)*Parameters!$B$11,0)</f>
        <v>0</v>
      </c>
      <c r="H349" s="13">
        <f t="shared" si="102"/>
        <v>0</v>
      </c>
      <c r="I349" s="13">
        <f t="shared" si="103"/>
        <v>437862458971.43774</v>
      </c>
      <c r="J349" s="13">
        <f t="shared" si="104"/>
        <v>0</v>
      </c>
      <c r="K349" s="13">
        <f t="shared" si="105"/>
        <v>0</v>
      </c>
      <c r="L349" s="13">
        <f t="shared" si="106"/>
        <v>0</v>
      </c>
      <c r="M349" s="13">
        <f t="shared" si="107"/>
        <v>437862458971.43774</v>
      </c>
      <c r="N349" s="13">
        <f>MAX(0,INT(L349*Parameters!$B$14/Parameters!$B$13/Parameters!$B$12)*Parameters!$B$12)</f>
        <v>0</v>
      </c>
      <c r="O349" s="13">
        <f>MAX(0,INT(M349*Parameters!$B$14/Parameters!$B$13/Parameters!$B$12)*Parameters!$B$12)</f>
        <v>291908305925</v>
      </c>
      <c r="P349" s="13">
        <f>N349*Parameters!$B$13*'H237 Tracker'!B349</f>
        <v>0</v>
      </c>
      <c r="Q349" s="13">
        <f>O349*Parameters!$B$13*'H237 Tracker'!C349</f>
        <v>-22943992845.705002</v>
      </c>
      <c r="R349" s="13">
        <f t="shared" si="117"/>
        <v>0</v>
      </c>
      <c r="S349" s="13">
        <f t="shared" si="118"/>
        <v>378405222989.94891</v>
      </c>
      <c r="T349" s="13">
        <f t="shared" si="108"/>
        <v>0</v>
      </c>
      <c r="U349" s="13">
        <f t="shared" si="109"/>
        <v>414918466125.73273</v>
      </c>
      <c r="V349" s="12">
        <f t="shared" si="110"/>
        <v>0</v>
      </c>
      <c r="W349" t="str">
        <f>'H237 Tracker'!I349</f>
        <v>HOLD</v>
      </c>
      <c r="X349">
        <f>'H237 Tracker'!J349</f>
        <v>0</v>
      </c>
      <c r="Y349" t="str">
        <f>'H237 Tracker'!K349</f>
        <v>HOLD</v>
      </c>
      <c r="Z349" s="12">
        <f>'H237 Tracker'!O349</f>
        <v>0</v>
      </c>
      <c r="AA349" s="13">
        <f>'H237 Tracker'!P349</f>
        <v>0</v>
      </c>
      <c r="AB349" s="13">
        <f>'H237 Tracker'!Q349</f>
        <v>0</v>
      </c>
      <c r="AC349" s="13">
        <f t="shared" si="111"/>
        <v>0</v>
      </c>
      <c r="AD349" s="13">
        <f t="shared" si="112"/>
        <v>414918466125.73273</v>
      </c>
      <c r="AE349" s="13">
        <f t="shared" si="113"/>
        <v>414918466125.73273</v>
      </c>
      <c r="AF349" s="13">
        <f t="shared" si="119"/>
        <v>437862458971.43774</v>
      </c>
      <c r="AG349" s="24">
        <f t="shared" si="114"/>
        <v>-5.2399999989955037E-2</v>
      </c>
      <c r="AH349" s="8">
        <f>--(COUNTIF('Tax Events'!$A$4:$A$8,A349)&gt;0)</f>
        <v>0</v>
      </c>
      <c r="AI349" s="8">
        <f>--(COUNTIF('Tax Events'!$B$4:$B$9,A349)&gt;0)</f>
        <v>0</v>
      </c>
    </row>
    <row r="350" spans="1:35">
      <c r="A350" s="4">
        <f>'H237 Tracker'!A350</f>
        <v>45628</v>
      </c>
      <c r="B350" s="13">
        <f t="shared" si="115"/>
        <v>0</v>
      </c>
      <c r="C350" s="13">
        <f t="shared" si="116"/>
        <v>414918466125.73273</v>
      </c>
      <c r="D350" s="13">
        <f t="shared" si="100"/>
        <v>0</v>
      </c>
      <c r="E350" s="13">
        <f t="shared" si="101"/>
        <v>414918466125.73273</v>
      </c>
      <c r="F350" s="13">
        <f>IF(AH350=1,MAX(R349,0)*Parameters!$B$11,0)</f>
        <v>0</v>
      </c>
      <c r="G350" s="13">
        <f>IF(AI350=1,MAX(S349,0)*Parameters!$B$11,0)</f>
        <v>0</v>
      </c>
      <c r="H350" s="13">
        <f t="shared" si="102"/>
        <v>0</v>
      </c>
      <c r="I350" s="13">
        <f t="shared" si="103"/>
        <v>414918466125.73273</v>
      </c>
      <c r="J350" s="13">
        <f t="shared" si="104"/>
        <v>0</v>
      </c>
      <c r="K350" s="13">
        <f t="shared" si="105"/>
        <v>0</v>
      </c>
      <c r="L350" s="13">
        <f t="shared" si="106"/>
        <v>0</v>
      </c>
      <c r="M350" s="13">
        <f t="shared" si="107"/>
        <v>414918466125.73273</v>
      </c>
      <c r="N350" s="13">
        <f>MAX(0,INT(L350*Parameters!$B$14/Parameters!$B$13/Parameters!$B$12)*Parameters!$B$12)</f>
        <v>0</v>
      </c>
      <c r="O350" s="13">
        <f>MAX(0,INT(M350*Parameters!$B$14/Parameters!$B$13/Parameters!$B$12)*Parameters!$B$12)</f>
        <v>276612310715</v>
      </c>
      <c r="P350" s="13">
        <f>N350*Parameters!$B$13*'H237 Tracker'!B350</f>
        <v>0</v>
      </c>
      <c r="Q350" s="13">
        <f>O350*Parameters!$B$13*'H237 Tracker'!C350</f>
        <v>46802802972.978004</v>
      </c>
      <c r="R350" s="13">
        <f t="shared" si="117"/>
        <v>0</v>
      </c>
      <c r="S350" s="13">
        <f t="shared" si="118"/>
        <v>425208025962.92694</v>
      </c>
      <c r="T350" s="13">
        <f t="shared" si="108"/>
        <v>0</v>
      </c>
      <c r="U350" s="13">
        <f t="shared" si="109"/>
        <v>461721269098.71075</v>
      </c>
      <c r="V350" s="12">
        <f t="shared" si="110"/>
        <v>0</v>
      </c>
      <c r="W350" t="str">
        <f>'H237 Tracker'!I350</f>
        <v>HOLD</v>
      </c>
      <c r="X350">
        <f>'H237 Tracker'!J350</f>
        <v>0</v>
      </c>
      <c r="Y350" t="str">
        <f>'H237 Tracker'!K350</f>
        <v>HOLD</v>
      </c>
      <c r="Z350" s="12">
        <f>'H237 Tracker'!O350</f>
        <v>0</v>
      </c>
      <c r="AA350" s="13">
        <f>'H237 Tracker'!P350</f>
        <v>0</v>
      </c>
      <c r="AB350" s="13">
        <f>'H237 Tracker'!Q350</f>
        <v>0</v>
      </c>
      <c r="AC350" s="13">
        <f t="shared" si="111"/>
        <v>0</v>
      </c>
      <c r="AD350" s="13">
        <f t="shared" si="112"/>
        <v>461721269098.71075</v>
      </c>
      <c r="AE350" s="13">
        <f t="shared" si="113"/>
        <v>461721269098.71075</v>
      </c>
      <c r="AF350" s="13">
        <f t="shared" si="119"/>
        <v>461721269098.71075</v>
      </c>
      <c r="AG350" s="24">
        <f t="shared" si="114"/>
        <v>0</v>
      </c>
      <c r="AH350" s="8">
        <f>--(COUNTIF('Tax Events'!$A$4:$A$8,A350)&gt;0)</f>
        <v>0</v>
      </c>
      <c r="AI350" s="8">
        <f>--(COUNTIF('Tax Events'!$B$4:$B$9,A350)&gt;0)</f>
        <v>0</v>
      </c>
    </row>
    <row r="351" spans="1:35">
      <c r="A351" s="4">
        <f>'H237 Tracker'!A351</f>
        <v>45635</v>
      </c>
      <c r="B351" s="13">
        <f t="shared" si="115"/>
        <v>0</v>
      </c>
      <c r="C351" s="13">
        <f t="shared" si="116"/>
        <v>461721269098.71075</v>
      </c>
      <c r="D351" s="13">
        <f t="shared" si="100"/>
        <v>0</v>
      </c>
      <c r="E351" s="13">
        <f t="shared" si="101"/>
        <v>461721269098.71075</v>
      </c>
      <c r="F351" s="13">
        <f>IF(AH351=1,MAX(R350,0)*Parameters!$B$11,0)</f>
        <v>0</v>
      </c>
      <c r="G351" s="13">
        <f>IF(AI351=1,MAX(S350,0)*Parameters!$B$11,0)</f>
        <v>0</v>
      </c>
      <c r="H351" s="13">
        <f t="shared" si="102"/>
        <v>0</v>
      </c>
      <c r="I351" s="13">
        <f t="shared" si="103"/>
        <v>461721269098.71075</v>
      </c>
      <c r="J351" s="13">
        <f t="shared" si="104"/>
        <v>0</v>
      </c>
      <c r="K351" s="13">
        <f t="shared" si="105"/>
        <v>0</v>
      </c>
      <c r="L351" s="13">
        <f t="shared" si="106"/>
        <v>0</v>
      </c>
      <c r="M351" s="13">
        <f t="shared" si="107"/>
        <v>461721269098.71075</v>
      </c>
      <c r="N351" s="13">
        <f>MAX(0,INT(L351*Parameters!$B$14/Parameters!$B$13/Parameters!$B$12)*Parameters!$B$12)</f>
        <v>0</v>
      </c>
      <c r="O351" s="13">
        <f>MAX(0,INT(M351*Parameters!$B$14/Parameters!$B$13/Parameters!$B$12)*Parameters!$B$12)</f>
        <v>307814179370</v>
      </c>
      <c r="P351" s="13">
        <f>N351*Parameters!$B$13*'H237 Tracker'!B351</f>
        <v>0</v>
      </c>
      <c r="Q351" s="13">
        <f>O351*Parameters!$B$13*'H237 Tracker'!C351</f>
        <v>-24255757334.355999</v>
      </c>
      <c r="R351" s="13">
        <f t="shared" si="117"/>
        <v>0</v>
      </c>
      <c r="S351" s="13">
        <f t="shared" si="118"/>
        <v>400952268628.57092</v>
      </c>
      <c r="T351" s="13">
        <f t="shared" si="108"/>
        <v>0</v>
      </c>
      <c r="U351" s="13">
        <f t="shared" si="109"/>
        <v>437465511764.35474</v>
      </c>
      <c r="V351" s="12">
        <f t="shared" si="110"/>
        <v>0</v>
      </c>
      <c r="W351" t="str">
        <f>'H237 Tracker'!I351</f>
        <v>HOLD</v>
      </c>
      <c r="X351">
        <f>'H237 Tracker'!J351</f>
        <v>0</v>
      </c>
      <c r="Y351" t="str">
        <f>'H237 Tracker'!K351</f>
        <v>HOLD</v>
      </c>
      <c r="Z351" s="12">
        <f>'H237 Tracker'!O351</f>
        <v>0</v>
      </c>
      <c r="AA351" s="13">
        <f>'H237 Tracker'!P351</f>
        <v>0</v>
      </c>
      <c r="AB351" s="13">
        <f>'H237 Tracker'!Q351</f>
        <v>0</v>
      </c>
      <c r="AC351" s="13">
        <f t="shared" si="111"/>
        <v>0</v>
      </c>
      <c r="AD351" s="13">
        <f t="shared" si="112"/>
        <v>437465511764.35474</v>
      </c>
      <c r="AE351" s="13">
        <f t="shared" si="113"/>
        <v>437465511764.35474</v>
      </c>
      <c r="AF351" s="13">
        <f t="shared" si="119"/>
        <v>461721269098.71075</v>
      </c>
      <c r="AG351" s="24">
        <f t="shared" si="114"/>
        <v>-5.2533333328360077E-2</v>
      </c>
      <c r="AH351" s="8">
        <f>--(COUNTIF('Tax Events'!$A$4:$A$8,A351)&gt;0)</f>
        <v>0</v>
      </c>
      <c r="AI351" s="8">
        <f>--(COUNTIF('Tax Events'!$B$4:$B$9,A351)&gt;0)</f>
        <v>0</v>
      </c>
    </row>
    <row r="352" spans="1:35">
      <c r="A352" s="4">
        <f>'H237 Tracker'!A352</f>
        <v>45642</v>
      </c>
      <c r="B352" s="13">
        <f t="shared" si="115"/>
        <v>0</v>
      </c>
      <c r="C352" s="13">
        <f t="shared" si="116"/>
        <v>437465511764.35474</v>
      </c>
      <c r="D352" s="13">
        <f t="shared" si="100"/>
        <v>0</v>
      </c>
      <c r="E352" s="13">
        <f t="shared" si="101"/>
        <v>437465511764.35474</v>
      </c>
      <c r="F352" s="13">
        <f>IF(AH352=1,MAX(R351,0)*Parameters!$B$11,0)</f>
        <v>0</v>
      </c>
      <c r="G352" s="13">
        <f>IF(AI352=1,MAX(S351,0)*Parameters!$B$11,0)</f>
        <v>0</v>
      </c>
      <c r="H352" s="13">
        <f t="shared" si="102"/>
        <v>0</v>
      </c>
      <c r="I352" s="13">
        <f t="shared" si="103"/>
        <v>437465511764.35474</v>
      </c>
      <c r="J352" s="13">
        <f t="shared" si="104"/>
        <v>0</v>
      </c>
      <c r="K352" s="13">
        <f t="shared" si="105"/>
        <v>0</v>
      </c>
      <c r="L352" s="13">
        <f t="shared" si="106"/>
        <v>0</v>
      </c>
      <c r="M352" s="13">
        <f t="shared" si="107"/>
        <v>437465511764.35474</v>
      </c>
      <c r="N352" s="13">
        <f>MAX(0,INT(L352*Parameters!$B$14/Parameters!$B$13/Parameters!$B$12)*Parameters!$B$12)</f>
        <v>0</v>
      </c>
      <c r="O352" s="13">
        <f>MAX(0,INT(M352*Parameters!$B$14/Parameters!$B$13/Parameters!$B$12)*Parameters!$B$12)</f>
        <v>291643674480</v>
      </c>
      <c r="P352" s="13">
        <f>N352*Parameters!$B$13*'H237 Tracker'!B352</f>
        <v>0</v>
      </c>
      <c r="Q352" s="13">
        <f>O352*Parameters!$B$13*'H237 Tracker'!C352</f>
        <v>57687118812.143997</v>
      </c>
      <c r="R352" s="13">
        <f t="shared" si="117"/>
        <v>0</v>
      </c>
      <c r="S352" s="13">
        <f t="shared" si="118"/>
        <v>458639387440.7149</v>
      </c>
      <c r="T352" s="13">
        <f t="shared" si="108"/>
        <v>0</v>
      </c>
      <c r="U352" s="13">
        <f t="shared" si="109"/>
        <v>495152630576.49872</v>
      </c>
      <c r="V352" s="12">
        <f t="shared" si="110"/>
        <v>0</v>
      </c>
      <c r="W352" t="str">
        <f>'H237 Tracker'!I352</f>
        <v>HOLD</v>
      </c>
      <c r="X352">
        <f>'H237 Tracker'!J352</f>
        <v>0</v>
      </c>
      <c r="Y352" t="str">
        <f>'H237 Tracker'!K352</f>
        <v>HOLD</v>
      </c>
      <c r="Z352" s="12">
        <f>'H237 Tracker'!O352</f>
        <v>0</v>
      </c>
      <c r="AA352" s="13">
        <f>'H237 Tracker'!P352</f>
        <v>0</v>
      </c>
      <c r="AB352" s="13">
        <f>'H237 Tracker'!Q352</f>
        <v>0</v>
      </c>
      <c r="AC352" s="13">
        <f t="shared" si="111"/>
        <v>0</v>
      </c>
      <c r="AD352" s="13">
        <f t="shared" si="112"/>
        <v>495152630576.49872</v>
      </c>
      <c r="AE352" s="13">
        <f t="shared" si="113"/>
        <v>495152630576.49872</v>
      </c>
      <c r="AF352" s="13">
        <f t="shared" si="119"/>
        <v>495152630576.49872</v>
      </c>
      <c r="AG352" s="24">
        <f t="shared" si="114"/>
        <v>0</v>
      </c>
      <c r="AH352" s="8">
        <f>--(COUNTIF('Tax Events'!$A$4:$A$8,A352)&gt;0)</f>
        <v>0</v>
      </c>
      <c r="AI352" s="8">
        <f>--(COUNTIF('Tax Events'!$B$4:$B$9,A352)&gt;0)</f>
        <v>0</v>
      </c>
    </row>
    <row r="353" spans="1:35">
      <c r="A353" s="4">
        <f>'H237 Tracker'!A353</f>
        <v>45649</v>
      </c>
      <c r="B353" s="13">
        <f t="shared" si="115"/>
        <v>0</v>
      </c>
      <c r="C353" s="13">
        <f t="shared" si="116"/>
        <v>495152630576.49872</v>
      </c>
      <c r="D353" s="13">
        <f t="shared" si="100"/>
        <v>0</v>
      </c>
      <c r="E353" s="13">
        <f t="shared" si="101"/>
        <v>495152630576.49872</v>
      </c>
      <c r="F353" s="13">
        <f>IF(AH353=1,MAX(R352,0)*Parameters!$B$11,0)</f>
        <v>0</v>
      </c>
      <c r="G353" s="13">
        <f>IF(AI353=1,MAX(S352,0)*Parameters!$B$11,0)</f>
        <v>0</v>
      </c>
      <c r="H353" s="13">
        <f t="shared" si="102"/>
        <v>0</v>
      </c>
      <c r="I353" s="13">
        <f t="shared" si="103"/>
        <v>495152630576.49872</v>
      </c>
      <c r="J353" s="13">
        <f t="shared" si="104"/>
        <v>0</v>
      </c>
      <c r="K353" s="13">
        <f t="shared" si="105"/>
        <v>0</v>
      </c>
      <c r="L353" s="13">
        <f t="shared" si="106"/>
        <v>0</v>
      </c>
      <c r="M353" s="13">
        <f t="shared" si="107"/>
        <v>495152630576.49872</v>
      </c>
      <c r="N353" s="13">
        <f>MAX(0,INT(L353*Parameters!$B$14/Parameters!$B$13/Parameters!$B$12)*Parameters!$B$12)</f>
        <v>0</v>
      </c>
      <c r="O353" s="13">
        <f>MAX(0,INT(M353*Parameters!$B$14/Parameters!$B$13/Parameters!$B$12)*Parameters!$B$12)</f>
        <v>330101753680</v>
      </c>
      <c r="P353" s="13">
        <f>N353*Parameters!$B$13*'H237 Tracker'!B353</f>
        <v>0</v>
      </c>
      <c r="Q353" s="13">
        <f>O353*Parameters!$B$13*'H237 Tracker'!C353</f>
        <v>46478326918.144005</v>
      </c>
      <c r="R353" s="13">
        <f t="shared" si="117"/>
        <v>0</v>
      </c>
      <c r="S353" s="13">
        <f t="shared" si="118"/>
        <v>505117714358.85889</v>
      </c>
      <c r="T353" s="13">
        <f t="shared" si="108"/>
        <v>0</v>
      </c>
      <c r="U353" s="13">
        <f t="shared" si="109"/>
        <v>541630957494.6427</v>
      </c>
      <c r="V353" s="12">
        <f t="shared" si="110"/>
        <v>0</v>
      </c>
      <c r="W353" t="str">
        <f>'H237 Tracker'!I353</f>
        <v>HOLD</v>
      </c>
      <c r="X353">
        <f>'H237 Tracker'!J353</f>
        <v>0</v>
      </c>
      <c r="Y353" t="str">
        <f>'H237 Tracker'!K353</f>
        <v>HOLD</v>
      </c>
      <c r="Z353" s="12">
        <f>'H237 Tracker'!O353</f>
        <v>0</v>
      </c>
      <c r="AA353" s="13">
        <f>'H237 Tracker'!P353</f>
        <v>0</v>
      </c>
      <c r="AB353" s="13">
        <f>'H237 Tracker'!Q353</f>
        <v>0</v>
      </c>
      <c r="AC353" s="13">
        <f t="shared" si="111"/>
        <v>0</v>
      </c>
      <c r="AD353" s="13">
        <f t="shared" si="112"/>
        <v>541630957494.6427</v>
      </c>
      <c r="AE353" s="13">
        <f t="shared" si="113"/>
        <v>541630957494.6427</v>
      </c>
      <c r="AF353" s="13">
        <f t="shared" si="119"/>
        <v>541630957494.6427</v>
      </c>
      <c r="AG353" s="24">
        <f t="shared" si="114"/>
        <v>0</v>
      </c>
      <c r="AH353" s="8">
        <f>--(COUNTIF('Tax Events'!$A$4:$A$8,A353)&gt;0)</f>
        <v>0</v>
      </c>
      <c r="AI353" s="8">
        <f>--(COUNTIF('Tax Events'!$B$4:$B$9,A353)&gt;0)</f>
        <v>0</v>
      </c>
    </row>
    <row r="354" spans="1:35">
      <c r="A354" s="4">
        <f>'H237 Tracker'!A354</f>
        <v>45656</v>
      </c>
      <c r="B354" s="13">
        <f t="shared" si="115"/>
        <v>0</v>
      </c>
      <c r="C354" s="13">
        <f t="shared" si="116"/>
        <v>541630957494.6427</v>
      </c>
      <c r="D354" s="13">
        <f t="shared" si="100"/>
        <v>0</v>
      </c>
      <c r="E354" s="13">
        <f t="shared" si="101"/>
        <v>541630957494.6427</v>
      </c>
      <c r="F354" s="13">
        <f>IF(AH354=1,MAX(R353,0)*Parameters!$B$11,0)</f>
        <v>0</v>
      </c>
      <c r="G354" s="13">
        <f>IF(AI354=1,MAX(S353,0)*Parameters!$B$11,0)</f>
        <v>0</v>
      </c>
      <c r="H354" s="13">
        <f t="shared" si="102"/>
        <v>0</v>
      </c>
      <c r="I354" s="13">
        <f t="shared" si="103"/>
        <v>541630957494.6427</v>
      </c>
      <c r="J354" s="13">
        <f t="shared" si="104"/>
        <v>0</v>
      </c>
      <c r="K354" s="13">
        <f t="shared" si="105"/>
        <v>0</v>
      </c>
      <c r="L354" s="13">
        <f t="shared" si="106"/>
        <v>0</v>
      </c>
      <c r="M354" s="13">
        <f t="shared" si="107"/>
        <v>541630957494.6427</v>
      </c>
      <c r="N354" s="13">
        <f>MAX(0,INT(L354*Parameters!$B$14/Parameters!$B$13/Parameters!$B$12)*Parameters!$B$12)</f>
        <v>0</v>
      </c>
      <c r="O354" s="13">
        <f>MAX(0,INT(M354*Parameters!$B$14/Parameters!$B$13/Parameters!$B$12)*Parameters!$B$12)</f>
        <v>361087304920</v>
      </c>
      <c r="P354" s="13">
        <f>N354*Parameters!$B$13*'H237 Tracker'!B354</f>
        <v>0</v>
      </c>
      <c r="Q354" s="13">
        <f>O354*Parameters!$B$13*'H237 Tracker'!C354</f>
        <v>0</v>
      </c>
      <c r="R354" s="13">
        <f t="shared" si="117"/>
        <v>0</v>
      </c>
      <c r="S354" s="13">
        <f t="shared" si="118"/>
        <v>505117714358.85889</v>
      </c>
      <c r="T354" s="13">
        <f t="shared" si="108"/>
        <v>0</v>
      </c>
      <c r="U354" s="13">
        <f t="shared" si="109"/>
        <v>541630957494.6427</v>
      </c>
      <c r="V354" s="12">
        <f t="shared" si="110"/>
        <v>0</v>
      </c>
      <c r="W354" t="str">
        <f>'H237 Tracker'!I354</f>
        <v>HOLD</v>
      </c>
      <c r="X354">
        <f>'H237 Tracker'!J354</f>
        <v>0</v>
      </c>
      <c r="Y354" t="str">
        <f>'H237 Tracker'!K354</f>
        <v>HOLD</v>
      </c>
      <c r="Z354" s="12">
        <f>'H237 Tracker'!O354</f>
        <v>0</v>
      </c>
      <c r="AA354" s="13">
        <f>'H237 Tracker'!P354</f>
        <v>0</v>
      </c>
      <c r="AB354" s="13">
        <f>'H237 Tracker'!Q354</f>
        <v>0</v>
      </c>
      <c r="AC354" s="13">
        <f t="shared" si="111"/>
        <v>0</v>
      </c>
      <c r="AD354" s="13">
        <f t="shared" si="112"/>
        <v>541630957494.6427</v>
      </c>
      <c r="AE354" s="13">
        <f t="shared" si="113"/>
        <v>541630957494.6427</v>
      </c>
      <c r="AF354" s="13">
        <f t="shared" si="119"/>
        <v>541630957494.6427</v>
      </c>
      <c r="AG354" s="24">
        <f t="shared" si="114"/>
        <v>0</v>
      </c>
      <c r="AH354" s="8">
        <f>--(COUNTIF('Tax Events'!$A$4:$A$8,A354)&gt;0)</f>
        <v>0</v>
      </c>
      <c r="AI354" s="8">
        <f>--(COUNTIF('Tax Events'!$B$4:$B$9,A354)&gt;0)</f>
        <v>0</v>
      </c>
    </row>
    <row r="355" spans="1:35">
      <c r="A355" s="4">
        <f>'H237 Tracker'!A355</f>
        <v>45663</v>
      </c>
      <c r="B355" s="13">
        <f t="shared" si="115"/>
        <v>0</v>
      </c>
      <c r="C355" s="13">
        <f t="shared" si="116"/>
        <v>541630957494.6427</v>
      </c>
      <c r="D355" s="13">
        <f t="shared" si="100"/>
        <v>0</v>
      </c>
      <c r="E355" s="13">
        <f t="shared" si="101"/>
        <v>541630957494.6427</v>
      </c>
      <c r="F355" s="13">
        <f>IF(AH355=1,MAX(R354,0)*Parameters!$B$11,0)</f>
        <v>0</v>
      </c>
      <c r="G355" s="13">
        <f>IF(AI355=1,MAX(S354,0)*Parameters!$B$11,0)</f>
        <v>0</v>
      </c>
      <c r="H355" s="13">
        <f t="shared" si="102"/>
        <v>0</v>
      </c>
      <c r="I355" s="13">
        <f t="shared" si="103"/>
        <v>541630957494.6427</v>
      </c>
      <c r="J355" s="13">
        <f t="shared" si="104"/>
        <v>0</v>
      </c>
      <c r="K355" s="13">
        <f t="shared" si="105"/>
        <v>0</v>
      </c>
      <c r="L355" s="13">
        <f t="shared" si="106"/>
        <v>0</v>
      </c>
      <c r="M355" s="13">
        <f t="shared" si="107"/>
        <v>541630957494.6427</v>
      </c>
      <c r="N355" s="13">
        <f>MAX(0,INT(L355*Parameters!$B$14/Parameters!$B$13/Parameters!$B$12)*Parameters!$B$12)</f>
        <v>0</v>
      </c>
      <c r="O355" s="13">
        <f>MAX(0,INT(M355*Parameters!$B$14/Parameters!$B$13/Parameters!$B$12)*Parameters!$B$12)</f>
        <v>361087304920</v>
      </c>
      <c r="P355" s="13">
        <f>N355*Parameters!$B$13*'H237 Tracker'!B355</f>
        <v>0</v>
      </c>
      <c r="Q355" s="13">
        <f>O355*Parameters!$B$13*'H237 Tracker'!C355</f>
        <v>0</v>
      </c>
      <c r="R355" s="13">
        <f t="shared" si="117"/>
        <v>0</v>
      </c>
      <c r="S355" s="13">
        <f t="shared" si="118"/>
        <v>505117714358.85889</v>
      </c>
      <c r="T355" s="13">
        <f t="shared" si="108"/>
        <v>0</v>
      </c>
      <c r="U355" s="13">
        <f t="shared" si="109"/>
        <v>541630957494.6427</v>
      </c>
      <c r="V355" s="12">
        <f t="shared" si="110"/>
        <v>0</v>
      </c>
      <c r="W355" t="str">
        <f>'H237 Tracker'!I355</f>
        <v>HOLD</v>
      </c>
      <c r="X355">
        <f>'H237 Tracker'!J355</f>
        <v>0</v>
      </c>
      <c r="Y355" t="str">
        <f>'H237 Tracker'!K355</f>
        <v>HOLD</v>
      </c>
      <c r="Z355" s="12">
        <f>'H237 Tracker'!O355</f>
        <v>0</v>
      </c>
      <c r="AA355" s="13">
        <f>'H237 Tracker'!P355</f>
        <v>0</v>
      </c>
      <c r="AB355" s="13">
        <f>'H237 Tracker'!Q355</f>
        <v>0</v>
      </c>
      <c r="AC355" s="13">
        <f t="shared" si="111"/>
        <v>0</v>
      </c>
      <c r="AD355" s="13">
        <f t="shared" si="112"/>
        <v>541630957494.6427</v>
      </c>
      <c r="AE355" s="13">
        <f t="shared" si="113"/>
        <v>541630957494.6427</v>
      </c>
      <c r="AF355" s="13">
        <f t="shared" si="119"/>
        <v>541630957494.6427</v>
      </c>
      <c r="AG355" s="24">
        <f t="shared" si="114"/>
        <v>0</v>
      </c>
      <c r="AH355" s="8">
        <f>--(COUNTIF('Tax Events'!$A$4:$A$8,A355)&gt;0)</f>
        <v>1</v>
      </c>
      <c r="AI355" s="8">
        <f>--(COUNTIF('Tax Events'!$B$4:$B$9,A355)&gt;0)</f>
        <v>0</v>
      </c>
    </row>
    <row r="356" spans="1:35">
      <c r="A356" s="4">
        <f>'H237 Tracker'!A356</f>
        <v>45670</v>
      </c>
      <c r="B356" s="13">
        <f t="shared" si="115"/>
        <v>0</v>
      </c>
      <c r="C356" s="13">
        <f t="shared" si="116"/>
        <v>541630957494.6427</v>
      </c>
      <c r="D356" s="13">
        <f t="shared" si="100"/>
        <v>0</v>
      </c>
      <c r="E356" s="13">
        <f t="shared" si="101"/>
        <v>541630957494.6427</v>
      </c>
      <c r="F356" s="13">
        <f>IF(AH356=1,MAX(R355,0)*Parameters!$B$11,0)</f>
        <v>0</v>
      </c>
      <c r="G356" s="13">
        <f>IF(AI356=1,MAX(S355,0)*Parameters!$B$11,0)</f>
        <v>95972365728.183197</v>
      </c>
      <c r="H356" s="13">
        <f t="shared" si="102"/>
        <v>0</v>
      </c>
      <c r="I356" s="13">
        <f t="shared" si="103"/>
        <v>445658591766.45947</v>
      </c>
      <c r="J356" s="13">
        <f t="shared" si="104"/>
        <v>0</v>
      </c>
      <c r="K356" s="13">
        <f t="shared" si="105"/>
        <v>0</v>
      </c>
      <c r="L356" s="13">
        <f t="shared" si="106"/>
        <v>0</v>
      </c>
      <c r="M356" s="13">
        <f t="shared" si="107"/>
        <v>445658591766.45947</v>
      </c>
      <c r="N356" s="13">
        <f>MAX(0,INT(L356*Parameters!$B$14/Parameters!$B$13/Parameters!$B$12)*Parameters!$B$12)</f>
        <v>0</v>
      </c>
      <c r="O356" s="13">
        <f>MAX(0,INT(M356*Parameters!$B$14/Parameters!$B$13/Parameters!$B$12)*Parameters!$B$12)</f>
        <v>297105727820</v>
      </c>
      <c r="P356" s="13">
        <f>N356*Parameters!$B$13*'H237 Tracker'!B356</f>
        <v>0</v>
      </c>
      <c r="Q356" s="13">
        <f>O356*Parameters!$B$13*'H237 Tracker'!C356</f>
        <v>55202244228.956001</v>
      </c>
      <c r="R356" s="13">
        <f t="shared" si="117"/>
        <v>0</v>
      </c>
      <c r="S356" s="13">
        <f t="shared" si="118"/>
        <v>55202244228.956001</v>
      </c>
      <c r="T356" s="13">
        <f t="shared" si="108"/>
        <v>0</v>
      </c>
      <c r="U356" s="13">
        <f t="shared" si="109"/>
        <v>500860835995.41547</v>
      </c>
      <c r="V356" s="12">
        <f t="shared" si="110"/>
        <v>0</v>
      </c>
      <c r="W356" t="str">
        <f>'H237 Tracker'!I356</f>
        <v>HOLD</v>
      </c>
      <c r="X356">
        <f>'H237 Tracker'!J356</f>
        <v>0</v>
      </c>
      <c r="Y356" t="str">
        <f>'H237 Tracker'!K356</f>
        <v>HOLD</v>
      </c>
      <c r="Z356" s="12">
        <f>'H237 Tracker'!O356</f>
        <v>0</v>
      </c>
      <c r="AA356" s="13">
        <f>'H237 Tracker'!P356</f>
        <v>0</v>
      </c>
      <c r="AB356" s="13">
        <f>'H237 Tracker'!Q356</f>
        <v>0</v>
      </c>
      <c r="AC356" s="13">
        <f t="shared" si="111"/>
        <v>0</v>
      </c>
      <c r="AD356" s="13">
        <f t="shared" si="112"/>
        <v>500860835995.41547</v>
      </c>
      <c r="AE356" s="13">
        <f t="shared" si="113"/>
        <v>500860835995.41547</v>
      </c>
      <c r="AF356" s="13">
        <f t="shared" si="119"/>
        <v>541630957494.6427</v>
      </c>
      <c r="AG356" s="24">
        <f t="shared" si="114"/>
        <v>-7.5272878950296107E-2</v>
      </c>
      <c r="AH356" s="8">
        <f>--(COUNTIF('Tax Events'!$A$4:$A$8,A356)&gt;0)</f>
        <v>0</v>
      </c>
      <c r="AI356" s="8">
        <f>--(COUNTIF('Tax Events'!$B$4:$B$9,A356)&gt;0)</f>
        <v>1</v>
      </c>
    </row>
    <row r="357" spans="1:35">
      <c r="A357" s="4">
        <f>'H237 Tracker'!A357</f>
        <v>45677</v>
      </c>
      <c r="B357" s="13">
        <f t="shared" si="115"/>
        <v>0</v>
      </c>
      <c r="C357" s="13">
        <f t="shared" si="116"/>
        <v>500860835995.41547</v>
      </c>
      <c r="D357" s="13">
        <f t="shared" si="100"/>
        <v>0</v>
      </c>
      <c r="E357" s="13">
        <f t="shared" si="101"/>
        <v>500860835995.41547</v>
      </c>
      <c r="F357" s="13">
        <f>IF(AH357=1,MAX(R356,0)*Parameters!$B$11,0)</f>
        <v>0</v>
      </c>
      <c r="G357" s="13">
        <f>IF(AI357=1,MAX(S356,0)*Parameters!$B$11,0)</f>
        <v>0</v>
      </c>
      <c r="H357" s="13">
        <f t="shared" si="102"/>
        <v>0</v>
      </c>
      <c r="I357" s="13">
        <f t="shared" si="103"/>
        <v>500860835995.41547</v>
      </c>
      <c r="J357" s="13">
        <f t="shared" si="104"/>
        <v>0</v>
      </c>
      <c r="K357" s="13">
        <f t="shared" si="105"/>
        <v>0</v>
      </c>
      <c r="L357" s="13">
        <f t="shared" si="106"/>
        <v>0</v>
      </c>
      <c r="M357" s="13">
        <f t="shared" si="107"/>
        <v>500860835995.41547</v>
      </c>
      <c r="N357" s="13">
        <f>MAX(0,INT(L357*Parameters!$B$14/Parameters!$B$13/Parameters!$B$12)*Parameters!$B$12)</f>
        <v>0</v>
      </c>
      <c r="O357" s="13">
        <f>MAX(0,INT(M357*Parameters!$B$14/Parameters!$B$13/Parameters!$B$12)*Parameters!$B$12)</f>
        <v>333907223970</v>
      </c>
      <c r="P357" s="13">
        <f>N357*Parameters!$B$13*'H237 Tracker'!B357</f>
        <v>0</v>
      </c>
      <c r="Q357" s="13">
        <f>O357*Parameters!$B$13*'H237 Tracker'!C357</f>
        <v>66247193235.648003</v>
      </c>
      <c r="R357" s="13">
        <f t="shared" si="117"/>
        <v>0</v>
      </c>
      <c r="S357" s="13">
        <f t="shared" si="118"/>
        <v>121449437464.604</v>
      </c>
      <c r="T357" s="13">
        <f t="shared" si="108"/>
        <v>0</v>
      </c>
      <c r="U357" s="13">
        <f t="shared" si="109"/>
        <v>567108029231.06348</v>
      </c>
      <c r="V357" s="12">
        <f t="shared" si="110"/>
        <v>0</v>
      </c>
      <c r="W357" t="str">
        <f>'H237 Tracker'!I357</f>
        <v>HOLD</v>
      </c>
      <c r="X357">
        <f>'H237 Tracker'!J357</f>
        <v>0</v>
      </c>
      <c r="Y357" t="str">
        <f>'H237 Tracker'!K357</f>
        <v>HOLD</v>
      </c>
      <c r="Z357" s="12">
        <f>'H237 Tracker'!O357</f>
        <v>0</v>
      </c>
      <c r="AA357" s="13">
        <f>'H237 Tracker'!P357</f>
        <v>0</v>
      </c>
      <c r="AB357" s="13">
        <f>'H237 Tracker'!Q357</f>
        <v>0</v>
      </c>
      <c r="AC357" s="13">
        <f t="shared" si="111"/>
        <v>0</v>
      </c>
      <c r="AD357" s="13">
        <f t="shared" si="112"/>
        <v>567108029231.06348</v>
      </c>
      <c r="AE357" s="13">
        <f t="shared" si="113"/>
        <v>567108029231.06348</v>
      </c>
      <c r="AF357" s="13">
        <f t="shared" si="119"/>
        <v>567108029231.06348</v>
      </c>
      <c r="AG357" s="24">
        <f t="shared" si="114"/>
        <v>0</v>
      </c>
      <c r="AH357" s="8">
        <f>--(COUNTIF('Tax Events'!$A$4:$A$8,A357)&gt;0)</f>
        <v>0</v>
      </c>
      <c r="AI357" s="8">
        <f>--(COUNTIF('Tax Events'!$B$4:$B$9,A357)&gt;0)</f>
        <v>0</v>
      </c>
    </row>
    <row r="358" spans="1:35">
      <c r="A358" s="4">
        <f>'H237 Tracker'!A358</f>
        <v>45684</v>
      </c>
      <c r="B358" s="13">
        <f t="shared" si="115"/>
        <v>0</v>
      </c>
      <c r="C358" s="13">
        <f t="shared" si="116"/>
        <v>567108029231.06348</v>
      </c>
      <c r="D358" s="13">
        <f t="shared" si="100"/>
        <v>0</v>
      </c>
      <c r="E358" s="13">
        <f t="shared" si="101"/>
        <v>567108029231.06348</v>
      </c>
      <c r="F358" s="13">
        <f>IF(AH358=1,MAX(R357,0)*Parameters!$B$11,0)</f>
        <v>0</v>
      </c>
      <c r="G358" s="13">
        <f>IF(AI358=1,MAX(S357,0)*Parameters!$B$11,0)</f>
        <v>0</v>
      </c>
      <c r="H358" s="13">
        <f t="shared" si="102"/>
        <v>0</v>
      </c>
      <c r="I358" s="13">
        <f t="shared" si="103"/>
        <v>567108029231.06348</v>
      </c>
      <c r="J358" s="13">
        <f t="shared" si="104"/>
        <v>0</v>
      </c>
      <c r="K358" s="13">
        <f t="shared" si="105"/>
        <v>0</v>
      </c>
      <c r="L358" s="13">
        <f t="shared" si="106"/>
        <v>0</v>
      </c>
      <c r="M358" s="13">
        <f t="shared" si="107"/>
        <v>567108029231.06348</v>
      </c>
      <c r="N358" s="13">
        <f>MAX(0,INT(L358*Parameters!$B$14/Parameters!$B$13/Parameters!$B$12)*Parameters!$B$12)</f>
        <v>0</v>
      </c>
      <c r="O358" s="13">
        <f>MAX(0,INT(M358*Parameters!$B$14/Parameters!$B$13/Parameters!$B$12)*Parameters!$B$12)</f>
        <v>378072019470</v>
      </c>
      <c r="P358" s="13">
        <f>N358*Parameters!$B$13*'H237 Tracker'!B358</f>
        <v>0</v>
      </c>
      <c r="Q358" s="13">
        <f>O358*Parameters!$B$13*'H237 Tracker'!C358</f>
        <v>81587941801.625992</v>
      </c>
      <c r="R358" s="13">
        <f t="shared" si="117"/>
        <v>0</v>
      </c>
      <c r="S358" s="13">
        <f t="shared" si="118"/>
        <v>203037379266.22998</v>
      </c>
      <c r="T358" s="13">
        <f t="shared" si="108"/>
        <v>0</v>
      </c>
      <c r="U358" s="13">
        <f t="shared" si="109"/>
        <v>648695971032.68945</v>
      </c>
      <c r="V358" s="12">
        <f t="shared" si="110"/>
        <v>0</v>
      </c>
      <c r="W358" t="str">
        <f>'H237 Tracker'!I358</f>
        <v>HOLD</v>
      </c>
      <c r="X358">
        <f>'H237 Tracker'!J358</f>
        <v>0</v>
      </c>
      <c r="Y358" t="str">
        <f>'H237 Tracker'!K358</f>
        <v>HOLD</v>
      </c>
      <c r="Z358" s="12">
        <f>'H237 Tracker'!O358</f>
        <v>0</v>
      </c>
      <c r="AA358" s="13">
        <f>'H237 Tracker'!P358</f>
        <v>0</v>
      </c>
      <c r="AB358" s="13">
        <f>'H237 Tracker'!Q358</f>
        <v>0</v>
      </c>
      <c r="AC358" s="13">
        <f t="shared" si="111"/>
        <v>0</v>
      </c>
      <c r="AD358" s="13">
        <f t="shared" si="112"/>
        <v>648695971032.68945</v>
      </c>
      <c r="AE358" s="13">
        <f t="shared" si="113"/>
        <v>648695971032.68945</v>
      </c>
      <c r="AF358" s="13">
        <f t="shared" si="119"/>
        <v>648695971032.68945</v>
      </c>
      <c r="AG358" s="24">
        <f t="shared" si="114"/>
        <v>0</v>
      </c>
      <c r="AH358" s="8">
        <f>--(COUNTIF('Tax Events'!$A$4:$A$8,A358)&gt;0)</f>
        <v>0</v>
      </c>
      <c r="AI358" s="8">
        <f>--(COUNTIF('Tax Events'!$B$4:$B$9,A358)&gt;0)</f>
        <v>0</v>
      </c>
    </row>
    <row r="359" spans="1:35">
      <c r="A359" s="4">
        <f>'H237 Tracker'!A359</f>
        <v>45691</v>
      </c>
      <c r="B359" s="13">
        <f t="shared" si="115"/>
        <v>0</v>
      </c>
      <c r="C359" s="13">
        <f t="shared" si="116"/>
        <v>648695971032.68945</v>
      </c>
      <c r="D359" s="13">
        <f t="shared" si="100"/>
        <v>0</v>
      </c>
      <c r="E359" s="13">
        <f t="shared" si="101"/>
        <v>648695971032.68945</v>
      </c>
      <c r="F359" s="13">
        <f>IF(AH359=1,MAX(R358,0)*Parameters!$B$11,0)</f>
        <v>0</v>
      </c>
      <c r="G359" s="13">
        <f>IF(AI359=1,MAX(S358,0)*Parameters!$B$11,0)</f>
        <v>0</v>
      </c>
      <c r="H359" s="13">
        <f t="shared" si="102"/>
        <v>0</v>
      </c>
      <c r="I359" s="13">
        <f t="shared" si="103"/>
        <v>648695971032.68945</v>
      </c>
      <c r="J359" s="13">
        <f t="shared" si="104"/>
        <v>0</v>
      </c>
      <c r="K359" s="13">
        <f t="shared" si="105"/>
        <v>0</v>
      </c>
      <c r="L359" s="13">
        <f t="shared" si="106"/>
        <v>0</v>
      </c>
      <c r="M359" s="13">
        <f t="shared" si="107"/>
        <v>648695971032.68945</v>
      </c>
      <c r="N359" s="13">
        <f>MAX(0,INT(L359*Parameters!$B$14/Parameters!$B$13/Parameters!$B$12)*Parameters!$B$12)</f>
        <v>0</v>
      </c>
      <c r="O359" s="13">
        <f>MAX(0,INT(M359*Parameters!$B$14/Parameters!$B$13/Parameters!$B$12)*Parameters!$B$12)</f>
        <v>432463980595</v>
      </c>
      <c r="P359" s="13">
        <f>N359*Parameters!$B$13*'H237 Tracker'!B359</f>
        <v>0</v>
      </c>
      <c r="Q359" s="13">
        <f>O359*Parameters!$B$13*'H237 Tracker'!C359</f>
        <v>73518876701.150009</v>
      </c>
      <c r="R359" s="13">
        <f t="shared" si="117"/>
        <v>0</v>
      </c>
      <c r="S359" s="13">
        <f t="shared" si="118"/>
        <v>276556255967.38</v>
      </c>
      <c r="T359" s="13">
        <f t="shared" si="108"/>
        <v>0</v>
      </c>
      <c r="U359" s="13">
        <f t="shared" si="109"/>
        <v>722214847733.83948</v>
      </c>
      <c r="V359" s="12">
        <f t="shared" si="110"/>
        <v>0</v>
      </c>
      <c r="W359" t="str">
        <f>'H237 Tracker'!I359</f>
        <v>HOLD</v>
      </c>
      <c r="X359">
        <f>'H237 Tracker'!J359</f>
        <v>0</v>
      </c>
      <c r="Y359" t="str">
        <f>'H237 Tracker'!K359</f>
        <v>HOLD</v>
      </c>
      <c r="Z359" s="12">
        <f>'H237 Tracker'!O359</f>
        <v>0</v>
      </c>
      <c r="AA359" s="13">
        <f>'H237 Tracker'!P359</f>
        <v>0</v>
      </c>
      <c r="AB359" s="13">
        <f>'H237 Tracker'!Q359</f>
        <v>0</v>
      </c>
      <c r="AC359" s="13">
        <f t="shared" si="111"/>
        <v>0</v>
      </c>
      <c r="AD359" s="13">
        <f t="shared" si="112"/>
        <v>722214847733.83948</v>
      </c>
      <c r="AE359" s="13">
        <f t="shared" si="113"/>
        <v>722214847733.83948</v>
      </c>
      <c r="AF359" s="13">
        <f t="shared" si="119"/>
        <v>722214847733.83948</v>
      </c>
      <c r="AG359" s="24">
        <f t="shared" si="114"/>
        <v>0</v>
      </c>
      <c r="AH359" s="8">
        <f>--(COUNTIF('Tax Events'!$A$4:$A$8,A359)&gt;0)</f>
        <v>0</v>
      </c>
      <c r="AI359" s="8">
        <f>--(COUNTIF('Tax Events'!$B$4:$B$9,A359)&gt;0)</f>
        <v>0</v>
      </c>
    </row>
    <row r="360" spans="1:35">
      <c r="A360" s="4">
        <f>'H237 Tracker'!A360</f>
        <v>45698</v>
      </c>
      <c r="B360" s="13">
        <f t="shared" si="115"/>
        <v>0</v>
      </c>
      <c r="C360" s="13">
        <f t="shared" si="116"/>
        <v>722214847733.83948</v>
      </c>
      <c r="D360" s="13">
        <f t="shared" si="100"/>
        <v>0</v>
      </c>
      <c r="E360" s="13">
        <f t="shared" si="101"/>
        <v>722214847733.83948</v>
      </c>
      <c r="F360" s="13">
        <f>IF(AH360=1,MAX(R359,0)*Parameters!$B$11,0)</f>
        <v>0</v>
      </c>
      <c r="G360" s="13">
        <f>IF(AI360=1,MAX(S359,0)*Parameters!$B$11,0)</f>
        <v>0</v>
      </c>
      <c r="H360" s="13">
        <f t="shared" si="102"/>
        <v>0</v>
      </c>
      <c r="I360" s="13">
        <f t="shared" si="103"/>
        <v>722214847733.83948</v>
      </c>
      <c r="J360" s="13">
        <f t="shared" si="104"/>
        <v>0</v>
      </c>
      <c r="K360" s="13">
        <f t="shared" si="105"/>
        <v>0</v>
      </c>
      <c r="L360" s="13">
        <f t="shared" si="106"/>
        <v>0</v>
      </c>
      <c r="M360" s="13">
        <f t="shared" si="107"/>
        <v>722214847733.83948</v>
      </c>
      <c r="N360" s="13">
        <f>MAX(0,INT(L360*Parameters!$B$14/Parameters!$B$13/Parameters!$B$12)*Parameters!$B$12)</f>
        <v>0</v>
      </c>
      <c r="O360" s="13">
        <f>MAX(0,INT(M360*Parameters!$B$14/Parameters!$B$13/Parameters!$B$12)*Parameters!$B$12)</f>
        <v>481476565100</v>
      </c>
      <c r="P360" s="13">
        <f>N360*Parameters!$B$13*'H237 Tracker'!B360</f>
        <v>0</v>
      </c>
      <c r="Q360" s="13">
        <f>O360*Parameters!$B$13*'H237 Tracker'!C360</f>
        <v>193457283857.17999</v>
      </c>
      <c r="R360" s="13">
        <f t="shared" si="117"/>
        <v>0</v>
      </c>
      <c r="S360" s="13">
        <f t="shared" si="118"/>
        <v>470013539824.56</v>
      </c>
      <c r="T360" s="13">
        <f t="shared" si="108"/>
        <v>0</v>
      </c>
      <c r="U360" s="13">
        <f t="shared" si="109"/>
        <v>915672131591.01953</v>
      </c>
      <c r="V360" s="12">
        <f t="shared" si="110"/>
        <v>0</v>
      </c>
      <c r="W360" t="str">
        <f>'H237 Tracker'!I360</f>
        <v>HOLD</v>
      </c>
      <c r="X360">
        <f>'H237 Tracker'!J360</f>
        <v>0</v>
      </c>
      <c r="Y360" t="str">
        <f>'H237 Tracker'!K360</f>
        <v>HOLD</v>
      </c>
      <c r="Z360" s="12">
        <f>'H237 Tracker'!O360</f>
        <v>0</v>
      </c>
      <c r="AA360" s="13">
        <f>'H237 Tracker'!P360</f>
        <v>0</v>
      </c>
      <c r="AB360" s="13">
        <f>'H237 Tracker'!Q360</f>
        <v>0</v>
      </c>
      <c r="AC360" s="13">
        <f t="shared" si="111"/>
        <v>0</v>
      </c>
      <c r="AD360" s="13">
        <f t="shared" si="112"/>
        <v>915672131591.01953</v>
      </c>
      <c r="AE360" s="13">
        <f t="shared" si="113"/>
        <v>915672131591.01953</v>
      </c>
      <c r="AF360" s="13">
        <f t="shared" si="119"/>
        <v>915672131591.01953</v>
      </c>
      <c r="AG360" s="24">
        <f t="shared" si="114"/>
        <v>0</v>
      </c>
      <c r="AH360" s="8">
        <f>--(COUNTIF('Tax Events'!$A$4:$A$8,A360)&gt;0)</f>
        <v>0</v>
      </c>
      <c r="AI360" s="8">
        <f>--(COUNTIF('Tax Events'!$B$4:$B$9,A360)&gt;0)</f>
        <v>0</v>
      </c>
    </row>
    <row r="361" spans="1:35">
      <c r="A361" s="4">
        <f>'H237 Tracker'!A361</f>
        <v>45705</v>
      </c>
      <c r="B361" s="13">
        <f t="shared" si="115"/>
        <v>0</v>
      </c>
      <c r="C361" s="13">
        <f t="shared" si="116"/>
        <v>915672131591.01953</v>
      </c>
      <c r="D361" s="13">
        <f t="shared" si="100"/>
        <v>0</v>
      </c>
      <c r="E361" s="13">
        <f t="shared" si="101"/>
        <v>915672131591.01953</v>
      </c>
      <c r="F361" s="13">
        <f>IF(AH361=1,MAX(R360,0)*Parameters!$B$11,0)</f>
        <v>0</v>
      </c>
      <c r="G361" s="13">
        <f>IF(AI361=1,MAX(S360,0)*Parameters!$B$11,0)</f>
        <v>0</v>
      </c>
      <c r="H361" s="13">
        <f t="shared" si="102"/>
        <v>0</v>
      </c>
      <c r="I361" s="13">
        <f t="shared" si="103"/>
        <v>915672131591.01953</v>
      </c>
      <c r="J361" s="13">
        <f t="shared" si="104"/>
        <v>0</v>
      </c>
      <c r="K361" s="13">
        <f t="shared" si="105"/>
        <v>0</v>
      </c>
      <c r="L361" s="13">
        <f t="shared" si="106"/>
        <v>0</v>
      </c>
      <c r="M361" s="13">
        <f t="shared" si="107"/>
        <v>915672131591.01953</v>
      </c>
      <c r="N361" s="13">
        <f>MAX(0,INT(L361*Parameters!$B$14/Parameters!$B$13/Parameters!$B$12)*Parameters!$B$12)</f>
        <v>0</v>
      </c>
      <c r="O361" s="13">
        <f>MAX(0,INT(M361*Parameters!$B$14/Parameters!$B$13/Parameters!$B$12)*Parameters!$B$12)</f>
        <v>610448087715</v>
      </c>
      <c r="P361" s="13">
        <f>N361*Parameters!$B$13*'H237 Tracker'!B361</f>
        <v>0</v>
      </c>
      <c r="Q361" s="13">
        <f>O361*Parameters!$B$13*'H237 Tracker'!C361</f>
        <v>-51155549750.516998</v>
      </c>
      <c r="R361" s="13">
        <f t="shared" si="117"/>
        <v>0</v>
      </c>
      <c r="S361" s="13">
        <f t="shared" si="118"/>
        <v>418857990074.04297</v>
      </c>
      <c r="T361" s="13">
        <f t="shared" si="108"/>
        <v>0</v>
      </c>
      <c r="U361" s="13">
        <f t="shared" si="109"/>
        <v>864516581840.50256</v>
      </c>
      <c r="V361" s="12">
        <f t="shared" si="110"/>
        <v>0</v>
      </c>
      <c r="W361" t="str">
        <f>'H237 Tracker'!I361</f>
        <v>HOLD</v>
      </c>
      <c r="X361">
        <f>'H237 Tracker'!J361</f>
        <v>0</v>
      </c>
      <c r="Y361" t="str">
        <f>'H237 Tracker'!K361</f>
        <v>HOLD</v>
      </c>
      <c r="Z361" s="12">
        <f>'H237 Tracker'!O361</f>
        <v>0</v>
      </c>
      <c r="AA361" s="13">
        <f>'H237 Tracker'!P361</f>
        <v>0</v>
      </c>
      <c r="AB361" s="13">
        <f>'H237 Tracker'!Q361</f>
        <v>0</v>
      </c>
      <c r="AC361" s="13">
        <f t="shared" si="111"/>
        <v>0</v>
      </c>
      <c r="AD361" s="13">
        <f t="shared" si="112"/>
        <v>864516581840.50256</v>
      </c>
      <c r="AE361" s="13">
        <f t="shared" si="113"/>
        <v>864516581840.50256</v>
      </c>
      <c r="AF361" s="13">
        <f t="shared" si="119"/>
        <v>915672131591.01953</v>
      </c>
      <c r="AG361" s="24">
        <f t="shared" si="114"/>
        <v>-5.5866666665536746E-2</v>
      </c>
      <c r="AH361" s="8">
        <f>--(COUNTIF('Tax Events'!$A$4:$A$8,A361)&gt;0)</f>
        <v>0</v>
      </c>
      <c r="AI361" s="8">
        <f>--(COUNTIF('Tax Events'!$B$4:$B$9,A361)&gt;0)</f>
        <v>0</v>
      </c>
    </row>
    <row r="362" spans="1:35">
      <c r="A362" s="4">
        <f>'H237 Tracker'!A362</f>
        <v>45712</v>
      </c>
      <c r="B362" s="13">
        <f t="shared" si="115"/>
        <v>0</v>
      </c>
      <c r="C362" s="13">
        <f t="shared" si="116"/>
        <v>864516581840.50256</v>
      </c>
      <c r="D362" s="13">
        <f t="shared" si="100"/>
        <v>0</v>
      </c>
      <c r="E362" s="13">
        <f t="shared" si="101"/>
        <v>864516581840.50256</v>
      </c>
      <c r="F362" s="13">
        <f>IF(AH362=1,MAX(R361,0)*Parameters!$B$11,0)</f>
        <v>0</v>
      </c>
      <c r="G362" s="13">
        <f>IF(AI362=1,MAX(S361,0)*Parameters!$B$11,0)</f>
        <v>0</v>
      </c>
      <c r="H362" s="13">
        <f t="shared" si="102"/>
        <v>0</v>
      </c>
      <c r="I362" s="13">
        <f t="shared" si="103"/>
        <v>864516581840.50256</v>
      </c>
      <c r="J362" s="13">
        <f t="shared" si="104"/>
        <v>0</v>
      </c>
      <c r="K362" s="13">
        <f t="shared" si="105"/>
        <v>0</v>
      </c>
      <c r="L362" s="13">
        <f t="shared" si="106"/>
        <v>0</v>
      </c>
      <c r="M362" s="13">
        <f t="shared" si="107"/>
        <v>864516581840.50256</v>
      </c>
      <c r="N362" s="13">
        <f>MAX(0,INT(L362*Parameters!$B$14/Parameters!$B$13/Parameters!$B$12)*Parameters!$B$12)</f>
        <v>0</v>
      </c>
      <c r="O362" s="13">
        <f>MAX(0,INT(M362*Parameters!$B$14/Parameters!$B$13/Parameters!$B$12)*Parameters!$B$12)</f>
        <v>576344387835</v>
      </c>
      <c r="P362" s="13">
        <f>N362*Parameters!$B$13*'H237 Tracker'!B362</f>
        <v>0</v>
      </c>
      <c r="Q362" s="13">
        <f>O362*Parameters!$B$13*'H237 Tracker'!C362</f>
        <v>-129101142875.03999</v>
      </c>
      <c r="R362" s="13">
        <f t="shared" si="117"/>
        <v>0</v>
      </c>
      <c r="S362" s="13">
        <f t="shared" si="118"/>
        <v>289756847199.00299</v>
      </c>
      <c r="T362" s="13">
        <f t="shared" si="108"/>
        <v>0</v>
      </c>
      <c r="U362" s="13">
        <f t="shared" si="109"/>
        <v>735415438965.46252</v>
      </c>
      <c r="V362" s="12">
        <f t="shared" si="110"/>
        <v>0</v>
      </c>
      <c r="W362" t="str">
        <f>'H237 Tracker'!I362</f>
        <v>HOLD</v>
      </c>
      <c r="X362">
        <f>'H237 Tracker'!J362</f>
        <v>0</v>
      </c>
      <c r="Y362" t="str">
        <f>'H237 Tracker'!K362</f>
        <v>HOLD</v>
      </c>
      <c r="Z362" s="12">
        <f>'H237 Tracker'!O362</f>
        <v>0</v>
      </c>
      <c r="AA362" s="13">
        <f>'H237 Tracker'!P362</f>
        <v>0</v>
      </c>
      <c r="AB362" s="13">
        <f>'H237 Tracker'!Q362</f>
        <v>0</v>
      </c>
      <c r="AC362" s="13">
        <f t="shared" si="111"/>
        <v>0</v>
      </c>
      <c r="AD362" s="13">
        <f t="shared" si="112"/>
        <v>735415438965.46252</v>
      </c>
      <c r="AE362" s="13">
        <f t="shared" si="113"/>
        <v>735415438965.46252</v>
      </c>
      <c r="AF362" s="13">
        <f t="shared" si="119"/>
        <v>915672131591.01953</v>
      </c>
      <c r="AG362" s="24">
        <f t="shared" si="114"/>
        <v>-0.19685724442913133</v>
      </c>
      <c r="AH362" s="8">
        <f>--(COUNTIF('Tax Events'!$A$4:$A$8,A362)&gt;0)</f>
        <v>0</v>
      </c>
      <c r="AI362" s="8">
        <f>--(COUNTIF('Tax Events'!$B$4:$B$9,A362)&gt;0)</f>
        <v>0</v>
      </c>
    </row>
    <row r="363" spans="1:35">
      <c r="A363" s="4">
        <f>'H237 Tracker'!A363</f>
        <v>45719</v>
      </c>
      <c r="B363" s="13">
        <f t="shared" si="115"/>
        <v>0</v>
      </c>
      <c r="C363" s="13">
        <f t="shared" si="116"/>
        <v>735415438965.46252</v>
      </c>
      <c r="D363" s="13">
        <f t="shared" si="100"/>
        <v>0</v>
      </c>
      <c r="E363" s="13">
        <f t="shared" si="101"/>
        <v>735415438965.46252</v>
      </c>
      <c r="F363" s="13">
        <f>IF(AH363=1,MAX(R362,0)*Parameters!$B$11,0)</f>
        <v>0</v>
      </c>
      <c r="G363" s="13">
        <f>IF(AI363=1,MAX(S362,0)*Parameters!$B$11,0)</f>
        <v>0</v>
      </c>
      <c r="H363" s="13">
        <f t="shared" si="102"/>
        <v>0</v>
      </c>
      <c r="I363" s="13">
        <f t="shared" si="103"/>
        <v>735415438965.46252</v>
      </c>
      <c r="J363" s="13">
        <f t="shared" si="104"/>
        <v>0</v>
      </c>
      <c r="K363" s="13">
        <f t="shared" si="105"/>
        <v>0</v>
      </c>
      <c r="L363" s="13">
        <f t="shared" si="106"/>
        <v>0</v>
      </c>
      <c r="M363" s="13">
        <f t="shared" si="107"/>
        <v>735415438965.46252</v>
      </c>
      <c r="N363" s="13">
        <f>MAX(0,INT(L363*Parameters!$B$14/Parameters!$B$13/Parameters!$B$12)*Parameters!$B$12)</f>
        <v>0</v>
      </c>
      <c r="O363" s="13">
        <f>MAX(0,INT(M363*Parameters!$B$14/Parameters!$B$13/Parameters!$B$12)*Parameters!$B$12)</f>
        <v>490276959305</v>
      </c>
      <c r="P363" s="13">
        <f>N363*Parameters!$B$13*'H237 Tracker'!B363</f>
        <v>0</v>
      </c>
      <c r="Q363" s="13">
        <f>O363*Parameters!$B$13*'H237 Tracker'!C363</f>
        <v>-54714908658.437996</v>
      </c>
      <c r="R363" s="13">
        <f t="shared" si="117"/>
        <v>0</v>
      </c>
      <c r="S363" s="13">
        <f t="shared" si="118"/>
        <v>235041938540.565</v>
      </c>
      <c r="T363" s="13">
        <f t="shared" si="108"/>
        <v>0</v>
      </c>
      <c r="U363" s="13">
        <f t="shared" si="109"/>
        <v>680700530307.02454</v>
      </c>
      <c r="V363" s="12">
        <f t="shared" si="110"/>
        <v>0</v>
      </c>
      <c r="W363" t="str">
        <f>'H237 Tracker'!I363</f>
        <v>HOLD</v>
      </c>
      <c r="X363">
        <f>'H237 Tracker'!J363</f>
        <v>0</v>
      </c>
      <c r="Y363" t="str">
        <f>'H237 Tracker'!K363</f>
        <v>HOLD</v>
      </c>
      <c r="Z363" s="12">
        <f>'H237 Tracker'!O363</f>
        <v>0</v>
      </c>
      <c r="AA363" s="13">
        <f>'H237 Tracker'!P363</f>
        <v>0</v>
      </c>
      <c r="AB363" s="13">
        <f>'H237 Tracker'!Q363</f>
        <v>0</v>
      </c>
      <c r="AC363" s="13">
        <f t="shared" si="111"/>
        <v>0</v>
      </c>
      <c r="AD363" s="13">
        <f t="shared" si="112"/>
        <v>680700530307.02454</v>
      </c>
      <c r="AE363" s="13">
        <f t="shared" si="113"/>
        <v>680700530307.02454</v>
      </c>
      <c r="AF363" s="13">
        <f t="shared" si="119"/>
        <v>915672131591.01953</v>
      </c>
      <c r="AG363" s="24">
        <f t="shared" si="114"/>
        <v>-0.25661106544295698</v>
      </c>
      <c r="AH363" s="8">
        <f>--(COUNTIF('Tax Events'!$A$4:$A$8,A363)&gt;0)</f>
        <v>0</v>
      </c>
      <c r="AI363" s="8">
        <f>--(COUNTIF('Tax Events'!$B$4:$B$9,A363)&gt;0)</f>
        <v>0</v>
      </c>
    </row>
    <row r="364" spans="1:35">
      <c r="A364" s="4">
        <f>'H237 Tracker'!A364</f>
        <v>45726</v>
      </c>
      <c r="B364" s="13">
        <f t="shared" si="115"/>
        <v>0</v>
      </c>
      <c r="C364" s="13">
        <f t="shared" si="116"/>
        <v>680700530307.02454</v>
      </c>
      <c r="D364" s="13">
        <f t="shared" si="100"/>
        <v>0</v>
      </c>
      <c r="E364" s="13">
        <f t="shared" si="101"/>
        <v>680700530307.02454</v>
      </c>
      <c r="F364" s="13">
        <f>IF(AH364=1,MAX(R363,0)*Parameters!$B$11,0)</f>
        <v>0</v>
      </c>
      <c r="G364" s="13">
        <f>IF(AI364=1,MAX(S363,0)*Parameters!$B$11,0)</f>
        <v>0</v>
      </c>
      <c r="H364" s="13">
        <f t="shared" si="102"/>
        <v>0</v>
      </c>
      <c r="I364" s="13">
        <f t="shared" si="103"/>
        <v>680700530307.02454</v>
      </c>
      <c r="J364" s="13">
        <f t="shared" si="104"/>
        <v>0</v>
      </c>
      <c r="K364" s="13">
        <f t="shared" si="105"/>
        <v>0</v>
      </c>
      <c r="L364" s="13">
        <f t="shared" si="106"/>
        <v>0</v>
      </c>
      <c r="M364" s="13">
        <f t="shared" si="107"/>
        <v>680700530307.02454</v>
      </c>
      <c r="N364" s="13">
        <f>MAX(0,INT(L364*Parameters!$B$14/Parameters!$B$13/Parameters!$B$12)*Parameters!$B$12)</f>
        <v>0</v>
      </c>
      <c r="O364" s="13">
        <f>MAX(0,INT(M364*Parameters!$B$14/Parameters!$B$13/Parameters!$B$12)*Parameters!$B$12)</f>
        <v>453800353450</v>
      </c>
      <c r="P364" s="13">
        <f>N364*Parameters!$B$13*'H237 Tracker'!B364</f>
        <v>0</v>
      </c>
      <c r="Q364" s="13">
        <f>O364*Parameters!$B$13*'H237 Tracker'!C364</f>
        <v>0</v>
      </c>
      <c r="R364" s="13">
        <f t="shared" si="117"/>
        <v>0</v>
      </c>
      <c r="S364" s="13">
        <f t="shared" si="118"/>
        <v>235041938540.565</v>
      </c>
      <c r="T364" s="13">
        <f t="shared" si="108"/>
        <v>0</v>
      </c>
      <c r="U364" s="13">
        <f t="shared" si="109"/>
        <v>680700530307.02454</v>
      </c>
      <c r="V364" s="12">
        <f t="shared" si="110"/>
        <v>0</v>
      </c>
      <c r="W364" t="str">
        <f>'H237 Tracker'!I364</f>
        <v>HOLD</v>
      </c>
      <c r="X364">
        <f>'H237 Tracker'!J364</f>
        <v>0</v>
      </c>
      <c r="Y364" t="str">
        <f>'H237 Tracker'!K364</f>
        <v>HOLD</v>
      </c>
      <c r="Z364" s="12">
        <f>'H237 Tracker'!O364</f>
        <v>0</v>
      </c>
      <c r="AA364" s="13">
        <f>'H237 Tracker'!P364</f>
        <v>0</v>
      </c>
      <c r="AB364" s="13">
        <f>'H237 Tracker'!Q364</f>
        <v>0</v>
      </c>
      <c r="AC364" s="13">
        <f t="shared" si="111"/>
        <v>0</v>
      </c>
      <c r="AD364" s="13">
        <f t="shared" si="112"/>
        <v>680700530307.02454</v>
      </c>
      <c r="AE364" s="13">
        <f t="shared" si="113"/>
        <v>680700530307.02454</v>
      </c>
      <c r="AF364" s="13">
        <f t="shared" si="119"/>
        <v>915672131591.01953</v>
      </c>
      <c r="AG364" s="24">
        <f t="shared" si="114"/>
        <v>-0.25661106544295698</v>
      </c>
      <c r="AH364" s="8">
        <f>--(COUNTIF('Tax Events'!$A$4:$A$8,A364)&gt;0)</f>
        <v>0</v>
      </c>
      <c r="AI364" s="8">
        <f>--(COUNTIF('Tax Events'!$B$4:$B$9,A364)&gt;0)</f>
        <v>0</v>
      </c>
    </row>
    <row r="365" spans="1:35">
      <c r="A365" s="4">
        <f>'H237 Tracker'!A365</f>
        <v>45733</v>
      </c>
      <c r="B365" s="13">
        <f t="shared" si="115"/>
        <v>0</v>
      </c>
      <c r="C365" s="13">
        <f t="shared" si="116"/>
        <v>680700530307.02454</v>
      </c>
      <c r="D365" s="13">
        <f t="shared" si="100"/>
        <v>0</v>
      </c>
      <c r="E365" s="13">
        <f t="shared" si="101"/>
        <v>680700530307.02454</v>
      </c>
      <c r="F365" s="13">
        <f>IF(AH365=1,MAX(R364,0)*Parameters!$B$11,0)</f>
        <v>0</v>
      </c>
      <c r="G365" s="13">
        <f>IF(AI365=1,MAX(S364,0)*Parameters!$B$11,0)</f>
        <v>0</v>
      </c>
      <c r="H365" s="13">
        <f t="shared" si="102"/>
        <v>0</v>
      </c>
      <c r="I365" s="13">
        <f t="shared" si="103"/>
        <v>680700530307.02454</v>
      </c>
      <c r="J365" s="13">
        <f t="shared" si="104"/>
        <v>0</v>
      </c>
      <c r="K365" s="13">
        <f t="shared" si="105"/>
        <v>0</v>
      </c>
      <c r="L365" s="13">
        <f t="shared" si="106"/>
        <v>0</v>
      </c>
      <c r="M365" s="13">
        <f t="shared" si="107"/>
        <v>680700530307.02454</v>
      </c>
      <c r="N365" s="13">
        <f>MAX(0,INT(L365*Parameters!$B$14/Parameters!$B$13/Parameters!$B$12)*Parameters!$B$12)</f>
        <v>0</v>
      </c>
      <c r="O365" s="13">
        <f>MAX(0,INT(M365*Parameters!$B$14/Parameters!$B$13/Parameters!$B$12)*Parameters!$B$12)</f>
        <v>453800353450</v>
      </c>
      <c r="P365" s="13">
        <f>N365*Parameters!$B$13*'H237 Tracker'!B365</f>
        <v>0</v>
      </c>
      <c r="Q365" s="13">
        <f>O365*Parameters!$B$13*'H237 Tracker'!C365</f>
        <v>68523853370.950005</v>
      </c>
      <c r="R365" s="13">
        <f t="shared" si="117"/>
        <v>0</v>
      </c>
      <c r="S365" s="13">
        <f t="shared" si="118"/>
        <v>303565791911.51501</v>
      </c>
      <c r="T365" s="13">
        <f t="shared" si="108"/>
        <v>0</v>
      </c>
      <c r="U365" s="13">
        <f t="shared" si="109"/>
        <v>749224383677.97449</v>
      </c>
      <c r="V365" s="12">
        <f t="shared" si="110"/>
        <v>0</v>
      </c>
      <c r="W365" t="str">
        <f>'H237 Tracker'!I365</f>
        <v>HOLD</v>
      </c>
      <c r="X365">
        <f>'H237 Tracker'!J365</f>
        <v>0</v>
      </c>
      <c r="Y365" t="str">
        <f>'H237 Tracker'!K365</f>
        <v>HOLD</v>
      </c>
      <c r="Z365" s="12">
        <f>'H237 Tracker'!O365</f>
        <v>0</v>
      </c>
      <c r="AA365" s="13">
        <f>'H237 Tracker'!P365</f>
        <v>0</v>
      </c>
      <c r="AB365" s="13">
        <f>'H237 Tracker'!Q365</f>
        <v>0</v>
      </c>
      <c r="AC365" s="13">
        <f t="shared" si="111"/>
        <v>0</v>
      </c>
      <c r="AD365" s="13">
        <f t="shared" si="112"/>
        <v>749224383677.97449</v>
      </c>
      <c r="AE365" s="13">
        <f t="shared" si="113"/>
        <v>749224383677.97449</v>
      </c>
      <c r="AF365" s="13">
        <f t="shared" si="119"/>
        <v>915672131591.01953</v>
      </c>
      <c r="AG365" s="24">
        <f t="shared" si="114"/>
        <v>-0.18177657937872915</v>
      </c>
      <c r="AH365" s="8">
        <f>--(COUNTIF('Tax Events'!$A$4:$A$8,A365)&gt;0)</f>
        <v>0</v>
      </c>
      <c r="AI365" s="8">
        <f>--(COUNTIF('Tax Events'!$B$4:$B$9,A365)&gt;0)</f>
        <v>0</v>
      </c>
    </row>
    <row r="366" spans="1:35">
      <c r="A366" s="4">
        <f>'H237 Tracker'!A366</f>
        <v>45740</v>
      </c>
      <c r="B366" s="13">
        <f t="shared" si="115"/>
        <v>0</v>
      </c>
      <c r="C366" s="13">
        <f t="shared" si="116"/>
        <v>749224383677.97449</v>
      </c>
      <c r="D366" s="13">
        <f t="shared" si="100"/>
        <v>0</v>
      </c>
      <c r="E366" s="13">
        <f t="shared" si="101"/>
        <v>749224383677.97449</v>
      </c>
      <c r="F366" s="13">
        <f>IF(AH366=1,MAX(R365,0)*Parameters!$B$11,0)</f>
        <v>0</v>
      </c>
      <c r="G366" s="13">
        <f>IF(AI366=1,MAX(S365,0)*Parameters!$B$11,0)</f>
        <v>0</v>
      </c>
      <c r="H366" s="13">
        <f t="shared" si="102"/>
        <v>0</v>
      </c>
      <c r="I366" s="13">
        <f t="shared" si="103"/>
        <v>749224383677.97449</v>
      </c>
      <c r="J366" s="13">
        <f t="shared" si="104"/>
        <v>0</v>
      </c>
      <c r="K366" s="13">
        <f t="shared" si="105"/>
        <v>0</v>
      </c>
      <c r="L366" s="13">
        <f t="shared" si="106"/>
        <v>0</v>
      </c>
      <c r="M366" s="13">
        <f t="shared" si="107"/>
        <v>749224383677.97449</v>
      </c>
      <c r="N366" s="13">
        <f>MAX(0,INT(L366*Parameters!$B$14/Parameters!$B$13/Parameters!$B$12)*Parameters!$B$12)</f>
        <v>0</v>
      </c>
      <c r="O366" s="13">
        <f>MAX(0,INT(M366*Parameters!$B$14/Parameters!$B$13/Parameters!$B$12)*Parameters!$B$12)</f>
        <v>499482922400</v>
      </c>
      <c r="P366" s="13">
        <f>N366*Parameters!$B$13*'H237 Tracker'!B366</f>
        <v>0</v>
      </c>
      <c r="Q366" s="13">
        <f>O366*Parameters!$B$13*'H237 Tracker'!C366</f>
        <v>0</v>
      </c>
      <c r="R366" s="13">
        <f t="shared" si="117"/>
        <v>0</v>
      </c>
      <c r="S366" s="13">
        <f t="shared" si="118"/>
        <v>303565791911.51501</v>
      </c>
      <c r="T366" s="13">
        <f t="shared" si="108"/>
        <v>0</v>
      </c>
      <c r="U366" s="13">
        <f t="shared" si="109"/>
        <v>749224383677.97449</v>
      </c>
      <c r="V366" s="12">
        <f t="shared" si="110"/>
        <v>0</v>
      </c>
      <c r="W366" t="str">
        <f>'H237 Tracker'!I366</f>
        <v>HOLD</v>
      </c>
      <c r="X366">
        <f>'H237 Tracker'!J366</f>
        <v>0</v>
      </c>
      <c r="Y366" t="str">
        <f>'H237 Tracker'!K366</f>
        <v>HOLD</v>
      </c>
      <c r="Z366" s="12">
        <f>'H237 Tracker'!O366</f>
        <v>0</v>
      </c>
      <c r="AA366" s="13">
        <f>'H237 Tracker'!P366</f>
        <v>0</v>
      </c>
      <c r="AB366" s="13">
        <f>'H237 Tracker'!Q366</f>
        <v>0</v>
      </c>
      <c r="AC366" s="13">
        <f t="shared" si="111"/>
        <v>0</v>
      </c>
      <c r="AD366" s="13">
        <f t="shared" si="112"/>
        <v>749224383677.97449</v>
      </c>
      <c r="AE366" s="13">
        <f t="shared" si="113"/>
        <v>749224383677.97449</v>
      </c>
      <c r="AF366" s="13">
        <f t="shared" si="119"/>
        <v>915672131591.01953</v>
      </c>
      <c r="AG366" s="24">
        <f t="shared" si="114"/>
        <v>-0.18177657937872915</v>
      </c>
      <c r="AH366" s="8">
        <f>--(COUNTIF('Tax Events'!$A$4:$A$8,A366)&gt;0)</f>
        <v>0</v>
      </c>
      <c r="AI366" s="8">
        <f>--(COUNTIF('Tax Events'!$B$4:$B$9,A366)&gt;0)</f>
        <v>0</v>
      </c>
    </row>
    <row r="367" spans="1:35">
      <c r="A367" s="4">
        <f>'H237 Tracker'!A367</f>
        <v>45747</v>
      </c>
      <c r="B367" s="13">
        <f t="shared" si="115"/>
        <v>0</v>
      </c>
      <c r="C367" s="13">
        <f t="shared" si="116"/>
        <v>749224383677.97449</v>
      </c>
      <c r="D367" s="13">
        <f t="shared" si="100"/>
        <v>0</v>
      </c>
      <c r="E367" s="13">
        <f t="shared" si="101"/>
        <v>749224383677.97449</v>
      </c>
      <c r="F367" s="13">
        <f>IF(AH367=1,MAX(R366,0)*Parameters!$B$11,0)</f>
        <v>0</v>
      </c>
      <c r="G367" s="13">
        <f>IF(AI367=1,MAX(S366,0)*Parameters!$B$11,0)</f>
        <v>0</v>
      </c>
      <c r="H367" s="13">
        <f t="shared" si="102"/>
        <v>0</v>
      </c>
      <c r="I367" s="13">
        <f t="shared" si="103"/>
        <v>749224383677.97449</v>
      </c>
      <c r="J367" s="13">
        <f t="shared" si="104"/>
        <v>0</v>
      </c>
      <c r="K367" s="13">
        <f t="shared" si="105"/>
        <v>0</v>
      </c>
      <c r="L367" s="13">
        <f t="shared" si="106"/>
        <v>0</v>
      </c>
      <c r="M367" s="13">
        <f t="shared" si="107"/>
        <v>749224383677.97449</v>
      </c>
      <c r="N367" s="13">
        <f>MAX(0,INT(L367*Parameters!$B$14/Parameters!$B$13/Parameters!$B$12)*Parameters!$B$12)</f>
        <v>0</v>
      </c>
      <c r="O367" s="13">
        <f>MAX(0,INT(M367*Parameters!$B$14/Parameters!$B$13/Parameters!$B$12)*Parameters!$B$12)</f>
        <v>499482922400</v>
      </c>
      <c r="P367" s="13">
        <f>N367*Parameters!$B$13*'H237 Tracker'!B367</f>
        <v>0</v>
      </c>
      <c r="Q367" s="13">
        <f>O367*Parameters!$B$13*'H237 Tracker'!C367</f>
        <v>128067421303.36</v>
      </c>
      <c r="R367" s="13">
        <f t="shared" si="117"/>
        <v>0</v>
      </c>
      <c r="S367" s="13">
        <f t="shared" si="118"/>
        <v>431633213214.875</v>
      </c>
      <c r="T367" s="13">
        <f t="shared" si="108"/>
        <v>0</v>
      </c>
      <c r="U367" s="13">
        <f t="shared" si="109"/>
        <v>877291804981.33447</v>
      </c>
      <c r="V367" s="12">
        <f t="shared" si="110"/>
        <v>0</v>
      </c>
      <c r="W367" t="str">
        <f>'H237 Tracker'!I367</f>
        <v>HOLD</v>
      </c>
      <c r="X367">
        <f>'H237 Tracker'!J367</f>
        <v>0</v>
      </c>
      <c r="Y367" t="str">
        <f>'H237 Tracker'!K367</f>
        <v>HOLD</v>
      </c>
      <c r="Z367" s="12">
        <f>'H237 Tracker'!O367</f>
        <v>0</v>
      </c>
      <c r="AA367" s="13">
        <f>'H237 Tracker'!P367</f>
        <v>0</v>
      </c>
      <c r="AB367" s="13">
        <f>'H237 Tracker'!Q367</f>
        <v>0</v>
      </c>
      <c r="AC367" s="13">
        <f t="shared" si="111"/>
        <v>0</v>
      </c>
      <c r="AD367" s="13">
        <f t="shared" si="112"/>
        <v>877291804981.33447</v>
      </c>
      <c r="AE367" s="13">
        <f t="shared" si="113"/>
        <v>877291804981.33447</v>
      </c>
      <c r="AF367" s="13">
        <f t="shared" si="119"/>
        <v>915672131591.01953</v>
      </c>
      <c r="AG367" s="24">
        <f t="shared" si="114"/>
        <v>-4.1914922695089118E-2</v>
      </c>
      <c r="AH367" s="8">
        <f>--(COUNTIF('Tax Events'!$A$4:$A$8,A367)&gt;0)</f>
        <v>0</v>
      </c>
      <c r="AI367" s="8">
        <f>--(COUNTIF('Tax Events'!$B$4:$B$9,A367)&gt;0)</f>
        <v>0</v>
      </c>
    </row>
    <row r="368" spans="1:35">
      <c r="A368" s="4">
        <f>'H237 Tracker'!A368</f>
        <v>45754</v>
      </c>
      <c r="B368" s="13">
        <f t="shared" si="115"/>
        <v>0</v>
      </c>
      <c r="C368" s="13">
        <f t="shared" si="116"/>
        <v>877291804981.33447</v>
      </c>
      <c r="D368" s="13">
        <f t="shared" si="100"/>
        <v>0</v>
      </c>
      <c r="E368" s="13">
        <f t="shared" si="101"/>
        <v>877291804981.33447</v>
      </c>
      <c r="F368" s="13">
        <f>IF(AH368=1,MAX(R367,0)*Parameters!$B$11,0)</f>
        <v>0</v>
      </c>
      <c r="G368" s="13">
        <f>IF(AI368=1,MAX(S367,0)*Parameters!$B$11,0)</f>
        <v>0</v>
      </c>
      <c r="H368" s="13">
        <f t="shared" si="102"/>
        <v>0</v>
      </c>
      <c r="I368" s="13">
        <f t="shared" si="103"/>
        <v>877291804981.33447</v>
      </c>
      <c r="J368" s="13">
        <f t="shared" si="104"/>
        <v>0</v>
      </c>
      <c r="K368" s="13">
        <f t="shared" si="105"/>
        <v>0</v>
      </c>
      <c r="L368" s="13">
        <f t="shared" si="106"/>
        <v>0</v>
      </c>
      <c r="M368" s="13">
        <f t="shared" si="107"/>
        <v>877291804981.33447</v>
      </c>
      <c r="N368" s="13">
        <f>MAX(0,INT(L368*Parameters!$B$14/Parameters!$B$13/Parameters!$B$12)*Parameters!$B$12)</f>
        <v>0</v>
      </c>
      <c r="O368" s="13">
        <f>MAX(0,INT(M368*Parameters!$B$14/Parameters!$B$13/Parameters!$B$12)*Parameters!$B$12)</f>
        <v>584861203310</v>
      </c>
      <c r="P368" s="13">
        <f>N368*Parameters!$B$13*'H237 Tracker'!B368</f>
        <v>0</v>
      </c>
      <c r="Q368" s="13">
        <f>O368*Parameters!$B$13*'H237 Tracker'!C368</f>
        <v>465198601112.77399</v>
      </c>
      <c r="R368" s="13">
        <f t="shared" si="117"/>
        <v>0</v>
      </c>
      <c r="S368" s="13">
        <f t="shared" si="118"/>
        <v>896831814327.64893</v>
      </c>
      <c r="T368" s="13">
        <f t="shared" si="108"/>
        <v>0</v>
      </c>
      <c r="U368" s="13">
        <f t="shared" si="109"/>
        <v>1342490406094.1084</v>
      </c>
      <c r="V368" s="12">
        <f t="shared" si="110"/>
        <v>0</v>
      </c>
      <c r="W368" t="str">
        <f>'H237 Tracker'!I368</f>
        <v>HOLD</v>
      </c>
      <c r="X368">
        <f>'H237 Tracker'!J368</f>
        <v>0</v>
      </c>
      <c r="Y368" t="str">
        <f>'H237 Tracker'!K368</f>
        <v>HOLD</v>
      </c>
      <c r="Z368" s="12">
        <f>'H237 Tracker'!O368</f>
        <v>0</v>
      </c>
      <c r="AA368" s="13">
        <f>'H237 Tracker'!P368</f>
        <v>0</v>
      </c>
      <c r="AB368" s="13">
        <f>'H237 Tracker'!Q368</f>
        <v>0</v>
      </c>
      <c r="AC368" s="13">
        <f t="shared" si="111"/>
        <v>0</v>
      </c>
      <c r="AD368" s="13">
        <f t="shared" si="112"/>
        <v>1342490406094.1084</v>
      </c>
      <c r="AE368" s="13">
        <f t="shared" si="113"/>
        <v>1342490406094.1084</v>
      </c>
      <c r="AF368" s="13">
        <f t="shared" si="119"/>
        <v>1342490406094.1084</v>
      </c>
      <c r="AG368" s="24">
        <f t="shared" si="114"/>
        <v>0</v>
      </c>
      <c r="AH368" s="8">
        <f>--(COUNTIF('Tax Events'!$A$4:$A$8,A368)&gt;0)</f>
        <v>0</v>
      </c>
      <c r="AI368" s="8">
        <f>--(COUNTIF('Tax Events'!$B$4:$B$9,A368)&gt;0)</f>
        <v>0</v>
      </c>
    </row>
    <row r="369" spans="1:35">
      <c r="A369" s="4">
        <f>'H237 Tracker'!A369</f>
        <v>45761</v>
      </c>
      <c r="B369" s="13">
        <f t="shared" si="115"/>
        <v>0</v>
      </c>
      <c r="C369" s="13">
        <f t="shared" si="116"/>
        <v>1342490406094.1084</v>
      </c>
      <c r="D369" s="13">
        <f t="shared" si="100"/>
        <v>0</v>
      </c>
      <c r="E369" s="13">
        <f t="shared" si="101"/>
        <v>1342490406094.1084</v>
      </c>
      <c r="F369" s="13">
        <f>IF(AH369=1,MAX(R368,0)*Parameters!$B$11,0)</f>
        <v>0</v>
      </c>
      <c r="G369" s="13">
        <f>IF(AI369=1,MAX(S368,0)*Parameters!$B$11,0)</f>
        <v>0</v>
      </c>
      <c r="H369" s="13">
        <f t="shared" si="102"/>
        <v>0</v>
      </c>
      <c r="I369" s="13">
        <f t="shared" si="103"/>
        <v>1342490406094.1084</v>
      </c>
      <c r="J369" s="13">
        <f t="shared" si="104"/>
        <v>0</v>
      </c>
      <c r="K369" s="13">
        <f t="shared" si="105"/>
        <v>0</v>
      </c>
      <c r="L369" s="13">
        <f t="shared" si="106"/>
        <v>0</v>
      </c>
      <c r="M369" s="13">
        <f t="shared" si="107"/>
        <v>1342490406094.1084</v>
      </c>
      <c r="N369" s="13">
        <f>MAX(0,INT(L369*Parameters!$B$14/Parameters!$B$13/Parameters!$B$12)*Parameters!$B$12)</f>
        <v>0</v>
      </c>
      <c r="O369" s="13">
        <f>MAX(0,INT(M369*Parameters!$B$14/Parameters!$B$13/Parameters!$B$12)*Parameters!$B$12)</f>
        <v>894993603970</v>
      </c>
      <c r="P369" s="13">
        <f>N369*Parameters!$B$13*'H237 Tracker'!B369</f>
        <v>0</v>
      </c>
      <c r="Q369" s="13">
        <f>O369*Parameters!$B$13*'H237 Tracker'!C369</f>
        <v>0</v>
      </c>
      <c r="R369" s="13">
        <f t="shared" si="117"/>
        <v>0</v>
      </c>
      <c r="S369" s="13">
        <f t="shared" si="118"/>
        <v>896831814327.64893</v>
      </c>
      <c r="T369" s="13">
        <f t="shared" si="108"/>
        <v>0</v>
      </c>
      <c r="U369" s="13">
        <f t="shared" si="109"/>
        <v>1342490406094.1084</v>
      </c>
      <c r="V369" s="12">
        <f t="shared" si="110"/>
        <v>0</v>
      </c>
      <c r="W369" t="str">
        <f>'H237 Tracker'!I369</f>
        <v>HOLD</v>
      </c>
      <c r="X369">
        <f>'H237 Tracker'!J369</f>
        <v>0</v>
      </c>
      <c r="Y369" t="str">
        <f>'H237 Tracker'!K369</f>
        <v>HOLD</v>
      </c>
      <c r="Z369" s="12">
        <f>'H237 Tracker'!O369</f>
        <v>0</v>
      </c>
      <c r="AA369" s="13">
        <f>'H237 Tracker'!P369</f>
        <v>0</v>
      </c>
      <c r="AB369" s="13">
        <f>'H237 Tracker'!Q369</f>
        <v>0</v>
      </c>
      <c r="AC369" s="13">
        <f t="shared" si="111"/>
        <v>0</v>
      </c>
      <c r="AD369" s="13">
        <f t="shared" si="112"/>
        <v>1342490406094.1084</v>
      </c>
      <c r="AE369" s="13">
        <f t="shared" si="113"/>
        <v>1342490406094.1084</v>
      </c>
      <c r="AF369" s="13">
        <f t="shared" si="119"/>
        <v>1342490406094.1084</v>
      </c>
      <c r="AG369" s="24">
        <f t="shared" si="114"/>
        <v>0</v>
      </c>
      <c r="AH369" s="8">
        <f>--(COUNTIF('Tax Events'!$A$4:$A$8,A369)&gt;0)</f>
        <v>0</v>
      </c>
      <c r="AI369" s="8">
        <f>--(COUNTIF('Tax Events'!$B$4:$B$9,A369)&gt;0)</f>
        <v>0</v>
      </c>
    </row>
    <row r="370" spans="1:35">
      <c r="A370" s="4">
        <f>'H237 Tracker'!A370</f>
        <v>45768</v>
      </c>
      <c r="B370" s="13">
        <f t="shared" si="115"/>
        <v>0</v>
      </c>
      <c r="C370" s="13">
        <f t="shared" si="116"/>
        <v>1342490406094.1084</v>
      </c>
      <c r="D370" s="13">
        <f t="shared" si="100"/>
        <v>0</v>
      </c>
      <c r="E370" s="13">
        <f t="shared" si="101"/>
        <v>1342490406094.1084</v>
      </c>
      <c r="F370" s="13">
        <f>IF(AH370=1,MAX(R369,0)*Parameters!$B$11,0)</f>
        <v>0</v>
      </c>
      <c r="G370" s="13">
        <f>IF(AI370=1,MAX(S369,0)*Parameters!$B$11,0)</f>
        <v>0</v>
      </c>
      <c r="H370" s="13">
        <f t="shared" si="102"/>
        <v>0</v>
      </c>
      <c r="I370" s="13">
        <f t="shared" si="103"/>
        <v>1342490406094.1084</v>
      </c>
      <c r="J370" s="13">
        <f t="shared" si="104"/>
        <v>0</v>
      </c>
      <c r="K370" s="13">
        <f t="shared" si="105"/>
        <v>0</v>
      </c>
      <c r="L370" s="13">
        <f t="shared" si="106"/>
        <v>0</v>
      </c>
      <c r="M370" s="13">
        <f t="shared" si="107"/>
        <v>1342490406094.1084</v>
      </c>
      <c r="N370" s="13">
        <f>MAX(0,INT(L370*Parameters!$B$14/Parameters!$B$13/Parameters!$B$12)*Parameters!$B$12)</f>
        <v>0</v>
      </c>
      <c r="O370" s="13">
        <f>MAX(0,INT(M370*Parameters!$B$14/Parameters!$B$13/Parameters!$B$12)*Parameters!$B$12)</f>
        <v>894993603970</v>
      </c>
      <c r="P370" s="13">
        <f>N370*Parameters!$B$13*'H237 Tracker'!B370</f>
        <v>0</v>
      </c>
      <c r="Q370" s="13">
        <f>O370*Parameters!$B$13*'H237 Tracker'!C370</f>
        <v>1189625498396.9241</v>
      </c>
      <c r="R370" s="13">
        <f t="shared" si="117"/>
        <v>0</v>
      </c>
      <c r="S370" s="13">
        <f t="shared" si="118"/>
        <v>2086457312724.573</v>
      </c>
      <c r="T370" s="13">
        <f t="shared" si="108"/>
        <v>0</v>
      </c>
      <c r="U370" s="13">
        <f t="shared" si="109"/>
        <v>2532115904491.0322</v>
      </c>
      <c r="V370" s="12">
        <f t="shared" si="110"/>
        <v>0</v>
      </c>
      <c r="W370" t="str">
        <f>'H237 Tracker'!I370</f>
        <v>HOLD</v>
      </c>
      <c r="X370">
        <f>'H237 Tracker'!J370</f>
        <v>0</v>
      </c>
      <c r="Y370" t="str">
        <f>'H237 Tracker'!K370</f>
        <v>HOLD</v>
      </c>
      <c r="Z370" s="12">
        <f>'H237 Tracker'!O370</f>
        <v>0</v>
      </c>
      <c r="AA370" s="13">
        <f>'H237 Tracker'!P370</f>
        <v>0</v>
      </c>
      <c r="AB370" s="13">
        <f>'H237 Tracker'!Q370</f>
        <v>0</v>
      </c>
      <c r="AC370" s="13">
        <f t="shared" si="111"/>
        <v>0</v>
      </c>
      <c r="AD370" s="13">
        <f t="shared" si="112"/>
        <v>2532115904491.0322</v>
      </c>
      <c r="AE370" s="13">
        <f t="shared" si="113"/>
        <v>2532115904491.0322</v>
      </c>
      <c r="AF370" s="13">
        <f t="shared" si="119"/>
        <v>2532115904491.0322</v>
      </c>
      <c r="AG370" s="24">
        <f t="shared" si="114"/>
        <v>0</v>
      </c>
      <c r="AH370" s="8">
        <f>--(COUNTIF('Tax Events'!$A$4:$A$8,A370)&gt;0)</f>
        <v>0</v>
      </c>
      <c r="AI370" s="8">
        <f>--(COUNTIF('Tax Events'!$B$4:$B$9,A370)&gt;0)</f>
        <v>0</v>
      </c>
    </row>
    <row r="371" spans="1:35">
      <c r="A371" s="4">
        <f>'H237 Tracker'!A371</f>
        <v>45775</v>
      </c>
      <c r="B371" s="13">
        <f t="shared" si="115"/>
        <v>0</v>
      </c>
      <c r="C371" s="13">
        <f t="shared" si="116"/>
        <v>2532115904491.0322</v>
      </c>
      <c r="D371" s="13">
        <f t="shared" si="100"/>
        <v>0</v>
      </c>
      <c r="E371" s="13">
        <f t="shared" si="101"/>
        <v>2532115904491.0322</v>
      </c>
      <c r="F371" s="13">
        <f>IF(AH371=1,MAX(R370,0)*Parameters!$B$11,0)</f>
        <v>0</v>
      </c>
      <c r="G371" s="13">
        <f>IF(AI371=1,MAX(S370,0)*Parameters!$B$11,0)</f>
        <v>0</v>
      </c>
      <c r="H371" s="13">
        <f t="shared" si="102"/>
        <v>0</v>
      </c>
      <c r="I371" s="13">
        <f t="shared" si="103"/>
        <v>2532115904491.0322</v>
      </c>
      <c r="J371" s="13">
        <f t="shared" si="104"/>
        <v>0</v>
      </c>
      <c r="K371" s="13">
        <f t="shared" si="105"/>
        <v>0</v>
      </c>
      <c r="L371" s="13">
        <f t="shared" si="106"/>
        <v>0</v>
      </c>
      <c r="M371" s="13">
        <f t="shared" si="107"/>
        <v>2532115904491.0322</v>
      </c>
      <c r="N371" s="13">
        <f>MAX(0,INT(L371*Parameters!$B$14/Parameters!$B$13/Parameters!$B$12)*Parameters!$B$12)</f>
        <v>0</v>
      </c>
      <c r="O371" s="13">
        <f>MAX(0,INT(M371*Parameters!$B$14/Parameters!$B$13/Parameters!$B$12)*Parameters!$B$12)</f>
        <v>1688077269585</v>
      </c>
      <c r="P371" s="13">
        <f>N371*Parameters!$B$13*'H237 Tracker'!B371</f>
        <v>0</v>
      </c>
      <c r="Q371" s="13">
        <f>O371*Parameters!$B$13*'H237 Tracker'!C371</f>
        <v>1127973231536.697</v>
      </c>
      <c r="R371" s="13">
        <f t="shared" si="117"/>
        <v>0</v>
      </c>
      <c r="S371" s="13">
        <f t="shared" si="118"/>
        <v>3214430544261.27</v>
      </c>
      <c r="T371" s="13">
        <f t="shared" si="108"/>
        <v>0</v>
      </c>
      <c r="U371" s="13">
        <f t="shared" si="109"/>
        <v>3660089136027.7295</v>
      </c>
      <c r="V371" s="12">
        <f t="shared" si="110"/>
        <v>0</v>
      </c>
      <c r="W371" t="str">
        <f>'H237 Tracker'!I371</f>
        <v>HOLD</v>
      </c>
      <c r="X371">
        <f>'H237 Tracker'!J371</f>
        <v>0</v>
      </c>
      <c r="Y371" t="str">
        <f>'H237 Tracker'!K371</f>
        <v>HOLD</v>
      </c>
      <c r="Z371" s="12">
        <f>'H237 Tracker'!O371</f>
        <v>0</v>
      </c>
      <c r="AA371" s="13">
        <f>'H237 Tracker'!P371</f>
        <v>0</v>
      </c>
      <c r="AB371" s="13">
        <f>'H237 Tracker'!Q371</f>
        <v>0</v>
      </c>
      <c r="AC371" s="13">
        <f t="shared" si="111"/>
        <v>0</v>
      </c>
      <c r="AD371" s="13">
        <f t="shared" si="112"/>
        <v>3660089136027.7295</v>
      </c>
      <c r="AE371" s="13">
        <f t="shared" si="113"/>
        <v>3660089136027.7295</v>
      </c>
      <c r="AF371" s="13">
        <f t="shared" si="119"/>
        <v>3660089136027.7295</v>
      </c>
      <c r="AG371" s="24">
        <f t="shared" si="114"/>
        <v>0</v>
      </c>
      <c r="AH371" s="8">
        <f>--(COUNTIF('Tax Events'!$A$4:$A$8,A371)&gt;0)</f>
        <v>0</v>
      </c>
      <c r="AI371" s="8">
        <f>--(COUNTIF('Tax Events'!$B$4:$B$9,A371)&gt;0)</f>
        <v>0</v>
      </c>
    </row>
    <row r="372" spans="1:35">
      <c r="A372" s="4">
        <f>'H237 Tracker'!A372</f>
        <v>45782</v>
      </c>
      <c r="B372" s="13">
        <f t="shared" si="115"/>
        <v>0</v>
      </c>
      <c r="C372" s="13">
        <f t="shared" si="116"/>
        <v>3660089136027.7295</v>
      </c>
      <c r="D372" s="13">
        <f t="shared" si="100"/>
        <v>0</v>
      </c>
      <c r="E372" s="13">
        <f t="shared" si="101"/>
        <v>3660089136027.7295</v>
      </c>
      <c r="F372" s="13">
        <f>IF(AH372=1,MAX(R371,0)*Parameters!$B$11,0)</f>
        <v>0</v>
      </c>
      <c r="G372" s="13">
        <f>IF(AI372=1,MAX(S371,0)*Parameters!$B$11,0)</f>
        <v>0</v>
      </c>
      <c r="H372" s="13">
        <f t="shared" si="102"/>
        <v>0</v>
      </c>
      <c r="I372" s="13">
        <f t="shared" si="103"/>
        <v>3660089136027.7295</v>
      </c>
      <c r="J372" s="13">
        <f t="shared" si="104"/>
        <v>0</v>
      </c>
      <c r="K372" s="13">
        <f t="shared" si="105"/>
        <v>0</v>
      </c>
      <c r="L372" s="13">
        <f t="shared" si="106"/>
        <v>0</v>
      </c>
      <c r="M372" s="13">
        <f t="shared" si="107"/>
        <v>3660089136027.7295</v>
      </c>
      <c r="N372" s="13">
        <f>MAX(0,INT(L372*Parameters!$B$14/Parameters!$B$13/Parameters!$B$12)*Parameters!$B$12)</f>
        <v>0</v>
      </c>
      <c r="O372" s="13">
        <f>MAX(0,INT(M372*Parameters!$B$14/Parameters!$B$13/Parameters!$B$12)*Parameters!$B$12)</f>
        <v>2440059423910</v>
      </c>
      <c r="P372" s="13">
        <f>N372*Parameters!$B$13*'H237 Tracker'!B372</f>
        <v>0</v>
      </c>
      <c r="Q372" s="13">
        <f>O372*Parameters!$B$13*'H237 Tracker'!C372</f>
        <v>236197752234.48798</v>
      </c>
      <c r="R372" s="13">
        <f t="shared" si="117"/>
        <v>0</v>
      </c>
      <c r="S372" s="13">
        <f t="shared" si="118"/>
        <v>3450628296495.7578</v>
      </c>
      <c r="T372" s="13">
        <f t="shared" si="108"/>
        <v>0</v>
      </c>
      <c r="U372" s="13">
        <f t="shared" si="109"/>
        <v>3896286888262.2173</v>
      </c>
      <c r="V372" s="12">
        <f t="shared" si="110"/>
        <v>0</v>
      </c>
      <c r="W372" t="str">
        <f>'H237 Tracker'!I372</f>
        <v>HOLD</v>
      </c>
      <c r="X372">
        <f>'H237 Tracker'!J372</f>
        <v>0</v>
      </c>
      <c r="Y372" t="str">
        <f>'H237 Tracker'!K372</f>
        <v>HOLD</v>
      </c>
      <c r="Z372" s="12">
        <f>'H237 Tracker'!O372</f>
        <v>0</v>
      </c>
      <c r="AA372" s="13">
        <f>'H237 Tracker'!P372</f>
        <v>0</v>
      </c>
      <c r="AB372" s="13">
        <f>'H237 Tracker'!Q372</f>
        <v>0</v>
      </c>
      <c r="AC372" s="13">
        <f t="shared" si="111"/>
        <v>0</v>
      </c>
      <c r="AD372" s="13">
        <f t="shared" si="112"/>
        <v>3896286888262.2173</v>
      </c>
      <c r="AE372" s="13">
        <f t="shared" si="113"/>
        <v>3896286888262.2173</v>
      </c>
      <c r="AF372" s="13">
        <f t="shared" si="119"/>
        <v>3896286888262.2173</v>
      </c>
      <c r="AG372" s="24">
        <f t="shared" si="114"/>
        <v>0</v>
      </c>
      <c r="AH372" s="8">
        <f>--(COUNTIF('Tax Events'!$A$4:$A$8,A372)&gt;0)</f>
        <v>0</v>
      </c>
      <c r="AI372" s="8">
        <f>--(COUNTIF('Tax Events'!$B$4:$B$9,A372)&gt;0)</f>
        <v>0</v>
      </c>
    </row>
    <row r="373" spans="1:35">
      <c r="A373" s="4">
        <f>'H237 Tracker'!A373</f>
        <v>45789</v>
      </c>
      <c r="B373" s="13">
        <f t="shared" si="115"/>
        <v>0</v>
      </c>
      <c r="C373" s="13">
        <f t="shared" si="116"/>
        <v>3896286888262.2173</v>
      </c>
      <c r="D373" s="13">
        <f t="shared" si="100"/>
        <v>0</v>
      </c>
      <c r="E373" s="13">
        <f t="shared" si="101"/>
        <v>3896286888262.2173</v>
      </c>
      <c r="F373" s="13">
        <f>IF(AH373=1,MAX(R372,0)*Parameters!$B$11,0)</f>
        <v>0</v>
      </c>
      <c r="G373" s="13">
        <f>IF(AI373=1,MAX(S372,0)*Parameters!$B$11,0)</f>
        <v>0</v>
      </c>
      <c r="H373" s="13">
        <f t="shared" si="102"/>
        <v>0</v>
      </c>
      <c r="I373" s="13">
        <f t="shared" si="103"/>
        <v>3896286888262.2173</v>
      </c>
      <c r="J373" s="13">
        <f t="shared" si="104"/>
        <v>0</v>
      </c>
      <c r="K373" s="13">
        <f t="shared" si="105"/>
        <v>0</v>
      </c>
      <c r="L373" s="13">
        <f t="shared" si="106"/>
        <v>0</v>
      </c>
      <c r="M373" s="13">
        <f t="shared" si="107"/>
        <v>3896286888262.2173</v>
      </c>
      <c r="N373" s="13">
        <f>MAX(0,INT(L373*Parameters!$B$14/Parameters!$B$13/Parameters!$B$12)*Parameters!$B$12)</f>
        <v>0</v>
      </c>
      <c r="O373" s="13">
        <f>MAX(0,INT(M373*Parameters!$B$14/Parameters!$B$13/Parameters!$B$12)*Parameters!$B$12)</f>
        <v>2597524592090</v>
      </c>
      <c r="P373" s="13">
        <f>N373*Parameters!$B$13*'H237 Tracker'!B373</f>
        <v>0</v>
      </c>
      <c r="Q373" s="13">
        <f>O373*Parameters!$B$13*'H237 Tracker'!C373</f>
        <v>1422923971546.9021</v>
      </c>
      <c r="R373" s="13">
        <f t="shared" si="117"/>
        <v>0</v>
      </c>
      <c r="S373" s="13">
        <f t="shared" si="118"/>
        <v>4873552268042.6602</v>
      </c>
      <c r="T373" s="13">
        <f t="shared" si="108"/>
        <v>0</v>
      </c>
      <c r="U373" s="13">
        <f t="shared" si="109"/>
        <v>5319210859809.1191</v>
      </c>
      <c r="V373" s="12">
        <f t="shared" si="110"/>
        <v>0</v>
      </c>
      <c r="W373" t="str">
        <f>'H237 Tracker'!I373</f>
        <v>HOLD</v>
      </c>
      <c r="X373">
        <f>'H237 Tracker'!J373</f>
        <v>0</v>
      </c>
      <c r="Y373" t="str">
        <f>'H237 Tracker'!K373</f>
        <v>HOLD</v>
      </c>
      <c r="Z373" s="12">
        <f>'H237 Tracker'!O373</f>
        <v>0</v>
      </c>
      <c r="AA373" s="13">
        <f>'H237 Tracker'!P373</f>
        <v>0</v>
      </c>
      <c r="AB373" s="13">
        <f>'H237 Tracker'!Q373</f>
        <v>0</v>
      </c>
      <c r="AC373" s="13">
        <f t="shared" si="111"/>
        <v>0</v>
      </c>
      <c r="AD373" s="13">
        <f t="shared" si="112"/>
        <v>5319210859809.1191</v>
      </c>
      <c r="AE373" s="13">
        <f t="shared" si="113"/>
        <v>5319210859809.1191</v>
      </c>
      <c r="AF373" s="13">
        <f t="shared" si="119"/>
        <v>5319210859809.1191</v>
      </c>
      <c r="AG373" s="24">
        <f t="shared" si="114"/>
        <v>0</v>
      </c>
      <c r="AH373" s="8">
        <f>--(COUNTIF('Tax Events'!$A$4:$A$8,A373)&gt;0)</f>
        <v>0</v>
      </c>
      <c r="AI373" s="8">
        <f>--(COUNTIF('Tax Events'!$B$4:$B$9,A373)&gt;0)</f>
        <v>0</v>
      </c>
    </row>
    <row r="374" spans="1:35">
      <c r="A374" s="4">
        <f>'H237 Tracker'!A374</f>
        <v>45796</v>
      </c>
      <c r="B374" s="13">
        <f t="shared" si="115"/>
        <v>0</v>
      </c>
      <c r="C374" s="13">
        <f t="shared" si="116"/>
        <v>5319210859809.1191</v>
      </c>
      <c r="D374" s="13">
        <f t="shared" si="100"/>
        <v>0</v>
      </c>
      <c r="E374" s="13">
        <f t="shared" si="101"/>
        <v>5319210859809.1191</v>
      </c>
      <c r="F374" s="13">
        <f>IF(AH374=1,MAX(R373,0)*Parameters!$B$11,0)</f>
        <v>0</v>
      </c>
      <c r="G374" s="13">
        <f>IF(AI374=1,MAX(S373,0)*Parameters!$B$11,0)</f>
        <v>0</v>
      </c>
      <c r="H374" s="13">
        <f t="shared" si="102"/>
        <v>0</v>
      </c>
      <c r="I374" s="13">
        <f t="shared" si="103"/>
        <v>5319210859809.1191</v>
      </c>
      <c r="J374" s="13">
        <f t="shared" si="104"/>
        <v>0</v>
      </c>
      <c r="K374" s="13">
        <f t="shared" si="105"/>
        <v>0</v>
      </c>
      <c r="L374" s="13">
        <f t="shared" si="106"/>
        <v>0</v>
      </c>
      <c r="M374" s="13">
        <f t="shared" si="107"/>
        <v>5319210859809.1191</v>
      </c>
      <c r="N374" s="13">
        <f>MAX(0,INT(L374*Parameters!$B$14/Parameters!$B$13/Parameters!$B$12)*Parameters!$B$12)</f>
        <v>0</v>
      </c>
      <c r="O374" s="13">
        <f>MAX(0,INT(M374*Parameters!$B$14/Parameters!$B$13/Parameters!$B$12)*Parameters!$B$12)</f>
        <v>3546140573160</v>
      </c>
      <c r="P374" s="13">
        <f>N374*Parameters!$B$13*'H237 Tracker'!B374</f>
        <v>0</v>
      </c>
      <c r="Q374" s="13">
        <f>O374*Parameters!$B$13*'H237 Tracker'!C374</f>
        <v>1009231607121.3359</v>
      </c>
      <c r="R374" s="13">
        <f t="shared" si="117"/>
        <v>0</v>
      </c>
      <c r="S374" s="13">
        <f t="shared" si="118"/>
        <v>5882783875163.9961</v>
      </c>
      <c r="T374" s="13">
        <f t="shared" si="108"/>
        <v>0</v>
      </c>
      <c r="U374" s="13">
        <f t="shared" si="109"/>
        <v>6328442466930.4551</v>
      </c>
      <c r="V374" s="12">
        <f t="shared" si="110"/>
        <v>0</v>
      </c>
      <c r="W374" t="str">
        <f>'H237 Tracker'!I374</f>
        <v>HOLD</v>
      </c>
      <c r="X374">
        <f>'H237 Tracker'!J374</f>
        <v>0</v>
      </c>
      <c r="Y374" t="str">
        <f>'H237 Tracker'!K374</f>
        <v>HOLD</v>
      </c>
      <c r="Z374" s="12">
        <f>'H237 Tracker'!O374</f>
        <v>0</v>
      </c>
      <c r="AA374" s="13">
        <f>'H237 Tracker'!P374</f>
        <v>0</v>
      </c>
      <c r="AB374" s="13">
        <f>'H237 Tracker'!Q374</f>
        <v>0</v>
      </c>
      <c r="AC374" s="13">
        <f t="shared" si="111"/>
        <v>0</v>
      </c>
      <c r="AD374" s="13">
        <f t="shared" si="112"/>
        <v>6328442466930.4551</v>
      </c>
      <c r="AE374" s="13">
        <f t="shared" si="113"/>
        <v>6328442466930.4551</v>
      </c>
      <c r="AF374" s="13">
        <f t="shared" si="119"/>
        <v>6328442466930.4551</v>
      </c>
      <c r="AG374" s="24">
        <f t="shared" si="114"/>
        <v>0</v>
      </c>
      <c r="AH374" s="8">
        <f>--(COUNTIF('Tax Events'!$A$4:$A$8,A374)&gt;0)</f>
        <v>0</v>
      </c>
      <c r="AI374" s="8">
        <f>--(COUNTIF('Tax Events'!$B$4:$B$9,A374)&gt;0)</f>
        <v>0</v>
      </c>
    </row>
    <row r="375" spans="1:35">
      <c r="A375" s="4">
        <f>'H237 Tracker'!A375</f>
        <v>45803</v>
      </c>
      <c r="B375" s="13">
        <f t="shared" si="115"/>
        <v>0</v>
      </c>
      <c r="C375" s="13">
        <f t="shared" si="116"/>
        <v>6328442466930.4551</v>
      </c>
      <c r="D375" s="13">
        <f t="shared" si="100"/>
        <v>0</v>
      </c>
      <c r="E375" s="13">
        <f t="shared" si="101"/>
        <v>6328442466930.4551</v>
      </c>
      <c r="F375" s="13">
        <f>IF(AH375=1,MAX(R374,0)*Parameters!$B$11,0)</f>
        <v>0</v>
      </c>
      <c r="G375" s="13">
        <f>IF(AI375=1,MAX(S374,0)*Parameters!$B$11,0)</f>
        <v>0</v>
      </c>
      <c r="H375" s="13">
        <f t="shared" si="102"/>
        <v>0</v>
      </c>
      <c r="I375" s="13">
        <f t="shared" si="103"/>
        <v>6328442466930.4551</v>
      </c>
      <c r="J375" s="13">
        <f t="shared" si="104"/>
        <v>0</v>
      </c>
      <c r="K375" s="13">
        <f t="shared" si="105"/>
        <v>0</v>
      </c>
      <c r="L375" s="13">
        <f t="shared" si="106"/>
        <v>0</v>
      </c>
      <c r="M375" s="13">
        <f t="shared" si="107"/>
        <v>6328442466930.4551</v>
      </c>
      <c r="N375" s="13">
        <f>MAX(0,INT(L375*Parameters!$B$14/Parameters!$B$13/Parameters!$B$12)*Parameters!$B$12)</f>
        <v>0</v>
      </c>
      <c r="O375" s="13">
        <f>MAX(0,INT(M375*Parameters!$B$14/Parameters!$B$13/Parameters!$B$12)*Parameters!$B$12)</f>
        <v>4218961644540</v>
      </c>
      <c r="P375" s="13">
        <f>N375*Parameters!$B$13*'H237 Tracker'!B375</f>
        <v>0</v>
      </c>
      <c r="Q375" s="13">
        <f>O375*Parameters!$B$13*'H237 Tracker'!C375</f>
        <v>758569303688.29199</v>
      </c>
      <c r="R375" s="13">
        <f t="shared" si="117"/>
        <v>0</v>
      </c>
      <c r="S375" s="13">
        <f t="shared" si="118"/>
        <v>6641353178852.2881</v>
      </c>
      <c r="T375" s="13">
        <f t="shared" si="108"/>
        <v>0</v>
      </c>
      <c r="U375" s="13">
        <f t="shared" si="109"/>
        <v>7087011770618.7471</v>
      </c>
      <c r="V375" s="12">
        <f t="shared" si="110"/>
        <v>0</v>
      </c>
      <c r="W375" t="str">
        <f>'H237 Tracker'!I375</f>
        <v>HOLD</v>
      </c>
      <c r="X375">
        <f>'H237 Tracker'!J375</f>
        <v>0</v>
      </c>
      <c r="Y375" t="str">
        <f>'H237 Tracker'!K375</f>
        <v>HOLD</v>
      </c>
      <c r="Z375" s="12">
        <f>'H237 Tracker'!O375</f>
        <v>0</v>
      </c>
      <c r="AA375" s="13">
        <f>'H237 Tracker'!P375</f>
        <v>0</v>
      </c>
      <c r="AB375" s="13">
        <f>'H237 Tracker'!Q375</f>
        <v>0</v>
      </c>
      <c r="AC375" s="13">
        <f t="shared" si="111"/>
        <v>0</v>
      </c>
      <c r="AD375" s="13">
        <f t="shared" si="112"/>
        <v>7087011770618.7471</v>
      </c>
      <c r="AE375" s="13">
        <f t="shared" si="113"/>
        <v>7087011770618.7471</v>
      </c>
      <c r="AF375" s="13">
        <f t="shared" si="119"/>
        <v>7087011770618.7471</v>
      </c>
      <c r="AG375" s="24">
        <f t="shared" si="114"/>
        <v>0</v>
      </c>
      <c r="AH375" s="8">
        <f>--(COUNTIF('Tax Events'!$A$4:$A$8,A375)&gt;0)</f>
        <v>0</v>
      </c>
      <c r="AI375" s="8">
        <f>--(COUNTIF('Tax Events'!$B$4:$B$9,A375)&gt;0)</f>
        <v>0</v>
      </c>
    </row>
    <row r="376" spans="1:35">
      <c r="A376" s="4">
        <f>'H237 Tracker'!A376</f>
        <v>45810</v>
      </c>
      <c r="B376" s="13">
        <f t="shared" si="115"/>
        <v>0</v>
      </c>
      <c r="C376" s="13">
        <f t="shared" si="116"/>
        <v>7087011770618.7471</v>
      </c>
      <c r="D376" s="13">
        <f t="shared" si="100"/>
        <v>0</v>
      </c>
      <c r="E376" s="13">
        <f t="shared" si="101"/>
        <v>7087011770618.7471</v>
      </c>
      <c r="F376" s="13">
        <f>IF(AH376=1,MAX(R375,0)*Parameters!$B$11,0)</f>
        <v>0</v>
      </c>
      <c r="G376" s="13">
        <f>IF(AI376=1,MAX(S375,0)*Parameters!$B$11,0)</f>
        <v>0</v>
      </c>
      <c r="H376" s="13">
        <f t="shared" si="102"/>
        <v>0</v>
      </c>
      <c r="I376" s="13">
        <f t="shared" si="103"/>
        <v>7087011770618.7471</v>
      </c>
      <c r="J376" s="13">
        <f t="shared" si="104"/>
        <v>0</v>
      </c>
      <c r="K376" s="13">
        <f t="shared" si="105"/>
        <v>0</v>
      </c>
      <c r="L376" s="13">
        <f t="shared" si="106"/>
        <v>0</v>
      </c>
      <c r="M376" s="13">
        <f t="shared" si="107"/>
        <v>7087011770618.7471</v>
      </c>
      <c r="N376" s="13">
        <f>MAX(0,INT(L376*Parameters!$B$14/Parameters!$B$13/Parameters!$B$12)*Parameters!$B$12)</f>
        <v>0</v>
      </c>
      <c r="O376" s="13">
        <f>MAX(0,INT(M376*Parameters!$B$14/Parameters!$B$13/Parameters!$B$12)*Parameters!$B$12)</f>
        <v>4724674513690</v>
      </c>
      <c r="P376" s="13">
        <f>N376*Parameters!$B$13*'H237 Tracker'!B376</f>
        <v>0</v>
      </c>
      <c r="Q376" s="13">
        <f>O376*Parameters!$B$13*'H237 Tracker'!C376</f>
        <v>1098959291884.2939</v>
      </c>
      <c r="R376" s="13">
        <f t="shared" si="117"/>
        <v>0</v>
      </c>
      <c r="S376" s="13">
        <f t="shared" si="118"/>
        <v>7740312470736.582</v>
      </c>
      <c r="T376" s="13">
        <f t="shared" si="108"/>
        <v>0</v>
      </c>
      <c r="U376" s="13">
        <f t="shared" si="109"/>
        <v>8185971062503.041</v>
      </c>
      <c r="V376" s="12">
        <f t="shared" si="110"/>
        <v>0</v>
      </c>
      <c r="W376" t="str">
        <f>'H237 Tracker'!I376</f>
        <v>HOLD</v>
      </c>
      <c r="X376">
        <f>'H237 Tracker'!J376</f>
        <v>0</v>
      </c>
      <c r="Y376" t="str">
        <f>'H237 Tracker'!K376</f>
        <v>HOLD</v>
      </c>
      <c r="Z376" s="12">
        <f>'H237 Tracker'!O376</f>
        <v>0</v>
      </c>
      <c r="AA376" s="13">
        <f>'H237 Tracker'!P376</f>
        <v>0</v>
      </c>
      <c r="AB376" s="13">
        <f>'H237 Tracker'!Q376</f>
        <v>0</v>
      </c>
      <c r="AC376" s="13">
        <f t="shared" si="111"/>
        <v>0</v>
      </c>
      <c r="AD376" s="13">
        <f t="shared" si="112"/>
        <v>8185971062503.041</v>
      </c>
      <c r="AE376" s="13">
        <f t="shared" si="113"/>
        <v>8185971062503.041</v>
      </c>
      <c r="AF376" s="13">
        <f t="shared" si="119"/>
        <v>8185971062503.041</v>
      </c>
      <c r="AG376" s="24">
        <f t="shared" si="114"/>
        <v>0</v>
      </c>
      <c r="AH376" s="8">
        <f>--(COUNTIF('Tax Events'!$A$4:$A$8,A376)&gt;0)</f>
        <v>0</v>
      </c>
      <c r="AI376" s="8">
        <f>--(COUNTIF('Tax Events'!$B$4:$B$9,A376)&gt;0)</f>
        <v>0</v>
      </c>
    </row>
    <row r="377" spans="1:35">
      <c r="A377" s="4">
        <f>'H237 Tracker'!A377</f>
        <v>45817</v>
      </c>
      <c r="B377" s="13">
        <f t="shared" si="115"/>
        <v>0</v>
      </c>
      <c r="C377" s="13">
        <f t="shared" si="116"/>
        <v>8185971062503.041</v>
      </c>
      <c r="D377" s="13">
        <f t="shared" si="100"/>
        <v>0</v>
      </c>
      <c r="E377" s="13">
        <f t="shared" si="101"/>
        <v>8185971062503.041</v>
      </c>
      <c r="F377" s="13">
        <f>IF(AH377=1,MAX(R376,0)*Parameters!$B$11,0)</f>
        <v>0</v>
      </c>
      <c r="G377" s="13">
        <f>IF(AI377=1,MAX(S376,0)*Parameters!$B$11,0)</f>
        <v>0</v>
      </c>
      <c r="H377" s="13">
        <f t="shared" si="102"/>
        <v>0</v>
      </c>
      <c r="I377" s="13">
        <f t="shared" si="103"/>
        <v>8185971062503.041</v>
      </c>
      <c r="J377" s="13">
        <f t="shared" si="104"/>
        <v>0</v>
      </c>
      <c r="K377" s="13">
        <f t="shared" si="105"/>
        <v>0</v>
      </c>
      <c r="L377" s="13">
        <f t="shared" si="106"/>
        <v>0</v>
      </c>
      <c r="M377" s="13">
        <f t="shared" si="107"/>
        <v>8185971062503.041</v>
      </c>
      <c r="N377" s="13">
        <f>MAX(0,INT(L377*Parameters!$B$14/Parameters!$B$13/Parameters!$B$12)*Parameters!$B$12)</f>
        <v>0</v>
      </c>
      <c r="O377" s="13">
        <f>MAX(0,INT(M377*Parameters!$B$14/Parameters!$B$13/Parameters!$B$12)*Parameters!$B$12)</f>
        <v>5457314041650</v>
      </c>
      <c r="P377" s="13">
        <f>N377*Parameters!$B$13*'H237 Tracker'!B377</f>
        <v>0</v>
      </c>
      <c r="Q377" s="13">
        <f>O377*Parameters!$B$13*'H237 Tracker'!C377</f>
        <v>-527176536423.39001</v>
      </c>
      <c r="R377" s="13">
        <f t="shared" si="117"/>
        <v>0</v>
      </c>
      <c r="S377" s="13">
        <f t="shared" si="118"/>
        <v>7213135934313.1924</v>
      </c>
      <c r="T377" s="13">
        <f t="shared" si="108"/>
        <v>0</v>
      </c>
      <c r="U377" s="13">
        <f t="shared" si="109"/>
        <v>7658794526079.6514</v>
      </c>
      <c r="V377" s="12">
        <f t="shared" si="110"/>
        <v>0</v>
      </c>
      <c r="W377" t="str">
        <f>'H237 Tracker'!I377</f>
        <v>HOLD</v>
      </c>
      <c r="X377">
        <f>'H237 Tracker'!J377</f>
        <v>0</v>
      </c>
      <c r="Y377" t="str">
        <f>'H237 Tracker'!K377</f>
        <v>HOLD</v>
      </c>
      <c r="Z377" s="12">
        <f>'H237 Tracker'!O377</f>
        <v>0</v>
      </c>
      <c r="AA377" s="13">
        <f>'H237 Tracker'!P377</f>
        <v>0</v>
      </c>
      <c r="AB377" s="13">
        <f>'H237 Tracker'!Q377</f>
        <v>0</v>
      </c>
      <c r="AC377" s="13">
        <f t="shared" si="111"/>
        <v>0</v>
      </c>
      <c r="AD377" s="13">
        <f t="shared" si="112"/>
        <v>7658794526079.6514</v>
      </c>
      <c r="AE377" s="13">
        <f t="shared" si="113"/>
        <v>7658794526079.6514</v>
      </c>
      <c r="AF377" s="13">
        <f t="shared" si="119"/>
        <v>8185971062503.041</v>
      </c>
      <c r="AG377" s="24">
        <f t="shared" si="114"/>
        <v>-6.43999999997793E-2</v>
      </c>
      <c r="AH377" s="8">
        <f>--(COUNTIF('Tax Events'!$A$4:$A$8,A377)&gt;0)</f>
        <v>0</v>
      </c>
      <c r="AI377" s="8">
        <f>--(COUNTIF('Tax Events'!$B$4:$B$9,A377)&gt;0)</f>
        <v>0</v>
      </c>
    </row>
    <row r="378" spans="1:35">
      <c r="A378" s="4">
        <f>'H237 Tracker'!A378</f>
        <v>45824</v>
      </c>
      <c r="B378" s="13">
        <f t="shared" si="115"/>
        <v>0</v>
      </c>
      <c r="C378" s="13">
        <f t="shared" si="116"/>
        <v>7658794526079.6514</v>
      </c>
      <c r="D378" s="13">
        <f t="shared" si="100"/>
        <v>0</v>
      </c>
      <c r="E378" s="13">
        <f t="shared" si="101"/>
        <v>7658794526079.6514</v>
      </c>
      <c r="F378" s="13">
        <f>IF(AH378=1,MAX(R377,0)*Parameters!$B$11,0)</f>
        <v>0</v>
      </c>
      <c r="G378" s="13">
        <f>IF(AI378=1,MAX(S377,0)*Parameters!$B$11,0)</f>
        <v>0</v>
      </c>
      <c r="H378" s="13">
        <f t="shared" si="102"/>
        <v>0</v>
      </c>
      <c r="I378" s="13">
        <f t="shared" si="103"/>
        <v>7658794526079.6514</v>
      </c>
      <c r="J378" s="13">
        <f t="shared" si="104"/>
        <v>0</v>
      </c>
      <c r="K378" s="13">
        <f t="shared" si="105"/>
        <v>0</v>
      </c>
      <c r="L378" s="13">
        <f t="shared" si="106"/>
        <v>0</v>
      </c>
      <c r="M378" s="13">
        <f t="shared" si="107"/>
        <v>7658794526079.6514</v>
      </c>
      <c r="N378" s="13">
        <f>MAX(0,INT(L378*Parameters!$B$14/Parameters!$B$13/Parameters!$B$12)*Parameters!$B$12)</f>
        <v>0</v>
      </c>
      <c r="O378" s="13">
        <f>MAX(0,INT(M378*Parameters!$B$14/Parameters!$B$13/Parameters!$B$12)*Parameters!$B$12)</f>
        <v>5105863017290</v>
      </c>
      <c r="P378" s="13">
        <f>N378*Parameters!$B$13*'H237 Tracker'!B378</f>
        <v>0</v>
      </c>
      <c r="Q378" s="13">
        <f>O378*Parameters!$B$13*'H237 Tracker'!C378</f>
        <v>729117238869.01196</v>
      </c>
      <c r="R378" s="13">
        <f t="shared" si="117"/>
        <v>0</v>
      </c>
      <c r="S378" s="13">
        <f t="shared" si="118"/>
        <v>7942253173182.2041</v>
      </c>
      <c r="T378" s="13">
        <f t="shared" si="108"/>
        <v>0</v>
      </c>
      <c r="U378" s="13">
        <f t="shared" si="109"/>
        <v>8387911764948.6631</v>
      </c>
      <c r="V378" s="12">
        <f t="shared" si="110"/>
        <v>0</v>
      </c>
      <c r="W378" t="str">
        <f>'H237 Tracker'!I378</f>
        <v>HOLD</v>
      </c>
      <c r="X378">
        <f>'H237 Tracker'!J378</f>
        <v>0</v>
      </c>
      <c r="Y378" t="str">
        <f>'H237 Tracker'!K378</f>
        <v>HOLD</v>
      </c>
      <c r="Z378" s="12">
        <f>'H237 Tracker'!O378</f>
        <v>0</v>
      </c>
      <c r="AA378" s="13">
        <f>'H237 Tracker'!P378</f>
        <v>0</v>
      </c>
      <c r="AB378" s="13">
        <f>'H237 Tracker'!Q378</f>
        <v>0</v>
      </c>
      <c r="AC378" s="13">
        <f t="shared" si="111"/>
        <v>0</v>
      </c>
      <c r="AD378" s="13">
        <f t="shared" si="112"/>
        <v>8387911764948.6631</v>
      </c>
      <c r="AE378" s="13">
        <f t="shared" si="113"/>
        <v>8387911764948.6631</v>
      </c>
      <c r="AF378" s="13">
        <f t="shared" si="119"/>
        <v>8387911764948.6631</v>
      </c>
      <c r="AG378" s="24">
        <f t="shared" si="114"/>
        <v>0</v>
      </c>
      <c r="AH378" s="8">
        <f>--(COUNTIF('Tax Events'!$A$4:$A$8,A378)&gt;0)</f>
        <v>0</v>
      </c>
      <c r="AI378" s="8">
        <f>--(COUNTIF('Tax Events'!$B$4:$B$9,A378)&gt;0)</f>
        <v>0</v>
      </c>
    </row>
    <row r="379" spans="1:35">
      <c r="A379" s="4">
        <f>'H237 Tracker'!A379</f>
        <v>45831</v>
      </c>
      <c r="B379" s="13">
        <f t="shared" si="115"/>
        <v>0</v>
      </c>
      <c r="C379" s="13">
        <f t="shared" si="116"/>
        <v>8387911764948.6631</v>
      </c>
      <c r="D379" s="13">
        <f t="shared" si="100"/>
        <v>0</v>
      </c>
      <c r="E379" s="13">
        <f t="shared" si="101"/>
        <v>8387911764948.6631</v>
      </c>
      <c r="F379" s="13">
        <f>IF(AH379=1,MAX(R378,0)*Parameters!$B$11,0)</f>
        <v>0</v>
      </c>
      <c r="G379" s="13">
        <f>IF(AI379=1,MAX(S378,0)*Parameters!$B$11,0)</f>
        <v>0</v>
      </c>
      <c r="H379" s="13">
        <f t="shared" si="102"/>
        <v>0</v>
      </c>
      <c r="I379" s="13">
        <f t="shared" si="103"/>
        <v>8387911764948.6631</v>
      </c>
      <c r="J379" s="13">
        <f t="shared" si="104"/>
        <v>0</v>
      </c>
      <c r="K379" s="13">
        <f t="shared" si="105"/>
        <v>0</v>
      </c>
      <c r="L379" s="13">
        <f t="shared" si="106"/>
        <v>0</v>
      </c>
      <c r="M379" s="13">
        <f t="shared" si="107"/>
        <v>8387911764948.6631</v>
      </c>
      <c r="N379" s="13">
        <f>MAX(0,INT(L379*Parameters!$B$14/Parameters!$B$13/Parameters!$B$12)*Parameters!$B$12)</f>
        <v>0</v>
      </c>
      <c r="O379" s="13">
        <f>MAX(0,INT(M379*Parameters!$B$14/Parameters!$B$13/Parameters!$B$12)*Parameters!$B$12)</f>
        <v>5591941176520</v>
      </c>
      <c r="P379" s="13">
        <f>N379*Parameters!$B$13*'H237 Tracker'!B379</f>
        <v>0</v>
      </c>
      <c r="Q379" s="13">
        <f>O379*Parameters!$B$13*'H237 Tracker'!C379</f>
        <v>967405823537.95996</v>
      </c>
      <c r="R379" s="13">
        <f t="shared" si="117"/>
        <v>0</v>
      </c>
      <c r="S379" s="13">
        <f t="shared" si="118"/>
        <v>8909658996720.1641</v>
      </c>
      <c r="T379" s="13">
        <f t="shared" si="108"/>
        <v>0</v>
      </c>
      <c r="U379" s="13">
        <f t="shared" si="109"/>
        <v>9355317588486.623</v>
      </c>
      <c r="V379" s="12">
        <f t="shared" si="110"/>
        <v>0</v>
      </c>
      <c r="W379" t="str">
        <f>'H237 Tracker'!I379</f>
        <v>HOLD</v>
      </c>
      <c r="X379">
        <f>'H237 Tracker'!J379</f>
        <v>0</v>
      </c>
      <c r="Y379" t="str">
        <f>'H237 Tracker'!K379</f>
        <v>HOLD</v>
      </c>
      <c r="Z379" s="12">
        <f>'H237 Tracker'!O379</f>
        <v>0</v>
      </c>
      <c r="AA379" s="13">
        <f>'H237 Tracker'!P379</f>
        <v>0</v>
      </c>
      <c r="AB379" s="13">
        <f>'H237 Tracker'!Q379</f>
        <v>0</v>
      </c>
      <c r="AC379" s="13">
        <f t="shared" si="111"/>
        <v>0</v>
      </c>
      <c r="AD379" s="13">
        <f t="shared" si="112"/>
        <v>9355317588486.623</v>
      </c>
      <c r="AE379" s="13">
        <f t="shared" si="113"/>
        <v>9355317588486.623</v>
      </c>
      <c r="AF379" s="13">
        <f t="shared" si="119"/>
        <v>9355317588486.623</v>
      </c>
      <c r="AG379" s="24">
        <f t="shared" si="114"/>
        <v>0</v>
      </c>
      <c r="AH379" s="8">
        <f>--(COUNTIF('Tax Events'!$A$4:$A$8,A379)&gt;0)</f>
        <v>0</v>
      </c>
      <c r="AI379" s="8">
        <f>--(COUNTIF('Tax Events'!$B$4:$B$9,A379)&gt;0)</f>
        <v>0</v>
      </c>
    </row>
    <row r="380" spans="1:35">
      <c r="A380" s="4">
        <f>'H237 Tracker'!A380</f>
        <v>45838</v>
      </c>
      <c r="B380" s="13">
        <f t="shared" si="115"/>
        <v>0</v>
      </c>
      <c r="C380" s="13">
        <f t="shared" si="116"/>
        <v>9355317588486.623</v>
      </c>
      <c r="D380" s="13">
        <f t="shared" si="100"/>
        <v>0</v>
      </c>
      <c r="E380" s="13">
        <f t="shared" si="101"/>
        <v>9355317588486.623</v>
      </c>
      <c r="F380" s="13">
        <f>IF(AH380=1,MAX(R379,0)*Parameters!$B$11,0)</f>
        <v>0</v>
      </c>
      <c r="G380" s="13">
        <f>IF(AI380=1,MAX(S379,0)*Parameters!$B$11,0)</f>
        <v>0</v>
      </c>
      <c r="H380" s="13">
        <f t="shared" si="102"/>
        <v>0</v>
      </c>
      <c r="I380" s="13">
        <f t="shared" si="103"/>
        <v>9355317588486.623</v>
      </c>
      <c r="J380" s="13">
        <f t="shared" si="104"/>
        <v>0</v>
      </c>
      <c r="K380" s="13">
        <f t="shared" si="105"/>
        <v>0</v>
      </c>
      <c r="L380" s="13">
        <f t="shared" si="106"/>
        <v>0</v>
      </c>
      <c r="M380" s="13">
        <f t="shared" si="107"/>
        <v>9355317588486.623</v>
      </c>
      <c r="N380" s="13">
        <f>MAX(0,INT(L380*Parameters!$B$14/Parameters!$B$13/Parameters!$B$12)*Parameters!$B$12)</f>
        <v>0</v>
      </c>
      <c r="O380" s="13">
        <f>MAX(0,INT(M380*Parameters!$B$14/Parameters!$B$13/Parameters!$B$12)*Parameters!$B$12)</f>
        <v>6236878392250</v>
      </c>
      <c r="P380" s="13">
        <f>N380*Parameters!$B$13*'H237 Tracker'!B380</f>
        <v>0</v>
      </c>
      <c r="Q380" s="13">
        <f>O380*Parameters!$B$13*'H237 Tracker'!C380</f>
        <v>-485229138917.04999</v>
      </c>
      <c r="R380" s="13">
        <f t="shared" si="117"/>
        <v>0</v>
      </c>
      <c r="S380" s="13">
        <f t="shared" si="118"/>
        <v>8424429857803.1143</v>
      </c>
      <c r="T380" s="13">
        <f t="shared" si="108"/>
        <v>0</v>
      </c>
      <c r="U380" s="13">
        <f t="shared" si="109"/>
        <v>8870088449569.5723</v>
      </c>
      <c r="V380" s="12">
        <f t="shared" si="110"/>
        <v>0</v>
      </c>
      <c r="W380" t="str">
        <f>'H237 Tracker'!I380</f>
        <v>HOLD</v>
      </c>
      <c r="X380">
        <f>'H237 Tracker'!J380</f>
        <v>0</v>
      </c>
      <c r="Y380" t="str">
        <f>'H237 Tracker'!K380</f>
        <v>HOLD</v>
      </c>
      <c r="Z380" s="12">
        <f>'H237 Tracker'!O380</f>
        <v>0</v>
      </c>
      <c r="AA380" s="13">
        <f>'H237 Tracker'!P380</f>
        <v>0</v>
      </c>
      <c r="AB380" s="13">
        <f>'H237 Tracker'!Q380</f>
        <v>0</v>
      </c>
      <c r="AC380" s="13">
        <f t="shared" si="111"/>
        <v>0</v>
      </c>
      <c r="AD380" s="13">
        <f t="shared" si="112"/>
        <v>8870088449569.5723</v>
      </c>
      <c r="AE380" s="13">
        <f t="shared" si="113"/>
        <v>8870088449569.5723</v>
      </c>
      <c r="AF380" s="13">
        <f t="shared" si="119"/>
        <v>9355317588486.623</v>
      </c>
      <c r="AG380" s="24">
        <f t="shared" si="114"/>
        <v>-5.1866666666047889E-2</v>
      </c>
      <c r="AH380" s="8">
        <f>--(COUNTIF('Tax Events'!$A$4:$A$8,A380)&gt;0)</f>
        <v>0</v>
      </c>
      <c r="AI380" s="8">
        <f>--(COUNTIF('Tax Events'!$B$4:$B$9,A380)&gt;0)</f>
        <v>0</v>
      </c>
    </row>
    <row r="381" spans="1:35">
      <c r="A381" s="4">
        <f>'H237 Tracker'!A381</f>
        <v>45845</v>
      </c>
      <c r="B381" s="13">
        <f t="shared" si="115"/>
        <v>0</v>
      </c>
      <c r="C381" s="13">
        <f t="shared" si="116"/>
        <v>8870088449569.5723</v>
      </c>
      <c r="D381" s="13">
        <f t="shared" si="100"/>
        <v>0</v>
      </c>
      <c r="E381" s="13">
        <f t="shared" si="101"/>
        <v>8870088449569.5723</v>
      </c>
      <c r="F381" s="13">
        <f>IF(AH381=1,MAX(R380,0)*Parameters!$B$11,0)</f>
        <v>0</v>
      </c>
      <c r="G381" s="13">
        <f>IF(AI381=1,MAX(S380,0)*Parameters!$B$11,0)</f>
        <v>0</v>
      </c>
      <c r="H381" s="13">
        <f t="shared" si="102"/>
        <v>0</v>
      </c>
      <c r="I381" s="13">
        <f t="shared" si="103"/>
        <v>8870088449569.5723</v>
      </c>
      <c r="J381" s="13">
        <f t="shared" si="104"/>
        <v>0</v>
      </c>
      <c r="K381" s="13">
        <f t="shared" si="105"/>
        <v>0</v>
      </c>
      <c r="L381" s="13">
        <f t="shared" si="106"/>
        <v>0</v>
      </c>
      <c r="M381" s="13">
        <f t="shared" si="107"/>
        <v>8870088449569.5723</v>
      </c>
      <c r="N381" s="13">
        <f>MAX(0,INT(L381*Parameters!$B$14/Parameters!$B$13/Parameters!$B$12)*Parameters!$B$12)</f>
        <v>0</v>
      </c>
      <c r="O381" s="13">
        <f>MAX(0,INT(M381*Parameters!$B$14/Parameters!$B$13/Parameters!$B$12)*Parameters!$B$12)</f>
        <v>5913392299690</v>
      </c>
      <c r="P381" s="13">
        <f>N381*Parameters!$B$13*'H237 Tracker'!B381</f>
        <v>0</v>
      </c>
      <c r="Q381" s="13">
        <f>O381*Parameters!$B$13*'H237 Tracker'!C381</f>
        <v>102893026014.606</v>
      </c>
      <c r="R381" s="13">
        <f t="shared" si="117"/>
        <v>0</v>
      </c>
      <c r="S381" s="13">
        <f t="shared" si="118"/>
        <v>8527322883817.7207</v>
      </c>
      <c r="T381" s="13">
        <f t="shared" si="108"/>
        <v>0</v>
      </c>
      <c r="U381" s="13">
        <f t="shared" si="109"/>
        <v>8972981475584.1777</v>
      </c>
      <c r="V381" s="12">
        <f t="shared" si="110"/>
        <v>0</v>
      </c>
      <c r="W381" t="str">
        <f>'H237 Tracker'!I381</f>
        <v>HOLD</v>
      </c>
      <c r="X381">
        <f>'H237 Tracker'!J381</f>
        <v>0</v>
      </c>
      <c r="Y381" t="str">
        <f>'H237 Tracker'!K381</f>
        <v>HOLD</v>
      </c>
      <c r="Z381" s="12">
        <f>'H237 Tracker'!O381</f>
        <v>0</v>
      </c>
      <c r="AA381" s="13">
        <f>'H237 Tracker'!P381</f>
        <v>0</v>
      </c>
      <c r="AB381" s="13">
        <f>'H237 Tracker'!Q381</f>
        <v>0</v>
      </c>
      <c r="AC381" s="13">
        <f t="shared" si="111"/>
        <v>0</v>
      </c>
      <c r="AD381" s="13">
        <f t="shared" si="112"/>
        <v>8972981475584.1777</v>
      </c>
      <c r="AE381" s="13">
        <f t="shared" si="113"/>
        <v>8972981475584.1777</v>
      </c>
      <c r="AF381" s="13">
        <f t="shared" si="119"/>
        <v>9355317588486.623</v>
      </c>
      <c r="AG381" s="24">
        <f t="shared" si="114"/>
        <v>-4.086831999941698E-2</v>
      </c>
      <c r="AH381" s="8">
        <f>--(COUNTIF('Tax Events'!$A$4:$A$8,A381)&gt;0)</f>
        <v>0</v>
      </c>
      <c r="AI381" s="8">
        <f>--(COUNTIF('Tax Events'!$B$4:$B$9,A381)&gt;0)</f>
        <v>0</v>
      </c>
    </row>
    <row r="382" spans="1:35">
      <c r="A382" s="4">
        <f>'H237 Tracker'!A382</f>
        <v>45852</v>
      </c>
      <c r="B382" s="13">
        <f t="shared" si="115"/>
        <v>0</v>
      </c>
      <c r="C382" s="13">
        <f t="shared" si="116"/>
        <v>8972981475584.1777</v>
      </c>
      <c r="D382" s="13">
        <f t="shared" si="100"/>
        <v>0</v>
      </c>
      <c r="E382" s="13">
        <f t="shared" si="101"/>
        <v>8972981475584.1777</v>
      </c>
      <c r="F382" s="13">
        <f>IF(AH382=1,MAX(R381,0)*Parameters!$B$11,0)</f>
        <v>0</v>
      </c>
      <c r="G382" s="13">
        <f>IF(AI382=1,MAX(S381,0)*Parameters!$B$11,0)</f>
        <v>0</v>
      </c>
      <c r="H382" s="13">
        <f t="shared" si="102"/>
        <v>0</v>
      </c>
      <c r="I382" s="13">
        <f t="shared" si="103"/>
        <v>8972981475584.1777</v>
      </c>
      <c r="J382" s="13">
        <f t="shared" si="104"/>
        <v>0</v>
      </c>
      <c r="K382" s="13">
        <f t="shared" si="105"/>
        <v>0</v>
      </c>
      <c r="L382" s="13">
        <f t="shared" si="106"/>
        <v>0</v>
      </c>
      <c r="M382" s="13">
        <f t="shared" si="107"/>
        <v>8972981475584.1777</v>
      </c>
      <c r="N382" s="13">
        <f>MAX(0,INT(L382*Parameters!$B$14/Parameters!$B$13/Parameters!$B$12)*Parameters!$B$12)</f>
        <v>0</v>
      </c>
      <c r="O382" s="13">
        <f>MAX(0,INT(M382*Parameters!$B$14/Parameters!$B$13/Parameters!$B$12)*Parameters!$B$12)</f>
        <v>5981987650340</v>
      </c>
      <c r="P382" s="13">
        <f>N382*Parameters!$B$13*'H237 Tracker'!B382</f>
        <v>0</v>
      </c>
      <c r="Q382" s="13">
        <f>O382*Parameters!$B$13*'H237 Tracker'!C382</f>
        <v>1581637534749.896</v>
      </c>
      <c r="R382" s="13">
        <f t="shared" si="117"/>
        <v>0</v>
      </c>
      <c r="S382" s="13">
        <f t="shared" si="118"/>
        <v>10108960418567.617</v>
      </c>
      <c r="T382" s="13">
        <f t="shared" si="108"/>
        <v>0</v>
      </c>
      <c r="U382" s="13">
        <f t="shared" si="109"/>
        <v>10554619010334.074</v>
      </c>
      <c r="V382" s="12">
        <f t="shared" si="110"/>
        <v>0</v>
      </c>
      <c r="W382" t="str">
        <f>'H237 Tracker'!I382</f>
        <v>HOLD</v>
      </c>
      <c r="X382">
        <f>'H237 Tracker'!J382</f>
        <v>0</v>
      </c>
      <c r="Y382" t="str">
        <f>'H237 Tracker'!K382</f>
        <v>HOLD</v>
      </c>
      <c r="Z382" s="12">
        <f>'H237 Tracker'!O382</f>
        <v>0</v>
      </c>
      <c r="AA382" s="13">
        <f>'H237 Tracker'!P382</f>
        <v>0</v>
      </c>
      <c r="AB382" s="13">
        <f>'H237 Tracker'!Q382</f>
        <v>0</v>
      </c>
      <c r="AC382" s="13">
        <f t="shared" si="111"/>
        <v>0</v>
      </c>
      <c r="AD382" s="13">
        <f t="shared" si="112"/>
        <v>10554619010334.074</v>
      </c>
      <c r="AE382" s="13">
        <f t="shared" si="113"/>
        <v>10554619010334.074</v>
      </c>
      <c r="AF382" s="13">
        <f t="shared" si="119"/>
        <v>10554619010334.074</v>
      </c>
      <c r="AG382" s="24">
        <f t="shared" si="114"/>
        <v>0</v>
      </c>
      <c r="AH382" s="8">
        <f>--(COUNTIF('Tax Events'!$A$4:$A$8,A382)&gt;0)</f>
        <v>0</v>
      </c>
      <c r="AI382" s="8">
        <f>--(COUNTIF('Tax Events'!$B$4:$B$9,A382)&gt;0)</f>
        <v>0</v>
      </c>
    </row>
    <row r="383" spans="1:35">
      <c r="A383" s="4">
        <f>'H237 Tracker'!A383</f>
        <v>45859</v>
      </c>
      <c r="B383" s="13">
        <f t="shared" si="115"/>
        <v>0</v>
      </c>
      <c r="C383" s="13">
        <f t="shared" si="116"/>
        <v>10554619010334.074</v>
      </c>
      <c r="D383" s="13">
        <f t="shared" si="100"/>
        <v>0</v>
      </c>
      <c r="E383" s="13">
        <f t="shared" si="101"/>
        <v>10554619010334.074</v>
      </c>
      <c r="F383" s="13">
        <f>IF(AH383=1,MAX(R382,0)*Parameters!$B$11,0)</f>
        <v>0</v>
      </c>
      <c r="G383" s="13">
        <f>IF(AI383=1,MAX(S382,0)*Parameters!$B$11,0)</f>
        <v>0</v>
      </c>
      <c r="H383" s="13">
        <f t="shared" si="102"/>
        <v>0</v>
      </c>
      <c r="I383" s="13">
        <f t="shared" si="103"/>
        <v>10554619010334.074</v>
      </c>
      <c r="J383" s="13">
        <f t="shared" si="104"/>
        <v>0</v>
      </c>
      <c r="K383" s="13">
        <f t="shared" si="105"/>
        <v>0</v>
      </c>
      <c r="L383" s="13">
        <f t="shared" si="106"/>
        <v>0</v>
      </c>
      <c r="M383" s="13">
        <f t="shared" si="107"/>
        <v>10554619010334.074</v>
      </c>
      <c r="N383" s="13">
        <f>MAX(0,INT(L383*Parameters!$B$14/Parameters!$B$13/Parameters!$B$12)*Parameters!$B$12)</f>
        <v>0</v>
      </c>
      <c r="O383" s="13">
        <f>MAX(0,INT(M383*Parameters!$B$14/Parameters!$B$13/Parameters!$B$12)*Parameters!$B$12)</f>
        <v>7036412673515</v>
      </c>
      <c r="P383" s="13">
        <f>N383*Parameters!$B$13*'H237 Tracker'!B383</f>
        <v>0</v>
      </c>
      <c r="Q383" s="13">
        <f>O383*Parameters!$B$13*'H237 Tracker'!C383</f>
        <v>1075163856513.092</v>
      </c>
      <c r="R383" s="13">
        <f t="shared" si="117"/>
        <v>0</v>
      </c>
      <c r="S383" s="13">
        <f t="shared" si="118"/>
        <v>11184124275080.709</v>
      </c>
      <c r="T383" s="13">
        <f t="shared" si="108"/>
        <v>0</v>
      </c>
      <c r="U383" s="13">
        <f t="shared" si="109"/>
        <v>11629782866847.166</v>
      </c>
      <c r="V383" s="12">
        <f t="shared" si="110"/>
        <v>0</v>
      </c>
      <c r="W383" t="str">
        <f>'H237 Tracker'!I383</f>
        <v>HOLD</v>
      </c>
      <c r="X383">
        <f>'H237 Tracker'!J383</f>
        <v>0</v>
      </c>
      <c r="Y383" t="str">
        <f>'H237 Tracker'!K383</f>
        <v>HOLD</v>
      </c>
      <c r="Z383" s="12">
        <f>'H237 Tracker'!O383</f>
        <v>0</v>
      </c>
      <c r="AA383" s="13">
        <f>'H237 Tracker'!P383</f>
        <v>0</v>
      </c>
      <c r="AB383" s="13">
        <f>'H237 Tracker'!Q383</f>
        <v>0</v>
      </c>
      <c r="AC383" s="13">
        <f t="shared" si="111"/>
        <v>0</v>
      </c>
      <c r="AD383" s="13">
        <f t="shared" si="112"/>
        <v>11629782866847.166</v>
      </c>
      <c r="AE383" s="13">
        <f t="shared" si="113"/>
        <v>11629782866847.166</v>
      </c>
      <c r="AF383" s="13">
        <f t="shared" si="119"/>
        <v>11629782866847.166</v>
      </c>
      <c r="AG383" s="24">
        <f t="shared" si="114"/>
        <v>0</v>
      </c>
      <c r="AH383" s="8">
        <f>--(COUNTIF('Tax Events'!$A$4:$A$8,A383)&gt;0)</f>
        <v>0</v>
      </c>
      <c r="AI383" s="8">
        <f>--(COUNTIF('Tax Events'!$B$4:$B$9,A383)&gt;0)</f>
        <v>0</v>
      </c>
    </row>
    <row r="384" spans="1:35">
      <c r="A384" s="4">
        <f>'H237 Tracker'!A384</f>
        <v>45866</v>
      </c>
      <c r="B384" s="13">
        <f t="shared" si="115"/>
        <v>0</v>
      </c>
      <c r="C384" s="13">
        <f t="shared" si="116"/>
        <v>11629782866847.166</v>
      </c>
      <c r="D384" s="13">
        <f t="shared" si="100"/>
        <v>0</v>
      </c>
      <c r="E384" s="13">
        <f t="shared" si="101"/>
        <v>11629782866847.166</v>
      </c>
      <c r="F384" s="13">
        <f>IF(AH384=1,MAX(R383,0)*Parameters!$B$11,0)</f>
        <v>0</v>
      </c>
      <c r="G384" s="13">
        <f>IF(AI384=1,MAX(S383,0)*Parameters!$B$11,0)</f>
        <v>0</v>
      </c>
      <c r="H384" s="13">
        <f t="shared" si="102"/>
        <v>0</v>
      </c>
      <c r="I384" s="13">
        <f t="shared" si="103"/>
        <v>11629782866847.166</v>
      </c>
      <c r="J384" s="13">
        <f t="shared" si="104"/>
        <v>0</v>
      </c>
      <c r="K384" s="13">
        <f t="shared" si="105"/>
        <v>0</v>
      </c>
      <c r="L384" s="13">
        <f t="shared" si="106"/>
        <v>0</v>
      </c>
      <c r="M384" s="13">
        <f t="shared" si="107"/>
        <v>11629782866847.166</v>
      </c>
      <c r="N384" s="13">
        <f>MAX(0,INT(L384*Parameters!$B$14/Parameters!$B$13/Parameters!$B$12)*Parameters!$B$12)</f>
        <v>0</v>
      </c>
      <c r="O384" s="13">
        <f>MAX(0,INT(M384*Parameters!$B$14/Parameters!$B$13/Parameters!$B$12)*Parameters!$B$12)</f>
        <v>7753188577880</v>
      </c>
      <c r="P384" s="13">
        <f>N384*Parameters!$B$13*'H237 Tracker'!B384</f>
        <v>0</v>
      </c>
      <c r="Q384" s="13">
        <f>O384*Parameters!$B$13*'H237 Tracker'!C384</f>
        <v>-620255086230.40002</v>
      </c>
      <c r="R384" s="13">
        <f t="shared" si="117"/>
        <v>0</v>
      </c>
      <c r="S384" s="13">
        <f t="shared" si="118"/>
        <v>10563869188850.309</v>
      </c>
      <c r="T384" s="13">
        <f t="shared" si="108"/>
        <v>0</v>
      </c>
      <c r="U384" s="13">
        <f t="shared" si="109"/>
        <v>11009527780616.766</v>
      </c>
      <c r="V384" s="12">
        <f t="shared" si="110"/>
        <v>0</v>
      </c>
      <c r="W384" t="str">
        <f>'H237 Tracker'!I384</f>
        <v>HOLD</v>
      </c>
      <c r="X384">
        <f>'H237 Tracker'!J384</f>
        <v>0</v>
      </c>
      <c r="Y384" t="str">
        <f>'H237 Tracker'!K384</f>
        <v>HOLD</v>
      </c>
      <c r="Z384" s="12">
        <f>'H237 Tracker'!O384</f>
        <v>0</v>
      </c>
      <c r="AA384" s="13">
        <f>'H237 Tracker'!P384</f>
        <v>0</v>
      </c>
      <c r="AB384" s="13">
        <f>'H237 Tracker'!Q384</f>
        <v>0</v>
      </c>
      <c r="AC384" s="13">
        <f t="shared" si="111"/>
        <v>0</v>
      </c>
      <c r="AD384" s="13">
        <f t="shared" si="112"/>
        <v>11009527780616.766</v>
      </c>
      <c r="AE384" s="13">
        <f t="shared" si="113"/>
        <v>11009527780616.766</v>
      </c>
      <c r="AF384" s="13">
        <f t="shared" si="119"/>
        <v>11629782866847.166</v>
      </c>
      <c r="AG384" s="24">
        <f t="shared" si="114"/>
        <v>-5.3333333333208777E-2</v>
      </c>
      <c r="AH384" s="8">
        <f>--(COUNTIF('Tax Events'!$A$4:$A$8,A384)&gt;0)</f>
        <v>0</v>
      </c>
      <c r="AI384" s="8">
        <f>--(COUNTIF('Tax Events'!$B$4:$B$9,A384)&gt;0)</f>
        <v>0</v>
      </c>
    </row>
    <row r="385" spans="1:35">
      <c r="A385" s="4">
        <f>'H237 Tracker'!A385</f>
        <v>45873</v>
      </c>
      <c r="B385" s="13">
        <f t="shared" si="115"/>
        <v>0</v>
      </c>
      <c r="C385" s="13">
        <f t="shared" si="116"/>
        <v>11009527780616.766</v>
      </c>
      <c r="D385" s="13">
        <f t="shared" si="100"/>
        <v>0</v>
      </c>
      <c r="E385" s="13">
        <f t="shared" si="101"/>
        <v>11009527780616.766</v>
      </c>
      <c r="F385" s="13">
        <f>IF(AH385=1,MAX(R384,0)*Parameters!$B$11,0)</f>
        <v>0</v>
      </c>
      <c r="G385" s="13">
        <f>IF(AI385=1,MAX(S384,0)*Parameters!$B$11,0)</f>
        <v>0</v>
      </c>
      <c r="H385" s="13">
        <f t="shared" si="102"/>
        <v>0</v>
      </c>
      <c r="I385" s="13">
        <f t="shared" si="103"/>
        <v>11009527780616.766</v>
      </c>
      <c r="J385" s="13">
        <f t="shared" si="104"/>
        <v>0</v>
      </c>
      <c r="K385" s="13">
        <f t="shared" si="105"/>
        <v>0</v>
      </c>
      <c r="L385" s="13">
        <f t="shared" si="106"/>
        <v>0</v>
      </c>
      <c r="M385" s="13">
        <f t="shared" si="107"/>
        <v>11009527780616.766</v>
      </c>
      <c r="N385" s="13">
        <f>MAX(0,INT(L385*Parameters!$B$14/Parameters!$B$13/Parameters!$B$12)*Parameters!$B$12)</f>
        <v>0</v>
      </c>
      <c r="O385" s="13">
        <f>MAX(0,INT(M385*Parameters!$B$14/Parameters!$B$13/Parameters!$B$12)*Parameters!$B$12)</f>
        <v>7339685186980</v>
      </c>
      <c r="P385" s="13">
        <f>N385*Parameters!$B$13*'H237 Tracker'!B385</f>
        <v>0</v>
      </c>
      <c r="Q385" s="13">
        <f>O385*Parameters!$B$13*'H237 Tracker'!C385</f>
        <v>1288848718833.688</v>
      </c>
      <c r="R385" s="13">
        <f t="shared" si="117"/>
        <v>0</v>
      </c>
      <c r="S385" s="13">
        <f t="shared" si="118"/>
        <v>11852717907683.996</v>
      </c>
      <c r="T385" s="13">
        <f t="shared" si="108"/>
        <v>0</v>
      </c>
      <c r="U385" s="13">
        <f t="shared" si="109"/>
        <v>12298376499450.453</v>
      </c>
      <c r="V385" s="12">
        <f t="shared" si="110"/>
        <v>0</v>
      </c>
      <c r="W385" t="str">
        <f>'H237 Tracker'!I385</f>
        <v>HOLD</v>
      </c>
      <c r="X385">
        <f>'H237 Tracker'!J385</f>
        <v>0</v>
      </c>
      <c r="Y385" t="str">
        <f>'H237 Tracker'!K385</f>
        <v>HOLD</v>
      </c>
      <c r="Z385" s="12">
        <f>'H237 Tracker'!O385</f>
        <v>0</v>
      </c>
      <c r="AA385" s="13">
        <f>'H237 Tracker'!P385</f>
        <v>0</v>
      </c>
      <c r="AB385" s="13">
        <f>'H237 Tracker'!Q385</f>
        <v>0</v>
      </c>
      <c r="AC385" s="13">
        <f t="shared" si="111"/>
        <v>0</v>
      </c>
      <c r="AD385" s="13">
        <f t="shared" si="112"/>
        <v>12298376499450.453</v>
      </c>
      <c r="AE385" s="13">
        <f t="shared" si="113"/>
        <v>12298376499450.453</v>
      </c>
      <c r="AF385" s="13">
        <f t="shared" si="119"/>
        <v>12298376499450.453</v>
      </c>
      <c r="AG385" s="24">
        <f t="shared" si="114"/>
        <v>0</v>
      </c>
      <c r="AH385" s="8">
        <f>--(COUNTIF('Tax Events'!$A$4:$A$8,A385)&gt;0)</f>
        <v>0</v>
      </c>
      <c r="AI385" s="8">
        <f>--(COUNTIF('Tax Events'!$B$4:$B$9,A385)&gt;0)</f>
        <v>0</v>
      </c>
    </row>
    <row r="386" spans="1:35">
      <c r="A386" s="4">
        <f>'H237 Tracker'!A386</f>
        <v>45880</v>
      </c>
      <c r="B386" s="13">
        <f t="shared" si="115"/>
        <v>0</v>
      </c>
      <c r="C386" s="13">
        <f t="shared" si="116"/>
        <v>12298376499450.453</v>
      </c>
      <c r="D386" s="13">
        <f t="shared" si="100"/>
        <v>0</v>
      </c>
      <c r="E386" s="13">
        <f t="shared" si="101"/>
        <v>12298376499450.453</v>
      </c>
      <c r="F386" s="13">
        <f>IF(AH386=1,MAX(R385,0)*Parameters!$B$11,0)</f>
        <v>0</v>
      </c>
      <c r="G386" s="13">
        <f>IF(AI386=1,MAX(S385,0)*Parameters!$B$11,0)</f>
        <v>0</v>
      </c>
      <c r="H386" s="13">
        <f t="shared" si="102"/>
        <v>0</v>
      </c>
      <c r="I386" s="13">
        <f t="shared" si="103"/>
        <v>12298376499450.453</v>
      </c>
      <c r="J386" s="13">
        <f t="shared" si="104"/>
        <v>0</v>
      </c>
      <c r="K386" s="13">
        <f t="shared" si="105"/>
        <v>0</v>
      </c>
      <c r="L386" s="13">
        <f t="shared" si="106"/>
        <v>0</v>
      </c>
      <c r="M386" s="13">
        <f t="shared" si="107"/>
        <v>12298376499450.453</v>
      </c>
      <c r="N386" s="13">
        <f>MAX(0,INT(L386*Parameters!$B$14/Parameters!$B$13/Parameters!$B$12)*Parameters!$B$12)</f>
        <v>0</v>
      </c>
      <c r="O386" s="13">
        <f>MAX(0,INT(M386*Parameters!$B$14/Parameters!$B$13/Parameters!$B$12)*Parameters!$B$12)</f>
        <v>8198917666220</v>
      </c>
      <c r="P386" s="13">
        <f>N386*Parameters!$B$13*'H237 Tracker'!B386</f>
        <v>0</v>
      </c>
      <c r="Q386" s="13">
        <f>O386*Parameters!$B$13*'H237 Tracker'!C386</f>
        <v>672311248630.04004</v>
      </c>
      <c r="R386" s="13">
        <f t="shared" si="117"/>
        <v>0</v>
      </c>
      <c r="S386" s="13">
        <f t="shared" si="118"/>
        <v>12525029156314.035</v>
      </c>
      <c r="T386" s="13">
        <f t="shared" si="108"/>
        <v>0</v>
      </c>
      <c r="U386" s="13">
        <f t="shared" si="109"/>
        <v>12970687748080.492</v>
      </c>
      <c r="V386" s="12">
        <f t="shared" si="110"/>
        <v>0</v>
      </c>
      <c r="W386" t="str">
        <f>'H237 Tracker'!I386</f>
        <v>HOLD</v>
      </c>
      <c r="X386">
        <f>'H237 Tracker'!J386</f>
        <v>0</v>
      </c>
      <c r="Y386" t="str">
        <f>'H237 Tracker'!K386</f>
        <v>HOLD</v>
      </c>
      <c r="Z386" s="12">
        <f>'H237 Tracker'!O386</f>
        <v>0</v>
      </c>
      <c r="AA386" s="13">
        <f>'H237 Tracker'!P386</f>
        <v>0</v>
      </c>
      <c r="AB386" s="13">
        <f>'H237 Tracker'!Q386</f>
        <v>0</v>
      </c>
      <c r="AC386" s="13">
        <f t="shared" si="111"/>
        <v>0</v>
      </c>
      <c r="AD386" s="13">
        <f t="shared" si="112"/>
        <v>12970687748080.492</v>
      </c>
      <c r="AE386" s="13">
        <f t="shared" si="113"/>
        <v>12970687748080.492</v>
      </c>
      <c r="AF386" s="13">
        <f t="shared" si="119"/>
        <v>12970687748080.492</v>
      </c>
      <c r="AG386" s="24">
        <f t="shared" si="114"/>
        <v>0</v>
      </c>
      <c r="AH386" s="8">
        <f>--(COUNTIF('Tax Events'!$A$4:$A$8,A386)&gt;0)</f>
        <v>0</v>
      </c>
      <c r="AI386" s="8">
        <f>--(COUNTIF('Tax Events'!$B$4:$B$9,A386)&gt;0)</f>
        <v>0</v>
      </c>
    </row>
    <row r="387" spans="1:35">
      <c r="A387" s="4">
        <f>'H237 Tracker'!A387</f>
        <v>45887</v>
      </c>
      <c r="B387" s="13">
        <f t="shared" si="115"/>
        <v>0</v>
      </c>
      <c r="C387" s="13">
        <f t="shared" si="116"/>
        <v>12970687748080.492</v>
      </c>
      <c r="D387" s="13">
        <f t="shared" si="100"/>
        <v>0</v>
      </c>
      <c r="E387" s="13">
        <f t="shared" si="101"/>
        <v>12970687748080.492</v>
      </c>
      <c r="F387" s="13">
        <f>IF(AH387=1,MAX(R386,0)*Parameters!$B$11,0)</f>
        <v>0</v>
      </c>
      <c r="G387" s="13">
        <f>IF(AI387=1,MAX(S386,0)*Parameters!$B$11,0)</f>
        <v>0</v>
      </c>
      <c r="H387" s="13">
        <f t="shared" si="102"/>
        <v>0</v>
      </c>
      <c r="I387" s="13">
        <f t="shared" si="103"/>
        <v>12970687748080.492</v>
      </c>
      <c r="J387" s="13">
        <f t="shared" si="104"/>
        <v>0</v>
      </c>
      <c r="K387" s="13">
        <f t="shared" si="105"/>
        <v>0</v>
      </c>
      <c r="L387" s="13">
        <f t="shared" si="106"/>
        <v>0</v>
      </c>
      <c r="M387" s="13">
        <f t="shared" si="107"/>
        <v>12970687748080.492</v>
      </c>
      <c r="N387" s="13">
        <f>MAX(0,INT(L387*Parameters!$B$14/Parameters!$B$13/Parameters!$B$12)*Parameters!$B$12)</f>
        <v>0</v>
      </c>
      <c r="O387" s="13">
        <f>MAX(0,INT(M387*Parameters!$B$14/Parameters!$B$13/Parameters!$B$12)*Parameters!$B$12)</f>
        <v>8647125165330</v>
      </c>
      <c r="P387" s="13">
        <f>N387*Parameters!$B$13*'H237 Tracker'!B387</f>
        <v>0</v>
      </c>
      <c r="Q387" s="13">
        <f>O387*Parameters!$B$13*'H237 Tracker'!C387</f>
        <v>-4591623462790.2305</v>
      </c>
      <c r="R387" s="13">
        <f t="shared" si="117"/>
        <v>0</v>
      </c>
      <c r="S387" s="13">
        <f t="shared" si="118"/>
        <v>7933405693523.8047</v>
      </c>
      <c r="T387" s="13">
        <f t="shared" si="108"/>
        <v>0</v>
      </c>
      <c r="U387" s="13">
        <f t="shared" si="109"/>
        <v>8379064285290.2617</v>
      </c>
      <c r="V387" s="12">
        <f t="shared" si="110"/>
        <v>0</v>
      </c>
      <c r="W387" t="str">
        <f>'H237 Tracker'!I387</f>
        <v>HOLD</v>
      </c>
      <c r="X387">
        <f>'H237 Tracker'!J387</f>
        <v>0</v>
      </c>
      <c r="Y387" t="str">
        <f>'H237 Tracker'!K387</f>
        <v>HOLD</v>
      </c>
      <c r="Z387" s="12">
        <f>'H237 Tracker'!O387</f>
        <v>0</v>
      </c>
      <c r="AA387" s="13">
        <f>'H237 Tracker'!P387</f>
        <v>0</v>
      </c>
      <c r="AB387" s="13">
        <f>'H237 Tracker'!Q387</f>
        <v>0</v>
      </c>
      <c r="AC387" s="13">
        <f t="shared" si="111"/>
        <v>0</v>
      </c>
      <c r="AD387" s="13">
        <f t="shared" si="112"/>
        <v>8379064285290.2617</v>
      </c>
      <c r="AE387" s="13">
        <f t="shared" si="113"/>
        <v>8379064285290.2617</v>
      </c>
      <c r="AF387" s="13">
        <f t="shared" si="119"/>
        <v>12970687748080.492</v>
      </c>
      <c r="AG387" s="24">
        <f t="shared" si="114"/>
        <v>-0.35399999999766674</v>
      </c>
      <c r="AH387" s="8">
        <f>--(COUNTIF('Tax Events'!$A$4:$A$8,A387)&gt;0)</f>
        <v>0</v>
      </c>
      <c r="AI387" s="8">
        <f>--(COUNTIF('Tax Events'!$B$4:$B$9,A387)&gt;0)</f>
        <v>0</v>
      </c>
    </row>
    <row r="388" spans="1:35">
      <c r="A388" s="4">
        <f>'H237 Tracker'!A388</f>
        <v>45894</v>
      </c>
      <c r="B388" s="13">
        <f t="shared" si="115"/>
        <v>0</v>
      </c>
      <c r="C388" s="13">
        <f t="shared" si="116"/>
        <v>8379064285290.2617</v>
      </c>
      <c r="D388" s="13">
        <f t="shared" ref="D388:D437" si="120">B388</f>
        <v>0</v>
      </c>
      <c r="E388" s="13">
        <f t="shared" ref="E388:E437" si="121">C388</f>
        <v>8379064285290.2617</v>
      </c>
      <c r="F388" s="13">
        <f>IF(AH388=1,MAX(R387,0)*Parameters!$B$11,0)</f>
        <v>0</v>
      </c>
      <c r="G388" s="13">
        <f>IF(AI388=1,MAX(S387,0)*Parameters!$B$11,0)</f>
        <v>0</v>
      </c>
      <c r="H388" s="13">
        <f t="shared" ref="H388:H437" si="122">D388-F388</f>
        <v>0</v>
      </c>
      <c r="I388" s="13">
        <f t="shared" ref="I388:I437" si="123">E388-G388</f>
        <v>8379064285290.2617</v>
      </c>
      <c r="J388" s="13">
        <f t="shared" ref="J388:J451" si="124">IF(H388&lt;0,MIN(-H388,MAX(I388,0)),0)</f>
        <v>0</v>
      </c>
      <c r="K388" s="13">
        <f t="shared" ref="K388:K437" si="125">IF(I388&lt;0,MIN(-I388,MAX(H388,0)),0)</f>
        <v>0</v>
      </c>
      <c r="L388" s="13">
        <f t="shared" ref="L388:L437" si="126">IF(H388&gt;=0,IF(I388&lt;0,MAX(H388+I388,0),H388),0)</f>
        <v>0</v>
      </c>
      <c r="M388" s="13">
        <f t="shared" ref="M388:M437" si="127">IF(I388&gt;=0,IF(H388&lt;0,MAX(H388+I388,0),I388),0)</f>
        <v>8379064285290.2617</v>
      </c>
      <c r="N388" s="13">
        <f>MAX(0,INT(L388*Parameters!$B$14/Parameters!$B$13/Parameters!$B$12)*Parameters!$B$12)</f>
        <v>0</v>
      </c>
      <c r="O388" s="13">
        <f>MAX(0,INT(M388*Parameters!$B$14/Parameters!$B$13/Parameters!$B$12)*Parameters!$B$12)</f>
        <v>5586042856765</v>
      </c>
      <c r="P388" s="13">
        <f>N388*Parameters!$B$13*'H237 Tracker'!B388</f>
        <v>0</v>
      </c>
      <c r="Q388" s="13">
        <f>O388*Parameters!$B$13*'H237 Tracker'!C388</f>
        <v>-40219508568.708</v>
      </c>
      <c r="R388" s="13">
        <f t="shared" si="117"/>
        <v>0</v>
      </c>
      <c r="S388" s="13">
        <f t="shared" si="118"/>
        <v>7893186184955.0967</v>
      </c>
      <c r="T388" s="13">
        <f t="shared" ref="T388:T437" si="128">L388+P388</f>
        <v>0</v>
      </c>
      <c r="U388" s="13">
        <f t="shared" ref="U388:U437" si="129">M388+Q388</f>
        <v>8338844776721.5537</v>
      </c>
      <c r="V388" s="12">
        <f t="shared" ref="V388:V451" si="130">IF(T388+U388=0,0.5,T388/(T388+U388))</f>
        <v>0</v>
      </c>
      <c r="W388" t="str">
        <f>'H237 Tracker'!I388</f>
        <v>HOLD</v>
      </c>
      <c r="X388">
        <f>'H237 Tracker'!J388</f>
        <v>0</v>
      </c>
      <c r="Y388" t="str">
        <f>'H237 Tracker'!K388</f>
        <v>HOLD</v>
      </c>
      <c r="Z388" s="12">
        <f>'H237 Tracker'!O388</f>
        <v>0</v>
      </c>
      <c r="AA388" s="13">
        <f>'H237 Tracker'!P388</f>
        <v>0</v>
      </c>
      <c r="AB388" s="13">
        <f>'H237 Tracker'!Q388</f>
        <v>0</v>
      </c>
      <c r="AC388" s="13">
        <f t="shared" ref="AC388:AC451" si="131">T388-AA388+AB388</f>
        <v>0</v>
      </c>
      <c r="AD388" s="13">
        <f t="shared" ref="AD388:AD437" si="132">U388+AA388-AB388</f>
        <v>8338844776721.5537</v>
      </c>
      <c r="AE388" s="13">
        <f t="shared" ref="AE388:AE451" si="133">AC388+AD388</f>
        <v>8338844776721.5537</v>
      </c>
      <c r="AF388" s="13">
        <f t="shared" si="119"/>
        <v>12970687748080.492</v>
      </c>
      <c r="AG388" s="24">
        <f t="shared" ref="AG388:AG451" si="134">IF(AF388=0,0,AE388/AF388-1)</f>
        <v>-0.35710079999762512</v>
      </c>
      <c r="AH388" s="8">
        <f>--(COUNTIF('Tax Events'!$A$4:$A$8,A388)&gt;0)</f>
        <v>0</v>
      </c>
      <c r="AI388" s="8">
        <f>--(COUNTIF('Tax Events'!$B$4:$B$9,A388)&gt;0)</f>
        <v>0</v>
      </c>
    </row>
    <row r="389" spans="1:35">
      <c r="A389" s="4">
        <f>'H237 Tracker'!A389</f>
        <v>45901</v>
      </c>
      <c r="B389" s="13">
        <f t="shared" ref="B389:B437" si="135">AC388</f>
        <v>0</v>
      </c>
      <c r="C389" s="13">
        <f t="shared" ref="C389:C437" si="136">AD388</f>
        <v>8338844776721.5537</v>
      </c>
      <c r="D389" s="13">
        <f t="shared" si="120"/>
        <v>0</v>
      </c>
      <c r="E389" s="13">
        <f t="shared" si="121"/>
        <v>8338844776721.5537</v>
      </c>
      <c r="F389" s="13">
        <f>IF(AH389=1,MAX(R388,0)*Parameters!$B$11,0)</f>
        <v>0</v>
      </c>
      <c r="G389" s="13">
        <f>IF(AI389=1,MAX(S388,0)*Parameters!$B$11,0)</f>
        <v>0</v>
      </c>
      <c r="H389" s="13">
        <f t="shared" si="122"/>
        <v>0</v>
      </c>
      <c r="I389" s="13">
        <f t="shared" si="123"/>
        <v>8338844776721.5537</v>
      </c>
      <c r="J389" s="13">
        <f t="shared" si="124"/>
        <v>0</v>
      </c>
      <c r="K389" s="13">
        <f t="shared" si="125"/>
        <v>0</v>
      </c>
      <c r="L389" s="13">
        <f t="shared" si="126"/>
        <v>0</v>
      </c>
      <c r="M389" s="13">
        <f t="shared" si="127"/>
        <v>8338844776721.5537</v>
      </c>
      <c r="N389" s="13">
        <f>MAX(0,INT(L389*Parameters!$B$14/Parameters!$B$13/Parameters!$B$12)*Parameters!$B$12)</f>
        <v>0</v>
      </c>
      <c r="O389" s="13">
        <f>MAX(0,INT(M389*Parameters!$B$14/Parameters!$B$13/Parameters!$B$12)*Parameters!$B$12)</f>
        <v>5559229851100</v>
      </c>
      <c r="P389" s="13">
        <f>N389*Parameters!$B$13*'H237 Tracker'!B389</f>
        <v>0</v>
      </c>
      <c r="Q389" s="13">
        <f>O389*Parameters!$B$13*'H237 Tracker'!C389</f>
        <v>0</v>
      </c>
      <c r="R389" s="13">
        <f t="shared" ref="R389:R437" si="137">IF(AH389=1,P389,R388+P389)</f>
        <v>0</v>
      </c>
      <c r="S389" s="13">
        <f t="shared" ref="S389:S437" si="138">IF(AI389=1,Q389,S388+Q389)</f>
        <v>7893186184955.0967</v>
      </c>
      <c r="T389" s="13">
        <f t="shared" si="128"/>
        <v>0</v>
      </c>
      <c r="U389" s="13">
        <f t="shared" si="129"/>
        <v>8338844776721.5537</v>
      </c>
      <c r="V389" s="12">
        <f t="shared" si="130"/>
        <v>0</v>
      </c>
      <c r="W389" t="str">
        <f>'H237 Tracker'!I389</f>
        <v>B</v>
      </c>
      <c r="X389">
        <f>'H237 Tracker'!J389</f>
        <v>1</v>
      </c>
      <c r="Y389" t="str">
        <f>'H237 Tracker'!K389</f>
        <v>HOLD</v>
      </c>
      <c r="Z389" s="12">
        <f>'H237 Tracker'!O389</f>
        <v>0</v>
      </c>
      <c r="AA389" s="13">
        <f>'H237 Tracker'!P389</f>
        <v>0</v>
      </c>
      <c r="AB389" s="13">
        <f>'H237 Tracker'!Q389</f>
        <v>0</v>
      </c>
      <c r="AC389" s="13">
        <f t="shared" si="131"/>
        <v>0</v>
      </c>
      <c r="AD389" s="13">
        <f t="shared" si="132"/>
        <v>8338844776721.5537</v>
      </c>
      <c r="AE389" s="13">
        <f t="shared" si="133"/>
        <v>8338844776721.5537</v>
      </c>
      <c r="AF389" s="13">
        <f t="shared" ref="AF389:AF452" si="139">MAX(AF388,AE389)</f>
        <v>12970687748080.492</v>
      </c>
      <c r="AG389" s="24">
        <f t="shared" si="134"/>
        <v>-0.35710079999762512</v>
      </c>
      <c r="AH389" s="8">
        <f>--(COUNTIF('Tax Events'!$A$4:$A$8,A389)&gt;0)</f>
        <v>0</v>
      </c>
      <c r="AI389" s="8">
        <f>--(COUNTIF('Tax Events'!$B$4:$B$9,A389)&gt;0)</f>
        <v>0</v>
      </c>
    </row>
    <row r="390" spans="1:35">
      <c r="A390" s="4">
        <f>'H237 Tracker'!A390</f>
        <v>45908</v>
      </c>
      <c r="B390" s="13">
        <f t="shared" si="135"/>
        <v>0</v>
      </c>
      <c r="C390" s="13">
        <f t="shared" si="136"/>
        <v>8338844776721.5537</v>
      </c>
      <c r="D390" s="13">
        <f t="shared" si="120"/>
        <v>0</v>
      </c>
      <c r="E390" s="13">
        <f t="shared" si="121"/>
        <v>8338844776721.5537</v>
      </c>
      <c r="F390" s="13">
        <f>IF(AH390=1,MAX(R389,0)*Parameters!$B$11,0)</f>
        <v>0</v>
      </c>
      <c r="G390" s="13">
        <f>IF(AI390=1,MAX(S389,0)*Parameters!$B$11,0)</f>
        <v>0</v>
      </c>
      <c r="H390" s="13">
        <f t="shared" si="122"/>
        <v>0</v>
      </c>
      <c r="I390" s="13">
        <f t="shared" si="123"/>
        <v>8338844776721.5537</v>
      </c>
      <c r="J390" s="13">
        <f t="shared" si="124"/>
        <v>0</v>
      </c>
      <c r="K390" s="13">
        <f t="shared" si="125"/>
        <v>0</v>
      </c>
      <c r="L390" s="13">
        <f t="shared" si="126"/>
        <v>0</v>
      </c>
      <c r="M390" s="13">
        <f t="shared" si="127"/>
        <v>8338844776721.5537</v>
      </c>
      <c r="N390" s="13">
        <f>MAX(0,INT(L390*Parameters!$B$14/Parameters!$B$13/Parameters!$B$12)*Parameters!$B$12)</f>
        <v>0</v>
      </c>
      <c r="O390" s="13">
        <f>MAX(0,INT(M390*Parameters!$B$14/Parameters!$B$13/Parameters!$B$12)*Parameters!$B$12)</f>
        <v>5559229851100</v>
      </c>
      <c r="P390" s="13">
        <f>N390*Parameters!$B$13*'H237 Tracker'!B390</f>
        <v>0</v>
      </c>
      <c r="Q390" s="13">
        <f>O390*Parameters!$B$13*'H237 Tracker'!C390</f>
        <v>1531011900992.9399</v>
      </c>
      <c r="R390" s="13">
        <f t="shared" si="137"/>
        <v>0</v>
      </c>
      <c r="S390" s="13">
        <f t="shared" si="138"/>
        <v>9424198085948.0371</v>
      </c>
      <c r="T390" s="13">
        <f t="shared" si="128"/>
        <v>0</v>
      </c>
      <c r="U390" s="13">
        <f t="shared" si="129"/>
        <v>9869856677714.4941</v>
      </c>
      <c r="V390" s="12">
        <f t="shared" si="130"/>
        <v>0</v>
      </c>
      <c r="W390" t="str">
        <f>'H237 Tracker'!I390</f>
        <v>B</v>
      </c>
      <c r="X390">
        <f>'H237 Tracker'!J390</f>
        <v>2</v>
      </c>
      <c r="Y390" t="str">
        <f>'H237 Tracker'!K390</f>
        <v>HOLD</v>
      </c>
      <c r="Z390" s="12">
        <f>'H237 Tracker'!O390</f>
        <v>0</v>
      </c>
      <c r="AA390" s="13">
        <f>'H237 Tracker'!P390</f>
        <v>0</v>
      </c>
      <c r="AB390" s="13">
        <f>'H237 Tracker'!Q390</f>
        <v>0</v>
      </c>
      <c r="AC390" s="13">
        <f t="shared" si="131"/>
        <v>0</v>
      </c>
      <c r="AD390" s="13">
        <f t="shared" si="132"/>
        <v>9869856677714.4941</v>
      </c>
      <c r="AE390" s="13">
        <f t="shared" si="133"/>
        <v>9869856677714.4941</v>
      </c>
      <c r="AF390" s="13">
        <f t="shared" si="139"/>
        <v>12970687748080.492</v>
      </c>
      <c r="AG390" s="24">
        <f t="shared" si="134"/>
        <v>-0.23906450687820191</v>
      </c>
      <c r="AH390" s="8">
        <f>--(COUNTIF('Tax Events'!$A$4:$A$8,A390)&gt;0)</f>
        <v>0</v>
      </c>
      <c r="AI390" s="8">
        <f>--(COUNTIF('Tax Events'!$B$4:$B$9,A390)&gt;0)</f>
        <v>0</v>
      </c>
    </row>
    <row r="391" spans="1:35">
      <c r="A391" s="4">
        <f>'H237 Tracker'!A391</f>
        <v>45915</v>
      </c>
      <c r="B391" s="13">
        <f t="shared" si="135"/>
        <v>0</v>
      </c>
      <c r="C391" s="13">
        <f t="shared" si="136"/>
        <v>9869856677714.4941</v>
      </c>
      <c r="D391" s="13">
        <f t="shared" si="120"/>
        <v>0</v>
      </c>
      <c r="E391" s="13">
        <f t="shared" si="121"/>
        <v>9869856677714.4941</v>
      </c>
      <c r="F391" s="13">
        <f>IF(AH391=1,MAX(R390,0)*Parameters!$B$11,0)</f>
        <v>0</v>
      </c>
      <c r="G391" s="13">
        <f>IF(AI391=1,MAX(S390,0)*Parameters!$B$11,0)</f>
        <v>0</v>
      </c>
      <c r="H391" s="13">
        <f t="shared" si="122"/>
        <v>0</v>
      </c>
      <c r="I391" s="13">
        <f t="shared" si="123"/>
        <v>9869856677714.4941</v>
      </c>
      <c r="J391" s="13">
        <f t="shared" si="124"/>
        <v>0</v>
      </c>
      <c r="K391" s="13">
        <f t="shared" si="125"/>
        <v>0</v>
      </c>
      <c r="L391" s="13">
        <f t="shared" si="126"/>
        <v>0</v>
      </c>
      <c r="M391" s="13">
        <f t="shared" si="127"/>
        <v>9869856677714.4941</v>
      </c>
      <c r="N391" s="13">
        <f>MAX(0,INT(L391*Parameters!$B$14/Parameters!$B$13/Parameters!$B$12)*Parameters!$B$12)</f>
        <v>0</v>
      </c>
      <c r="O391" s="13">
        <f>MAX(0,INT(M391*Parameters!$B$14/Parameters!$B$13/Parameters!$B$12)*Parameters!$B$12)</f>
        <v>6579904451750</v>
      </c>
      <c r="P391" s="13">
        <f>N391*Parameters!$B$13*'H237 Tracker'!B391</f>
        <v>0</v>
      </c>
      <c r="Q391" s="13">
        <f>O391*Parameters!$B$13*'H237 Tracker'!C391</f>
        <v>2449040436941.3501</v>
      </c>
      <c r="R391" s="13">
        <f t="shared" si="137"/>
        <v>0</v>
      </c>
      <c r="S391" s="13">
        <f t="shared" si="138"/>
        <v>11873238522889.387</v>
      </c>
      <c r="T391" s="13">
        <f t="shared" si="128"/>
        <v>0</v>
      </c>
      <c r="U391" s="13">
        <f t="shared" si="129"/>
        <v>12318897114655.844</v>
      </c>
      <c r="V391" s="12">
        <f t="shared" si="130"/>
        <v>0</v>
      </c>
      <c r="W391" t="str">
        <f>'H237 Tracker'!I391</f>
        <v>B</v>
      </c>
      <c r="X391">
        <f>'H237 Tracker'!J391</f>
        <v>3</v>
      </c>
      <c r="Y391" t="str">
        <f>'H237 Tracker'!K391</f>
        <v>B</v>
      </c>
      <c r="Z391" s="12">
        <f>'H237 Tracker'!O391</f>
        <v>0</v>
      </c>
      <c r="AA391" s="13">
        <f>'H237 Tracker'!P391</f>
        <v>0</v>
      </c>
      <c r="AB391" s="13">
        <f>'H237 Tracker'!Q391</f>
        <v>0</v>
      </c>
      <c r="AC391" s="13">
        <f t="shared" si="131"/>
        <v>0</v>
      </c>
      <c r="AD391" s="13">
        <f t="shared" si="132"/>
        <v>12318897114655.844</v>
      </c>
      <c r="AE391" s="13">
        <f t="shared" si="133"/>
        <v>12318897114655.844</v>
      </c>
      <c r="AF391" s="13">
        <f t="shared" si="139"/>
        <v>12970687748080.492</v>
      </c>
      <c r="AG391" s="24">
        <f t="shared" si="134"/>
        <v>-5.0251046519958487E-2</v>
      </c>
      <c r="AH391" s="8">
        <f>--(COUNTIF('Tax Events'!$A$4:$A$8,A391)&gt;0)</f>
        <v>0</v>
      </c>
      <c r="AI391" s="8">
        <f>--(COUNTIF('Tax Events'!$B$4:$B$9,A391)&gt;0)</f>
        <v>0</v>
      </c>
    </row>
    <row r="392" spans="1:35">
      <c r="A392" s="4">
        <f>'H237 Tracker'!A392</f>
        <v>45922</v>
      </c>
      <c r="B392" s="13">
        <f t="shared" si="135"/>
        <v>0</v>
      </c>
      <c r="C392" s="13">
        <f t="shared" si="136"/>
        <v>12318897114655.844</v>
      </c>
      <c r="D392" s="13">
        <f t="shared" si="120"/>
        <v>0</v>
      </c>
      <c r="E392" s="13">
        <f t="shared" si="121"/>
        <v>12318897114655.844</v>
      </c>
      <c r="F392" s="13">
        <f>IF(AH392=1,MAX(R391,0)*Parameters!$B$11,0)</f>
        <v>0</v>
      </c>
      <c r="G392" s="13">
        <f>IF(AI392=1,MAX(S391,0)*Parameters!$B$11,0)</f>
        <v>0</v>
      </c>
      <c r="H392" s="13">
        <f t="shared" si="122"/>
        <v>0</v>
      </c>
      <c r="I392" s="13">
        <f t="shared" si="123"/>
        <v>12318897114655.844</v>
      </c>
      <c r="J392" s="13">
        <f t="shared" si="124"/>
        <v>0</v>
      </c>
      <c r="K392" s="13">
        <f t="shared" si="125"/>
        <v>0</v>
      </c>
      <c r="L392" s="13">
        <f t="shared" si="126"/>
        <v>0</v>
      </c>
      <c r="M392" s="13">
        <f t="shared" si="127"/>
        <v>12318897114655.844</v>
      </c>
      <c r="N392" s="13">
        <f>MAX(0,INT(L392*Parameters!$B$14/Parameters!$B$13/Parameters!$B$12)*Parameters!$B$12)</f>
        <v>0</v>
      </c>
      <c r="O392" s="13">
        <f>MAX(0,INT(M392*Parameters!$B$14/Parameters!$B$13/Parameters!$B$12)*Parameters!$B$12)</f>
        <v>8212598076340</v>
      </c>
      <c r="P392" s="13">
        <f>N392*Parameters!$B$13*'H237 Tracker'!B392</f>
        <v>0</v>
      </c>
      <c r="Q392" s="13">
        <f>O392*Parameters!$B$13*'H237 Tracker'!C392</f>
        <v>1200681838760.908</v>
      </c>
      <c r="R392" s="13">
        <f t="shared" si="137"/>
        <v>0</v>
      </c>
      <c r="S392" s="13">
        <f t="shared" si="138"/>
        <v>13073920361650.295</v>
      </c>
      <c r="T392" s="13">
        <f t="shared" si="128"/>
        <v>0</v>
      </c>
      <c r="U392" s="13">
        <f t="shared" si="129"/>
        <v>13519578953416.752</v>
      </c>
      <c r="V392" s="12">
        <f t="shared" si="130"/>
        <v>0</v>
      </c>
      <c r="W392" t="str">
        <f>'H237 Tracker'!I392</f>
        <v>B</v>
      </c>
      <c r="X392">
        <f>'H237 Tracker'!J392</f>
        <v>4</v>
      </c>
      <c r="Y392" t="str">
        <f>'H237 Tracker'!K392</f>
        <v>B</v>
      </c>
      <c r="Z392" s="12">
        <f>'H237 Tracker'!O392</f>
        <v>0</v>
      </c>
      <c r="AA392" s="13">
        <f>'H237 Tracker'!P392</f>
        <v>0</v>
      </c>
      <c r="AB392" s="13">
        <f>'H237 Tracker'!Q392</f>
        <v>0</v>
      </c>
      <c r="AC392" s="13">
        <f t="shared" si="131"/>
        <v>0</v>
      </c>
      <c r="AD392" s="13">
        <f t="shared" si="132"/>
        <v>13519578953416.752</v>
      </c>
      <c r="AE392" s="13">
        <f t="shared" si="133"/>
        <v>13519578953416.752</v>
      </c>
      <c r="AF392" s="13">
        <f t="shared" si="139"/>
        <v>13519578953416.752</v>
      </c>
      <c r="AG392" s="24">
        <f t="shared" si="134"/>
        <v>0</v>
      </c>
      <c r="AH392" s="8">
        <f>--(COUNTIF('Tax Events'!$A$4:$A$8,A392)&gt;0)</f>
        <v>0</v>
      </c>
      <c r="AI392" s="8">
        <f>--(COUNTIF('Tax Events'!$B$4:$B$9,A392)&gt;0)</f>
        <v>0</v>
      </c>
    </row>
    <row r="393" spans="1:35">
      <c r="A393" s="4">
        <f>'H237 Tracker'!A393</f>
        <v>45929</v>
      </c>
      <c r="B393" s="13">
        <f t="shared" si="135"/>
        <v>0</v>
      </c>
      <c r="C393" s="13">
        <f t="shared" si="136"/>
        <v>13519578953416.752</v>
      </c>
      <c r="D393" s="13">
        <f t="shared" si="120"/>
        <v>0</v>
      </c>
      <c r="E393" s="13">
        <f t="shared" si="121"/>
        <v>13519578953416.752</v>
      </c>
      <c r="F393" s="13">
        <f>IF(AH393=1,MAX(R392,0)*Parameters!$B$11,0)</f>
        <v>0</v>
      </c>
      <c r="G393" s="13">
        <f>IF(AI393=1,MAX(S392,0)*Parameters!$B$11,0)</f>
        <v>0</v>
      </c>
      <c r="H393" s="13">
        <f t="shared" si="122"/>
        <v>0</v>
      </c>
      <c r="I393" s="13">
        <f t="shared" si="123"/>
        <v>13519578953416.752</v>
      </c>
      <c r="J393" s="13">
        <f t="shared" si="124"/>
        <v>0</v>
      </c>
      <c r="K393" s="13">
        <f t="shared" si="125"/>
        <v>0</v>
      </c>
      <c r="L393" s="13">
        <f t="shared" si="126"/>
        <v>0</v>
      </c>
      <c r="M393" s="13">
        <f t="shared" si="127"/>
        <v>13519578953416.752</v>
      </c>
      <c r="N393" s="13">
        <f>MAX(0,INT(L393*Parameters!$B$14/Parameters!$B$13/Parameters!$B$12)*Parameters!$B$12)</f>
        <v>0</v>
      </c>
      <c r="O393" s="13">
        <f>MAX(0,INT(M393*Parameters!$B$14/Parameters!$B$13/Parameters!$B$12)*Parameters!$B$12)</f>
        <v>9013052635560</v>
      </c>
      <c r="P393" s="13">
        <f>N393*Parameters!$B$13*'H237 Tracker'!B393</f>
        <v>0</v>
      </c>
      <c r="Q393" s="13">
        <f>O393*Parameters!$B$13*'H237 Tracker'!C393</f>
        <v>1245603874234.3921</v>
      </c>
      <c r="R393" s="13">
        <f t="shared" si="137"/>
        <v>0</v>
      </c>
      <c r="S393" s="13">
        <f t="shared" si="138"/>
        <v>14319524235884.688</v>
      </c>
      <c r="T393" s="13">
        <f t="shared" si="128"/>
        <v>0</v>
      </c>
      <c r="U393" s="13">
        <f t="shared" si="129"/>
        <v>14765182827651.145</v>
      </c>
      <c r="V393" s="12">
        <f t="shared" si="130"/>
        <v>0</v>
      </c>
      <c r="W393" t="str">
        <f>'H237 Tracker'!I393</f>
        <v>B</v>
      </c>
      <c r="X393">
        <f>'H237 Tracker'!J393</f>
        <v>5</v>
      </c>
      <c r="Y393" t="str">
        <f>'H237 Tracker'!K393</f>
        <v>B</v>
      </c>
      <c r="Z393" s="12">
        <f>'H237 Tracker'!O393</f>
        <v>0</v>
      </c>
      <c r="AA393" s="13">
        <f>'H237 Tracker'!P393</f>
        <v>0</v>
      </c>
      <c r="AB393" s="13">
        <f>'H237 Tracker'!Q393</f>
        <v>0</v>
      </c>
      <c r="AC393" s="13">
        <f t="shared" si="131"/>
        <v>0</v>
      </c>
      <c r="AD393" s="13">
        <f t="shared" si="132"/>
        <v>14765182827651.145</v>
      </c>
      <c r="AE393" s="13">
        <f t="shared" si="133"/>
        <v>14765182827651.145</v>
      </c>
      <c r="AF393" s="13">
        <f t="shared" si="139"/>
        <v>14765182827651.145</v>
      </c>
      <c r="AG393" s="24">
        <f t="shared" si="134"/>
        <v>0</v>
      </c>
      <c r="AH393" s="8">
        <f>--(COUNTIF('Tax Events'!$A$4:$A$8,A393)&gt;0)</f>
        <v>0</v>
      </c>
      <c r="AI393" s="8">
        <f>--(COUNTIF('Tax Events'!$B$4:$B$9,A393)&gt;0)</f>
        <v>0</v>
      </c>
    </row>
    <row r="394" spans="1:35">
      <c r="A394" s="4">
        <f>'H237 Tracker'!A394</f>
        <v>45936</v>
      </c>
      <c r="B394" s="13">
        <f t="shared" si="135"/>
        <v>0</v>
      </c>
      <c r="C394" s="13">
        <f t="shared" si="136"/>
        <v>14765182827651.145</v>
      </c>
      <c r="D394" s="13">
        <f t="shared" si="120"/>
        <v>0</v>
      </c>
      <c r="E394" s="13">
        <f t="shared" si="121"/>
        <v>14765182827651.145</v>
      </c>
      <c r="F394" s="13">
        <f>IF(AH394=1,MAX(R393,0)*Parameters!$B$11,0)</f>
        <v>0</v>
      </c>
      <c r="G394" s="13">
        <f>IF(AI394=1,MAX(S393,0)*Parameters!$B$11,0)</f>
        <v>0</v>
      </c>
      <c r="H394" s="13">
        <f t="shared" si="122"/>
        <v>0</v>
      </c>
      <c r="I394" s="13">
        <f t="shared" si="123"/>
        <v>14765182827651.145</v>
      </c>
      <c r="J394" s="13">
        <f t="shared" si="124"/>
        <v>0</v>
      </c>
      <c r="K394" s="13">
        <f t="shared" si="125"/>
        <v>0</v>
      </c>
      <c r="L394" s="13">
        <f t="shared" si="126"/>
        <v>0</v>
      </c>
      <c r="M394" s="13">
        <f t="shared" si="127"/>
        <v>14765182827651.145</v>
      </c>
      <c r="N394" s="13">
        <f>MAX(0,INT(L394*Parameters!$B$14/Parameters!$B$13/Parameters!$B$12)*Parameters!$B$12)</f>
        <v>0</v>
      </c>
      <c r="O394" s="13">
        <f>MAX(0,INT(M394*Parameters!$B$14/Parameters!$B$13/Parameters!$B$12)*Parameters!$B$12)</f>
        <v>9843455218320</v>
      </c>
      <c r="P394" s="13">
        <f>N394*Parameters!$B$13*'H237 Tracker'!B394</f>
        <v>0</v>
      </c>
      <c r="Q394" s="13">
        <f>O394*Parameters!$B$13*'H237 Tracker'!C394</f>
        <v>-779601653290.94397</v>
      </c>
      <c r="R394" s="13">
        <f t="shared" si="137"/>
        <v>0</v>
      </c>
      <c r="S394" s="13">
        <f t="shared" si="138"/>
        <v>13539922582593.744</v>
      </c>
      <c r="T394" s="13">
        <f t="shared" si="128"/>
        <v>0</v>
      </c>
      <c r="U394" s="13">
        <f t="shared" si="129"/>
        <v>13985581174360.201</v>
      </c>
      <c r="V394" s="12">
        <f t="shared" si="130"/>
        <v>0</v>
      </c>
      <c r="W394" t="str">
        <f>'H237 Tracker'!I394</f>
        <v>B</v>
      </c>
      <c r="X394">
        <f>'H237 Tracker'!J394</f>
        <v>6</v>
      </c>
      <c r="Y394" t="str">
        <f>'H237 Tracker'!K394</f>
        <v>B</v>
      </c>
      <c r="Z394" s="12">
        <f>'H237 Tracker'!O394</f>
        <v>0</v>
      </c>
      <c r="AA394" s="13">
        <f>'H237 Tracker'!P394</f>
        <v>0</v>
      </c>
      <c r="AB394" s="13">
        <f>'H237 Tracker'!Q394</f>
        <v>0</v>
      </c>
      <c r="AC394" s="13">
        <f t="shared" si="131"/>
        <v>0</v>
      </c>
      <c r="AD394" s="13">
        <f t="shared" si="132"/>
        <v>13985581174360.201</v>
      </c>
      <c r="AE394" s="13">
        <f t="shared" si="133"/>
        <v>13985581174360.201</v>
      </c>
      <c r="AF394" s="13">
        <f t="shared" si="139"/>
        <v>14765182827651.145</v>
      </c>
      <c r="AG394" s="24">
        <f t="shared" si="134"/>
        <v>-5.2799999999387892E-2</v>
      </c>
      <c r="AH394" s="8">
        <f>--(COUNTIF('Tax Events'!$A$4:$A$8,A394)&gt;0)</f>
        <v>0</v>
      </c>
      <c r="AI394" s="8">
        <f>--(COUNTIF('Tax Events'!$B$4:$B$9,A394)&gt;0)</f>
        <v>0</v>
      </c>
    </row>
    <row r="395" spans="1:35">
      <c r="A395" s="4">
        <f>'H237 Tracker'!A395</f>
        <v>45943</v>
      </c>
      <c r="B395" s="13">
        <f t="shared" si="135"/>
        <v>0</v>
      </c>
      <c r="C395" s="13">
        <f t="shared" si="136"/>
        <v>13985581174360.201</v>
      </c>
      <c r="D395" s="13">
        <f t="shared" si="120"/>
        <v>0</v>
      </c>
      <c r="E395" s="13">
        <f t="shared" si="121"/>
        <v>13985581174360.201</v>
      </c>
      <c r="F395" s="13">
        <f>IF(AH395=1,MAX(R394,0)*Parameters!$B$11,0)</f>
        <v>0</v>
      </c>
      <c r="G395" s="13">
        <f>IF(AI395=1,MAX(S394,0)*Parameters!$B$11,0)</f>
        <v>0</v>
      </c>
      <c r="H395" s="13">
        <f t="shared" si="122"/>
        <v>0</v>
      </c>
      <c r="I395" s="13">
        <f t="shared" si="123"/>
        <v>13985581174360.201</v>
      </c>
      <c r="J395" s="13">
        <f t="shared" si="124"/>
        <v>0</v>
      </c>
      <c r="K395" s="13">
        <f t="shared" si="125"/>
        <v>0</v>
      </c>
      <c r="L395" s="13">
        <f t="shared" si="126"/>
        <v>0</v>
      </c>
      <c r="M395" s="13">
        <f t="shared" si="127"/>
        <v>13985581174360.201</v>
      </c>
      <c r="N395" s="13">
        <f>MAX(0,INT(L395*Parameters!$B$14/Parameters!$B$13/Parameters!$B$12)*Parameters!$B$12)</f>
        <v>0</v>
      </c>
      <c r="O395" s="13">
        <f>MAX(0,INT(M395*Parameters!$B$14/Parameters!$B$13/Parameters!$B$12)*Parameters!$B$12)</f>
        <v>9323720782810</v>
      </c>
      <c r="P395" s="13">
        <f>N395*Parameters!$B$13*'H237 Tracker'!B395</f>
        <v>0</v>
      </c>
      <c r="Q395" s="13">
        <f>O395*Parameters!$B$13*'H237 Tracker'!C395</f>
        <v>-745897662624.80005</v>
      </c>
      <c r="R395" s="13">
        <f t="shared" si="137"/>
        <v>0</v>
      </c>
      <c r="S395" s="13">
        <f t="shared" si="138"/>
        <v>12794024919968.943</v>
      </c>
      <c r="T395" s="13">
        <f t="shared" si="128"/>
        <v>0</v>
      </c>
      <c r="U395" s="13">
        <f t="shared" si="129"/>
        <v>13239683511735.4</v>
      </c>
      <c r="V395" s="12">
        <f t="shared" si="130"/>
        <v>0</v>
      </c>
      <c r="W395" t="str">
        <f>'H237 Tracker'!I395</f>
        <v>B</v>
      </c>
      <c r="X395">
        <f>'H237 Tracker'!J395</f>
        <v>7</v>
      </c>
      <c r="Y395" t="str">
        <f>'H237 Tracker'!K395</f>
        <v>B</v>
      </c>
      <c r="Z395" s="12">
        <f>'H237 Tracker'!O395</f>
        <v>0</v>
      </c>
      <c r="AA395" s="13">
        <f>'H237 Tracker'!P395</f>
        <v>0</v>
      </c>
      <c r="AB395" s="13">
        <f>'H237 Tracker'!Q395</f>
        <v>0</v>
      </c>
      <c r="AC395" s="13">
        <f t="shared" si="131"/>
        <v>0</v>
      </c>
      <c r="AD395" s="13">
        <f t="shared" si="132"/>
        <v>13239683511735.4</v>
      </c>
      <c r="AE395" s="13">
        <f t="shared" si="133"/>
        <v>13239683511735.4</v>
      </c>
      <c r="AF395" s="13">
        <f t="shared" si="139"/>
        <v>14765182827651.145</v>
      </c>
      <c r="AG395" s="24">
        <f t="shared" si="134"/>
        <v>-0.10331733333222948</v>
      </c>
      <c r="AH395" s="8">
        <f>--(COUNTIF('Tax Events'!$A$4:$A$8,A395)&gt;0)</f>
        <v>0</v>
      </c>
      <c r="AI395" s="8">
        <f>--(COUNTIF('Tax Events'!$B$4:$B$9,A395)&gt;0)</f>
        <v>0</v>
      </c>
    </row>
    <row r="396" spans="1:35">
      <c r="A396" s="4">
        <f>'H237 Tracker'!A396</f>
        <v>45950</v>
      </c>
      <c r="B396" s="13">
        <f t="shared" si="135"/>
        <v>0</v>
      </c>
      <c r="C396" s="13">
        <f t="shared" si="136"/>
        <v>13239683511735.4</v>
      </c>
      <c r="D396" s="13">
        <f t="shared" si="120"/>
        <v>0</v>
      </c>
      <c r="E396" s="13">
        <f t="shared" si="121"/>
        <v>13239683511735.4</v>
      </c>
      <c r="F396" s="13">
        <f>IF(AH396=1,MAX(R395,0)*Parameters!$B$11,0)</f>
        <v>0</v>
      </c>
      <c r="G396" s="13">
        <f>IF(AI396=1,MAX(S395,0)*Parameters!$B$11,0)</f>
        <v>0</v>
      </c>
      <c r="H396" s="13">
        <f t="shared" si="122"/>
        <v>0</v>
      </c>
      <c r="I396" s="13">
        <f t="shared" si="123"/>
        <v>13239683511735.4</v>
      </c>
      <c r="J396" s="13">
        <f t="shared" si="124"/>
        <v>0</v>
      </c>
      <c r="K396" s="13">
        <f t="shared" si="125"/>
        <v>0</v>
      </c>
      <c r="L396" s="13">
        <f t="shared" si="126"/>
        <v>0</v>
      </c>
      <c r="M396" s="13">
        <f t="shared" si="127"/>
        <v>13239683511735.4</v>
      </c>
      <c r="N396" s="13">
        <f>MAX(0,INT(L396*Parameters!$B$14/Parameters!$B$13/Parameters!$B$12)*Parameters!$B$12)</f>
        <v>0</v>
      </c>
      <c r="O396" s="13">
        <f>MAX(0,INT(M396*Parameters!$B$14/Parameters!$B$13/Parameters!$B$12)*Parameters!$B$12)</f>
        <v>8826455674395</v>
      </c>
      <c r="P396" s="13">
        <f>N396*Parameters!$B$13*'H237 Tracker'!B396</f>
        <v>0</v>
      </c>
      <c r="Q396" s="13">
        <f>O396*Parameters!$B$13*'H237 Tracker'!C396</f>
        <v>1272774908247.759</v>
      </c>
      <c r="R396" s="13">
        <f t="shared" si="137"/>
        <v>0</v>
      </c>
      <c r="S396" s="13">
        <f t="shared" si="138"/>
        <v>14066799828216.703</v>
      </c>
      <c r="T396" s="13">
        <f t="shared" si="128"/>
        <v>0</v>
      </c>
      <c r="U396" s="13">
        <f t="shared" si="129"/>
        <v>14512458419983.16</v>
      </c>
      <c r="V396" s="12">
        <f t="shared" si="130"/>
        <v>0</v>
      </c>
      <c r="W396" t="str">
        <f>'H237 Tracker'!I396</f>
        <v>B</v>
      </c>
      <c r="X396">
        <f>'H237 Tracker'!J396</f>
        <v>8</v>
      </c>
      <c r="Y396" t="str">
        <f>'H237 Tracker'!K396</f>
        <v>B</v>
      </c>
      <c r="Z396" s="12">
        <f>'H237 Tracker'!O396</f>
        <v>0</v>
      </c>
      <c r="AA396" s="13">
        <f>'H237 Tracker'!P396</f>
        <v>0</v>
      </c>
      <c r="AB396" s="13">
        <f>'H237 Tracker'!Q396</f>
        <v>0</v>
      </c>
      <c r="AC396" s="13">
        <f t="shared" si="131"/>
        <v>0</v>
      </c>
      <c r="AD396" s="13">
        <f t="shared" si="132"/>
        <v>14512458419983.16</v>
      </c>
      <c r="AE396" s="13">
        <f t="shared" si="133"/>
        <v>14512458419983.16</v>
      </c>
      <c r="AF396" s="13">
        <f t="shared" si="139"/>
        <v>14765182827651.145</v>
      </c>
      <c r="AG396" s="24">
        <f t="shared" si="134"/>
        <v>-1.7116239644164866E-2</v>
      </c>
      <c r="AH396" s="8">
        <f>--(COUNTIF('Tax Events'!$A$4:$A$8,A396)&gt;0)</f>
        <v>0</v>
      </c>
      <c r="AI396" s="8">
        <f>--(COUNTIF('Tax Events'!$B$4:$B$9,A396)&gt;0)</f>
        <v>0</v>
      </c>
    </row>
    <row r="397" spans="1:35">
      <c r="A397" s="4">
        <f>'H237 Tracker'!A397</f>
        <v>45957</v>
      </c>
      <c r="B397" s="13">
        <f t="shared" si="135"/>
        <v>0</v>
      </c>
      <c r="C397" s="13">
        <f t="shared" si="136"/>
        <v>14512458419983.16</v>
      </c>
      <c r="D397" s="13">
        <f t="shared" si="120"/>
        <v>0</v>
      </c>
      <c r="E397" s="13">
        <f t="shared" si="121"/>
        <v>14512458419983.16</v>
      </c>
      <c r="F397" s="13">
        <f>IF(AH397=1,MAX(R396,0)*Parameters!$B$11,0)</f>
        <v>0</v>
      </c>
      <c r="G397" s="13">
        <f>IF(AI397=1,MAX(S396,0)*Parameters!$B$11,0)</f>
        <v>0</v>
      </c>
      <c r="H397" s="13">
        <f t="shared" si="122"/>
        <v>0</v>
      </c>
      <c r="I397" s="13">
        <f t="shared" si="123"/>
        <v>14512458419983.16</v>
      </c>
      <c r="J397" s="13">
        <f t="shared" si="124"/>
        <v>0</v>
      </c>
      <c r="K397" s="13">
        <f t="shared" si="125"/>
        <v>0</v>
      </c>
      <c r="L397" s="13">
        <f t="shared" si="126"/>
        <v>0</v>
      </c>
      <c r="M397" s="13">
        <f t="shared" si="127"/>
        <v>14512458419983.16</v>
      </c>
      <c r="N397" s="13">
        <f>MAX(0,INT(L397*Parameters!$B$14/Parameters!$B$13/Parameters!$B$12)*Parameters!$B$12)</f>
        <v>0</v>
      </c>
      <c r="O397" s="13">
        <f>MAX(0,INT(M397*Parameters!$B$14/Parameters!$B$13/Parameters!$B$12)*Parameters!$B$12)</f>
        <v>9674972279985</v>
      </c>
      <c r="P397" s="13">
        <f>N397*Parameters!$B$13*'H237 Tracker'!B397</f>
        <v>0</v>
      </c>
      <c r="Q397" s="13">
        <f>O397*Parameters!$B$13*'H237 Tracker'!C397</f>
        <v>1387391024949.8491</v>
      </c>
      <c r="R397" s="13">
        <f t="shared" si="137"/>
        <v>0</v>
      </c>
      <c r="S397" s="13">
        <f t="shared" si="138"/>
        <v>15454190853166.553</v>
      </c>
      <c r="T397" s="13">
        <f t="shared" si="128"/>
        <v>0</v>
      </c>
      <c r="U397" s="13">
        <f t="shared" si="129"/>
        <v>15899849444933.01</v>
      </c>
      <c r="V397" s="12">
        <f t="shared" si="130"/>
        <v>0</v>
      </c>
      <c r="W397" t="str">
        <f>'H237 Tracker'!I397</f>
        <v>B</v>
      </c>
      <c r="X397">
        <f>'H237 Tracker'!J397</f>
        <v>9</v>
      </c>
      <c r="Y397" t="str">
        <f>'H237 Tracker'!K397</f>
        <v>B</v>
      </c>
      <c r="Z397" s="12">
        <f>'H237 Tracker'!O397</f>
        <v>0</v>
      </c>
      <c r="AA397" s="13">
        <f>'H237 Tracker'!P397</f>
        <v>0</v>
      </c>
      <c r="AB397" s="13">
        <f>'H237 Tracker'!Q397</f>
        <v>0</v>
      </c>
      <c r="AC397" s="13">
        <f t="shared" si="131"/>
        <v>0</v>
      </c>
      <c r="AD397" s="13">
        <f t="shared" si="132"/>
        <v>15899849444933.01</v>
      </c>
      <c r="AE397" s="13">
        <f t="shared" si="133"/>
        <v>15899849444933.01</v>
      </c>
      <c r="AF397" s="13">
        <f t="shared" si="139"/>
        <v>15899849444933.01</v>
      </c>
      <c r="AG397" s="24">
        <f t="shared" si="134"/>
        <v>0</v>
      </c>
      <c r="AH397" s="8">
        <f>--(COUNTIF('Tax Events'!$A$4:$A$8,A397)&gt;0)</f>
        <v>0</v>
      </c>
      <c r="AI397" s="8">
        <f>--(COUNTIF('Tax Events'!$B$4:$B$9,A397)&gt;0)</f>
        <v>0</v>
      </c>
    </row>
    <row r="398" spans="1:35">
      <c r="A398" s="4">
        <f>'H237 Tracker'!A398</f>
        <v>45964</v>
      </c>
      <c r="B398" s="13">
        <f t="shared" si="135"/>
        <v>0</v>
      </c>
      <c r="C398" s="13">
        <f t="shared" si="136"/>
        <v>15899849444933.01</v>
      </c>
      <c r="D398" s="13">
        <f t="shared" si="120"/>
        <v>0</v>
      </c>
      <c r="E398" s="13">
        <f t="shared" si="121"/>
        <v>15899849444933.01</v>
      </c>
      <c r="F398" s="13">
        <f>IF(AH398=1,MAX(R397,0)*Parameters!$B$11,0)</f>
        <v>0</v>
      </c>
      <c r="G398" s="13">
        <f>IF(AI398=1,MAX(S397,0)*Parameters!$B$11,0)</f>
        <v>0</v>
      </c>
      <c r="H398" s="13">
        <f t="shared" si="122"/>
        <v>0</v>
      </c>
      <c r="I398" s="13">
        <f t="shared" si="123"/>
        <v>15899849444933.01</v>
      </c>
      <c r="J398" s="13">
        <f t="shared" si="124"/>
        <v>0</v>
      </c>
      <c r="K398" s="13">
        <f t="shared" si="125"/>
        <v>0</v>
      </c>
      <c r="L398" s="13">
        <f t="shared" si="126"/>
        <v>0</v>
      </c>
      <c r="M398" s="13">
        <f t="shared" si="127"/>
        <v>15899849444933.01</v>
      </c>
      <c r="N398" s="13">
        <f>MAX(0,INT(L398*Parameters!$B$14/Parameters!$B$13/Parameters!$B$12)*Parameters!$B$12)</f>
        <v>0</v>
      </c>
      <c r="O398" s="13">
        <f>MAX(0,INT(M398*Parameters!$B$14/Parameters!$B$13/Parameters!$B$12)*Parameters!$B$12)</f>
        <v>10599899629900</v>
      </c>
      <c r="P398" s="13">
        <f>N398*Parameters!$B$13*'H237 Tracker'!B398</f>
        <v>0</v>
      </c>
      <c r="Q398" s="13">
        <f>O398*Parameters!$B$13*'H237 Tracker'!C398</f>
        <v>-3815963866763.9995</v>
      </c>
      <c r="R398" s="13">
        <f t="shared" si="137"/>
        <v>0</v>
      </c>
      <c r="S398" s="13">
        <f t="shared" si="138"/>
        <v>11638226986402.553</v>
      </c>
      <c r="T398" s="13">
        <f t="shared" si="128"/>
        <v>0</v>
      </c>
      <c r="U398" s="13">
        <f t="shared" si="129"/>
        <v>12083885578169.01</v>
      </c>
      <c r="V398" s="12">
        <f t="shared" si="130"/>
        <v>0</v>
      </c>
      <c r="W398" t="str">
        <f>'H237 Tracker'!I398</f>
        <v>B</v>
      </c>
      <c r="X398">
        <f>'H237 Tracker'!J398</f>
        <v>10</v>
      </c>
      <c r="Y398" t="str">
        <f>'H237 Tracker'!K398</f>
        <v>B</v>
      </c>
      <c r="Z398" s="12">
        <f>'H237 Tracker'!O398</f>
        <v>0</v>
      </c>
      <c r="AA398" s="13">
        <f>'H237 Tracker'!P398</f>
        <v>0</v>
      </c>
      <c r="AB398" s="13">
        <f>'H237 Tracker'!Q398</f>
        <v>0</v>
      </c>
      <c r="AC398" s="13">
        <f t="shared" si="131"/>
        <v>0</v>
      </c>
      <c r="AD398" s="13">
        <f t="shared" si="132"/>
        <v>12083885578169.01</v>
      </c>
      <c r="AE398" s="13">
        <f t="shared" si="133"/>
        <v>12083885578169.01</v>
      </c>
      <c r="AF398" s="13">
        <f t="shared" si="139"/>
        <v>15899849444933.01</v>
      </c>
      <c r="AG398" s="24">
        <f t="shared" si="134"/>
        <v>-0.23999999999874699</v>
      </c>
      <c r="AH398" s="8">
        <f>--(COUNTIF('Tax Events'!$A$4:$A$8,A398)&gt;0)</f>
        <v>0</v>
      </c>
      <c r="AI398" s="8">
        <f>--(COUNTIF('Tax Events'!$B$4:$B$9,A398)&gt;0)</f>
        <v>0</v>
      </c>
    </row>
    <row r="399" spans="1:35">
      <c r="A399" s="4">
        <f>'H237 Tracker'!A399</f>
        <v>45971</v>
      </c>
      <c r="B399" s="13">
        <f t="shared" si="135"/>
        <v>0</v>
      </c>
      <c r="C399" s="13">
        <f t="shared" si="136"/>
        <v>12083885578169.01</v>
      </c>
      <c r="D399" s="13">
        <f t="shared" si="120"/>
        <v>0</v>
      </c>
      <c r="E399" s="13">
        <f t="shared" si="121"/>
        <v>12083885578169.01</v>
      </c>
      <c r="F399" s="13">
        <f>IF(AH399=1,MAX(R398,0)*Parameters!$B$11,0)</f>
        <v>0</v>
      </c>
      <c r="G399" s="13">
        <f>IF(AI399=1,MAX(S398,0)*Parameters!$B$11,0)</f>
        <v>0</v>
      </c>
      <c r="H399" s="13">
        <f t="shared" si="122"/>
        <v>0</v>
      </c>
      <c r="I399" s="13">
        <f t="shared" si="123"/>
        <v>12083885578169.01</v>
      </c>
      <c r="J399" s="13">
        <f t="shared" si="124"/>
        <v>0</v>
      </c>
      <c r="K399" s="13">
        <f t="shared" si="125"/>
        <v>0</v>
      </c>
      <c r="L399" s="13">
        <f t="shared" si="126"/>
        <v>0</v>
      </c>
      <c r="M399" s="13">
        <f t="shared" si="127"/>
        <v>12083885578169.01</v>
      </c>
      <c r="N399" s="13">
        <f>MAX(0,INT(L399*Parameters!$B$14/Parameters!$B$13/Parameters!$B$12)*Parameters!$B$12)</f>
        <v>0</v>
      </c>
      <c r="O399" s="13">
        <f>MAX(0,INT(M399*Parameters!$B$14/Parameters!$B$13/Parameters!$B$12)*Parameters!$B$12)</f>
        <v>8055923718770</v>
      </c>
      <c r="P399" s="13">
        <f>N399*Parameters!$B$13*'H237 Tracker'!B399</f>
        <v>0</v>
      </c>
      <c r="Q399" s="13">
        <f>O399*Parameters!$B$13*'H237 Tracker'!C399</f>
        <v>1243834622178.0881</v>
      </c>
      <c r="R399" s="13">
        <f t="shared" si="137"/>
        <v>0</v>
      </c>
      <c r="S399" s="13">
        <f t="shared" si="138"/>
        <v>12882061608580.641</v>
      </c>
      <c r="T399" s="13">
        <f t="shared" si="128"/>
        <v>0</v>
      </c>
      <c r="U399" s="13">
        <f t="shared" si="129"/>
        <v>13327720200347.098</v>
      </c>
      <c r="V399" s="12">
        <f t="shared" si="130"/>
        <v>0</v>
      </c>
      <c r="W399" t="str">
        <f>'H237 Tracker'!I399</f>
        <v>B</v>
      </c>
      <c r="X399">
        <f>'H237 Tracker'!J399</f>
        <v>11</v>
      </c>
      <c r="Y399" t="str">
        <f>'H237 Tracker'!K399</f>
        <v>B</v>
      </c>
      <c r="Z399" s="12">
        <f>'H237 Tracker'!O399</f>
        <v>0</v>
      </c>
      <c r="AA399" s="13">
        <f>'H237 Tracker'!P399</f>
        <v>0</v>
      </c>
      <c r="AB399" s="13">
        <f>'H237 Tracker'!Q399</f>
        <v>0</v>
      </c>
      <c r="AC399" s="13">
        <f t="shared" si="131"/>
        <v>0</v>
      </c>
      <c r="AD399" s="13">
        <f t="shared" si="132"/>
        <v>13327720200347.098</v>
      </c>
      <c r="AE399" s="13">
        <f t="shared" si="133"/>
        <v>13327720200347.098</v>
      </c>
      <c r="AF399" s="13">
        <f t="shared" si="139"/>
        <v>15899849444933.01</v>
      </c>
      <c r="AG399" s="24">
        <f t="shared" si="134"/>
        <v>-0.16177066666537543</v>
      </c>
      <c r="AH399" s="8">
        <f>--(COUNTIF('Tax Events'!$A$4:$A$8,A399)&gt;0)</f>
        <v>0</v>
      </c>
      <c r="AI399" s="8">
        <f>--(COUNTIF('Tax Events'!$B$4:$B$9,A399)&gt;0)</f>
        <v>0</v>
      </c>
    </row>
    <row r="400" spans="1:35">
      <c r="A400" s="4">
        <f>'H237 Tracker'!A400</f>
        <v>45978</v>
      </c>
      <c r="B400" s="13">
        <f t="shared" si="135"/>
        <v>0</v>
      </c>
      <c r="C400" s="13">
        <f t="shared" si="136"/>
        <v>13327720200347.098</v>
      </c>
      <c r="D400" s="13">
        <f t="shared" si="120"/>
        <v>0</v>
      </c>
      <c r="E400" s="13">
        <f t="shared" si="121"/>
        <v>13327720200347.098</v>
      </c>
      <c r="F400" s="13">
        <f>IF(AH400=1,MAX(R399,0)*Parameters!$B$11,0)</f>
        <v>0</v>
      </c>
      <c r="G400" s="13">
        <f>IF(AI400=1,MAX(S399,0)*Parameters!$B$11,0)</f>
        <v>0</v>
      </c>
      <c r="H400" s="13">
        <f t="shared" si="122"/>
        <v>0</v>
      </c>
      <c r="I400" s="13">
        <f t="shared" si="123"/>
        <v>13327720200347.098</v>
      </c>
      <c r="J400" s="13">
        <f t="shared" si="124"/>
        <v>0</v>
      </c>
      <c r="K400" s="13">
        <f t="shared" si="125"/>
        <v>0</v>
      </c>
      <c r="L400" s="13">
        <f t="shared" si="126"/>
        <v>0</v>
      </c>
      <c r="M400" s="13">
        <f t="shared" si="127"/>
        <v>13327720200347.098</v>
      </c>
      <c r="N400" s="13">
        <f>MAX(0,INT(L400*Parameters!$B$14/Parameters!$B$13/Parameters!$B$12)*Parameters!$B$12)</f>
        <v>0</v>
      </c>
      <c r="O400" s="13">
        <f>MAX(0,INT(M400*Parameters!$B$14/Parameters!$B$13/Parameters!$B$12)*Parameters!$B$12)</f>
        <v>8885146800120</v>
      </c>
      <c r="P400" s="13">
        <f>N400*Parameters!$B$13*'H237 Tracker'!B400</f>
        <v>0</v>
      </c>
      <c r="Q400" s="13">
        <f>O400*Parameters!$B$13*'H237 Tracker'!C400</f>
        <v>0</v>
      </c>
      <c r="R400" s="13">
        <f t="shared" si="137"/>
        <v>0</v>
      </c>
      <c r="S400" s="13">
        <f t="shared" si="138"/>
        <v>12882061608580.641</v>
      </c>
      <c r="T400" s="13">
        <f t="shared" si="128"/>
        <v>0</v>
      </c>
      <c r="U400" s="13">
        <f t="shared" si="129"/>
        <v>13327720200347.098</v>
      </c>
      <c r="V400" s="12">
        <f t="shared" si="130"/>
        <v>0</v>
      </c>
      <c r="W400" t="str">
        <f>'H237 Tracker'!I400</f>
        <v>B</v>
      </c>
      <c r="X400">
        <f>'H237 Tracker'!J400</f>
        <v>12</v>
      </c>
      <c r="Y400" t="str">
        <f>'H237 Tracker'!K400</f>
        <v>B</v>
      </c>
      <c r="Z400" s="12">
        <f>'H237 Tracker'!O400</f>
        <v>0</v>
      </c>
      <c r="AA400" s="13">
        <f>'H237 Tracker'!P400</f>
        <v>0</v>
      </c>
      <c r="AB400" s="13">
        <f>'H237 Tracker'!Q400</f>
        <v>0</v>
      </c>
      <c r="AC400" s="13">
        <f t="shared" si="131"/>
        <v>0</v>
      </c>
      <c r="AD400" s="13">
        <f t="shared" si="132"/>
        <v>13327720200347.098</v>
      </c>
      <c r="AE400" s="13">
        <f t="shared" si="133"/>
        <v>13327720200347.098</v>
      </c>
      <c r="AF400" s="13">
        <f t="shared" si="139"/>
        <v>15899849444933.01</v>
      </c>
      <c r="AG400" s="24">
        <f t="shared" si="134"/>
        <v>-0.16177066666537543</v>
      </c>
      <c r="AH400" s="8">
        <f>--(COUNTIF('Tax Events'!$A$4:$A$8,A400)&gt;0)</f>
        <v>0</v>
      </c>
      <c r="AI400" s="8">
        <f>--(COUNTIF('Tax Events'!$B$4:$B$9,A400)&gt;0)</f>
        <v>0</v>
      </c>
    </row>
    <row r="401" spans="1:35">
      <c r="A401" s="4">
        <f>'H237 Tracker'!A401</f>
        <v>45985</v>
      </c>
      <c r="B401" s="13">
        <f t="shared" si="135"/>
        <v>0</v>
      </c>
      <c r="C401" s="13">
        <f t="shared" si="136"/>
        <v>13327720200347.098</v>
      </c>
      <c r="D401" s="13">
        <f t="shared" si="120"/>
        <v>0</v>
      </c>
      <c r="E401" s="13">
        <f t="shared" si="121"/>
        <v>13327720200347.098</v>
      </c>
      <c r="F401" s="13">
        <f>IF(AH401=1,MAX(R400,0)*Parameters!$B$11,0)</f>
        <v>0</v>
      </c>
      <c r="G401" s="13">
        <f>IF(AI401=1,MAX(S400,0)*Parameters!$B$11,0)</f>
        <v>0</v>
      </c>
      <c r="H401" s="13">
        <f t="shared" si="122"/>
        <v>0</v>
      </c>
      <c r="I401" s="13">
        <f t="shared" si="123"/>
        <v>13327720200347.098</v>
      </c>
      <c r="J401" s="13">
        <f t="shared" si="124"/>
        <v>0</v>
      </c>
      <c r="K401" s="13">
        <f t="shared" si="125"/>
        <v>0</v>
      </c>
      <c r="L401" s="13">
        <f t="shared" si="126"/>
        <v>0</v>
      </c>
      <c r="M401" s="13">
        <f t="shared" si="127"/>
        <v>13327720200347.098</v>
      </c>
      <c r="N401" s="13">
        <f>MAX(0,INT(L401*Parameters!$B$14/Parameters!$B$13/Parameters!$B$12)*Parameters!$B$12)</f>
        <v>0</v>
      </c>
      <c r="O401" s="13">
        <f>MAX(0,INT(M401*Parameters!$B$14/Parameters!$B$13/Parameters!$B$12)*Parameters!$B$12)</f>
        <v>8885146800120</v>
      </c>
      <c r="P401" s="13">
        <f>N401*Parameters!$B$13*'H237 Tracker'!B401</f>
        <v>0</v>
      </c>
      <c r="Q401" s="13">
        <f>O401*Parameters!$B$13*'H237 Tracker'!C401</f>
        <v>2971193089960.1279</v>
      </c>
      <c r="R401" s="13">
        <f t="shared" si="137"/>
        <v>0</v>
      </c>
      <c r="S401" s="13">
        <f t="shared" si="138"/>
        <v>15853254698540.77</v>
      </c>
      <c r="T401" s="13">
        <f t="shared" si="128"/>
        <v>0</v>
      </c>
      <c r="U401" s="13">
        <f t="shared" si="129"/>
        <v>16298913290307.227</v>
      </c>
      <c r="V401" s="12">
        <f t="shared" si="130"/>
        <v>0</v>
      </c>
      <c r="W401" t="str">
        <f>'H237 Tracker'!I401</f>
        <v>B</v>
      </c>
      <c r="X401">
        <f>'H237 Tracker'!J401</f>
        <v>13</v>
      </c>
      <c r="Y401" t="str">
        <f>'H237 Tracker'!K401</f>
        <v>B</v>
      </c>
      <c r="Z401" s="12">
        <f>'H237 Tracker'!O401</f>
        <v>0</v>
      </c>
      <c r="AA401" s="13">
        <f>'H237 Tracker'!P401</f>
        <v>0</v>
      </c>
      <c r="AB401" s="13">
        <f>'H237 Tracker'!Q401</f>
        <v>0</v>
      </c>
      <c r="AC401" s="13">
        <f t="shared" si="131"/>
        <v>0</v>
      </c>
      <c r="AD401" s="13">
        <f t="shared" si="132"/>
        <v>16298913290307.227</v>
      </c>
      <c r="AE401" s="13">
        <f t="shared" si="133"/>
        <v>16298913290307.227</v>
      </c>
      <c r="AF401" s="13">
        <f t="shared" si="139"/>
        <v>16298913290307.227</v>
      </c>
      <c r="AG401" s="24">
        <f t="shared" si="134"/>
        <v>0</v>
      </c>
      <c r="AH401" s="8">
        <f>--(COUNTIF('Tax Events'!$A$4:$A$8,A401)&gt;0)</f>
        <v>0</v>
      </c>
      <c r="AI401" s="8">
        <f>--(COUNTIF('Tax Events'!$B$4:$B$9,A401)&gt;0)</f>
        <v>0</v>
      </c>
    </row>
    <row r="402" spans="1:35">
      <c r="A402" s="4">
        <f>'H237 Tracker'!A402</f>
        <v>45992</v>
      </c>
      <c r="B402" s="13">
        <f t="shared" si="135"/>
        <v>0</v>
      </c>
      <c r="C402" s="13">
        <f t="shared" si="136"/>
        <v>16298913290307.227</v>
      </c>
      <c r="D402" s="13">
        <f t="shared" si="120"/>
        <v>0</v>
      </c>
      <c r="E402" s="13">
        <f t="shared" si="121"/>
        <v>16298913290307.227</v>
      </c>
      <c r="F402" s="13">
        <f>IF(AH402=1,MAX(R401,0)*Parameters!$B$11,0)</f>
        <v>0</v>
      </c>
      <c r="G402" s="13">
        <f>IF(AI402=1,MAX(S401,0)*Parameters!$B$11,0)</f>
        <v>0</v>
      </c>
      <c r="H402" s="13">
        <f t="shared" si="122"/>
        <v>0</v>
      </c>
      <c r="I402" s="13">
        <f t="shared" si="123"/>
        <v>16298913290307.227</v>
      </c>
      <c r="J402" s="13">
        <f t="shared" si="124"/>
        <v>0</v>
      </c>
      <c r="K402" s="13">
        <f t="shared" si="125"/>
        <v>0</v>
      </c>
      <c r="L402" s="13">
        <f t="shared" si="126"/>
        <v>0</v>
      </c>
      <c r="M402" s="13">
        <f t="shared" si="127"/>
        <v>16298913290307.227</v>
      </c>
      <c r="N402" s="13">
        <f>MAX(0,INT(L402*Parameters!$B$14/Parameters!$B$13/Parameters!$B$12)*Parameters!$B$12)</f>
        <v>0</v>
      </c>
      <c r="O402" s="13">
        <f>MAX(0,INT(M402*Parameters!$B$14/Parameters!$B$13/Parameters!$B$12)*Parameters!$B$12)</f>
        <v>10865942193440</v>
      </c>
      <c r="P402" s="13">
        <f>N402*Parameters!$B$13*'H237 Tracker'!B402</f>
        <v>0</v>
      </c>
      <c r="Q402" s="13">
        <f>O402*Parameters!$B$13*'H237 Tracker'!C402</f>
        <v>4252929774512.416</v>
      </c>
      <c r="R402" s="13">
        <f t="shared" si="137"/>
        <v>0</v>
      </c>
      <c r="S402" s="13">
        <f t="shared" si="138"/>
        <v>20106184473053.188</v>
      </c>
      <c r="T402" s="13">
        <f t="shared" si="128"/>
        <v>0</v>
      </c>
      <c r="U402" s="13">
        <f t="shared" si="129"/>
        <v>20551843064819.641</v>
      </c>
      <c r="V402" s="12">
        <f t="shared" si="130"/>
        <v>0</v>
      </c>
      <c r="W402" t="str">
        <f>'H237 Tracker'!I402</f>
        <v>B</v>
      </c>
      <c r="X402">
        <f>'H237 Tracker'!J402</f>
        <v>14</v>
      </c>
      <c r="Y402" t="str">
        <f>'H237 Tracker'!K402</f>
        <v>B</v>
      </c>
      <c r="Z402" s="12">
        <f>'H237 Tracker'!O402</f>
        <v>0</v>
      </c>
      <c r="AA402" s="13">
        <f>'H237 Tracker'!P402</f>
        <v>0</v>
      </c>
      <c r="AB402" s="13">
        <f>'H237 Tracker'!Q402</f>
        <v>0</v>
      </c>
      <c r="AC402" s="13">
        <f t="shared" si="131"/>
        <v>0</v>
      </c>
      <c r="AD402" s="13">
        <f t="shared" si="132"/>
        <v>20551843064819.641</v>
      </c>
      <c r="AE402" s="13">
        <f t="shared" si="133"/>
        <v>20551843064819.641</v>
      </c>
      <c r="AF402" s="13">
        <f t="shared" si="139"/>
        <v>20551843064819.641</v>
      </c>
      <c r="AG402" s="24">
        <f t="shared" si="134"/>
        <v>0</v>
      </c>
      <c r="AH402" s="8">
        <f>--(COUNTIF('Tax Events'!$A$4:$A$8,A402)&gt;0)</f>
        <v>0</v>
      </c>
      <c r="AI402" s="8">
        <f>--(COUNTIF('Tax Events'!$B$4:$B$9,A402)&gt;0)</f>
        <v>0</v>
      </c>
    </row>
    <row r="403" spans="1:35">
      <c r="A403" s="4">
        <f>'H237 Tracker'!A403</f>
        <v>45999</v>
      </c>
      <c r="B403" s="13">
        <f t="shared" si="135"/>
        <v>0</v>
      </c>
      <c r="C403" s="13">
        <f t="shared" si="136"/>
        <v>20551843064819.641</v>
      </c>
      <c r="D403" s="13">
        <f t="shared" si="120"/>
        <v>0</v>
      </c>
      <c r="E403" s="13">
        <f t="shared" si="121"/>
        <v>20551843064819.641</v>
      </c>
      <c r="F403" s="13">
        <f>IF(AH403=1,MAX(R402,0)*Parameters!$B$11,0)</f>
        <v>0</v>
      </c>
      <c r="G403" s="13">
        <f>IF(AI403=1,MAX(S402,0)*Parameters!$B$11,0)</f>
        <v>0</v>
      </c>
      <c r="H403" s="13">
        <f t="shared" si="122"/>
        <v>0</v>
      </c>
      <c r="I403" s="13">
        <f t="shared" si="123"/>
        <v>20551843064819.641</v>
      </c>
      <c r="J403" s="13">
        <f t="shared" si="124"/>
        <v>0</v>
      </c>
      <c r="K403" s="13">
        <f t="shared" si="125"/>
        <v>0</v>
      </c>
      <c r="L403" s="13">
        <f t="shared" si="126"/>
        <v>0</v>
      </c>
      <c r="M403" s="13">
        <f t="shared" si="127"/>
        <v>20551843064819.641</v>
      </c>
      <c r="N403" s="13">
        <f>MAX(0,INT(L403*Parameters!$B$14/Parameters!$B$13/Parameters!$B$12)*Parameters!$B$12)</f>
        <v>0</v>
      </c>
      <c r="O403" s="13">
        <f>MAX(0,INT(M403*Parameters!$B$14/Parameters!$B$13/Parameters!$B$12)*Parameters!$B$12)</f>
        <v>13701228709840</v>
      </c>
      <c r="P403" s="13">
        <f>N403*Parameters!$B$13*'H237 Tracker'!B403</f>
        <v>0</v>
      </c>
      <c r="Q403" s="13">
        <f>O403*Parameters!$B$13*'H237 Tracker'!C403</f>
        <v>-1109799525497.04</v>
      </c>
      <c r="R403" s="13">
        <f t="shared" si="137"/>
        <v>0</v>
      </c>
      <c r="S403" s="13">
        <f t="shared" si="138"/>
        <v>18996384947556.148</v>
      </c>
      <c r="T403" s="13">
        <f t="shared" si="128"/>
        <v>0</v>
      </c>
      <c r="U403" s="13">
        <f t="shared" si="129"/>
        <v>19442043539322.602</v>
      </c>
      <c r="V403" s="12">
        <f t="shared" si="130"/>
        <v>0</v>
      </c>
      <c r="W403" t="str">
        <f>'H237 Tracker'!I403</f>
        <v>B</v>
      </c>
      <c r="X403">
        <f>'H237 Tracker'!J403</f>
        <v>15</v>
      </c>
      <c r="Y403" t="str">
        <f>'H237 Tracker'!K403</f>
        <v>B</v>
      </c>
      <c r="Z403" s="12">
        <f>'H237 Tracker'!O403</f>
        <v>0</v>
      </c>
      <c r="AA403" s="13">
        <f>'H237 Tracker'!P403</f>
        <v>0</v>
      </c>
      <c r="AB403" s="13">
        <f>'H237 Tracker'!Q403</f>
        <v>0</v>
      </c>
      <c r="AC403" s="13">
        <f t="shared" si="131"/>
        <v>0</v>
      </c>
      <c r="AD403" s="13">
        <f t="shared" si="132"/>
        <v>19442043539322.602</v>
      </c>
      <c r="AE403" s="13">
        <f t="shared" si="133"/>
        <v>19442043539322.602</v>
      </c>
      <c r="AF403" s="13">
        <f t="shared" si="139"/>
        <v>20551843064819.641</v>
      </c>
      <c r="AG403" s="24">
        <f t="shared" si="134"/>
        <v>-5.3999999999843284E-2</v>
      </c>
      <c r="AH403" s="8">
        <f>--(COUNTIF('Tax Events'!$A$4:$A$8,A403)&gt;0)</f>
        <v>0</v>
      </c>
      <c r="AI403" s="8">
        <f>--(COUNTIF('Tax Events'!$B$4:$B$9,A403)&gt;0)</f>
        <v>0</v>
      </c>
    </row>
    <row r="404" spans="1:35">
      <c r="A404" s="4">
        <f>'H237 Tracker'!A404</f>
        <v>46006</v>
      </c>
      <c r="B404" s="13">
        <f t="shared" si="135"/>
        <v>0</v>
      </c>
      <c r="C404" s="13">
        <f t="shared" si="136"/>
        <v>19442043539322.602</v>
      </c>
      <c r="D404" s="13">
        <f t="shared" si="120"/>
        <v>0</v>
      </c>
      <c r="E404" s="13">
        <f t="shared" si="121"/>
        <v>19442043539322.602</v>
      </c>
      <c r="F404" s="13">
        <f>IF(AH404=1,MAX(R403,0)*Parameters!$B$11,0)</f>
        <v>0</v>
      </c>
      <c r="G404" s="13">
        <f>IF(AI404=1,MAX(S403,0)*Parameters!$B$11,0)</f>
        <v>0</v>
      </c>
      <c r="H404" s="13">
        <f t="shared" si="122"/>
        <v>0</v>
      </c>
      <c r="I404" s="13">
        <f t="shared" si="123"/>
        <v>19442043539322.602</v>
      </c>
      <c r="J404" s="13">
        <f t="shared" si="124"/>
        <v>0</v>
      </c>
      <c r="K404" s="13">
        <f t="shared" si="125"/>
        <v>0</v>
      </c>
      <c r="L404" s="13">
        <f t="shared" si="126"/>
        <v>0</v>
      </c>
      <c r="M404" s="13">
        <f t="shared" si="127"/>
        <v>19442043539322.602</v>
      </c>
      <c r="N404" s="13">
        <f>MAX(0,INT(L404*Parameters!$B$14/Parameters!$B$13/Parameters!$B$12)*Parameters!$B$12)</f>
        <v>0</v>
      </c>
      <c r="O404" s="13">
        <f>MAX(0,INT(M404*Parameters!$B$14/Parameters!$B$13/Parameters!$B$12)*Parameters!$B$12)</f>
        <v>12961362359470</v>
      </c>
      <c r="P404" s="13">
        <f>N404*Parameters!$B$13*'H237 Tracker'!B404</f>
        <v>0</v>
      </c>
      <c r="Q404" s="13">
        <f>O404*Parameters!$B$13*'H237 Tracker'!C404</f>
        <v>-6553264808948.0322</v>
      </c>
      <c r="R404" s="13">
        <f t="shared" si="137"/>
        <v>0</v>
      </c>
      <c r="S404" s="13">
        <f t="shared" si="138"/>
        <v>12443120138608.117</v>
      </c>
      <c r="T404" s="13">
        <f t="shared" si="128"/>
        <v>0</v>
      </c>
      <c r="U404" s="13">
        <f t="shared" si="129"/>
        <v>12888778730374.57</v>
      </c>
      <c r="V404" s="12">
        <f t="shared" si="130"/>
        <v>0</v>
      </c>
      <c r="W404" t="str">
        <f>'H237 Tracker'!I404</f>
        <v>B</v>
      </c>
      <c r="X404">
        <f>'H237 Tracker'!J404</f>
        <v>16</v>
      </c>
      <c r="Y404" t="str">
        <f>'H237 Tracker'!K404</f>
        <v>B</v>
      </c>
      <c r="Z404" s="12">
        <f>'H237 Tracker'!O404</f>
        <v>0</v>
      </c>
      <c r="AA404" s="13">
        <f>'H237 Tracker'!P404</f>
        <v>0</v>
      </c>
      <c r="AB404" s="13">
        <f>'H237 Tracker'!Q404</f>
        <v>0</v>
      </c>
      <c r="AC404" s="13">
        <f t="shared" si="131"/>
        <v>0</v>
      </c>
      <c r="AD404" s="13">
        <f t="shared" si="132"/>
        <v>12888778730374.57</v>
      </c>
      <c r="AE404" s="13">
        <f t="shared" si="133"/>
        <v>12888778730374.57</v>
      </c>
      <c r="AF404" s="13">
        <f t="shared" si="139"/>
        <v>20551843064819.641</v>
      </c>
      <c r="AG404" s="24">
        <f t="shared" si="134"/>
        <v>-0.37286506666463393</v>
      </c>
      <c r="AH404" s="8">
        <f>--(COUNTIF('Tax Events'!$A$4:$A$8,A404)&gt;0)</f>
        <v>0</v>
      </c>
      <c r="AI404" s="8">
        <f>--(COUNTIF('Tax Events'!$B$4:$B$9,A404)&gt;0)</f>
        <v>0</v>
      </c>
    </row>
    <row r="405" spans="1:35">
      <c r="A405" s="4">
        <f>'H237 Tracker'!A405</f>
        <v>46013</v>
      </c>
      <c r="B405" s="13">
        <f t="shared" si="135"/>
        <v>0</v>
      </c>
      <c r="C405" s="13">
        <f t="shared" si="136"/>
        <v>12888778730374.57</v>
      </c>
      <c r="D405" s="13">
        <f t="shared" si="120"/>
        <v>0</v>
      </c>
      <c r="E405" s="13">
        <f t="shared" si="121"/>
        <v>12888778730374.57</v>
      </c>
      <c r="F405" s="13">
        <f>IF(AH405=1,MAX(R404,0)*Parameters!$B$11,0)</f>
        <v>0</v>
      </c>
      <c r="G405" s="13">
        <f>IF(AI405=1,MAX(S404,0)*Parameters!$B$11,0)</f>
        <v>0</v>
      </c>
      <c r="H405" s="13">
        <f t="shared" si="122"/>
        <v>0</v>
      </c>
      <c r="I405" s="13">
        <f t="shared" si="123"/>
        <v>12888778730374.57</v>
      </c>
      <c r="J405" s="13">
        <f t="shared" si="124"/>
        <v>0</v>
      </c>
      <c r="K405" s="13">
        <f t="shared" si="125"/>
        <v>0</v>
      </c>
      <c r="L405" s="13">
        <f t="shared" si="126"/>
        <v>0</v>
      </c>
      <c r="M405" s="13">
        <f t="shared" si="127"/>
        <v>12888778730374.57</v>
      </c>
      <c r="N405" s="13">
        <f>MAX(0,INT(L405*Parameters!$B$14/Parameters!$B$13/Parameters!$B$12)*Parameters!$B$12)</f>
        <v>0</v>
      </c>
      <c r="O405" s="13">
        <f>MAX(0,INT(M405*Parameters!$B$14/Parameters!$B$13/Parameters!$B$12)*Parameters!$B$12)</f>
        <v>8592519153555</v>
      </c>
      <c r="P405" s="13">
        <f>N405*Parameters!$B$13*'H237 Tracker'!B405</f>
        <v>0</v>
      </c>
      <c r="Q405" s="13">
        <f>O405*Parameters!$B$13*'H237 Tracker'!C405</f>
        <v>738956647205.72998</v>
      </c>
      <c r="R405" s="13">
        <f t="shared" si="137"/>
        <v>0</v>
      </c>
      <c r="S405" s="13">
        <f t="shared" si="138"/>
        <v>13182076785813.848</v>
      </c>
      <c r="T405" s="13">
        <f t="shared" si="128"/>
        <v>0</v>
      </c>
      <c r="U405" s="13">
        <f t="shared" si="129"/>
        <v>13627735377580.301</v>
      </c>
      <c r="V405" s="12">
        <f t="shared" si="130"/>
        <v>0</v>
      </c>
      <c r="W405" t="str">
        <f>'H237 Tracker'!I405</f>
        <v>B</v>
      </c>
      <c r="X405">
        <f>'H237 Tracker'!J405</f>
        <v>17</v>
      </c>
      <c r="Y405" t="str">
        <f>'H237 Tracker'!K405</f>
        <v>B</v>
      </c>
      <c r="Z405" s="12">
        <f>'H237 Tracker'!O405</f>
        <v>0</v>
      </c>
      <c r="AA405" s="13">
        <f>'H237 Tracker'!P405</f>
        <v>0</v>
      </c>
      <c r="AB405" s="13">
        <f>'H237 Tracker'!Q405</f>
        <v>0</v>
      </c>
      <c r="AC405" s="13">
        <f t="shared" si="131"/>
        <v>0</v>
      </c>
      <c r="AD405" s="13">
        <f t="shared" si="132"/>
        <v>13627735377580.301</v>
      </c>
      <c r="AE405" s="13">
        <f t="shared" si="133"/>
        <v>13627735377580.301</v>
      </c>
      <c r="AF405" s="13">
        <f t="shared" si="139"/>
        <v>20551843064819.641</v>
      </c>
      <c r="AG405" s="24">
        <f t="shared" si="134"/>
        <v>-0.33690933048685701</v>
      </c>
      <c r="AH405" s="8">
        <f>--(COUNTIF('Tax Events'!$A$4:$A$8,A405)&gt;0)</f>
        <v>0</v>
      </c>
      <c r="AI405" s="8">
        <f>--(COUNTIF('Tax Events'!$B$4:$B$9,A405)&gt;0)</f>
        <v>0</v>
      </c>
    </row>
    <row r="406" spans="1:35">
      <c r="A406" s="4">
        <f>'H237 Tracker'!A406</f>
        <v>46020</v>
      </c>
      <c r="B406" s="13">
        <f t="shared" si="135"/>
        <v>0</v>
      </c>
      <c r="C406" s="13">
        <f t="shared" si="136"/>
        <v>13627735377580.301</v>
      </c>
      <c r="D406" s="13">
        <f t="shared" si="120"/>
        <v>0</v>
      </c>
      <c r="E406" s="13">
        <f t="shared" si="121"/>
        <v>13627735377580.301</v>
      </c>
      <c r="F406" s="13">
        <f>IF(AH406=1,MAX(R405,0)*Parameters!$B$11,0)</f>
        <v>0</v>
      </c>
      <c r="G406" s="13">
        <f>IF(AI406=1,MAX(S405,0)*Parameters!$B$11,0)</f>
        <v>0</v>
      </c>
      <c r="H406" s="13">
        <f t="shared" si="122"/>
        <v>0</v>
      </c>
      <c r="I406" s="13">
        <f t="shared" si="123"/>
        <v>13627735377580.301</v>
      </c>
      <c r="J406" s="13">
        <f t="shared" si="124"/>
        <v>0</v>
      </c>
      <c r="K406" s="13">
        <f t="shared" si="125"/>
        <v>0</v>
      </c>
      <c r="L406" s="13">
        <f t="shared" si="126"/>
        <v>0</v>
      </c>
      <c r="M406" s="13">
        <f t="shared" si="127"/>
        <v>13627735377580.301</v>
      </c>
      <c r="N406" s="13">
        <f>MAX(0,INT(L406*Parameters!$B$14/Parameters!$B$13/Parameters!$B$12)*Parameters!$B$12)</f>
        <v>0</v>
      </c>
      <c r="O406" s="13">
        <f>MAX(0,INT(M406*Parameters!$B$14/Parameters!$B$13/Parameters!$B$12)*Parameters!$B$12)</f>
        <v>9085156918305</v>
      </c>
      <c r="P406" s="13">
        <f>N406*Parameters!$B$13*'H237 Tracker'!B406</f>
        <v>0</v>
      </c>
      <c r="Q406" s="13">
        <f>O406*Parameters!$B$13*'H237 Tracker'!C406</f>
        <v>-721361459313.41687</v>
      </c>
      <c r="R406" s="13">
        <f t="shared" si="137"/>
        <v>0</v>
      </c>
      <c r="S406" s="13">
        <f t="shared" si="138"/>
        <v>12460715326500.432</v>
      </c>
      <c r="T406" s="13">
        <f t="shared" si="128"/>
        <v>0</v>
      </c>
      <c r="U406" s="13">
        <f t="shared" si="129"/>
        <v>12906373918266.885</v>
      </c>
      <c r="V406" s="12">
        <f t="shared" si="130"/>
        <v>0</v>
      </c>
      <c r="W406" t="str">
        <f>'H237 Tracker'!I406</f>
        <v>B</v>
      </c>
      <c r="X406">
        <f>'H237 Tracker'!J406</f>
        <v>18</v>
      </c>
      <c r="Y406" t="str">
        <f>'H237 Tracker'!K406</f>
        <v>B</v>
      </c>
      <c r="Z406" s="12">
        <f>'H237 Tracker'!O406</f>
        <v>0</v>
      </c>
      <c r="AA406" s="13">
        <f>'H237 Tracker'!P406</f>
        <v>0</v>
      </c>
      <c r="AB406" s="13">
        <f>'H237 Tracker'!Q406</f>
        <v>0</v>
      </c>
      <c r="AC406" s="13">
        <f t="shared" si="131"/>
        <v>0</v>
      </c>
      <c r="AD406" s="13">
        <f t="shared" si="132"/>
        <v>12906373918266.885</v>
      </c>
      <c r="AE406" s="13">
        <f t="shared" si="133"/>
        <v>12906373918266.885</v>
      </c>
      <c r="AF406" s="13">
        <f t="shared" si="139"/>
        <v>20551843064819.641</v>
      </c>
      <c r="AG406" s="24">
        <f t="shared" si="134"/>
        <v>-0.37200892992610302</v>
      </c>
      <c r="AH406" s="8">
        <f>--(COUNTIF('Tax Events'!$A$4:$A$8,A406)&gt;0)</f>
        <v>0</v>
      </c>
      <c r="AI406" s="8">
        <f>--(COUNTIF('Tax Events'!$B$4:$B$9,A406)&gt;0)</f>
        <v>0</v>
      </c>
    </row>
    <row r="407" spans="1:35">
      <c r="A407" s="4">
        <f>'H237 Tracker'!A407</f>
        <v>46027</v>
      </c>
      <c r="B407" s="13">
        <f t="shared" si="135"/>
        <v>0</v>
      </c>
      <c r="C407" s="13">
        <f t="shared" si="136"/>
        <v>12906373918266.885</v>
      </c>
      <c r="D407" s="13">
        <f t="shared" si="120"/>
        <v>0</v>
      </c>
      <c r="E407" s="13">
        <f t="shared" si="121"/>
        <v>12906373918266.885</v>
      </c>
      <c r="F407" s="13">
        <f>IF(AH407=1,MAX(R406,0)*Parameters!$B$11,0)</f>
        <v>0</v>
      </c>
      <c r="G407" s="13">
        <f>IF(AI407=1,MAX(S406,0)*Parameters!$B$11,0)</f>
        <v>2367535912035.082</v>
      </c>
      <c r="H407" s="13">
        <f t="shared" si="122"/>
        <v>0</v>
      </c>
      <c r="I407" s="13">
        <f t="shared" si="123"/>
        <v>10538838006231.803</v>
      </c>
      <c r="J407" s="13">
        <f t="shared" si="124"/>
        <v>0</v>
      </c>
      <c r="K407" s="13">
        <f t="shared" si="125"/>
        <v>0</v>
      </c>
      <c r="L407" s="13">
        <f t="shared" si="126"/>
        <v>0</v>
      </c>
      <c r="M407" s="13">
        <f t="shared" si="127"/>
        <v>10538838006231.803</v>
      </c>
      <c r="N407" s="13">
        <f>MAX(0,INT(L407*Parameters!$B$14/Parameters!$B$13/Parameters!$B$12)*Parameters!$B$12)</f>
        <v>0</v>
      </c>
      <c r="O407" s="13">
        <f>MAX(0,INT(M407*Parameters!$B$14/Parameters!$B$13/Parameters!$B$12)*Parameters!$B$12)</f>
        <v>7025892004085</v>
      </c>
      <c r="P407" s="13">
        <f>N407*Parameters!$B$13*'H237 Tracker'!B407</f>
        <v>0</v>
      </c>
      <c r="Q407" s="13">
        <f>O407*Parameters!$B$13*'H237 Tracker'!C407</f>
        <v>1634222480150.1709</v>
      </c>
      <c r="R407" s="13">
        <f t="shared" si="137"/>
        <v>0</v>
      </c>
      <c r="S407" s="13">
        <f t="shared" si="138"/>
        <v>1634222480150.1709</v>
      </c>
      <c r="T407" s="13">
        <f t="shared" si="128"/>
        <v>0</v>
      </c>
      <c r="U407" s="13">
        <f t="shared" si="129"/>
        <v>12173060486381.973</v>
      </c>
      <c r="V407" s="12">
        <f t="shared" si="130"/>
        <v>0</v>
      </c>
      <c r="W407" t="str">
        <f>'H237 Tracker'!I407</f>
        <v>B</v>
      </c>
      <c r="X407">
        <f>'H237 Tracker'!J407</f>
        <v>19</v>
      </c>
      <c r="Y407" t="str">
        <f>'H237 Tracker'!K407</f>
        <v>B</v>
      </c>
      <c r="Z407" s="12">
        <f>'H237 Tracker'!O407</f>
        <v>0</v>
      </c>
      <c r="AA407" s="13">
        <f>'H237 Tracker'!P407</f>
        <v>0</v>
      </c>
      <c r="AB407" s="13">
        <f>'H237 Tracker'!Q407</f>
        <v>0</v>
      </c>
      <c r="AC407" s="13">
        <f t="shared" si="131"/>
        <v>0</v>
      </c>
      <c r="AD407" s="13">
        <f t="shared" si="132"/>
        <v>12173060486381.973</v>
      </c>
      <c r="AE407" s="13">
        <f t="shared" si="133"/>
        <v>12173060486381.973</v>
      </c>
      <c r="AF407" s="13">
        <f t="shared" si="139"/>
        <v>20551843064819.641</v>
      </c>
      <c r="AG407" s="24">
        <f t="shared" si="134"/>
        <v>-0.40769008171244514</v>
      </c>
      <c r="AH407" s="8">
        <f>--(COUNTIF('Tax Events'!$A$4:$A$8,A407)&gt;0)</f>
        <v>1</v>
      </c>
      <c r="AI407" s="8">
        <f>--(COUNTIF('Tax Events'!$B$4:$B$9,A407)&gt;0)</f>
        <v>1</v>
      </c>
    </row>
    <row r="408" spans="1:35">
      <c r="A408" s="4">
        <f>'H237 Tracker'!A408</f>
        <v>46034</v>
      </c>
      <c r="B408" s="13">
        <f t="shared" si="135"/>
        <v>0</v>
      </c>
      <c r="C408" s="13">
        <f t="shared" si="136"/>
        <v>12173060486381.973</v>
      </c>
      <c r="D408" s="13">
        <f t="shared" si="120"/>
        <v>0</v>
      </c>
      <c r="E408" s="13">
        <f t="shared" si="121"/>
        <v>12173060486381.973</v>
      </c>
      <c r="F408" s="13">
        <f>IF(AH408=1,MAX(R407,0)*Parameters!$B$11,0)</f>
        <v>0</v>
      </c>
      <c r="G408" s="13">
        <f>IF(AI408=1,MAX(S407,0)*Parameters!$B$11,0)</f>
        <v>0</v>
      </c>
      <c r="H408" s="13">
        <f t="shared" si="122"/>
        <v>0</v>
      </c>
      <c r="I408" s="13">
        <f t="shared" si="123"/>
        <v>12173060486381.973</v>
      </c>
      <c r="J408" s="13">
        <f t="shared" si="124"/>
        <v>0</v>
      </c>
      <c r="K408" s="13">
        <f t="shared" si="125"/>
        <v>0</v>
      </c>
      <c r="L408" s="13">
        <f t="shared" si="126"/>
        <v>0</v>
      </c>
      <c r="M408" s="13">
        <f t="shared" si="127"/>
        <v>12173060486381.973</v>
      </c>
      <c r="N408" s="13">
        <f>MAX(0,INT(L408*Parameters!$B$14/Parameters!$B$13/Parameters!$B$12)*Parameters!$B$12)</f>
        <v>0</v>
      </c>
      <c r="O408" s="13">
        <f>MAX(0,INT(M408*Parameters!$B$14/Parameters!$B$13/Parameters!$B$12)*Parameters!$B$12)</f>
        <v>8115373657505</v>
      </c>
      <c r="P408" s="13">
        <f>N408*Parameters!$B$13*'H237 Tracker'!B408</f>
        <v>0</v>
      </c>
      <c r="Q408" s="13">
        <f>O408*Parameters!$B$13*'H237 Tracker'!C408</f>
        <v>1319559756710.313</v>
      </c>
      <c r="R408" s="13">
        <f t="shared" si="137"/>
        <v>0</v>
      </c>
      <c r="S408" s="13">
        <f t="shared" si="138"/>
        <v>2953782236860.4839</v>
      </c>
      <c r="T408" s="13">
        <f t="shared" si="128"/>
        <v>0</v>
      </c>
      <c r="U408" s="13">
        <f t="shared" si="129"/>
        <v>13492620243092.285</v>
      </c>
      <c r="V408" s="12">
        <f t="shared" si="130"/>
        <v>0</v>
      </c>
      <c r="W408" t="str">
        <f>'H237 Tracker'!I408</f>
        <v>B</v>
      </c>
      <c r="X408">
        <f>'H237 Tracker'!J408</f>
        <v>20</v>
      </c>
      <c r="Y408" t="str">
        <f>'H237 Tracker'!K408</f>
        <v>B</v>
      </c>
      <c r="Z408" s="12">
        <f>'H237 Tracker'!O408</f>
        <v>0</v>
      </c>
      <c r="AA408" s="13">
        <f>'H237 Tracker'!P408</f>
        <v>0</v>
      </c>
      <c r="AB408" s="13">
        <f>'H237 Tracker'!Q408</f>
        <v>0</v>
      </c>
      <c r="AC408" s="13">
        <f t="shared" si="131"/>
        <v>0</v>
      </c>
      <c r="AD408" s="13">
        <f t="shared" si="132"/>
        <v>13492620243092.285</v>
      </c>
      <c r="AE408" s="13">
        <f t="shared" si="133"/>
        <v>13492620243092.285</v>
      </c>
      <c r="AF408" s="13">
        <f t="shared" si="139"/>
        <v>20551843064819.641</v>
      </c>
      <c r="AG408" s="24">
        <f t="shared" si="134"/>
        <v>-0.3434836865707307</v>
      </c>
      <c r="AH408" s="8">
        <f>--(COUNTIF('Tax Events'!$A$4:$A$8,A408)&gt;0)</f>
        <v>0</v>
      </c>
      <c r="AI408" s="8">
        <f>--(COUNTIF('Tax Events'!$B$4:$B$9,A408)&gt;0)</f>
        <v>0</v>
      </c>
    </row>
    <row r="409" spans="1:35">
      <c r="A409" s="4">
        <f>'H237 Tracker'!A409</f>
        <v>46041</v>
      </c>
      <c r="B409" s="13">
        <f t="shared" si="135"/>
        <v>0</v>
      </c>
      <c r="C409" s="13">
        <f t="shared" si="136"/>
        <v>13492620243092.285</v>
      </c>
      <c r="D409" s="13">
        <f t="shared" si="120"/>
        <v>0</v>
      </c>
      <c r="E409" s="13">
        <f t="shared" si="121"/>
        <v>13492620243092.285</v>
      </c>
      <c r="F409" s="13">
        <f>IF(AH409=1,MAX(R408,0)*Parameters!$B$11,0)</f>
        <v>0</v>
      </c>
      <c r="G409" s="13">
        <f>IF(AI409=1,MAX(S408,0)*Parameters!$B$11,0)</f>
        <v>0</v>
      </c>
      <c r="H409" s="13">
        <f t="shared" si="122"/>
        <v>0</v>
      </c>
      <c r="I409" s="13">
        <f t="shared" si="123"/>
        <v>13492620243092.285</v>
      </c>
      <c r="J409" s="13">
        <f t="shared" si="124"/>
        <v>0</v>
      </c>
      <c r="K409" s="13">
        <f t="shared" si="125"/>
        <v>0</v>
      </c>
      <c r="L409" s="13">
        <f t="shared" si="126"/>
        <v>0</v>
      </c>
      <c r="M409" s="13">
        <f t="shared" si="127"/>
        <v>13492620243092.285</v>
      </c>
      <c r="N409" s="13">
        <f>MAX(0,INT(L409*Parameters!$B$14/Parameters!$B$13/Parameters!$B$12)*Parameters!$B$12)</f>
        <v>0</v>
      </c>
      <c r="O409" s="13">
        <f>MAX(0,INT(M409*Parameters!$B$14/Parameters!$B$13/Parameters!$B$12)*Parameters!$B$12)</f>
        <v>8995080161975</v>
      </c>
      <c r="P409" s="13">
        <f>N409*Parameters!$B$13*'H237 Tracker'!B409</f>
        <v>0</v>
      </c>
      <c r="Q409" s="13">
        <f>O409*Parameters!$B$13*'H237 Tracker'!C409</f>
        <v>3637610417502.6899</v>
      </c>
      <c r="R409" s="13">
        <f t="shared" si="137"/>
        <v>0</v>
      </c>
      <c r="S409" s="13">
        <f t="shared" si="138"/>
        <v>6591392654363.1738</v>
      </c>
      <c r="T409" s="13">
        <f t="shared" si="128"/>
        <v>0</v>
      </c>
      <c r="U409" s="13">
        <f t="shared" si="129"/>
        <v>17130230660594.975</v>
      </c>
      <c r="V409" s="12">
        <f t="shared" si="130"/>
        <v>0</v>
      </c>
      <c r="W409" t="str">
        <f>'H237 Tracker'!I409</f>
        <v>B</v>
      </c>
      <c r="X409">
        <f>'H237 Tracker'!J409</f>
        <v>21</v>
      </c>
      <c r="Y409" t="str">
        <f>'H237 Tracker'!K409</f>
        <v>B</v>
      </c>
      <c r="Z409" s="12">
        <f>'H237 Tracker'!O409</f>
        <v>0</v>
      </c>
      <c r="AA409" s="13">
        <f>'H237 Tracker'!P409</f>
        <v>0</v>
      </c>
      <c r="AB409" s="13">
        <f>'H237 Tracker'!Q409</f>
        <v>0</v>
      </c>
      <c r="AC409" s="13">
        <f t="shared" si="131"/>
        <v>0</v>
      </c>
      <c r="AD409" s="13">
        <f t="shared" si="132"/>
        <v>17130230660594.975</v>
      </c>
      <c r="AE409" s="13">
        <f t="shared" si="133"/>
        <v>17130230660594.975</v>
      </c>
      <c r="AF409" s="13">
        <f t="shared" si="139"/>
        <v>20551843064819.641</v>
      </c>
      <c r="AG409" s="24">
        <f t="shared" si="134"/>
        <v>-0.16648688847190229</v>
      </c>
      <c r="AH409" s="8">
        <f>--(COUNTIF('Tax Events'!$A$4:$A$8,A409)&gt;0)</f>
        <v>0</v>
      </c>
      <c r="AI409" s="8">
        <f>--(COUNTIF('Tax Events'!$B$4:$B$9,A409)&gt;0)</f>
        <v>0</v>
      </c>
    </row>
    <row r="410" spans="1:35">
      <c r="A410" s="4">
        <f>'H237 Tracker'!A410</f>
        <v>46048</v>
      </c>
      <c r="B410" s="13">
        <f t="shared" si="135"/>
        <v>0</v>
      </c>
      <c r="C410" s="13">
        <f t="shared" si="136"/>
        <v>17130230660594.975</v>
      </c>
      <c r="D410" s="13">
        <f t="shared" si="120"/>
        <v>0</v>
      </c>
      <c r="E410" s="13">
        <f t="shared" si="121"/>
        <v>17130230660594.975</v>
      </c>
      <c r="F410" s="13">
        <f>IF(AH410=1,MAX(R409,0)*Parameters!$B$11,0)</f>
        <v>0</v>
      </c>
      <c r="G410" s="13">
        <f>IF(AI410=1,MAX(S409,0)*Parameters!$B$11,0)</f>
        <v>0</v>
      </c>
      <c r="H410" s="13">
        <f t="shared" si="122"/>
        <v>0</v>
      </c>
      <c r="I410" s="13">
        <f t="shared" si="123"/>
        <v>17130230660594.975</v>
      </c>
      <c r="J410" s="13">
        <f t="shared" si="124"/>
        <v>0</v>
      </c>
      <c r="K410" s="13">
        <f t="shared" si="125"/>
        <v>0</v>
      </c>
      <c r="L410" s="13">
        <f t="shared" si="126"/>
        <v>0</v>
      </c>
      <c r="M410" s="13">
        <f t="shared" si="127"/>
        <v>17130230660594.975</v>
      </c>
      <c r="N410" s="13">
        <f>MAX(0,INT(L410*Parameters!$B$14/Parameters!$B$13/Parameters!$B$12)*Parameters!$B$12)</f>
        <v>0</v>
      </c>
      <c r="O410" s="13">
        <f>MAX(0,INT(M410*Parameters!$B$14/Parameters!$B$13/Parameters!$B$12)*Parameters!$B$12)</f>
        <v>11420153773620</v>
      </c>
      <c r="P410" s="13">
        <f>N410*Parameters!$B$13*'H237 Tracker'!B410</f>
        <v>0</v>
      </c>
      <c r="Q410" s="13">
        <f>O410*Parameters!$B$13*'H237 Tracker'!C410</f>
        <v>-913612301889.59998</v>
      </c>
      <c r="R410" s="13">
        <f t="shared" si="137"/>
        <v>0</v>
      </c>
      <c r="S410" s="13">
        <f t="shared" si="138"/>
        <v>5677780352473.5742</v>
      </c>
      <c r="T410" s="13">
        <f t="shared" si="128"/>
        <v>0</v>
      </c>
      <c r="U410" s="13">
        <f t="shared" si="129"/>
        <v>16216618358705.375</v>
      </c>
      <c r="V410" s="12">
        <f t="shared" si="130"/>
        <v>0</v>
      </c>
      <c r="W410" t="str">
        <f>'H237 Tracker'!I410</f>
        <v>B</v>
      </c>
      <c r="X410">
        <f>'H237 Tracker'!J410</f>
        <v>22</v>
      </c>
      <c r="Y410" t="str">
        <f>'H237 Tracker'!K410</f>
        <v>B</v>
      </c>
      <c r="Z410" s="12">
        <f>'H237 Tracker'!O410</f>
        <v>0</v>
      </c>
      <c r="AA410" s="13">
        <f>'H237 Tracker'!P410</f>
        <v>0</v>
      </c>
      <c r="AB410" s="13">
        <f>'H237 Tracker'!Q410</f>
        <v>0</v>
      </c>
      <c r="AC410" s="13">
        <f t="shared" si="131"/>
        <v>0</v>
      </c>
      <c r="AD410" s="13">
        <f t="shared" si="132"/>
        <v>16216618358705.375</v>
      </c>
      <c r="AE410" s="13">
        <f t="shared" si="133"/>
        <v>16216618358705.375</v>
      </c>
      <c r="AF410" s="13">
        <f t="shared" si="139"/>
        <v>20551843064819.641</v>
      </c>
      <c r="AG410" s="24">
        <f t="shared" si="134"/>
        <v>-0.21094092108630602</v>
      </c>
      <c r="AH410" s="8">
        <f>--(COUNTIF('Tax Events'!$A$4:$A$8,A410)&gt;0)</f>
        <v>0</v>
      </c>
      <c r="AI410" s="8">
        <f>--(COUNTIF('Tax Events'!$B$4:$B$9,A410)&gt;0)</f>
        <v>0</v>
      </c>
    </row>
    <row r="411" spans="1:35">
      <c r="A411" s="4">
        <f>'H237 Tracker'!A411</f>
        <v>46055</v>
      </c>
      <c r="B411" s="13">
        <f t="shared" si="135"/>
        <v>0</v>
      </c>
      <c r="C411" s="13">
        <f t="shared" si="136"/>
        <v>16216618358705.375</v>
      </c>
      <c r="D411" s="13">
        <f t="shared" si="120"/>
        <v>0</v>
      </c>
      <c r="E411" s="13">
        <f t="shared" si="121"/>
        <v>16216618358705.375</v>
      </c>
      <c r="F411" s="13">
        <f>IF(AH411=1,MAX(R410,0)*Parameters!$B$11,0)</f>
        <v>0</v>
      </c>
      <c r="G411" s="13">
        <f>IF(AI411=1,MAX(S410,0)*Parameters!$B$11,0)</f>
        <v>0</v>
      </c>
      <c r="H411" s="13">
        <f t="shared" si="122"/>
        <v>0</v>
      </c>
      <c r="I411" s="13">
        <f t="shared" si="123"/>
        <v>16216618358705.375</v>
      </c>
      <c r="J411" s="13">
        <f t="shared" si="124"/>
        <v>0</v>
      </c>
      <c r="K411" s="13">
        <f t="shared" si="125"/>
        <v>0</v>
      </c>
      <c r="L411" s="13">
        <f t="shared" si="126"/>
        <v>0</v>
      </c>
      <c r="M411" s="13">
        <f t="shared" si="127"/>
        <v>16216618358705.375</v>
      </c>
      <c r="N411" s="13">
        <f>MAX(0,INT(L411*Parameters!$B$14/Parameters!$B$13/Parameters!$B$12)*Parameters!$B$12)</f>
        <v>0</v>
      </c>
      <c r="O411" s="13">
        <f>MAX(0,INT(M411*Parameters!$B$14/Parameters!$B$13/Parameters!$B$12)*Parameters!$B$12)</f>
        <v>10811078905735</v>
      </c>
      <c r="P411" s="13">
        <f>N411*Parameters!$B$13*'H237 Tracker'!B411</f>
        <v>0</v>
      </c>
      <c r="Q411" s="13">
        <f>O411*Parameters!$B$13*'H237 Tracker'!C411</f>
        <v>2503845874568.2261</v>
      </c>
      <c r="R411" s="13">
        <f t="shared" si="137"/>
        <v>0</v>
      </c>
      <c r="S411" s="13">
        <f t="shared" si="138"/>
        <v>8181626227041.8008</v>
      </c>
      <c r="T411" s="13">
        <f t="shared" si="128"/>
        <v>0</v>
      </c>
      <c r="U411" s="13">
        <f t="shared" si="129"/>
        <v>18720464233273.602</v>
      </c>
      <c r="V411" s="12">
        <f t="shared" si="130"/>
        <v>0</v>
      </c>
      <c r="W411" t="str">
        <f>'H237 Tracker'!I411</f>
        <v>B</v>
      </c>
      <c r="X411">
        <f>'H237 Tracker'!J411</f>
        <v>23</v>
      </c>
      <c r="Y411" t="str">
        <f>'H237 Tracker'!K411</f>
        <v>B</v>
      </c>
      <c r="Z411" s="12">
        <f>'H237 Tracker'!O411</f>
        <v>0</v>
      </c>
      <c r="AA411" s="13">
        <f>'H237 Tracker'!P411</f>
        <v>0</v>
      </c>
      <c r="AB411" s="13">
        <f>'H237 Tracker'!Q411</f>
        <v>0</v>
      </c>
      <c r="AC411" s="13">
        <f t="shared" si="131"/>
        <v>0</v>
      </c>
      <c r="AD411" s="13">
        <f t="shared" si="132"/>
        <v>18720464233273.602</v>
      </c>
      <c r="AE411" s="13">
        <f t="shared" si="133"/>
        <v>18720464233273.602</v>
      </c>
      <c r="AF411" s="13">
        <f t="shared" si="139"/>
        <v>20551843064819.641</v>
      </c>
      <c r="AG411" s="24">
        <f t="shared" si="134"/>
        <v>-8.9110199302804505E-2</v>
      </c>
      <c r="AH411" s="8">
        <f>--(COUNTIF('Tax Events'!$A$4:$A$8,A411)&gt;0)</f>
        <v>0</v>
      </c>
      <c r="AI411" s="8">
        <f>--(COUNTIF('Tax Events'!$B$4:$B$9,A411)&gt;0)</f>
        <v>0</v>
      </c>
    </row>
    <row r="412" spans="1:35">
      <c r="A412" s="4">
        <f>'H237 Tracker'!A412</f>
        <v>46062</v>
      </c>
      <c r="B412" s="13">
        <f t="shared" si="135"/>
        <v>0</v>
      </c>
      <c r="C412" s="13">
        <f t="shared" si="136"/>
        <v>18720464233273.602</v>
      </c>
      <c r="D412" s="13">
        <f t="shared" si="120"/>
        <v>0</v>
      </c>
      <c r="E412" s="13">
        <f t="shared" si="121"/>
        <v>18720464233273.602</v>
      </c>
      <c r="F412" s="13">
        <f>IF(AH412=1,MAX(R411,0)*Parameters!$B$11,0)</f>
        <v>0</v>
      </c>
      <c r="G412" s="13">
        <f>IF(AI412=1,MAX(S411,0)*Parameters!$B$11,0)</f>
        <v>0</v>
      </c>
      <c r="H412" s="13">
        <f t="shared" si="122"/>
        <v>0</v>
      </c>
      <c r="I412" s="13">
        <f t="shared" si="123"/>
        <v>18720464233273.602</v>
      </c>
      <c r="J412" s="13">
        <f t="shared" si="124"/>
        <v>0</v>
      </c>
      <c r="K412" s="13">
        <f t="shared" si="125"/>
        <v>0</v>
      </c>
      <c r="L412" s="13">
        <f t="shared" si="126"/>
        <v>0</v>
      </c>
      <c r="M412" s="13">
        <f t="shared" si="127"/>
        <v>18720464233273.602</v>
      </c>
      <c r="N412" s="13">
        <f>MAX(0,INT(L412*Parameters!$B$14/Parameters!$B$13/Parameters!$B$12)*Parameters!$B$12)</f>
        <v>0</v>
      </c>
      <c r="O412" s="13">
        <f>MAX(0,INT(M412*Parameters!$B$14/Parameters!$B$13/Parameters!$B$12)*Parameters!$B$12)</f>
        <v>12480309488755</v>
      </c>
      <c r="P412" s="13">
        <f>N412*Parameters!$B$13*'H237 Tracker'!B412</f>
        <v>0</v>
      </c>
      <c r="Q412" s="13">
        <f>O412*Parameters!$B$13*'H237 Tracker'!C412</f>
        <v>2935368791755.1758</v>
      </c>
      <c r="R412" s="13">
        <f t="shared" si="137"/>
        <v>0</v>
      </c>
      <c r="S412" s="13">
        <f t="shared" si="138"/>
        <v>11116995018796.977</v>
      </c>
      <c r="T412" s="13">
        <f t="shared" si="128"/>
        <v>0</v>
      </c>
      <c r="U412" s="13">
        <f t="shared" si="129"/>
        <v>21655833025028.777</v>
      </c>
      <c r="V412" s="12">
        <f t="shared" si="130"/>
        <v>0</v>
      </c>
      <c r="W412" t="str">
        <f>'H237 Tracker'!I412</f>
        <v>B</v>
      </c>
      <c r="X412">
        <f>'H237 Tracker'!J412</f>
        <v>24</v>
      </c>
      <c r="Y412" t="str">
        <f>'H237 Tracker'!K412</f>
        <v>B</v>
      </c>
      <c r="Z412" s="12">
        <f>'H237 Tracker'!O412</f>
        <v>0</v>
      </c>
      <c r="AA412" s="13">
        <f>'H237 Tracker'!P412</f>
        <v>0</v>
      </c>
      <c r="AB412" s="13">
        <f>'H237 Tracker'!Q412</f>
        <v>0</v>
      </c>
      <c r="AC412" s="13">
        <f t="shared" si="131"/>
        <v>0</v>
      </c>
      <c r="AD412" s="13">
        <f t="shared" si="132"/>
        <v>21655833025028.777</v>
      </c>
      <c r="AE412" s="13">
        <f t="shared" si="133"/>
        <v>21655833025028.777</v>
      </c>
      <c r="AF412" s="13">
        <f t="shared" si="139"/>
        <v>21655833025028.777</v>
      </c>
      <c r="AG412" s="24">
        <f t="shared" si="134"/>
        <v>0</v>
      </c>
      <c r="AH412" s="8">
        <f>--(COUNTIF('Tax Events'!$A$4:$A$8,A412)&gt;0)</f>
        <v>0</v>
      </c>
      <c r="AI412" s="8">
        <f>--(COUNTIF('Tax Events'!$B$4:$B$9,A412)&gt;0)</f>
        <v>0</v>
      </c>
    </row>
    <row r="413" spans="1:35">
      <c r="A413" s="4">
        <f>'H237 Tracker'!A413</f>
        <v>46069</v>
      </c>
      <c r="B413" s="13">
        <f t="shared" si="135"/>
        <v>0</v>
      </c>
      <c r="C413" s="13">
        <f t="shared" si="136"/>
        <v>21655833025028.777</v>
      </c>
      <c r="D413" s="13">
        <f t="shared" si="120"/>
        <v>0</v>
      </c>
      <c r="E413" s="13">
        <f t="shared" si="121"/>
        <v>21655833025028.777</v>
      </c>
      <c r="F413" s="13">
        <f>IF(AH413=1,MAX(R412,0)*Parameters!$B$11,0)</f>
        <v>0</v>
      </c>
      <c r="G413" s="13">
        <f>IF(AI413=1,MAX(S412,0)*Parameters!$B$11,0)</f>
        <v>0</v>
      </c>
      <c r="H413" s="13">
        <f t="shared" si="122"/>
        <v>0</v>
      </c>
      <c r="I413" s="13">
        <f t="shared" si="123"/>
        <v>21655833025028.777</v>
      </c>
      <c r="J413" s="13">
        <f t="shared" si="124"/>
        <v>0</v>
      </c>
      <c r="K413" s="13">
        <f t="shared" si="125"/>
        <v>0</v>
      </c>
      <c r="L413" s="13">
        <f t="shared" si="126"/>
        <v>0</v>
      </c>
      <c r="M413" s="13">
        <f t="shared" si="127"/>
        <v>21655833025028.777</v>
      </c>
      <c r="N413" s="13">
        <f>MAX(0,INT(L413*Parameters!$B$14/Parameters!$B$13/Parameters!$B$12)*Parameters!$B$12)</f>
        <v>0</v>
      </c>
      <c r="O413" s="13">
        <f>MAX(0,INT(M413*Parameters!$B$14/Parameters!$B$13/Parameters!$B$12)*Parameters!$B$12)</f>
        <v>14437222016610</v>
      </c>
      <c r="P413" s="13">
        <f>N413*Parameters!$B$13*'H237 Tracker'!B413</f>
        <v>0</v>
      </c>
      <c r="Q413" s="13">
        <f>O413*Parameters!$B$13*'H237 Tracker'!C413</f>
        <v>4943304818487.2637</v>
      </c>
      <c r="R413" s="13">
        <f t="shared" si="137"/>
        <v>0</v>
      </c>
      <c r="S413" s="13">
        <f t="shared" si="138"/>
        <v>16060299837284.24</v>
      </c>
      <c r="T413" s="13">
        <f t="shared" si="128"/>
        <v>0</v>
      </c>
      <c r="U413" s="13">
        <f t="shared" si="129"/>
        <v>26599137843516.039</v>
      </c>
      <c r="V413" s="12">
        <f t="shared" si="130"/>
        <v>0</v>
      </c>
      <c r="W413" t="str">
        <f>'H237 Tracker'!I413</f>
        <v>B</v>
      </c>
      <c r="X413">
        <f>'H237 Tracker'!J413</f>
        <v>25</v>
      </c>
      <c r="Y413" t="str">
        <f>'H237 Tracker'!K413</f>
        <v>B</v>
      </c>
      <c r="Z413" s="12">
        <f>'H237 Tracker'!O413</f>
        <v>0</v>
      </c>
      <c r="AA413" s="13">
        <f>'H237 Tracker'!P413</f>
        <v>0</v>
      </c>
      <c r="AB413" s="13">
        <f>'H237 Tracker'!Q413</f>
        <v>0</v>
      </c>
      <c r="AC413" s="13">
        <f t="shared" si="131"/>
        <v>0</v>
      </c>
      <c r="AD413" s="13">
        <f t="shared" si="132"/>
        <v>26599137843516.039</v>
      </c>
      <c r="AE413" s="13">
        <f t="shared" si="133"/>
        <v>26599137843516.039</v>
      </c>
      <c r="AF413" s="13">
        <f t="shared" si="139"/>
        <v>26599137843516.039</v>
      </c>
      <c r="AG413" s="24">
        <f t="shared" si="134"/>
        <v>0</v>
      </c>
      <c r="AH413" s="8">
        <f>--(COUNTIF('Tax Events'!$A$4:$A$8,A413)&gt;0)</f>
        <v>0</v>
      </c>
      <c r="AI413" s="8">
        <f>--(COUNTIF('Tax Events'!$B$4:$B$9,A413)&gt;0)</f>
        <v>0</v>
      </c>
    </row>
    <row r="414" spans="1:35">
      <c r="A414" s="4">
        <f>'H237 Tracker'!A414</f>
        <v>46076</v>
      </c>
      <c r="B414" s="13">
        <f t="shared" si="135"/>
        <v>0</v>
      </c>
      <c r="C414" s="13">
        <f t="shared" si="136"/>
        <v>26599137843516.039</v>
      </c>
      <c r="D414" s="13">
        <f t="shared" si="120"/>
        <v>0</v>
      </c>
      <c r="E414" s="13">
        <f t="shared" si="121"/>
        <v>26599137843516.039</v>
      </c>
      <c r="F414" s="13">
        <f>IF(AH414=1,MAX(R413,0)*Parameters!$B$11,0)</f>
        <v>0</v>
      </c>
      <c r="G414" s="13">
        <f>IF(AI414=1,MAX(S413,0)*Parameters!$B$11,0)</f>
        <v>0</v>
      </c>
      <c r="H414" s="13">
        <f t="shared" si="122"/>
        <v>0</v>
      </c>
      <c r="I414" s="13">
        <f t="shared" si="123"/>
        <v>26599137843516.039</v>
      </c>
      <c r="J414" s="13">
        <f t="shared" si="124"/>
        <v>0</v>
      </c>
      <c r="K414" s="13">
        <f t="shared" si="125"/>
        <v>0</v>
      </c>
      <c r="L414" s="13">
        <f t="shared" si="126"/>
        <v>0</v>
      </c>
      <c r="M414" s="13">
        <f t="shared" si="127"/>
        <v>26599137843516.039</v>
      </c>
      <c r="N414" s="13">
        <f>MAX(0,INT(L414*Parameters!$B$14/Parameters!$B$13/Parameters!$B$12)*Parameters!$B$12)</f>
        <v>0</v>
      </c>
      <c r="O414" s="13">
        <f>MAX(0,INT(M414*Parameters!$B$14/Parameters!$B$13/Parameters!$B$12)*Parameters!$B$12)</f>
        <v>17732758562330</v>
      </c>
      <c r="P414" s="13">
        <f>N414*Parameters!$B$13*'H237 Tracker'!B414</f>
        <v>0</v>
      </c>
      <c r="Q414" s="13">
        <f>O414*Parameters!$B$13*'H237 Tracker'!C414</f>
        <v>-1418620684986.4001</v>
      </c>
      <c r="R414" s="13">
        <f t="shared" si="137"/>
        <v>0</v>
      </c>
      <c r="S414" s="13">
        <f t="shared" si="138"/>
        <v>14641679152297.84</v>
      </c>
      <c r="T414" s="13">
        <f t="shared" si="128"/>
        <v>0</v>
      </c>
      <c r="U414" s="13">
        <f t="shared" si="129"/>
        <v>25180517158529.641</v>
      </c>
      <c r="V414" s="12">
        <f t="shared" si="130"/>
        <v>0</v>
      </c>
      <c r="W414" t="str">
        <f>'H237 Tracker'!I414</f>
        <v>B</v>
      </c>
      <c r="X414">
        <f>'H237 Tracker'!J414</f>
        <v>26</v>
      </c>
      <c r="Y414" t="str">
        <f>'H237 Tracker'!K414</f>
        <v>B</v>
      </c>
      <c r="Z414" s="12">
        <f>'H237 Tracker'!O414</f>
        <v>0</v>
      </c>
      <c r="AA414" s="13">
        <f>'H237 Tracker'!P414</f>
        <v>0</v>
      </c>
      <c r="AB414" s="13">
        <f>'H237 Tracker'!Q414</f>
        <v>0</v>
      </c>
      <c r="AC414" s="13">
        <f t="shared" si="131"/>
        <v>0</v>
      </c>
      <c r="AD414" s="13">
        <f t="shared" si="132"/>
        <v>25180517158529.641</v>
      </c>
      <c r="AE414" s="13">
        <f t="shared" si="133"/>
        <v>25180517158529.641</v>
      </c>
      <c r="AF414" s="13">
        <f t="shared" si="139"/>
        <v>26599137843516.039</v>
      </c>
      <c r="AG414" s="24">
        <f t="shared" si="134"/>
        <v>-5.3333333333291044E-2</v>
      </c>
      <c r="AH414" s="8">
        <f>--(COUNTIF('Tax Events'!$A$4:$A$8,A414)&gt;0)</f>
        <v>0</v>
      </c>
      <c r="AI414" s="8">
        <f>--(COUNTIF('Tax Events'!$B$4:$B$9,A414)&gt;0)</f>
        <v>0</v>
      </c>
    </row>
    <row r="415" spans="1:35">
      <c r="A415" s="4">
        <f>'H237 Tracker'!A415</f>
        <v>46083</v>
      </c>
      <c r="B415" s="13">
        <f t="shared" si="135"/>
        <v>0</v>
      </c>
      <c r="C415" s="13">
        <f t="shared" si="136"/>
        <v>25180517158529.641</v>
      </c>
      <c r="D415" s="13">
        <f t="shared" si="120"/>
        <v>0</v>
      </c>
      <c r="E415" s="13">
        <f t="shared" si="121"/>
        <v>25180517158529.641</v>
      </c>
      <c r="F415" s="13">
        <f>IF(AH415=1,MAX(R414,0)*Parameters!$B$11,0)</f>
        <v>0</v>
      </c>
      <c r="G415" s="13">
        <f>IF(AI415=1,MAX(S414,0)*Parameters!$B$11,0)</f>
        <v>0</v>
      </c>
      <c r="H415" s="13">
        <f t="shared" si="122"/>
        <v>0</v>
      </c>
      <c r="I415" s="13">
        <f t="shared" si="123"/>
        <v>25180517158529.641</v>
      </c>
      <c r="J415" s="13">
        <f t="shared" si="124"/>
        <v>0</v>
      </c>
      <c r="K415" s="13">
        <f t="shared" si="125"/>
        <v>0</v>
      </c>
      <c r="L415" s="13">
        <f t="shared" si="126"/>
        <v>0</v>
      </c>
      <c r="M415" s="13">
        <f t="shared" si="127"/>
        <v>25180517158529.641</v>
      </c>
      <c r="N415" s="13">
        <f>MAX(0,INT(L415*Parameters!$B$14/Parameters!$B$13/Parameters!$B$12)*Parameters!$B$12)</f>
        <v>0</v>
      </c>
      <c r="O415" s="13">
        <f>MAX(0,INT(M415*Parameters!$B$14/Parameters!$B$13/Parameters!$B$12)*Parameters!$B$12)</f>
        <v>16787011438995</v>
      </c>
      <c r="P415" s="13">
        <f>N415*Parameters!$B$13*'H237 Tracker'!B415</f>
        <v>0</v>
      </c>
      <c r="Q415" s="13">
        <f>O415*Parameters!$B$13*'H237 Tracker'!C415</f>
        <v>5096536672878.8818</v>
      </c>
      <c r="R415" s="13">
        <f t="shared" si="137"/>
        <v>0</v>
      </c>
      <c r="S415" s="13">
        <f t="shared" si="138"/>
        <v>19738215825176.723</v>
      </c>
      <c r="T415" s="13">
        <f t="shared" si="128"/>
        <v>0</v>
      </c>
      <c r="U415" s="13">
        <f t="shared" si="129"/>
        <v>30277053831408.523</v>
      </c>
      <c r="V415" s="12">
        <f t="shared" si="130"/>
        <v>0</v>
      </c>
      <c r="W415" t="str">
        <f>'H237 Tracker'!I415</f>
        <v>HOLD</v>
      </c>
      <c r="X415">
        <f>'H237 Tracker'!J415</f>
        <v>0</v>
      </c>
      <c r="Y415" t="str">
        <f>'H237 Tracker'!K415</f>
        <v>HOLD</v>
      </c>
      <c r="Z415" s="12">
        <f>'H237 Tracker'!O415</f>
        <v>0</v>
      </c>
      <c r="AA415" s="13">
        <f>'H237 Tracker'!P415</f>
        <v>0</v>
      </c>
      <c r="AB415" s="13">
        <f>'H237 Tracker'!Q415</f>
        <v>0</v>
      </c>
      <c r="AC415" s="13">
        <f t="shared" si="131"/>
        <v>0</v>
      </c>
      <c r="AD415" s="13">
        <f t="shared" si="132"/>
        <v>30277053831408.523</v>
      </c>
      <c r="AE415" s="13">
        <f t="shared" si="133"/>
        <v>30277053831408.523</v>
      </c>
      <c r="AF415" s="13">
        <f t="shared" si="139"/>
        <v>30277053831408.523</v>
      </c>
      <c r="AG415" s="24">
        <f t="shared" si="134"/>
        <v>0</v>
      </c>
      <c r="AH415" s="8">
        <f>--(COUNTIF('Tax Events'!$A$4:$A$8,A415)&gt;0)</f>
        <v>0</v>
      </c>
      <c r="AI415" s="8">
        <f>--(COUNTIF('Tax Events'!$B$4:$B$9,A415)&gt;0)</f>
        <v>0</v>
      </c>
    </row>
    <row r="416" spans="1:35">
      <c r="A416" s="4">
        <f>'H237 Tracker'!A416</f>
        <v>46090</v>
      </c>
      <c r="B416" s="13">
        <f t="shared" si="135"/>
        <v>0</v>
      </c>
      <c r="C416" s="13">
        <f t="shared" si="136"/>
        <v>30277053831408.523</v>
      </c>
      <c r="D416" s="13">
        <f t="shared" si="120"/>
        <v>0</v>
      </c>
      <c r="E416" s="13">
        <f t="shared" si="121"/>
        <v>30277053831408.523</v>
      </c>
      <c r="F416" s="13">
        <f>IF(AH416=1,MAX(R415,0)*Parameters!$B$11,0)</f>
        <v>0</v>
      </c>
      <c r="G416" s="13">
        <f>IF(AI416=1,MAX(S415,0)*Parameters!$B$11,0)</f>
        <v>0</v>
      </c>
      <c r="H416" s="13">
        <f t="shared" si="122"/>
        <v>0</v>
      </c>
      <c r="I416" s="13">
        <f t="shared" si="123"/>
        <v>30277053831408.523</v>
      </c>
      <c r="J416" s="13">
        <f t="shared" si="124"/>
        <v>0</v>
      </c>
      <c r="K416" s="13">
        <f t="shared" si="125"/>
        <v>0</v>
      </c>
      <c r="L416" s="13">
        <f t="shared" si="126"/>
        <v>0</v>
      </c>
      <c r="M416" s="13">
        <f t="shared" si="127"/>
        <v>30277053831408.523</v>
      </c>
      <c r="N416" s="13">
        <f>MAX(0,INT(L416*Parameters!$B$14/Parameters!$B$13/Parameters!$B$12)*Parameters!$B$12)</f>
        <v>0</v>
      </c>
      <c r="O416" s="13">
        <f>MAX(0,INT(M416*Parameters!$B$14/Parameters!$B$13/Parameters!$B$12)*Parameters!$B$12)</f>
        <v>20184702554175</v>
      </c>
      <c r="P416" s="13">
        <f>N416*Parameters!$B$13*'H237 Tracker'!B416</f>
        <v>0</v>
      </c>
      <c r="Q416" s="13">
        <f>O416*Parameters!$B$13*'H237 Tracker'!C416</f>
        <v>9599844534765.6289</v>
      </c>
      <c r="R416" s="13">
        <f t="shared" si="137"/>
        <v>0</v>
      </c>
      <c r="S416" s="13">
        <f t="shared" si="138"/>
        <v>29338060359942.352</v>
      </c>
      <c r="T416" s="13">
        <f t="shared" si="128"/>
        <v>0</v>
      </c>
      <c r="U416" s="13">
        <f t="shared" si="129"/>
        <v>39876898366174.156</v>
      </c>
      <c r="V416" s="12">
        <f t="shared" si="130"/>
        <v>0</v>
      </c>
      <c r="W416" t="str">
        <f>'H237 Tracker'!I416</f>
        <v>HOLD</v>
      </c>
      <c r="X416">
        <f>'H237 Tracker'!J416</f>
        <v>0</v>
      </c>
      <c r="Y416" t="str">
        <f>'H237 Tracker'!K416</f>
        <v>HOLD</v>
      </c>
      <c r="Z416" s="12">
        <f>'H237 Tracker'!O416</f>
        <v>0</v>
      </c>
      <c r="AA416" s="13">
        <f>'H237 Tracker'!P416</f>
        <v>0</v>
      </c>
      <c r="AB416" s="13">
        <f>'H237 Tracker'!Q416</f>
        <v>0</v>
      </c>
      <c r="AC416" s="13">
        <f t="shared" si="131"/>
        <v>0</v>
      </c>
      <c r="AD416" s="13">
        <f t="shared" si="132"/>
        <v>39876898366174.156</v>
      </c>
      <c r="AE416" s="13">
        <f t="shared" si="133"/>
        <v>39876898366174.156</v>
      </c>
      <c r="AF416" s="13">
        <f t="shared" si="139"/>
        <v>39876898366174.156</v>
      </c>
      <c r="AG416" s="24">
        <f t="shared" si="134"/>
        <v>0</v>
      </c>
      <c r="AH416" s="8">
        <f>--(COUNTIF('Tax Events'!$A$4:$A$8,A416)&gt;0)</f>
        <v>0</v>
      </c>
      <c r="AI416" s="8">
        <f>--(COUNTIF('Tax Events'!$B$4:$B$9,A416)&gt;0)</f>
        <v>0</v>
      </c>
    </row>
    <row r="417" spans="1:35">
      <c r="A417" s="4">
        <f>'H237 Tracker'!A417</f>
        <v>46097</v>
      </c>
      <c r="B417" s="13">
        <f t="shared" si="135"/>
        <v>0</v>
      </c>
      <c r="C417" s="13">
        <f t="shared" si="136"/>
        <v>39876898366174.156</v>
      </c>
      <c r="D417" s="13">
        <f t="shared" si="120"/>
        <v>0</v>
      </c>
      <c r="E417" s="13">
        <f t="shared" si="121"/>
        <v>39876898366174.156</v>
      </c>
      <c r="F417" s="13">
        <f>IF(AH417=1,MAX(R416,0)*Parameters!$B$11,0)</f>
        <v>0</v>
      </c>
      <c r="G417" s="13">
        <f>IF(AI417=1,MAX(S416,0)*Parameters!$B$11,0)</f>
        <v>0</v>
      </c>
      <c r="H417" s="13">
        <f t="shared" si="122"/>
        <v>0</v>
      </c>
      <c r="I417" s="13">
        <f t="shared" si="123"/>
        <v>39876898366174.156</v>
      </c>
      <c r="J417" s="13">
        <f t="shared" si="124"/>
        <v>0</v>
      </c>
      <c r="K417" s="13">
        <f t="shared" si="125"/>
        <v>0</v>
      </c>
      <c r="L417" s="13">
        <f t="shared" si="126"/>
        <v>0</v>
      </c>
      <c r="M417" s="13">
        <f t="shared" si="127"/>
        <v>39876898366174.156</v>
      </c>
      <c r="N417" s="13">
        <f>MAX(0,INT(L417*Parameters!$B$14/Parameters!$B$13/Parameters!$B$12)*Parameters!$B$12)</f>
        <v>0</v>
      </c>
      <c r="O417" s="13">
        <f>MAX(0,INT(M417*Parameters!$B$14/Parameters!$B$13/Parameters!$B$12)*Parameters!$B$12)</f>
        <v>26584598910765</v>
      </c>
      <c r="P417" s="13">
        <f>N417*Parameters!$B$13*'H237 Tracker'!B417</f>
        <v>0</v>
      </c>
      <c r="Q417" s="13">
        <f>O417*Parameters!$B$13*'H237 Tracker'!C417</f>
        <v>0</v>
      </c>
      <c r="R417" s="13">
        <f t="shared" si="137"/>
        <v>0</v>
      </c>
      <c r="S417" s="13">
        <f t="shared" si="138"/>
        <v>29338060359942.352</v>
      </c>
      <c r="T417" s="13">
        <f t="shared" si="128"/>
        <v>0</v>
      </c>
      <c r="U417" s="13">
        <f t="shared" si="129"/>
        <v>39876898366174.156</v>
      </c>
      <c r="V417" s="12">
        <f t="shared" si="130"/>
        <v>0</v>
      </c>
      <c r="W417" t="str">
        <f>'H237 Tracker'!I417</f>
        <v>HOLD</v>
      </c>
      <c r="X417">
        <f>'H237 Tracker'!J417</f>
        <v>0</v>
      </c>
      <c r="Y417" t="str">
        <f>'H237 Tracker'!K417</f>
        <v>HOLD</v>
      </c>
      <c r="Z417" s="12">
        <f>'H237 Tracker'!O417</f>
        <v>0</v>
      </c>
      <c r="AA417" s="13">
        <f>'H237 Tracker'!P417</f>
        <v>0</v>
      </c>
      <c r="AB417" s="13">
        <f>'H237 Tracker'!Q417</f>
        <v>0</v>
      </c>
      <c r="AC417" s="13">
        <f t="shared" si="131"/>
        <v>0</v>
      </c>
      <c r="AD417" s="13">
        <f t="shared" si="132"/>
        <v>39876898366174.156</v>
      </c>
      <c r="AE417" s="13">
        <f t="shared" si="133"/>
        <v>39876898366174.156</v>
      </c>
      <c r="AF417" s="13">
        <f t="shared" si="139"/>
        <v>39876898366174.156</v>
      </c>
      <c r="AG417" s="24">
        <f t="shared" si="134"/>
        <v>0</v>
      </c>
      <c r="AH417" s="8">
        <f>--(COUNTIF('Tax Events'!$A$4:$A$8,A417)&gt;0)</f>
        <v>0</v>
      </c>
      <c r="AI417" s="8">
        <f>--(COUNTIF('Tax Events'!$B$4:$B$9,A417)&gt;0)</f>
        <v>0</v>
      </c>
    </row>
    <row r="418" spans="1:35">
      <c r="A418" s="4">
        <f>'H237 Tracker'!A418</f>
        <v>46104</v>
      </c>
      <c r="B418" s="13">
        <f t="shared" si="135"/>
        <v>0</v>
      </c>
      <c r="C418" s="13">
        <f t="shared" si="136"/>
        <v>39876898366174.156</v>
      </c>
      <c r="D418" s="13">
        <f t="shared" si="120"/>
        <v>0</v>
      </c>
      <c r="E418" s="13">
        <f t="shared" si="121"/>
        <v>39876898366174.156</v>
      </c>
      <c r="F418" s="13">
        <f>IF(AH418=1,MAX(R417,0)*Parameters!$B$11,0)</f>
        <v>0</v>
      </c>
      <c r="G418" s="13">
        <f>IF(AI418=1,MAX(S417,0)*Parameters!$B$11,0)</f>
        <v>0</v>
      </c>
      <c r="H418" s="13">
        <f t="shared" si="122"/>
        <v>0</v>
      </c>
      <c r="I418" s="13">
        <f t="shared" si="123"/>
        <v>39876898366174.156</v>
      </c>
      <c r="J418" s="13">
        <f t="shared" si="124"/>
        <v>0</v>
      </c>
      <c r="K418" s="13">
        <f t="shared" si="125"/>
        <v>0</v>
      </c>
      <c r="L418" s="13">
        <f t="shared" si="126"/>
        <v>0</v>
      </c>
      <c r="M418" s="13">
        <f t="shared" si="127"/>
        <v>39876898366174.156</v>
      </c>
      <c r="N418" s="13">
        <f>MAX(0,INT(L418*Parameters!$B$14/Parameters!$B$13/Parameters!$B$12)*Parameters!$B$12)</f>
        <v>0</v>
      </c>
      <c r="O418" s="13">
        <f>MAX(0,INT(M418*Parameters!$B$14/Parameters!$B$13/Parameters!$B$12)*Parameters!$B$12)</f>
        <v>26584598910765</v>
      </c>
      <c r="P418" s="13">
        <f>N418*Parameters!$B$13*'H237 Tracker'!B418</f>
        <v>0</v>
      </c>
      <c r="Q418" s="13">
        <f>O418*Parameters!$B$13*'H237 Tracker'!C418</f>
        <v>-2828601324105.396</v>
      </c>
      <c r="R418" s="13">
        <f t="shared" si="137"/>
        <v>0</v>
      </c>
      <c r="S418" s="13">
        <f t="shared" si="138"/>
        <v>26509459035836.957</v>
      </c>
      <c r="T418" s="13">
        <f t="shared" si="128"/>
        <v>0</v>
      </c>
      <c r="U418" s="13">
        <f t="shared" si="129"/>
        <v>37048297042068.758</v>
      </c>
      <c r="V418" s="12">
        <f t="shared" si="130"/>
        <v>0</v>
      </c>
      <c r="W418" t="str">
        <f>'H237 Tracker'!I418</f>
        <v>HOLD</v>
      </c>
      <c r="X418">
        <f>'H237 Tracker'!J418</f>
        <v>0</v>
      </c>
      <c r="Y418" t="str">
        <f>'H237 Tracker'!K418</f>
        <v>HOLD</v>
      </c>
      <c r="Z418" s="12">
        <f>'H237 Tracker'!O418</f>
        <v>0</v>
      </c>
      <c r="AA418" s="13">
        <f>'H237 Tracker'!P418</f>
        <v>0</v>
      </c>
      <c r="AB418" s="13">
        <f>'H237 Tracker'!Q418</f>
        <v>0</v>
      </c>
      <c r="AC418" s="13">
        <f t="shared" si="131"/>
        <v>0</v>
      </c>
      <c r="AD418" s="13">
        <f t="shared" si="132"/>
        <v>37048297042068.758</v>
      </c>
      <c r="AE418" s="13">
        <f t="shared" si="133"/>
        <v>37048297042068.758</v>
      </c>
      <c r="AF418" s="13">
        <f t="shared" si="139"/>
        <v>39876898366174.156</v>
      </c>
      <c r="AG418" s="24">
        <f t="shared" si="134"/>
        <v>-7.0933333333285997E-2</v>
      </c>
      <c r="AH418" s="8">
        <f>--(COUNTIF('Tax Events'!$A$4:$A$8,A418)&gt;0)</f>
        <v>0</v>
      </c>
      <c r="AI418" s="8">
        <f>--(COUNTIF('Tax Events'!$B$4:$B$9,A418)&gt;0)</f>
        <v>0</v>
      </c>
    </row>
    <row r="419" spans="1:35">
      <c r="A419" s="4">
        <f>'H237 Tracker'!A419</f>
        <v>46111</v>
      </c>
      <c r="B419" s="13">
        <f t="shared" si="135"/>
        <v>0</v>
      </c>
      <c r="C419" s="13">
        <f t="shared" si="136"/>
        <v>37048297042068.758</v>
      </c>
      <c r="D419" s="13">
        <f t="shared" si="120"/>
        <v>0</v>
      </c>
      <c r="E419" s="13">
        <f t="shared" si="121"/>
        <v>37048297042068.758</v>
      </c>
      <c r="F419" s="13">
        <f>IF(AH419=1,MAX(R418,0)*Parameters!$B$11,0)</f>
        <v>0</v>
      </c>
      <c r="G419" s="13">
        <f>IF(AI419=1,MAX(S418,0)*Parameters!$B$11,0)</f>
        <v>0</v>
      </c>
      <c r="H419" s="13">
        <f t="shared" si="122"/>
        <v>0</v>
      </c>
      <c r="I419" s="13">
        <f t="shared" si="123"/>
        <v>37048297042068.758</v>
      </c>
      <c r="J419" s="13">
        <f t="shared" si="124"/>
        <v>0</v>
      </c>
      <c r="K419" s="13">
        <f t="shared" si="125"/>
        <v>0</v>
      </c>
      <c r="L419" s="13">
        <f t="shared" si="126"/>
        <v>0</v>
      </c>
      <c r="M419" s="13">
        <f t="shared" si="127"/>
        <v>37048297042068.758</v>
      </c>
      <c r="N419" s="13">
        <f>MAX(0,INT(L419*Parameters!$B$14/Parameters!$B$13/Parameters!$B$12)*Parameters!$B$12)</f>
        <v>0</v>
      </c>
      <c r="O419" s="13">
        <f>MAX(0,INT(M419*Parameters!$B$14/Parameters!$B$13/Parameters!$B$12)*Parameters!$B$12)</f>
        <v>24698864694625</v>
      </c>
      <c r="P419" s="13">
        <f>N419*Parameters!$B$13*'H237 Tracker'!B419</f>
        <v>0</v>
      </c>
      <c r="Q419" s="13">
        <f>O419*Parameters!$B$13*'H237 Tracker'!C419</f>
        <v>15125584738988.352</v>
      </c>
      <c r="R419" s="13">
        <f t="shared" si="137"/>
        <v>0</v>
      </c>
      <c r="S419" s="13">
        <f t="shared" si="138"/>
        <v>41635043774825.313</v>
      </c>
      <c r="T419" s="13">
        <f t="shared" si="128"/>
        <v>0</v>
      </c>
      <c r="U419" s="13">
        <f t="shared" si="129"/>
        <v>52173881781057.109</v>
      </c>
      <c r="V419" s="12">
        <f t="shared" si="130"/>
        <v>0</v>
      </c>
      <c r="W419" t="str">
        <f>'H237 Tracker'!I419</f>
        <v>HOLD</v>
      </c>
      <c r="X419">
        <f>'H237 Tracker'!J419</f>
        <v>0</v>
      </c>
      <c r="Y419" t="str">
        <f>'H237 Tracker'!K419</f>
        <v>HOLD</v>
      </c>
      <c r="Z419" s="12">
        <f>'H237 Tracker'!O419</f>
        <v>0</v>
      </c>
      <c r="AA419" s="13">
        <f>'H237 Tracker'!P419</f>
        <v>0</v>
      </c>
      <c r="AB419" s="13">
        <f>'H237 Tracker'!Q419</f>
        <v>0</v>
      </c>
      <c r="AC419" s="13">
        <f t="shared" si="131"/>
        <v>0</v>
      </c>
      <c r="AD419" s="13">
        <f t="shared" si="132"/>
        <v>52173881781057.109</v>
      </c>
      <c r="AE419" s="13">
        <f t="shared" si="133"/>
        <v>52173881781057.109</v>
      </c>
      <c r="AF419" s="13">
        <f t="shared" si="139"/>
        <v>52173881781057.109</v>
      </c>
      <c r="AG419" s="24">
        <f t="shared" si="134"/>
        <v>0</v>
      </c>
      <c r="AH419" s="8">
        <f>--(COUNTIF('Tax Events'!$A$4:$A$8,A419)&gt;0)</f>
        <v>0</v>
      </c>
      <c r="AI419" s="8">
        <f>--(COUNTIF('Tax Events'!$B$4:$B$9,A419)&gt;0)</f>
        <v>0</v>
      </c>
    </row>
    <row r="420" spans="1:35">
      <c r="A420" s="4">
        <f>'H237 Tracker'!A420</f>
        <v>46118</v>
      </c>
      <c r="B420" s="13">
        <f t="shared" si="135"/>
        <v>0</v>
      </c>
      <c r="C420" s="13">
        <f t="shared" si="136"/>
        <v>52173881781057.109</v>
      </c>
      <c r="D420" s="13">
        <f t="shared" si="120"/>
        <v>0</v>
      </c>
      <c r="E420" s="13">
        <f t="shared" si="121"/>
        <v>52173881781057.109</v>
      </c>
      <c r="F420" s="13">
        <f>IF(AH420=1,MAX(R419,0)*Parameters!$B$11,0)</f>
        <v>0</v>
      </c>
      <c r="G420" s="13">
        <f>IF(AI420=1,MAX(S419,0)*Parameters!$B$11,0)</f>
        <v>0</v>
      </c>
      <c r="H420" s="13">
        <f t="shared" si="122"/>
        <v>0</v>
      </c>
      <c r="I420" s="13">
        <f t="shared" si="123"/>
        <v>52173881781057.109</v>
      </c>
      <c r="J420" s="13">
        <f t="shared" si="124"/>
        <v>0</v>
      </c>
      <c r="K420" s="13">
        <f t="shared" si="125"/>
        <v>0</v>
      </c>
      <c r="L420" s="13">
        <f t="shared" si="126"/>
        <v>0</v>
      </c>
      <c r="M420" s="13">
        <f t="shared" si="127"/>
        <v>52173881781057.109</v>
      </c>
      <c r="N420" s="13">
        <f>MAX(0,INT(L420*Parameters!$B$14/Parameters!$B$13/Parameters!$B$12)*Parameters!$B$12)</f>
        <v>0</v>
      </c>
      <c r="O420" s="13">
        <f>MAX(0,INT(M420*Parameters!$B$14/Parameters!$B$13/Parameters!$B$12)*Parameters!$B$12)</f>
        <v>34782587854005</v>
      </c>
      <c r="P420" s="13">
        <f>N420*Parameters!$B$13*'H237 Tracker'!B420</f>
        <v>0</v>
      </c>
      <c r="Q420" s="13">
        <f>O420*Parameters!$B$13*'H237 Tracker'!C420</f>
        <v>29453895394771.438</v>
      </c>
      <c r="R420" s="13">
        <f t="shared" si="137"/>
        <v>0</v>
      </c>
      <c r="S420" s="13">
        <f t="shared" si="138"/>
        <v>71088939169596.75</v>
      </c>
      <c r="T420" s="13">
        <f t="shared" si="128"/>
        <v>0</v>
      </c>
      <c r="U420" s="13">
        <f t="shared" si="129"/>
        <v>81627777175828.547</v>
      </c>
      <c r="V420" s="12">
        <f t="shared" si="130"/>
        <v>0</v>
      </c>
      <c r="W420" t="str">
        <f>'H237 Tracker'!I420</f>
        <v>HOLD</v>
      </c>
      <c r="X420">
        <f>'H237 Tracker'!J420</f>
        <v>0</v>
      </c>
      <c r="Y420" t="str">
        <f>'H237 Tracker'!K420</f>
        <v>HOLD</v>
      </c>
      <c r="Z420" s="12">
        <f>'H237 Tracker'!O420</f>
        <v>0</v>
      </c>
      <c r="AA420" s="13">
        <f>'H237 Tracker'!P420</f>
        <v>0</v>
      </c>
      <c r="AB420" s="13">
        <f>'H237 Tracker'!Q420</f>
        <v>0</v>
      </c>
      <c r="AC420" s="13">
        <f t="shared" si="131"/>
        <v>0</v>
      </c>
      <c r="AD420" s="13">
        <f t="shared" si="132"/>
        <v>81627777175828.547</v>
      </c>
      <c r="AE420" s="13">
        <f t="shared" si="133"/>
        <v>81627777175828.547</v>
      </c>
      <c r="AF420" s="13">
        <f t="shared" si="139"/>
        <v>81627777175828.547</v>
      </c>
      <c r="AG420" s="24">
        <f t="shared" si="134"/>
        <v>0</v>
      </c>
      <c r="AH420" s="8">
        <f>--(COUNTIF('Tax Events'!$A$4:$A$8,A420)&gt;0)</f>
        <v>0</v>
      </c>
      <c r="AI420" s="8">
        <f>--(COUNTIF('Tax Events'!$B$4:$B$9,A420)&gt;0)</f>
        <v>0</v>
      </c>
    </row>
    <row r="421" spans="1:35">
      <c r="A421" s="4">
        <f>'H237 Tracker'!A421</f>
        <v>46125</v>
      </c>
      <c r="B421" s="13">
        <f t="shared" si="135"/>
        <v>0</v>
      </c>
      <c r="C421" s="13">
        <f t="shared" si="136"/>
        <v>81627777175828.547</v>
      </c>
      <c r="D421" s="13">
        <f t="shared" si="120"/>
        <v>0</v>
      </c>
      <c r="E421" s="13">
        <f t="shared" si="121"/>
        <v>81627777175828.547</v>
      </c>
      <c r="F421" s="13">
        <f>IF(AH421=1,MAX(R420,0)*Parameters!$B$11,0)</f>
        <v>0</v>
      </c>
      <c r="G421" s="13">
        <f>IF(AI421=1,MAX(S420,0)*Parameters!$B$11,0)</f>
        <v>0</v>
      </c>
      <c r="H421" s="13">
        <f t="shared" si="122"/>
        <v>0</v>
      </c>
      <c r="I421" s="13">
        <f t="shared" si="123"/>
        <v>81627777175828.547</v>
      </c>
      <c r="J421" s="13">
        <f t="shared" si="124"/>
        <v>0</v>
      </c>
      <c r="K421" s="13">
        <f t="shared" si="125"/>
        <v>0</v>
      </c>
      <c r="L421" s="13">
        <f t="shared" si="126"/>
        <v>0</v>
      </c>
      <c r="M421" s="13">
        <f t="shared" si="127"/>
        <v>81627777175828.547</v>
      </c>
      <c r="N421" s="13">
        <f>MAX(0,INT(L421*Parameters!$B$14/Parameters!$B$13/Parameters!$B$12)*Parameters!$B$12)</f>
        <v>0</v>
      </c>
      <c r="O421" s="13">
        <f>MAX(0,INT(M421*Parameters!$B$14/Parameters!$B$13/Parameters!$B$12)*Parameters!$B$12)</f>
        <v>54418518117205</v>
      </c>
      <c r="P421" s="13">
        <f>N421*Parameters!$B$13*'H237 Tracker'!B421</f>
        <v>0</v>
      </c>
      <c r="Q421" s="13">
        <f>O421*Parameters!$B$13*'H237 Tracker'!C421</f>
        <v>14039977674238.891</v>
      </c>
      <c r="R421" s="13">
        <f t="shared" si="137"/>
        <v>0</v>
      </c>
      <c r="S421" s="13">
        <f t="shared" si="138"/>
        <v>85128916843835.641</v>
      </c>
      <c r="T421" s="13">
        <f t="shared" si="128"/>
        <v>0</v>
      </c>
      <c r="U421" s="13">
        <f t="shared" si="129"/>
        <v>95667754850067.438</v>
      </c>
      <c r="V421" s="12">
        <f t="shared" si="130"/>
        <v>0</v>
      </c>
      <c r="W421" t="str">
        <f>'H237 Tracker'!I421</f>
        <v>HOLD</v>
      </c>
      <c r="X421">
        <f>'H237 Tracker'!J421</f>
        <v>0</v>
      </c>
      <c r="Y421" t="str">
        <f>'H237 Tracker'!K421</f>
        <v>HOLD</v>
      </c>
      <c r="Z421" s="12">
        <f>'H237 Tracker'!O421</f>
        <v>0</v>
      </c>
      <c r="AA421" s="13">
        <f>'H237 Tracker'!P421</f>
        <v>0</v>
      </c>
      <c r="AB421" s="13">
        <f>'H237 Tracker'!Q421</f>
        <v>0</v>
      </c>
      <c r="AC421" s="13">
        <f t="shared" si="131"/>
        <v>0</v>
      </c>
      <c r="AD421" s="13">
        <f t="shared" si="132"/>
        <v>95667754850067.438</v>
      </c>
      <c r="AE421" s="13">
        <f t="shared" si="133"/>
        <v>95667754850067.438</v>
      </c>
      <c r="AF421" s="13">
        <f t="shared" si="139"/>
        <v>95667754850067.438</v>
      </c>
      <c r="AG421" s="24">
        <f t="shared" si="134"/>
        <v>0</v>
      </c>
      <c r="AH421" s="8">
        <f>--(COUNTIF('Tax Events'!$A$4:$A$8,A421)&gt;0)</f>
        <v>0</v>
      </c>
      <c r="AI421" s="8">
        <f>--(COUNTIF('Tax Events'!$B$4:$B$9,A421)&gt;0)</f>
        <v>0</v>
      </c>
    </row>
    <row r="422" spans="1:35">
      <c r="A422" s="4">
        <f>'H237 Tracker'!A422</f>
        <v>46132</v>
      </c>
      <c r="B422" s="13">
        <f t="shared" si="135"/>
        <v>0</v>
      </c>
      <c r="C422" s="13">
        <f t="shared" si="136"/>
        <v>95667754850067.438</v>
      </c>
      <c r="D422" s="13">
        <f t="shared" si="120"/>
        <v>0</v>
      </c>
      <c r="E422" s="13">
        <f t="shared" si="121"/>
        <v>95667754850067.438</v>
      </c>
      <c r="F422" s="13">
        <f>IF(AH422=1,MAX(R421,0)*Parameters!$B$11,0)</f>
        <v>0</v>
      </c>
      <c r="G422" s="13">
        <f>IF(AI422=1,MAX(S421,0)*Parameters!$B$11,0)</f>
        <v>0</v>
      </c>
      <c r="H422" s="13">
        <f t="shared" si="122"/>
        <v>0</v>
      </c>
      <c r="I422" s="13">
        <f t="shared" si="123"/>
        <v>95667754850067.438</v>
      </c>
      <c r="J422" s="13">
        <f t="shared" si="124"/>
        <v>0</v>
      </c>
      <c r="K422" s="13">
        <f t="shared" si="125"/>
        <v>0</v>
      </c>
      <c r="L422" s="13">
        <f t="shared" si="126"/>
        <v>0</v>
      </c>
      <c r="M422" s="13">
        <f t="shared" si="127"/>
        <v>95667754850067.438</v>
      </c>
      <c r="N422" s="13">
        <f>MAX(0,INT(L422*Parameters!$B$14/Parameters!$B$13/Parameters!$B$12)*Parameters!$B$12)</f>
        <v>0</v>
      </c>
      <c r="O422" s="13">
        <f>MAX(0,INT(M422*Parameters!$B$14/Parameters!$B$13/Parameters!$B$12)*Parameters!$B$12)</f>
        <v>63778503233350</v>
      </c>
      <c r="P422" s="13">
        <f>N422*Parameters!$B$13*'H237 Tracker'!B422</f>
        <v>0</v>
      </c>
      <c r="Q422" s="13">
        <f>O422*Parameters!$B$13*'H237 Tracker'!C422</f>
        <v>-2563895829980.6699</v>
      </c>
      <c r="R422" s="13">
        <f t="shared" si="137"/>
        <v>0</v>
      </c>
      <c r="S422" s="13">
        <f t="shared" si="138"/>
        <v>82565021013854.969</v>
      </c>
      <c r="T422" s="13">
        <f t="shared" si="128"/>
        <v>0</v>
      </c>
      <c r="U422" s="13">
        <f t="shared" si="129"/>
        <v>93103859020086.766</v>
      </c>
      <c r="V422" s="12">
        <f t="shared" si="130"/>
        <v>0</v>
      </c>
      <c r="W422" t="str">
        <f>'H237 Tracker'!I422</f>
        <v>HOLD</v>
      </c>
      <c r="X422">
        <f>'H237 Tracker'!J422</f>
        <v>0</v>
      </c>
      <c r="Y422" t="str">
        <f>'H237 Tracker'!K422</f>
        <v>HOLD</v>
      </c>
      <c r="Z422" s="12">
        <f>'H237 Tracker'!O422</f>
        <v>0</v>
      </c>
      <c r="AA422" s="13">
        <f>'H237 Tracker'!P422</f>
        <v>0</v>
      </c>
      <c r="AB422" s="13">
        <f>'H237 Tracker'!Q422</f>
        <v>0</v>
      </c>
      <c r="AC422" s="13">
        <f t="shared" si="131"/>
        <v>0</v>
      </c>
      <c r="AD422" s="13">
        <f t="shared" si="132"/>
        <v>93103859020086.766</v>
      </c>
      <c r="AE422" s="13">
        <f t="shared" si="133"/>
        <v>93103859020086.766</v>
      </c>
      <c r="AF422" s="13">
        <f t="shared" si="139"/>
        <v>95667754850067.438</v>
      </c>
      <c r="AG422" s="24">
        <f t="shared" si="134"/>
        <v>-2.6799999999988167E-2</v>
      </c>
      <c r="AH422" s="8">
        <f>--(COUNTIF('Tax Events'!$A$4:$A$8,A422)&gt;0)</f>
        <v>0</v>
      </c>
      <c r="AI422" s="8">
        <f>--(COUNTIF('Tax Events'!$B$4:$B$9,A422)&gt;0)</f>
        <v>0</v>
      </c>
    </row>
    <row r="423" spans="1:35">
      <c r="A423" s="4">
        <f>'H237 Tracker'!A423</f>
        <v>46139</v>
      </c>
      <c r="B423" s="13">
        <f t="shared" si="135"/>
        <v>0</v>
      </c>
      <c r="C423" s="13">
        <f t="shared" si="136"/>
        <v>93103859020086.766</v>
      </c>
      <c r="D423" s="13">
        <f t="shared" si="120"/>
        <v>0</v>
      </c>
      <c r="E423" s="13">
        <f t="shared" si="121"/>
        <v>93103859020086.766</v>
      </c>
      <c r="F423" s="13">
        <f>IF(AH423=1,MAX(R422,0)*Parameters!$B$11,0)</f>
        <v>0</v>
      </c>
      <c r="G423" s="13">
        <f>IF(AI423=1,MAX(S422,0)*Parameters!$B$11,0)</f>
        <v>0</v>
      </c>
      <c r="H423" s="13">
        <f t="shared" si="122"/>
        <v>0</v>
      </c>
      <c r="I423" s="13">
        <f t="shared" si="123"/>
        <v>93103859020086.766</v>
      </c>
      <c r="J423" s="13">
        <f t="shared" si="124"/>
        <v>0</v>
      </c>
      <c r="K423" s="13">
        <f t="shared" si="125"/>
        <v>0</v>
      </c>
      <c r="L423" s="13">
        <f t="shared" si="126"/>
        <v>0</v>
      </c>
      <c r="M423" s="13">
        <f t="shared" si="127"/>
        <v>93103859020086.766</v>
      </c>
      <c r="N423" s="13">
        <f>MAX(0,INT(L423*Parameters!$B$14/Parameters!$B$13/Parameters!$B$12)*Parameters!$B$12)</f>
        <v>0</v>
      </c>
      <c r="O423" s="13">
        <f>MAX(0,INT(M423*Parameters!$B$14/Parameters!$B$13/Parameters!$B$12)*Parameters!$B$12)</f>
        <v>62069239346670</v>
      </c>
      <c r="P423" s="13">
        <f>N423*Parameters!$B$13*'H237 Tracker'!B423</f>
        <v>0</v>
      </c>
      <c r="Q423" s="13">
        <f>O423*Parameters!$B$13*'H237 Tracker'!C423</f>
        <v>-4853814516909.5947</v>
      </c>
      <c r="R423" s="13">
        <f t="shared" si="137"/>
        <v>0</v>
      </c>
      <c r="S423" s="13">
        <f t="shared" si="138"/>
        <v>77711206496945.375</v>
      </c>
      <c r="T423" s="13">
        <f t="shared" si="128"/>
        <v>0</v>
      </c>
      <c r="U423" s="13">
        <f t="shared" si="129"/>
        <v>88250044503177.172</v>
      </c>
      <c r="V423" s="12">
        <f t="shared" si="130"/>
        <v>0</v>
      </c>
      <c r="W423" t="str">
        <f>'H237 Tracker'!I423</f>
        <v>HOLD</v>
      </c>
      <c r="X423">
        <f>'H237 Tracker'!J423</f>
        <v>0</v>
      </c>
      <c r="Y423" t="str">
        <f>'H237 Tracker'!K423</f>
        <v>HOLD</v>
      </c>
      <c r="Z423" s="12">
        <f>'H237 Tracker'!O423</f>
        <v>0</v>
      </c>
      <c r="AA423" s="13">
        <f>'H237 Tracker'!P423</f>
        <v>0</v>
      </c>
      <c r="AB423" s="13">
        <f>'H237 Tracker'!Q423</f>
        <v>0</v>
      </c>
      <c r="AC423" s="13">
        <f t="shared" si="131"/>
        <v>0</v>
      </c>
      <c r="AD423" s="13">
        <f t="shared" si="132"/>
        <v>88250044503177.172</v>
      </c>
      <c r="AE423" s="13">
        <f t="shared" si="133"/>
        <v>88250044503177.172</v>
      </c>
      <c r="AF423" s="13">
        <f t="shared" si="139"/>
        <v>95667754850067.438</v>
      </c>
      <c r="AG423" s="24">
        <f t="shared" si="134"/>
        <v>-7.7536159999944232E-2</v>
      </c>
      <c r="AH423" s="8">
        <f>--(COUNTIF('Tax Events'!$A$4:$A$8,A423)&gt;0)</f>
        <v>0</v>
      </c>
      <c r="AI423" s="8">
        <f>--(COUNTIF('Tax Events'!$B$4:$B$9,A423)&gt;0)</f>
        <v>0</v>
      </c>
    </row>
    <row r="424" spans="1:35">
      <c r="A424" s="4">
        <f>'H237 Tracker'!A424</f>
        <v>46146</v>
      </c>
      <c r="B424" s="13">
        <f t="shared" si="135"/>
        <v>0</v>
      </c>
      <c r="C424" s="13">
        <f t="shared" si="136"/>
        <v>88250044503177.172</v>
      </c>
      <c r="D424" s="13">
        <f t="shared" si="120"/>
        <v>0</v>
      </c>
      <c r="E424" s="13">
        <f t="shared" si="121"/>
        <v>88250044503177.172</v>
      </c>
      <c r="F424" s="13">
        <f>IF(AH424=1,MAX(R423,0)*Parameters!$B$11,0)</f>
        <v>0</v>
      </c>
      <c r="G424" s="13">
        <f>IF(AI424=1,MAX(S423,0)*Parameters!$B$11,0)</f>
        <v>0</v>
      </c>
      <c r="H424" s="13">
        <f t="shared" si="122"/>
        <v>0</v>
      </c>
      <c r="I424" s="13">
        <f t="shared" si="123"/>
        <v>88250044503177.172</v>
      </c>
      <c r="J424" s="13">
        <f t="shared" si="124"/>
        <v>0</v>
      </c>
      <c r="K424" s="13">
        <f t="shared" si="125"/>
        <v>0</v>
      </c>
      <c r="L424" s="13">
        <f t="shared" si="126"/>
        <v>0</v>
      </c>
      <c r="M424" s="13">
        <f t="shared" si="127"/>
        <v>88250044503177.172</v>
      </c>
      <c r="N424" s="13">
        <f>MAX(0,INT(L424*Parameters!$B$14/Parameters!$B$13/Parameters!$B$12)*Parameters!$B$12)</f>
        <v>0</v>
      </c>
      <c r="O424" s="13">
        <f>MAX(0,INT(M424*Parameters!$B$14/Parameters!$B$13/Parameters!$B$12)*Parameters!$B$12)</f>
        <v>58833363002005</v>
      </c>
      <c r="P424" s="13">
        <f>N424*Parameters!$B$13*'H237 Tracker'!B424</f>
        <v>0</v>
      </c>
      <c r="Q424" s="13">
        <f>O424*Parameters!$B$13*'H237 Tracker'!C424</f>
        <v>63081131810749.758</v>
      </c>
      <c r="R424" s="13">
        <f t="shared" si="137"/>
        <v>0</v>
      </c>
      <c r="S424" s="13">
        <f t="shared" si="138"/>
        <v>140792338307695.13</v>
      </c>
      <c r="T424" s="13">
        <f t="shared" si="128"/>
        <v>0</v>
      </c>
      <c r="U424" s="13">
        <f t="shared" si="129"/>
        <v>151331176313926.94</v>
      </c>
      <c r="V424" s="12">
        <f t="shared" si="130"/>
        <v>0</v>
      </c>
      <c r="W424" t="str">
        <f>'H237 Tracker'!I424</f>
        <v>HOLD</v>
      </c>
      <c r="X424">
        <f>'H237 Tracker'!J424</f>
        <v>0</v>
      </c>
      <c r="Y424" t="str">
        <f>'H237 Tracker'!K424</f>
        <v>HOLD</v>
      </c>
      <c r="Z424" s="12">
        <f>'H237 Tracker'!O424</f>
        <v>0</v>
      </c>
      <c r="AA424" s="13">
        <f>'H237 Tracker'!P424</f>
        <v>0</v>
      </c>
      <c r="AB424" s="13">
        <f>'H237 Tracker'!Q424</f>
        <v>0</v>
      </c>
      <c r="AC424" s="13">
        <f t="shared" si="131"/>
        <v>0</v>
      </c>
      <c r="AD424" s="13">
        <f t="shared" si="132"/>
        <v>151331176313926.94</v>
      </c>
      <c r="AE424" s="13">
        <f t="shared" si="133"/>
        <v>151331176313926.94</v>
      </c>
      <c r="AF424" s="13">
        <f t="shared" si="139"/>
        <v>151331176313926.94</v>
      </c>
      <c r="AG424" s="24">
        <f t="shared" si="134"/>
        <v>0</v>
      </c>
      <c r="AH424" s="8">
        <f>--(COUNTIF('Tax Events'!$A$4:$A$8,A424)&gt;0)</f>
        <v>0</v>
      </c>
      <c r="AI424" s="8">
        <f>--(COUNTIF('Tax Events'!$B$4:$B$9,A424)&gt;0)</f>
        <v>0</v>
      </c>
    </row>
    <row r="425" spans="1:35">
      <c r="A425" s="4">
        <f>'H237 Tracker'!A425</f>
        <v>46153</v>
      </c>
      <c r="B425" s="13">
        <f t="shared" si="135"/>
        <v>0</v>
      </c>
      <c r="C425" s="13">
        <f t="shared" si="136"/>
        <v>151331176313926.94</v>
      </c>
      <c r="D425" s="13">
        <f t="shared" si="120"/>
        <v>0</v>
      </c>
      <c r="E425" s="13">
        <f t="shared" si="121"/>
        <v>151331176313926.94</v>
      </c>
      <c r="F425" s="13">
        <f>IF(AH425=1,MAX(R424,0)*Parameters!$B$11,0)</f>
        <v>0</v>
      </c>
      <c r="G425" s="13">
        <f>IF(AI425=1,MAX(S424,0)*Parameters!$B$11,0)</f>
        <v>0</v>
      </c>
      <c r="H425" s="13">
        <f t="shared" si="122"/>
        <v>0</v>
      </c>
      <c r="I425" s="13">
        <f t="shared" si="123"/>
        <v>151331176313926.94</v>
      </c>
      <c r="J425" s="13">
        <f t="shared" si="124"/>
        <v>0</v>
      </c>
      <c r="K425" s="13">
        <f t="shared" si="125"/>
        <v>0</v>
      </c>
      <c r="L425" s="13">
        <f t="shared" si="126"/>
        <v>0</v>
      </c>
      <c r="M425" s="13">
        <f t="shared" si="127"/>
        <v>151331176313926.94</v>
      </c>
      <c r="N425" s="13">
        <f>MAX(0,INT(L425*Parameters!$B$14/Parameters!$B$13/Parameters!$B$12)*Parameters!$B$12)</f>
        <v>0</v>
      </c>
      <c r="O425" s="13">
        <f>MAX(0,INT(M425*Parameters!$B$14/Parameters!$B$13/Parameters!$B$12)*Parameters!$B$12)</f>
        <v>100887450875950</v>
      </c>
      <c r="P425" s="13">
        <f>N425*Parameters!$B$13*'H237 Tracker'!B425</f>
        <v>0</v>
      </c>
      <c r="Q425" s="13">
        <f>O425*Parameters!$B$13*'H237 Tracker'!C425</f>
        <v>-8030641089725.6201</v>
      </c>
      <c r="R425" s="13">
        <f t="shared" si="137"/>
        <v>0</v>
      </c>
      <c r="S425" s="13">
        <f t="shared" si="138"/>
        <v>132761697217969.5</v>
      </c>
      <c r="T425" s="13">
        <f t="shared" si="128"/>
        <v>0</v>
      </c>
      <c r="U425" s="13">
        <f t="shared" si="129"/>
        <v>143300535224201.31</v>
      </c>
      <c r="V425" s="12">
        <f t="shared" si="130"/>
        <v>0</v>
      </c>
      <c r="W425" t="str">
        <f>'H237 Tracker'!I425</f>
        <v>HOLD</v>
      </c>
      <c r="X425">
        <f>'H237 Tracker'!J425</f>
        <v>0</v>
      </c>
      <c r="Y425" t="str">
        <f>'H237 Tracker'!K425</f>
        <v>HOLD</v>
      </c>
      <c r="Z425" s="12">
        <f>'H237 Tracker'!O425</f>
        <v>0</v>
      </c>
      <c r="AA425" s="13">
        <f>'H237 Tracker'!P425</f>
        <v>0</v>
      </c>
      <c r="AB425" s="13">
        <f>'H237 Tracker'!Q425</f>
        <v>0</v>
      </c>
      <c r="AC425" s="13">
        <f t="shared" si="131"/>
        <v>0</v>
      </c>
      <c r="AD425" s="13">
        <f t="shared" si="132"/>
        <v>143300535224201.31</v>
      </c>
      <c r="AE425" s="13">
        <f t="shared" si="133"/>
        <v>143300535224201.31</v>
      </c>
      <c r="AF425" s="13">
        <f t="shared" si="139"/>
        <v>151331176313926.94</v>
      </c>
      <c r="AG425" s="24">
        <f t="shared" si="134"/>
        <v>-5.306666666666604E-2</v>
      </c>
      <c r="AH425" s="8">
        <f>--(COUNTIF('Tax Events'!$A$4:$A$8,A425)&gt;0)</f>
        <v>0</v>
      </c>
      <c r="AI425" s="8">
        <f>--(COUNTIF('Tax Events'!$B$4:$B$9,A425)&gt;0)</f>
        <v>0</v>
      </c>
    </row>
    <row r="426" spans="1:35">
      <c r="A426" s="4">
        <f>'H237 Tracker'!A426</f>
        <v>46160</v>
      </c>
      <c r="B426" s="13">
        <f t="shared" si="135"/>
        <v>0</v>
      </c>
      <c r="C426" s="13">
        <f t="shared" si="136"/>
        <v>143300535224201.31</v>
      </c>
      <c r="D426" s="13">
        <f t="shared" si="120"/>
        <v>0</v>
      </c>
      <c r="E426" s="13">
        <f t="shared" si="121"/>
        <v>143300535224201.31</v>
      </c>
      <c r="F426" s="13">
        <f>IF(AH426=1,MAX(R425,0)*Parameters!$B$11,0)</f>
        <v>0</v>
      </c>
      <c r="G426" s="13">
        <f>IF(AI426=1,MAX(S425,0)*Parameters!$B$11,0)</f>
        <v>0</v>
      </c>
      <c r="H426" s="13">
        <f t="shared" si="122"/>
        <v>0</v>
      </c>
      <c r="I426" s="13">
        <f t="shared" si="123"/>
        <v>143300535224201.31</v>
      </c>
      <c r="J426" s="13">
        <f t="shared" si="124"/>
        <v>0</v>
      </c>
      <c r="K426" s="13">
        <f t="shared" si="125"/>
        <v>0</v>
      </c>
      <c r="L426" s="13">
        <f t="shared" si="126"/>
        <v>0</v>
      </c>
      <c r="M426" s="13">
        <f t="shared" si="127"/>
        <v>143300535224201.31</v>
      </c>
      <c r="N426" s="13">
        <f>MAX(0,INT(L426*Parameters!$B$14/Parameters!$B$13/Parameters!$B$12)*Parameters!$B$12)</f>
        <v>0</v>
      </c>
      <c r="O426" s="13">
        <f>MAX(0,INT(M426*Parameters!$B$14/Parameters!$B$13/Parameters!$B$12)*Parameters!$B$12)</f>
        <v>95533690149450</v>
      </c>
      <c r="P426" s="13">
        <f>N426*Parameters!$B$13*'H237 Tracker'!B426</f>
        <v>0</v>
      </c>
      <c r="Q426" s="13">
        <f>O426*Parameters!$B$13*'H237 Tracker'!C426</f>
        <v>-7642695211956</v>
      </c>
      <c r="R426" s="13">
        <f t="shared" si="137"/>
        <v>0</v>
      </c>
      <c r="S426" s="13">
        <f t="shared" si="138"/>
        <v>125119002006013.5</v>
      </c>
      <c r="T426" s="13">
        <f t="shared" si="128"/>
        <v>0</v>
      </c>
      <c r="U426" s="13">
        <f t="shared" si="129"/>
        <v>135657840012245.31</v>
      </c>
      <c r="V426" s="12">
        <f t="shared" si="130"/>
        <v>0</v>
      </c>
      <c r="W426" t="str">
        <f>'H237 Tracker'!I426</f>
        <v>HOLD</v>
      </c>
      <c r="X426">
        <f>'H237 Tracker'!J426</f>
        <v>0</v>
      </c>
      <c r="Y426" t="str">
        <f>'H237 Tracker'!K426</f>
        <v>HOLD</v>
      </c>
      <c r="Z426" s="12">
        <f>'H237 Tracker'!O426</f>
        <v>0</v>
      </c>
      <c r="AA426" s="13">
        <f>'H237 Tracker'!P426</f>
        <v>0</v>
      </c>
      <c r="AB426" s="13">
        <f>'H237 Tracker'!Q426</f>
        <v>0</v>
      </c>
      <c r="AC426" s="13">
        <f t="shared" si="131"/>
        <v>0</v>
      </c>
      <c r="AD426" s="13">
        <f t="shared" si="132"/>
        <v>135657840012245.31</v>
      </c>
      <c r="AE426" s="13">
        <f t="shared" si="133"/>
        <v>135657840012245.31</v>
      </c>
      <c r="AF426" s="13">
        <f t="shared" si="139"/>
        <v>151331176313926.94</v>
      </c>
      <c r="AG426" s="24">
        <f t="shared" si="134"/>
        <v>-0.10356977777776788</v>
      </c>
      <c r="AH426" s="8">
        <f>--(COUNTIF('Tax Events'!$A$4:$A$8,A426)&gt;0)</f>
        <v>0</v>
      </c>
      <c r="AI426" s="8">
        <f>--(COUNTIF('Tax Events'!$B$4:$B$9,A426)&gt;0)</f>
        <v>0</v>
      </c>
    </row>
    <row r="427" spans="1:35">
      <c r="A427" s="4">
        <f>'H237 Tracker'!A427</f>
        <v>46167</v>
      </c>
      <c r="B427" s="13">
        <f t="shared" si="135"/>
        <v>0</v>
      </c>
      <c r="C427" s="13">
        <f t="shared" si="136"/>
        <v>135657840012245.31</v>
      </c>
      <c r="D427" s="13">
        <f t="shared" si="120"/>
        <v>0</v>
      </c>
      <c r="E427" s="13">
        <f t="shared" si="121"/>
        <v>135657840012245.31</v>
      </c>
      <c r="F427" s="13">
        <f>IF(AH427=1,MAX(R426,0)*Parameters!$B$11,0)</f>
        <v>0</v>
      </c>
      <c r="G427" s="13">
        <f>IF(AI427=1,MAX(S426,0)*Parameters!$B$11,0)</f>
        <v>0</v>
      </c>
      <c r="H427" s="13">
        <f t="shared" si="122"/>
        <v>0</v>
      </c>
      <c r="I427" s="13">
        <f t="shared" si="123"/>
        <v>135657840012245.31</v>
      </c>
      <c r="J427" s="13">
        <f t="shared" si="124"/>
        <v>0</v>
      </c>
      <c r="K427" s="13">
        <f t="shared" si="125"/>
        <v>0</v>
      </c>
      <c r="L427" s="13">
        <f t="shared" si="126"/>
        <v>0</v>
      </c>
      <c r="M427" s="13">
        <f t="shared" si="127"/>
        <v>135657840012245.31</v>
      </c>
      <c r="N427" s="13">
        <f>MAX(0,INT(L427*Parameters!$B$14/Parameters!$B$13/Parameters!$B$12)*Parameters!$B$12)</f>
        <v>0</v>
      </c>
      <c r="O427" s="13">
        <f>MAX(0,INT(M427*Parameters!$B$14/Parameters!$B$13/Parameters!$B$12)*Parameters!$B$12)</f>
        <v>90438560008100</v>
      </c>
      <c r="P427" s="13">
        <f>N427*Parameters!$B$13*'H237 Tracker'!B427</f>
        <v>0</v>
      </c>
      <c r="Q427" s="13">
        <f>O427*Parameters!$B$13*'H237 Tracker'!C427</f>
        <v>-7289347936652.8594</v>
      </c>
      <c r="R427" s="13">
        <f t="shared" si="137"/>
        <v>0</v>
      </c>
      <c r="S427" s="13">
        <f t="shared" si="138"/>
        <v>117829654069360.64</v>
      </c>
      <c r="T427" s="13">
        <f t="shared" si="128"/>
        <v>0</v>
      </c>
      <c r="U427" s="13">
        <f t="shared" si="129"/>
        <v>128368492075592.45</v>
      </c>
      <c r="V427" s="12">
        <f t="shared" si="130"/>
        <v>0</v>
      </c>
      <c r="W427" t="str">
        <f>'H237 Tracker'!I427</f>
        <v>HOLD</v>
      </c>
      <c r="X427">
        <f>'H237 Tracker'!J427</f>
        <v>0</v>
      </c>
      <c r="Y427" t="str">
        <f>'H237 Tracker'!K427</f>
        <v>HOLD</v>
      </c>
      <c r="Z427" s="12">
        <f>'H237 Tracker'!O427</f>
        <v>0</v>
      </c>
      <c r="AA427" s="13">
        <f>'H237 Tracker'!P427</f>
        <v>0</v>
      </c>
      <c r="AB427" s="13">
        <f>'H237 Tracker'!Q427</f>
        <v>0</v>
      </c>
      <c r="AC427" s="13">
        <f t="shared" si="131"/>
        <v>0</v>
      </c>
      <c r="AD427" s="13">
        <f t="shared" si="132"/>
        <v>128368492075592.45</v>
      </c>
      <c r="AE427" s="13">
        <f t="shared" si="133"/>
        <v>128368492075592.45</v>
      </c>
      <c r="AF427" s="13">
        <f t="shared" si="139"/>
        <v>151331176313926.94</v>
      </c>
      <c r="AG427" s="24">
        <f t="shared" si="134"/>
        <v>-0.15173796171847531</v>
      </c>
      <c r="AH427" s="8">
        <f>--(COUNTIF('Tax Events'!$A$4:$A$8,A427)&gt;0)</f>
        <v>0</v>
      </c>
      <c r="AI427" s="8">
        <f>--(COUNTIF('Tax Events'!$B$4:$B$9,A427)&gt;0)</f>
        <v>0</v>
      </c>
    </row>
    <row r="428" spans="1:35">
      <c r="A428" s="4">
        <f>'H237 Tracker'!A428</f>
        <v>46174</v>
      </c>
      <c r="B428" s="13">
        <f t="shared" si="135"/>
        <v>0</v>
      </c>
      <c r="C428" s="13">
        <f t="shared" si="136"/>
        <v>128368492075592.45</v>
      </c>
      <c r="D428" s="13">
        <f t="shared" si="120"/>
        <v>0</v>
      </c>
      <c r="E428" s="13">
        <f t="shared" si="121"/>
        <v>128368492075592.45</v>
      </c>
      <c r="F428" s="13">
        <f>IF(AH428=1,MAX(R427,0)*Parameters!$B$11,0)</f>
        <v>0</v>
      </c>
      <c r="G428" s="13">
        <f>IF(AI428=1,MAX(S427,0)*Parameters!$B$11,0)</f>
        <v>0</v>
      </c>
      <c r="H428" s="13">
        <f t="shared" si="122"/>
        <v>0</v>
      </c>
      <c r="I428" s="13">
        <f t="shared" si="123"/>
        <v>128368492075592.45</v>
      </c>
      <c r="J428" s="13">
        <f t="shared" si="124"/>
        <v>0</v>
      </c>
      <c r="K428" s="13">
        <f t="shared" si="125"/>
        <v>0</v>
      </c>
      <c r="L428" s="13">
        <f t="shared" si="126"/>
        <v>0</v>
      </c>
      <c r="M428" s="13">
        <f t="shared" si="127"/>
        <v>128368492075592.45</v>
      </c>
      <c r="N428" s="13">
        <f>MAX(0,INT(L428*Parameters!$B$14/Parameters!$B$13/Parameters!$B$12)*Parameters!$B$12)</f>
        <v>0</v>
      </c>
      <c r="O428" s="13">
        <f>MAX(0,INT(M428*Parameters!$B$14/Parameters!$B$13/Parameters!$B$12)*Parameters!$B$12)</f>
        <v>85578994716980</v>
      </c>
      <c r="P428" s="13">
        <f>N428*Parameters!$B$13*'H237 Tracker'!B428</f>
        <v>0</v>
      </c>
      <c r="Q428" s="13">
        <f>O428*Parameters!$B$13*'H237 Tracker'!C428</f>
        <v>12391838435018.703</v>
      </c>
      <c r="R428" s="13">
        <f t="shared" si="137"/>
        <v>0</v>
      </c>
      <c r="S428" s="13">
        <f t="shared" si="138"/>
        <v>130221492504379.34</v>
      </c>
      <c r="T428" s="13">
        <f t="shared" si="128"/>
        <v>0</v>
      </c>
      <c r="U428" s="13">
        <f t="shared" si="129"/>
        <v>140760330510611.16</v>
      </c>
      <c r="V428" s="12">
        <f t="shared" si="130"/>
        <v>0</v>
      </c>
      <c r="W428" t="str">
        <f>'H237 Tracker'!I428</f>
        <v>HOLD</v>
      </c>
      <c r="X428">
        <f>'H237 Tracker'!J428</f>
        <v>0</v>
      </c>
      <c r="Y428" t="str">
        <f>'H237 Tracker'!K428</f>
        <v>HOLD</v>
      </c>
      <c r="Z428" s="12">
        <f>'H237 Tracker'!O428</f>
        <v>0</v>
      </c>
      <c r="AA428" s="13">
        <f>'H237 Tracker'!P428</f>
        <v>0</v>
      </c>
      <c r="AB428" s="13">
        <f>'H237 Tracker'!Q428</f>
        <v>0</v>
      </c>
      <c r="AC428" s="13">
        <f t="shared" si="131"/>
        <v>0</v>
      </c>
      <c r="AD428" s="13">
        <f t="shared" si="132"/>
        <v>140760330510611.16</v>
      </c>
      <c r="AE428" s="13">
        <f t="shared" si="133"/>
        <v>140760330510611.16</v>
      </c>
      <c r="AF428" s="13">
        <f t="shared" si="139"/>
        <v>151331176313926.94</v>
      </c>
      <c r="AG428" s="24">
        <f t="shared" si="134"/>
        <v>-6.9852399623110295E-2</v>
      </c>
      <c r="AH428" s="8">
        <f>--(COUNTIF('Tax Events'!$A$4:$A$8,A428)&gt;0)</f>
        <v>0</v>
      </c>
      <c r="AI428" s="8">
        <f>--(COUNTIF('Tax Events'!$B$4:$B$9,A428)&gt;0)</f>
        <v>0</v>
      </c>
    </row>
    <row r="429" spans="1:35">
      <c r="A429" s="4">
        <f>'H237 Tracker'!A429</f>
        <v>46181</v>
      </c>
      <c r="B429" s="13">
        <f t="shared" si="135"/>
        <v>0</v>
      </c>
      <c r="C429" s="13">
        <f t="shared" si="136"/>
        <v>140760330510611.16</v>
      </c>
      <c r="D429" s="13">
        <f t="shared" si="120"/>
        <v>0</v>
      </c>
      <c r="E429" s="13">
        <f t="shared" si="121"/>
        <v>140760330510611.16</v>
      </c>
      <c r="F429" s="13">
        <f>IF(AH429=1,MAX(R428,0)*Parameters!$B$11,0)</f>
        <v>0</v>
      </c>
      <c r="G429" s="13">
        <f>IF(AI429=1,MAX(S428,0)*Parameters!$B$11,0)</f>
        <v>0</v>
      </c>
      <c r="H429" s="13">
        <f t="shared" si="122"/>
        <v>0</v>
      </c>
      <c r="I429" s="13">
        <f t="shared" si="123"/>
        <v>140760330510611.16</v>
      </c>
      <c r="J429" s="13">
        <f t="shared" si="124"/>
        <v>0</v>
      </c>
      <c r="K429" s="13">
        <f t="shared" si="125"/>
        <v>0</v>
      </c>
      <c r="L429" s="13">
        <f t="shared" si="126"/>
        <v>0</v>
      </c>
      <c r="M429" s="13">
        <f t="shared" si="127"/>
        <v>140760330510611.16</v>
      </c>
      <c r="N429" s="13">
        <f>MAX(0,INT(L429*Parameters!$B$14/Parameters!$B$13/Parameters!$B$12)*Parameters!$B$12)</f>
        <v>0</v>
      </c>
      <c r="O429" s="13">
        <f>MAX(0,INT(M429*Parameters!$B$14/Parameters!$B$13/Parameters!$B$12)*Parameters!$B$12)</f>
        <v>93840220340345</v>
      </c>
      <c r="P429" s="13">
        <f>N429*Parameters!$B$13*'H237 Tracker'!B429</f>
        <v>0</v>
      </c>
      <c r="Q429" s="13">
        <f>O429*Parameters!$B$13*'H237 Tracker'!C429</f>
        <v>-14995667210387.133</v>
      </c>
      <c r="R429" s="13">
        <f t="shared" si="137"/>
        <v>0</v>
      </c>
      <c r="S429" s="13">
        <f t="shared" si="138"/>
        <v>115225825293992.22</v>
      </c>
      <c r="T429" s="13">
        <f t="shared" si="128"/>
        <v>0</v>
      </c>
      <c r="U429" s="13">
        <f t="shared" si="129"/>
        <v>125764663300224.03</v>
      </c>
      <c r="V429" s="12">
        <f t="shared" si="130"/>
        <v>0</v>
      </c>
      <c r="W429" t="str">
        <f>'H237 Tracker'!I429</f>
        <v>HOLD</v>
      </c>
      <c r="X429">
        <f>'H237 Tracker'!J429</f>
        <v>0</v>
      </c>
      <c r="Y429" t="str">
        <f>'H237 Tracker'!K429</f>
        <v>HOLD</v>
      </c>
      <c r="Z429" s="12">
        <f>'H237 Tracker'!O429</f>
        <v>0</v>
      </c>
      <c r="AA429" s="13">
        <f>'H237 Tracker'!P429</f>
        <v>0</v>
      </c>
      <c r="AB429" s="13">
        <f>'H237 Tracker'!Q429</f>
        <v>0</v>
      </c>
      <c r="AC429" s="13">
        <f t="shared" si="131"/>
        <v>0</v>
      </c>
      <c r="AD429" s="13">
        <f t="shared" si="132"/>
        <v>125764663300224.03</v>
      </c>
      <c r="AE429" s="13">
        <f t="shared" si="133"/>
        <v>125764663300224.03</v>
      </c>
      <c r="AF429" s="13">
        <f t="shared" si="139"/>
        <v>151331176313926.94</v>
      </c>
      <c r="AG429" s="24">
        <f t="shared" si="134"/>
        <v>-0.16894412398319558</v>
      </c>
      <c r="AH429" s="8">
        <f>--(COUNTIF('Tax Events'!$A$4:$A$8,A429)&gt;0)</f>
        <v>0</v>
      </c>
      <c r="AI429" s="8">
        <f>--(COUNTIF('Tax Events'!$B$4:$B$9,A429)&gt;0)</f>
        <v>0</v>
      </c>
    </row>
    <row r="430" spans="1:35">
      <c r="A430" s="4">
        <f>'H237 Tracker'!A430</f>
        <v>46188</v>
      </c>
      <c r="B430" s="13">
        <f t="shared" si="135"/>
        <v>0</v>
      </c>
      <c r="C430" s="13">
        <f t="shared" si="136"/>
        <v>125764663300224.03</v>
      </c>
      <c r="D430" s="13">
        <f t="shared" si="120"/>
        <v>0</v>
      </c>
      <c r="E430" s="13">
        <f t="shared" si="121"/>
        <v>125764663300224.03</v>
      </c>
      <c r="F430" s="13">
        <f>IF(AH430=1,MAX(R429,0)*Parameters!$B$11,0)</f>
        <v>0</v>
      </c>
      <c r="G430" s="13">
        <f>IF(AI430=1,MAX(S429,0)*Parameters!$B$11,0)</f>
        <v>0</v>
      </c>
      <c r="H430" s="13">
        <f t="shared" si="122"/>
        <v>0</v>
      </c>
      <c r="I430" s="13">
        <f t="shared" si="123"/>
        <v>125764663300224.03</v>
      </c>
      <c r="J430" s="13">
        <f t="shared" si="124"/>
        <v>0</v>
      </c>
      <c r="K430" s="13">
        <f t="shared" si="125"/>
        <v>0</v>
      </c>
      <c r="L430" s="13">
        <f t="shared" si="126"/>
        <v>0</v>
      </c>
      <c r="M430" s="13">
        <f t="shared" si="127"/>
        <v>125764663300224.03</v>
      </c>
      <c r="N430" s="13">
        <f>MAX(0,INT(L430*Parameters!$B$14/Parameters!$B$13/Parameters!$B$12)*Parameters!$B$12)</f>
        <v>0</v>
      </c>
      <c r="O430" s="13">
        <f>MAX(0,INT(M430*Parameters!$B$14/Parameters!$B$13/Parameters!$B$12)*Parameters!$B$12)</f>
        <v>83843108866775</v>
      </c>
      <c r="P430" s="13">
        <f>N430*Parameters!$B$13*'H237 Tracker'!B430</f>
        <v>0</v>
      </c>
      <c r="Q430" s="13">
        <f>O430*Parameters!$B$13*'H237 Tracker'!C430</f>
        <v>13985030558978.07</v>
      </c>
      <c r="R430" s="13">
        <f t="shared" si="137"/>
        <v>0</v>
      </c>
      <c r="S430" s="13">
        <f t="shared" si="138"/>
        <v>129210855852970.28</v>
      </c>
      <c r="T430" s="13">
        <f t="shared" si="128"/>
        <v>0</v>
      </c>
      <c r="U430" s="13">
        <f t="shared" si="129"/>
        <v>139749693859202.09</v>
      </c>
      <c r="V430" s="12">
        <f t="shared" si="130"/>
        <v>0</v>
      </c>
      <c r="W430" t="str">
        <f>'H237 Tracker'!I430</f>
        <v>HOLD</v>
      </c>
      <c r="X430">
        <f>'H237 Tracker'!J430</f>
        <v>0</v>
      </c>
      <c r="Y430" t="str">
        <f>'H237 Tracker'!K430</f>
        <v>HOLD</v>
      </c>
      <c r="Z430" s="12">
        <f>'H237 Tracker'!O430</f>
        <v>0</v>
      </c>
      <c r="AA430" s="13">
        <f>'H237 Tracker'!P430</f>
        <v>0</v>
      </c>
      <c r="AB430" s="13">
        <f>'H237 Tracker'!Q430</f>
        <v>0</v>
      </c>
      <c r="AC430" s="13">
        <f t="shared" si="131"/>
        <v>0</v>
      </c>
      <c r="AD430" s="13">
        <f t="shared" si="132"/>
        <v>139749693859202.09</v>
      </c>
      <c r="AE430" s="13">
        <f t="shared" si="133"/>
        <v>139749693859202.09</v>
      </c>
      <c r="AF430" s="13">
        <f t="shared" si="139"/>
        <v>151331176313926.94</v>
      </c>
      <c r="AG430" s="24">
        <f t="shared" si="134"/>
        <v>-7.6530710570172245E-2</v>
      </c>
      <c r="AH430" s="8">
        <f>--(COUNTIF('Tax Events'!$A$4:$A$8,A430)&gt;0)</f>
        <v>0</v>
      </c>
      <c r="AI430" s="8">
        <f>--(COUNTIF('Tax Events'!$B$4:$B$9,A430)&gt;0)</f>
        <v>0</v>
      </c>
    </row>
    <row r="431" spans="1:35">
      <c r="A431" s="4">
        <f>'H237 Tracker'!A431</f>
        <v>46195</v>
      </c>
      <c r="B431" s="13">
        <f t="shared" si="135"/>
        <v>0</v>
      </c>
      <c r="C431" s="13">
        <f t="shared" si="136"/>
        <v>139749693859202.09</v>
      </c>
      <c r="D431" s="13">
        <f t="shared" si="120"/>
        <v>0</v>
      </c>
      <c r="E431" s="13">
        <f t="shared" si="121"/>
        <v>139749693859202.09</v>
      </c>
      <c r="F431" s="13">
        <f>IF(AH431=1,MAX(R430,0)*Parameters!$B$11,0)</f>
        <v>0</v>
      </c>
      <c r="G431" s="13">
        <f>IF(AI431=1,MAX(S430,0)*Parameters!$B$11,0)</f>
        <v>0</v>
      </c>
      <c r="H431" s="13">
        <f t="shared" si="122"/>
        <v>0</v>
      </c>
      <c r="I431" s="13">
        <f t="shared" si="123"/>
        <v>139749693859202.09</v>
      </c>
      <c r="J431" s="13">
        <f t="shared" si="124"/>
        <v>0</v>
      </c>
      <c r="K431" s="13">
        <f t="shared" si="125"/>
        <v>0</v>
      </c>
      <c r="L431" s="13">
        <f t="shared" si="126"/>
        <v>0</v>
      </c>
      <c r="M431" s="13">
        <f t="shared" si="127"/>
        <v>139749693859202.09</v>
      </c>
      <c r="N431" s="13">
        <f>MAX(0,INT(L431*Parameters!$B$14/Parameters!$B$13/Parameters!$B$12)*Parameters!$B$12)</f>
        <v>0</v>
      </c>
      <c r="O431" s="13">
        <f>MAX(0,INT(M431*Parameters!$B$14/Parameters!$B$13/Parameters!$B$12)*Parameters!$B$12)</f>
        <v>93166462572690</v>
      </c>
      <c r="P431" s="13">
        <f>N431*Parameters!$B$13*'H237 Tracker'!B431</f>
        <v>0</v>
      </c>
      <c r="Q431" s="13">
        <f>O431*Parameters!$B$13*'H237 Tracker'!C431</f>
        <v>-44477669232202.203</v>
      </c>
      <c r="R431" s="13">
        <f t="shared" si="137"/>
        <v>0</v>
      </c>
      <c r="S431" s="13">
        <f t="shared" si="138"/>
        <v>84733186620768.078</v>
      </c>
      <c r="T431" s="13">
        <f t="shared" si="128"/>
        <v>0</v>
      </c>
      <c r="U431" s="13">
        <f t="shared" si="129"/>
        <v>95272024626999.891</v>
      </c>
      <c r="V431" s="12">
        <f t="shared" si="130"/>
        <v>0</v>
      </c>
      <c r="W431" t="str">
        <f>'H237 Tracker'!I431</f>
        <v>HOLD</v>
      </c>
      <c r="X431">
        <f>'H237 Tracker'!J431</f>
        <v>0</v>
      </c>
      <c r="Y431" t="str">
        <f>'H237 Tracker'!K431</f>
        <v>HOLD</v>
      </c>
      <c r="Z431" s="12">
        <f>'H237 Tracker'!O431</f>
        <v>0</v>
      </c>
      <c r="AA431" s="13">
        <f>'H237 Tracker'!P431</f>
        <v>0</v>
      </c>
      <c r="AB431" s="13">
        <f>'H237 Tracker'!Q431</f>
        <v>0</v>
      </c>
      <c r="AC431" s="13">
        <f t="shared" si="131"/>
        <v>0</v>
      </c>
      <c r="AD431" s="13">
        <f t="shared" si="132"/>
        <v>95272024626999.891</v>
      </c>
      <c r="AE431" s="13">
        <f t="shared" si="133"/>
        <v>95272024626999.891</v>
      </c>
      <c r="AF431" s="13">
        <f t="shared" si="139"/>
        <v>151331176313926.94</v>
      </c>
      <c r="AG431" s="24">
        <f t="shared" si="134"/>
        <v>-0.37044020308568726</v>
      </c>
      <c r="AH431" s="8">
        <f>--(COUNTIF('Tax Events'!$A$4:$A$8,A431)&gt;0)</f>
        <v>0</v>
      </c>
      <c r="AI431" s="8">
        <f>--(COUNTIF('Tax Events'!$B$4:$B$9,A431)&gt;0)</f>
        <v>0</v>
      </c>
    </row>
    <row r="432" spans="1:35">
      <c r="A432" s="4">
        <f>'H237 Tracker'!A432</f>
        <v>46202</v>
      </c>
      <c r="B432" s="13">
        <f t="shared" si="135"/>
        <v>0</v>
      </c>
      <c r="C432" s="13">
        <f t="shared" si="136"/>
        <v>95272024626999.891</v>
      </c>
      <c r="D432" s="13">
        <f t="shared" si="120"/>
        <v>0</v>
      </c>
      <c r="E432" s="13">
        <f t="shared" si="121"/>
        <v>95272024626999.891</v>
      </c>
      <c r="F432" s="13">
        <f>IF(AH432=1,MAX(R431,0)*Parameters!$B$11,0)</f>
        <v>0</v>
      </c>
      <c r="G432" s="13">
        <f>IF(AI432=1,MAX(S431,0)*Parameters!$B$11,0)</f>
        <v>0</v>
      </c>
      <c r="H432" s="13">
        <f t="shared" si="122"/>
        <v>0</v>
      </c>
      <c r="I432" s="13">
        <f t="shared" si="123"/>
        <v>95272024626999.891</v>
      </c>
      <c r="J432" s="13">
        <f t="shared" si="124"/>
        <v>0</v>
      </c>
      <c r="K432" s="13">
        <f t="shared" si="125"/>
        <v>0</v>
      </c>
      <c r="L432" s="13">
        <f t="shared" si="126"/>
        <v>0</v>
      </c>
      <c r="M432" s="13">
        <f t="shared" si="127"/>
        <v>95272024626999.891</v>
      </c>
      <c r="N432" s="13">
        <f>MAX(0,INT(L432*Parameters!$B$14/Parameters!$B$13/Parameters!$B$12)*Parameters!$B$12)</f>
        <v>0</v>
      </c>
      <c r="O432" s="13">
        <f>MAX(0,INT(M432*Parameters!$B$14/Parameters!$B$13/Parameters!$B$12)*Parameters!$B$12)</f>
        <v>63514683084600</v>
      </c>
      <c r="P432" s="13">
        <f>N432*Parameters!$B$13*'H237 Tracker'!B432</f>
        <v>0</v>
      </c>
      <c r="Q432" s="13">
        <f>O432*Parameters!$B$13*'H237 Tracker'!C432</f>
        <v>15916779581000.76</v>
      </c>
      <c r="R432" s="13">
        <f t="shared" si="137"/>
        <v>0</v>
      </c>
      <c r="S432" s="13">
        <f t="shared" si="138"/>
        <v>100649966201768.84</v>
      </c>
      <c r="T432" s="13">
        <f t="shared" si="128"/>
        <v>0</v>
      </c>
      <c r="U432" s="13">
        <f t="shared" si="129"/>
        <v>111188804208000.66</v>
      </c>
      <c r="V432" s="12">
        <f t="shared" si="130"/>
        <v>0</v>
      </c>
      <c r="W432" t="str">
        <f>'H237 Tracker'!I432</f>
        <v>HOLD</v>
      </c>
      <c r="X432">
        <f>'H237 Tracker'!J432</f>
        <v>0</v>
      </c>
      <c r="Y432" t="str">
        <f>'H237 Tracker'!K432</f>
        <v>HOLD</v>
      </c>
      <c r="Z432" s="12">
        <f>'H237 Tracker'!O432</f>
        <v>0</v>
      </c>
      <c r="AA432" s="13">
        <f>'H237 Tracker'!P432</f>
        <v>0</v>
      </c>
      <c r="AB432" s="13">
        <f>'H237 Tracker'!Q432</f>
        <v>0</v>
      </c>
      <c r="AC432" s="13">
        <f t="shared" si="131"/>
        <v>0</v>
      </c>
      <c r="AD432" s="13">
        <f t="shared" si="132"/>
        <v>111188804208000.66</v>
      </c>
      <c r="AE432" s="13">
        <f t="shared" si="133"/>
        <v>111188804208000.66</v>
      </c>
      <c r="AF432" s="13">
        <f t="shared" si="139"/>
        <v>151331176313926.94</v>
      </c>
      <c r="AG432" s="24">
        <f t="shared" si="134"/>
        <v>-0.26526174634797972</v>
      </c>
      <c r="AH432" s="8">
        <f>--(COUNTIF('Tax Events'!$A$4:$A$8,A432)&gt;0)</f>
        <v>0</v>
      </c>
      <c r="AI432" s="8">
        <f>--(COUNTIF('Tax Events'!$B$4:$B$9,A432)&gt;0)</f>
        <v>0</v>
      </c>
    </row>
    <row r="433" spans="1:35">
      <c r="A433" s="4">
        <f>'H237 Tracker'!A433</f>
        <v>46209</v>
      </c>
      <c r="B433" s="13">
        <f t="shared" si="135"/>
        <v>0</v>
      </c>
      <c r="C433" s="13">
        <f t="shared" si="136"/>
        <v>111188804208000.66</v>
      </c>
      <c r="D433" s="13">
        <f t="shared" si="120"/>
        <v>0</v>
      </c>
      <c r="E433" s="13">
        <f t="shared" si="121"/>
        <v>111188804208000.66</v>
      </c>
      <c r="F433" s="13">
        <f>IF(AH433=1,MAX(R432,0)*Parameters!$B$11,0)</f>
        <v>0</v>
      </c>
      <c r="G433" s="13">
        <f>IF(AI433=1,MAX(S432,0)*Parameters!$B$11,0)</f>
        <v>0</v>
      </c>
      <c r="H433" s="13">
        <f t="shared" si="122"/>
        <v>0</v>
      </c>
      <c r="I433" s="13">
        <f t="shared" si="123"/>
        <v>111188804208000.66</v>
      </c>
      <c r="J433" s="13">
        <f t="shared" si="124"/>
        <v>0</v>
      </c>
      <c r="K433" s="13">
        <f t="shared" si="125"/>
        <v>0</v>
      </c>
      <c r="L433" s="13">
        <f t="shared" si="126"/>
        <v>0</v>
      </c>
      <c r="M433" s="13">
        <f t="shared" si="127"/>
        <v>111188804208000.66</v>
      </c>
      <c r="N433" s="13">
        <f>MAX(0,INT(L433*Parameters!$B$14/Parameters!$B$13/Parameters!$B$12)*Parameters!$B$12)</f>
        <v>0</v>
      </c>
      <c r="O433" s="13">
        <f>MAX(0,INT(M433*Parameters!$B$14/Parameters!$B$13/Parameters!$B$12)*Parameters!$B$12)</f>
        <v>74125869471955</v>
      </c>
      <c r="P433" s="13">
        <f>N433*Parameters!$B$13*'H237 Tracker'!B433</f>
        <v>0</v>
      </c>
      <c r="Q433" s="13">
        <f>O433*Parameters!$B$13*'H237 Tracker'!C433</f>
        <v>-7916642859604.7939</v>
      </c>
      <c r="R433" s="13">
        <f t="shared" si="137"/>
        <v>0</v>
      </c>
      <c r="S433" s="13">
        <f t="shared" si="138"/>
        <v>92733323342164.047</v>
      </c>
      <c r="T433" s="13">
        <f t="shared" si="128"/>
        <v>0</v>
      </c>
      <c r="U433" s="13">
        <f t="shared" si="129"/>
        <v>103272161348395.86</v>
      </c>
      <c r="V433" s="12">
        <f t="shared" si="130"/>
        <v>0</v>
      </c>
      <c r="W433" t="str">
        <f>'H237 Tracker'!I433</f>
        <v>HOLD</v>
      </c>
      <c r="X433">
        <f>'H237 Tracker'!J433</f>
        <v>0</v>
      </c>
      <c r="Y433" t="str">
        <f>'H237 Tracker'!K433</f>
        <v>HOLD</v>
      </c>
      <c r="Z433" s="12">
        <f>'H237 Tracker'!O433</f>
        <v>0</v>
      </c>
      <c r="AA433" s="13">
        <f>'H237 Tracker'!P433</f>
        <v>0</v>
      </c>
      <c r="AB433" s="13">
        <f>'H237 Tracker'!Q433</f>
        <v>0</v>
      </c>
      <c r="AC433" s="13">
        <f t="shared" si="131"/>
        <v>0</v>
      </c>
      <c r="AD433" s="13">
        <f t="shared" si="132"/>
        <v>103272161348395.86</v>
      </c>
      <c r="AE433" s="13">
        <f t="shared" si="133"/>
        <v>103272161348395.86</v>
      </c>
      <c r="AF433" s="13">
        <f t="shared" si="139"/>
        <v>151331176313926.94</v>
      </c>
      <c r="AG433" s="24">
        <f t="shared" si="134"/>
        <v>-0.31757511000797145</v>
      </c>
      <c r="AH433" s="8">
        <f>--(COUNTIF('Tax Events'!$A$4:$A$8,A433)&gt;0)</f>
        <v>0</v>
      </c>
      <c r="AI433" s="8">
        <f>--(COUNTIF('Tax Events'!$B$4:$B$9,A433)&gt;0)</f>
        <v>0</v>
      </c>
    </row>
    <row r="434" spans="1:35">
      <c r="A434" s="4">
        <f>'H237 Tracker'!A434</f>
        <v>46216</v>
      </c>
      <c r="B434" s="13">
        <f t="shared" si="135"/>
        <v>0</v>
      </c>
      <c r="C434" s="13">
        <f t="shared" si="136"/>
        <v>103272161348395.86</v>
      </c>
      <c r="D434" s="13">
        <f t="shared" si="120"/>
        <v>0</v>
      </c>
      <c r="E434" s="13">
        <f t="shared" si="121"/>
        <v>103272161348395.86</v>
      </c>
      <c r="F434" s="13">
        <f>IF(AH434=1,MAX(R433,0)*Parameters!$B$11,0)</f>
        <v>0</v>
      </c>
      <c r="G434" s="13">
        <f>IF(AI434=1,MAX(S433,0)*Parameters!$B$11,0)</f>
        <v>0</v>
      </c>
      <c r="H434" s="13">
        <f t="shared" si="122"/>
        <v>0</v>
      </c>
      <c r="I434" s="13">
        <f t="shared" si="123"/>
        <v>103272161348395.86</v>
      </c>
      <c r="J434" s="13">
        <f t="shared" si="124"/>
        <v>0</v>
      </c>
      <c r="K434" s="13">
        <f t="shared" si="125"/>
        <v>0</v>
      </c>
      <c r="L434" s="13">
        <f t="shared" si="126"/>
        <v>0</v>
      </c>
      <c r="M434" s="13">
        <f t="shared" si="127"/>
        <v>103272161348395.86</v>
      </c>
      <c r="N434" s="13">
        <f>MAX(0,INT(L434*Parameters!$B$14/Parameters!$B$13/Parameters!$B$12)*Parameters!$B$12)</f>
        <v>0</v>
      </c>
      <c r="O434" s="13">
        <f>MAX(0,INT(M434*Parameters!$B$14/Parameters!$B$13/Parameters!$B$12)*Parameters!$B$12)</f>
        <v>68848107565530</v>
      </c>
      <c r="P434" s="13">
        <f>N434*Parameters!$B$13*'H237 Tracker'!B434</f>
        <v>0</v>
      </c>
      <c r="Q434" s="13">
        <f>O434*Parameters!$B$13*'H237 Tracker'!C434</f>
        <v>-5700623306425.8838</v>
      </c>
      <c r="R434" s="13">
        <f t="shared" si="137"/>
        <v>0</v>
      </c>
      <c r="S434" s="13">
        <f t="shared" si="138"/>
        <v>87032700035738.156</v>
      </c>
      <c r="T434" s="13">
        <f t="shared" si="128"/>
        <v>0</v>
      </c>
      <c r="U434" s="13">
        <f t="shared" si="129"/>
        <v>97571538041969.969</v>
      </c>
      <c r="V434" s="12">
        <f t="shared" si="130"/>
        <v>0</v>
      </c>
      <c r="W434" t="str">
        <f>'H237 Tracker'!I434</f>
        <v>HOLD</v>
      </c>
      <c r="X434">
        <f>'H237 Tracker'!J434</f>
        <v>0</v>
      </c>
      <c r="Y434" t="str">
        <f>'H237 Tracker'!K434</f>
        <v>HOLD</v>
      </c>
      <c r="Z434" s="12">
        <f>'H237 Tracker'!O434</f>
        <v>0</v>
      </c>
      <c r="AA434" s="13">
        <f>'H237 Tracker'!P434</f>
        <v>0</v>
      </c>
      <c r="AB434" s="13">
        <f>'H237 Tracker'!Q434</f>
        <v>0</v>
      </c>
      <c r="AC434" s="13">
        <f t="shared" si="131"/>
        <v>0</v>
      </c>
      <c r="AD434" s="13">
        <f t="shared" si="132"/>
        <v>97571538041969.969</v>
      </c>
      <c r="AE434" s="13">
        <f t="shared" si="133"/>
        <v>97571538041969.969</v>
      </c>
      <c r="AF434" s="13">
        <f t="shared" si="139"/>
        <v>151331176313926.94</v>
      </c>
      <c r="AG434" s="24">
        <f t="shared" si="134"/>
        <v>-0.35524496393549476</v>
      </c>
      <c r="AH434" s="8">
        <f>--(COUNTIF('Tax Events'!$A$4:$A$8,A434)&gt;0)</f>
        <v>0</v>
      </c>
      <c r="AI434" s="8">
        <f>--(COUNTIF('Tax Events'!$B$4:$B$9,A434)&gt;0)</f>
        <v>0</v>
      </c>
    </row>
    <row r="435" spans="1:35">
      <c r="A435" s="4">
        <f>'H237 Tracker'!A435</f>
        <v>46223</v>
      </c>
      <c r="B435" s="13">
        <f t="shared" si="135"/>
        <v>0</v>
      </c>
      <c r="C435" s="13">
        <f t="shared" si="136"/>
        <v>97571538041969.969</v>
      </c>
      <c r="D435" s="13">
        <f t="shared" si="120"/>
        <v>0</v>
      </c>
      <c r="E435" s="13">
        <f t="shared" si="121"/>
        <v>97571538041969.969</v>
      </c>
      <c r="F435" s="13">
        <f>IF(AH435=1,MAX(R434,0)*Parameters!$B$11,0)</f>
        <v>0</v>
      </c>
      <c r="G435" s="13">
        <f>IF(AI435=1,MAX(S434,0)*Parameters!$B$11,0)</f>
        <v>0</v>
      </c>
      <c r="H435" s="13">
        <f t="shared" si="122"/>
        <v>0</v>
      </c>
      <c r="I435" s="13">
        <f t="shared" si="123"/>
        <v>97571538041969.969</v>
      </c>
      <c r="J435" s="13">
        <f t="shared" si="124"/>
        <v>0</v>
      </c>
      <c r="K435" s="13">
        <f t="shared" si="125"/>
        <v>0</v>
      </c>
      <c r="L435" s="13">
        <f t="shared" si="126"/>
        <v>0</v>
      </c>
      <c r="M435" s="13">
        <f t="shared" si="127"/>
        <v>97571538041969.969</v>
      </c>
      <c r="N435" s="13">
        <f>MAX(0,INT(L435*Parameters!$B$14/Parameters!$B$13/Parameters!$B$12)*Parameters!$B$12)</f>
        <v>0</v>
      </c>
      <c r="O435" s="13">
        <f>MAX(0,INT(M435*Parameters!$B$14/Parameters!$B$13/Parameters!$B$12)*Parameters!$B$12)</f>
        <v>65047692027965</v>
      </c>
      <c r="P435" s="13">
        <f>N435*Parameters!$B$13*'H237 Tracker'!B435</f>
        <v>0</v>
      </c>
      <c r="Q435" s="13">
        <f>O435*Parameters!$B$13*'H237 Tracker'!C435</f>
        <v>0</v>
      </c>
      <c r="R435" s="13">
        <f t="shared" si="137"/>
        <v>0</v>
      </c>
      <c r="S435" s="13">
        <f t="shared" si="138"/>
        <v>87032700035738.156</v>
      </c>
      <c r="T435" s="13">
        <f t="shared" si="128"/>
        <v>0</v>
      </c>
      <c r="U435" s="13">
        <f t="shared" si="129"/>
        <v>97571538041969.969</v>
      </c>
      <c r="V435" s="12">
        <f t="shared" si="130"/>
        <v>0</v>
      </c>
      <c r="W435" t="str">
        <f>'H237 Tracker'!I435</f>
        <v>HOLD</v>
      </c>
      <c r="X435">
        <f>'H237 Tracker'!J435</f>
        <v>0</v>
      </c>
      <c r="Y435" t="str">
        <f>'H237 Tracker'!K435</f>
        <v>HOLD</v>
      </c>
      <c r="Z435" s="12">
        <f>'H237 Tracker'!O435</f>
        <v>0</v>
      </c>
      <c r="AA435" s="13">
        <f>'H237 Tracker'!P435</f>
        <v>0</v>
      </c>
      <c r="AB435" s="13">
        <f>'H237 Tracker'!Q435</f>
        <v>0</v>
      </c>
      <c r="AC435" s="13">
        <f t="shared" si="131"/>
        <v>0</v>
      </c>
      <c r="AD435" s="13">
        <f t="shared" si="132"/>
        <v>97571538041969.969</v>
      </c>
      <c r="AE435" s="13">
        <f t="shared" si="133"/>
        <v>97571538041969.969</v>
      </c>
      <c r="AF435" s="13">
        <f t="shared" si="139"/>
        <v>151331176313926.94</v>
      </c>
      <c r="AG435" s="24">
        <f t="shared" si="134"/>
        <v>-0.35524496393549476</v>
      </c>
      <c r="AH435" s="8">
        <f>--(COUNTIF('Tax Events'!$A$4:$A$8,A435)&gt;0)</f>
        <v>0</v>
      </c>
      <c r="AI435" s="8">
        <f>--(COUNTIF('Tax Events'!$B$4:$B$9,A435)&gt;0)</f>
        <v>0</v>
      </c>
    </row>
    <row r="436" spans="1:35">
      <c r="A436" s="4">
        <f>'H237 Tracker'!A436</f>
        <v>46230</v>
      </c>
      <c r="B436" s="13">
        <f t="shared" si="135"/>
        <v>0</v>
      </c>
      <c r="C436" s="13">
        <f t="shared" si="136"/>
        <v>97571538041969.969</v>
      </c>
      <c r="D436" s="13">
        <f t="shared" si="120"/>
        <v>0</v>
      </c>
      <c r="E436" s="13">
        <f t="shared" si="121"/>
        <v>97571538041969.969</v>
      </c>
      <c r="F436" s="13">
        <f>IF(AH436=1,MAX(R435,0)*Parameters!$B$11,0)</f>
        <v>0</v>
      </c>
      <c r="G436" s="13">
        <f>IF(AI436=1,MAX(S435,0)*Parameters!$B$11,0)</f>
        <v>0</v>
      </c>
      <c r="H436" s="13">
        <f t="shared" si="122"/>
        <v>0</v>
      </c>
      <c r="I436" s="13">
        <f t="shared" si="123"/>
        <v>97571538041969.969</v>
      </c>
      <c r="J436" s="13">
        <f t="shared" si="124"/>
        <v>0</v>
      </c>
      <c r="K436" s="13">
        <f t="shared" si="125"/>
        <v>0</v>
      </c>
      <c r="L436" s="13">
        <f t="shared" si="126"/>
        <v>0</v>
      </c>
      <c r="M436" s="13">
        <f t="shared" si="127"/>
        <v>97571538041969.969</v>
      </c>
      <c r="N436" s="13">
        <f>MAX(0,INT(L436*Parameters!$B$14/Parameters!$B$13/Parameters!$B$12)*Parameters!$B$12)</f>
        <v>0</v>
      </c>
      <c r="O436" s="13">
        <f>MAX(0,INT(M436*Parameters!$B$14/Parameters!$B$13/Parameters!$B$12)*Parameters!$B$12)</f>
        <v>65047692027965</v>
      </c>
      <c r="P436" s="13">
        <f>N436*Parameters!$B$13*'H237 Tracker'!B436</f>
        <v>0</v>
      </c>
      <c r="Q436" s="13">
        <f>O436*Parameters!$B$13*'H237 Tracker'!C436</f>
        <v>0</v>
      </c>
      <c r="R436" s="13">
        <f t="shared" si="137"/>
        <v>0</v>
      </c>
      <c r="S436" s="13">
        <f t="shared" si="138"/>
        <v>87032700035738.156</v>
      </c>
      <c r="T436" s="13">
        <f t="shared" si="128"/>
        <v>0</v>
      </c>
      <c r="U436" s="13">
        <f t="shared" si="129"/>
        <v>97571538041969.969</v>
      </c>
      <c r="V436" s="12">
        <f t="shared" si="130"/>
        <v>0</v>
      </c>
      <c r="W436" t="str">
        <f>'H237 Tracker'!I436</f>
        <v>HOLD</v>
      </c>
      <c r="X436">
        <f>'H237 Tracker'!J436</f>
        <v>0</v>
      </c>
      <c r="Y436" t="str">
        <f>'H237 Tracker'!K436</f>
        <v>HOLD</v>
      </c>
      <c r="Z436" s="12">
        <f>'H237 Tracker'!O436</f>
        <v>0</v>
      </c>
      <c r="AA436" s="13">
        <f>'H237 Tracker'!P436</f>
        <v>0</v>
      </c>
      <c r="AB436" s="13">
        <f>'H237 Tracker'!Q436</f>
        <v>0</v>
      </c>
      <c r="AC436" s="13">
        <f t="shared" si="131"/>
        <v>0</v>
      </c>
      <c r="AD436" s="13">
        <f t="shared" si="132"/>
        <v>97571538041969.969</v>
      </c>
      <c r="AE436" s="13">
        <f t="shared" si="133"/>
        <v>97571538041969.969</v>
      </c>
      <c r="AF436" s="13">
        <f t="shared" si="139"/>
        <v>151331176313926.94</v>
      </c>
      <c r="AG436" s="24">
        <f t="shared" si="134"/>
        <v>-0.35524496393549476</v>
      </c>
      <c r="AH436" s="8">
        <f>--(COUNTIF('Tax Events'!$A$4:$A$8,A436)&gt;0)</f>
        <v>0</v>
      </c>
      <c r="AI436" s="8">
        <f>--(COUNTIF('Tax Events'!$B$4:$B$9,A436)&gt;0)</f>
        <v>0</v>
      </c>
    </row>
    <row r="437" spans="1:35">
      <c r="A437" s="4">
        <f>'H237 Tracker'!A437</f>
        <v>46237</v>
      </c>
      <c r="B437" s="13">
        <f t="shared" si="135"/>
        <v>0</v>
      </c>
      <c r="C437" s="13">
        <f t="shared" si="136"/>
        <v>97571538041969.969</v>
      </c>
      <c r="D437" s="13">
        <f t="shared" si="120"/>
        <v>0</v>
      </c>
      <c r="E437" s="13">
        <f t="shared" si="121"/>
        <v>97571538041969.969</v>
      </c>
      <c r="F437" s="13">
        <f>IF(AH437=1,MAX(R436,0)*Parameters!$B$11,0)</f>
        <v>0</v>
      </c>
      <c r="G437" s="13">
        <f>IF(AI437=1,MAX(S436,0)*Parameters!$B$11,0)</f>
        <v>0</v>
      </c>
      <c r="H437" s="13">
        <f t="shared" si="122"/>
        <v>0</v>
      </c>
      <c r="I437" s="13">
        <f t="shared" si="123"/>
        <v>97571538041969.969</v>
      </c>
      <c r="J437" s="13">
        <f t="shared" si="124"/>
        <v>0</v>
      </c>
      <c r="K437" s="13">
        <f t="shared" si="125"/>
        <v>0</v>
      </c>
      <c r="L437" s="13">
        <f t="shared" si="126"/>
        <v>0</v>
      </c>
      <c r="M437" s="13">
        <f t="shared" si="127"/>
        <v>97571538041969.969</v>
      </c>
      <c r="N437" s="13">
        <f>MAX(0,INT(L437*Parameters!$B$14/Parameters!$B$13/Parameters!$B$12)*Parameters!$B$12)</f>
        <v>0</v>
      </c>
      <c r="O437" s="13">
        <f>MAX(0,INT(M437*Parameters!$B$14/Parameters!$B$13/Parameters!$B$12)*Parameters!$B$12)</f>
        <v>65047692027965</v>
      </c>
      <c r="P437" s="13">
        <f>N437*Parameters!$B$13*'H237 Tracker'!B437</f>
        <v>0</v>
      </c>
      <c r="Q437" s="13">
        <f>O437*Parameters!$B$13*'H237 Tracker'!C437</f>
        <v>0</v>
      </c>
      <c r="R437" s="13">
        <f t="shared" si="137"/>
        <v>0</v>
      </c>
      <c r="S437" s="13">
        <f t="shared" si="138"/>
        <v>87032700035738.156</v>
      </c>
      <c r="T437" s="13">
        <f t="shared" si="128"/>
        <v>0</v>
      </c>
      <c r="U437" s="13">
        <f t="shared" si="129"/>
        <v>97571538041969.969</v>
      </c>
      <c r="V437" s="12">
        <f t="shared" si="130"/>
        <v>0</v>
      </c>
      <c r="W437" t="str">
        <f>'H237 Tracker'!I437</f>
        <v>B</v>
      </c>
      <c r="X437">
        <f>'H237 Tracker'!J437</f>
        <v>1</v>
      </c>
      <c r="Y437" t="str">
        <f>'H237 Tracker'!K437</f>
        <v>HOLD</v>
      </c>
      <c r="Z437" s="12">
        <f>'H237 Tracker'!O437</f>
        <v>0</v>
      </c>
      <c r="AA437" s="13">
        <f>'H237 Tracker'!P437</f>
        <v>0</v>
      </c>
      <c r="AB437" s="13">
        <f>'H237 Tracker'!Q437</f>
        <v>0</v>
      </c>
      <c r="AC437" s="13">
        <f t="shared" si="131"/>
        <v>0</v>
      </c>
      <c r="AD437" s="13">
        <f t="shared" si="132"/>
        <v>97571538041969.969</v>
      </c>
      <c r="AE437" s="13">
        <f t="shared" si="133"/>
        <v>97571538041969.969</v>
      </c>
      <c r="AF437" s="13">
        <f t="shared" si="139"/>
        <v>151331176313926.94</v>
      </c>
      <c r="AG437" s="24">
        <f t="shared" si="134"/>
        <v>-0.35524496393549476</v>
      </c>
      <c r="AH437" s="8">
        <f>--(COUNTIF('Tax Events'!$A$4:$A$8,A437)&gt;0)</f>
        <v>0</v>
      </c>
      <c r="AI437" s="8">
        <f>--(COUNTIF('Tax Events'!$B$4:$B$9,A437)&gt;0)</f>
        <v>0</v>
      </c>
    </row>
  </sheetData>
  <mergeCells count="2">
    <mergeCell ref="A1:AI1"/>
    <mergeCell ref="A2:AI2"/>
  </mergeCells>
  <conditionalFormatting sqref="AG4:AG437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H237 Tracker</vt:lpstr>
      <vt:lpstr>Instructions</vt:lpstr>
      <vt:lpstr>Tax Events</vt:lpstr>
      <vt:lpstr>Actual 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Kobylka</cp:lastModifiedBy>
  <dcterms:modified xsi:type="dcterms:W3CDTF">2026-08-16T10:45:13Z</dcterms:modified>
</cp:coreProperties>
</file>