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ppw\backtest\"/>
    </mc:Choice>
  </mc:AlternateContent>
  <xr:revisionPtr revIDLastSave="0" documentId="8_{0901FF0D-BCBA-4625-B481-30479CD30A60}" xr6:coauthVersionLast="47" xr6:coauthVersionMax="47" xr10:uidLastSave="{00000000-0000-0000-0000-000000000000}"/>
  <bookViews>
    <workbookView xWindow="-28920" yWindow="-120" windowWidth="29040" windowHeight="17520" activeTab="2" xr2:uid="{00000000-000D-0000-FFFF-FFFF00000000}"/>
  </bookViews>
  <sheets>
    <sheet name="Summary" sheetId="1" r:id="rId1"/>
    <sheet name="Assumptions" sheetId="2" r:id="rId2"/>
    <sheet name="All Trades" sheetId="3" r:id="rId3"/>
    <sheet name="Changed Snapshot" sheetId="4" r:id="rId4"/>
    <sheet name="Checks" sheetId="5" r:id="rId5"/>
    <sheet name="Methodology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D5" i="5" s="1"/>
  <c r="F5" i="5" s="1"/>
  <c r="L61" i="4"/>
  <c r="K61" i="4"/>
  <c r="J61" i="4"/>
  <c r="I61" i="4"/>
  <c r="E61" i="4"/>
  <c r="D61" i="4"/>
  <c r="C61" i="4"/>
  <c r="B61" i="4"/>
  <c r="A61" i="4"/>
  <c r="L60" i="4"/>
  <c r="K60" i="4"/>
  <c r="J60" i="4"/>
  <c r="I60" i="4"/>
  <c r="E60" i="4"/>
  <c r="D60" i="4"/>
  <c r="C60" i="4"/>
  <c r="B60" i="4"/>
  <c r="A60" i="4"/>
  <c r="L59" i="4"/>
  <c r="K59" i="4"/>
  <c r="J59" i="4"/>
  <c r="I59" i="4"/>
  <c r="E59" i="4"/>
  <c r="D59" i="4"/>
  <c r="C59" i="4"/>
  <c r="B59" i="4"/>
  <c r="A59" i="4"/>
  <c r="L58" i="4"/>
  <c r="K58" i="4"/>
  <c r="J58" i="4"/>
  <c r="I58" i="4"/>
  <c r="E58" i="4"/>
  <c r="D58" i="4"/>
  <c r="C58" i="4"/>
  <c r="B58" i="4"/>
  <c r="A58" i="4"/>
  <c r="L57" i="4"/>
  <c r="K57" i="4"/>
  <c r="J57" i="4"/>
  <c r="I57" i="4"/>
  <c r="E57" i="4"/>
  <c r="D57" i="4"/>
  <c r="C57" i="4"/>
  <c r="B57" i="4"/>
  <c r="A57" i="4"/>
  <c r="L56" i="4"/>
  <c r="K56" i="4"/>
  <c r="J56" i="4"/>
  <c r="I56" i="4"/>
  <c r="E56" i="4"/>
  <c r="D56" i="4"/>
  <c r="C56" i="4"/>
  <c r="B56" i="4"/>
  <c r="A56" i="4"/>
  <c r="L55" i="4"/>
  <c r="K55" i="4"/>
  <c r="J55" i="4"/>
  <c r="I55" i="4"/>
  <c r="E55" i="4"/>
  <c r="D55" i="4"/>
  <c r="C55" i="4"/>
  <c r="B55" i="4"/>
  <c r="A55" i="4"/>
  <c r="L54" i="4"/>
  <c r="K54" i="4"/>
  <c r="J54" i="4"/>
  <c r="I54" i="4"/>
  <c r="E54" i="4"/>
  <c r="D54" i="4"/>
  <c r="C54" i="4"/>
  <c r="B54" i="4"/>
  <c r="A54" i="4"/>
  <c r="L53" i="4"/>
  <c r="K53" i="4"/>
  <c r="J53" i="4"/>
  <c r="I53" i="4"/>
  <c r="E53" i="4"/>
  <c r="D53" i="4"/>
  <c r="C53" i="4"/>
  <c r="B53" i="4"/>
  <c r="A53" i="4"/>
  <c r="L52" i="4"/>
  <c r="K52" i="4"/>
  <c r="J52" i="4"/>
  <c r="I52" i="4"/>
  <c r="E52" i="4"/>
  <c r="D52" i="4"/>
  <c r="C52" i="4"/>
  <c r="B52" i="4"/>
  <c r="A52" i="4"/>
  <c r="L51" i="4"/>
  <c r="K51" i="4"/>
  <c r="J51" i="4"/>
  <c r="I51" i="4"/>
  <c r="E51" i="4"/>
  <c r="D51" i="4"/>
  <c r="C51" i="4"/>
  <c r="B51" i="4"/>
  <c r="A51" i="4"/>
  <c r="L50" i="4"/>
  <c r="K50" i="4"/>
  <c r="J50" i="4"/>
  <c r="I50" i="4"/>
  <c r="E50" i="4"/>
  <c r="D50" i="4"/>
  <c r="C50" i="4"/>
  <c r="B50" i="4"/>
  <c r="A50" i="4"/>
  <c r="L49" i="4"/>
  <c r="K49" i="4"/>
  <c r="J49" i="4"/>
  <c r="I49" i="4"/>
  <c r="E49" i="4"/>
  <c r="D49" i="4"/>
  <c r="C49" i="4"/>
  <c r="B49" i="4"/>
  <c r="A49" i="4"/>
  <c r="L48" i="4"/>
  <c r="K48" i="4"/>
  <c r="J48" i="4"/>
  <c r="I48" i="4"/>
  <c r="E48" i="4"/>
  <c r="D48" i="4"/>
  <c r="C48" i="4"/>
  <c r="B48" i="4"/>
  <c r="A48" i="4"/>
  <c r="L47" i="4"/>
  <c r="K47" i="4"/>
  <c r="J47" i="4"/>
  <c r="I47" i="4"/>
  <c r="E47" i="4"/>
  <c r="D47" i="4"/>
  <c r="C47" i="4"/>
  <c r="B47" i="4"/>
  <c r="A47" i="4"/>
  <c r="L46" i="4"/>
  <c r="K46" i="4"/>
  <c r="J46" i="4"/>
  <c r="I46" i="4"/>
  <c r="E46" i="4"/>
  <c r="D46" i="4"/>
  <c r="C46" i="4"/>
  <c r="B46" i="4"/>
  <c r="A46" i="4"/>
  <c r="L45" i="4"/>
  <c r="K45" i="4"/>
  <c r="J45" i="4"/>
  <c r="I45" i="4"/>
  <c r="E45" i="4"/>
  <c r="D45" i="4"/>
  <c r="C45" i="4"/>
  <c r="B45" i="4"/>
  <c r="A45" i="4"/>
  <c r="L44" i="4"/>
  <c r="K44" i="4"/>
  <c r="J44" i="4"/>
  <c r="I44" i="4"/>
  <c r="E44" i="4"/>
  <c r="D44" i="4"/>
  <c r="C44" i="4"/>
  <c r="B44" i="4"/>
  <c r="A44" i="4"/>
  <c r="L43" i="4"/>
  <c r="K43" i="4"/>
  <c r="J43" i="4"/>
  <c r="I43" i="4"/>
  <c r="E43" i="4"/>
  <c r="D43" i="4"/>
  <c r="C43" i="4"/>
  <c r="B43" i="4"/>
  <c r="A43" i="4"/>
  <c r="L42" i="4"/>
  <c r="K42" i="4"/>
  <c r="J42" i="4"/>
  <c r="I42" i="4"/>
  <c r="E42" i="4"/>
  <c r="D42" i="4"/>
  <c r="C42" i="4"/>
  <c r="B42" i="4"/>
  <c r="A42" i="4"/>
  <c r="L41" i="4"/>
  <c r="K41" i="4"/>
  <c r="J41" i="4"/>
  <c r="I41" i="4"/>
  <c r="E41" i="4"/>
  <c r="D41" i="4"/>
  <c r="C41" i="4"/>
  <c r="B41" i="4"/>
  <c r="A41" i="4"/>
  <c r="L40" i="4"/>
  <c r="K40" i="4"/>
  <c r="J40" i="4"/>
  <c r="I40" i="4"/>
  <c r="E40" i="4"/>
  <c r="D40" i="4"/>
  <c r="C40" i="4"/>
  <c r="B40" i="4"/>
  <c r="A40" i="4"/>
  <c r="L39" i="4"/>
  <c r="K39" i="4"/>
  <c r="J39" i="4"/>
  <c r="I39" i="4"/>
  <c r="E39" i="4"/>
  <c r="D39" i="4"/>
  <c r="C39" i="4"/>
  <c r="B39" i="4"/>
  <c r="A39" i="4"/>
  <c r="L38" i="4"/>
  <c r="K38" i="4"/>
  <c r="J38" i="4"/>
  <c r="I38" i="4"/>
  <c r="E38" i="4"/>
  <c r="D38" i="4"/>
  <c r="C38" i="4"/>
  <c r="B38" i="4"/>
  <c r="A38" i="4"/>
  <c r="L37" i="4"/>
  <c r="K37" i="4"/>
  <c r="J37" i="4"/>
  <c r="I37" i="4"/>
  <c r="E37" i="4"/>
  <c r="D37" i="4"/>
  <c r="C37" i="4"/>
  <c r="B37" i="4"/>
  <c r="A37" i="4"/>
  <c r="L36" i="4"/>
  <c r="K36" i="4"/>
  <c r="J36" i="4"/>
  <c r="I36" i="4"/>
  <c r="E36" i="4"/>
  <c r="D36" i="4"/>
  <c r="C36" i="4"/>
  <c r="B36" i="4"/>
  <c r="A36" i="4"/>
  <c r="L35" i="4"/>
  <c r="K35" i="4"/>
  <c r="J35" i="4"/>
  <c r="I35" i="4"/>
  <c r="E35" i="4"/>
  <c r="D35" i="4"/>
  <c r="C35" i="4"/>
  <c r="B35" i="4"/>
  <c r="A35" i="4"/>
  <c r="L34" i="4"/>
  <c r="K34" i="4"/>
  <c r="J34" i="4"/>
  <c r="I34" i="4"/>
  <c r="E34" i="4"/>
  <c r="D34" i="4"/>
  <c r="C34" i="4"/>
  <c r="B34" i="4"/>
  <c r="A34" i="4"/>
  <c r="L33" i="4"/>
  <c r="K33" i="4"/>
  <c r="J33" i="4"/>
  <c r="I33" i="4"/>
  <c r="E33" i="4"/>
  <c r="D33" i="4"/>
  <c r="C33" i="4"/>
  <c r="B33" i="4"/>
  <c r="A33" i="4"/>
  <c r="L32" i="4"/>
  <c r="K32" i="4"/>
  <c r="J32" i="4"/>
  <c r="I32" i="4"/>
  <c r="E32" i="4"/>
  <c r="D32" i="4"/>
  <c r="C32" i="4"/>
  <c r="B32" i="4"/>
  <c r="A32" i="4"/>
  <c r="L31" i="4"/>
  <c r="K31" i="4"/>
  <c r="J31" i="4"/>
  <c r="I31" i="4"/>
  <c r="E31" i="4"/>
  <c r="D31" i="4"/>
  <c r="C31" i="4"/>
  <c r="B31" i="4"/>
  <c r="A31" i="4"/>
  <c r="L30" i="4"/>
  <c r="K30" i="4"/>
  <c r="J30" i="4"/>
  <c r="I30" i="4"/>
  <c r="E30" i="4"/>
  <c r="D30" i="4"/>
  <c r="C30" i="4"/>
  <c r="B30" i="4"/>
  <c r="A30" i="4"/>
  <c r="L29" i="4"/>
  <c r="K29" i="4"/>
  <c r="J29" i="4"/>
  <c r="I29" i="4"/>
  <c r="E29" i="4"/>
  <c r="D29" i="4"/>
  <c r="C29" i="4"/>
  <c r="B29" i="4"/>
  <c r="A29" i="4"/>
  <c r="L28" i="4"/>
  <c r="K28" i="4"/>
  <c r="J28" i="4"/>
  <c r="I28" i="4"/>
  <c r="E28" i="4"/>
  <c r="D28" i="4"/>
  <c r="C28" i="4"/>
  <c r="B28" i="4"/>
  <c r="A28" i="4"/>
  <c r="L27" i="4"/>
  <c r="K27" i="4"/>
  <c r="J27" i="4"/>
  <c r="I27" i="4"/>
  <c r="E27" i="4"/>
  <c r="D27" i="4"/>
  <c r="C27" i="4"/>
  <c r="B27" i="4"/>
  <c r="A27" i="4"/>
  <c r="L26" i="4"/>
  <c r="K26" i="4"/>
  <c r="J26" i="4"/>
  <c r="I26" i="4"/>
  <c r="E26" i="4"/>
  <c r="D26" i="4"/>
  <c r="C26" i="4"/>
  <c r="B26" i="4"/>
  <c r="A26" i="4"/>
  <c r="L25" i="4"/>
  <c r="K25" i="4"/>
  <c r="J25" i="4"/>
  <c r="I25" i="4"/>
  <c r="E25" i="4"/>
  <c r="D25" i="4"/>
  <c r="C25" i="4"/>
  <c r="B25" i="4"/>
  <c r="A25" i="4"/>
  <c r="L24" i="4"/>
  <c r="K24" i="4"/>
  <c r="J24" i="4"/>
  <c r="I24" i="4"/>
  <c r="E24" i="4"/>
  <c r="D24" i="4"/>
  <c r="C24" i="4"/>
  <c r="B24" i="4"/>
  <c r="A24" i="4"/>
  <c r="L23" i="4"/>
  <c r="K23" i="4"/>
  <c r="J23" i="4"/>
  <c r="I23" i="4"/>
  <c r="E23" i="4"/>
  <c r="D23" i="4"/>
  <c r="C23" i="4"/>
  <c r="B23" i="4"/>
  <c r="A23" i="4"/>
  <c r="L22" i="4"/>
  <c r="K22" i="4"/>
  <c r="J22" i="4"/>
  <c r="I22" i="4"/>
  <c r="E22" i="4"/>
  <c r="D22" i="4"/>
  <c r="C22" i="4"/>
  <c r="B22" i="4"/>
  <c r="A22" i="4"/>
  <c r="L21" i="4"/>
  <c r="K21" i="4"/>
  <c r="J21" i="4"/>
  <c r="I21" i="4"/>
  <c r="E21" i="4"/>
  <c r="D21" i="4"/>
  <c r="C21" i="4"/>
  <c r="B21" i="4"/>
  <c r="A21" i="4"/>
  <c r="L20" i="4"/>
  <c r="K20" i="4"/>
  <c r="J20" i="4"/>
  <c r="I20" i="4"/>
  <c r="E20" i="4"/>
  <c r="D20" i="4"/>
  <c r="C20" i="4"/>
  <c r="B20" i="4"/>
  <c r="A20" i="4"/>
  <c r="L19" i="4"/>
  <c r="K19" i="4"/>
  <c r="J19" i="4"/>
  <c r="I19" i="4"/>
  <c r="E19" i="4"/>
  <c r="D19" i="4"/>
  <c r="C19" i="4"/>
  <c r="B19" i="4"/>
  <c r="A19" i="4"/>
  <c r="L18" i="4"/>
  <c r="K18" i="4"/>
  <c r="J18" i="4"/>
  <c r="I18" i="4"/>
  <c r="E18" i="4"/>
  <c r="D18" i="4"/>
  <c r="C18" i="4"/>
  <c r="B18" i="4"/>
  <c r="A18" i="4"/>
  <c r="L17" i="4"/>
  <c r="K17" i="4"/>
  <c r="J17" i="4"/>
  <c r="I17" i="4"/>
  <c r="E17" i="4"/>
  <c r="D17" i="4"/>
  <c r="C17" i="4"/>
  <c r="B17" i="4"/>
  <c r="A17" i="4"/>
  <c r="L16" i="4"/>
  <c r="K16" i="4"/>
  <c r="J16" i="4"/>
  <c r="I16" i="4"/>
  <c r="E16" i="4"/>
  <c r="D16" i="4"/>
  <c r="C16" i="4"/>
  <c r="B16" i="4"/>
  <c r="A16" i="4"/>
  <c r="L15" i="4"/>
  <c r="K15" i="4"/>
  <c r="J15" i="4"/>
  <c r="I15" i="4"/>
  <c r="E15" i="4"/>
  <c r="D15" i="4"/>
  <c r="C15" i="4"/>
  <c r="B15" i="4"/>
  <c r="A15" i="4"/>
  <c r="L14" i="4"/>
  <c r="K14" i="4"/>
  <c r="J14" i="4"/>
  <c r="I14" i="4"/>
  <c r="E14" i="4"/>
  <c r="D14" i="4"/>
  <c r="C14" i="4"/>
  <c r="B14" i="4"/>
  <c r="A14" i="4"/>
  <c r="L13" i="4"/>
  <c r="K13" i="4"/>
  <c r="J13" i="4"/>
  <c r="I13" i="4"/>
  <c r="E13" i="4"/>
  <c r="D13" i="4"/>
  <c r="C13" i="4"/>
  <c r="B13" i="4"/>
  <c r="A13" i="4"/>
  <c r="L12" i="4"/>
  <c r="K12" i="4"/>
  <c r="J12" i="4"/>
  <c r="I12" i="4"/>
  <c r="E12" i="4"/>
  <c r="D12" i="4"/>
  <c r="C12" i="4"/>
  <c r="B12" i="4"/>
  <c r="A12" i="4"/>
  <c r="L11" i="4"/>
  <c r="K11" i="4"/>
  <c r="J11" i="4"/>
  <c r="I11" i="4"/>
  <c r="E11" i="4"/>
  <c r="D11" i="4"/>
  <c r="C11" i="4"/>
  <c r="B11" i="4"/>
  <c r="A11" i="4"/>
  <c r="L10" i="4"/>
  <c r="K10" i="4"/>
  <c r="J10" i="4"/>
  <c r="I10" i="4"/>
  <c r="E10" i="4"/>
  <c r="D10" i="4"/>
  <c r="C10" i="4"/>
  <c r="B10" i="4"/>
  <c r="A10" i="4"/>
  <c r="L9" i="4"/>
  <c r="K9" i="4"/>
  <c r="J9" i="4"/>
  <c r="I9" i="4"/>
  <c r="E9" i="4"/>
  <c r="D9" i="4"/>
  <c r="C9" i="4"/>
  <c r="B9" i="4"/>
  <c r="A9" i="4"/>
  <c r="L8" i="4"/>
  <c r="K8" i="4"/>
  <c r="J8" i="4"/>
  <c r="I8" i="4"/>
  <c r="E8" i="4"/>
  <c r="D8" i="4"/>
  <c r="C8" i="4"/>
  <c r="B8" i="4"/>
  <c r="A8" i="4"/>
  <c r="L7" i="4"/>
  <c r="K7" i="4"/>
  <c r="J7" i="4"/>
  <c r="I7" i="4"/>
  <c r="E7" i="4"/>
  <c r="D7" i="4"/>
  <c r="C7" i="4"/>
  <c r="B7" i="4"/>
  <c r="A7" i="4"/>
  <c r="L6" i="4"/>
  <c r="K6" i="4"/>
  <c r="J6" i="4"/>
  <c r="I6" i="4"/>
  <c r="E6" i="4"/>
  <c r="D6" i="4"/>
  <c r="C6" i="4"/>
  <c r="B6" i="4"/>
  <c r="A6" i="4"/>
  <c r="L5" i="4"/>
  <c r="K5" i="4"/>
  <c r="J5" i="4"/>
  <c r="I5" i="4"/>
  <c r="E5" i="4"/>
  <c r="D5" i="4"/>
  <c r="C5" i="4"/>
  <c r="B5" i="4"/>
  <c r="A5" i="4"/>
  <c r="U436" i="3"/>
  <c r="O436" i="3"/>
  <c r="N436" i="3"/>
  <c r="M436" i="3"/>
  <c r="U435" i="3"/>
  <c r="O435" i="3"/>
  <c r="N435" i="3"/>
  <c r="M435" i="3"/>
  <c r="U434" i="3"/>
  <c r="O434" i="3"/>
  <c r="N434" i="3"/>
  <c r="M434" i="3"/>
  <c r="U433" i="3"/>
  <c r="O433" i="3"/>
  <c r="N433" i="3"/>
  <c r="M433" i="3"/>
  <c r="U432" i="3"/>
  <c r="O432" i="3"/>
  <c r="N432" i="3"/>
  <c r="M432" i="3"/>
  <c r="U431" i="3"/>
  <c r="O431" i="3"/>
  <c r="N431" i="3"/>
  <c r="M431" i="3"/>
  <c r="U430" i="3"/>
  <c r="O430" i="3"/>
  <c r="N430" i="3"/>
  <c r="M430" i="3"/>
  <c r="U429" i="3"/>
  <c r="O429" i="3"/>
  <c r="N429" i="3"/>
  <c r="M429" i="3"/>
  <c r="U428" i="3"/>
  <c r="O428" i="3"/>
  <c r="N428" i="3"/>
  <c r="M428" i="3"/>
  <c r="U427" i="3"/>
  <c r="O427" i="3"/>
  <c r="N427" i="3"/>
  <c r="M427" i="3"/>
  <c r="U426" i="3"/>
  <c r="O426" i="3"/>
  <c r="N426" i="3"/>
  <c r="M426" i="3"/>
  <c r="U425" i="3"/>
  <c r="O425" i="3"/>
  <c r="N425" i="3"/>
  <c r="M425" i="3"/>
  <c r="U424" i="3"/>
  <c r="O424" i="3"/>
  <c r="N424" i="3"/>
  <c r="M424" i="3"/>
  <c r="U423" i="3"/>
  <c r="O423" i="3"/>
  <c r="N423" i="3"/>
  <c r="M423" i="3"/>
  <c r="U422" i="3"/>
  <c r="O422" i="3"/>
  <c r="N422" i="3"/>
  <c r="M422" i="3"/>
  <c r="U421" i="3"/>
  <c r="O421" i="3"/>
  <c r="N421" i="3"/>
  <c r="M421" i="3"/>
  <c r="U420" i="3"/>
  <c r="O420" i="3"/>
  <c r="N420" i="3"/>
  <c r="M420" i="3"/>
  <c r="U419" i="3"/>
  <c r="O419" i="3"/>
  <c r="N419" i="3"/>
  <c r="M419" i="3"/>
  <c r="U418" i="3"/>
  <c r="O418" i="3"/>
  <c r="N418" i="3"/>
  <c r="M418" i="3"/>
  <c r="U417" i="3"/>
  <c r="O417" i="3"/>
  <c r="N417" i="3"/>
  <c r="M417" i="3"/>
  <c r="U416" i="3"/>
  <c r="O416" i="3"/>
  <c r="N416" i="3"/>
  <c r="M416" i="3"/>
  <c r="U415" i="3"/>
  <c r="O415" i="3"/>
  <c r="N415" i="3"/>
  <c r="M415" i="3"/>
  <c r="U414" i="3"/>
  <c r="O414" i="3"/>
  <c r="N414" i="3"/>
  <c r="M414" i="3"/>
  <c r="U413" i="3"/>
  <c r="O413" i="3"/>
  <c r="N413" i="3"/>
  <c r="M413" i="3"/>
  <c r="U412" i="3"/>
  <c r="O412" i="3"/>
  <c r="N412" i="3"/>
  <c r="M412" i="3"/>
  <c r="U411" i="3"/>
  <c r="O411" i="3"/>
  <c r="N411" i="3"/>
  <c r="M411" i="3"/>
  <c r="U410" i="3"/>
  <c r="O410" i="3"/>
  <c r="N410" i="3"/>
  <c r="M410" i="3"/>
  <c r="U409" i="3"/>
  <c r="O409" i="3"/>
  <c r="N409" i="3"/>
  <c r="M409" i="3"/>
  <c r="U408" i="3"/>
  <c r="O408" i="3"/>
  <c r="N408" i="3"/>
  <c r="M408" i="3"/>
  <c r="U407" i="3"/>
  <c r="O407" i="3"/>
  <c r="N407" i="3"/>
  <c r="M407" i="3"/>
  <c r="U406" i="3"/>
  <c r="O406" i="3"/>
  <c r="N406" i="3"/>
  <c r="M406" i="3"/>
  <c r="U405" i="3"/>
  <c r="O405" i="3"/>
  <c r="N405" i="3"/>
  <c r="M405" i="3"/>
  <c r="U404" i="3"/>
  <c r="O404" i="3"/>
  <c r="N404" i="3"/>
  <c r="M404" i="3"/>
  <c r="U403" i="3"/>
  <c r="O403" i="3"/>
  <c r="N403" i="3"/>
  <c r="M403" i="3"/>
  <c r="U402" i="3"/>
  <c r="O402" i="3"/>
  <c r="N402" i="3"/>
  <c r="M402" i="3"/>
  <c r="U401" i="3"/>
  <c r="O401" i="3"/>
  <c r="N401" i="3"/>
  <c r="M401" i="3"/>
  <c r="U400" i="3"/>
  <c r="O400" i="3"/>
  <c r="N400" i="3"/>
  <c r="M400" i="3"/>
  <c r="U399" i="3"/>
  <c r="O399" i="3"/>
  <c r="N399" i="3"/>
  <c r="M399" i="3"/>
  <c r="U398" i="3"/>
  <c r="O398" i="3"/>
  <c r="N398" i="3"/>
  <c r="M398" i="3"/>
  <c r="U397" i="3"/>
  <c r="O397" i="3"/>
  <c r="N397" i="3"/>
  <c r="M397" i="3"/>
  <c r="U396" i="3"/>
  <c r="O396" i="3"/>
  <c r="N396" i="3"/>
  <c r="M396" i="3"/>
  <c r="U395" i="3"/>
  <c r="O395" i="3"/>
  <c r="N395" i="3"/>
  <c r="M395" i="3"/>
  <c r="U394" i="3"/>
  <c r="O394" i="3"/>
  <c r="N394" i="3"/>
  <c r="M394" i="3"/>
  <c r="U393" i="3"/>
  <c r="O393" i="3"/>
  <c r="N393" i="3"/>
  <c r="M393" i="3"/>
  <c r="U392" i="3"/>
  <c r="O392" i="3"/>
  <c r="N392" i="3"/>
  <c r="M392" i="3"/>
  <c r="U391" i="3"/>
  <c r="O391" i="3"/>
  <c r="N391" i="3"/>
  <c r="M391" i="3"/>
  <c r="U390" i="3"/>
  <c r="O390" i="3"/>
  <c r="N390" i="3"/>
  <c r="M390" i="3"/>
  <c r="U389" i="3"/>
  <c r="O389" i="3"/>
  <c r="N389" i="3"/>
  <c r="M389" i="3"/>
  <c r="U388" i="3"/>
  <c r="O388" i="3"/>
  <c r="N388" i="3"/>
  <c r="M388" i="3"/>
  <c r="U387" i="3"/>
  <c r="O387" i="3"/>
  <c r="N387" i="3"/>
  <c r="M387" i="3"/>
  <c r="U386" i="3"/>
  <c r="O386" i="3"/>
  <c r="N386" i="3"/>
  <c r="M386" i="3"/>
  <c r="U385" i="3"/>
  <c r="O385" i="3"/>
  <c r="N385" i="3"/>
  <c r="M385" i="3"/>
  <c r="U384" i="3"/>
  <c r="O384" i="3"/>
  <c r="N384" i="3"/>
  <c r="M384" i="3"/>
  <c r="U383" i="3"/>
  <c r="O383" i="3"/>
  <c r="N383" i="3"/>
  <c r="M383" i="3"/>
  <c r="U382" i="3"/>
  <c r="O382" i="3"/>
  <c r="N382" i="3"/>
  <c r="M382" i="3"/>
  <c r="U381" i="3"/>
  <c r="O381" i="3"/>
  <c r="N381" i="3"/>
  <c r="M381" i="3"/>
  <c r="U380" i="3"/>
  <c r="O380" i="3"/>
  <c r="N380" i="3"/>
  <c r="M380" i="3"/>
  <c r="U379" i="3"/>
  <c r="O379" i="3"/>
  <c r="N379" i="3"/>
  <c r="M379" i="3"/>
  <c r="U378" i="3"/>
  <c r="O378" i="3"/>
  <c r="N378" i="3"/>
  <c r="M378" i="3"/>
  <c r="U377" i="3"/>
  <c r="O377" i="3"/>
  <c r="N377" i="3"/>
  <c r="M377" i="3"/>
  <c r="U376" i="3"/>
  <c r="O376" i="3"/>
  <c r="N376" i="3"/>
  <c r="M376" i="3"/>
  <c r="U375" i="3"/>
  <c r="O375" i="3"/>
  <c r="N375" i="3"/>
  <c r="M375" i="3"/>
  <c r="U374" i="3"/>
  <c r="O374" i="3"/>
  <c r="N374" i="3"/>
  <c r="M374" i="3"/>
  <c r="U373" i="3"/>
  <c r="O373" i="3"/>
  <c r="N373" i="3"/>
  <c r="M373" i="3"/>
  <c r="U372" i="3"/>
  <c r="O372" i="3"/>
  <c r="N372" i="3"/>
  <c r="M372" i="3"/>
  <c r="U371" i="3"/>
  <c r="O371" i="3"/>
  <c r="N371" i="3"/>
  <c r="M371" i="3"/>
  <c r="U370" i="3"/>
  <c r="O370" i="3"/>
  <c r="N370" i="3"/>
  <c r="M370" i="3"/>
  <c r="U369" i="3"/>
  <c r="O369" i="3"/>
  <c r="N369" i="3"/>
  <c r="M369" i="3"/>
  <c r="U368" i="3"/>
  <c r="O368" i="3"/>
  <c r="N368" i="3"/>
  <c r="M368" i="3"/>
  <c r="U367" i="3"/>
  <c r="O367" i="3"/>
  <c r="N367" i="3"/>
  <c r="M367" i="3"/>
  <c r="U366" i="3"/>
  <c r="O366" i="3"/>
  <c r="N366" i="3"/>
  <c r="M366" i="3"/>
  <c r="U365" i="3"/>
  <c r="O365" i="3"/>
  <c r="N365" i="3"/>
  <c r="M365" i="3"/>
  <c r="U364" i="3"/>
  <c r="O364" i="3"/>
  <c r="N364" i="3"/>
  <c r="M364" i="3"/>
  <c r="U363" i="3"/>
  <c r="O363" i="3"/>
  <c r="N363" i="3"/>
  <c r="M363" i="3"/>
  <c r="U362" i="3"/>
  <c r="O362" i="3"/>
  <c r="N362" i="3"/>
  <c r="M362" i="3"/>
  <c r="U361" i="3"/>
  <c r="O361" i="3"/>
  <c r="N361" i="3"/>
  <c r="M361" i="3"/>
  <c r="U360" i="3"/>
  <c r="O360" i="3"/>
  <c r="N360" i="3"/>
  <c r="M360" i="3"/>
  <c r="U359" i="3"/>
  <c r="O359" i="3"/>
  <c r="N359" i="3"/>
  <c r="M359" i="3"/>
  <c r="U358" i="3"/>
  <c r="O358" i="3"/>
  <c r="N358" i="3"/>
  <c r="M358" i="3"/>
  <c r="U357" i="3"/>
  <c r="O357" i="3"/>
  <c r="N357" i="3"/>
  <c r="M357" i="3"/>
  <c r="U356" i="3"/>
  <c r="O356" i="3"/>
  <c r="N356" i="3"/>
  <c r="M356" i="3"/>
  <c r="U355" i="3"/>
  <c r="O355" i="3"/>
  <c r="N355" i="3"/>
  <c r="M355" i="3"/>
  <c r="U354" i="3"/>
  <c r="O354" i="3"/>
  <c r="N354" i="3"/>
  <c r="M354" i="3"/>
  <c r="U353" i="3"/>
  <c r="O353" i="3"/>
  <c r="N353" i="3"/>
  <c r="M353" i="3"/>
  <c r="U352" i="3"/>
  <c r="O352" i="3"/>
  <c r="N352" i="3"/>
  <c r="M352" i="3"/>
  <c r="U351" i="3"/>
  <c r="O351" i="3"/>
  <c r="N351" i="3"/>
  <c r="M351" i="3"/>
  <c r="U350" i="3"/>
  <c r="O350" i="3"/>
  <c r="N350" i="3"/>
  <c r="M350" i="3"/>
  <c r="U349" i="3"/>
  <c r="O349" i="3"/>
  <c r="N349" i="3"/>
  <c r="M349" i="3"/>
  <c r="U348" i="3"/>
  <c r="O348" i="3"/>
  <c r="N348" i="3"/>
  <c r="M348" i="3"/>
  <c r="U347" i="3"/>
  <c r="O347" i="3"/>
  <c r="N347" i="3"/>
  <c r="M347" i="3"/>
  <c r="U346" i="3"/>
  <c r="O346" i="3"/>
  <c r="N346" i="3"/>
  <c r="M346" i="3"/>
  <c r="U345" i="3"/>
  <c r="O345" i="3"/>
  <c r="N345" i="3"/>
  <c r="M345" i="3"/>
  <c r="U344" i="3"/>
  <c r="O344" i="3"/>
  <c r="N344" i="3"/>
  <c r="M344" i="3"/>
  <c r="U343" i="3"/>
  <c r="O343" i="3"/>
  <c r="N343" i="3"/>
  <c r="M343" i="3"/>
  <c r="U342" i="3"/>
  <c r="O342" i="3"/>
  <c r="N342" i="3"/>
  <c r="M342" i="3"/>
  <c r="U341" i="3"/>
  <c r="O341" i="3"/>
  <c r="N341" i="3"/>
  <c r="M341" i="3"/>
  <c r="U340" i="3"/>
  <c r="O340" i="3"/>
  <c r="N340" i="3"/>
  <c r="M340" i="3"/>
  <c r="U339" i="3"/>
  <c r="O339" i="3"/>
  <c r="N339" i="3"/>
  <c r="M339" i="3"/>
  <c r="U338" i="3"/>
  <c r="O338" i="3"/>
  <c r="N338" i="3"/>
  <c r="M338" i="3"/>
  <c r="U337" i="3"/>
  <c r="O337" i="3"/>
  <c r="N337" i="3"/>
  <c r="M337" i="3"/>
  <c r="U336" i="3"/>
  <c r="O336" i="3"/>
  <c r="N336" i="3"/>
  <c r="M336" i="3"/>
  <c r="U335" i="3"/>
  <c r="O335" i="3"/>
  <c r="N335" i="3"/>
  <c r="M335" i="3"/>
  <c r="U334" i="3"/>
  <c r="O334" i="3"/>
  <c r="N334" i="3"/>
  <c r="M334" i="3"/>
  <c r="U333" i="3"/>
  <c r="O333" i="3"/>
  <c r="N333" i="3"/>
  <c r="M333" i="3"/>
  <c r="U332" i="3"/>
  <c r="O332" i="3"/>
  <c r="N332" i="3"/>
  <c r="M332" i="3"/>
  <c r="U331" i="3"/>
  <c r="O331" i="3"/>
  <c r="N331" i="3"/>
  <c r="M331" i="3"/>
  <c r="U330" i="3"/>
  <c r="O330" i="3"/>
  <c r="N330" i="3"/>
  <c r="M330" i="3"/>
  <c r="U329" i="3"/>
  <c r="O329" i="3"/>
  <c r="N329" i="3"/>
  <c r="M329" i="3"/>
  <c r="U328" i="3"/>
  <c r="O328" i="3"/>
  <c r="N328" i="3"/>
  <c r="M328" i="3"/>
  <c r="U327" i="3"/>
  <c r="O327" i="3"/>
  <c r="N327" i="3"/>
  <c r="M327" i="3"/>
  <c r="U326" i="3"/>
  <c r="O326" i="3"/>
  <c r="N326" i="3"/>
  <c r="M326" i="3"/>
  <c r="U325" i="3"/>
  <c r="O325" i="3"/>
  <c r="N325" i="3"/>
  <c r="M325" i="3"/>
  <c r="U324" i="3"/>
  <c r="O324" i="3"/>
  <c r="N324" i="3"/>
  <c r="M324" i="3"/>
  <c r="U323" i="3"/>
  <c r="O323" i="3"/>
  <c r="N323" i="3"/>
  <c r="M323" i="3"/>
  <c r="U322" i="3"/>
  <c r="O322" i="3"/>
  <c r="N322" i="3"/>
  <c r="M322" i="3"/>
  <c r="U321" i="3"/>
  <c r="O321" i="3"/>
  <c r="N321" i="3"/>
  <c r="M321" i="3"/>
  <c r="U320" i="3"/>
  <c r="O320" i="3"/>
  <c r="N320" i="3"/>
  <c r="M320" i="3"/>
  <c r="U319" i="3"/>
  <c r="O319" i="3"/>
  <c r="N319" i="3"/>
  <c r="M319" i="3"/>
  <c r="U318" i="3"/>
  <c r="O318" i="3"/>
  <c r="N318" i="3"/>
  <c r="M318" i="3"/>
  <c r="U317" i="3"/>
  <c r="O317" i="3"/>
  <c r="N317" i="3"/>
  <c r="M317" i="3"/>
  <c r="U316" i="3"/>
  <c r="O316" i="3"/>
  <c r="N316" i="3"/>
  <c r="M316" i="3"/>
  <c r="U315" i="3"/>
  <c r="O315" i="3"/>
  <c r="N315" i="3"/>
  <c r="M315" i="3"/>
  <c r="U314" i="3"/>
  <c r="O314" i="3"/>
  <c r="N314" i="3"/>
  <c r="M314" i="3"/>
  <c r="U313" i="3"/>
  <c r="O313" i="3"/>
  <c r="N313" i="3"/>
  <c r="M313" i="3"/>
  <c r="U312" i="3"/>
  <c r="O312" i="3"/>
  <c r="N312" i="3"/>
  <c r="M312" i="3"/>
  <c r="U311" i="3"/>
  <c r="O311" i="3"/>
  <c r="N311" i="3"/>
  <c r="M311" i="3"/>
  <c r="U310" i="3"/>
  <c r="O310" i="3"/>
  <c r="N310" i="3"/>
  <c r="M310" i="3"/>
  <c r="U309" i="3"/>
  <c r="O309" i="3"/>
  <c r="N309" i="3"/>
  <c r="M309" i="3"/>
  <c r="U308" i="3"/>
  <c r="O308" i="3"/>
  <c r="N308" i="3"/>
  <c r="M308" i="3"/>
  <c r="U307" i="3"/>
  <c r="O307" i="3"/>
  <c r="N307" i="3"/>
  <c r="M307" i="3"/>
  <c r="U306" i="3"/>
  <c r="O306" i="3"/>
  <c r="N306" i="3"/>
  <c r="M306" i="3"/>
  <c r="U305" i="3"/>
  <c r="O305" i="3"/>
  <c r="N305" i="3"/>
  <c r="M305" i="3"/>
  <c r="U304" i="3"/>
  <c r="O304" i="3"/>
  <c r="N304" i="3"/>
  <c r="M304" i="3"/>
  <c r="U303" i="3"/>
  <c r="O303" i="3"/>
  <c r="N303" i="3"/>
  <c r="M303" i="3"/>
  <c r="U302" i="3"/>
  <c r="O302" i="3"/>
  <c r="N302" i="3"/>
  <c r="M302" i="3"/>
  <c r="U301" i="3"/>
  <c r="O301" i="3"/>
  <c r="N301" i="3"/>
  <c r="M301" i="3"/>
  <c r="U300" i="3"/>
  <c r="O300" i="3"/>
  <c r="N300" i="3"/>
  <c r="M300" i="3"/>
  <c r="U299" i="3"/>
  <c r="O299" i="3"/>
  <c r="N299" i="3"/>
  <c r="M299" i="3"/>
  <c r="U298" i="3"/>
  <c r="O298" i="3"/>
  <c r="N298" i="3"/>
  <c r="M298" i="3"/>
  <c r="U297" i="3"/>
  <c r="O297" i="3"/>
  <c r="N297" i="3"/>
  <c r="M297" i="3"/>
  <c r="U296" i="3"/>
  <c r="O296" i="3"/>
  <c r="N296" i="3"/>
  <c r="M296" i="3"/>
  <c r="U295" i="3"/>
  <c r="O295" i="3"/>
  <c r="N295" i="3"/>
  <c r="M295" i="3"/>
  <c r="U294" i="3"/>
  <c r="O294" i="3"/>
  <c r="N294" i="3"/>
  <c r="M294" i="3"/>
  <c r="U293" i="3"/>
  <c r="O293" i="3"/>
  <c r="N293" i="3"/>
  <c r="M293" i="3"/>
  <c r="U292" i="3"/>
  <c r="O292" i="3"/>
  <c r="N292" i="3"/>
  <c r="M292" i="3"/>
  <c r="U291" i="3"/>
  <c r="O291" i="3"/>
  <c r="N291" i="3"/>
  <c r="M291" i="3"/>
  <c r="U290" i="3"/>
  <c r="O290" i="3"/>
  <c r="N290" i="3"/>
  <c r="M290" i="3"/>
  <c r="U289" i="3"/>
  <c r="O289" i="3"/>
  <c r="N289" i="3"/>
  <c r="M289" i="3"/>
  <c r="U288" i="3"/>
  <c r="O288" i="3"/>
  <c r="N288" i="3"/>
  <c r="M288" i="3"/>
  <c r="U287" i="3"/>
  <c r="O287" i="3"/>
  <c r="N287" i="3"/>
  <c r="M287" i="3"/>
  <c r="U286" i="3"/>
  <c r="O286" i="3"/>
  <c r="N286" i="3"/>
  <c r="M286" i="3"/>
  <c r="U285" i="3"/>
  <c r="O285" i="3"/>
  <c r="N285" i="3"/>
  <c r="M285" i="3"/>
  <c r="U284" i="3"/>
  <c r="O284" i="3"/>
  <c r="N284" i="3"/>
  <c r="M284" i="3"/>
  <c r="U283" i="3"/>
  <c r="O283" i="3"/>
  <c r="N283" i="3"/>
  <c r="M283" i="3"/>
  <c r="U282" i="3"/>
  <c r="O282" i="3"/>
  <c r="N282" i="3"/>
  <c r="M282" i="3"/>
  <c r="U281" i="3"/>
  <c r="O281" i="3"/>
  <c r="N281" i="3"/>
  <c r="M281" i="3"/>
  <c r="U280" i="3"/>
  <c r="O280" i="3"/>
  <c r="N280" i="3"/>
  <c r="M280" i="3"/>
  <c r="U279" i="3"/>
  <c r="O279" i="3"/>
  <c r="N279" i="3"/>
  <c r="M279" i="3"/>
  <c r="U278" i="3"/>
  <c r="O278" i="3"/>
  <c r="N278" i="3"/>
  <c r="M278" i="3"/>
  <c r="U277" i="3"/>
  <c r="O277" i="3"/>
  <c r="N277" i="3"/>
  <c r="M277" i="3"/>
  <c r="U276" i="3"/>
  <c r="O276" i="3"/>
  <c r="N276" i="3"/>
  <c r="M276" i="3"/>
  <c r="U275" i="3"/>
  <c r="O275" i="3"/>
  <c r="N275" i="3"/>
  <c r="M275" i="3"/>
  <c r="U274" i="3"/>
  <c r="O274" i="3"/>
  <c r="N274" i="3"/>
  <c r="M274" i="3"/>
  <c r="U273" i="3"/>
  <c r="O273" i="3"/>
  <c r="N273" i="3"/>
  <c r="M273" i="3"/>
  <c r="U272" i="3"/>
  <c r="O272" i="3"/>
  <c r="N272" i="3"/>
  <c r="M272" i="3"/>
  <c r="U271" i="3"/>
  <c r="O271" i="3"/>
  <c r="N271" i="3"/>
  <c r="M271" i="3"/>
  <c r="U270" i="3"/>
  <c r="O270" i="3"/>
  <c r="N270" i="3"/>
  <c r="M270" i="3"/>
  <c r="U269" i="3"/>
  <c r="O269" i="3"/>
  <c r="N269" i="3"/>
  <c r="M269" i="3"/>
  <c r="U268" i="3"/>
  <c r="O268" i="3"/>
  <c r="N268" i="3"/>
  <c r="M268" i="3"/>
  <c r="U267" i="3"/>
  <c r="O267" i="3"/>
  <c r="N267" i="3"/>
  <c r="M267" i="3"/>
  <c r="U266" i="3"/>
  <c r="O266" i="3"/>
  <c r="N266" i="3"/>
  <c r="M266" i="3"/>
  <c r="U265" i="3"/>
  <c r="O265" i="3"/>
  <c r="N265" i="3"/>
  <c r="M265" i="3"/>
  <c r="U264" i="3"/>
  <c r="O264" i="3"/>
  <c r="N264" i="3"/>
  <c r="M264" i="3"/>
  <c r="U263" i="3"/>
  <c r="O263" i="3"/>
  <c r="N263" i="3"/>
  <c r="M263" i="3"/>
  <c r="U262" i="3"/>
  <c r="O262" i="3"/>
  <c r="N262" i="3"/>
  <c r="M262" i="3"/>
  <c r="U261" i="3"/>
  <c r="O261" i="3"/>
  <c r="N261" i="3"/>
  <c r="M261" i="3"/>
  <c r="U260" i="3"/>
  <c r="O260" i="3"/>
  <c r="N260" i="3"/>
  <c r="M260" i="3"/>
  <c r="U259" i="3"/>
  <c r="O259" i="3"/>
  <c r="N259" i="3"/>
  <c r="M259" i="3"/>
  <c r="U258" i="3"/>
  <c r="O258" i="3"/>
  <c r="N258" i="3"/>
  <c r="M258" i="3"/>
  <c r="U257" i="3"/>
  <c r="O257" i="3"/>
  <c r="N257" i="3"/>
  <c r="M257" i="3"/>
  <c r="U256" i="3"/>
  <c r="O256" i="3"/>
  <c r="N256" i="3"/>
  <c r="M256" i="3"/>
  <c r="U255" i="3"/>
  <c r="O255" i="3"/>
  <c r="N255" i="3"/>
  <c r="M255" i="3"/>
  <c r="U254" i="3"/>
  <c r="O254" i="3"/>
  <c r="N254" i="3"/>
  <c r="M254" i="3"/>
  <c r="U253" i="3"/>
  <c r="O253" i="3"/>
  <c r="N253" i="3"/>
  <c r="M253" i="3"/>
  <c r="U252" i="3"/>
  <c r="O252" i="3"/>
  <c r="N252" i="3"/>
  <c r="M252" i="3"/>
  <c r="U251" i="3"/>
  <c r="O251" i="3"/>
  <c r="N251" i="3"/>
  <c r="M251" i="3"/>
  <c r="U250" i="3"/>
  <c r="O250" i="3"/>
  <c r="N250" i="3"/>
  <c r="M250" i="3"/>
  <c r="U249" i="3"/>
  <c r="O249" i="3"/>
  <c r="N249" i="3"/>
  <c r="M249" i="3"/>
  <c r="U248" i="3"/>
  <c r="O248" i="3"/>
  <c r="N248" i="3"/>
  <c r="M248" i="3"/>
  <c r="U247" i="3"/>
  <c r="O247" i="3"/>
  <c r="N247" i="3"/>
  <c r="M247" i="3"/>
  <c r="U246" i="3"/>
  <c r="O246" i="3"/>
  <c r="N246" i="3"/>
  <c r="M246" i="3"/>
  <c r="U245" i="3"/>
  <c r="O245" i="3"/>
  <c r="N245" i="3"/>
  <c r="M245" i="3"/>
  <c r="U244" i="3"/>
  <c r="O244" i="3"/>
  <c r="N244" i="3"/>
  <c r="M244" i="3"/>
  <c r="U243" i="3"/>
  <c r="O243" i="3"/>
  <c r="N243" i="3"/>
  <c r="M243" i="3"/>
  <c r="U242" i="3"/>
  <c r="O242" i="3"/>
  <c r="N242" i="3"/>
  <c r="M242" i="3"/>
  <c r="U241" i="3"/>
  <c r="O241" i="3"/>
  <c r="N241" i="3"/>
  <c r="M241" i="3"/>
  <c r="U240" i="3"/>
  <c r="O240" i="3"/>
  <c r="N240" i="3"/>
  <c r="M240" i="3"/>
  <c r="U239" i="3"/>
  <c r="O239" i="3"/>
  <c r="N239" i="3"/>
  <c r="M239" i="3"/>
  <c r="U238" i="3"/>
  <c r="O238" i="3"/>
  <c r="N238" i="3"/>
  <c r="M238" i="3"/>
  <c r="U237" i="3"/>
  <c r="O237" i="3"/>
  <c r="N237" i="3"/>
  <c r="M237" i="3"/>
  <c r="U236" i="3"/>
  <c r="O236" i="3"/>
  <c r="N236" i="3"/>
  <c r="M236" i="3"/>
  <c r="U235" i="3"/>
  <c r="O235" i="3"/>
  <c r="N235" i="3"/>
  <c r="M235" i="3"/>
  <c r="U234" i="3"/>
  <c r="O234" i="3"/>
  <c r="N234" i="3"/>
  <c r="M234" i="3"/>
  <c r="U233" i="3"/>
  <c r="O233" i="3"/>
  <c r="N233" i="3"/>
  <c r="M233" i="3"/>
  <c r="U232" i="3"/>
  <c r="O232" i="3"/>
  <c r="N232" i="3"/>
  <c r="M232" i="3"/>
  <c r="U231" i="3"/>
  <c r="O231" i="3"/>
  <c r="N231" i="3"/>
  <c r="M231" i="3"/>
  <c r="U230" i="3"/>
  <c r="O230" i="3"/>
  <c r="N230" i="3"/>
  <c r="M230" i="3"/>
  <c r="U229" i="3"/>
  <c r="O229" i="3"/>
  <c r="N229" i="3"/>
  <c r="M229" i="3"/>
  <c r="U228" i="3"/>
  <c r="O228" i="3"/>
  <c r="N228" i="3"/>
  <c r="M228" i="3"/>
  <c r="U227" i="3"/>
  <c r="O227" i="3"/>
  <c r="N227" i="3"/>
  <c r="M227" i="3"/>
  <c r="U226" i="3"/>
  <c r="O226" i="3"/>
  <c r="N226" i="3"/>
  <c r="M226" i="3"/>
  <c r="U225" i="3"/>
  <c r="O225" i="3"/>
  <c r="N225" i="3"/>
  <c r="M225" i="3"/>
  <c r="U224" i="3"/>
  <c r="O224" i="3"/>
  <c r="N224" i="3"/>
  <c r="M224" i="3"/>
  <c r="U223" i="3"/>
  <c r="O223" i="3"/>
  <c r="N223" i="3"/>
  <c r="M223" i="3"/>
  <c r="U222" i="3"/>
  <c r="O222" i="3"/>
  <c r="N222" i="3"/>
  <c r="M222" i="3"/>
  <c r="U221" i="3"/>
  <c r="O221" i="3"/>
  <c r="N221" i="3"/>
  <c r="M221" i="3"/>
  <c r="U220" i="3"/>
  <c r="O220" i="3"/>
  <c r="N220" i="3"/>
  <c r="M220" i="3"/>
  <c r="U219" i="3"/>
  <c r="O219" i="3"/>
  <c r="N219" i="3"/>
  <c r="M219" i="3"/>
  <c r="U218" i="3"/>
  <c r="O218" i="3"/>
  <c r="N218" i="3"/>
  <c r="M218" i="3"/>
  <c r="U217" i="3"/>
  <c r="O217" i="3"/>
  <c r="N217" i="3"/>
  <c r="M217" i="3"/>
  <c r="U216" i="3"/>
  <c r="O216" i="3"/>
  <c r="N216" i="3"/>
  <c r="M216" i="3"/>
  <c r="U215" i="3"/>
  <c r="O215" i="3"/>
  <c r="N215" i="3"/>
  <c r="M215" i="3"/>
  <c r="U214" i="3"/>
  <c r="O214" i="3"/>
  <c r="N214" i="3"/>
  <c r="M214" i="3"/>
  <c r="U213" i="3"/>
  <c r="O213" i="3"/>
  <c r="N213" i="3"/>
  <c r="M213" i="3"/>
  <c r="U212" i="3"/>
  <c r="O212" i="3"/>
  <c r="N212" i="3"/>
  <c r="M212" i="3"/>
  <c r="U211" i="3"/>
  <c r="O211" i="3"/>
  <c r="N211" i="3"/>
  <c r="M211" i="3"/>
  <c r="U210" i="3"/>
  <c r="O210" i="3"/>
  <c r="N210" i="3"/>
  <c r="M210" i="3"/>
  <c r="U209" i="3"/>
  <c r="O209" i="3"/>
  <c r="N209" i="3"/>
  <c r="M209" i="3"/>
  <c r="U208" i="3"/>
  <c r="O208" i="3"/>
  <c r="N208" i="3"/>
  <c r="M208" i="3"/>
  <c r="U207" i="3"/>
  <c r="O207" i="3"/>
  <c r="N207" i="3"/>
  <c r="M207" i="3"/>
  <c r="U206" i="3"/>
  <c r="O206" i="3"/>
  <c r="N206" i="3"/>
  <c r="M206" i="3"/>
  <c r="U205" i="3"/>
  <c r="O205" i="3"/>
  <c r="N205" i="3"/>
  <c r="M205" i="3"/>
  <c r="U204" i="3"/>
  <c r="O204" i="3"/>
  <c r="N204" i="3"/>
  <c r="M204" i="3"/>
  <c r="U203" i="3"/>
  <c r="O203" i="3"/>
  <c r="N203" i="3"/>
  <c r="M203" i="3"/>
  <c r="U202" i="3"/>
  <c r="O202" i="3"/>
  <c r="N202" i="3"/>
  <c r="M202" i="3"/>
  <c r="U201" i="3"/>
  <c r="O201" i="3"/>
  <c r="N201" i="3"/>
  <c r="M201" i="3"/>
  <c r="U200" i="3"/>
  <c r="O200" i="3"/>
  <c r="N200" i="3"/>
  <c r="M200" i="3"/>
  <c r="U199" i="3"/>
  <c r="O199" i="3"/>
  <c r="N199" i="3"/>
  <c r="M199" i="3"/>
  <c r="U198" i="3"/>
  <c r="O198" i="3"/>
  <c r="N198" i="3"/>
  <c r="M198" i="3"/>
  <c r="U197" i="3"/>
  <c r="O197" i="3"/>
  <c r="N197" i="3"/>
  <c r="M197" i="3"/>
  <c r="U196" i="3"/>
  <c r="O196" i="3"/>
  <c r="N196" i="3"/>
  <c r="M196" i="3"/>
  <c r="U195" i="3"/>
  <c r="O195" i="3"/>
  <c r="N195" i="3"/>
  <c r="M195" i="3"/>
  <c r="U194" i="3"/>
  <c r="O194" i="3"/>
  <c r="N194" i="3"/>
  <c r="M194" i="3"/>
  <c r="U193" i="3"/>
  <c r="O193" i="3"/>
  <c r="N193" i="3"/>
  <c r="M193" i="3"/>
  <c r="U192" i="3"/>
  <c r="O192" i="3"/>
  <c r="N192" i="3"/>
  <c r="M192" i="3"/>
  <c r="U191" i="3"/>
  <c r="O191" i="3"/>
  <c r="N191" i="3"/>
  <c r="M191" i="3"/>
  <c r="U190" i="3"/>
  <c r="O190" i="3"/>
  <c r="N190" i="3"/>
  <c r="M190" i="3"/>
  <c r="U189" i="3"/>
  <c r="O189" i="3"/>
  <c r="N189" i="3"/>
  <c r="M189" i="3"/>
  <c r="U188" i="3"/>
  <c r="O188" i="3"/>
  <c r="N188" i="3"/>
  <c r="M188" i="3"/>
  <c r="U187" i="3"/>
  <c r="O187" i="3"/>
  <c r="N187" i="3"/>
  <c r="M187" i="3"/>
  <c r="U186" i="3"/>
  <c r="O186" i="3"/>
  <c r="N186" i="3"/>
  <c r="M186" i="3"/>
  <c r="U185" i="3"/>
  <c r="O185" i="3"/>
  <c r="N185" i="3"/>
  <c r="M185" i="3"/>
  <c r="U184" i="3"/>
  <c r="O184" i="3"/>
  <c r="N184" i="3"/>
  <c r="M184" i="3"/>
  <c r="U183" i="3"/>
  <c r="O183" i="3"/>
  <c r="N183" i="3"/>
  <c r="M183" i="3"/>
  <c r="U182" i="3"/>
  <c r="O182" i="3"/>
  <c r="N182" i="3"/>
  <c r="M182" i="3"/>
  <c r="U181" i="3"/>
  <c r="O181" i="3"/>
  <c r="N181" i="3"/>
  <c r="M181" i="3"/>
  <c r="U180" i="3"/>
  <c r="O180" i="3"/>
  <c r="N180" i="3"/>
  <c r="M180" i="3"/>
  <c r="U179" i="3"/>
  <c r="O179" i="3"/>
  <c r="N179" i="3"/>
  <c r="M179" i="3"/>
  <c r="U178" i="3"/>
  <c r="O178" i="3"/>
  <c r="N178" i="3"/>
  <c r="M178" i="3"/>
  <c r="U177" i="3"/>
  <c r="O177" i="3"/>
  <c r="N177" i="3"/>
  <c r="M177" i="3"/>
  <c r="U176" i="3"/>
  <c r="O176" i="3"/>
  <c r="N176" i="3"/>
  <c r="M176" i="3"/>
  <c r="U175" i="3"/>
  <c r="O175" i="3"/>
  <c r="N175" i="3"/>
  <c r="M175" i="3"/>
  <c r="U174" i="3"/>
  <c r="O174" i="3"/>
  <c r="N174" i="3"/>
  <c r="M174" i="3"/>
  <c r="U173" i="3"/>
  <c r="O173" i="3"/>
  <c r="N173" i="3"/>
  <c r="M173" i="3"/>
  <c r="U172" i="3"/>
  <c r="O172" i="3"/>
  <c r="N172" i="3"/>
  <c r="M172" i="3"/>
  <c r="U171" i="3"/>
  <c r="O171" i="3"/>
  <c r="N171" i="3"/>
  <c r="M171" i="3"/>
  <c r="U170" i="3"/>
  <c r="O170" i="3"/>
  <c r="N170" i="3"/>
  <c r="M170" i="3"/>
  <c r="U169" i="3"/>
  <c r="O169" i="3"/>
  <c r="N169" i="3"/>
  <c r="M169" i="3"/>
  <c r="U168" i="3"/>
  <c r="O168" i="3"/>
  <c r="N168" i="3"/>
  <c r="M168" i="3"/>
  <c r="U167" i="3"/>
  <c r="O167" i="3"/>
  <c r="N167" i="3"/>
  <c r="M167" i="3"/>
  <c r="U166" i="3"/>
  <c r="O166" i="3"/>
  <c r="N166" i="3"/>
  <c r="M166" i="3"/>
  <c r="U165" i="3"/>
  <c r="O165" i="3"/>
  <c r="N165" i="3"/>
  <c r="M165" i="3"/>
  <c r="U164" i="3"/>
  <c r="O164" i="3"/>
  <c r="N164" i="3"/>
  <c r="M164" i="3"/>
  <c r="U163" i="3"/>
  <c r="O163" i="3"/>
  <c r="N163" i="3"/>
  <c r="M163" i="3"/>
  <c r="U162" i="3"/>
  <c r="O162" i="3"/>
  <c r="N162" i="3"/>
  <c r="M162" i="3"/>
  <c r="U161" i="3"/>
  <c r="O161" i="3"/>
  <c r="N161" i="3"/>
  <c r="M161" i="3"/>
  <c r="U160" i="3"/>
  <c r="O160" i="3"/>
  <c r="N160" i="3"/>
  <c r="M160" i="3"/>
  <c r="U159" i="3"/>
  <c r="O159" i="3"/>
  <c r="N159" i="3"/>
  <c r="M159" i="3"/>
  <c r="U158" i="3"/>
  <c r="O158" i="3"/>
  <c r="N158" i="3"/>
  <c r="M158" i="3"/>
  <c r="U157" i="3"/>
  <c r="O157" i="3"/>
  <c r="N157" i="3"/>
  <c r="M157" i="3"/>
  <c r="U156" i="3"/>
  <c r="O156" i="3"/>
  <c r="N156" i="3"/>
  <c r="M156" i="3"/>
  <c r="U155" i="3"/>
  <c r="O155" i="3"/>
  <c r="N155" i="3"/>
  <c r="M155" i="3"/>
  <c r="U154" i="3"/>
  <c r="O154" i="3"/>
  <c r="N154" i="3"/>
  <c r="M154" i="3"/>
  <c r="U153" i="3"/>
  <c r="O153" i="3"/>
  <c r="N153" i="3"/>
  <c r="M153" i="3"/>
  <c r="U152" i="3"/>
  <c r="O152" i="3"/>
  <c r="N152" i="3"/>
  <c r="M152" i="3"/>
  <c r="U151" i="3"/>
  <c r="O151" i="3"/>
  <c r="N151" i="3"/>
  <c r="M151" i="3"/>
  <c r="U150" i="3"/>
  <c r="O150" i="3"/>
  <c r="N150" i="3"/>
  <c r="M150" i="3"/>
  <c r="U149" i="3"/>
  <c r="O149" i="3"/>
  <c r="N149" i="3"/>
  <c r="M149" i="3"/>
  <c r="U148" i="3"/>
  <c r="O148" i="3"/>
  <c r="N148" i="3"/>
  <c r="M148" i="3"/>
  <c r="U147" i="3"/>
  <c r="O147" i="3"/>
  <c r="N147" i="3"/>
  <c r="M147" i="3"/>
  <c r="U146" i="3"/>
  <c r="O146" i="3"/>
  <c r="N146" i="3"/>
  <c r="M146" i="3"/>
  <c r="U145" i="3"/>
  <c r="O145" i="3"/>
  <c r="N145" i="3"/>
  <c r="M145" i="3"/>
  <c r="U144" i="3"/>
  <c r="O144" i="3"/>
  <c r="N144" i="3"/>
  <c r="M144" i="3"/>
  <c r="U143" i="3"/>
  <c r="O143" i="3"/>
  <c r="N143" i="3"/>
  <c r="M143" i="3"/>
  <c r="U142" i="3"/>
  <c r="O142" i="3"/>
  <c r="N142" i="3"/>
  <c r="M142" i="3"/>
  <c r="U141" i="3"/>
  <c r="O141" i="3"/>
  <c r="N141" i="3"/>
  <c r="M141" i="3"/>
  <c r="U140" i="3"/>
  <c r="O140" i="3"/>
  <c r="N140" i="3"/>
  <c r="M140" i="3"/>
  <c r="U139" i="3"/>
  <c r="O139" i="3"/>
  <c r="N139" i="3"/>
  <c r="M139" i="3"/>
  <c r="U138" i="3"/>
  <c r="O138" i="3"/>
  <c r="N138" i="3"/>
  <c r="M138" i="3"/>
  <c r="U137" i="3"/>
  <c r="O137" i="3"/>
  <c r="N137" i="3"/>
  <c r="M137" i="3"/>
  <c r="U136" i="3"/>
  <c r="O136" i="3"/>
  <c r="N136" i="3"/>
  <c r="M136" i="3"/>
  <c r="U135" i="3"/>
  <c r="O135" i="3"/>
  <c r="N135" i="3"/>
  <c r="M135" i="3"/>
  <c r="U134" i="3"/>
  <c r="O134" i="3"/>
  <c r="N134" i="3"/>
  <c r="M134" i="3"/>
  <c r="U133" i="3"/>
  <c r="O133" i="3"/>
  <c r="N133" i="3"/>
  <c r="M133" i="3"/>
  <c r="U132" i="3"/>
  <c r="O132" i="3"/>
  <c r="N132" i="3"/>
  <c r="M132" i="3"/>
  <c r="U131" i="3"/>
  <c r="O131" i="3"/>
  <c r="N131" i="3"/>
  <c r="M131" i="3"/>
  <c r="U130" i="3"/>
  <c r="O130" i="3"/>
  <c r="N130" i="3"/>
  <c r="M130" i="3"/>
  <c r="U129" i="3"/>
  <c r="O129" i="3"/>
  <c r="N129" i="3"/>
  <c r="M129" i="3"/>
  <c r="U128" i="3"/>
  <c r="O128" i="3"/>
  <c r="N128" i="3"/>
  <c r="M128" i="3"/>
  <c r="U127" i="3"/>
  <c r="O127" i="3"/>
  <c r="N127" i="3"/>
  <c r="M127" i="3"/>
  <c r="U126" i="3"/>
  <c r="O126" i="3"/>
  <c r="N126" i="3"/>
  <c r="M126" i="3"/>
  <c r="U125" i="3"/>
  <c r="O125" i="3"/>
  <c r="N125" i="3"/>
  <c r="M125" i="3"/>
  <c r="U124" i="3"/>
  <c r="O124" i="3"/>
  <c r="N124" i="3"/>
  <c r="M124" i="3"/>
  <c r="U123" i="3"/>
  <c r="O123" i="3"/>
  <c r="N123" i="3"/>
  <c r="M123" i="3"/>
  <c r="U122" i="3"/>
  <c r="O122" i="3"/>
  <c r="N122" i="3"/>
  <c r="M122" i="3"/>
  <c r="U121" i="3"/>
  <c r="O121" i="3"/>
  <c r="N121" i="3"/>
  <c r="M121" i="3"/>
  <c r="U120" i="3"/>
  <c r="O120" i="3"/>
  <c r="N120" i="3"/>
  <c r="M120" i="3"/>
  <c r="U119" i="3"/>
  <c r="O119" i="3"/>
  <c r="N119" i="3"/>
  <c r="M119" i="3"/>
  <c r="U118" i="3"/>
  <c r="O118" i="3"/>
  <c r="N118" i="3"/>
  <c r="M118" i="3"/>
  <c r="U117" i="3"/>
  <c r="O117" i="3"/>
  <c r="N117" i="3"/>
  <c r="M117" i="3"/>
  <c r="U116" i="3"/>
  <c r="O116" i="3"/>
  <c r="N116" i="3"/>
  <c r="M116" i="3"/>
  <c r="U115" i="3"/>
  <c r="O115" i="3"/>
  <c r="N115" i="3"/>
  <c r="M115" i="3"/>
  <c r="U114" i="3"/>
  <c r="O114" i="3"/>
  <c r="N114" i="3"/>
  <c r="M114" i="3"/>
  <c r="U113" i="3"/>
  <c r="O113" i="3"/>
  <c r="N113" i="3"/>
  <c r="M113" i="3"/>
  <c r="U112" i="3"/>
  <c r="O112" i="3"/>
  <c r="N112" i="3"/>
  <c r="M112" i="3"/>
  <c r="U111" i="3"/>
  <c r="O111" i="3"/>
  <c r="N111" i="3"/>
  <c r="M111" i="3"/>
  <c r="U110" i="3"/>
  <c r="O110" i="3"/>
  <c r="N110" i="3"/>
  <c r="M110" i="3"/>
  <c r="U109" i="3"/>
  <c r="O109" i="3"/>
  <c r="N109" i="3"/>
  <c r="M109" i="3"/>
  <c r="U108" i="3"/>
  <c r="O108" i="3"/>
  <c r="N108" i="3"/>
  <c r="M108" i="3"/>
  <c r="U107" i="3"/>
  <c r="O107" i="3"/>
  <c r="N107" i="3"/>
  <c r="M107" i="3"/>
  <c r="U106" i="3"/>
  <c r="O106" i="3"/>
  <c r="N106" i="3"/>
  <c r="M106" i="3"/>
  <c r="U105" i="3"/>
  <c r="O105" i="3"/>
  <c r="N105" i="3"/>
  <c r="M105" i="3"/>
  <c r="U104" i="3"/>
  <c r="O104" i="3"/>
  <c r="N104" i="3"/>
  <c r="M104" i="3"/>
  <c r="U103" i="3"/>
  <c r="O103" i="3"/>
  <c r="N103" i="3"/>
  <c r="M103" i="3"/>
  <c r="U102" i="3"/>
  <c r="O102" i="3"/>
  <c r="N102" i="3"/>
  <c r="M102" i="3"/>
  <c r="U101" i="3"/>
  <c r="O101" i="3"/>
  <c r="N101" i="3"/>
  <c r="M101" i="3"/>
  <c r="U100" i="3"/>
  <c r="O100" i="3"/>
  <c r="N100" i="3"/>
  <c r="M100" i="3"/>
  <c r="U99" i="3"/>
  <c r="O99" i="3"/>
  <c r="N99" i="3"/>
  <c r="M99" i="3"/>
  <c r="U98" i="3"/>
  <c r="O98" i="3"/>
  <c r="N98" i="3"/>
  <c r="M98" i="3"/>
  <c r="U97" i="3"/>
  <c r="O97" i="3"/>
  <c r="N97" i="3"/>
  <c r="M97" i="3"/>
  <c r="U96" i="3"/>
  <c r="O96" i="3"/>
  <c r="N96" i="3"/>
  <c r="M96" i="3"/>
  <c r="U95" i="3"/>
  <c r="O95" i="3"/>
  <c r="N95" i="3"/>
  <c r="M95" i="3"/>
  <c r="U94" i="3"/>
  <c r="O94" i="3"/>
  <c r="N94" i="3"/>
  <c r="M94" i="3"/>
  <c r="U93" i="3"/>
  <c r="O93" i="3"/>
  <c r="N93" i="3"/>
  <c r="M93" i="3"/>
  <c r="U92" i="3"/>
  <c r="O92" i="3"/>
  <c r="N92" i="3"/>
  <c r="M92" i="3"/>
  <c r="U91" i="3"/>
  <c r="O91" i="3"/>
  <c r="N91" i="3"/>
  <c r="M91" i="3"/>
  <c r="U90" i="3"/>
  <c r="O90" i="3"/>
  <c r="N90" i="3"/>
  <c r="M90" i="3"/>
  <c r="U89" i="3"/>
  <c r="O89" i="3"/>
  <c r="N89" i="3"/>
  <c r="M89" i="3"/>
  <c r="U88" i="3"/>
  <c r="O88" i="3"/>
  <c r="N88" i="3"/>
  <c r="M88" i="3"/>
  <c r="U87" i="3"/>
  <c r="O87" i="3"/>
  <c r="N87" i="3"/>
  <c r="M87" i="3"/>
  <c r="U86" i="3"/>
  <c r="O86" i="3"/>
  <c r="N86" i="3"/>
  <c r="M86" i="3"/>
  <c r="U85" i="3"/>
  <c r="O85" i="3"/>
  <c r="N85" i="3"/>
  <c r="M85" i="3"/>
  <c r="U84" i="3"/>
  <c r="O84" i="3"/>
  <c r="N84" i="3"/>
  <c r="M84" i="3"/>
  <c r="U83" i="3"/>
  <c r="O83" i="3"/>
  <c r="N83" i="3"/>
  <c r="M83" i="3"/>
  <c r="U82" i="3"/>
  <c r="O82" i="3"/>
  <c r="N82" i="3"/>
  <c r="M82" i="3"/>
  <c r="U81" i="3"/>
  <c r="O81" i="3"/>
  <c r="N81" i="3"/>
  <c r="M81" i="3"/>
  <c r="U80" i="3"/>
  <c r="O80" i="3"/>
  <c r="N80" i="3"/>
  <c r="M80" i="3"/>
  <c r="U79" i="3"/>
  <c r="O79" i="3"/>
  <c r="N79" i="3"/>
  <c r="M79" i="3"/>
  <c r="U78" i="3"/>
  <c r="O78" i="3"/>
  <c r="N78" i="3"/>
  <c r="M78" i="3"/>
  <c r="U77" i="3"/>
  <c r="O77" i="3"/>
  <c r="N77" i="3"/>
  <c r="M77" i="3"/>
  <c r="U76" i="3"/>
  <c r="O76" i="3"/>
  <c r="N76" i="3"/>
  <c r="M76" i="3"/>
  <c r="U75" i="3"/>
  <c r="O75" i="3"/>
  <c r="N75" i="3"/>
  <c r="M75" i="3"/>
  <c r="U74" i="3"/>
  <c r="O74" i="3"/>
  <c r="N74" i="3"/>
  <c r="M74" i="3"/>
  <c r="U73" i="3"/>
  <c r="O73" i="3"/>
  <c r="N73" i="3"/>
  <c r="M73" i="3"/>
  <c r="U72" i="3"/>
  <c r="O72" i="3"/>
  <c r="N72" i="3"/>
  <c r="M72" i="3"/>
  <c r="U71" i="3"/>
  <c r="O71" i="3"/>
  <c r="N71" i="3"/>
  <c r="M71" i="3"/>
  <c r="U70" i="3"/>
  <c r="O70" i="3"/>
  <c r="N70" i="3"/>
  <c r="M70" i="3"/>
  <c r="U69" i="3"/>
  <c r="O69" i="3"/>
  <c r="N69" i="3"/>
  <c r="M69" i="3"/>
  <c r="U68" i="3"/>
  <c r="O68" i="3"/>
  <c r="N68" i="3"/>
  <c r="M68" i="3"/>
  <c r="U67" i="3"/>
  <c r="O67" i="3"/>
  <c r="N67" i="3"/>
  <c r="M67" i="3"/>
  <c r="U66" i="3"/>
  <c r="O66" i="3"/>
  <c r="N66" i="3"/>
  <c r="M66" i="3"/>
  <c r="U65" i="3"/>
  <c r="O65" i="3"/>
  <c r="N65" i="3"/>
  <c r="M65" i="3"/>
  <c r="U64" i="3"/>
  <c r="O64" i="3"/>
  <c r="N64" i="3"/>
  <c r="M64" i="3"/>
  <c r="U63" i="3"/>
  <c r="O63" i="3"/>
  <c r="N63" i="3"/>
  <c r="M63" i="3"/>
  <c r="U62" i="3"/>
  <c r="O62" i="3"/>
  <c r="N62" i="3"/>
  <c r="M62" i="3"/>
  <c r="U61" i="3"/>
  <c r="O61" i="3"/>
  <c r="N61" i="3"/>
  <c r="M61" i="3"/>
  <c r="U60" i="3"/>
  <c r="O60" i="3"/>
  <c r="N60" i="3"/>
  <c r="M60" i="3"/>
  <c r="U59" i="3"/>
  <c r="O59" i="3"/>
  <c r="N59" i="3"/>
  <c r="M59" i="3"/>
  <c r="U58" i="3"/>
  <c r="O58" i="3"/>
  <c r="N58" i="3"/>
  <c r="M58" i="3"/>
  <c r="U57" i="3"/>
  <c r="O57" i="3"/>
  <c r="N57" i="3"/>
  <c r="M57" i="3"/>
  <c r="U56" i="3"/>
  <c r="O56" i="3"/>
  <c r="N56" i="3"/>
  <c r="M56" i="3"/>
  <c r="U55" i="3"/>
  <c r="O55" i="3"/>
  <c r="N55" i="3"/>
  <c r="M55" i="3"/>
  <c r="U54" i="3"/>
  <c r="O54" i="3"/>
  <c r="N54" i="3"/>
  <c r="M54" i="3"/>
  <c r="U53" i="3"/>
  <c r="O53" i="3"/>
  <c r="N53" i="3"/>
  <c r="M53" i="3"/>
  <c r="U52" i="3"/>
  <c r="O52" i="3"/>
  <c r="N52" i="3"/>
  <c r="M52" i="3"/>
  <c r="U51" i="3"/>
  <c r="O51" i="3"/>
  <c r="N51" i="3"/>
  <c r="M51" i="3"/>
  <c r="U50" i="3"/>
  <c r="O50" i="3"/>
  <c r="N50" i="3"/>
  <c r="M50" i="3"/>
  <c r="U49" i="3"/>
  <c r="O49" i="3"/>
  <c r="N49" i="3"/>
  <c r="M49" i="3"/>
  <c r="U48" i="3"/>
  <c r="O48" i="3"/>
  <c r="N48" i="3"/>
  <c r="M48" i="3"/>
  <c r="U47" i="3"/>
  <c r="O47" i="3"/>
  <c r="N47" i="3"/>
  <c r="M47" i="3"/>
  <c r="U46" i="3"/>
  <c r="O46" i="3"/>
  <c r="N46" i="3"/>
  <c r="M46" i="3"/>
  <c r="U45" i="3"/>
  <c r="O45" i="3"/>
  <c r="N45" i="3"/>
  <c r="M45" i="3"/>
  <c r="U44" i="3"/>
  <c r="O44" i="3"/>
  <c r="N44" i="3"/>
  <c r="M44" i="3"/>
  <c r="U43" i="3"/>
  <c r="O43" i="3"/>
  <c r="N43" i="3"/>
  <c r="M43" i="3"/>
  <c r="U42" i="3"/>
  <c r="O42" i="3"/>
  <c r="N42" i="3"/>
  <c r="M42" i="3"/>
  <c r="U41" i="3"/>
  <c r="O41" i="3"/>
  <c r="N41" i="3"/>
  <c r="M41" i="3"/>
  <c r="U40" i="3"/>
  <c r="O40" i="3"/>
  <c r="N40" i="3"/>
  <c r="M40" i="3"/>
  <c r="U39" i="3"/>
  <c r="O39" i="3"/>
  <c r="N39" i="3"/>
  <c r="M39" i="3"/>
  <c r="U38" i="3"/>
  <c r="O38" i="3"/>
  <c r="N38" i="3"/>
  <c r="M38" i="3"/>
  <c r="U37" i="3"/>
  <c r="O37" i="3"/>
  <c r="N37" i="3"/>
  <c r="M37" i="3"/>
  <c r="U36" i="3"/>
  <c r="O36" i="3"/>
  <c r="N36" i="3"/>
  <c r="M36" i="3"/>
  <c r="U35" i="3"/>
  <c r="O35" i="3"/>
  <c r="N35" i="3"/>
  <c r="M35" i="3"/>
  <c r="U34" i="3"/>
  <c r="O34" i="3"/>
  <c r="N34" i="3"/>
  <c r="M34" i="3"/>
  <c r="U33" i="3"/>
  <c r="O33" i="3"/>
  <c r="N33" i="3"/>
  <c r="M33" i="3"/>
  <c r="U32" i="3"/>
  <c r="O32" i="3"/>
  <c r="N32" i="3"/>
  <c r="M32" i="3"/>
  <c r="U31" i="3"/>
  <c r="O31" i="3"/>
  <c r="N31" i="3"/>
  <c r="M31" i="3"/>
  <c r="U30" i="3"/>
  <c r="O30" i="3"/>
  <c r="N30" i="3"/>
  <c r="M30" i="3"/>
  <c r="U29" i="3"/>
  <c r="O29" i="3"/>
  <c r="N29" i="3"/>
  <c r="M29" i="3"/>
  <c r="U28" i="3"/>
  <c r="O28" i="3"/>
  <c r="N28" i="3"/>
  <c r="M28" i="3"/>
  <c r="U27" i="3"/>
  <c r="O27" i="3"/>
  <c r="N27" i="3"/>
  <c r="M27" i="3"/>
  <c r="U26" i="3"/>
  <c r="O26" i="3"/>
  <c r="N26" i="3"/>
  <c r="M26" i="3"/>
  <c r="U25" i="3"/>
  <c r="O25" i="3"/>
  <c r="N25" i="3"/>
  <c r="M25" i="3"/>
  <c r="U24" i="3"/>
  <c r="O24" i="3"/>
  <c r="N24" i="3"/>
  <c r="M24" i="3"/>
  <c r="U23" i="3"/>
  <c r="O23" i="3"/>
  <c r="N23" i="3"/>
  <c r="M23" i="3"/>
  <c r="U22" i="3"/>
  <c r="O22" i="3"/>
  <c r="N22" i="3"/>
  <c r="M22" i="3"/>
  <c r="U21" i="3"/>
  <c r="O21" i="3"/>
  <c r="N21" i="3"/>
  <c r="M21" i="3"/>
  <c r="U20" i="3"/>
  <c r="O20" i="3"/>
  <c r="N20" i="3"/>
  <c r="M20" i="3"/>
  <c r="U19" i="3"/>
  <c r="O19" i="3"/>
  <c r="N19" i="3"/>
  <c r="M19" i="3"/>
  <c r="U18" i="3"/>
  <c r="O18" i="3"/>
  <c r="N18" i="3"/>
  <c r="M18" i="3"/>
  <c r="U17" i="3"/>
  <c r="O17" i="3"/>
  <c r="N17" i="3"/>
  <c r="M17" i="3"/>
  <c r="U16" i="3"/>
  <c r="O16" i="3"/>
  <c r="N16" i="3"/>
  <c r="M16" i="3"/>
  <c r="U15" i="3"/>
  <c r="O15" i="3"/>
  <c r="N15" i="3"/>
  <c r="M15" i="3"/>
  <c r="U14" i="3"/>
  <c r="O14" i="3"/>
  <c r="N14" i="3"/>
  <c r="M14" i="3"/>
  <c r="U13" i="3"/>
  <c r="O13" i="3"/>
  <c r="N13" i="3"/>
  <c r="M13" i="3"/>
  <c r="U12" i="3"/>
  <c r="O12" i="3"/>
  <c r="N12" i="3"/>
  <c r="M12" i="3"/>
  <c r="U11" i="3"/>
  <c r="O11" i="3"/>
  <c r="N11" i="3"/>
  <c r="M11" i="3"/>
  <c r="U10" i="3"/>
  <c r="O10" i="3"/>
  <c r="N10" i="3"/>
  <c r="M10" i="3"/>
  <c r="U9" i="3"/>
  <c r="O9" i="3"/>
  <c r="N9" i="3"/>
  <c r="M9" i="3"/>
  <c r="U8" i="3"/>
  <c r="O8" i="3"/>
  <c r="N8" i="3"/>
  <c r="M8" i="3"/>
  <c r="U7" i="3"/>
  <c r="O7" i="3"/>
  <c r="N7" i="3"/>
  <c r="M7" i="3"/>
  <c r="U6" i="3"/>
  <c r="O6" i="3"/>
  <c r="N6" i="3"/>
  <c r="M6" i="3"/>
  <c r="H6" i="3"/>
  <c r="I6" i="3" s="1"/>
  <c r="U5" i="3"/>
  <c r="X5" i="3" s="1"/>
  <c r="O5" i="3"/>
  <c r="N5" i="3"/>
  <c r="M5" i="3"/>
  <c r="H5" i="3"/>
  <c r="I5" i="3" s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B20" i="1"/>
  <c r="N19" i="1"/>
  <c r="B19" i="1"/>
  <c r="N18" i="1"/>
  <c r="B18" i="1"/>
  <c r="N17" i="1"/>
  <c r="B17" i="1"/>
  <c r="N16" i="1"/>
  <c r="B16" i="1"/>
  <c r="N15" i="1"/>
  <c r="N14" i="1"/>
  <c r="N13" i="1"/>
  <c r="N12" i="1"/>
  <c r="N11" i="1"/>
  <c r="N10" i="1"/>
  <c r="N9" i="1"/>
  <c r="N8" i="1"/>
  <c r="N7" i="1"/>
  <c r="N6" i="1"/>
  <c r="A6" i="1"/>
  <c r="N5" i="1"/>
  <c r="S6" i="3" l="1"/>
  <c r="T6" i="3"/>
  <c r="Y5" i="3"/>
  <c r="O5" i="1"/>
  <c r="X6" i="3"/>
  <c r="S5" i="3"/>
  <c r="T5" i="3"/>
  <c r="V6" i="3" l="1"/>
  <c r="W6" i="3" s="1"/>
  <c r="Z6" i="3"/>
  <c r="O6" i="1"/>
  <c r="X7" i="3"/>
  <c r="V5" i="3"/>
  <c r="H7" i="3"/>
  <c r="I7" i="3" s="1"/>
  <c r="Y6" i="3"/>
  <c r="Z5" i="3"/>
  <c r="Y7" i="3" l="1"/>
  <c r="X8" i="3"/>
  <c r="O7" i="1"/>
  <c r="W5" i="3"/>
  <c r="AA5" i="3"/>
  <c r="S7" i="3"/>
  <c r="T7" i="3"/>
  <c r="Z8" i="3" l="1"/>
  <c r="O8" i="1"/>
  <c r="X9" i="3"/>
  <c r="P5" i="1"/>
  <c r="AA6" i="3"/>
  <c r="AB5" i="3"/>
  <c r="AD5" i="3"/>
  <c r="H8" i="3"/>
  <c r="I8" i="3" s="1"/>
  <c r="V7" i="3"/>
  <c r="W7" i="3" s="1"/>
  <c r="Y8" i="3"/>
  <c r="Z7" i="3"/>
  <c r="Y9" i="3" l="1"/>
  <c r="O9" i="1"/>
  <c r="X10" i="3"/>
  <c r="AC6" i="3"/>
  <c r="AD6" i="3"/>
  <c r="AA7" i="3"/>
  <c r="P6" i="1"/>
  <c r="S8" i="3"/>
  <c r="T8" i="3"/>
  <c r="AB6" i="3"/>
  <c r="AC5" i="3"/>
  <c r="Z10" i="3" l="1"/>
  <c r="X11" i="3"/>
  <c r="O10" i="1"/>
  <c r="AB7" i="3"/>
  <c r="AC7" i="3" s="1"/>
  <c r="P7" i="1"/>
  <c r="AD7" i="3"/>
  <c r="F5" i="4"/>
  <c r="H9" i="3"/>
  <c r="I9" i="3" s="1"/>
  <c r="G5" i="4"/>
  <c r="V8" i="3"/>
  <c r="Y10" i="3"/>
  <c r="Z9" i="3"/>
  <c r="Y11" i="3" l="1"/>
  <c r="O11" i="1"/>
  <c r="X12" i="3"/>
  <c r="S9" i="3"/>
  <c r="T9" i="3"/>
  <c r="W8" i="3"/>
  <c r="H5" i="4" s="1"/>
  <c r="AA8" i="3"/>
  <c r="Z12" i="3" l="1"/>
  <c r="X13" i="3"/>
  <c r="O12" i="1"/>
  <c r="H10" i="3"/>
  <c r="I10" i="3" s="1"/>
  <c r="V9" i="3"/>
  <c r="W9" i="3" s="1"/>
  <c r="AD8" i="3"/>
  <c r="P8" i="1"/>
  <c r="AA9" i="3"/>
  <c r="AB8" i="3"/>
  <c r="Y12" i="3"/>
  <c r="Z11" i="3"/>
  <c r="Y13" i="3" l="1"/>
  <c r="X14" i="3"/>
  <c r="O13" i="1"/>
  <c r="S10" i="3"/>
  <c r="T10" i="3"/>
  <c r="AC9" i="3"/>
  <c r="P9" i="1"/>
  <c r="AD9" i="3"/>
  <c r="AB9" i="3"/>
  <c r="AC8" i="3"/>
  <c r="Z14" i="3" l="1"/>
  <c r="X15" i="3"/>
  <c r="O14" i="1"/>
  <c r="H11" i="3"/>
  <c r="I11" i="3" s="1"/>
  <c r="V10" i="3"/>
  <c r="Y14" i="3"/>
  <c r="Z13" i="3"/>
  <c r="Y15" i="3" l="1"/>
  <c r="X16" i="3"/>
  <c r="O15" i="1"/>
  <c r="T11" i="3"/>
  <c r="S11" i="3"/>
  <c r="AA10" i="3"/>
  <c r="W10" i="3"/>
  <c r="X17" i="3" l="1"/>
  <c r="Z16" i="3"/>
  <c r="O16" i="1"/>
  <c r="H12" i="3"/>
  <c r="I12" i="3" s="1"/>
  <c r="V11" i="3"/>
  <c r="W11" i="3" s="1"/>
  <c r="AD10" i="3"/>
  <c r="P10" i="1"/>
  <c r="AA11" i="3"/>
  <c r="AB10" i="3"/>
  <c r="Y16" i="3"/>
  <c r="Z15" i="3"/>
  <c r="Y17" i="3" l="1"/>
  <c r="O17" i="1"/>
  <c r="X18" i="3"/>
  <c r="S12" i="3"/>
  <c r="T12" i="3"/>
  <c r="AC11" i="3"/>
  <c r="AD11" i="3"/>
  <c r="P11" i="1"/>
  <c r="AB11" i="3"/>
  <c r="AC10" i="3"/>
  <c r="Z18" i="3" l="1"/>
  <c r="O18" i="1"/>
  <c r="X19" i="3"/>
  <c r="H13" i="3"/>
  <c r="I13" i="3" s="1"/>
  <c r="V12" i="3"/>
  <c r="Y18" i="3"/>
  <c r="Z17" i="3"/>
  <c r="Y19" i="3" l="1"/>
  <c r="X20" i="3"/>
  <c r="O19" i="1"/>
  <c r="T13" i="3"/>
  <c r="S13" i="3"/>
  <c r="AA12" i="3"/>
  <c r="W12" i="3"/>
  <c r="Z20" i="3" l="1"/>
  <c r="X21" i="3"/>
  <c r="O20" i="1"/>
  <c r="H14" i="3"/>
  <c r="I14" i="3" s="1"/>
  <c r="V13" i="3"/>
  <c r="W13" i="3" s="1"/>
  <c r="AA13" i="3"/>
  <c r="P12" i="1"/>
  <c r="AD12" i="3"/>
  <c r="AB12" i="3"/>
  <c r="Y20" i="3"/>
  <c r="Z19" i="3"/>
  <c r="Y21" i="3" l="1"/>
  <c r="X22" i="3"/>
  <c r="O21" i="1"/>
  <c r="S14" i="3"/>
  <c r="T14" i="3"/>
  <c r="AD13" i="3"/>
  <c r="AC13" i="3"/>
  <c r="P13" i="1"/>
  <c r="AB13" i="3"/>
  <c r="AC12" i="3"/>
  <c r="Z22" i="3" l="1"/>
  <c r="X23" i="3"/>
  <c r="O22" i="1"/>
  <c r="H15" i="3"/>
  <c r="I15" i="3" s="1"/>
  <c r="V14" i="3"/>
  <c r="Y22" i="3"/>
  <c r="Z21" i="3"/>
  <c r="Y23" i="3" l="1"/>
  <c r="X24" i="3"/>
  <c r="O23" i="1"/>
  <c r="T15" i="3"/>
  <c r="S15" i="3"/>
  <c r="AA14" i="3"/>
  <c r="W14" i="3"/>
  <c r="X25" i="3" l="1"/>
  <c r="Z24" i="3"/>
  <c r="O24" i="1"/>
  <c r="H16" i="3"/>
  <c r="I16" i="3" s="1"/>
  <c r="V15" i="3"/>
  <c r="W15" i="3" s="1"/>
  <c r="AD14" i="3"/>
  <c r="P14" i="1"/>
  <c r="AA15" i="3"/>
  <c r="AB14" i="3"/>
  <c r="Y24" i="3"/>
  <c r="Z23" i="3"/>
  <c r="Y25" i="3" l="1"/>
  <c r="X26" i="3"/>
  <c r="O25" i="1"/>
  <c r="T16" i="3"/>
  <c r="S16" i="3"/>
  <c r="AC15" i="3"/>
  <c r="P15" i="1"/>
  <c r="AD15" i="3"/>
  <c r="AB15" i="3"/>
  <c r="AC14" i="3"/>
  <c r="Z26" i="3" l="1"/>
  <c r="O26" i="1"/>
  <c r="X27" i="3"/>
  <c r="H17" i="3"/>
  <c r="I17" i="3" s="1"/>
  <c r="V16" i="3"/>
  <c r="Y26" i="3"/>
  <c r="Z25" i="3"/>
  <c r="Y27" i="3" l="1"/>
  <c r="X28" i="3"/>
  <c r="O27" i="1"/>
  <c r="S17" i="3"/>
  <c r="T17" i="3"/>
  <c r="AA16" i="3"/>
  <c r="W16" i="3"/>
  <c r="Z28" i="3" l="1"/>
  <c r="X29" i="3"/>
  <c r="O28" i="1"/>
  <c r="H18" i="3"/>
  <c r="I18" i="3" s="1"/>
  <c r="V17" i="3"/>
  <c r="W17" i="3" s="1"/>
  <c r="AD16" i="3"/>
  <c r="P16" i="1"/>
  <c r="AA17" i="3"/>
  <c r="AB16" i="3"/>
  <c r="Y28" i="3"/>
  <c r="Z27" i="3"/>
  <c r="Y29" i="3" l="1"/>
  <c r="X30" i="3"/>
  <c r="O29" i="1"/>
  <c r="T18" i="3"/>
  <c r="S18" i="3"/>
  <c r="AC17" i="3"/>
  <c r="AD17" i="3"/>
  <c r="P17" i="1"/>
  <c r="AB17" i="3"/>
  <c r="AC16" i="3"/>
  <c r="X31" i="3" l="1"/>
  <c r="O30" i="1"/>
  <c r="Z30" i="3"/>
  <c r="H19" i="3"/>
  <c r="I19" i="3" s="1"/>
  <c r="V18" i="3"/>
  <c r="Y30" i="3"/>
  <c r="Z29" i="3"/>
  <c r="Y31" i="3" l="1"/>
  <c r="X32" i="3"/>
  <c r="O31" i="1"/>
  <c r="T19" i="3"/>
  <c r="S19" i="3"/>
  <c r="AA18" i="3"/>
  <c r="W18" i="3"/>
  <c r="X33" i="3" l="1"/>
  <c r="O32" i="1"/>
  <c r="Z32" i="3"/>
  <c r="H20" i="3"/>
  <c r="I20" i="3" s="1"/>
  <c r="V19" i="3"/>
  <c r="W19" i="3" s="1"/>
  <c r="P18" i="1"/>
  <c r="AA19" i="3"/>
  <c r="AD18" i="3"/>
  <c r="AB18" i="3"/>
  <c r="Y32" i="3"/>
  <c r="Z31" i="3"/>
  <c r="Y33" i="3" l="1"/>
  <c r="X34" i="3"/>
  <c r="O33" i="1"/>
  <c r="S20" i="3"/>
  <c r="T20" i="3"/>
  <c r="AC19" i="3"/>
  <c r="AD19" i="3"/>
  <c r="P19" i="1"/>
  <c r="AB19" i="3"/>
  <c r="AC18" i="3"/>
  <c r="Z34" i="3" l="1"/>
  <c r="X35" i="3"/>
  <c r="O34" i="1"/>
  <c r="H21" i="3"/>
  <c r="I21" i="3" s="1"/>
  <c r="V20" i="3"/>
  <c r="Y34" i="3"/>
  <c r="Z33" i="3"/>
  <c r="Y35" i="3" l="1"/>
  <c r="X36" i="3"/>
  <c r="O35" i="1"/>
  <c r="T21" i="3"/>
  <c r="S21" i="3"/>
  <c r="AA20" i="3"/>
  <c r="W20" i="3"/>
  <c r="Z36" i="3" l="1"/>
  <c r="X37" i="3"/>
  <c r="O36" i="1"/>
  <c r="H22" i="3"/>
  <c r="I22" i="3" s="1"/>
  <c r="V21" i="3"/>
  <c r="W21" i="3" s="1"/>
  <c r="AD20" i="3"/>
  <c r="P20" i="1"/>
  <c r="AA21" i="3"/>
  <c r="AB20" i="3"/>
  <c r="Y36" i="3"/>
  <c r="Z35" i="3"/>
  <c r="Y37" i="3" l="1"/>
  <c r="O37" i="1"/>
  <c r="X38" i="3"/>
  <c r="T22" i="3"/>
  <c r="S22" i="3"/>
  <c r="AC21" i="3"/>
  <c r="P21" i="1"/>
  <c r="AD21" i="3"/>
  <c r="AB21" i="3"/>
  <c r="AC20" i="3"/>
  <c r="Z38" i="3" l="1"/>
  <c r="X39" i="3"/>
  <c r="O38" i="1"/>
  <c r="H23" i="3"/>
  <c r="I23" i="3" s="1"/>
  <c r="V22" i="3"/>
  <c r="Y38" i="3"/>
  <c r="Z37" i="3"/>
  <c r="Y39" i="3" l="1"/>
  <c r="O39" i="1"/>
  <c r="X40" i="3"/>
  <c r="T23" i="3"/>
  <c r="S23" i="3"/>
  <c r="AA22" i="3"/>
  <c r="W22" i="3"/>
  <c r="Z40" i="3" l="1"/>
  <c r="X41" i="3"/>
  <c r="O40" i="1"/>
  <c r="H24" i="3"/>
  <c r="I24" i="3" s="1"/>
  <c r="V23" i="3"/>
  <c r="W23" i="3" s="1"/>
  <c r="AD22" i="3"/>
  <c r="P22" i="1"/>
  <c r="AA23" i="3"/>
  <c r="AB22" i="3"/>
  <c r="Y40" i="3"/>
  <c r="Z39" i="3"/>
  <c r="Y41" i="3" l="1"/>
  <c r="X42" i="3"/>
  <c r="O41" i="1"/>
  <c r="S24" i="3"/>
  <c r="T24" i="3"/>
  <c r="AD23" i="3"/>
  <c r="AC23" i="3"/>
  <c r="P23" i="1"/>
  <c r="AB23" i="3"/>
  <c r="AC22" i="3"/>
  <c r="Z42" i="3" l="1"/>
  <c r="X43" i="3"/>
  <c r="O42" i="1"/>
  <c r="H25" i="3"/>
  <c r="I25" i="3" s="1"/>
  <c r="V24" i="3"/>
  <c r="Y42" i="3"/>
  <c r="Z41" i="3"/>
  <c r="Y43" i="3" l="1"/>
  <c r="O43" i="1"/>
  <c r="X44" i="3"/>
  <c r="S25" i="3"/>
  <c r="T25" i="3"/>
  <c r="AA24" i="3"/>
  <c r="W24" i="3"/>
  <c r="O44" i="1" l="1"/>
  <c r="X45" i="3"/>
  <c r="Z44" i="3"/>
  <c r="H26" i="3"/>
  <c r="I26" i="3" s="1"/>
  <c r="V25" i="3"/>
  <c r="W25" i="3" s="1"/>
  <c r="P24" i="1"/>
  <c r="AA25" i="3"/>
  <c r="AD24" i="3"/>
  <c r="AB24" i="3"/>
  <c r="Y44" i="3"/>
  <c r="Z43" i="3"/>
  <c r="Y45" i="3" l="1"/>
  <c r="O45" i="1"/>
  <c r="X46" i="3"/>
  <c r="S26" i="3"/>
  <c r="T26" i="3"/>
  <c r="AC25" i="3"/>
  <c r="AD25" i="3"/>
  <c r="P25" i="1"/>
  <c r="AB25" i="3"/>
  <c r="AC24" i="3"/>
  <c r="Z46" i="3" l="1"/>
  <c r="O46" i="1"/>
  <c r="X47" i="3"/>
  <c r="H27" i="3"/>
  <c r="I27" i="3" s="1"/>
  <c r="V26" i="3"/>
  <c r="Y46" i="3"/>
  <c r="Z45" i="3"/>
  <c r="Y47" i="3" l="1"/>
  <c r="O47" i="1"/>
  <c r="X48" i="3"/>
  <c r="T27" i="3"/>
  <c r="S27" i="3"/>
  <c r="AA26" i="3"/>
  <c r="W26" i="3"/>
  <c r="Z48" i="3" l="1"/>
  <c r="X49" i="3"/>
  <c r="O48" i="1"/>
  <c r="H28" i="3"/>
  <c r="I28" i="3" s="1"/>
  <c r="V27" i="3"/>
  <c r="W27" i="3" s="1"/>
  <c r="P26" i="1"/>
  <c r="AD26" i="3"/>
  <c r="AA27" i="3"/>
  <c r="AB26" i="3"/>
  <c r="Y48" i="3"/>
  <c r="Z47" i="3"/>
  <c r="Y49" i="3" l="1"/>
  <c r="X50" i="3"/>
  <c r="O49" i="1"/>
  <c r="T28" i="3"/>
  <c r="S28" i="3"/>
  <c r="AC27" i="3"/>
  <c r="AD27" i="3"/>
  <c r="P27" i="1"/>
  <c r="AB27" i="3"/>
  <c r="AC26" i="3"/>
  <c r="Z50" i="3" l="1"/>
  <c r="O50" i="1"/>
  <c r="X51" i="3"/>
  <c r="H29" i="3"/>
  <c r="I29" i="3" s="1"/>
  <c r="V28" i="3"/>
  <c r="Y50" i="3"/>
  <c r="Z49" i="3"/>
  <c r="Y51" i="3" l="1"/>
  <c r="X52" i="3"/>
  <c r="O51" i="1"/>
  <c r="T29" i="3"/>
  <c r="S29" i="3"/>
  <c r="AA28" i="3"/>
  <c r="W28" i="3"/>
  <c r="Z52" i="3" l="1"/>
  <c r="X53" i="3"/>
  <c r="O52" i="1"/>
  <c r="H30" i="3"/>
  <c r="I30" i="3" s="1"/>
  <c r="V29" i="3"/>
  <c r="W29" i="3" s="1"/>
  <c r="AA29" i="3"/>
  <c r="AD28" i="3"/>
  <c r="P28" i="1"/>
  <c r="AB28" i="3"/>
  <c r="Y52" i="3"/>
  <c r="Z51" i="3"/>
  <c r="Y53" i="3" l="1"/>
  <c r="O53" i="1"/>
  <c r="X54" i="3"/>
  <c r="S30" i="3"/>
  <c r="T30" i="3"/>
  <c r="AC29" i="3"/>
  <c r="P29" i="1"/>
  <c r="AD29" i="3"/>
  <c r="AB29" i="3"/>
  <c r="AC28" i="3"/>
  <c r="X55" i="3" l="1"/>
  <c r="O54" i="1"/>
  <c r="Z54" i="3"/>
  <c r="H31" i="3"/>
  <c r="I31" i="3" s="1"/>
  <c r="V30" i="3"/>
  <c r="Y54" i="3"/>
  <c r="Z53" i="3"/>
  <c r="Y55" i="3" l="1"/>
  <c r="X56" i="3"/>
  <c r="O55" i="1"/>
  <c r="S31" i="3"/>
  <c r="F6" i="4" s="1"/>
  <c r="T31" i="3"/>
  <c r="AA30" i="3"/>
  <c r="W30" i="3"/>
  <c r="Z56" i="3" l="1"/>
  <c r="X57" i="3"/>
  <c r="O56" i="1"/>
  <c r="H32" i="3"/>
  <c r="I32" i="3" s="1"/>
  <c r="G6" i="4"/>
  <c r="V31" i="3"/>
  <c r="W31" i="3" s="1"/>
  <c r="H6" i="4" s="1"/>
  <c r="P30" i="1"/>
  <c r="AD30" i="3"/>
  <c r="AA31" i="3"/>
  <c r="AB30" i="3"/>
  <c r="Y56" i="3"/>
  <c r="Z55" i="3"/>
  <c r="Y57" i="3" l="1"/>
  <c r="X58" i="3"/>
  <c r="O57" i="1"/>
  <c r="T32" i="3"/>
  <c r="S32" i="3"/>
  <c r="F7" i="4" s="1"/>
  <c r="AC31" i="3"/>
  <c r="AD31" i="3"/>
  <c r="P31" i="1"/>
  <c r="AB31" i="3"/>
  <c r="AC30" i="3"/>
  <c r="Z58" i="3" l="1"/>
  <c r="X59" i="3"/>
  <c r="O58" i="1"/>
  <c r="H33" i="3"/>
  <c r="I33" i="3" s="1"/>
  <c r="V32" i="3"/>
  <c r="G7" i="4"/>
  <c r="Y58" i="3"/>
  <c r="Z57" i="3"/>
  <c r="Y59" i="3" l="1"/>
  <c r="X60" i="3"/>
  <c r="O59" i="1"/>
  <c r="T33" i="3"/>
  <c r="S33" i="3"/>
  <c r="F8" i="4" s="1"/>
  <c r="AA32" i="3"/>
  <c r="W32" i="3"/>
  <c r="H7" i="4" s="1"/>
  <c r="O60" i="1" l="1"/>
  <c r="X61" i="3"/>
  <c r="Z60" i="3"/>
  <c r="H34" i="3"/>
  <c r="I34" i="3" s="1"/>
  <c r="V33" i="3"/>
  <c r="W33" i="3" s="1"/>
  <c r="H8" i="4" s="1"/>
  <c r="G8" i="4"/>
  <c r="P32" i="1"/>
  <c r="AA33" i="3"/>
  <c r="AD32" i="3"/>
  <c r="AB32" i="3"/>
  <c r="Y60" i="3"/>
  <c r="Z59" i="3"/>
  <c r="Y61" i="3" l="1"/>
  <c r="O61" i="1"/>
  <c r="X62" i="3"/>
  <c r="T34" i="3"/>
  <c r="S34" i="3"/>
  <c r="AC33" i="3"/>
  <c r="AD33" i="3"/>
  <c r="P33" i="1"/>
  <c r="AB33" i="3"/>
  <c r="AC32" i="3"/>
  <c r="Z62" i="3" l="1"/>
  <c r="X63" i="3"/>
  <c r="O62" i="1"/>
  <c r="H35" i="3"/>
  <c r="I35" i="3" s="1"/>
  <c r="V34" i="3"/>
  <c r="Y62" i="3"/>
  <c r="Z61" i="3"/>
  <c r="Y63" i="3" l="1"/>
  <c r="X64" i="3"/>
  <c r="O63" i="1"/>
  <c r="Z63" i="3"/>
  <c r="S35" i="3"/>
  <c r="T35" i="3"/>
  <c r="AA34" i="3"/>
  <c r="W34" i="3"/>
  <c r="O64" i="1" l="1"/>
  <c r="Z64" i="3"/>
  <c r="X65" i="3"/>
  <c r="H36" i="3"/>
  <c r="I36" i="3" s="1"/>
  <c r="V35" i="3"/>
  <c r="W35" i="3" s="1"/>
  <c r="P34" i="1"/>
  <c r="AA35" i="3"/>
  <c r="AD34" i="3"/>
  <c r="AB34" i="3"/>
  <c r="Y64" i="3"/>
  <c r="O65" i="1" l="1"/>
  <c r="X66" i="3"/>
  <c r="T36" i="3"/>
  <c r="S36" i="3"/>
  <c r="F9" i="4" s="1"/>
  <c r="AD35" i="3"/>
  <c r="P35" i="1"/>
  <c r="AC35" i="3"/>
  <c r="Y65" i="3"/>
  <c r="AB35" i="3"/>
  <c r="AC34" i="3"/>
  <c r="O66" i="1" l="1"/>
  <c r="Z66" i="3"/>
  <c r="X67" i="3"/>
  <c r="H37" i="3"/>
  <c r="I37" i="3" s="1"/>
  <c r="G9" i="4"/>
  <c r="V36" i="3"/>
  <c r="Y66" i="3"/>
  <c r="Z65" i="3"/>
  <c r="Y67" i="3" l="1"/>
  <c r="X68" i="3"/>
  <c r="O67" i="1"/>
  <c r="T37" i="3"/>
  <c r="S37" i="3"/>
  <c r="F10" i="4" s="1"/>
  <c r="AA36" i="3"/>
  <c r="W36" i="3"/>
  <c r="H9" i="4" s="1"/>
  <c r="X69" i="3" l="1"/>
  <c r="Z68" i="3"/>
  <c r="O68" i="1"/>
  <c r="H38" i="3"/>
  <c r="I38" i="3" s="1"/>
  <c r="V37" i="3"/>
  <c r="W37" i="3" s="1"/>
  <c r="H10" i="4" s="1"/>
  <c r="G10" i="4"/>
  <c r="P36" i="1"/>
  <c r="AA37" i="3"/>
  <c r="AD36" i="3"/>
  <c r="AB36" i="3"/>
  <c r="Y68" i="3"/>
  <c r="Z67" i="3"/>
  <c r="Y69" i="3" l="1"/>
  <c r="X70" i="3"/>
  <c r="O69" i="1"/>
  <c r="S38" i="3"/>
  <c r="F11" i="4" s="1"/>
  <c r="T38" i="3"/>
  <c r="AC37" i="3"/>
  <c r="AD37" i="3"/>
  <c r="P37" i="1"/>
  <c r="AB37" i="3"/>
  <c r="AC36" i="3"/>
  <c r="X71" i="3" l="1"/>
  <c r="Z70" i="3"/>
  <c r="O70" i="1"/>
  <c r="H39" i="3"/>
  <c r="I39" i="3" s="1"/>
  <c r="V38" i="3"/>
  <c r="G11" i="4"/>
  <c r="Y70" i="3"/>
  <c r="Z69" i="3"/>
  <c r="Y71" i="3" l="1"/>
  <c r="X72" i="3"/>
  <c r="O71" i="1"/>
  <c r="T39" i="3"/>
  <c r="S39" i="3"/>
  <c r="AA38" i="3"/>
  <c r="W38" i="3"/>
  <c r="H11" i="4" s="1"/>
  <c r="O72" i="1" l="1"/>
  <c r="X73" i="3"/>
  <c r="Z72" i="3"/>
  <c r="H40" i="3"/>
  <c r="I40" i="3" s="1"/>
  <c r="V39" i="3"/>
  <c r="W39" i="3" s="1"/>
  <c r="P38" i="1"/>
  <c r="AD38" i="3"/>
  <c r="AA39" i="3"/>
  <c r="AB38" i="3"/>
  <c r="Y72" i="3"/>
  <c r="Z71" i="3"/>
  <c r="Y73" i="3" l="1"/>
  <c r="O73" i="1"/>
  <c r="X74" i="3"/>
  <c r="S40" i="3"/>
  <c r="T40" i="3"/>
  <c r="AD39" i="3"/>
  <c r="AC39" i="3"/>
  <c r="P39" i="1"/>
  <c r="AB39" i="3"/>
  <c r="AC38" i="3"/>
  <c r="X75" i="3" l="1"/>
  <c r="Z74" i="3"/>
  <c r="O74" i="1"/>
  <c r="H41" i="3"/>
  <c r="I41" i="3" s="1"/>
  <c r="V40" i="3"/>
  <c r="Y74" i="3"/>
  <c r="Z73" i="3"/>
  <c r="Y75" i="3" l="1"/>
  <c r="X76" i="3"/>
  <c r="O75" i="1"/>
  <c r="T41" i="3"/>
  <c r="S41" i="3"/>
  <c r="AA40" i="3"/>
  <c r="W40" i="3"/>
  <c r="Z76" i="3" l="1"/>
  <c r="X77" i="3"/>
  <c r="O76" i="1"/>
  <c r="H42" i="3"/>
  <c r="I42" i="3" s="1"/>
  <c r="V41" i="3"/>
  <c r="W41" i="3" s="1"/>
  <c r="P40" i="1"/>
  <c r="AD40" i="3"/>
  <c r="AA41" i="3"/>
  <c r="AB40" i="3"/>
  <c r="Y76" i="3"/>
  <c r="Z75" i="3"/>
  <c r="Y77" i="3" l="1"/>
  <c r="O77" i="1"/>
  <c r="X78" i="3"/>
  <c r="T42" i="3"/>
  <c r="S42" i="3"/>
  <c r="F12" i="4" s="1"/>
  <c r="AD41" i="3"/>
  <c r="P41" i="1"/>
  <c r="AC41" i="3"/>
  <c r="AB41" i="3"/>
  <c r="AC40" i="3"/>
  <c r="Z78" i="3" l="1"/>
  <c r="X79" i="3"/>
  <c r="O78" i="1"/>
  <c r="H43" i="3"/>
  <c r="I43" i="3" s="1"/>
  <c r="V42" i="3"/>
  <c r="G12" i="4"/>
  <c r="Y78" i="3"/>
  <c r="Z77" i="3"/>
  <c r="Y79" i="3" l="1"/>
  <c r="X80" i="3"/>
  <c r="O79" i="1"/>
  <c r="T43" i="3"/>
  <c r="S43" i="3"/>
  <c r="AA42" i="3"/>
  <c r="W42" i="3"/>
  <c r="H12" i="4" s="1"/>
  <c r="X81" i="3" l="1"/>
  <c r="Z80" i="3"/>
  <c r="O80" i="1"/>
  <c r="H44" i="3"/>
  <c r="I44" i="3" s="1"/>
  <c r="V43" i="3"/>
  <c r="W43" i="3" s="1"/>
  <c r="P42" i="1"/>
  <c r="AD42" i="3"/>
  <c r="AA43" i="3"/>
  <c r="AB42" i="3"/>
  <c r="Y80" i="3"/>
  <c r="Z79" i="3"/>
  <c r="Y81" i="3" l="1"/>
  <c r="O81" i="1"/>
  <c r="X82" i="3"/>
  <c r="T44" i="3"/>
  <c r="S44" i="3"/>
  <c r="AC43" i="3"/>
  <c r="AD43" i="3"/>
  <c r="P43" i="1"/>
  <c r="AB43" i="3"/>
  <c r="AC42" i="3"/>
  <c r="Z82" i="3" l="1"/>
  <c r="O82" i="1"/>
  <c r="X83" i="3"/>
  <c r="H45" i="3"/>
  <c r="I45" i="3" s="1"/>
  <c r="V44" i="3"/>
  <c r="Y82" i="3"/>
  <c r="Z81" i="3"/>
  <c r="Y83" i="3" l="1"/>
  <c r="X84" i="3"/>
  <c r="O83" i="1"/>
  <c r="T45" i="3"/>
  <c r="S45" i="3"/>
  <c r="AA44" i="3"/>
  <c r="W44" i="3"/>
  <c r="Z84" i="3" l="1"/>
  <c r="X85" i="3"/>
  <c r="O84" i="1"/>
  <c r="H46" i="3"/>
  <c r="I46" i="3" s="1"/>
  <c r="V45" i="3"/>
  <c r="W45" i="3" s="1"/>
  <c r="AD44" i="3"/>
  <c r="P44" i="1"/>
  <c r="AA45" i="3"/>
  <c r="AB44" i="3"/>
  <c r="Y84" i="3"/>
  <c r="Z83" i="3"/>
  <c r="Y85" i="3" l="1"/>
  <c r="O85" i="1"/>
  <c r="X86" i="3"/>
  <c r="S46" i="3"/>
  <c r="T46" i="3"/>
  <c r="AD45" i="3"/>
  <c r="AC45" i="3"/>
  <c r="P45" i="1"/>
  <c r="AB45" i="3"/>
  <c r="AC44" i="3"/>
  <c r="Z86" i="3" l="1"/>
  <c r="X87" i="3"/>
  <c r="O86" i="1"/>
  <c r="H47" i="3"/>
  <c r="I47" i="3" s="1"/>
  <c r="V46" i="3"/>
  <c r="Y86" i="3"/>
  <c r="Z85" i="3"/>
  <c r="Y87" i="3" l="1"/>
  <c r="X88" i="3"/>
  <c r="O87" i="1"/>
  <c r="S47" i="3"/>
  <c r="T47" i="3"/>
  <c r="AA46" i="3"/>
  <c r="W46" i="3"/>
  <c r="X89" i="3" l="1"/>
  <c r="O88" i="1"/>
  <c r="Z88" i="3"/>
  <c r="H48" i="3"/>
  <c r="I48" i="3" s="1"/>
  <c r="V47" i="3"/>
  <c r="W47" i="3" s="1"/>
  <c r="AA47" i="3"/>
  <c r="AD46" i="3"/>
  <c r="P46" i="1"/>
  <c r="AB46" i="3"/>
  <c r="Y88" i="3"/>
  <c r="Z87" i="3"/>
  <c r="Y89" i="3" l="1"/>
  <c r="O89" i="1"/>
  <c r="X90" i="3"/>
  <c r="T48" i="3"/>
  <c r="S48" i="3"/>
  <c r="AD47" i="3"/>
  <c r="P47" i="1"/>
  <c r="AC47" i="3"/>
  <c r="AB47" i="3"/>
  <c r="AC46" i="3"/>
  <c r="Z90" i="3" l="1"/>
  <c r="O90" i="1"/>
  <c r="X91" i="3"/>
  <c r="H49" i="3"/>
  <c r="I49" i="3" s="1"/>
  <c r="V48" i="3"/>
  <c r="Y90" i="3"/>
  <c r="Z89" i="3"/>
  <c r="Y91" i="3" l="1"/>
  <c r="X92" i="3"/>
  <c r="O91" i="1"/>
  <c r="S49" i="3"/>
  <c r="T49" i="3"/>
  <c r="AA48" i="3"/>
  <c r="W48" i="3"/>
  <c r="Z92" i="3" l="1"/>
  <c r="X93" i="3"/>
  <c r="O92" i="1"/>
  <c r="H50" i="3"/>
  <c r="I50" i="3" s="1"/>
  <c r="V49" i="3"/>
  <c r="W49" i="3" s="1"/>
  <c r="P48" i="1"/>
  <c r="AA49" i="3"/>
  <c r="AD48" i="3"/>
  <c r="AB48" i="3"/>
  <c r="Y92" i="3"/>
  <c r="Z91" i="3"/>
  <c r="Y93" i="3" l="1"/>
  <c r="O93" i="1"/>
  <c r="X94" i="3"/>
  <c r="T50" i="3"/>
  <c r="S50" i="3"/>
  <c r="AC49" i="3"/>
  <c r="AD49" i="3"/>
  <c r="P49" i="1"/>
  <c r="AB49" i="3"/>
  <c r="AC48" i="3"/>
  <c r="Z94" i="3" l="1"/>
  <c r="X95" i="3"/>
  <c r="O94" i="1"/>
  <c r="H51" i="3"/>
  <c r="I51" i="3" s="1"/>
  <c r="V50" i="3"/>
  <c r="Y94" i="3"/>
  <c r="Z93" i="3"/>
  <c r="Y95" i="3" l="1"/>
  <c r="X96" i="3"/>
  <c r="O95" i="1"/>
  <c r="T51" i="3"/>
  <c r="S51" i="3"/>
  <c r="AA50" i="3"/>
  <c r="W50" i="3"/>
  <c r="X97" i="3" l="1"/>
  <c r="Z96" i="3"/>
  <c r="O96" i="1"/>
  <c r="H52" i="3"/>
  <c r="I52" i="3" s="1"/>
  <c r="V51" i="3"/>
  <c r="W51" i="3" s="1"/>
  <c r="AA51" i="3"/>
  <c r="P50" i="1"/>
  <c r="AD50" i="3"/>
  <c r="AB50" i="3"/>
  <c r="Y96" i="3"/>
  <c r="Z95" i="3"/>
  <c r="Y97" i="3" l="1"/>
  <c r="O97" i="1"/>
  <c r="X98" i="3"/>
  <c r="T52" i="3"/>
  <c r="S52" i="3"/>
  <c r="AD51" i="3"/>
  <c r="P51" i="1"/>
  <c r="AC51" i="3"/>
  <c r="AB51" i="3"/>
  <c r="AC50" i="3"/>
  <c r="O98" i="1" l="1"/>
  <c r="Z98" i="3"/>
  <c r="X99" i="3"/>
  <c r="H53" i="3"/>
  <c r="I53" i="3" s="1"/>
  <c r="V52" i="3"/>
  <c r="Y98" i="3"/>
  <c r="Z97" i="3"/>
  <c r="Y99" i="3" l="1"/>
  <c r="O99" i="1"/>
  <c r="X100" i="3"/>
  <c r="T53" i="3"/>
  <c r="S53" i="3"/>
  <c r="AA52" i="3"/>
  <c r="W52" i="3"/>
  <c r="O100" i="1" l="1"/>
  <c r="Z100" i="3"/>
  <c r="X101" i="3"/>
  <c r="H54" i="3"/>
  <c r="I54" i="3" s="1"/>
  <c r="V53" i="3"/>
  <c r="W53" i="3" s="1"/>
  <c r="P52" i="1"/>
  <c r="AA53" i="3"/>
  <c r="AD52" i="3"/>
  <c r="AB52" i="3"/>
  <c r="Y100" i="3"/>
  <c r="Z99" i="3"/>
  <c r="Y101" i="3" l="1"/>
  <c r="X102" i="3"/>
  <c r="O101" i="1"/>
  <c r="S54" i="3"/>
  <c r="T54" i="3"/>
  <c r="AC53" i="3"/>
  <c r="P53" i="1"/>
  <c r="AD53" i="3"/>
  <c r="AB53" i="3"/>
  <c r="AC52" i="3"/>
  <c r="X103" i="3" l="1"/>
  <c r="O102" i="1"/>
  <c r="Z102" i="3"/>
  <c r="H55" i="3"/>
  <c r="I55" i="3" s="1"/>
  <c r="V54" i="3"/>
  <c r="Y102" i="3"/>
  <c r="Z101" i="3"/>
  <c r="Y103" i="3" l="1"/>
  <c r="X104" i="3"/>
  <c r="O103" i="1"/>
  <c r="S55" i="3"/>
  <c r="T55" i="3"/>
  <c r="AA54" i="3"/>
  <c r="W54" i="3"/>
  <c r="Z104" i="3" l="1"/>
  <c r="X105" i="3"/>
  <c r="O104" i="1"/>
  <c r="H56" i="3"/>
  <c r="I56" i="3" s="1"/>
  <c r="V55" i="3"/>
  <c r="W55" i="3" s="1"/>
  <c r="P54" i="1"/>
  <c r="AA55" i="3"/>
  <c r="AD54" i="3"/>
  <c r="AB54" i="3"/>
  <c r="Y104" i="3"/>
  <c r="Z103" i="3"/>
  <c r="Y105" i="3" l="1"/>
  <c r="X106" i="3"/>
  <c r="O105" i="1"/>
  <c r="T56" i="3"/>
  <c r="S56" i="3"/>
  <c r="AC55" i="3"/>
  <c r="AD55" i="3"/>
  <c r="P55" i="1"/>
  <c r="AB55" i="3"/>
  <c r="AC54" i="3"/>
  <c r="O106" i="1" l="1"/>
  <c r="Z106" i="3"/>
  <c r="X107" i="3"/>
  <c r="H57" i="3"/>
  <c r="I57" i="3" s="1"/>
  <c r="V56" i="3"/>
  <c r="Y106" i="3"/>
  <c r="Z105" i="3"/>
  <c r="Y107" i="3" l="1"/>
  <c r="O107" i="1"/>
  <c r="X108" i="3"/>
  <c r="S57" i="3"/>
  <c r="T57" i="3"/>
  <c r="AA56" i="3"/>
  <c r="W56" i="3"/>
  <c r="Z108" i="3" l="1"/>
  <c r="X109" i="3"/>
  <c r="O108" i="1"/>
  <c r="H58" i="3"/>
  <c r="I58" i="3" s="1"/>
  <c r="V57" i="3"/>
  <c r="W57" i="3" s="1"/>
  <c r="P56" i="1"/>
  <c r="AA57" i="3"/>
  <c r="AD56" i="3"/>
  <c r="AB56" i="3"/>
  <c r="Y108" i="3"/>
  <c r="Z107" i="3"/>
  <c r="Y109" i="3" l="1"/>
  <c r="X110" i="3"/>
  <c r="O109" i="1"/>
  <c r="T58" i="3"/>
  <c r="S58" i="3"/>
  <c r="AC57" i="3"/>
  <c r="AD57" i="3"/>
  <c r="P57" i="1"/>
  <c r="AB57" i="3"/>
  <c r="AC56" i="3"/>
  <c r="Z110" i="3" l="1"/>
  <c r="X111" i="3"/>
  <c r="O110" i="1"/>
  <c r="H59" i="3"/>
  <c r="I59" i="3" s="1"/>
  <c r="V58" i="3"/>
  <c r="Y110" i="3"/>
  <c r="Z109" i="3"/>
  <c r="Y111" i="3" l="1"/>
  <c r="Z111" i="3"/>
  <c r="X112" i="3"/>
  <c r="O111" i="1"/>
  <c r="T59" i="3"/>
  <c r="S59" i="3"/>
  <c r="AA58" i="3"/>
  <c r="W58" i="3"/>
  <c r="X113" i="3" l="1"/>
  <c r="O112" i="1"/>
  <c r="H60" i="3"/>
  <c r="I60" i="3" s="1"/>
  <c r="V59" i="3"/>
  <c r="W59" i="3" s="1"/>
  <c r="AA59" i="3"/>
  <c r="P58" i="1"/>
  <c r="AD58" i="3"/>
  <c r="AB58" i="3"/>
  <c r="Y112" i="3"/>
  <c r="Z113" i="3" l="1"/>
  <c r="X114" i="3"/>
  <c r="O113" i="1"/>
  <c r="S60" i="3"/>
  <c r="T60" i="3"/>
  <c r="AC59" i="3"/>
  <c r="P59" i="1"/>
  <c r="AD59" i="3"/>
  <c r="AB59" i="3"/>
  <c r="AC58" i="3"/>
  <c r="Y113" i="3"/>
  <c r="Z112" i="3"/>
  <c r="Y114" i="3" l="1"/>
  <c r="Y115" i="3" s="1"/>
  <c r="X115" i="3"/>
  <c r="O114" i="1"/>
  <c r="Z114" i="3"/>
  <c r="H61" i="3"/>
  <c r="I61" i="3" s="1"/>
  <c r="V60" i="3"/>
  <c r="X116" i="3" l="1"/>
  <c r="O115" i="1"/>
  <c r="Z115" i="3"/>
  <c r="T61" i="3"/>
  <c r="S61" i="3"/>
  <c r="AA60" i="3"/>
  <c r="W60" i="3"/>
  <c r="Y116" i="3" l="1"/>
  <c r="X117" i="3"/>
  <c r="O116" i="1"/>
  <c r="H62" i="3"/>
  <c r="I62" i="3" s="1"/>
  <c r="V61" i="3"/>
  <c r="W61" i="3" s="1"/>
  <c r="P60" i="1"/>
  <c r="AA61" i="3"/>
  <c r="AD60" i="3"/>
  <c r="AB60" i="3"/>
  <c r="Z117" i="3" l="1"/>
  <c r="X118" i="3"/>
  <c r="O117" i="1"/>
  <c r="T62" i="3"/>
  <c r="S62" i="3"/>
  <c r="AC61" i="3"/>
  <c r="P61" i="1"/>
  <c r="AD61" i="3"/>
  <c r="Y117" i="3"/>
  <c r="Z116" i="3"/>
  <c r="AB61" i="3"/>
  <c r="AC60" i="3"/>
  <c r="Y118" i="3" l="1"/>
  <c r="X119" i="3"/>
  <c r="O118" i="1"/>
  <c r="H63" i="3"/>
  <c r="I63" i="3" s="1"/>
  <c r="V62" i="3"/>
  <c r="X120" i="3" l="1"/>
  <c r="O119" i="1"/>
  <c r="Z119" i="3"/>
  <c r="T63" i="3"/>
  <c r="S63" i="3"/>
  <c r="AA62" i="3"/>
  <c r="W62" i="3"/>
  <c r="Y119" i="3"/>
  <c r="Z118" i="3"/>
  <c r="Y120" i="3" l="1"/>
  <c r="Z120" i="3"/>
  <c r="O120" i="1"/>
  <c r="X121" i="3"/>
  <c r="H64" i="3"/>
  <c r="I64" i="3" s="1"/>
  <c r="V63" i="3"/>
  <c r="W63" i="3" s="1"/>
  <c r="P62" i="1"/>
  <c r="AA63" i="3"/>
  <c r="AD62" i="3"/>
  <c r="AB62" i="3"/>
  <c r="X122" i="3" l="1"/>
  <c r="O121" i="1"/>
  <c r="T64" i="3"/>
  <c r="S64" i="3"/>
  <c r="AC63" i="3"/>
  <c r="P63" i="1"/>
  <c r="AD63" i="3"/>
  <c r="Y121" i="3"/>
  <c r="AB63" i="3"/>
  <c r="AC62" i="3"/>
  <c r="Z122" i="3" l="1"/>
  <c r="O122" i="1"/>
  <c r="X123" i="3"/>
  <c r="H65" i="3"/>
  <c r="I65" i="3" s="1"/>
  <c r="V64" i="3"/>
  <c r="Y122" i="3"/>
  <c r="Z121" i="3"/>
  <c r="Y123" i="3" l="1"/>
  <c r="Z123" i="3"/>
  <c r="X124" i="3"/>
  <c r="O123" i="1"/>
  <c r="T65" i="3"/>
  <c r="S65" i="3"/>
  <c r="AA64" i="3"/>
  <c r="W64" i="3"/>
  <c r="X125" i="3" l="1"/>
  <c r="O124" i="1"/>
  <c r="H66" i="3"/>
  <c r="I66" i="3" s="1"/>
  <c r="V65" i="3"/>
  <c r="W65" i="3" s="1"/>
  <c r="P64" i="1"/>
  <c r="AA65" i="3"/>
  <c r="AD64" i="3"/>
  <c r="AB64" i="3"/>
  <c r="Y124" i="3"/>
  <c r="Z125" i="3" l="1"/>
  <c r="O125" i="1"/>
  <c r="X126" i="3"/>
  <c r="T66" i="3"/>
  <c r="S66" i="3"/>
  <c r="AC65" i="3"/>
  <c r="P65" i="1"/>
  <c r="AD65" i="3"/>
  <c r="AB65" i="3"/>
  <c r="AC64" i="3"/>
  <c r="Y125" i="3"/>
  <c r="Z124" i="3"/>
  <c r="Y126" i="3" l="1"/>
  <c r="O126" i="1"/>
  <c r="X127" i="3"/>
  <c r="H67" i="3"/>
  <c r="I67" i="3" s="1"/>
  <c r="V66" i="3"/>
  <c r="X128" i="3" l="1"/>
  <c r="Z127" i="3"/>
  <c r="O127" i="1"/>
  <c r="T67" i="3"/>
  <c r="S67" i="3"/>
  <c r="AA66" i="3"/>
  <c r="W66" i="3"/>
  <c r="Y127" i="3"/>
  <c r="Z126" i="3"/>
  <c r="Y128" i="3" l="1"/>
  <c r="O128" i="1"/>
  <c r="X129" i="3"/>
  <c r="H68" i="3"/>
  <c r="I68" i="3" s="1"/>
  <c r="V67" i="3"/>
  <c r="W67" i="3" s="1"/>
  <c r="P66" i="1"/>
  <c r="AA67" i="3"/>
  <c r="AD66" i="3"/>
  <c r="AB66" i="3"/>
  <c r="Z129" i="3" l="1"/>
  <c r="X130" i="3"/>
  <c r="O129" i="1"/>
  <c r="T68" i="3"/>
  <c r="S68" i="3"/>
  <c r="AC67" i="3"/>
  <c r="AD67" i="3"/>
  <c r="P67" i="1"/>
  <c r="Y129" i="3"/>
  <c r="Z128" i="3"/>
  <c r="AB67" i="3"/>
  <c r="AC66" i="3"/>
  <c r="Y130" i="3" l="1"/>
  <c r="X131" i="3"/>
  <c r="O130" i="1"/>
  <c r="H69" i="3"/>
  <c r="I69" i="3" s="1"/>
  <c r="V68" i="3"/>
  <c r="X132" i="3" l="1"/>
  <c r="O131" i="1"/>
  <c r="Z131" i="3"/>
  <c r="S69" i="3"/>
  <c r="T69" i="3"/>
  <c r="AA68" i="3"/>
  <c r="W68" i="3"/>
  <c r="Y131" i="3"/>
  <c r="Z130" i="3"/>
  <c r="Y132" i="3" l="1"/>
  <c r="X133" i="3"/>
  <c r="O132" i="1"/>
  <c r="H70" i="3"/>
  <c r="I70" i="3" s="1"/>
  <c r="V69" i="3"/>
  <c r="W69" i="3" s="1"/>
  <c r="AA69" i="3"/>
  <c r="P68" i="1"/>
  <c r="AD68" i="3"/>
  <c r="AB68" i="3"/>
  <c r="X134" i="3" l="1"/>
  <c r="Z133" i="3"/>
  <c r="O133" i="1"/>
  <c r="T70" i="3"/>
  <c r="S70" i="3"/>
  <c r="AC69" i="3"/>
  <c r="P69" i="1"/>
  <c r="AD69" i="3"/>
  <c r="Y133" i="3"/>
  <c r="Z132" i="3"/>
  <c r="AB69" i="3"/>
  <c r="AC68" i="3"/>
  <c r="Y134" i="3" l="1"/>
  <c r="X135" i="3"/>
  <c r="O134" i="1"/>
  <c r="H71" i="3"/>
  <c r="I71" i="3" s="1"/>
  <c r="V70" i="3"/>
  <c r="Z135" i="3" l="1"/>
  <c r="O135" i="1"/>
  <c r="X136" i="3"/>
  <c r="T71" i="3"/>
  <c r="S71" i="3"/>
  <c r="AA70" i="3"/>
  <c r="W70" i="3"/>
  <c r="Y135" i="3"/>
  <c r="Z134" i="3"/>
  <c r="Y136" i="3" l="1"/>
  <c r="Z136" i="3"/>
  <c r="O136" i="1"/>
  <c r="X137" i="3"/>
  <c r="H72" i="3"/>
  <c r="I72" i="3" s="1"/>
  <c r="V71" i="3"/>
  <c r="W71" i="3" s="1"/>
  <c r="AA71" i="3"/>
  <c r="AD70" i="3"/>
  <c r="P70" i="1"/>
  <c r="AB70" i="3"/>
  <c r="O137" i="1" l="1"/>
  <c r="X138" i="3"/>
  <c r="T72" i="3"/>
  <c r="S72" i="3"/>
  <c r="AC71" i="3"/>
  <c r="AD71" i="3"/>
  <c r="P71" i="1"/>
  <c r="Y137" i="3"/>
  <c r="AB71" i="3"/>
  <c r="AC70" i="3"/>
  <c r="X139" i="3" l="1"/>
  <c r="Z138" i="3"/>
  <c r="O138" i="1"/>
  <c r="H73" i="3"/>
  <c r="I73" i="3" s="1"/>
  <c r="V72" i="3"/>
  <c r="Y138" i="3"/>
  <c r="Z137" i="3"/>
  <c r="Y139" i="3" l="1"/>
  <c r="X140" i="3"/>
  <c r="O139" i="1"/>
  <c r="S73" i="3"/>
  <c r="T73" i="3"/>
  <c r="AA72" i="3"/>
  <c r="W72" i="3"/>
  <c r="Z140" i="3" l="1"/>
  <c r="X141" i="3"/>
  <c r="O140" i="1"/>
  <c r="H74" i="3"/>
  <c r="I74" i="3" s="1"/>
  <c r="V73" i="3"/>
  <c r="W73" i="3" s="1"/>
  <c r="P72" i="1"/>
  <c r="AA73" i="3"/>
  <c r="AD72" i="3"/>
  <c r="AB72" i="3"/>
  <c r="Y140" i="3"/>
  <c r="Z139" i="3"/>
  <c r="Y141" i="3" l="1"/>
  <c r="O141" i="1"/>
  <c r="X142" i="3"/>
  <c r="S74" i="3"/>
  <c r="T74" i="3"/>
  <c r="AD73" i="3"/>
  <c r="AC73" i="3"/>
  <c r="P73" i="1"/>
  <c r="AB73" i="3"/>
  <c r="AC72" i="3"/>
  <c r="Z142" i="3" l="1"/>
  <c r="O142" i="1"/>
  <c r="X143" i="3"/>
  <c r="H75" i="3"/>
  <c r="I75" i="3" s="1"/>
  <c r="V74" i="3"/>
  <c r="Y142" i="3"/>
  <c r="Z141" i="3"/>
  <c r="Y143" i="3" l="1"/>
  <c r="O143" i="1"/>
  <c r="X144" i="3"/>
  <c r="T75" i="3"/>
  <c r="S75" i="3"/>
  <c r="F13" i="4" s="1"/>
  <c r="AA74" i="3"/>
  <c r="W74" i="3"/>
  <c r="X145" i="3" l="1"/>
  <c r="C17" i="1"/>
  <c r="F17" i="1" s="1"/>
  <c r="Z144" i="3"/>
  <c r="O144" i="1"/>
  <c r="H76" i="3"/>
  <c r="I76" i="3" s="1"/>
  <c r="V75" i="3"/>
  <c r="W75" i="3" s="1"/>
  <c r="H13" i="4" s="1"/>
  <c r="G13" i="4"/>
  <c r="AA75" i="3"/>
  <c r="AD74" i="3"/>
  <c r="P74" i="1"/>
  <c r="AB74" i="3"/>
  <c r="Y144" i="3"/>
  <c r="Z143" i="3"/>
  <c r="Y145" i="3" l="1"/>
  <c r="X146" i="3"/>
  <c r="O145" i="1"/>
  <c r="T76" i="3"/>
  <c r="S76" i="3"/>
  <c r="P75" i="1"/>
  <c r="AD75" i="3"/>
  <c r="AC75" i="3"/>
  <c r="AB75" i="3"/>
  <c r="AC74" i="3"/>
  <c r="Z146" i="3" l="1"/>
  <c r="O146" i="1"/>
  <c r="X147" i="3"/>
  <c r="H77" i="3"/>
  <c r="I77" i="3" s="1"/>
  <c r="V76" i="3"/>
  <c r="Y146" i="3"/>
  <c r="Z145" i="3"/>
  <c r="Y147" i="3" l="1"/>
  <c r="O147" i="1"/>
  <c r="X148" i="3"/>
  <c r="T77" i="3"/>
  <c r="S77" i="3"/>
  <c r="AA76" i="3"/>
  <c r="W76" i="3"/>
  <c r="Z148" i="3" l="1"/>
  <c r="X149" i="3"/>
  <c r="O148" i="1"/>
  <c r="H78" i="3"/>
  <c r="I78" i="3" s="1"/>
  <c r="V77" i="3"/>
  <c r="W77" i="3" s="1"/>
  <c r="AA77" i="3"/>
  <c r="AD76" i="3"/>
  <c r="P76" i="1"/>
  <c r="AB76" i="3"/>
  <c r="AC76" i="3" s="1"/>
  <c r="Y148" i="3"/>
  <c r="Z147" i="3"/>
  <c r="Y149" i="3" l="1"/>
  <c r="X150" i="3"/>
  <c r="Z149" i="3"/>
  <c r="O149" i="1"/>
  <c r="T78" i="3"/>
  <c r="S78" i="3"/>
  <c r="AD77" i="3"/>
  <c r="P77" i="1"/>
  <c r="AB77" i="3"/>
  <c r="AC77" i="3" s="1"/>
  <c r="X151" i="3" l="1"/>
  <c r="O150" i="1"/>
  <c r="H79" i="3"/>
  <c r="I79" i="3" s="1"/>
  <c r="V78" i="3"/>
  <c r="Y150" i="3"/>
  <c r="Z151" i="3" l="1"/>
  <c r="X152" i="3"/>
  <c r="O151" i="1"/>
  <c r="T79" i="3"/>
  <c r="S79" i="3"/>
  <c r="AA78" i="3"/>
  <c r="W78" i="3"/>
  <c r="Y151" i="3"/>
  <c r="Z150" i="3"/>
  <c r="Y152" i="3" l="1"/>
  <c r="Y153" i="3" s="1"/>
  <c r="X153" i="3"/>
  <c r="O152" i="1"/>
  <c r="Z152" i="3"/>
  <c r="H80" i="3"/>
  <c r="I80" i="3" s="1"/>
  <c r="V79" i="3"/>
  <c r="AB78" i="3"/>
  <c r="AC78" i="3" s="1"/>
  <c r="AD78" i="3"/>
  <c r="P78" i="1"/>
  <c r="O153" i="1" l="1"/>
  <c r="Z153" i="3"/>
  <c r="X154" i="3"/>
  <c r="T80" i="3"/>
  <c r="S80" i="3"/>
  <c r="W79" i="3"/>
  <c r="AA79" i="3"/>
  <c r="Y154" i="3" l="1"/>
  <c r="X155" i="3"/>
  <c r="O154" i="1"/>
  <c r="H81" i="3"/>
  <c r="I81" i="3" s="1"/>
  <c r="V80" i="3"/>
  <c r="AB79" i="3"/>
  <c r="AC79" i="3" s="1"/>
  <c r="P79" i="1"/>
  <c r="AD79" i="3"/>
  <c r="O155" i="1" l="1"/>
  <c r="Z155" i="3"/>
  <c r="X156" i="3"/>
  <c r="T81" i="3"/>
  <c r="S81" i="3"/>
  <c r="Y155" i="3"/>
  <c r="Z154" i="3"/>
  <c r="W80" i="3"/>
  <c r="AA80" i="3"/>
  <c r="Y156" i="3" l="1"/>
  <c r="X157" i="3"/>
  <c r="O156" i="1"/>
  <c r="H82" i="3"/>
  <c r="I82" i="3" s="1"/>
  <c r="V81" i="3"/>
  <c r="AB80" i="3"/>
  <c r="AC80" i="3" s="1"/>
  <c r="AD80" i="3"/>
  <c r="P80" i="1"/>
  <c r="X158" i="3" l="1"/>
  <c r="O157" i="1"/>
  <c r="Z157" i="3"/>
  <c r="S82" i="3"/>
  <c r="T82" i="3"/>
  <c r="Y157" i="3"/>
  <c r="Z156" i="3"/>
  <c r="W81" i="3"/>
  <c r="AA81" i="3"/>
  <c r="Y158" i="3" l="1"/>
  <c r="X159" i="3"/>
  <c r="O158" i="1"/>
  <c r="H83" i="3"/>
  <c r="I83" i="3" s="1"/>
  <c r="V82" i="3"/>
  <c r="W82" i="3" s="1"/>
  <c r="P81" i="1"/>
  <c r="AD81" i="3"/>
  <c r="AA82" i="3"/>
  <c r="AB81" i="3"/>
  <c r="X160" i="3" l="1"/>
  <c r="O159" i="1"/>
  <c r="Z159" i="3"/>
  <c r="T83" i="3"/>
  <c r="S83" i="3"/>
  <c r="AC82" i="3"/>
  <c r="P82" i="1"/>
  <c r="AD82" i="3"/>
  <c r="Y159" i="3"/>
  <c r="Z158" i="3"/>
  <c r="AB82" i="3"/>
  <c r="AC81" i="3"/>
  <c r="Y160" i="3" l="1"/>
  <c r="X161" i="3"/>
  <c r="O160" i="1"/>
  <c r="H84" i="3"/>
  <c r="I84" i="3" s="1"/>
  <c r="V83" i="3"/>
  <c r="Z161" i="3" l="1"/>
  <c r="X162" i="3"/>
  <c r="O161" i="1"/>
  <c r="T84" i="3"/>
  <c r="S84" i="3"/>
  <c r="AA83" i="3"/>
  <c r="W83" i="3"/>
  <c r="Y161" i="3"/>
  <c r="Z160" i="3"/>
  <c r="Y162" i="3" l="1"/>
  <c r="X163" i="3"/>
  <c r="O162" i="1"/>
  <c r="H85" i="3"/>
  <c r="I85" i="3" s="1"/>
  <c r="V84" i="3"/>
  <c r="W84" i="3" s="1"/>
  <c r="P83" i="1"/>
  <c r="AA84" i="3"/>
  <c r="AD83" i="3"/>
  <c r="AB83" i="3"/>
  <c r="O163" i="1" l="1"/>
  <c r="Z163" i="3"/>
  <c r="X164" i="3"/>
  <c r="T85" i="3"/>
  <c r="S85" i="3"/>
  <c r="AC84" i="3"/>
  <c r="P84" i="1"/>
  <c r="AD84" i="3"/>
  <c r="Y163" i="3"/>
  <c r="Z162" i="3"/>
  <c r="AB84" i="3"/>
  <c r="AC83" i="3"/>
  <c r="Y164" i="3" l="1"/>
  <c r="X165" i="3"/>
  <c r="O164" i="1"/>
  <c r="H86" i="3"/>
  <c r="I86" i="3" s="1"/>
  <c r="V85" i="3"/>
  <c r="Z165" i="3" l="1"/>
  <c r="X166" i="3"/>
  <c r="O165" i="1"/>
  <c r="S86" i="3"/>
  <c r="T86" i="3"/>
  <c r="AA85" i="3"/>
  <c r="W85" i="3"/>
  <c r="Y165" i="3"/>
  <c r="Z164" i="3"/>
  <c r="Y166" i="3" l="1"/>
  <c r="O166" i="1"/>
  <c r="X167" i="3"/>
  <c r="H87" i="3"/>
  <c r="I87" i="3" s="1"/>
  <c r="V86" i="3"/>
  <c r="W86" i="3" s="1"/>
  <c r="P85" i="1"/>
  <c r="AA86" i="3"/>
  <c r="AD85" i="3"/>
  <c r="AB85" i="3"/>
  <c r="X168" i="3" l="1"/>
  <c r="Z167" i="3"/>
  <c r="O167" i="1"/>
  <c r="S87" i="3"/>
  <c r="T87" i="3"/>
  <c r="AC86" i="3"/>
  <c r="AD86" i="3"/>
  <c r="P86" i="1"/>
  <c r="Y167" i="3"/>
  <c r="Z166" i="3"/>
  <c r="AB86" i="3"/>
  <c r="AC85" i="3"/>
  <c r="Y168" i="3" l="1"/>
  <c r="X169" i="3"/>
  <c r="O168" i="1"/>
  <c r="H88" i="3"/>
  <c r="I88" i="3" s="1"/>
  <c r="V87" i="3"/>
  <c r="X170" i="3" l="1"/>
  <c r="O169" i="1"/>
  <c r="Z169" i="3"/>
  <c r="T88" i="3"/>
  <c r="S88" i="3"/>
  <c r="AA87" i="3"/>
  <c r="W87" i="3"/>
  <c r="Y169" i="3"/>
  <c r="Z168" i="3"/>
  <c r="Y170" i="3" l="1"/>
  <c r="O170" i="1"/>
  <c r="X171" i="3"/>
  <c r="H89" i="3"/>
  <c r="I89" i="3" s="1"/>
  <c r="V88" i="3"/>
  <c r="W88" i="3" s="1"/>
  <c r="AA88" i="3"/>
  <c r="P87" i="1"/>
  <c r="AD87" i="3"/>
  <c r="AB87" i="3"/>
  <c r="Z171" i="3" l="1"/>
  <c r="X172" i="3"/>
  <c r="O171" i="1"/>
  <c r="S89" i="3"/>
  <c r="T89" i="3"/>
  <c r="AD88" i="3"/>
  <c r="P88" i="1"/>
  <c r="AC88" i="3"/>
  <c r="Y171" i="3"/>
  <c r="Z170" i="3"/>
  <c r="AB88" i="3"/>
  <c r="AC87" i="3"/>
  <c r="Y172" i="3" l="1"/>
  <c r="X173" i="3"/>
  <c r="O172" i="1"/>
  <c r="H90" i="3"/>
  <c r="I90" i="3" s="1"/>
  <c r="V89" i="3"/>
  <c r="O173" i="1" l="1"/>
  <c r="Z173" i="3"/>
  <c r="X174" i="3"/>
  <c r="T90" i="3"/>
  <c r="S90" i="3"/>
  <c r="AA89" i="3"/>
  <c r="W89" i="3"/>
  <c r="Y173" i="3"/>
  <c r="Z172" i="3"/>
  <c r="Y174" i="3" l="1"/>
  <c r="Z174" i="3"/>
  <c r="O174" i="1"/>
  <c r="X175" i="3"/>
  <c r="H91" i="3"/>
  <c r="I91" i="3" s="1"/>
  <c r="V90" i="3"/>
  <c r="W90" i="3" s="1"/>
  <c r="P89" i="1"/>
  <c r="AD89" i="3"/>
  <c r="AA90" i="3"/>
  <c r="AB89" i="3"/>
  <c r="X176" i="3" l="1"/>
  <c r="O175" i="1"/>
  <c r="T91" i="3"/>
  <c r="S91" i="3"/>
  <c r="AD90" i="3"/>
  <c r="P90" i="1"/>
  <c r="AC90" i="3"/>
  <c r="Y175" i="3"/>
  <c r="AB90" i="3"/>
  <c r="AC89" i="3"/>
  <c r="O176" i="1" l="1"/>
  <c r="Z176" i="3"/>
  <c r="X177" i="3"/>
  <c r="H92" i="3"/>
  <c r="I92" i="3" s="1"/>
  <c r="V91" i="3"/>
  <c r="Y176" i="3"/>
  <c r="Z175" i="3"/>
  <c r="Y177" i="3" l="1"/>
  <c r="X178" i="3"/>
  <c r="O177" i="1"/>
  <c r="T92" i="3"/>
  <c r="S92" i="3"/>
  <c r="AA91" i="3"/>
  <c r="W91" i="3"/>
  <c r="O178" i="1" l="1"/>
  <c r="Z178" i="3"/>
  <c r="X179" i="3"/>
  <c r="H93" i="3"/>
  <c r="I93" i="3" s="1"/>
  <c r="V92" i="3"/>
  <c r="W92" i="3" s="1"/>
  <c r="P91" i="1"/>
  <c r="AA92" i="3"/>
  <c r="AD91" i="3"/>
  <c r="AB91" i="3"/>
  <c r="Y178" i="3"/>
  <c r="Z177" i="3"/>
  <c r="Y179" i="3" l="1"/>
  <c r="X180" i="3"/>
  <c r="O179" i="1"/>
  <c r="T93" i="3"/>
  <c r="S93" i="3"/>
  <c r="P92" i="1"/>
  <c r="AD92" i="3"/>
  <c r="AC92" i="3"/>
  <c r="AB92" i="3"/>
  <c r="AC91" i="3"/>
  <c r="O180" i="1" l="1"/>
  <c r="Z180" i="3"/>
  <c r="X181" i="3"/>
  <c r="H94" i="3"/>
  <c r="I94" i="3" s="1"/>
  <c r="V93" i="3"/>
  <c r="Y180" i="3"/>
  <c r="Z179" i="3"/>
  <c r="Y181" i="3" l="1"/>
  <c r="X182" i="3"/>
  <c r="O181" i="1"/>
  <c r="T94" i="3"/>
  <c r="S94" i="3"/>
  <c r="AA93" i="3"/>
  <c r="W93" i="3"/>
  <c r="Z182" i="3" l="1"/>
  <c r="X183" i="3"/>
  <c r="O182" i="1"/>
  <c r="H95" i="3"/>
  <c r="I95" i="3" s="1"/>
  <c r="V94" i="3"/>
  <c r="W94" i="3" s="1"/>
  <c r="AD93" i="3"/>
  <c r="AA94" i="3"/>
  <c r="P93" i="1"/>
  <c r="AB93" i="3"/>
  <c r="Y182" i="3"/>
  <c r="Z181" i="3"/>
  <c r="Y183" i="3" l="1"/>
  <c r="X184" i="3"/>
  <c r="O183" i="1"/>
  <c r="S95" i="3"/>
  <c r="T95" i="3"/>
  <c r="AC94" i="3"/>
  <c r="AD94" i="3"/>
  <c r="P94" i="1"/>
  <c r="AB94" i="3"/>
  <c r="AC93" i="3"/>
  <c r="O184" i="1" l="1"/>
  <c r="Z184" i="3"/>
  <c r="X185" i="3"/>
  <c r="H96" i="3"/>
  <c r="I96" i="3" s="1"/>
  <c r="V95" i="3"/>
  <c r="Y184" i="3"/>
  <c r="Z183" i="3"/>
  <c r="Y185" i="3" l="1"/>
  <c r="X186" i="3"/>
  <c r="O185" i="1"/>
  <c r="T96" i="3"/>
  <c r="S96" i="3"/>
  <c r="AA95" i="3"/>
  <c r="W95" i="3"/>
  <c r="Z186" i="3" l="1"/>
  <c r="X187" i="3"/>
  <c r="O186" i="1"/>
  <c r="H97" i="3"/>
  <c r="I97" i="3" s="1"/>
  <c r="V96" i="3"/>
  <c r="W96" i="3" s="1"/>
  <c r="AA96" i="3"/>
  <c r="AD95" i="3"/>
  <c r="P95" i="1"/>
  <c r="AB95" i="3"/>
  <c r="Y186" i="3"/>
  <c r="Z185" i="3"/>
  <c r="Y187" i="3" l="1"/>
  <c r="X188" i="3"/>
  <c r="O187" i="1"/>
  <c r="S97" i="3"/>
  <c r="T97" i="3"/>
  <c r="AC96" i="3"/>
  <c r="P96" i="1"/>
  <c r="AD96" i="3"/>
  <c r="AB96" i="3"/>
  <c r="AC95" i="3"/>
  <c r="X189" i="3" l="1"/>
  <c r="O188" i="1"/>
  <c r="Z188" i="3"/>
  <c r="H98" i="3"/>
  <c r="I98" i="3" s="1"/>
  <c r="V97" i="3"/>
  <c r="Y188" i="3"/>
  <c r="Z187" i="3"/>
  <c r="Y189" i="3" l="1"/>
  <c r="X190" i="3"/>
  <c r="O189" i="1"/>
  <c r="S98" i="3"/>
  <c r="T98" i="3"/>
  <c r="AA97" i="3"/>
  <c r="W97" i="3"/>
  <c r="Z190" i="3" l="1"/>
  <c r="X191" i="3"/>
  <c r="O190" i="1"/>
  <c r="H99" i="3"/>
  <c r="I99" i="3" s="1"/>
  <c r="V98" i="3"/>
  <c r="W98" i="3" s="1"/>
  <c r="P97" i="1"/>
  <c r="AA98" i="3"/>
  <c r="AD97" i="3"/>
  <c r="AB97" i="3"/>
  <c r="Y190" i="3"/>
  <c r="Z189" i="3"/>
  <c r="Y191" i="3" l="1"/>
  <c r="X192" i="3"/>
  <c r="O191" i="1"/>
  <c r="T99" i="3"/>
  <c r="S99" i="3"/>
  <c r="AD98" i="3"/>
  <c r="P98" i="1"/>
  <c r="AC98" i="3"/>
  <c r="AB98" i="3"/>
  <c r="AC97" i="3"/>
  <c r="X193" i="3" l="1"/>
  <c r="Z192" i="3"/>
  <c r="O192" i="1"/>
  <c r="H100" i="3"/>
  <c r="I100" i="3" s="1"/>
  <c r="V99" i="3"/>
  <c r="Y192" i="3"/>
  <c r="Z191" i="3"/>
  <c r="Y193" i="3" l="1"/>
  <c r="O193" i="1"/>
  <c r="X194" i="3"/>
  <c r="T100" i="3"/>
  <c r="S100" i="3"/>
  <c r="AA99" i="3"/>
  <c r="W99" i="3"/>
  <c r="Z194" i="3" l="1"/>
  <c r="O194" i="1"/>
  <c r="X195" i="3"/>
  <c r="H101" i="3"/>
  <c r="I101" i="3" s="1"/>
  <c r="V100" i="3"/>
  <c r="W100" i="3" s="1"/>
  <c r="AA100" i="3"/>
  <c r="AD99" i="3"/>
  <c r="P99" i="1"/>
  <c r="AB99" i="3"/>
  <c r="Y194" i="3"/>
  <c r="Z193" i="3"/>
  <c r="Y195" i="3" l="1"/>
  <c r="X196" i="3"/>
  <c r="O195" i="1"/>
  <c r="S101" i="3"/>
  <c r="T101" i="3"/>
  <c r="AC100" i="3"/>
  <c r="AD100" i="3"/>
  <c r="P100" i="1"/>
  <c r="AB100" i="3"/>
  <c r="AC99" i="3"/>
  <c r="Z196" i="3" l="1"/>
  <c r="C18" i="1"/>
  <c r="F18" i="1" s="1"/>
  <c r="X197" i="3"/>
  <c r="O196" i="1"/>
  <c r="H102" i="3"/>
  <c r="I102" i="3" s="1"/>
  <c r="V101" i="3"/>
  <c r="Y196" i="3"/>
  <c r="Z195" i="3"/>
  <c r="Y197" i="3" l="1"/>
  <c r="X198" i="3"/>
  <c r="O197" i="1"/>
  <c r="T102" i="3"/>
  <c r="S102" i="3"/>
  <c r="AA101" i="3"/>
  <c r="W101" i="3"/>
  <c r="X199" i="3" l="1"/>
  <c r="Z198" i="3"/>
  <c r="O198" i="1"/>
  <c r="H103" i="3"/>
  <c r="I103" i="3" s="1"/>
  <c r="V102" i="3"/>
  <c r="W102" i="3" s="1"/>
  <c r="AA102" i="3"/>
  <c r="P101" i="1"/>
  <c r="AD101" i="3"/>
  <c r="AB101" i="3"/>
  <c r="Y198" i="3"/>
  <c r="Z197" i="3"/>
  <c r="Y199" i="3" l="1"/>
  <c r="X200" i="3"/>
  <c r="O199" i="1"/>
  <c r="T103" i="3"/>
  <c r="S103" i="3"/>
  <c r="F14" i="4" s="1"/>
  <c r="AC102" i="3"/>
  <c r="AD102" i="3"/>
  <c r="P102" i="1"/>
  <c r="AB102" i="3"/>
  <c r="AC101" i="3"/>
  <c r="O200" i="1" l="1"/>
  <c r="X201" i="3"/>
  <c r="Z200" i="3"/>
  <c r="H104" i="3"/>
  <c r="I104" i="3" s="1"/>
  <c r="G14" i="4"/>
  <c r="V103" i="3"/>
  <c r="Y200" i="3"/>
  <c r="Z199" i="3"/>
  <c r="Y201" i="3" l="1"/>
  <c r="X202" i="3"/>
  <c r="O201" i="1"/>
  <c r="T104" i="3"/>
  <c r="S104" i="3"/>
  <c r="AA103" i="3"/>
  <c r="W103" i="3"/>
  <c r="H14" i="4" s="1"/>
  <c r="Z202" i="3" l="1"/>
  <c r="X203" i="3"/>
  <c r="O202" i="1"/>
  <c r="H105" i="3"/>
  <c r="I105" i="3" s="1"/>
  <c r="V104" i="3"/>
  <c r="W104" i="3" s="1"/>
  <c r="P103" i="1"/>
  <c r="AA104" i="3"/>
  <c r="AD103" i="3"/>
  <c r="AB103" i="3"/>
  <c r="Y202" i="3"/>
  <c r="Z201" i="3"/>
  <c r="Y203" i="3" l="1"/>
  <c r="X204" i="3"/>
  <c r="O203" i="1"/>
  <c r="T105" i="3"/>
  <c r="S105" i="3"/>
  <c r="F15" i="4" s="1"/>
  <c r="P104" i="1"/>
  <c r="AC104" i="3"/>
  <c r="AD104" i="3"/>
  <c r="AB104" i="3"/>
  <c r="AC103" i="3"/>
  <c r="O204" i="1" l="1"/>
  <c r="X205" i="3"/>
  <c r="Z204" i="3"/>
  <c r="H106" i="3"/>
  <c r="I106" i="3" s="1"/>
  <c r="V105" i="3"/>
  <c r="G15" i="4"/>
  <c r="Y204" i="3"/>
  <c r="Z203" i="3"/>
  <c r="Y205" i="3" l="1"/>
  <c r="O205" i="1"/>
  <c r="X206" i="3"/>
  <c r="S106" i="3"/>
  <c r="F16" i="4" s="1"/>
  <c r="T106" i="3"/>
  <c r="AA105" i="3"/>
  <c r="W105" i="3"/>
  <c r="H15" i="4" s="1"/>
  <c r="Z206" i="3" l="1"/>
  <c r="X207" i="3"/>
  <c r="O206" i="1"/>
  <c r="H107" i="3"/>
  <c r="I107" i="3" s="1"/>
  <c r="V106" i="3"/>
  <c r="W106" i="3" s="1"/>
  <c r="H16" i="4" s="1"/>
  <c r="G16" i="4"/>
  <c r="P105" i="1"/>
  <c r="AD105" i="3"/>
  <c r="AA106" i="3"/>
  <c r="AB105" i="3"/>
  <c r="Y206" i="3"/>
  <c r="Z205" i="3"/>
  <c r="Y207" i="3" l="1"/>
  <c r="X208" i="3"/>
  <c r="O207" i="1"/>
  <c r="T107" i="3"/>
  <c r="S107" i="3"/>
  <c r="AC106" i="3"/>
  <c r="AD106" i="3"/>
  <c r="P106" i="1"/>
  <c r="AB106" i="3"/>
  <c r="AC105" i="3"/>
  <c r="X209" i="3" l="1"/>
  <c r="O208" i="1"/>
  <c r="Z208" i="3"/>
  <c r="H108" i="3"/>
  <c r="I108" i="3" s="1"/>
  <c r="V107" i="3"/>
  <c r="Y208" i="3"/>
  <c r="Z207" i="3"/>
  <c r="Y209" i="3" l="1"/>
  <c r="X210" i="3"/>
  <c r="O209" i="1"/>
  <c r="T108" i="3"/>
  <c r="S108" i="3"/>
  <c r="AA107" i="3"/>
  <c r="W107" i="3"/>
  <c r="Z210" i="3" l="1"/>
  <c r="O210" i="1"/>
  <c r="X211" i="3"/>
  <c r="H109" i="3"/>
  <c r="I109" i="3" s="1"/>
  <c r="V108" i="3"/>
  <c r="W108" i="3" s="1"/>
  <c r="AD107" i="3"/>
  <c r="P107" i="1"/>
  <c r="AA108" i="3"/>
  <c r="AB107" i="3"/>
  <c r="Y210" i="3"/>
  <c r="Z209" i="3"/>
  <c r="Y211" i="3" l="1"/>
  <c r="O211" i="1"/>
  <c r="X212" i="3"/>
  <c r="T109" i="3"/>
  <c r="S109" i="3"/>
  <c r="AC108" i="3"/>
  <c r="AD108" i="3"/>
  <c r="P108" i="1"/>
  <c r="AB108" i="3"/>
  <c r="AC107" i="3"/>
  <c r="Z212" i="3" l="1"/>
  <c r="X213" i="3"/>
  <c r="O212" i="1"/>
  <c r="H110" i="3"/>
  <c r="I110" i="3" s="1"/>
  <c r="V109" i="3"/>
  <c r="Y212" i="3"/>
  <c r="Z211" i="3"/>
  <c r="Y213" i="3" l="1"/>
  <c r="O213" i="1"/>
  <c r="X214" i="3"/>
  <c r="T110" i="3"/>
  <c r="S110" i="3"/>
  <c r="AA109" i="3"/>
  <c r="W109" i="3"/>
  <c r="X215" i="3" l="1"/>
  <c r="Z214" i="3"/>
  <c r="O214" i="1"/>
  <c r="H111" i="3"/>
  <c r="I111" i="3" s="1"/>
  <c r="V110" i="3"/>
  <c r="W110" i="3" s="1"/>
  <c r="P109" i="1"/>
  <c r="AA110" i="3"/>
  <c r="AD109" i="3"/>
  <c r="AB109" i="3"/>
  <c r="Y214" i="3"/>
  <c r="Z213" i="3"/>
  <c r="Y215" i="3" l="1"/>
  <c r="X216" i="3"/>
  <c r="O215" i="1"/>
  <c r="T111" i="3"/>
  <c r="S111" i="3"/>
  <c r="AC110" i="3"/>
  <c r="AD110" i="3"/>
  <c r="P110" i="1"/>
  <c r="AB110" i="3"/>
  <c r="AC109" i="3"/>
  <c r="Z216" i="3" l="1"/>
  <c r="X217" i="3"/>
  <c r="O216" i="1"/>
  <c r="H112" i="3"/>
  <c r="I112" i="3" s="1"/>
  <c r="V111" i="3"/>
  <c r="Y216" i="3"/>
  <c r="Z215" i="3"/>
  <c r="Y217" i="3" l="1"/>
  <c r="O217" i="1"/>
  <c r="X218" i="3"/>
  <c r="T112" i="3"/>
  <c r="S112" i="3"/>
  <c r="AA111" i="3"/>
  <c r="W111" i="3"/>
  <c r="X219" i="3" l="1"/>
  <c r="O218" i="1"/>
  <c r="Z218" i="3"/>
  <c r="H113" i="3"/>
  <c r="I113" i="3" s="1"/>
  <c r="V112" i="3"/>
  <c r="W112" i="3" s="1"/>
  <c r="P111" i="1"/>
  <c r="AA112" i="3"/>
  <c r="AD111" i="3"/>
  <c r="AB111" i="3"/>
  <c r="Y218" i="3"/>
  <c r="Z217" i="3"/>
  <c r="Y219" i="3" l="1"/>
  <c r="O219" i="1"/>
  <c r="X220" i="3"/>
  <c r="T113" i="3"/>
  <c r="S113" i="3"/>
  <c r="P112" i="1"/>
  <c r="AC112" i="3"/>
  <c r="AD112" i="3"/>
  <c r="AB112" i="3"/>
  <c r="AC111" i="3"/>
  <c r="Z220" i="3" l="1"/>
  <c r="X221" i="3"/>
  <c r="O220" i="1"/>
  <c r="H114" i="3"/>
  <c r="I114" i="3" s="1"/>
  <c r="V113" i="3"/>
  <c r="Y220" i="3"/>
  <c r="Z219" i="3"/>
  <c r="Y221" i="3" l="1"/>
  <c r="X222" i="3"/>
  <c r="O221" i="1"/>
  <c r="T114" i="3"/>
  <c r="S114" i="3"/>
  <c r="AA113" i="3"/>
  <c r="W113" i="3"/>
  <c r="Z222" i="3" l="1"/>
  <c r="X223" i="3"/>
  <c r="O222" i="1"/>
  <c r="H115" i="3"/>
  <c r="I115" i="3" s="1"/>
  <c r="V114" i="3"/>
  <c r="W114" i="3" s="1"/>
  <c r="P113" i="1"/>
  <c r="AA114" i="3"/>
  <c r="AD113" i="3"/>
  <c r="AB113" i="3"/>
  <c r="Y222" i="3"/>
  <c r="Z221" i="3"/>
  <c r="Y223" i="3" l="1"/>
  <c r="O223" i="1"/>
  <c r="X224" i="3"/>
  <c r="T115" i="3"/>
  <c r="S115" i="3"/>
  <c r="AD114" i="3"/>
  <c r="AC114" i="3"/>
  <c r="P114" i="1"/>
  <c r="AB114" i="3"/>
  <c r="AC113" i="3"/>
  <c r="Z224" i="3" l="1"/>
  <c r="X225" i="3"/>
  <c r="O224" i="1"/>
  <c r="H116" i="3"/>
  <c r="I116" i="3" s="1"/>
  <c r="V115" i="3"/>
  <c r="Y224" i="3"/>
  <c r="Z223" i="3"/>
  <c r="Y225" i="3" l="1"/>
  <c r="O225" i="1"/>
  <c r="X226" i="3"/>
  <c r="T116" i="3"/>
  <c r="S116" i="3"/>
  <c r="AA115" i="3"/>
  <c r="W115" i="3"/>
  <c r="Z226" i="3" l="1"/>
  <c r="X227" i="3"/>
  <c r="O226" i="1"/>
  <c r="H117" i="3"/>
  <c r="I117" i="3" s="1"/>
  <c r="V116" i="3"/>
  <c r="W116" i="3" s="1"/>
  <c r="P115" i="1"/>
  <c r="AD115" i="3"/>
  <c r="AA116" i="3"/>
  <c r="AB115" i="3"/>
  <c r="Y226" i="3"/>
  <c r="Z225" i="3"/>
  <c r="Y227" i="3" l="1"/>
  <c r="X228" i="3"/>
  <c r="O227" i="1"/>
  <c r="T117" i="3"/>
  <c r="S117" i="3"/>
  <c r="AC116" i="3"/>
  <c r="P116" i="1"/>
  <c r="AD116" i="3"/>
  <c r="AB116" i="3"/>
  <c r="AC115" i="3"/>
  <c r="Z228" i="3" l="1"/>
  <c r="X229" i="3"/>
  <c r="O228" i="1"/>
  <c r="H118" i="3"/>
  <c r="I118" i="3" s="1"/>
  <c r="V117" i="3"/>
  <c r="Y228" i="3"/>
  <c r="Z227" i="3"/>
  <c r="Y229" i="3" l="1"/>
  <c r="Z229" i="3" s="1"/>
  <c r="X230" i="3"/>
  <c r="O229" i="1"/>
  <c r="T118" i="3"/>
  <c r="S118" i="3"/>
  <c r="AA117" i="3"/>
  <c r="W117" i="3"/>
  <c r="X231" i="3" l="1"/>
  <c r="O230" i="1"/>
  <c r="H119" i="3"/>
  <c r="I119" i="3" s="1"/>
  <c r="V118" i="3"/>
  <c r="W118" i="3" s="1"/>
  <c r="AA118" i="3"/>
  <c r="AD117" i="3"/>
  <c r="P117" i="1"/>
  <c r="AB117" i="3"/>
  <c r="Y230" i="3"/>
  <c r="Z231" i="3" l="1"/>
  <c r="X232" i="3"/>
  <c r="O231" i="1"/>
  <c r="T119" i="3"/>
  <c r="S119" i="3"/>
  <c r="AC118" i="3"/>
  <c r="AD118" i="3"/>
  <c r="P118" i="1"/>
  <c r="AB118" i="3"/>
  <c r="AC117" i="3"/>
  <c r="Y231" i="3"/>
  <c r="Z230" i="3"/>
  <c r="Y232" i="3" l="1"/>
  <c r="X233" i="3"/>
  <c r="O232" i="1"/>
  <c r="H120" i="3"/>
  <c r="I120" i="3" s="1"/>
  <c r="V119" i="3"/>
  <c r="X234" i="3" l="1"/>
  <c r="O233" i="1"/>
  <c r="Z233" i="3"/>
  <c r="T120" i="3"/>
  <c r="S120" i="3"/>
  <c r="AA119" i="3"/>
  <c r="W119" i="3"/>
  <c r="Y233" i="3"/>
  <c r="Z232" i="3"/>
  <c r="Y234" i="3" l="1"/>
  <c r="X235" i="3"/>
  <c r="O234" i="1"/>
  <c r="H121" i="3"/>
  <c r="I121" i="3" s="1"/>
  <c r="V120" i="3"/>
  <c r="W120" i="3" s="1"/>
  <c r="P119" i="1"/>
  <c r="AA120" i="3"/>
  <c r="AD119" i="3"/>
  <c r="AB119" i="3"/>
  <c r="Z235" i="3" l="1"/>
  <c r="X236" i="3"/>
  <c r="O235" i="1"/>
  <c r="T121" i="3"/>
  <c r="S121" i="3"/>
  <c r="P120" i="1"/>
  <c r="AC120" i="3"/>
  <c r="AD120" i="3"/>
  <c r="Y235" i="3"/>
  <c r="Z234" i="3"/>
  <c r="AB120" i="3"/>
  <c r="AC119" i="3"/>
  <c r="Y236" i="3" l="1"/>
  <c r="X237" i="3"/>
  <c r="O236" i="1"/>
  <c r="H122" i="3"/>
  <c r="I122" i="3" s="1"/>
  <c r="V121" i="3"/>
  <c r="X238" i="3" l="1"/>
  <c r="Z237" i="3"/>
  <c r="O237" i="1"/>
  <c r="T122" i="3"/>
  <c r="S122" i="3"/>
  <c r="AA121" i="3"/>
  <c r="W121" i="3"/>
  <c r="Y237" i="3"/>
  <c r="Z236" i="3"/>
  <c r="Y238" i="3" l="1"/>
  <c r="Z238" i="3"/>
  <c r="X239" i="3"/>
  <c r="O238" i="1"/>
  <c r="H123" i="3"/>
  <c r="I123" i="3" s="1"/>
  <c r="V122" i="3"/>
  <c r="W122" i="3" s="1"/>
  <c r="P121" i="1"/>
  <c r="AA122" i="3"/>
  <c r="AD121" i="3"/>
  <c r="AB121" i="3"/>
  <c r="X240" i="3" l="1"/>
  <c r="O239" i="1"/>
  <c r="S123" i="3"/>
  <c r="T123" i="3"/>
  <c r="AC122" i="3"/>
  <c r="AD122" i="3"/>
  <c r="P122" i="1"/>
  <c r="Y239" i="3"/>
  <c r="AB122" i="3"/>
  <c r="AC121" i="3"/>
  <c r="Z240" i="3" l="1"/>
  <c r="X241" i="3"/>
  <c r="O240" i="1"/>
  <c r="H124" i="3"/>
  <c r="I124" i="3" s="1"/>
  <c r="V123" i="3"/>
  <c r="Y240" i="3"/>
  <c r="Z239" i="3"/>
  <c r="Y241" i="3" l="1"/>
  <c r="O241" i="1"/>
  <c r="X242" i="3"/>
  <c r="T124" i="3"/>
  <c r="S124" i="3"/>
  <c r="AA123" i="3"/>
  <c r="W123" i="3"/>
  <c r="O242" i="1" l="1"/>
  <c r="Z242" i="3"/>
  <c r="X243" i="3"/>
  <c r="H125" i="3"/>
  <c r="I125" i="3" s="1"/>
  <c r="V124" i="3"/>
  <c r="W124" i="3" s="1"/>
  <c r="AA124" i="3"/>
  <c r="AD123" i="3"/>
  <c r="P123" i="1"/>
  <c r="AB123" i="3"/>
  <c r="Y242" i="3"/>
  <c r="Z241" i="3"/>
  <c r="Y243" i="3" l="1"/>
  <c r="X244" i="3"/>
  <c r="O243" i="1"/>
  <c r="T125" i="3"/>
  <c r="S125" i="3"/>
  <c r="AC124" i="3"/>
  <c r="AD124" i="3"/>
  <c r="P124" i="1"/>
  <c r="AB124" i="3"/>
  <c r="AC123" i="3"/>
  <c r="Z244" i="3" l="1"/>
  <c r="X245" i="3"/>
  <c r="O244" i="1"/>
  <c r="H126" i="3"/>
  <c r="I126" i="3" s="1"/>
  <c r="V125" i="3"/>
  <c r="Y244" i="3"/>
  <c r="Z243" i="3"/>
  <c r="Y245" i="3" l="1"/>
  <c r="X246" i="3"/>
  <c r="O245" i="1"/>
  <c r="T126" i="3"/>
  <c r="S126" i="3"/>
  <c r="AA125" i="3"/>
  <c r="W125" i="3"/>
  <c r="O246" i="1" l="1"/>
  <c r="Z246" i="3"/>
  <c r="X247" i="3"/>
  <c r="H127" i="3"/>
  <c r="I127" i="3" s="1"/>
  <c r="V126" i="3"/>
  <c r="W126" i="3" s="1"/>
  <c r="P125" i="1"/>
  <c r="AD125" i="3"/>
  <c r="AA126" i="3"/>
  <c r="AB125" i="3"/>
  <c r="Y246" i="3"/>
  <c r="Z245" i="3"/>
  <c r="Y247" i="3" l="1"/>
  <c r="X248" i="3"/>
  <c r="O247" i="1"/>
  <c r="S127" i="3"/>
  <c r="T127" i="3"/>
  <c r="AD126" i="3"/>
  <c r="AC126" i="3"/>
  <c r="P126" i="1"/>
  <c r="AB126" i="3"/>
  <c r="AC125" i="3"/>
  <c r="Z248" i="3" l="1"/>
  <c r="X249" i="3"/>
  <c r="O248" i="1"/>
  <c r="H128" i="3"/>
  <c r="I128" i="3" s="1"/>
  <c r="V127" i="3"/>
  <c r="Y248" i="3"/>
  <c r="Z247" i="3"/>
  <c r="Y249" i="3" l="1"/>
  <c r="X250" i="3"/>
  <c r="O249" i="1"/>
  <c r="T128" i="3"/>
  <c r="S128" i="3"/>
  <c r="AA127" i="3"/>
  <c r="W127" i="3"/>
  <c r="Z250" i="3" l="1"/>
  <c r="X251" i="3"/>
  <c r="O250" i="1"/>
  <c r="H129" i="3"/>
  <c r="I129" i="3" s="1"/>
  <c r="V128" i="3"/>
  <c r="W128" i="3" s="1"/>
  <c r="AD127" i="3"/>
  <c r="P127" i="1"/>
  <c r="AA128" i="3"/>
  <c r="AB127" i="3"/>
  <c r="Y250" i="3"/>
  <c r="Z249" i="3"/>
  <c r="Y251" i="3" l="1"/>
  <c r="X252" i="3"/>
  <c r="O251" i="1"/>
  <c r="S129" i="3"/>
  <c r="F17" i="4" s="1"/>
  <c r="T129" i="3"/>
  <c r="AC128" i="3"/>
  <c r="AD128" i="3"/>
  <c r="P128" i="1"/>
  <c r="AB128" i="3"/>
  <c r="AC127" i="3"/>
  <c r="X253" i="3" l="1"/>
  <c r="Z252" i="3"/>
  <c r="O252" i="1"/>
  <c r="H130" i="3"/>
  <c r="I130" i="3" s="1"/>
  <c r="G17" i="4"/>
  <c r="V129" i="3"/>
  <c r="Y252" i="3"/>
  <c r="Z251" i="3"/>
  <c r="Y253" i="3" l="1"/>
  <c r="X254" i="3"/>
  <c r="O253" i="1"/>
  <c r="T130" i="3"/>
  <c r="S130" i="3"/>
  <c r="AA129" i="3"/>
  <c r="W129" i="3"/>
  <c r="H17" i="4" s="1"/>
  <c r="Z254" i="3" l="1"/>
  <c r="X255" i="3"/>
  <c r="O254" i="1"/>
  <c r="H131" i="3"/>
  <c r="I131" i="3" s="1"/>
  <c r="V130" i="3"/>
  <c r="W130" i="3" s="1"/>
  <c r="AA130" i="3"/>
  <c r="AD129" i="3"/>
  <c r="P129" i="1"/>
  <c r="AB129" i="3"/>
  <c r="Y254" i="3"/>
  <c r="Z253" i="3"/>
  <c r="Y255" i="3" l="1"/>
  <c r="Z255" i="3"/>
  <c r="X256" i="3"/>
  <c r="O255" i="1"/>
  <c r="T131" i="3"/>
  <c r="S131" i="3"/>
  <c r="F18" i="4" s="1"/>
  <c r="AD130" i="3"/>
  <c r="P130" i="1"/>
  <c r="AC130" i="3"/>
  <c r="AB130" i="3"/>
  <c r="AC129" i="3"/>
  <c r="X257" i="3" l="1"/>
  <c r="O256" i="1"/>
  <c r="H132" i="3"/>
  <c r="I132" i="3" s="1"/>
  <c r="V131" i="3"/>
  <c r="G18" i="4"/>
  <c r="Y256" i="3"/>
  <c r="Z257" i="3" l="1"/>
  <c r="O257" i="1"/>
  <c r="X258" i="3"/>
  <c r="S132" i="3"/>
  <c r="T132" i="3"/>
  <c r="AA131" i="3"/>
  <c r="W131" i="3"/>
  <c r="H18" i="4" s="1"/>
  <c r="Y257" i="3"/>
  <c r="Z256" i="3"/>
  <c r="Y258" i="3" l="1"/>
  <c r="X259" i="3"/>
  <c r="O258" i="1"/>
  <c r="H133" i="3"/>
  <c r="I133" i="3" s="1"/>
  <c r="V132" i="3"/>
  <c r="W132" i="3" s="1"/>
  <c r="AA132" i="3"/>
  <c r="AD131" i="3"/>
  <c r="P131" i="1"/>
  <c r="AB131" i="3"/>
  <c r="Z259" i="3" l="1"/>
  <c r="X260" i="3"/>
  <c r="O259" i="1"/>
  <c r="T133" i="3"/>
  <c r="S133" i="3"/>
  <c r="AD132" i="3"/>
  <c r="P132" i="1"/>
  <c r="AC132" i="3"/>
  <c r="Y259" i="3"/>
  <c r="Z258" i="3"/>
  <c r="AB132" i="3"/>
  <c r="AC131" i="3"/>
  <c r="Y260" i="3" l="1"/>
  <c r="O260" i="1"/>
  <c r="Z260" i="3"/>
  <c r="X261" i="3"/>
  <c r="H134" i="3"/>
  <c r="I134" i="3" s="1"/>
  <c r="V133" i="3"/>
  <c r="X262" i="3" l="1"/>
  <c r="O261" i="1"/>
  <c r="T134" i="3"/>
  <c r="S134" i="3"/>
  <c r="AA133" i="3"/>
  <c r="W133" i="3"/>
  <c r="Y261" i="3"/>
  <c r="Z262" i="3" l="1"/>
  <c r="X263" i="3"/>
  <c r="O262" i="1"/>
  <c r="H135" i="3"/>
  <c r="I135" i="3" s="1"/>
  <c r="V134" i="3"/>
  <c r="W134" i="3" s="1"/>
  <c r="P133" i="1"/>
  <c r="AA134" i="3"/>
  <c r="AD133" i="3"/>
  <c r="AB133" i="3"/>
  <c r="Y262" i="3"/>
  <c r="Z261" i="3"/>
  <c r="Y263" i="3" l="1"/>
  <c r="Z263" i="3"/>
  <c r="O263" i="1"/>
  <c r="X264" i="3"/>
  <c r="S135" i="3"/>
  <c r="T135" i="3"/>
  <c r="P134" i="1"/>
  <c r="AD134" i="3"/>
  <c r="AC134" i="3"/>
  <c r="AB134" i="3"/>
  <c r="AC133" i="3"/>
  <c r="X265" i="3" l="1"/>
  <c r="O264" i="1"/>
  <c r="H136" i="3"/>
  <c r="I136" i="3" s="1"/>
  <c r="V135" i="3"/>
  <c r="Y264" i="3"/>
  <c r="Z265" i="3" l="1"/>
  <c r="X266" i="3"/>
  <c r="O265" i="1"/>
  <c r="S136" i="3"/>
  <c r="F19" i="4" s="1"/>
  <c r="T136" i="3"/>
  <c r="AA135" i="3"/>
  <c r="W135" i="3"/>
  <c r="Y265" i="3"/>
  <c r="Z264" i="3"/>
  <c r="Y266" i="3" l="1"/>
  <c r="X267" i="3"/>
  <c r="O266" i="1"/>
  <c r="H137" i="3"/>
  <c r="I137" i="3" s="1"/>
  <c r="V136" i="3"/>
  <c r="W136" i="3" s="1"/>
  <c r="H19" i="4" s="1"/>
  <c r="G19" i="4"/>
  <c r="P135" i="1"/>
  <c r="AA136" i="3"/>
  <c r="AD135" i="3"/>
  <c r="AB135" i="3"/>
  <c r="Z267" i="3" l="1"/>
  <c r="X268" i="3"/>
  <c r="O267" i="1"/>
  <c r="T137" i="3"/>
  <c r="S137" i="3"/>
  <c r="F20" i="4" s="1"/>
  <c r="AC136" i="3"/>
  <c r="P136" i="1"/>
  <c r="AD136" i="3"/>
  <c r="Y267" i="3"/>
  <c r="Z266" i="3"/>
  <c r="AB136" i="3"/>
  <c r="AC135" i="3"/>
  <c r="Y268" i="3" l="1"/>
  <c r="Z268" i="3"/>
  <c r="X269" i="3"/>
  <c r="O268" i="1"/>
  <c r="H138" i="3"/>
  <c r="I138" i="3" s="1"/>
  <c r="V137" i="3"/>
  <c r="G20" i="4"/>
  <c r="X270" i="3" l="1"/>
  <c r="O269" i="1"/>
  <c r="T138" i="3"/>
  <c r="S138" i="3"/>
  <c r="AA137" i="3"/>
  <c r="W137" i="3"/>
  <c r="H20" i="4" s="1"/>
  <c r="Y269" i="3"/>
  <c r="Z270" i="3" l="1"/>
  <c r="X271" i="3"/>
  <c r="O270" i="1"/>
  <c r="H139" i="3"/>
  <c r="I139" i="3" s="1"/>
  <c r="V138" i="3"/>
  <c r="W138" i="3" s="1"/>
  <c r="P137" i="1"/>
  <c r="AA138" i="3"/>
  <c r="AD137" i="3"/>
  <c r="AB137" i="3"/>
  <c r="Y270" i="3"/>
  <c r="Z269" i="3"/>
  <c r="Y271" i="3" l="1"/>
  <c r="Z271" i="3"/>
  <c r="X272" i="3"/>
  <c r="O271" i="1"/>
  <c r="S139" i="3"/>
  <c r="T139" i="3"/>
  <c r="AD138" i="3"/>
  <c r="AC138" i="3"/>
  <c r="P138" i="1"/>
  <c r="AB138" i="3"/>
  <c r="AC137" i="3"/>
  <c r="X273" i="3" l="1"/>
  <c r="O272" i="1"/>
  <c r="H140" i="3"/>
  <c r="I140" i="3" s="1"/>
  <c r="V139" i="3"/>
  <c r="Y272" i="3"/>
  <c r="Z273" i="3" l="1"/>
  <c r="X274" i="3"/>
  <c r="O273" i="1"/>
  <c r="T140" i="3"/>
  <c r="S140" i="3"/>
  <c r="AA139" i="3"/>
  <c r="W139" i="3"/>
  <c r="Y273" i="3"/>
  <c r="Z272" i="3"/>
  <c r="Y274" i="3" l="1"/>
  <c r="Z274" i="3"/>
  <c r="X275" i="3"/>
  <c r="O274" i="1"/>
  <c r="H141" i="3"/>
  <c r="I141" i="3" s="1"/>
  <c r="V140" i="3"/>
  <c r="W140" i="3" s="1"/>
  <c r="AD139" i="3"/>
  <c r="P139" i="1"/>
  <c r="AA140" i="3"/>
  <c r="AB139" i="3"/>
  <c r="O275" i="1" l="1"/>
  <c r="X276" i="3"/>
  <c r="T141" i="3"/>
  <c r="S141" i="3"/>
  <c r="P140" i="1"/>
  <c r="AD140" i="3"/>
  <c r="AC140" i="3"/>
  <c r="Y275" i="3"/>
  <c r="AB140" i="3"/>
  <c r="AC139" i="3"/>
  <c r="Z276" i="3" l="1"/>
  <c r="X277" i="3"/>
  <c r="O276" i="1"/>
  <c r="H142" i="3"/>
  <c r="I142" i="3" s="1"/>
  <c r="V141" i="3"/>
  <c r="Y276" i="3"/>
  <c r="Z275" i="3"/>
  <c r="Y277" i="3" l="1"/>
  <c r="X278" i="3"/>
  <c r="O277" i="1"/>
  <c r="T142" i="3"/>
  <c r="S142" i="3"/>
  <c r="AA141" i="3"/>
  <c r="W141" i="3"/>
  <c r="X279" i="3" l="1"/>
  <c r="Z278" i="3"/>
  <c r="O278" i="1"/>
  <c r="H143" i="3"/>
  <c r="I143" i="3" s="1"/>
  <c r="V142" i="3"/>
  <c r="W142" i="3" s="1"/>
  <c r="P141" i="1"/>
  <c r="AA142" i="3"/>
  <c r="AD141" i="3"/>
  <c r="AB141" i="3"/>
  <c r="Y278" i="3"/>
  <c r="Z277" i="3"/>
  <c r="Y279" i="3" l="1"/>
  <c r="X280" i="3"/>
  <c r="O279" i="1"/>
  <c r="T143" i="3"/>
  <c r="S143" i="3"/>
  <c r="AC142" i="3"/>
  <c r="AD142" i="3"/>
  <c r="P142" i="1"/>
  <c r="AB142" i="3"/>
  <c r="AC141" i="3"/>
  <c r="O280" i="1" l="1"/>
  <c r="Z280" i="3"/>
  <c r="X281" i="3"/>
  <c r="H144" i="3"/>
  <c r="I144" i="3" s="1"/>
  <c r="V143" i="3"/>
  <c r="Y280" i="3"/>
  <c r="Z279" i="3"/>
  <c r="Y281" i="3" l="1"/>
  <c r="Z281" i="3"/>
  <c r="X282" i="3"/>
  <c r="O281" i="1"/>
  <c r="S144" i="3"/>
  <c r="T144" i="3"/>
  <c r="AA143" i="3"/>
  <c r="W143" i="3"/>
  <c r="X283" i="3" l="1"/>
  <c r="O282" i="1"/>
  <c r="Z282" i="3"/>
  <c r="H145" i="3"/>
  <c r="I145" i="3" s="1"/>
  <c r="V144" i="3"/>
  <c r="W144" i="3" s="1"/>
  <c r="P143" i="1"/>
  <c r="AA144" i="3"/>
  <c r="AD143" i="3"/>
  <c r="AB143" i="3"/>
  <c r="Y282" i="3"/>
  <c r="X284" i="3" l="1"/>
  <c r="O283" i="1"/>
  <c r="T145" i="3"/>
  <c r="S145" i="3"/>
  <c r="AC144" i="3"/>
  <c r="P144" i="1"/>
  <c r="AD144" i="3"/>
  <c r="D17" i="1"/>
  <c r="Y283" i="3"/>
  <c r="AB144" i="3"/>
  <c r="AC143" i="3"/>
  <c r="Z284" i="3" l="1"/>
  <c r="X285" i="3"/>
  <c r="O284" i="1"/>
  <c r="H146" i="3"/>
  <c r="I146" i="3" s="1"/>
  <c r="V145" i="3"/>
  <c r="E17" i="1"/>
  <c r="G17" i="1"/>
  <c r="Y284" i="3"/>
  <c r="Z283" i="3"/>
  <c r="Y285" i="3" l="1"/>
  <c r="O285" i="1"/>
  <c r="X286" i="3"/>
  <c r="S146" i="3"/>
  <c r="T146" i="3"/>
  <c r="AA145" i="3"/>
  <c r="W145" i="3"/>
  <c r="Z286" i="3" l="1"/>
  <c r="X287" i="3"/>
  <c r="O286" i="1"/>
  <c r="H147" i="3"/>
  <c r="I147" i="3" s="1"/>
  <c r="V146" i="3"/>
  <c r="W146" i="3" s="1"/>
  <c r="AD145" i="3"/>
  <c r="P145" i="1"/>
  <c r="AA146" i="3"/>
  <c r="AB145" i="3"/>
  <c r="Y286" i="3"/>
  <c r="Z285" i="3"/>
  <c r="Y287" i="3" l="1"/>
  <c r="X288" i="3"/>
  <c r="O287" i="1"/>
  <c r="T147" i="3"/>
  <c r="S147" i="3"/>
  <c r="F21" i="4" s="1"/>
  <c r="AC146" i="3"/>
  <c r="AD146" i="3"/>
  <c r="P146" i="1"/>
  <c r="AB146" i="3"/>
  <c r="AC145" i="3"/>
  <c r="O288" i="1" l="1"/>
  <c r="Z288" i="3"/>
  <c r="X289" i="3"/>
  <c r="H148" i="3"/>
  <c r="I148" i="3" s="1"/>
  <c r="V147" i="3"/>
  <c r="G21" i="4"/>
  <c r="Y288" i="3"/>
  <c r="Z287" i="3"/>
  <c r="Y289" i="3" l="1"/>
  <c r="O289" i="1"/>
  <c r="X290" i="3"/>
  <c r="S148" i="3"/>
  <c r="T148" i="3"/>
  <c r="AA147" i="3"/>
  <c r="W147" i="3"/>
  <c r="H21" i="4" s="1"/>
  <c r="Z290" i="3" l="1"/>
  <c r="X291" i="3"/>
  <c r="O290" i="1"/>
  <c r="H149" i="3"/>
  <c r="I149" i="3" s="1"/>
  <c r="V148" i="3"/>
  <c r="W148" i="3" s="1"/>
  <c r="AA148" i="3"/>
  <c r="P147" i="1"/>
  <c r="AD147" i="3"/>
  <c r="AB147" i="3"/>
  <c r="Y290" i="3"/>
  <c r="Z289" i="3"/>
  <c r="Y291" i="3" l="1"/>
  <c r="Z291" i="3" s="1"/>
  <c r="O291" i="1"/>
  <c r="X292" i="3"/>
  <c r="T149" i="3"/>
  <c r="S149" i="3"/>
  <c r="F22" i="4" s="1"/>
  <c r="AC148" i="3"/>
  <c r="AD148" i="3"/>
  <c r="P148" i="1"/>
  <c r="AB148" i="3"/>
  <c r="AC147" i="3"/>
  <c r="X293" i="3" l="1"/>
  <c r="O292" i="1"/>
  <c r="H150" i="3"/>
  <c r="I150" i="3" s="1"/>
  <c r="V149" i="3"/>
  <c r="G22" i="4"/>
  <c r="Y292" i="3"/>
  <c r="O293" i="1" l="1"/>
  <c r="Z293" i="3"/>
  <c r="X294" i="3"/>
  <c r="S150" i="3"/>
  <c r="F23" i="4" s="1"/>
  <c r="T150" i="3"/>
  <c r="AA149" i="3"/>
  <c r="W149" i="3"/>
  <c r="H22" i="4" s="1"/>
  <c r="Y293" i="3"/>
  <c r="Z292" i="3"/>
  <c r="Y294" i="3" l="1"/>
  <c r="X295" i="3"/>
  <c r="O294" i="1"/>
  <c r="Z294" i="3"/>
  <c r="H151" i="3"/>
  <c r="I151" i="3" s="1"/>
  <c r="G23" i="4"/>
  <c r="V150" i="3"/>
  <c r="P149" i="1"/>
  <c r="AD149" i="3"/>
  <c r="AB149" i="3"/>
  <c r="AC149" i="3" s="1"/>
  <c r="O295" i="1" l="1"/>
  <c r="X296" i="3"/>
  <c r="S151" i="3"/>
  <c r="T151" i="3"/>
  <c r="Y295" i="3"/>
  <c r="W150" i="3"/>
  <c r="H23" i="4" s="1"/>
  <c r="AA150" i="3"/>
  <c r="Z296" i="3" l="1"/>
  <c r="X297" i="3"/>
  <c r="O296" i="1"/>
  <c r="H152" i="3"/>
  <c r="I152" i="3" s="1"/>
  <c r="V151" i="3"/>
  <c r="W151" i="3" s="1"/>
  <c r="P150" i="1"/>
  <c r="AD150" i="3"/>
  <c r="AA151" i="3"/>
  <c r="AB150" i="3"/>
  <c r="Y296" i="3"/>
  <c r="Z295" i="3"/>
  <c r="Y297" i="3" l="1"/>
  <c r="O297" i="1"/>
  <c r="X298" i="3"/>
  <c r="T152" i="3"/>
  <c r="S152" i="3"/>
  <c r="AD151" i="3"/>
  <c r="P151" i="1"/>
  <c r="AC151" i="3"/>
  <c r="AB151" i="3"/>
  <c r="AC150" i="3"/>
  <c r="O298" i="1" l="1"/>
  <c r="Z298" i="3"/>
  <c r="X299" i="3"/>
  <c r="H153" i="3"/>
  <c r="I153" i="3" s="1"/>
  <c r="V152" i="3"/>
  <c r="Y298" i="3"/>
  <c r="Z297" i="3"/>
  <c r="Y299" i="3" l="1"/>
  <c r="O299" i="1"/>
  <c r="Z299" i="3"/>
  <c r="X300" i="3"/>
  <c r="T153" i="3"/>
  <c r="S153" i="3"/>
  <c r="F24" i="4" s="1"/>
  <c r="AA152" i="3"/>
  <c r="W152" i="3"/>
  <c r="Z300" i="3" l="1"/>
  <c r="X301" i="3"/>
  <c r="O300" i="1"/>
  <c r="H154" i="3"/>
  <c r="I154" i="3" s="1"/>
  <c r="V153" i="3"/>
  <c r="W153" i="3" s="1"/>
  <c r="H24" i="4" s="1"/>
  <c r="G24" i="4"/>
  <c r="P152" i="1"/>
  <c r="AD152" i="3"/>
  <c r="AA153" i="3"/>
  <c r="AB152" i="3"/>
  <c r="Y300" i="3"/>
  <c r="X302" i="3" l="1"/>
  <c r="O301" i="1"/>
  <c r="T154" i="3"/>
  <c r="S154" i="3"/>
  <c r="AC153" i="3"/>
  <c r="P153" i="1"/>
  <c r="AD153" i="3"/>
  <c r="Y301" i="3"/>
  <c r="AB153" i="3"/>
  <c r="AC152" i="3"/>
  <c r="O302" i="1" l="1"/>
  <c r="Z302" i="3"/>
  <c r="X303" i="3"/>
  <c r="H155" i="3"/>
  <c r="I155" i="3" s="1"/>
  <c r="V154" i="3"/>
  <c r="Y302" i="3"/>
  <c r="Z301" i="3"/>
  <c r="Y303" i="3" l="1"/>
  <c r="O303" i="1"/>
  <c r="Z303" i="3"/>
  <c r="X304" i="3"/>
  <c r="T155" i="3"/>
  <c r="S155" i="3"/>
  <c r="AA154" i="3"/>
  <c r="W154" i="3"/>
  <c r="X305" i="3" l="1"/>
  <c r="O304" i="1"/>
  <c r="H156" i="3"/>
  <c r="I156" i="3" s="1"/>
  <c r="V155" i="3"/>
  <c r="W155" i="3" s="1"/>
  <c r="AA155" i="3"/>
  <c r="P154" i="1"/>
  <c r="AD154" i="3"/>
  <c r="AB154" i="3"/>
  <c r="Y304" i="3"/>
  <c r="O305" i="1" l="1"/>
  <c r="Z305" i="3"/>
  <c r="X306" i="3"/>
  <c r="T156" i="3"/>
  <c r="S156" i="3"/>
  <c r="AC155" i="3"/>
  <c r="AD155" i="3"/>
  <c r="P155" i="1"/>
  <c r="AB155" i="3"/>
  <c r="AC154" i="3"/>
  <c r="Y305" i="3"/>
  <c r="Z304" i="3"/>
  <c r="Y306" i="3" l="1"/>
  <c r="X307" i="3"/>
  <c r="O306" i="1"/>
  <c r="H157" i="3"/>
  <c r="I157" i="3" s="1"/>
  <c r="V156" i="3"/>
  <c r="X308" i="3" l="1"/>
  <c r="O307" i="1"/>
  <c r="Z307" i="3"/>
  <c r="T157" i="3"/>
  <c r="S157" i="3"/>
  <c r="AA156" i="3"/>
  <c r="W156" i="3"/>
  <c r="Y307" i="3"/>
  <c r="Z306" i="3"/>
  <c r="Y308" i="3" l="1"/>
  <c r="X309" i="3"/>
  <c r="O308" i="1"/>
  <c r="H158" i="3"/>
  <c r="I158" i="3" s="1"/>
  <c r="V157" i="3"/>
  <c r="W157" i="3" s="1"/>
  <c r="P156" i="1"/>
  <c r="AD156" i="3"/>
  <c r="AA157" i="3"/>
  <c r="AB156" i="3"/>
  <c r="X310" i="3" l="1"/>
  <c r="Z309" i="3"/>
  <c r="O309" i="1"/>
  <c r="T158" i="3"/>
  <c r="S158" i="3"/>
  <c r="AC157" i="3"/>
  <c r="AD157" i="3"/>
  <c r="P157" i="1"/>
  <c r="Y309" i="3"/>
  <c r="Z308" i="3"/>
  <c r="AB157" i="3"/>
  <c r="AC156" i="3"/>
  <c r="Y310" i="3" l="1"/>
  <c r="X311" i="3"/>
  <c r="O310" i="1"/>
  <c r="H159" i="3"/>
  <c r="I159" i="3" s="1"/>
  <c r="V158" i="3"/>
  <c r="Z311" i="3" l="1"/>
  <c r="X312" i="3"/>
  <c r="O311" i="1"/>
  <c r="T159" i="3"/>
  <c r="S159" i="3"/>
  <c r="AA158" i="3"/>
  <c r="W158" i="3"/>
  <c r="Y311" i="3"/>
  <c r="Z310" i="3"/>
  <c r="Y312" i="3" l="1"/>
  <c r="Z312" i="3"/>
  <c r="X313" i="3"/>
  <c r="O312" i="1"/>
  <c r="H160" i="3"/>
  <c r="I160" i="3" s="1"/>
  <c r="V159" i="3"/>
  <c r="W159" i="3" s="1"/>
  <c r="P158" i="1"/>
  <c r="AD158" i="3"/>
  <c r="AA159" i="3"/>
  <c r="AB158" i="3"/>
  <c r="X314" i="3" l="1"/>
  <c r="O313" i="1"/>
  <c r="S160" i="3"/>
  <c r="T160" i="3"/>
  <c r="AC159" i="3"/>
  <c r="AD159" i="3"/>
  <c r="P159" i="1"/>
  <c r="Y313" i="3"/>
  <c r="AB159" i="3"/>
  <c r="AC158" i="3"/>
  <c r="Z314" i="3" l="1"/>
  <c r="X315" i="3"/>
  <c r="O314" i="1"/>
  <c r="H161" i="3"/>
  <c r="I161" i="3" s="1"/>
  <c r="V160" i="3"/>
  <c r="Y314" i="3"/>
  <c r="Z313" i="3"/>
  <c r="Y315" i="3" l="1"/>
  <c r="X316" i="3"/>
  <c r="O315" i="1"/>
  <c r="S161" i="3"/>
  <c r="T161" i="3"/>
  <c r="AA160" i="3"/>
  <c r="W160" i="3"/>
  <c r="O316" i="1" l="1"/>
  <c r="Z316" i="3"/>
  <c r="X317" i="3"/>
  <c r="H162" i="3"/>
  <c r="I162" i="3" s="1"/>
  <c r="V161" i="3"/>
  <c r="W161" i="3" s="1"/>
  <c r="AA161" i="3"/>
  <c r="AD160" i="3"/>
  <c r="P160" i="1"/>
  <c r="AB160" i="3"/>
  <c r="Y316" i="3"/>
  <c r="Z315" i="3"/>
  <c r="Y317" i="3" l="1"/>
  <c r="Z317" i="3"/>
  <c r="X318" i="3"/>
  <c r="O317" i="1"/>
  <c r="T162" i="3"/>
  <c r="S162" i="3"/>
  <c r="P161" i="1"/>
  <c r="AD161" i="3"/>
  <c r="AC161" i="3"/>
  <c r="AB161" i="3"/>
  <c r="AC160" i="3"/>
  <c r="X319" i="3" l="1"/>
  <c r="O318" i="1"/>
  <c r="H163" i="3"/>
  <c r="I163" i="3" s="1"/>
  <c r="V162" i="3"/>
  <c r="Y318" i="3"/>
  <c r="Z319" i="3" l="1"/>
  <c r="X320" i="3"/>
  <c r="O319" i="1"/>
  <c r="T163" i="3"/>
  <c r="S163" i="3"/>
  <c r="F25" i="4" s="1"/>
  <c r="AA162" i="3"/>
  <c r="W162" i="3"/>
  <c r="Y319" i="3"/>
  <c r="Z318" i="3"/>
  <c r="Y320" i="3" l="1"/>
  <c r="X321" i="3"/>
  <c r="O320" i="1"/>
  <c r="H164" i="3"/>
  <c r="I164" i="3" s="1"/>
  <c r="V163" i="3"/>
  <c r="W163" i="3" s="1"/>
  <c r="H25" i="4" s="1"/>
  <c r="G25" i="4"/>
  <c r="AD162" i="3"/>
  <c r="P162" i="1"/>
  <c r="AA163" i="3"/>
  <c r="AB162" i="3"/>
  <c r="Z321" i="3" l="1"/>
  <c r="X322" i="3"/>
  <c r="O321" i="1"/>
  <c r="T164" i="3"/>
  <c r="S164" i="3"/>
  <c r="F26" i="4" s="1"/>
  <c r="P163" i="1"/>
  <c r="AC163" i="3"/>
  <c r="AD163" i="3"/>
  <c r="Y321" i="3"/>
  <c r="Z320" i="3"/>
  <c r="AB163" i="3"/>
  <c r="AC162" i="3"/>
  <c r="Y322" i="3" l="1"/>
  <c r="O322" i="1"/>
  <c r="X323" i="3"/>
  <c r="H165" i="3"/>
  <c r="I165" i="3" s="1"/>
  <c r="V164" i="3"/>
  <c r="G26" i="4"/>
  <c r="Z323" i="3" l="1"/>
  <c r="X324" i="3"/>
  <c r="O323" i="1"/>
  <c r="T165" i="3"/>
  <c r="S165" i="3"/>
  <c r="AA164" i="3"/>
  <c r="W164" i="3"/>
  <c r="H26" i="4" s="1"/>
  <c r="Y323" i="3"/>
  <c r="Z322" i="3"/>
  <c r="Y324" i="3" l="1"/>
  <c r="Z324" i="3"/>
  <c r="X325" i="3"/>
  <c r="O324" i="1"/>
  <c r="H166" i="3"/>
  <c r="I166" i="3" s="1"/>
  <c r="V165" i="3"/>
  <c r="W165" i="3" s="1"/>
  <c r="P164" i="1"/>
  <c r="AD164" i="3"/>
  <c r="AA165" i="3"/>
  <c r="AB164" i="3"/>
  <c r="X326" i="3" l="1"/>
  <c r="O325" i="1"/>
  <c r="S166" i="3"/>
  <c r="T166" i="3"/>
  <c r="AD165" i="3"/>
  <c r="P165" i="1"/>
  <c r="AC165" i="3"/>
  <c r="Y325" i="3"/>
  <c r="AB165" i="3"/>
  <c r="AC164" i="3"/>
  <c r="Z326" i="3" l="1"/>
  <c r="X327" i="3"/>
  <c r="O326" i="1"/>
  <c r="H167" i="3"/>
  <c r="I167" i="3" s="1"/>
  <c r="V166" i="3"/>
  <c r="Y326" i="3"/>
  <c r="Z325" i="3"/>
  <c r="Y327" i="3" l="1"/>
  <c r="X328" i="3"/>
  <c r="O327" i="1"/>
  <c r="T167" i="3"/>
  <c r="S167" i="3"/>
  <c r="AA166" i="3"/>
  <c r="W166" i="3"/>
  <c r="Z328" i="3" l="1"/>
  <c r="X329" i="3"/>
  <c r="O328" i="1"/>
  <c r="H168" i="3"/>
  <c r="I168" i="3" s="1"/>
  <c r="V167" i="3"/>
  <c r="W167" i="3" s="1"/>
  <c r="AA167" i="3"/>
  <c r="AD166" i="3"/>
  <c r="P166" i="1"/>
  <c r="AB166" i="3"/>
  <c r="Y328" i="3"/>
  <c r="Z327" i="3"/>
  <c r="Y329" i="3" l="1"/>
  <c r="X330" i="3"/>
  <c r="O329" i="1"/>
  <c r="T168" i="3"/>
  <c r="S168" i="3"/>
  <c r="AC167" i="3"/>
  <c r="P167" i="1"/>
  <c r="AD167" i="3"/>
  <c r="AB167" i="3"/>
  <c r="AC166" i="3"/>
  <c r="Z330" i="3" l="1"/>
  <c r="X331" i="3"/>
  <c r="O330" i="1"/>
  <c r="H169" i="3"/>
  <c r="I169" i="3" s="1"/>
  <c r="V168" i="3"/>
  <c r="Y330" i="3"/>
  <c r="Z329" i="3"/>
  <c r="Y331" i="3" l="1"/>
  <c r="X332" i="3"/>
  <c r="O331" i="1"/>
  <c r="T169" i="3"/>
  <c r="S169" i="3"/>
  <c r="AA168" i="3"/>
  <c r="W168" i="3"/>
  <c r="Z332" i="3" l="1"/>
  <c r="X333" i="3"/>
  <c r="O332" i="1"/>
  <c r="H170" i="3"/>
  <c r="I170" i="3" s="1"/>
  <c r="V169" i="3"/>
  <c r="W169" i="3" s="1"/>
  <c r="AA169" i="3"/>
  <c r="AD168" i="3"/>
  <c r="P168" i="1"/>
  <c r="AB168" i="3"/>
  <c r="Y332" i="3"/>
  <c r="Z331" i="3"/>
  <c r="Y333" i="3" l="1"/>
  <c r="X334" i="3"/>
  <c r="O333" i="1"/>
  <c r="T170" i="3"/>
  <c r="S170" i="3"/>
  <c r="AD169" i="3"/>
  <c r="P169" i="1"/>
  <c r="AC169" i="3"/>
  <c r="AB169" i="3"/>
  <c r="AC168" i="3"/>
  <c r="Z334" i="3" l="1"/>
  <c r="X335" i="3"/>
  <c r="O334" i="1"/>
  <c r="H171" i="3"/>
  <c r="I171" i="3" s="1"/>
  <c r="V170" i="3"/>
  <c r="Y334" i="3"/>
  <c r="Z333" i="3"/>
  <c r="Y335" i="3" l="1"/>
  <c r="X336" i="3"/>
  <c r="O335" i="1"/>
  <c r="T171" i="3"/>
  <c r="S171" i="3"/>
  <c r="AA170" i="3"/>
  <c r="W170" i="3"/>
  <c r="Z336" i="3" l="1"/>
  <c r="X337" i="3"/>
  <c r="O336" i="1"/>
  <c r="H172" i="3"/>
  <c r="I172" i="3" s="1"/>
  <c r="V171" i="3"/>
  <c r="W171" i="3" s="1"/>
  <c r="P170" i="1"/>
  <c r="AD170" i="3"/>
  <c r="AA171" i="3"/>
  <c r="AB170" i="3"/>
  <c r="Y336" i="3"/>
  <c r="Z335" i="3"/>
  <c r="Y337" i="3" l="1"/>
  <c r="X338" i="3"/>
  <c r="O337" i="1"/>
  <c r="S172" i="3"/>
  <c r="T172" i="3"/>
  <c r="AD171" i="3"/>
  <c r="P171" i="1"/>
  <c r="AC171" i="3"/>
  <c r="AB171" i="3"/>
  <c r="AC170" i="3"/>
  <c r="Z338" i="3" l="1"/>
  <c r="X339" i="3"/>
  <c r="O338" i="1"/>
  <c r="H173" i="3"/>
  <c r="I173" i="3" s="1"/>
  <c r="V172" i="3"/>
  <c r="Y338" i="3"/>
  <c r="Z337" i="3"/>
  <c r="Y339" i="3" l="1"/>
  <c r="X340" i="3"/>
  <c r="O339" i="1"/>
  <c r="T173" i="3"/>
  <c r="S173" i="3"/>
  <c r="AA172" i="3"/>
  <c r="W172" i="3"/>
  <c r="Z340" i="3" l="1"/>
  <c r="X341" i="3"/>
  <c r="O340" i="1"/>
  <c r="H174" i="3"/>
  <c r="I174" i="3" s="1"/>
  <c r="V173" i="3"/>
  <c r="W173" i="3" s="1"/>
  <c r="P172" i="1"/>
  <c r="AD172" i="3"/>
  <c r="AA173" i="3"/>
  <c r="AB172" i="3"/>
  <c r="Y340" i="3"/>
  <c r="Z339" i="3"/>
  <c r="Y341" i="3" l="1"/>
  <c r="Z341" i="3"/>
  <c r="X342" i="3"/>
  <c r="O341" i="1"/>
  <c r="T174" i="3"/>
  <c r="S174" i="3"/>
  <c r="AC173" i="3"/>
  <c r="P173" i="1"/>
  <c r="AD173" i="3"/>
  <c r="AB173" i="3"/>
  <c r="AC172" i="3"/>
  <c r="X343" i="3" l="1"/>
  <c r="O342" i="1"/>
  <c r="H175" i="3"/>
  <c r="I175" i="3" s="1"/>
  <c r="V174" i="3"/>
  <c r="Y342" i="3"/>
  <c r="Z343" i="3" l="1"/>
  <c r="X344" i="3"/>
  <c r="O343" i="1"/>
  <c r="T175" i="3"/>
  <c r="S175" i="3"/>
  <c r="AA174" i="3"/>
  <c r="W174" i="3"/>
  <c r="Y343" i="3"/>
  <c r="Z342" i="3"/>
  <c r="Y344" i="3" l="1"/>
  <c r="Y345" i="3" s="1"/>
  <c r="O344" i="1"/>
  <c r="Z344" i="3"/>
  <c r="X345" i="3"/>
  <c r="H176" i="3"/>
  <c r="I176" i="3" s="1"/>
  <c r="V175" i="3"/>
  <c r="W175" i="3" s="1"/>
  <c r="P174" i="1"/>
  <c r="AA175" i="3"/>
  <c r="AD174" i="3"/>
  <c r="AB174" i="3"/>
  <c r="Z345" i="3" l="1"/>
  <c r="X346" i="3"/>
  <c r="O345" i="1"/>
  <c r="T176" i="3"/>
  <c r="S176" i="3"/>
  <c r="AC175" i="3"/>
  <c r="AD175" i="3"/>
  <c r="P175" i="1"/>
  <c r="AB175" i="3"/>
  <c r="AC174" i="3"/>
  <c r="Y346" i="3" l="1"/>
  <c r="Z346" i="3"/>
  <c r="X347" i="3"/>
  <c r="O346" i="1"/>
  <c r="H177" i="3"/>
  <c r="I177" i="3" s="1"/>
  <c r="V176" i="3"/>
  <c r="X348" i="3" l="1"/>
  <c r="O347" i="1"/>
  <c r="T177" i="3"/>
  <c r="S177" i="3"/>
  <c r="AA176" i="3"/>
  <c r="W176" i="3"/>
  <c r="Y347" i="3"/>
  <c r="Z348" i="3" l="1"/>
  <c r="X349" i="3"/>
  <c r="O348" i="1"/>
  <c r="H178" i="3"/>
  <c r="I178" i="3" s="1"/>
  <c r="V177" i="3"/>
  <c r="W177" i="3" s="1"/>
  <c r="AD176" i="3"/>
  <c r="P176" i="1"/>
  <c r="AA177" i="3"/>
  <c r="AB176" i="3"/>
  <c r="Y348" i="3"/>
  <c r="Z347" i="3"/>
  <c r="Y349" i="3" l="1"/>
  <c r="Z349" i="3"/>
  <c r="X350" i="3"/>
  <c r="O349" i="1"/>
  <c r="T178" i="3"/>
  <c r="S178" i="3"/>
  <c r="AC177" i="3"/>
  <c r="P177" i="1"/>
  <c r="AD177" i="3"/>
  <c r="AB177" i="3"/>
  <c r="AC176" i="3"/>
  <c r="X351" i="3" l="1"/>
  <c r="O350" i="1"/>
  <c r="H179" i="3"/>
  <c r="I179" i="3" s="1"/>
  <c r="V178" i="3"/>
  <c r="Y350" i="3"/>
  <c r="Z351" i="3" l="1"/>
  <c r="X352" i="3"/>
  <c r="O351" i="1"/>
  <c r="T179" i="3"/>
  <c r="S179" i="3"/>
  <c r="AA178" i="3"/>
  <c r="W178" i="3"/>
  <c r="Y351" i="3"/>
  <c r="Z350" i="3"/>
  <c r="Y352" i="3" l="1"/>
  <c r="Z352" i="3"/>
  <c r="X353" i="3"/>
  <c r="O352" i="1"/>
  <c r="H180" i="3"/>
  <c r="I180" i="3" s="1"/>
  <c r="V179" i="3"/>
  <c r="AD178" i="3"/>
  <c r="P178" i="1"/>
  <c r="AB178" i="3"/>
  <c r="AC178" i="3" s="1"/>
  <c r="X354" i="3" l="1"/>
  <c r="O353" i="1"/>
  <c r="S180" i="3"/>
  <c r="T180" i="3"/>
  <c r="Y353" i="3"/>
  <c r="W179" i="3"/>
  <c r="AA179" i="3"/>
  <c r="Z354" i="3" l="1"/>
  <c r="X355" i="3"/>
  <c r="O354" i="1"/>
  <c r="H181" i="3"/>
  <c r="I181" i="3" s="1"/>
  <c r="V180" i="3"/>
  <c r="W180" i="3" s="1"/>
  <c r="P179" i="1"/>
  <c r="AD179" i="3"/>
  <c r="AA180" i="3"/>
  <c r="AB179" i="3"/>
  <c r="Y354" i="3"/>
  <c r="Z353" i="3"/>
  <c r="Y355" i="3" l="1"/>
  <c r="X356" i="3"/>
  <c r="O355" i="1"/>
  <c r="S181" i="3"/>
  <c r="T181" i="3"/>
  <c r="AC180" i="3"/>
  <c r="AD180" i="3"/>
  <c r="P180" i="1"/>
  <c r="AB180" i="3"/>
  <c r="AC179" i="3"/>
  <c r="Z356" i="3" l="1"/>
  <c r="X357" i="3"/>
  <c r="O356" i="1"/>
  <c r="H182" i="3"/>
  <c r="I182" i="3" s="1"/>
  <c r="V181" i="3"/>
  <c r="Y356" i="3"/>
  <c r="Z355" i="3"/>
  <c r="Y357" i="3" l="1"/>
  <c r="X358" i="3"/>
  <c r="O357" i="1"/>
  <c r="S182" i="3"/>
  <c r="T182" i="3"/>
  <c r="AA181" i="3"/>
  <c r="W181" i="3"/>
  <c r="Z358" i="3" l="1"/>
  <c r="X359" i="3"/>
  <c r="O358" i="1"/>
  <c r="H183" i="3"/>
  <c r="I183" i="3" s="1"/>
  <c r="V182" i="3"/>
  <c r="W182" i="3" s="1"/>
  <c r="P181" i="1"/>
  <c r="AA182" i="3"/>
  <c r="AD181" i="3"/>
  <c r="AB181" i="3"/>
  <c r="Y358" i="3"/>
  <c r="Z357" i="3"/>
  <c r="Y359" i="3" l="1"/>
  <c r="Z359" i="3"/>
  <c r="X360" i="3"/>
  <c r="O359" i="1"/>
  <c r="T183" i="3"/>
  <c r="S183" i="3"/>
  <c r="AD182" i="3"/>
  <c r="AC182" i="3"/>
  <c r="P182" i="1"/>
  <c r="AB182" i="3"/>
  <c r="AC181" i="3"/>
  <c r="X361" i="3" l="1"/>
  <c r="O360" i="1"/>
  <c r="H184" i="3"/>
  <c r="I184" i="3" s="1"/>
  <c r="V183" i="3"/>
  <c r="Y360" i="3"/>
  <c r="Z361" i="3" l="1"/>
  <c r="X362" i="3"/>
  <c r="O361" i="1"/>
  <c r="T184" i="3"/>
  <c r="S184" i="3"/>
  <c r="AA183" i="3"/>
  <c r="W183" i="3"/>
  <c r="Y361" i="3"/>
  <c r="Z360" i="3"/>
  <c r="Y362" i="3" l="1"/>
  <c r="Z362" i="3"/>
  <c r="X363" i="3"/>
  <c r="O362" i="1"/>
  <c r="H185" i="3"/>
  <c r="I185" i="3" s="1"/>
  <c r="V184" i="3"/>
  <c r="P183" i="1"/>
  <c r="AD183" i="3"/>
  <c r="AB183" i="3"/>
  <c r="AC183" i="3" s="1"/>
  <c r="X364" i="3" l="1"/>
  <c r="O363" i="1"/>
  <c r="T185" i="3"/>
  <c r="S185" i="3"/>
  <c r="F27" i="4" s="1"/>
  <c r="Y363" i="3"/>
  <c r="W184" i="3"/>
  <c r="AA184" i="3"/>
  <c r="Z364" i="3" l="1"/>
  <c r="X365" i="3"/>
  <c r="O364" i="1"/>
  <c r="H186" i="3"/>
  <c r="I186" i="3" s="1"/>
  <c r="V185" i="3"/>
  <c r="W185" i="3" s="1"/>
  <c r="H27" i="4" s="1"/>
  <c r="G27" i="4"/>
  <c r="P184" i="1"/>
  <c r="AA185" i="3"/>
  <c r="AD184" i="3"/>
  <c r="AB184" i="3"/>
  <c r="Y364" i="3"/>
  <c r="Z363" i="3"/>
  <c r="Y365" i="3" l="1"/>
  <c r="X366" i="3"/>
  <c r="O365" i="1"/>
  <c r="T186" i="3"/>
  <c r="S186" i="3"/>
  <c r="AC185" i="3"/>
  <c r="P185" i="1"/>
  <c r="AD185" i="3"/>
  <c r="AB185" i="3"/>
  <c r="AC184" i="3"/>
  <c r="Z366" i="3" l="1"/>
  <c r="X367" i="3"/>
  <c r="O366" i="1"/>
  <c r="H187" i="3"/>
  <c r="I187" i="3" s="1"/>
  <c r="V186" i="3"/>
  <c r="Y366" i="3"/>
  <c r="Z365" i="3"/>
  <c r="Y367" i="3" l="1"/>
  <c r="Z367" i="3"/>
  <c r="X368" i="3"/>
  <c r="O367" i="1"/>
  <c r="T187" i="3"/>
  <c r="S187" i="3"/>
  <c r="AA186" i="3"/>
  <c r="W186" i="3"/>
  <c r="X369" i="3" l="1"/>
  <c r="O368" i="1"/>
  <c r="H188" i="3"/>
  <c r="I188" i="3" s="1"/>
  <c r="V187" i="3"/>
  <c r="W187" i="3" s="1"/>
  <c r="AA187" i="3"/>
  <c r="P186" i="1"/>
  <c r="AD186" i="3"/>
  <c r="AB186" i="3"/>
  <c r="Y368" i="3"/>
  <c r="Z369" i="3" l="1"/>
  <c r="X370" i="3"/>
  <c r="O369" i="1"/>
  <c r="S188" i="3"/>
  <c r="T188" i="3"/>
  <c r="AD187" i="3"/>
  <c r="P187" i="1"/>
  <c r="AC187" i="3"/>
  <c r="AB187" i="3"/>
  <c r="AC186" i="3"/>
  <c r="Y369" i="3"/>
  <c r="Z368" i="3"/>
  <c r="Y370" i="3" l="1"/>
  <c r="X371" i="3"/>
  <c r="O370" i="1"/>
  <c r="H189" i="3"/>
  <c r="I189" i="3" s="1"/>
  <c r="V188" i="3"/>
  <c r="Z371" i="3" l="1"/>
  <c r="X372" i="3"/>
  <c r="O371" i="1"/>
  <c r="S189" i="3"/>
  <c r="T189" i="3"/>
  <c r="AA188" i="3"/>
  <c r="W188" i="3"/>
  <c r="Y371" i="3"/>
  <c r="Z370" i="3"/>
  <c r="Y372" i="3" l="1"/>
  <c r="Z372" i="3"/>
  <c r="X373" i="3"/>
  <c r="O372" i="1"/>
  <c r="H190" i="3"/>
  <c r="I190" i="3" s="1"/>
  <c r="V189" i="3"/>
  <c r="W189" i="3" s="1"/>
  <c r="P188" i="1"/>
  <c r="AA189" i="3"/>
  <c r="AD188" i="3"/>
  <c r="AB188" i="3"/>
  <c r="X374" i="3" l="1"/>
  <c r="O373" i="1"/>
  <c r="T190" i="3"/>
  <c r="S190" i="3"/>
  <c r="AD189" i="3"/>
  <c r="AC189" i="3"/>
  <c r="P189" i="1"/>
  <c r="Y373" i="3"/>
  <c r="AB189" i="3"/>
  <c r="AC188" i="3"/>
  <c r="Z374" i="3" l="1"/>
  <c r="X375" i="3"/>
  <c r="O374" i="1"/>
  <c r="H191" i="3"/>
  <c r="I191" i="3" s="1"/>
  <c r="V190" i="3"/>
  <c r="Y374" i="3"/>
  <c r="Z373" i="3"/>
  <c r="Y375" i="3" l="1"/>
  <c r="X376" i="3"/>
  <c r="O375" i="1"/>
  <c r="T191" i="3"/>
  <c r="S191" i="3"/>
  <c r="AA190" i="3"/>
  <c r="W190" i="3"/>
  <c r="Z376" i="3" l="1"/>
  <c r="X377" i="3"/>
  <c r="O376" i="1"/>
  <c r="H192" i="3"/>
  <c r="I192" i="3" s="1"/>
  <c r="V191" i="3"/>
  <c r="W191" i="3" s="1"/>
  <c r="AA191" i="3"/>
  <c r="AD190" i="3"/>
  <c r="P190" i="1"/>
  <c r="AB190" i="3"/>
  <c r="Y376" i="3"/>
  <c r="Z375" i="3"/>
  <c r="Y377" i="3" l="1"/>
  <c r="X378" i="3"/>
  <c r="O377" i="1"/>
  <c r="S192" i="3"/>
  <c r="T192" i="3"/>
  <c r="P191" i="1"/>
  <c r="AC191" i="3"/>
  <c r="AD191" i="3"/>
  <c r="AB191" i="3"/>
  <c r="AC190" i="3"/>
  <c r="Z378" i="3" l="1"/>
  <c r="X379" i="3"/>
  <c r="O378" i="1"/>
  <c r="H193" i="3"/>
  <c r="I193" i="3" s="1"/>
  <c r="V192" i="3"/>
  <c r="Y378" i="3"/>
  <c r="Z377" i="3"/>
  <c r="Y379" i="3" l="1"/>
  <c r="X380" i="3"/>
  <c r="O379" i="1"/>
  <c r="T193" i="3"/>
  <c r="S193" i="3"/>
  <c r="AA192" i="3"/>
  <c r="W192" i="3"/>
  <c r="Z380" i="3" l="1"/>
  <c r="X381" i="3"/>
  <c r="O380" i="1"/>
  <c r="H194" i="3"/>
  <c r="I194" i="3" s="1"/>
  <c r="V193" i="3"/>
  <c r="W193" i="3" s="1"/>
  <c r="P192" i="1"/>
  <c r="AD192" i="3"/>
  <c r="AA193" i="3"/>
  <c r="AB192" i="3"/>
  <c r="Y380" i="3"/>
  <c r="Z379" i="3"/>
  <c r="Y381" i="3" l="1"/>
  <c r="Z381" i="3"/>
  <c r="X382" i="3"/>
  <c r="O381" i="1"/>
  <c r="T194" i="3"/>
  <c r="S194" i="3"/>
  <c r="P193" i="1"/>
  <c r="AD193" i="3"/>
  <c r="AC193" i="3"/>
  <c r="AB193" i="3"/>
  <c r="AC192" i="3"/>
  <c r="X383" i="3" l="1"/>
  <c r="O382" i="1"/>
  <c r="H195" i="3"/>
  <c r="I195" i="3" s="1"/>
  <c r="V194" i="3"/>
  <c r="Y382" i="3"/>
  <c r="Z383" i="3" l="1"/>
  <c r="X384" i="3"/>
  <c r="O383" i="1"/>
  <c r="S195" i="3"/>
  <c r="T195" i="3"/>
  <c r="AA194" i="3"/>
  <c r="W194" i="3"/>
  <c r="Y383" i="3"/>
  <c r="Z382" i="3"/>
  <c r="Y384" i="3" l="1"/>
  <c r="Z384" i="3"/>
  <c r="X385" i="3"/>
  <c r="O384" i="1"/>
  <c r="H196" i="3"/>
  <c r="I196" i="3" s="1"/>
  <c r="V195" i="3"/>
  <c r="W195" i="3" s="1"/>
  <c r="P194" i="1"/>
  <c r="AA195" i="3"/>
  <c r="AD194" i="3"/>
  <c r="AB194" i="3"/>
  <c r="X386" i="3" l="1"/>
  <c r="O385" i="1"/>
  <c r="T196" i="3"/>
  <c r="S196" i="3"/>
  <c r="P195" i="1"/>
  <c r="AC195" i="3"/>
  <c r="AD195" i="3"/>
  <c r="Y385" i="3"/>
  <c r="AB195" i="3"/>
  <c r="AC194" i="3"/>
  <c r="Z386" i="3" l="1"/>
  <c r="X387" i="3"/>
  <c r="O386" i="1"/>
  <c r="H197" i="3"/>
  <c r="I197" i="3" s="1"/>
  <c r="V196" i="3"/>
  <c r="Y386" i="3"/>
  <c r="Z385" i="3"/>
  <c r="Y387" i="3" l="1"/>
  <c r="X388" i="3"/>
  <c r="O387" i="1"/>
  <c r="S197" i="3"/>
  <c r="T197" i="3"/>
  <c r="AA196" i="3"/>
  <c r="W196" i="3"/>
  <c r="Z388" i="3" l="1"/>
  <c r="X389" i="3"/>
  <c r="O388" i="1"/>
  <c r="H198" i="3"/>
  <c r="I198" i="3" s="1"/>
  <c r="V197" i="3"/>
  <c r="W197" i="3" s="1"/>
  <c r="P196" i="1"/>
  <c r="AA197" i="3"/>
  <c r="D18" i="1"/>
  <c r="AD196" i="3"/>
  <c r="AB196" i="3"/>
  <c r="Y388" i="3"/>
  <c r="Z387" i="3"/>
  <c r="Y389" i="3" l="1"/>
  <c r="Z389" i="3"/>
  <c r="X390" i="3"/>
  <c r="O389" i="1"/>
  <c r="T198" i="3"/>
  <c r="S198" i="3"/>
  <c r="AC197" i="3"/>
  <c r="P197" i="1"/>
  <c r="AD197" i="3"/>
  <c r="E18" i="1"/>
  <c r="G18" i="1"/>
  <c r="AB197" i="3"/>
  <c r="AC196" i="3"/>
  <c r="X391" i="3" l="1"/>
  <c r="O390" i="1"/>
  <c r="H199" i="3"/>
  <c r="I199" i="3" s="1"/>
  <c r="V198" i="3"/>
  <c r="Y390" i="3"/>
  <c r="Z391" i="3" l="1"/>
  <c r="X392" i="3"/>
  <c r="O391" i="1"/>
  <c r="S199" i="3"/>
  <c r="T199" i="3"/>
  <c r="AA198" i="3"/>
  <c r="W198" i="3"/>
  <c r="Y391" i="3"/>
  <c r="Z390" i="3"/>
  <c r="Y392" i="3" l="1"/>
  <c r="Z392" i="3"/>
  <c r="X393" i="3"/>
  <c r="O392" i="1"/>
  <c r="H200" i="3"/>
  <c r="I200" i="3" s="1"/>
  <c r="V199" i="3"/>
  <c r="W199" i="3" s="1"/>
  <c r="AD198" i="3"/>
  <c r="P198" i="1"/>
  <c r="AA199" i="3"/>
  <c r="AB198" i="3"/>
  <c r="X394" i="3" l="1"/>
  <c r="O393" i="1"/>
  <c r="T200" i="3"/>
  <c r="S200" i="3"/>
  <c r="AC199" i="3"/>
  <c r="AD199" i="3"/>
  <c r="P199" i="1"/>
  <c r="Y393" i="3"/>
  <c r="AB199" i="3"/>
  <c r="AC198" i="3"/>
  <c r="Z394" i="3" l="1"/>
  <c r="X395" i="3"/>
  <c r="O394" i="1"/>
  <c r="H201" i="3"/>
  <c r="I201" i="3" s="1"/>
  <c r="V200" i="3"/>
  <c r="Y394" i="3"/>
  <c r="Z393" i="3"/>
  <c r="Y395" i="3" l="1"/>
  <c r="Z395" i="3" s="1"/>
  <c r="X396" i="3"/>
  <c r="O395" i="1"/>
  <c r="T201" i="3"/>
  <c r="S201" i="3"/>
  <c r="AA200" i="3"/>
  <c r="W200" i="3"/>
  <c r="Z396" i="3" l="1"/>
  <c r="X397" i="3"/>
  <c r="O396" i="1"/>
  <c r="H202" i="3"/>
  <c r="I202" i="3" s="1"/>
  <c r="V201" i="3"/>
  <c r="W201" i="3" s="1"/>
  <c r="P200" i="1"/>
  <c r="AA201" i="3"/>
  <c r="AD200" i="3"/>
  <c r="AB200" i="3"/>
  <c r="Y396" i="3"/>
  <c r="X398" i="3" l="1"/>
  <c r="O397" i="1"/>
  <c r="T202" i="3"/>
  <c r="S202" i="3"/>
  <c r="AC201" i="3"/>
  <c r="AD201" i="3"/>
  <c r="P201" i="1"/>
  <c r="Y397" i="3"/>
  <c r="AB201" i="3"/>
  <c r="AC200" i="3"/>
  <c r="Z398" i="3" l="1"/>
  <c r="X399" i="3"/>
  <c r="O398" i="1"/>
  <c r="H203" i="3"/>
  <c r="I203" i="3" s="1"/>
  <c r="V202" i="3"/>
  <c r="Y398" i="3"/>
  <c r="Z397" i="3"/>
  <c r="Y399" i="3" l="1"/>
  <c r="X400" i="3"/>
  <c r="O399" i="1"/>
  <c r="S203" i="3"/>
  <c r="T203" i="3"/>
  <c r="AA202" i="3"/>
  <c r="W202" i="3"/>
  <c r="Z400" i="3" l="1"/>
  <c r="X401" i="3"/>
  <c r="O400" i="1"/>
  <c r="H204" i="3"/>
  <c r="I204" i="3" s="1"/>
  <c r="V203" i="3"/>
  <c r="W203" i="3" s="1"/>
  <c r="AD202" i="3"/>
  <c r="P202" i="1"/>
  <c r="AA203" i="3"/>
  <c r="AB202" i="3"/>
  <c r="Y400" i="3"/>
  <c r="Z399" i="3"/>
  <c r="Y401" i="3" l="1"/>
  <c r="Z401" i="3"/>
  <c r="X402" i="3"/>
  <c r="O401" i="1"/>
  <c r="T204" i="3"/>
  <c r="S204" i="3"/>
  <c r="AC203" i="3"/>
  <c r="AD203" i="3"/>
  <c r="P203" i="1"/>
  <c r="AB203" i="3"/>
  <c r="AC202" i="3"/>
  <c r="X403" i="3" l="1"/>
  <c r="O402" i="1"/>
  <c r="H205" i="3"/>
  <c r="I205" i="3" s="1"/>
  <c r="V204" i="3"/>
  <c r="Y402" i="3"/>
  <c r="Z403" i="3" l="1"/>
  <c r="X404" i="3"/>
  <c r="O403" i="1"/>
  <c r="S205" i="3"/>
  <c r="T205" i="3"/>
  <c r="AA204" i="3"/>
  <c r="W204" i="3"/>
  <c r="Y403" i="3"/>
  <c r="Z402" i="3"/>
  <c r="Y404" i="3" l="1"/>
  <c r="Z404" i="3"/>
  <c r="X405" i="3"/>
  <c r="O404" i="1"/>
  <c r="H206" i="3"/>
  <c r="I206" i="3" s="1"/>
  <c r="V205" i="3"/>
  <c r="W205" i="3" s="1"/>
  <c r="AD204" i="3"/>
  <c r="P204" i="1"/>
  <c r="AA205" i="3"/>
  <c r="AB204" i="3"/>
  <c r="X406" i="3" l="1"/>
  <c r="C19" i="1"/>
  <c r="F19" i="1" s="1"/>
  <c r="O405" i="1"/>
  <c r="T206" i="3"/>
  <c r="S206" i="3"/>
  <c r="AD205" i="3"/>
  <c r="AC205" i="3"/>
  <c r="P205" i="1"/>
  <c r="Y405" i="3"/>
  <c r="AB205" i="3"/>
  <c r="AC204" i="3"/>
  <c r="Z406" i="3" l="1"/>
  <c r="X407" i="3"/>
  <c r="O406" i="1"/>
  <c r="H207" i="3"/>
  <c r="I207" i="3" s="1"/>
  <c r="V206" i="3"/>
  <c r="Y406" i="3"/>
  <c r="Z405" i="3"/>
  <c r="Y407" i="3" l="1"/>
  <c r="X408" i="3"/>
  <c r="O407" i="1"/>
  <c r="T207" i="3"/>
  <c r="S207" i="3"/>
  <c r="AA206" i="3"/>
  <c r="W206" i="3"/>
  <c r="Z408" i="3" l="1"/>
  <c r="X409" i="3"/>
  <c r="O408" i="1"/>
  <c r="H208" i="3"/>
  <c r="I208" i="3" s="1"/>
  <c r="V207" i="3"/>
  <c r="W207" i="3" s="1"/>
  <c r="P206" i="1"/>
  <c r="AA207" i="3"/>
  <c r="AD206" i="3"/>
  <c r="AB206" i="3"/>
  <c r="Y408" i="3"/>
  <c r="Z407" i="3"/>
  <c r="Y409" i="3" l="1"/>
  <c r="X410" i="3"/>
  <c r="O409" i="1"/>
  <c r="T208" i="3"/>
  <c r="S208" i="3"/>
  <c r="AC207" i="3"/>
  <c r="AD207" i="3"/>
  <c r="P207" i="1"/>
  <c r="AB207" i="3"/>
  <c r="AC206" i="3"/>
  <c r="Z410" i="3" l="1"/>
  <c r="X411" i="3"/>
  <c r="O410" i="1"/>
  <c r="H209" i="3"/>
  <c r="I209" i="3" s="1"/>
  <c r="V208" i="3"/>
  <c r="Y410" i="3"/>
  <c r="Z409" i="3"/>
  <c r="Y411" i="3" l="1"/>
  <c r="X412" i="3"/>
  <c r="O411" i="1"/>
  <c r="T209" i="3"/>
  <c r="S209" i="3"/>
  <c r="AA208" i="3"/>
  <c r="W208" i="3"/>
  <c r="Z412" i="3" l="1"/>
  <c r="X413" i="3"/>
  <c r="O412" i="1"/>
  <c r="H210" i="3"/>
  <c r="I210" i="3" s="1"/>
  <c r="V209" i="3"/>
  <c r="W209" i="3" s="1"/>
  <c r="P208" i="1"/>
  <c r="AD208" i="3"/>
  <c r="AA209" i="3"/>
  <c r="AB208" i="3"/>
  <c r="Y412" i="3"/>
  <c r="Z411" i="3"/>
  <c r="Y413" i="3" l="1"/>
  <c r="X414" i="3"/>
  <c r="O413" i="1"/>
  <c r="S210" i="3"/>
  <c r="T210" i="3"/>
  <c r="AC209" i="3"/>
  <c r="P209" i="1"/>
  <c r="AD209" i="3"/>
  <c r="AB209" i="3"/>
  <c r="AC208" i="3"/>
  <c r="Z414" i="3" l="1"/>
  <c r="X415" i="3"/>
  <c r="O414" i="1"/>
  <c r="H211" i="3"/>
  <c r="I211" i="3" s="1"/>
  <c r="V210" i="3"/>
  <c r="Y414" i="3"/>
  <c r="Z413" i="3"/>
  <c r="Y415" i="3" l="1"/>
  <c r="X416" i="3"/>
  <c r="O415" i="1"/>
  <c r="T211" i="3"/>
  <c r="S211" i="3"/>
  <c r="AA210" i="3"/>
  <c r="W210" i="3"/>
  <c r="Z416" i="3" l="1"/>
  <c r="X417" i="3"/>
  <c r="O416" i="1"/>
  <c r="H212" i="3"/>
  <c r="I212" i="3" s="1"/>
  <c r="V211" i="3"/>
  <c r="W211" i="3" s="1"/>
  <c r="P210" i="1"/>
  <c r="AA211" i="3"/>
  <c r="AD210" i="3"/>
  <c r="AB210" i="3"/>
  <c r="Y416" i="3"/>
  <c r="Z415" i="3"/>
  <c r="Y417" i="3" l="1"/>
  <c r="X418" i="3"/>
  <c r="O417" i="1"/>
  <c r="S212" i="3"/>
  <c r="T212" i="3"/>
  <c r="AD211" i="3"/>
  <c r="AC211" i="3"/>
  <c r="P211" i="1"/>
  <c r="AB211" i="3"/>
  <c r="AC210" i="3"/>
  <c r="Z418" i="3" l="1"/>
  <c r="X419" i="3"/>
  <c r="O418" i="1"/>
  <c r="H213" i="3"/>
  <c r="I213" i="3" s="1"/>
  <c r="V212" i="3"/>
  <c r="Y418" i="3"/>
  <c r="Z417" i="3"/>
  <c r="Y419" i="3" l="1"/>
  <c r="X420" i="3"/>
  <c r="O419" i="1"/>
  <c r="S213" i="3"/>
  <c r="T213" i="3"/>
  <c r="AA212" i="3"/>
  <c r="W212" i="3"/>
  <c r="Z420" i="3" l="1"/>
  <c r="X421" i="3"/>
  <c r="O420" i="1"/>
  <c r="H214" i="3"/>
  <c r="I214" i="3" s="1"/>
  <c r="V213" i="3"/>
  <c r="W213" i="3" s="1"/>
  <c r="AD212" i="3"/>
  <c r="P212" i="1"/>
  <c r="AA213" i="3"/>
  <c r="AB212" i="3"/>
  <c r="Y420" i="3"/>
  <c r="Z419" i="3"/>
  <c r="Y421" i="3" l="1"/>
  <c r="X422" i="3"/>
  <c r="O421" i="1"/>
  <c r="S214" i="3"/>
  <c r="T214" i="3"/>
  <c r="AD213" i="3"/>
  <c r="P213" i="1"/>
  <c r="AC213" i="3"/>
  <c r="AB213" i="3"/>
  <c r="AC212" i="3"/>
  <c r="Z422" i="3" l="1"/>
  <c r="X423" i="3"/>
  <c r="O422" i="1"/>
  <c r="H215" i="3"/>
  <c r="I215" i="3" s="1"/>
  <c r="V214" i="3"/>
  <c r="Y422" i="3"/>
  <c r="Z421" i="3"/>
  <c r="Y423" i="3" l="1"/>
  <c r="Z423" i="3"/>
  <c r="X424" i="3"/>
  <c r="O423" i="1"/>
  <c r="T215" i="3"/>
  <c r="S215" i="3"/>
  <c r="AA214" i="3"/>
  <c r="W214" i="3"/>
  <c r="Z424" i="3" l="1"/>
  <c r="X425" i="3"/>
  <c r="O424" i="1"/>
  <c r="H216" i="3"/>
  <c r="I216" i="3" s="1"/>
  <c r="V215" i="3"/>
  <c r="W215" i="3" s="1"/>
  <c r="P214" i="1"/>
  <c r="AA215" i="3"/>
  <c r="AD214" i="3"/>
  <c r="AB214" i="3"/>
  <c r="Y424" i="3"/>
  <c r="X426" i="3" l="1"/>
  <c r="O425" i="1"/>
  <c r="T216" i="3"/>
  <c r="S216" i="3"/>
  <c r="AC215" i="3"/>
  <c r="P215" i="1"/>
  <c r="AD215" i="3"/>
  <c r="Y425" i="3"/>
  <c r="AB215" i="3"/>
  <c r="AC214" i="3"/>
  <c r="Z426" i="3" l="1"/>
  <c r="X427" i="3"/>
  <c r="O426" i="1"/>
  <c r="H217" i="3"/>
  <c r="I217" i="3" s="1"/>
  <c r="V216" i="3"/>
  <c r="Y426" i="3"/>
  <c r="Z425" i="3"/>
  <c r="Y427" i="3" l="1"/>
  <c r="Z427" i="3"/>
  <c r="X428" i="3"/>
  <c r="O427" i="1"/>
  <c r="T217" i="3"/>
  <c r="S217" i="3"/>
  <c r="AA216" i="3"/>
  <c r="W216" i="3"/>
  <c r="Z428" i="3" l="1"/>
  <c r="X429" i="3"/>
  <c r="O428" i="1"/>
  <c r="H218" i="3"/>
  <c r="I218" i="3" s="1"/>
  <c r="V217" i="3"/>
  <c r="W217" i="3" s="1"/>
  <c r="P216" i="1"/>
  <c r="AA217" i="3"/>
  <c r="AD216" i="3"/>
  <c r="AB216" i="3"/>
  <c r="Y428" i="3"/>
  <c r="X430" i="3" l="1"/>
  <c r="O429" i="1"/>
  <c r="T218" i="3"/>
  <c r="S218" i="3"/>
  <c r="AD217" i="3"/>
  <c r="P217" i="1"/>
  <c r="AC217" i="3"/>
  <c r="Y429" i="3"/>
  <c r="AB217" i="3"/>
  <c r="AC216" i="3"/>
  <c r="Z430" i="3" l="1"/>
  <c r="X431" i="3"/>
  <c r="O430" i="1"/>
  <c r="H219" i="3"/>
  <c r="I219" i="3" s="1"/>
  <c r="V218" i="3"/>
  <c r="Y430" i="3"/>
  <c r="Z429" i="3"/>
  <c r="Y431" i="3" l="1"/>
  <c r="Z431" i="3"/>
  <c r="X432" i="3"/>
  <c r="O431" i="1"/>
  <c r="T219" i="3"/>
  <c r="S219" i="3"/>
  <c r="F28" i="4" s="1"/>
  <c r="AA218" i="3"/>
  <c r="W218" i="3"/>
  <c r="Z432" i="3" l="1"/>
  <c r="X433" i="3"/>
  <c r="O432" i="1"/>
  <c r="H220" i="3"/>
  <c r="I220" i="3" s="1"/>
  <c r="G28" i="4"/>
  <c r="V219" i="3"/>
  <c r="W219" i="3" s="1"/>
  <c r="H28" i="4" s="1"/>
  <c r="AD218" i="3"/>
  <c r="AA219" i="3"/>
  <c r="P218" i="1"/>
  <c r="AB218" i="3"/>
  <c r="Y432" i="3"/>
  <c r="X434" i="3" l="1"/>
  <c r="O433" i="1"/>
  <c r="S220" i="3"/>
  <c r="T220" i="3"/>
  <c r="AD219" i="3"/>
  <c r="AC219" i="3"/>
  <c r="P219" i="1"/>
  <c r="Y433" i="3"/>
  <c r="AB219" i="3"/>
  <c r="AC218" i="3"/>
  <c r="Z434" i="3" l="1"/>
  <c r="X435" i="3"/>
  <c r="O434" i="1"/>
  <c r="H221" i="3"/>
  <c r="I221" i="3" s="1"/>
  <c r="V220" i="3"/>
  <c r="Y434" i="3"/>
  <c r="Z433" i="3"/>
  <c r="Y435" i="3" l="1"/>
  <c r="X436" i="3"/>
  <c r="O435" i="1"/>
  <c r="T221" i="3"/>
  <c r="S221" i="3"/>
  <c r="F29" i="4" s="1"/>
  <c r="AA220" i="3"/>
  <c r="W220" i="3"/>
  <c r="Z436" i="3" l="1"/>
  <c r="A12" i="1" s="1"/>
  <c r="O436" i="1"/>
  <c r="C16" i="1"/>
  <c r="F16" i="1" s="1"/>
  <c r="C20" i="1"/>
  <c r="F20" i="1" s="1"/>
  <c r="A9" i="1"/>
  <c r="C6" i="5" s="1"/>
  <c r="D6" i="5" s="1"/>
  <c r="F6" i="5" s="1"/>
  <c r="H222" i="3"/>
  <c r="I222" i="3" s="1"/>
  <c r="V221" i="3"/>
  <c r="W221" i="3" s="1"/>
  <c r="H29" i="4" s="1"/>
  <c r="G29" i="4"/>
  <c r="P220" i="1"/>
  <c r="AA221" i="3"/>
  <c r="AD220" i="3"/>
  <c r="AB220" i="3"/>
  <c r="Y436" i="3"/>
  <c r="Z435" i="3"/>
  <c r="S222" i="3" l="1"/>
  <c r="T222" i="3"/>
  <c r="P221" i="1"/>
  <c r="AC221" i="3"/>
  <c r="AD221" i="3"/>
  <c r="AB221" i="3"/>
  <c r="AC220" i="3"/>
  <c r="H223" i="3" l="1"/>
  <c r="I223" i="3" s="1"/>
  <c r="V222" i="3"/>
  <c r="T223" i="3" l="1"/>
  <c r="S223" i="3"/>
  <c r="F30" i="4" s="1"/>
  <c r="AA222" i="3"/>
  <c r="W222" i="3"/>
  <c r="H224" i="3" l="1"/>
  <c r="I224" i="3" s="1"/>
  <c r="V223" i="3"/>
  <c r="W223" i="3" s="1"/>
  <c r="H30" i="4" s="1"/>
  <c r="G30" i="4"/>
  <c r="P222" i="1"/>
  <c r="AA223" i="3"/>
  <c r="AD222" i="3"/>
  <c r="AB222" i="3"/>
  <c r="T224" i="3" l="1"/>
  <c r="S224" i="3"/>
  <c r="F31" i="4" s="1"/>
  <c r="AD223" i="3"/>
  <c r="P223" i="1"/>
  <c r="AC223" i="3"/>
  <c r="AB223" i="3"/>
  <c r="AC222" i="3"/>
  <c r="H225" i="3" l="1"/>
  <c r="I225" i="3" s="1"/>
  <c r="G31" i="4"/>
  <c r="V224" i="3"/>
  <c r="S225" i="3" l="1"/>
  <c r="T225" i="3"/>
  <c r="AA224" i="3"/>
  <c r="W224" i="3"/>
  <c r="H31" i="4" s="1"/>
  <c r="H226" i="3" l="1"/>
  <c r="I226" i="3" s="1"/>
  <c r="V225" i="3"/>
  <c r="W225" i="3" s="1"/>
  <c r="P224" i="1"/>
  <c r="AA225" i="3"/>
  <c r="AD224" i="3"/>
  <c r="AB224" i="3"/>
  <c r="S226" i="3" l="1"/>
  <c r="T226" i="3"/>
  <c r="P225" i="1"/>
  <c r="AD225" i="3"/>
  <c r="AC225" i="3"/>
  <c r="AB225" i="3"/>
  <c r="AC224" i="3"/>
  <c r="H227" i="3" l="1"/>
  <c r="I227" i="3" s="1"/>
  <c r="V226" i="3"/>
  <c r="T227" i="3" l="1"/>
  <c r="S227" i="3"/>
  <c r="AA226" i="3"/>
  <c r="W226" i="3"/>
  <c r="H228" i="3" l="1"/>
  <c r="I228" i="3" s="1"/>
  <c r="V227" i="3"/>
  <c r="W227" i="3" s="1"/>
  <c r="P226" i="1"/>
  <c r="AA227" i="3"/>
  <c r="AD226" i="3"/>
  <c r="AB226" i="3"/>
  <c r="S228" i="3" l="1"/>
  <c r="T228" i="3"/>
  <c r="AC227" i="3"/>
  <c r="AD227" i="3"/>
  <c r="P227" i="1"/>
  <c r="AB227" i="3"/>
  <c r="AC226" i="3"/>
  <c r="H229" i="3" l="1"/>
  <c r="I229" i="3" s="1"/>
  <c r="V228" i="3"/>
  <c r="S229" i="3" l="1"/>
  <c r="T229" i="3"/>
  <c r="AA228" i="3"/>
  <c r="W228" i="3"/>
  <c r="H230" i="3" l="1"/>
  <c r="I230" i="3" s="1"/>
  <c r="V229" i="3"/>
  <c r="W229" i="3" s="1"/>
  <c r="AA229" i="3"/>
  <c r="P228" i="1"/>
  <c r="AD228" i="3"/>
  <c r="AB228" i="3"/>
  <c r="T230" i="3" l="1"/>
  <c r="S230" i="3"/>
  <c r="AD229" i="3"/>
  <c r="P229" i="1"/>
  <c r="AC229" i="3"/>
  <c r="AB229" i="3"/>
  <c r="AC228" i="3"/>
  <c r="H231" i="3" l="1"/>
  <c r="I231" i="3" s="1"/>
  <c r="V230" i="3"/>
  <c r="S231" i="3" l="1"/>
  <c r="T231" i="3"/>
  <c r="AA230" i="3"/>
  <c r="W230" i="3"/>
  <c r="H232" i="3" l="1"/>
  <c r="I232" i="3" s="1"/>
  <c r="V231" i="3"/>
  <c r="W231" i="3" s="1"/>
  <c r="P230" i="1"/>
  <c r="AA231" i="3"/>
  <c r="AD230" i="3"/>
  <c r="AB230" i="3"/>
  <c r="T232" i="3" l="1"/>
  <c r="S232" i="3"/>
  <c r="AC231" i="3"/>
  <c r="P231" i="1"/>
  <c r="AD231" i="3"/>
  <c r="AB231" i="3"/>
  <c r="AC230" i="3"/>
  <c r="H233" i="3" l="1"/>
  <c r="I233" i="3" s="1"/>
  <c r="V232" i="3"/>
  <c r="T233" i="3" l="1"/>
  <c r="S233" i="3"/>
  <c r="AA232" i="3"/>
  <c r="W232" i="3"/>
  <c r="H234" i="3" l="1"/>
  <c r="I234" i="3" s="1"/>
  <c r="V233" i="3"/>
  <c r="AD232" i="3"/>
  <c r="P232" i="1"/>
  <c r="AB232" i="3"/>
  <c r="AC232" i="3" s="1"/>
  <c r="S234" i="3" l="1"/>
  <c r="T234" i="3"/>
  <c r="W233" i="3"/>
  <c r="AA233" i="3"/>
  <c r="H235" i="3" l="1"/>
  <c r="I235" i="3" s="1"/>
  <c r="V234" i="3"/>
  <c r="W234" i="3" s="1"/>
  <c r="P233" i="1"/>
  <c r="AA234" i="3"/>
  <c r="AD233" i="3"/>
  <c r="AB233" i="3"/>
  <c r="T235" i="3" l="1"/>
  <c r="S235" i="3"/>
  <c r="AD234" i="3"/>
  <c r="P234" i="1"/>
  <c r="AC234" i="3"/>
  <c r="AB234" i="3"/>
  <c r="AC233" i="3"/>
  <c r="H236" i="3" l="1"/>
  <c r="I236" i="3" s="1"/>
  <c r="V235" i="3"/>
  <c r="T236" i="3" l="1"/>
  <c r="S236" i="3"/>
  <c r="AA235" i="3"/>
  <c r="W235" i="3"/>
  <c r="H237" i="3" l="1"/>
  <c r="I237" i="3" s="1"/>
  <c r="V236" i="3"/>
  <c r="W236" i="3" s="1"/>
  <c r="AD235" i="3"/>
  <c r="AA236" i="3"/>
  <c r="P235" i="1"/>
  <c r="AB235" i="3"/>
  <c r="T237" i="3" l="1"/>
  <c r="S237" i="3"/>
  <c r="AC236" i="3"/>
  <c r="AD236" i="3"/>
  <c r="P236" i="1"/>
  <c r="AB236" i="3"/>
  <c r="AC235" i="3"/>
  <c r="H238" i="3" l="1"/>
  <c r="I238" i="3" s="1"/>
  <c r="V237" i="3"/>
  <c r="S238" i="3" l="1"/>
  <c r="F32" i="4" s="1"/>
  <c r="T238" i="3"/>
  <c r="AA237" i="3"/>
  <c r="W237" i="3"/>
  <c r="H239" i="3" l="1"/>
  <c r="I239" i="3" s="1"/>
  <c r="V238" i="3"/>
  <c r="W238" i="3" s="1"/>
  <c r="H32" i="4" s="1"/>
  <c r="G32" i="4"/>
  <c r="P237" i="1"/>
  <c r="AA238" i="3"/>
  <c r="AD237" i="3"/>
  <c r="AB237" i="3"/>
  <c r="T239" i="3" l="1"/>
  <c r="S239" i="3"/>
  <c r="F33" i="4" s="1"/>
  <c r="AC238" i="3"/>
  <c r="AD238" i="3"/>
  <c r="P238" i="1"/>
  <c r="AB238" i="3"/>
  <c r="AC237" i="3"/>
  <c r="H240" i="3" l="1"/>
  <c r="I240" i="3" s="1"/>
  <c r="V239" i="3"/>
  <c r="G33" i="4"/>
  <c r="T240" i="3" l="1"/>
  <c r="S240" i="3"/>
  <c r="AA239" i="3"/>
  <c r="W239" i="3"/>
  <c r="H33" i="4" s="1"/>
  <c r="H241" i="3" l="1"/>
  <c r="I241" i="3" s="1"/>
  <c r="V240" i="3"/>
  <c r="W240" i="3" s="1"/>
  <c r="AA240" i="3"/>
  <c r="P239" i="1"/>
  <c r="AD239" i="3"/>
  <c r="AB239" i="3"/>
  <c r="T241" i="3" l="1"/>
  <c r="S241" i="3"/>
  <c r="AC240" i="3"/>
  <c r="AD240" i="3"/>
  <c r="P240" i="1"/>
  <c r="AB240" i="3"/>
  <c r="AC239" i="3"/>
  <c r="H242" i="3" l="1"/>
  <c r="I242" i="3" s="1"/>
  <c r="V241" i="3"/>
  <c r="T242" i="3" l="1"/>
  <c r="S242" i="3"/>
  <c r="AA241" i="3"/>
  <c r="W241" i="3"/>
  <c r="H243" i="3" l="1"/>
  <c r="I243" i="3" s="1"/>
  <c r="V242" i="3"/>
  <c r="W242" i="3" s="1"/>
  <c r="P241" i="1"/>
  <c r="AA242" i="3"/>
  <c r="AD241" i="3"/>
  <c r="AB241" i="3"/>
  <c r="T243" i="3" l="1"/>
  <c r="S243" i="3"/>
  <c r="AC242" i="3"/>
  <c r="AD242" i="3"/>
  <c r="P242" i="1"/>
  <c r="AB242" i="3"/>
  <c r="AC241" i="3"/>
  <c r="H244" i="3" l="1"/>
  <c r="I244" i="3" s="1"/>
  <c r="V243" i="3"/>
  <c r="T244" i="3" l="1"/>
  <c r="S244" i="3"/>
  <c r="AA243" i="3"/>
  <c r="W243" i="3"/>
  <c r="H245" i="3" l="1"/>
  <c r="I245" i="3" s="1"/>
  <c r="V244" i="3"/>
  <c r="W244" i="3" s="1"/>
  <c r="P243" i="1"/>
  <c r="AD243" i="3"/>
  <c r="AA244" i="3"/>
  <c r="AB243" i="3"/>
  <c r="S245" i="3" l="1"/>
  <c r="T245" i="3"/>
  <c r="AD244" i="3"/>
  <c r="AC244" i="3"/>
  <c r="P244" i="1"/>
  <c r="AB244" i="3"/>
  <c r="AC243" i="3"/>
  <c r="H246" i="3" l="1"/>
  <c r="I246" i="3" s="1"/>
  <c r="V245" i="3"/>
  <c r="T246" i="3" l="1"/>
  <c r="S246" i="3"/>
  <c r="F34" i="4" s="1"/>
  <c r="AA245" i="3"/>
  <c r="W245" i="3"/>
  <c r="H247" i="3" l="1"/>
  <c r="I247" i="3" s="1"/>
  <c r="V246" i="3"/>
  <c r="W246" i="3" s="1"/>
  <c r="H34" i="4" s="1"/>
  <c r="G34" i="4"/>
  <c r="P245" i="1"/>
  <c r="AA246" i="3"/>
  <c r="AD245" i="3"/>
  <c r="AB245" i="3"/>
  <c r="T247" i="3" l="1"/>
  <c r="S247" i="3"/>
  <c r="F35" i="4" s="1"/>
  <c r="AD246" i="3"/>
  <c r="AC246" i="3"/>
  <c r="P246" i="1"/>
  <c r="AB246" i="3"/>
  <c r="AC245" i="3"/>
  <c r="H248" i="3" l="1"/>
  <c r="I248" i="3" s="1"/>
  <c r="V247" i="3"/>
  <c r="G35" i="4"/>
  <c r="T248" i="3" l="1"/>
  <c r="S248" i="3"/>
  <c r="AA247" i="3"/>
  <c r="W247" i="3"/>
  <c r="H35" i="4" s="1"/>
  <c r="H249" i="3" l="1"/>
  <c r="I249" i="3" s="1"/>
  <c r="V248" i="3"/>
  <c r="W248" i="3" s="1"/>
  <c r="P247" i="1"/>
  <c r="AA248" i="3"/>
  <c r="AD247" i="3"/>
  <c r="AB247" i="3"/>
  <c r="S249" i="3" l="1"/>
  <c r="F36" i="4" s="1"/>
  <c r="T249" i="3"/>
  <c r="AC248" i="3"/>
  <c r="AD248" i="3"/>
  <c r="P248" i="1"/>
  <c r="AB248" i="3"/>
  <c r="AC247" i="3"/>
  <c r="H250" i="3" l="1"/>
  <c r="I250" i="3" s="1"/>
  <c r="V249" i="3"/>
  <c r="G36" i="4"/>
  <c r="T250" i="3" l="1"/>
  <c r="S250" i="3"/>
  <c r="F37" i="4" s="1"/>
  <c r="AA249" i="3"/>
  <c r="W249" i="3"/>
  <c r="H36" i="4" s="1"/>
  <c r="H251" i="3" l="1"/>
  <c r="I251" i="3" s="1"/>
  <c r="V250" i="3"/>
  <c r="W250" i="3" s="1"/>
  <c r="H37" i="4" s="1"/>
  <c r="G37" i="4"/>
  <c r="AA250" i="3"/>
  <c r="P249" i="1"/>
  <c r="AD249" i="3"/>
  <c r="AB249" i="3"/>
  <c r="S251" i="3" l="1"/>
  <c r="T251" i="3"/>
  <c r="AC250" i="3"/>
  <c r="AD250" i="3"/>
  <c r="P250" i="1"/>
  <c r="AB250" i="3"/>
  <c r="AC249" i="3"/>
  <c r="H252" i="3" l="1"/>
  <c r="I252" i="3" s="1"/>
  <c r="V251" i="3"/>
  <c r="T252" i="3" l="1"/>
  <c r="S252" i="3"/>
  <c r="AA251" i="3"/>
  <c r="W251" i="3"/>
  <c r="H253" i="3" l="1"/>
  <c r="I253" i="3" s="1"/>
  <c r="V252" i="3"/>
  <c r="W252" i="3" s="1"/>
  <c r="P251" i="1"/>
  <c r="AA252" i="3"/>
  <c r="AD251" i="3"/>
  <c r="AB251" i="3"/>
  <c r="S253" i="3" l="1"/>
  <c r="T253" i="3"/>
  <c r="P252" i="1"/>
  <c r="AC252" i="3"/>
  <c r="AD252" i="3"/>
  <c r="AB252" i="3"/>
  <c r="AC251" i="3"/>
  <c r="H254" i="3" l="1"/>
  <c r="I254" i="3" s="1"/>
  <c r="V253" i="3"/>
  <c r="T254" i="3" l="1"/>
  <c r="S254" i="3"/>
  <c r="AA253" i="3"/>
  <c r="W253" i="3"/>
  <c r="H255" i="3" l="1"/>
  <c r="I255" i="3" s="1"/>
  <c r="V254" i="3"/>
  <c r="P253" i="1"/>
  <c r="AD253" i="3"/>
  <c r="AB253" i="3"/>
  <c r="AC253" i="3" s="1"/>
  <c r="T255" i="3" l="1"/>
  <c r="S255" i="3"/>
  <c r="W254" i="3"/>
  <c r="AA254" i="3"/>
  <c r="H256" i="3" l="1"/>
  <c r="I256" i="3" s="1"/>
  <c r="V255" i="3"/>
  <c r="W255" i="3" s="1"/>
  <c r="P254" i="1"/>
  <c r="AA255" i="3"/>
  <c r="AD254" i="3"/>
  <c r="AB254" i="3"/>
  <c r="T256" i="3" l="1"/>
  <c r="S256" i="3"/>
  <c r="AC255" i="3"/>
  <c r="P255" i="1"/>
  <c r="AD255" i="3"/>
  <c r="AB255" i="3"/>
  <c r="AC254" i="3"/>
  <c r="H257" i="3" l="1"/>
  <c r="I257" i="3" s="1"/>
  <c r="V256" i="3"/>
  <c r="T257" i="3" l="1"/>
  <c r="S257" i="3"/>
  <c r="F38" i="4" s="1"/>
  <c r="AA256" i="3"/>
  <c r="W256" i="3"/>
  <c r="H258" i="3" l="1"/>
  <c r="I258" i="3" s="1"/>
  <c r="V257" i="3"/>
  <c r="W257" i="3" s="1"/>
  <c r="H38" i="4" s="1"/>
  <c r="G38" i="4"/>
  <c r="P256" i="1"/>
  <c r="AA257" i="3"/>
  <c r="AD256" i="3"/>
  <c r="AB256" i="3"/>
  <c r="T258" i="3" l="1"/>
  <c r="S258" i="3"/>
  <c r="P257" i="1"/>
  <c r="AC257" i="3"/>
  <c r="AD257" i="3"/>
  <c r="AB257" i="3"/>
  <c r="AC256" i="3"/>
  <c r="H259" i="3" l="1"/>
  <c r="I259" i="3" s="1"/>
  <c r="V258" i="3"/>
  <c r="S259" i="3" l="1"/>
  <c r="T259" i="3"/>
  <c r="AA258" i="3"/>
  <c r="W258" i="3"/>
  <c r="H260" i="3" l="1"/>
  <c r="I260" i="3" s="1"/>
  <c r="V259" i="3"/>
  <c r="W259" i="3" s="1"/>
  <c r="AA259" i="3"/>
  <c r="P258" i="1"/>
  <c r="AD258" i="3"/>
  <c r="AB258" i="3"/>
  <c r="T260" i="3" l="1"/>
  <c r="S260" i="3"/>
  <c r="AC259" i="3"/>
  <c r="AD259" i="3"/>
  <c r="P259" i="1"/>
  <c r="AB259" i="3"/>
  <c r="AC258" i="3"/>
  <c r="H261" i="3" l="1"/>
  <c r="I261" i="3" s="1"/>
  <c r="V260" i="3"/>
  <c r="T261" i="3" l="1"/>
  <c r="S261" i="3"/>
  <c r="AA260" i="3"/>
  <c r="W260" i="3"/>
  <c r="H262" i="3" l="1"/>
  <c r="I262" i="3" s="1"/>
  <c r="V261" i="3"/>
  <c r="W261" i="3" s="1"/>
  <c r="P260" i="1"/>
  <c r="AA261" i="3"/>
  <c r="AD260" i="3"/>
  <c r="AB260" i="3"/>
  <c r="T262" i="3" l="1"/>
  <c r="S262" i="3"/>
  <c r="AC261" i="3"/>
  <c r="AD261" i="3"/>
  <c r="P261" i="1"/>
  <c r="AB261" i="3"/>
  <c r="AC260" i="3"/>
  <c r="H263" i="3" l="1"/>
  <c r="I263" i="3" s="1"/>
  <c r="V262" i="3"/>
  <c r="T263" i="3" l="1"/>
  <c r="S263" i="3"/>
  <c r="AA262" i="3"/>
  <c r="W262" i="3"/>
  <c r="H264" i="3" l="1"/>
  <c r="I264" i="3" s="1"/>
  <c r="V263" i="3"/>
  <c r="W263" i="3" s="1"/>
  <c r="P262" i="1"/>
  <c r="AD262" i="3"/>
  <c r="AA263" i="3"/>
  <c r="AB262" i="3"/>
  <c r="S264" i="3" l="1"/>
  <c r="T264" i="3"/>
  <c r="AC263" i="3"/>
  <c r="AD263" i="3"/>
  <c r="P263" i="1"/>
  <c r="AB263" i="3"/>
  <c r="AC262" i="3"/>
  <c r="H265" i="3" l="1"/>
  <c r="I265" i="3" s="1"/>
  <c r="V264" i="3"/>
  <c r="T265" i="3" l="1"/>
  <c r="S265" i="3"/>
  <c r="AA264" i="3"/>
  <c r="W264" i="3"/>
  <c r="H266" i="3" l="1"/>
  <c r="I266" i="3" s="1"/>
  <c r="V265" i="3"/>
  <c r="W265" i="3" s="1"/>
  <c r="P264" i="1"/>
  <c r="AA265" i="3"/>
  <c r="AD264" i="3"/>
  <c r="AB264" i="3"/>
  <c r="T266" i="3" l="1"/>
  <c r="S266" i="3"/>
  <c r="AC265" i="3"/>
  <c r="AD265" i="3"/>
  <c r="P265" i="1"/>
  <c r="AB265" i="3"/>
  <c r="AC264" i="3"/>
  <c r="H267" i="3" l="1"/>
  <c r="I267" i="3" s="1"/>
  <c r="V266" i="3"/>
  <c r="T267" i="3" l="1"/>
  <c r="S267" i="3"/>
  <c r="AA266" i="3"/>
  <c r="W266" i="3"/>
  <c r="H268" i="3" l="1"/>
  <c r="I268" i="3" s="1"/>
  <c r="V267" i="3"/>
  <c r="W267" i="3" s="1"/>
  <c r="P266" i="1"/>
  <c r="AA267" i="3"/>
  <c r="AD266" i="3"/>
  <c r="AB266" i="3"/>
  <c r="T268" i="3" l="1"/>
  <c r="S268" i="3"/>
  <c r="AC267" i="3"/>
  <c r="AD267" i="3"/>
  <c r="P267" i="1"/>
  <c r="AB267" i="3"/>
  <c r="AC266" i="3"/>
  <c r="H269" i="3" l="1"/>
  <c r="I269" i="3" s="1"/>
  <c r="V268" i="3"/>
  <c r="T269" i="3" l="1"/>
  <c r="S269" i="3"/>
  <c r="AA268" i="3"/>
  <c r="W268" i="3"/>
  <c r="H270" i="3" l="1"/>
  <c r="I270" i="3" s="1"/>
  <c r="V269" i="3"/>
  <c r="W269" i="3" s="1"/>
  <c r="P268" i="1"/>
  <c r="AA269" i="3"/>
  <c r="AD268" i="3"/>
  <c r="AB268" i="3"/>
  <c r="T270" i="3" l="1"/>
  <c r="S270" i="3"/>
  <c r="AC269" i="3"/>
  <c r="AD269" i="3"/>
  <c r="P269" i="1"/>
  <c r="AB269" i="3"/>
  <c r="AC268" i="3"/>
  <c r="H271" i="3" l="1"/>
  <c r="I271" i="3" s="1"/>
  <c r="V270" i="3"/>
  <c r="T271" i="3" l="1"/>
  <c r="S271" i="3"/>
  <c r="AA270" i="3"/>
  <c r="W270" i="3"/>
  <c r="H272" i="3" l="1"/>
  <c r="I272" i="3" s="1"/>
  <c r="V271" i="3"/>
  <c r="W271" i="3" s="1"/>
  <c r="P270" i="1"/>
  <c r="AA271" i="3"/>
  <c r="AD270" i="3"/>
  <c r="AB270" i="3"/>
  <c r="T272" i="3" l="1"/>
  <c r="S272" i="3"/>
  <c r="F39" i="4" s="1"/>
  <c r="AC271" i="3"/>
  <c r="AD271" i="3"/>
  <c r="P271" i="1"/>
  <c r="AB271" i="3"/>
  <c r="AC270" i="3"/>
  <c r="H273" i="3" l="1"/>
  <c r="I273" i="3" s="1"/>
  <c r="V272" i="3"/>
  <c r="G39" i="4"/>
  <c r="T273" i="3" l="1"/>
  <c r="S273" i="3"/>
  <c r="AA272" i="3"/>
  <c r="W272" i="3"/>
  <c r="H39" i="4" s="1"/>
  <c r="H274" i="3" l="1"/>
  <c r="I274" i="3" s="1"/>
  <c r="V273" i="3"/>
  <c r="W273" i="3" s="1"/>
  <c r="P272" i="1"/>
  <c r="AA273" i="3"/>
  <c r="AD272" i="3"/>
  <c r="AB272" i="3"/>
  <c r="T274" i="3" l="1"/>
  <c r="S274" i="3"/>
  <c r="AC273" i="3"/>
  <c r="AD273" i="3"/>
  <c r="P273" i="1"/>
  <c r="AB273" i="3"/>
  <c r="AC272" i="3"/>
  <c r="H275" i="3" l="1"/>
  <c r="I275" i="3" s="1"/>
  <c r="V274" i="3"/>
  <c r="T275" i="3" l="1"/>
  <c r="S275" i="3"/>
  <c r="AA274" i="3"/>
  <c r="W274" i="3"/>
  <c r="H276" i="3" l="1"/>
  <c r="I276" i="3" s="1"/>
  <c r="V275" i="3"/>
  <c r="W275" i="3" s="1"/>
  <c r="AA275" i="3"/>
  <c r="AD274" i="3"/>
  <c r="P274" i="1"/>
  <c r="AB274" i="3"/>
  <c r="T276" i="3" l="1"/>
  <c r="S276" i="3"/>
  <c r="AC275" i="3"/>
  <c r="AD275" i="3"/>
  <c r="P275" i="1"/>
  <c r="AB275" i="3"/>
  <c r="AC274" i="3"/>
  <c r="H277" i="3" l="1"/>
  <c r="I277" i="3" s="1"/>
  <c r="V276" i="3"/>
  <c r="T277" i="3" l="1"/>
  <c r="S277" i="3"/>
  <c r="AA276" i="3"/>
  <c r="W276" i="3"/>
  <c r="H278" i="3" l="1"/>
  <c r="I278" i="3" s="1"/>
  <c r="V277" i="3"/>
  <c r="W277" i="3" s="1"/>
  <c r="P276" i="1"/>
  <c r="AA277" i="3"/>
  <c r="AD276" i="3"/>
  <c r="AB276" i="3"/>
  <c r="T278" i="3" l="1"/>
  <c r="S278" i="3"/>
  <c r="AC277" i="3"/>
  <c r="AD277" i="3"/>
  <c r="P277" i="1"/>
  <c r="AB277" i="3"/>
  <c r="AC276" i="3"/>
  <c r="H279" i="3" l="1"/>
  <c r="I279" i="3" s="1"/>
  <c r="V278" i="3"/>
  <c r="T279" i="3" l="1"/>
  <c r="S279" i="3"/>
  <c r="AA278" i="3"/>
  <c r="W278" i="3"/>
  <c r="H280" i="3" l="1"/>
  <c r="I280" i="3" s="1"/>
  <c r="V279" i="3"/>
  <c r="W279" i="3" s="1"/>
  <c r="AD278" i="3"/>
  <c r="P278" i="1"/>
  <c r="AA279" i="3"/>
  <c r="AB278" i="3"/>
  <c r="T280" i="3" l="1"/>
  <c r="S280" i="3"/>
  <c r="AC279" i="3"/>
  <c r="AD279" i="3"/>
  <c r="P279" i="1"/>
  <c r="AB279" i="3"/>
  <c r="AC278" i="3"/>
  <c r="H281" i="3" l="1"/>
  <c r="I281" i="3" s="1"/>
  <c r="V280" i="3"/>
  <c r="T281" i="3" l="1"/>
  <c r="S281" i="3"/>
  <c r="F40" i="4" s="1"/>
  <c r="AA280" i="3"/>
  <c r="W280" i="3"/>
  <c r="H282" i="3" l="1"/>
  <c r="I282" i="3" s="1"/>
  <c r="V281" i="3"/>
  <c r="W281" i="3" s="1"/>
  <c r="H40" i="4" s="1"/>
  <c r="G40" i="4"/>
  <c r="P280" i="1"/>
  <c r="AA281" i="3"/>
  <c r="AD280" i="3"/>
  <c r="AB280" i="3"/>
  <c r="T282" i="3" l="1"/>
  <c r="S282" i="3"/>
  <c r="AC281" i="3"/>
  <c r="AD281" i="3"/>
  <c r="P281" i="1"/>
  <c r="AB281" i="3"/>
  <c r="AC280" i="3"/>
  <c r="H283" i="3" l="1"/>
  <c r="I283" i="3" s="1"/>
  <c r="V282" i="3"/>
  <c r="T283" i="3" l="1"/>
  <c r="S283" i="3"/>
  <c r="AA282" i="3"/>
  <c r="W282" i="3"/>
  <c r="H284" i="3" l="1"/>
  <c r="I284" i="3" s="1"/>
  <c r="V283" i="3"/>
  <c r="W283" i="3" s="1"/>
  <c r="P282" i="1"/>
  <c r="AD282" i="3"/>
  <c r="AA283" i="3"/>
  <c r="AB282" i="3"/>
  <c r="T284" i="3" l="1"/>
  <c r="S284" i="3"/>
  <c r="AC283" i="3"/>
  <c r="P283" i="1"/>
  <c r="AD283" i="3"/>
  <c r="AB283" i="3"/>
  <c r="AC282" i="3"/>
  <c r="H285" i="3" l="1"/>
  <c r="I285" i="3" s="1"/>
  <c r="V284" i="3"/>
  <c r="S285" i="3" l="1"/>
  <c r="T285" i="3"/>
  <c r="AA284" i="3"/>
  <c r="W284" i="3"/>
  <c r="H286" i="3" l="1"/>
  <c r="I286" i="3" s="1"/>
  <c r="V285" i="3"/>
  <c r="P284" i="1"/>
  <c r="AD284" i="3"/>
  <c r="AB284" i="3"/>
  <c r="AC284" i="3" s="1"/>
  <c r="T286" i="3" l="1"/>
  <c r="S286" i="3"/>
  <c r="W285" i="3"/>
  <c r="AA285" i="3"/>
  <c r="H287" i="3" l="1"/>
  <c r="I287" i="3" s="1"/>
  <c r="V286" i="3"/>
  <c r="AB285" i="3"/>
  <c r="AC285" i="3" s="1"/>
  <c r="P285" i="1"/>
  <c r="AD285" i="3"/>
  <c r="T287" i="3" l="1"/>
  <c r="S287" i="3"/>
  <c r="W286" i="3"/>
  <c r="AA286" i="3"/>
  <c r="H288" i="3" l="1"/>
  <c r="I288" i="3" s="1"/>
  <c r="V287" i="3"/>
  <c r="W287" i="3" s="1"/>
  <c r="P286" i="1"/>
  <c r="AA287" i="3"/>
  <c r="AD286" i="3"/>
  <c r="AB286" i="3"/>
  <c r="T288" i="3" l="1"/>
  <c r="S288" i="3"/>
  <c r="AC287" i="3"/>
  <c r="AD287" i="3"/>
  <c r="P287" i="1"/>
  <c r="AB287" i="3"/>
  <c r="AC286" i="3"/>
  <c r="H289" i="3" l="1"/>
  <c r="I289" i="3" s="1"/>
  <c r="V288" i="3"/>
  <c r="T289" i="3" l="1"/>
  <c r="S289" i="3"/>
  <c r="AA288" i="3"/>
  <c r="W288" i="3"/>
  <c r="H290" i="3" l="1"/>
  <c r="I290" i="3" s="1"/>
  <c r="V289" i="3"/>
  <c r="W289" i="3" s="1"/>
  <c r="P288" i="1"/>
  <c r="AA289" i="3"/>
  <c r="AD288" i="3"/>
  <c r="AB288" i="3"/>
  <c r="T290" i="3" l="1"/>
  <c r="S290" i="3"/>
  <c r="AC289" i="3"/>
  <c r="AD289" i="3"/>
  <c r="P289" i="1"/>
  <c r="AB289" i="3"/>
  <c r="AC288" i="3"/>
  <c r="H291" i="3" l="1"/>
  <c r="I291" i="3" s="1"/>
  <c r="V290" i="3"/>
  <c r="S291" i="3" l="1"/>
  <c r="T291" i="3"/>
  <c r="AA290" i="3"/>
  <c r="W290" i="3"/>
  <c r="H292" i="3" l="1"/>
  <c r="I292" i="3" s="1"/>
  <c r="V291" i="3"/>
  <c r="AD290" i="3"/>
  <c r="P290" i="1"/>
  <c r="AB290" i="3"/>
  <c r="AC290" i="3" s="1"/>
  <c r="T292" i="3" l="1"/>
  <c r="S292" i="3"/>
  <c r="W291" i="3"/>
  <c r="AA291" i="3"/>
  <c r="H293" i="3" l="1"/>
  <c r="I293" i="3" s="1"/>
  <c r="V292" i="3"/>
  <c r="W292" i="3" s="1"/>
  <c r="P291" i="1"/>
  <c r="AA292" i="3"/>
  <c r="AD291" i="3"/>
  <c r="AB291" i="3"/>
  <c r="T293" i="3" l="1"/>
  <c r="S293" i="3"/>
  <c r="AC292" i="3"/>
  <c r="AD292" i="3"/>
  <c r="P292" i="1"/>
  <c r="AB292" i="3"/>
  <c r="AC291" i="3"/>
  <c r="H294" i="3" l="1"/>
  <c r="I294" i="3" s="1"/>
  <c r="V293" i="3"/>
  <c r="S294" i="3" l="1"/>
  <c r="T294" i="3"/>
  <c r="AA293" i="3"/>
  <c r="W293" i="3"/>
  <c r="H295" i="3" l="1"/>
  <c r="I295" i="3" s="1"/>
  <c r="V294" i="3"/>
  <c r="W294" i="3" s="1"/>
  <c r="P293" i="1"/>
  <c r="AA294" i="3"/>
  <c r="AD293" i="3"/>
  <c r="AB293" i="3"/>
  <c r="T295" i="3" l="1"/>
  <c r="S295" i="3"/>
  <c r="AC294" i="3"/>
  <c r="AD294" i="3"/>
  <c r="P294" i="1"/>
  <c r="AB294" i="3"/>
  <c r="AC293" i="3"/>
  <c r="H296" i="3" l="1"/>
  <c r="I296" i="3" s="1"/>
  <c r="V295" i="3"/>
  <c r="T296" i="3" l="1"/>
  <c r="S296" i="3"/>
  <c r="AA295" i="3"/>
  <c r="W295" i="3"/>
  <c r="H297" i="3" l="1"/>
  <c r="I297" i="3" s="1"/>
  <c r="V296" i="3"/>
  <c r="W296" i="3" s="1"/>
  <c r="P295" i="1"/>
  <c r="AD295" i="3"/>
  <c r="AA296" i="3"/>
  <c r="AB295" i="3"/>
  <c r="T297" i="3" l="1"/>
  <c r="S297" i="3"/>
  <c r="AC296" i="3"/>
  <c r="AD296" i="3"/>
  <c r="P296" i="1"/>
  <c r="AB296" i="3"/>
  <c r="AC295" i="3"/>
  <c r="H298" i="3" l="1"/>
  <c r="I298" i="3" s="1"/>
  <c r="V297" i="3"/>
  <c r="T298" i="3" l="1"/>
  <c r="S298" i="3"/>
  <c r="AA297" i="3"/>
  <c r="W297" i="3"/>
  <c r="H299" i="3" l="1"/>
  <c r="I299" i="3" s="1"/>
  <c r="V298" i="3"/>
  <c r="W298" i="3" s="1"/>
  <c r="P297" i="1"/>
  <c r="AA298" i="3"/>
  <c r="AD297" i="3"/>
  <c r="AB297" i="3"/>
  <c r="T299" i="3" l="1"/>
  <c r="S299" i="3"/>
  <c r="AC298" i="3"/>
  <c r="AD298" i="3"/>
  <c r="P298" i="1"/>
  <c r="AB298" i="3"/>
  <c r="AC297" i="3"/>
  <c r="H300" i="3" l="1"/>
  <c r="I300" i="3" s="1"/>
  <c r="V299" i="3"/>
  <c r="T300" i="3" l="1"/>
  <c r="S300" i="3"/>
  <c r="AA299" i="3"/>
  <c r="W299" i="3"/>
  <c r="H301" i="3" l="1"/>
  <c r="I301" i="3" s="1"/>
  <c r="V300" i="3"/>
  <c r="W300" i="3" s="1"/>
  <c r="P299" i="1"/>
  <c r="AA300" i="3"/>
  <c r="AD299" i="3"/>
  <c r="AB299" i="3"/>
  <c r="S301" i="3" l="1"/>
  <c r="T301" i="3"/>
  <c r="AC300" i="3"/>
  <c r="AD300" i="3"/>
  <c r="P300" i="1"/>
  <c r="AB300" i="3"/>
  <c r="AC299" i="3"/>
  <c r="H302" i="3" l="1"/>
  <c r="I302" i="3" s="1"/>
  <c r="V301" i="3"/>
  <c r="T302" i="3" l="1"/>
  <c r="S302" i="3"/>
  <c r="AA301" i="3"/>
  <c r="W301" i="3"/>
  <c r="H303" i="3" l="1"/>
  <c r="I303" i="3" s="1"/>
  <c r="V302" i="3"/>
  <c r="W302" i="3" s="1"/>
  <c r="P301" i="1"/>
  <c r="AD301" i="3"/>
  <c r="AA302" i="3"/>
  <c r="AB301" i="3"/>
  <c r="T303" i="3" l="1"/>
  <c r="S303" i="3"/>
  <c r="AC302" i="3"/>
  <c r="AD302" i="3"/>
  <c r="P302" i="1"/>
  <c r="AB302" i="3"/>
  <c r="AC301" i="3"/>
  <c r="H304" i="3" l="1"/>
  <c r="I304" i="3" s="1"/>
  <c r="V303" i="3"/>
  <c r="T304" i="3" l="1"/>
  <c r="S304" i="3"/>
  <c r="AA303" i="3"/>
  <c r="W303" i="3"/>
  <c r="H305" i="3" l="1"/>
  <c r="I305" i="3" s="1"/>
  <c r="V304" i="3"/>
  <c r="W304" i="3" s="1"/>
  <c r="P303" i="1"/>
  <c r="AA304" i="3"/>
  <c r="AD303" i="3"/>
  <c r="AB303" i="3"/>
  <c r="T305" i="3" l="1"/>
  <c r="S305" i="3"/>
  <c r="AC304" i="3"/>
  <c r="AD304" i="3"/>
  <c r="P304" i="1"/>
  <c r="AB304" i="3"/>
  <c r="AC303" i="3"/>
  <c r="H306" i="3" l="1"/>
  <c r="I306" i="3" s="1"/>
  <c r="V305" i="3"/>
  <c r="T306" i="3" l="1"/>
  <c r="S306" i="3"/>
  <c r="AA305" i="3"/>
  <c r="W305" i="3"/>
  <c r="H307" i="3" l="1"/>
  <c r="I307" i="3" s="1"/>
  <c r="V306" i="3"/>
  <c r="W306" i="3" s="1"/>
  <c r="P305" i="1"/>
  <c r="AA306" i="3"/>
  <c r="AD305" i="3"/>
  <c r="AB305" i="3"/>
  <c r="T307" i="3" l="1"/>
  <c r="S307" i="3"/>
  <c r="AC306" i="3"/>
  <c r="AD306" i="3"/>
  <c r="P306" i="1"/>
  <c r="AB306" i="3"/>
  <c r="AC305" i="3"/>
  <c r="H308" i="3" l="1"/>
  <c r="I308" i="3" s="1"/>
  <c r="V307" i="3"/>
  <c r="T308" i="3" l="1"/>
  <c r="S308" i="3"/>
  <c r="AA307" i="3"/>
  <c r="W307" i="3"/>
  <c r="H309" i="3" l="1"/>
  <c r="I309" i="3" s="1"/>
  <c r="V308" i="3"/>
  <c r="W308" i="3" s="1"/>
  <c r="P307" i="1"/>
  <c r="AD307" i="3"/>
  <c r="AA308" i="3"/>
  <c r="AB307" i="3"/>
  <c r="T309" i="3" l="1"/>
  <c r="S309" i="3"/>
  <c r="AC308" i="3"/>
  <c r="AD308" i="3"/>
  <c r="P308" i="1"/>
  <c r="AB308" i="3"/>
  <c r="AC307" i="3"/>
  <c r="H310" i="3" l="1"/>
  <c r="I310" i="3" s="1"/>
  <c r="V309" i="3"/>
  <c r="T310" i="3" l="1"/>
  <c r="S310" i="3"/>
  <c r="AA309" i="3"/>
  <c r="W309" i="3"/>
  <c r="H311" i="3" l="1"/>
  <c r="I311" i="3" s="1"/>
  <c r="V310" i="3"/>
  <c r="W310" i="3" s="1"/>
  <c r="P309" i="1"/>
  <c r="AA310" i="3"/>
  <c r="AD309" i="3"/>
  <c r="AB309" i="3"/>
  <c r="T311" i="3" l="1"/>
  <c r="S311" i="3"/>
  <c r="F41" i="4" s="1"/>
  <c r="AC310" i="3"/>
  <c r="P310" i="1"/>
  <c r="AD310" i="3"/>
  <c r="AB310" i="3"/>
  <c r="AC309" i="3"/>
  <c r="H312" i="3" l="1"/>
  <c r="I312" i="3" s="1"/>
  <c r="V311" i="3"/>
  <c r="G41" i="4"/>
  <c r="T312" i="3" l="1"/>
  <c r="S312" i="3"/>
  <c r="AA311" i="3"/>
  <c r="W311" i="3"/>
  <c r="H41" i="4" s="1"/>
  <c r="H313" i="3" l="1"/>
  <c r="I313" i="3" s="1"/>
  <c r="V312" i="3"/>
  <c r="W312" i="3" s="1"/>
  <c r="P311" i="1"/>
  <c r="AA312" i="3"/>
  <c r="AD311" i="3"/>
  <c r="AB311" i="3"/>
  <c r="T313" i="3" l="1"/>
  <c r="S313" i="3"/>
  <c r="AC312" i="3"/>
  <c r="AD312" i="3"/>
  <c r="P312" i="1"/>
  <c r="AB312" i="3"/>
  <c r="AC311" i="3"/>
  <c r="H314" i="3" l="1"/>
  <c r="I314" i="3" s="1"/>
  <c r="V313" i="3"/>
  <c r="T314" i="3" l="1"/>
  <c r="S314" i="3"/>
  <c r="AA313" i="3"/>
  <c r="W313" i="3"/>
  <c r="H315" i="3" l="1"/>
  <c r="I315" i="3" s="1"/>
  <c r="V314" i="3"/>
  <c r="W314" i="3" s="1"/>
  <c r="P313" i="1"/>
  <c r="AA314" i="3"/>
  <c r="AD313" i="3"/>
  <c r="AB313" i="3"/>
  <c r="T315" i="3" l="1"/>
  <c r="S315" i="3"/>
  <c r="AC314" i="3"/>
  <c r="AD314" i="3"/>
  <c r="P314" i="1"/>
  <c r="AB314" i="3"/>
  <c r="AC313" i="3"/>
  <c r="H316" i="3" l="1"/>
  <c r="I316" i="3" s="1"/>
  <c r="V315" i="3"/>
  <c r="T316" i="3" l="1"/>
  <c r="S316" i="3"/>
  <c r="AA315" i="3"/>
  <c r="W315" i="3"/>
  <c r="H317" i="3" l="1"/>
  <c r="I317" i="3" s="1"/>
  <c r="V316" i="3"/>
  <c r="W316" i="3" s="1"/>
  <c r="AA316" i="3"/>
  <c r="P315" i="1"/>
  <c r="AD315" i="3"/>
  <c r="AB315" i="3"/>
  <c r="T317" i="3" l="1"/>
  <c r="S317" i="3"/>
  <c r="F42" i="4" s="1"/>
  <c r="AC316" i="3"/>
  <c r="AD316" i="3"/>
  <c r="P316" i="1"/>
  <c r="AB316" i="3"/>
  <c r="AC315" i="3"/>
  <c r="H318" i="3" l="1"/>
  <c r="I318" i="3" s="1"/>
  <c r="V317" i="3"/>
  <c r="G42" i="4"/>
  <c r="T318" i="3" l="1"/>
  <c r="S318" i="3"/>
  <c r="F43" i="4" s="1"/>
  <c r="AA317" i="3"/>
  <c r="W317" i="3"/>
  <c r="H42" i="4" s="1"/>
  <c r="H319" i="3" l="1"/>
  <c r="I319" i="3" s="1"/>
  <c r="V318" i="3"/>
  <c r="W318" i="3" s="1"/>
  <c r="H43" i="4" s="1"/>
  <c r="G43" i="4"/>
  <c r="AA318" i="3"/>
  <c r="AD317" i="3"/>
  <c r="P317" i="1"/>
  <c r="AB317" i="3"/>
  <c r="T319" i="3" l="1"/>
  <c r="S319" i="3"/>
  <c r="P318" i="1"/>
  <c r="AC318" i="3"/>
  <c r="AD318" i="3"/>
  <c r="AB318" i="3"/>
  <c r="AC317" i="3"/>
  <c r="H320" i="3" l="1"/>
  <c r="I320" i="3" s="1"/>
  <c r="V319" i="3"/>
  <c r="T320" i="3" l="1"/>
  <c r="S320" i="3"/>
  <c r="AA319" i="3"/>
  <c r="W319" i="3"/>
  <c r="H321" i="3" l="1"/>
  <c r="I321" i="3" s="1"/>
  <c r="V320" i="3"/>
  <c r="W320" i="3" s="1"/>
  <c r="AA320" i="3"/>
  <c r="AD319" i="3"/>
  <c r="P319" i="1"/>
  <c r="AB319" i="3"/>
  <c r="T321" i="3" l="1"/>
  <c r="S321" i="3"/>
  <c r="AC320" i="3"/>
  <c r="AD320" i="3"/>
  <c r="P320" i="1"/>
  <c r="AB320" i="3"/>
  <c r="AC319" i="3"/>
  <c r="H322" i="3" l="1"/>
  <c r="I322" i="3" s="1"/>
  <c r="V321" i="3"/>
  <c r="T322" i="3" l="1"/>
  <c r="S322" i="3"/>
  <c r="AA321" i="3"/>
  <c r="W321" i="3"/>
  <c r="H323" i="3" l="1"/>
  <c r="I323" i="3" s="1"/>
  <c r="V322" i="3"/>
  <c r="W322" i="3" s="1"/>
  <c r="AD321" i="3"/>
  <c r="P321" i="1"/>
  <c r="AA322" i="3"/>
  <c r="AB321" i="3"/>
  <c r="T323" i="3" l="1"/>
  <c r="S323" i="3"/>
  <c r="P322" i="1"/>
  <c r="AC322" i="3"/>
  <c r="AD322" i="3"/>
  <c r="AB322" i="3"/>
  <c r="AC321" i="3"/>
  <c r="H324" i="3" l="1"/>
  <c r="I324" i="3" s="1"/>
  <c r="V323" i="3"/>
  <c r="T324" i="3" l="1"/>
  <c r="S324" i="3"/>
  <c r="AA323" i="3"/>
  <c r="W323" i="3"/>
  <c r="H325" i="3" l="1"/>
  <c r="I325" i="3" s="1"/>
  <c r="V324" i="3"/>
  <c r="W324" i="3" s="1"/>
  <c r="P323" i="1"/>
  <c r="AA324" i="3"/>
  <c r="AD323" i="3"/>
  <c r="AB323" i="3"/>
  <c r="T325" i="3" l="1"/>
  <c r="S325" i="3"/>
  <c r="AC324" i="3"/>
  <c r="AD324" i="3"/>
  <c r="P324" i="1"/>
  <c r="AB324" i="3"/>
  <c r="AC323" i="3"/>
  <c r="H326" i="3" l="1"/>
  <c r="I326" i="3" s="1"/>
  <c r="V325" i="3"/>
  <c r="T326" i="3" l="1"/>
  <c r="S326" i="3"/>
  <c r="AA325" i="3"/>
  <c r="W325" i="3"/>
  <c r="H327" i="3" l="1"/>
  <c r="I327" i="3" s="1"/>
  <c r="V326" i="3"/>
  <c r="W326" i="3" s="1"/>
  <c r="P325" i="1"/>
  <c r="AA326" i="3"/>
  <c r="AD325" i="3"/>
  <c r="AB325" i="3"/>
  <c r="T327" i="3" l="1"/>
  <c r="S327" i="3"/>
  <c r="AC326" i="3"/>
  <c r="AD326" i="3"/>
  <c r="P326" i="1"/>
  <c r="AB326" i="3"/>
  <c r="AC325" i="3"/>
  <c r="H328" i="3" l="1"/>
  <c r="I328" i="3" s="1"/>
  <c r="V327" i="3"/>
  <c r="T328" i="3" l="1"/>
  <c r="S328" i="3"/>
  <c r="AA327" i="3"/>
  <c r="W327" i="3"/>
  <c r="H329" i="3" l="1"/>
  <c r="I329" i="3" s="1"/>
  <c r="V328" i="3"/>
  <c r="W328" i="3" s="1"/>
  <c r="P327" i="1"/>
  <c r="AA328" i="3"/>
  <c r="AD327" i="3"/>
  <c r="AB327" i="3"/>
  <c r="T329" i="3" l="1"/>
  <c r="S329" i="3"/>
  <c r="AC328" i="3"/>
  <c r="AD328" i="3"/>
  <c r="P328" i="1"/>
  <c r="AB328" i="3"/>
  <c r="AC327" i="3"/>
  <c r="H330" i="3" l="1"/>
  <c r="I330" i="3" s="1"/>
  <c r="V329" i="3"/>
  <c r="T330" i="3" l="1"/>
  <c r="S330" i="3"/>
  <c r="F44" i="4" s="1"/>
  <c r="AA329" i="3"/>
  <c r="W329" i="3"/>
  <c r="H331" i="3" l="1"/>
  <c r="I331" i="3" s="1"/>
  <c r="V330" i="3"/>
  <c r="W330" i="3" s="1"/>
  <c r="H44" i="4" s="1"/>
  <c r="G44" i="4"/>
  <c r="P329" i="1"/>
  <c r="AA330" i="3"/>
  <c r="AD329" i="3"/>
  <c r="AB329" i="3"/>
  <c r="T331" i="3" l="1"/>
  <c r="S331" i="3"/>
  <c r="F45" i="4" s="1"/>
  <c r="AC330" i="3"/>
  <c r="AD330" i="3"/>
  <c r="P330" i="1"/>
  <c r="AB330" i="3"/>
  <c r="AC329" i="3"/>
  <c r="H332" i="3" l="1"/>
  <c r="I332" i="3" s="1"/>
  <c r="V331" i="3"/>
  <c r="G45" i="4"/>
  <c r="T332" i="3" l="1"/>
  <c r="S332" i="3"/>
  <c r="AA331" i="3"/>
  <c r="W331" i="3"/>
  <c r="H45" i="4" s="1"/>
  <c r="H333" i="3" l="1"/>
  <c r="I333" i="3" s="1"/>
  <c r="V332" i="3"/>
  <c r="W332" i="3" s="1"/>
  <c r="P331" i="1"/>
  <c r="AA332" i="3"/>
  <c r="AD331" i="3"/>
  <c r="AB331" i="3"/>
  <c r="T333" i="3" l="1"/>
  <c r="S333" i="3"/>
  <c r="AC332" i="3"/>
  <c r="AD332" i="3"/>
  <c r="P332" i="1"/>
  <c r="AB332" i="3"/>
  <c r="AC331" i="3"/>
  <c r="H334" i="3" l="1"/>
  <c r="I334" i="3" s="1"/>
  <c r="V333" i="3"/>
  <c r="T334" i="3" l="1"/>
  <c r="S334" i="3"/>
  <c r="AA333" i="3"/>
  <c r="W333" i="3"/>
  <c r="H335" i="3" l="1"/>
  <c r="I335" i="3" s="1"/>
  <c r="V334" i="3"/>
  <c r="W334" i="3" s="1"/>
  <c r="P333" i="1"/>
  <c r="AA334" i="3"/>
  <c r="AD333" i="3"/>
  <c r="AB333" i="3"/>
  <c r="T335" i="3" l="1"/>
  <c r="S335" i="3"/>
  <c r="AC334" i="3"/>
  <c r="AD334" i="3"/>
  <c r="P334" i="1"/>
  <c r="AB334" i="3"/>
  <c r="AC333" i="3"/>
  <c r="H336" i="3" l="1"/>
  <c r="I336" i="3" s="1"/>
  <c r="V335" i="3"/>
  <c r="T336" i="3" l="1"/>
  <c r="S336" i="3"/>
  <c r="AA335" i="3"/>
  <c r="W335" i="3"/>
  <c r="H337" i="3" l="1"/>
  <c r="I337" i="3" s="1"/>
  <c r="V336" i="3"/>
  <c r="W336" i="3" s="1"/>
  <c r="P335" i="1"/>
  <c r="AA336" i="3"/>
  <c r="AD335" i="3"/>
  <c r="AB335" i="3"/>
  <c r="T337" i="3" l="1"/>
  <c r="S337" i="3"/>
  <c r="F46" i="4" s="1"/>
  <c r="AC336" i="3"/>
  <c r="AD336" i="3"/>
  <c r="P336" i="1"/>
  <c r="AB336" i="3"/>
  <c r="AC335" i="3"/>
  <c r="H338" i="3" l="1"/>
  <c r="I338" i="3" s="1"/>
  <c r="V337" i="3"/>
  <c r="G46" i="4"/>
  <c r="T338" i="3" l="1"/>
  <c r="S338" i="3"/>
  <c r="F47" i="4" s="1"/>
  <c r="AA337" i="3"/>
  <c r="W337" i="3"/>
  <c r="H46" i="4" s="1"/>
  <c r="H339" i="3" l="1"/>
  <c r="I339" i="3" s="1"/>
  <c r="V338" i="3"/>
  <c r="W338" i="3" s="1"/>
  <c r="H47" i="4" s="1"/>
  <c r="G47" i="4"/>
  <c r="P337" i="1"/>
  <c r="AA338" i="3"/>
  <c r="AD337" i="3"/>
  <c r="AB337" i="3"/>
  <c r="T339" i="3" l="1"/>
  <c r="S339" i="3"/>
  <c r="AC338" i="3"/>
  <c r="AD338" i="3"/>
  <c r="P338" i="1"/>
  <c r="AB338" i="3"/>
  <c r="AC337" i="3"/>
  <c r="H340" i="3" l="1"/>
  <c r="I340" i="3" s="1"/>
  <c r="V339" i="3"/>
  <c r="T340" i="3" l="1"/>
  <c r="S340" i="3"/>
  <c r="AA339" i="3"/>
  <c r="W339" i="3"/>
  <c r="H341" i="3" l="1"/>
  <c r="I341" i="3" s="1"/>
  <c r="V340" i="3"/>
  <c r="W340" i="3" s="1"/>
  <c r="P339" i="1"/>
  <c r="AA340" i="3"/>
  <c r="AD339" i="3"/>
  <c r="AB339" i="3"/>
  <c r="T341" i="3" l="1"/>
  <c r="S341" i="3"/>
  <c r="AC340" i="3"/>
  <c r="AD340" i="3"/>
  <c r="P340" i="1"/>
  <c r="AB340" i="3"/>
  <c r="AC339" i="3"/>
  <c r="H342" i="3" l="1"/>
  <c r="I342" i="3" s="1"/>
  <c r="V341" i="3"/>
  <c r="T342" i="3" l="1"/>
  <c r="S342" i="3"/>
  <c r="AA341" i="3"/>
  <c r="W341" i="3"/>
  <c r="H343" i="3" l="1"/>
  <c r="I343" i="3" s="1"/>
  <c r="V342" i="3"/>
  <c r="W342" i="3" s="1"/>
  <c r="P341" i="1"/>
  <c r="AA342" i="3"/>
  <c r="AD341" i="3"/>
  <c r="AB341" i="3"/>
  <c r="T343" i="3" l="1"/>
  <c r="S343" i="3"/>
  <c r="AC342" i="3"/>
  <c r="AD342" i="3"/>
  <c r="P342" i="1"/>
  <c r="AB342" i="3"/>
  <c r="AC341" i="3"/>
  <c r="H344" i="3" l="1"/>
  <c r="I344" i="3" s="1"/>
  <c r="V343" i="3"/>
  <c r="T344" i="3" l="1"/>
  <c r="S344" i="3"/>
  <c r="AA343" i="3"/>
  <c r="W343" i="3"/>
  <c r="H345" i="3" l="1"/>
  <c r="I345" i="3" s="1"/>
  <c r="V344" i="3"/>
  <c r="W344" i="3" s="1"/>
  <c r="P343" i="1"/>
  <c r="AA344" i="3"/>
  <c r="AD343" i="3"/>
  <c r="AB343" i="3"/>
  <c r="T345" i="3" l="1"/>
  <c r="S345" i="3"/>
  <c r="AC344" i="3"/>
  <c r="AD344" i="3"/>
  <c r="P344" i="1"/>
  <c r="AB344" i="3"/>
  <c r="AC343" i="3"/>
  <c r="H346" i="3" l="1"/>
  <c r="I346" i="3" s="1"/>
  <c r="V345" i="3"/>
  <c r="T346" i="3" l="1"/>
  <c r="S346" i="3"/>
  <c r="AA345" i="3"/>
  <c r="W345" i="3"/>
  <c r="H347" i="3" l="1"/>
  <c r="I347" i="3" s="1"/>
  <c r="V346" i="3"/>
  <c r="W346" i="3" s="1"/>
  <c r="P345" i="1"/>
  <c r="AA346" i="3"/>
  <c r="AD345" i="3"/>
  <c r="AB345" i="3"/>
  <c r="T347" i="3" l="1"/>
  <c r="S347" i="3"/>
  <c r="AC346" i="3"/>
  <c r="AD346" i="3"/>
  <c r="P346" i="1"/>
  <c r="AB346" i="3"/>
  <c r="AC345" i="3"/>
  <c r="H348" i="3" l="1"/>
  <c r="I348" i="3" s="1"/>
  <c r="V347" i="3"/>
  <c r="T348" i="3" l="1"/>
  <c r="S348" i="3"/>
  <c r="AA347" i="3"/>
  <c r="W347" i="3"/>
  <c r="H349" i="3" l="1"/>
  <c r="I349" i="3" s="1"/>
  <c r="V348" i="3"/>
  <c r="W348" i="3" s="1"/>
  <c r="P347" i="1"/>
  <c r="AA348" i="3"/>
  <c r="AD347" i="3"/>
  <c r="AB347" i="3"/>
  <c r="T349" i="3" l="1"/>
  <c r="S349" i="3"/>
  <c r="AC348" i="3"/>
  <c r="AD348" i="3"/>
  <c r="P348" i="1"/>
  <c r="AB348" i="3"/>
  <c r="AC347" i="3"/>
  <c r="H350" i="3" l="1"/>
  <c r="I350" i="3" s="1"/>
  <c r="V349" i="3"/>
  <c r="T350" i="3" l="1"/>
  <c r="S350" i="3"/>
  <c r="AA349" i="3"/>
  <c r="W349" i="3"/>
  <c r="H351" i="3" l="1"/>
  <c r="I351" i="3" s="1"/>
  <c r="V350" i="3"/>
  <c r="W350" i="3" s="1"/>
  <c r="P349" i="1"/>
  <c r="AA350" i="3"/>
  <c r="AD349" i="3"/>
  <c r="AB349" i="3"/>
  <c r="T351" i="3" l="1"/>
  <c r="S351" i="3"/>
  <c r="AC350" i="3"/>
  <c r="AD350" i="3"/>
  <c r="P350" i="1"/>
  <c r="AB350" i="3"/>
  <c r="AC349" i="3"/>
  <c r="H352" i="3" l="1"/>
  <c r="I352" i="3" s="1"/>
  <c r="V351" i="3"/>
  <c r="T352" i="3" l="1"/>
  <c r="S352" i="3"/>
  <c r="AA351" i="3"/>
  <c r="W351" i="3"/>
  <c r="H353" i="3" l="1"/>
  <c r="I353" i="3" s="1"/>
  <c r="V352" i="3"/>
  <c r="W352" i="3" s="1"/>
  <c r="P351" i="1"/>
  <c r="AA352" i="3"/>
  <c r="AD351" i="3"/>
  <c r="AB351" i="3"/>
  <c r="T353" i="3" l="1"/>
  <c r="S353" i="3"/>
  <c r="AC352" i="3"/>
  <c r="AD352" i="3"/>
  <c r="P352" i="1"/>
  <c r="AB352" i="3"/>
  <c r="AC351" i="3"/>
  <c r="H354" i="3" l="1"/>
  <c r="I354" i="3" s="1"/>
  <c r="V353" i="3"/>
  <c r="T354" i="3" l="1"/>
  <c r="S354" i="3"/>
  <c r="F48" i="4" s="1"/>
  <c r="AA353" i="3"/>
  <c r="W353" i="3"/>
  <c r="H355" i="3" l="1"/>
  <c r="I355" i="3" s="1"/>
  <c r="V354" i="3"/>
  <c r="W354" i="3" s="1"/>
  <c r="H48" i="4" s="1"/>
  <c r="G48" i="4"/>
  <c r="P353" i="1"/>
  <c r="AA354" i="3"/>
  <c r="AD353" i="3"/>
  <c r="AB353" i="3"/>
  <c r="T355" i="3" l="1"/>
  <c r="S355" i="3"/>
  <c r="AC354" i="3"/>
  <c r="AD354" i="3"/>
  <c r="P354" i="1"/>
  <c r="AB354" i="3"/>
  <c r="AC353" i="3"/>
  <c r="H356" i="3" l="1"/>
  <c r="I356" i="3" s="1"/>
  <c r="V355" i="3"/>
  <c r="T356" i="3" l="1"/>
  <c r="S356" i="3"/>
  <c r="AA355" i="3"/>
  <c r="W355" i="3"/>
  <c r="H357" i="3" l="1"/>
  <c r="I357" i="3" s="1"/>
  <c r="V356" i="3"/>
  <c r="W356" i="3" s="1"/>
  <c r="P355" i="1"/>
  <c r="AA356" i="3"/>
  <c r="AD355" i="3"/>
  <c r="AB355" i="3"/>
  <c r="T357" i="3" l="1"/>
  <c r="S357" i="3"/>
  <c r="AC356" i="3"/>
  <c r="AD356" i="3"/>
  <c r="P356" i="1"/>
  <c r="AB356" i="3"/>
  <c r="AC355" i="3"/>
  <c r="H358" i="3" l="1"/>
  <c r="I358" i="3" s="1"/>
  <c r="V357" i="3"/>
  <c r="T358" i="3" l="1"/>
  <c r="S358" i="3"/>
  <c r="AA357" i="3"/>
  <c r="W357" i="3"/>
  <c r="H359" i="3" l="1"/>
  <c r="I359" i="3" s="1"/>
  <c r="V358" i="3"/>
  <c r="W358" i="3" s="1"/>
  <c r="P357" i="1"/>
  <c r="AA358" i="3"/>
  <c r="AD357" i="3"/>
  <c r="AB357" i="3"/>
  <c r="T359" i="3" l="1"/>
  <c r="S359" i="3"/>
  <c r="AC358" i="3"/>
  <c r="AD358" i="3"/>
  <c r="P358" i="1"/>
  <c r="AB358" i="3"/>
  <c r="AC357" i="3"/>
  <c r="H360" i="3" l="1"/>
  <c r="I360" i="3" s="1"/>
  <c r="V359" i="3"/>
  <c r="T360" i="3" l="1"/>
  <c r="S360" i="3"/>
  <c r="AA359" i="3"/>
  <c r="W359" i="3"/>
  <c r="H361" i="3" l="1"/>
  <c r="I361" i="3" s="1"/>
  <c r="V360" i="3"/>
  <c r="W360" i="3" s="1"/>
  <c r="P359" i="1"/>
  <c r="AA360" i="3"/>
  <c r="AD359" i="3"/>
  <c r="AB359" i="3"/>
  <c r="T361" i="3" l="1"/>
  <c r="S361" i="3"/>
  <c r="AC360" i="3"/>
  <c r="AD360" i="3"/>
  <c r="P360" i="1"/>
  <c r="AB360" i="3"/>
  <c r="AC359" i="3"/>
  <c r="H362" i="3" l="1"/>
  <c r="I362" i="3" s="1"/>
  <c r="V361" i="3"/>
  <c r="T362" i="3" l="1"/>
  <c r="S362" i="3"/>
  <c r="F49" i="4" s="1"/>
  <c r="AA361" i="3"/>
  <c r="W361" i="3"/>
  <c r="H363" i="3" l="1"/>
  <c r="I363" i="3" s="1"/>
  <c r="V362" i="3"/>
  <c r="W362" i="3" s="1"/>
  <c r="H49" i="4" s="1"/>
  <c r="G49" i="4"/>
  <c r="P361" i="1"/>
  <c r="AA362" i="3"/>
  <c r="AD361" i="3"/>
  <c r="AB361" i="3"/>
  <c r="T363" i="3" l="1"/>
  <c r="S363" i="3"/>
  <c r="F50" i="4" s="1"/>
  <c r="AC362" i="3"/>
  <c r="AD362" i="3"/>
  <c r="P362" i="1"/>
  <c r="AB362" i="3"/>
  <c r="AC361" i="3"/>
  <c r="H364" i="3" l="1"/>
  <c r="I364" i="3" s="1"/>
  <c r="V363" i="3"/>
  <c r="G50" i="4"/>
  <c r="T364" i="3" l="1"/>
  <c r="S364" i="3"/>
  <c r="AA363" i="3"/>
  <c r="W363" i="3"/>
  <c r="H50" i="4" s="1"/>
  <c r="H365" i="3" l="1"/>
  <c r="I365" i="3" s="1"/>
  <c r="V364" i="3"/>
  <c r="W364" i="3" s="1"/>
  <c r="P363" i="1"/>
  <c r="AA364" i="3"/>
  <c r="AD363" i="3"/>
  <c r="AB363" i="3"/>
  <c r="T365" i="3" l="1"/>
  <c r="S365" i="3"/>
  <c r="F51" i="4" s="1"/>
  <c r="AC364" i="3"/>
  <c r="AD364" i="3"/>
  <c r="P364" i="1"/>
  <c r="AB364" i="3"/>
  <c r="AC363" i="3"/>
  <c r="H366" i="3" l="1"/>
  <c r="I366" i="3" s="1"/>
  <c r="V365" i="3"/>
  <c r="G51" i="4"/>
  <c r="T366" i="3" l="1"/>
  <c r="S366" i="3"/>
  <c r="AA365" i="3"/>
  <c r="W365" i="3"/>
  <c r="H51" i="4" s="1"/>
  <c r="H367" i="3" l="1"/>
  <c r="I367" i="3" s="1"/>
  <c r="V366" i="3"/>
  <c r="W366" i="3" s="1"/>
  <c r="P365" i="1"/>
  <c r="AA366" i="3"/>
  <c r="AD365" i="3"/>
  <c r="AB365" i="3"/>
  <c r="T367" i="3" l="1"/>
  <c r="S367" i="3"/>
  <c r="AC366" i="3"/>
  <c r="AD366" i="3"/>
  <c r="P366" i="1"/>
  <c r="AB366" i="3"/>
  <c r="AC365" i="3"/>
  <c r="H368" i="3" l="1"/>
  <c r="I368" i="3" s="1"/>
  <c r="V367" i="3"/>
  <c r="T368" i="3" l="1"/>
  <c r="S368" i="3"/>
  <c r="F52" i="4" s="1"/>
  <c r="AA367" i="3"/>
  <c r="W367" i="3"/>
  <c r="H369" i="3" l="1"/>
  <c r="I369" i="3" s="1"/>
  <c r="V368" i="3"/>
  <c r="W368" i="3" s="1"/>
  <c r="H52" i="4" s="1"/>
  <c r="G52" i="4"/>
  <c r="P367" i="1"/>
  <c r="AA368" i="3"/>
  <c r="AD367" i="3"/>
  <c r="AB367" i="3"/>
  <c r="T369" i="3" l="1"/>
  <c r="S369" i="3"/>
  <c r="AC368" i="3"/>
  <c r="AD368" i="3"/>
  <c r="P368" i="1"/>
  <c r="AB368" i="3"/>
  <c r="AC367" i="3"/>
  <c r="H370" i="3" l="1"/>
  <c r="I370" i="3" s="1"/>
  <c r="V369" i="3"/>
  <c r="T370" i="3" l="1"/>
  <c r="S370" i="3"/>
  <c r="AA369" i="3"/>
  <c r="W369" i="3"/>
  <c r="H371" i="3" l="1"/>
  <c r="I371" i="3" s="1"/>
  <c r="V370" i="3"/>
  <c r="W370" i="3" s="1"/>
  <c r="P369" i="1"/>
  <c r="AA370" i="3"/>
  <c r="AD369" i="3"/>
  <c r="AB369" i="3"/>
  <c r="T371" i="3" l="1"/>
  <c r="S371" i="3"/>
  <c r="AC370" i="3"/>
  <c r="AD370" i="3"/>
  <c r="P370" i="1"/>
  <c r="AB370" i="3"/>
  <c r="AC369" i="3"/>
  <c r="H372" i="3" l="1"/>
  <c r="I372" i="3" s="1"/>
  <c r="V371" i="3"/>
  <c r="T372" i="3" l="1"/>
  <c r="S372" i="3"/>
  <c r="AA371" i="3"/>
  <c r="W371" i="3"/>
  <c r="H373" i="3" l="1"/>
  <c r="I373" i="3" s="1"/>
  <c r="V372" i="3"/>
  <c r="W372" i="3" s="1"/>
  <c r="P371" i="1"/>
  <c r="AA372" i="3"/>
  <c r="AD371" i="3"/>
  <c r="AB371" i="3"/>
  <c r="T373" i="3" l="1"/>
  <c r="S373" i="3"/>
  <c r="AC372" i="3"/>
  <c r="AD372" i="3"/>
  <c r="P372" i="1"/>
  <c r="AB372" i="3"/>
  <c r="AC371" i="3"/>
  <c r="H374" i="3" l="1"/>
  <c r="I374" i="3" s="1"/>
  <c r="V373" i="3"/>
  <c r="T374" i="3" l="1"/>
  <c r="S374" i="3"/>
  <c r="AA373" i="3"/>
  <c r="W373" i="3"/>
  <c r="H375" i="3" l="1"/>
  <c r="I375" i="3" s="1"/>
  <c r="V374" i="3"/>
  <c r="W374" i="3" s="1"/>
  <c r="P373" i="1"/>
  <c r="AA374" i="3"/>
  <c r="AD373" i="3"/>
  <c r="AB373" i="3"/>
  <c r="T375" i="3" l="1"/>
  <c r="S375" i="3"/>
  <c r="AC374" i="3"/>
  <c r="AD374" i="3"/>
  <c r="P374" i="1"/>
  <c r="AB374" i="3"/>
  <c r="AC373" i="3"/>
  <c r="H376" i="3" l="1"/>
  <c r="I376" i="3" s="1"/>
  <c r="V375" i="3"/>
  <c r="T376" i="3" l="1"/>
  <c r="S376" i="3"/>
  <c r="AA375" i="3"/>
  <c r="W375" i="3"/>
  <c r="H377" i="3" l="1"/>
  <c r="I377" i="3" s="1"/>
  <c r="V376" i="3"/>
  <c r="W376" i="3" s="1"/>
  <c r="P375" i="1"/>
  <c r="AA376" i="3"/>
  <c r="AD375" i="3"/>
  <c r="AB375" i="3"/>
  <c r="T377" i="3" l="1"/>
  <c r="S377" i="3"/>
  <c r="AC376" i="3"/>
  <c r="AD376" i="3"/>
  <c r="P376" i="1"/>
  <c r="AB376" i="3"/>
  <c r="AC375" i="3"/>
  <c r="H378" i="3" l="1"/>
  <c r="I378" i="3" s="1"/>
  <c r="V377" i="3"/>
  <c r="T378" i="3" l="1"/>
  <c r="S378" i="3"/>
  <c r="AA377" i="3"/>
  <c r="W377" i="3"/>
  <c r="H379" i="3" l="1"/>
  <c r="I379" i="3" s="1"/>
  <c r="V378" i="3"/>
  <c r="W378" i="3" s="1"/>
  <c r="P377" i="1"/>
  <c r="AA378" i="3"/>
  <c r="AD377" i="3"/>
  <c r="AB377" i="3"/>
  <c r="T379" i="3" l="1"/>
  <c r="S379" i="3"/>
  <c r="AC378" i="3"/>
  <c r="AD378" i="3"/>
  <c r="P378" i="1"/>
  <c r="AB378" i="3"/>
  <c r="AC377" i="3"/>
  <c r="H380" i="3" l="1"/>
  <c r="I380" i="3" s="1"/>
  <c r="V379" i="3"/>
  <c r="T380" i="3" l="1"/>
  <c r="S380" i="3"/>
  <c r="AA379" i="3"/>
  <c r="W379" i="3"/>
  <c r="H381" i="3" l="1"/>
  <c r="I381" i="3" s="1"/>
  <c r="V380" i="3"/>
  <c r="W380" i="3" s="1"/>
  <c r="P379" i="1"/>
  <c r="AA380" i="3"/>
  <c r="AD379" i="3"/>
  <c r="AB379" i="3"/>
  <c r="T381" i="3" l="1"/>
  <c r="S381" i="3"/>
  <c r="AC380" i="3"/>
  <c r="AD380" i="3"/>
  <c r="P380" i="1"/>
  <c r="AB380" i="3"/>
  <c r="AC379" i="3"/>
  <c r="H382" i="3" l="1"/>
  <c r="I382" i="3" s="1"/>
  <c r="V381" i="3"/>
  <c r="T382" i="3" l="1"/>
  <c r="S382" i="3"/>
  <c r="AA381" i="3"/>
  <c r="W381" i="3"/>
  <c r="H383" i="3" l="1"/>
  <c r="I383" i="3" s="1"/>
  <c r="V382" i="3"/>
  <c r="W382" i="3" s="1"/>
  <c r="P381" i="1"/>
  <c r="AA382" i="3"/>
  <c r="AD381" i="3"/>
  <c r="AB381" i="3"/>
  <c r="T383" i="3" l="1"/>
  <c r="S383" i="3"/>
  <c r="AC382" i="3"/>
  <c r="AD382" i="3"/>
  <c r="P382" i="1"/>
  <c r="AB382" i="3"/>
  <c r="AC381" i="3"/>
  <c r="H384" i="3" l="1"/>
  <c r="I384" i="3" s="1"/>
  <c r="V383" i="3"/>
  <c r="T384" i="3" l="1"/>
  <c r="S384" i="3"/>
  <c r="AA383" i="3"/>
  <c r="W383" i="3"/>
  <c r="H385" i="3" l="1"/>
  <c r="I385" i="3" s="1"/>
  <c r="V384" i="3"/>
  <c r="W384" i="3" s="1"/>
  <c r="P383" i="1"/>
  <c r="AA384" i="3"/>
  <c r="AD383" i="3"/>
  <c r="AB383" i="3"/>
  <c r="T385" i="3" l="1"/>
  <c r="S385" i="3"/>
  <c r="AC384" i="3"/>
  <c r="AD384" i="3"/>
  <c r="P384" i="1"/>
  <c r="AB384" i="3"/>
  <c r="AC383" i="3"/>
  <c r="H386" i="3" l="1"/>
  <c r="I386" i="3" s="1"/>
  <c r="V385" i="3"/>
  <c r="T386" i="3" l="1"/>
  <c r="S386" i="3"/>
  <c r="AA385" i="3"/>
  <c r="W385" i="3"/>
  <c r="H387" i="3" l="1"/>
  <c r="I387" i="3" s="1"/>
  <c r="V386" i="3"/>
  <c r="W386" i="3" s="1"/>
  <c r="P385" i="1"/>
  <c r="AA386" i="3"/>
  <c r="AD385" i="3"/>
  <c r="AB385" i="3"/>
  <c r="T387" i="3" l="1"/>
  <c r="S387" i="3"/>
  <c r="AC386" i="3"/>
  <c r="AD386" i="3"/>
  <c r="P386" i="1"/>
  <c r="AB386" i="3"/>
  <c r="AC385" i="3"/>
  <c r="H388" i="3" l="1"/>
  <c r="I388" i="3" s="1"/>
  <c r="V387" i="3"/>
  <c r="T388" i="3" l="1"/>
  <c r="S388" i="3"/>
  <c r="AA387" i="3"/>
  <c r="W387" i="3"/>
  <c r="H389" i="3" l="1"/>
  <c r="I389" i="3" s="1"/>
  <c r="V388" i="3"/>
  <c r="W388" i="3" s="1"/>
  <c r="P387" i="1"/>
  <c r="AA388" i="3"/>
  <c r="AD387" i="3"/>
  <c r="AB387" i="3"/>
  <c r="T389" i="3" l="1"/>
  <c r="S389" i="3"/>
  <c r="AC388" i="3"/>
  <c r="AD388" i="3"/>
  <c r="P388" i="1"/>
  <c r="AB388" i="3"/>
  <c r="AC387" i="3"/>
  <c r="H390" i="3" l="1"/>
  <c r="I390" i="3" s="1"/>
  <c r="V389" i="3"/>
  <c r="T390" i="3" l="1"/>
  <c r="S390" i="3"/>
  <c r="AA389" i="3"/>
  <c r="W389" i="3"/>
  <c r="H391" i="3" l="1"/>
  <c r="I391" i="3" s="1"/>
  <c r="V390" i="3"/>
  <c r="W390" i="3" s="1"/>
  <c r="P389" i="1"/>
  <c r="AA390" i="3"/>
  <c r="AD389" i="3"/>
  <c r="AB389" i="3"/>
  <c r="T391" i="3" l="1"/>
  <c r="S391" i="3"/>
  <c r="AC390" i="3"/>
  <c r="AD390" i="3"/>
  <c r="P390" i="1"/>
  <c r="AB390" i="3"/>
  <c r="AC389" i="3"/>
  <c r="H392" i="3" l="1"/>
  <c r="I392" i="3" s="1"/>
  <c r="V391" i="3"/>
  <c r="T392" i="3" l="1"/>
  <c r="S392" i="3"/>
  <c r="AA391" i="3"/>
  <c r="W391" i="3"/>
  <c r="H393" i="3" l="1"/>
  <c r="I393" i="3" s="1"/>
  <c r="V392" i="3"/>
  <c r="W392" i="3" s="1"/>
  <c r="P391" i="1"/>
  <c r="AA392" i="3"/>
  <c r="AD391" i="3"/>
  <c r="AB391" i="3"/>
  <c r="T393" i="3" l="1"/>
  <c r="S393" i="3"/>
  <c r="AC392" i="3"/>
  <c r="AD392" i="3"/>
  <c r="P392" i="1"/>
  <c r="AB392" i="3"/>
  <c r="AC391" i="3"/>
  <c r="H394" i="3" l="1"/>
  <c r="I394" i="3" s="1"/>
  <c r="V393" i="3"/>
  <c r="T394" i="3" l="1"/>
  <c r="S394" i="3"/>
  <c r="AA393" i="3"/>
  <c r="W393" i="3"/>
  <c r="H395" i="3" l="1"/>
  <c r="I395" i="3" s="1"/>
  <c r="V394" i="3"/>
  <c r="W394" i="3" s="1"/>
  <c r="P393" i="1"/>
  <c r="AA394" i="3"/>
  <c r="AD393" i="3"/>
  <c r="AB393" i="3"/>
  <c r="T395" i="3" l="1"/>
  <c r="S395" i="3"/>
  <c r="AC394" i="3"/>
  <c r="AD394" i="3"/>
  <c r="P394" i="1"/>
  <c r="AB394" i="3"/>
  <c r="AC393" i="3"/>
  <c r="H396" i="3" l="1"/>
  <c r="I396" i="3" s="1"/>
  <c r="V395" i="3"/>
  <c r="T396" i="3" l="1"/>
  <c r="S396" i="3"/>
  <c r="AA395" i="3"/>
  <c r="W395" i="3"/>
  <c r="H397" i="3" l="1"/>
  <c r="I397" i="3" s="1"/>
  <c r="V396" i="3"/>
  <c r="W396" i="3" s="1"/>
  <c r="P395" i="1"/>
  <c r="AA396" i="3"/>
  <c r="AD395" i="3"/>
  <c r="AB395" i="3"/>
  <c r="T397" i="3" l="1"/>
  <c r="S397" i="3"/>
  <c r="AC396" i="3"/>
  <c r="AD396" i="3"/>
  <c r="P396" i="1"/>
  <c r="AB396" i="3"/>
  <c r="AC395" i="3"/>
  <c r="H398" i="3" l="1"/>
  <c r="I398" i="3" s="1"/>
  <c r="V397" i="3"/>
  <c r="T398" i="3" l="1"/>
  <c r="S398" i="3"/>
  <c r="AA397" i="3"/>
  <c r="W397" i="3"/>
  <c r="H399" i="3" l="1"/>
  <c r="I399" i="3" s="1"/>
  <c r="V398" i="3"/>
  <c r="W398" i="3" s="1"/>
  <c r="P397" i="1"/>
  <c r="AA398" i="3"/>
  <c r="AD397" i="3"/>
  <c r="AB397" i="3"/>
  <c r="T399" i="3" l="1"/>
  <c r="S399" i="3"/>
  <c r="AC398" i="3"/>
  <c r="AD398" i="3"/>
  <c r="P398" i="1"/>
  <c r="AB398" i="3"/>
  <c r="AC397" i="3"/>
  <c r="H400" i="3" l="1"/>
  <c r="I400" i="3" s="1"/>
  <c r="V399" i="3"/>
  <c r="T400" i="3" l="1"/>
  <c r="S400" i="3"/>
  <c r="AA399" i="3"/>
  <c r="W399" i="3"/>
  <c r="H401" i="3" l="1"/>
  <c r="I401" i="3" s="1"/>
  <c r="V400" i="3"/>
  <c r="W400" i="3" s="1"/>
  <c r="P399" i="1"/>
  <c r="AA400" i="3"/>
  <c r="AD399" i="3"/>
  <c r="AB399" i="3"/>
  <c r="T401" i="3" l="1"/>
  <c r="S401" i="3"/>
  <c r="AC400" i="3"/>
  <c r="AD400" i="3"/>
  <c r="P400" i="1"/>
  <c r="AB400" i="3"/>
  <c r="AC399" i="3"/>
  <c r="H402" i="3" l="1"/>
  <c r="I402" i="3" s="1"/>
  <c r="V401" i="3"/>
  <c r="T402" i="3" l="1"/>
  <c r="S402" i="3"/>
  <c r="AA401" i="3"/>
  <c r="W401" i="3"/>
  <c r="H403" i="3" l="1"/>
  <c r="I403" i="3" s="1"/>
  <c r="V402" i="3"/>
  <c r="W402" i="3" s="1"/>
  <c r="P401" i="1"/>
  <c r="AA402" i="3"/>
  <c r="AD401" i="3"/>
  <c r="AB401" i="3"/>
  <c r="T403" i="3" l="1"/>
  <c r="S403" i="3"/>
  <c r="AC402" i="3"/>
  <c r="AD402" i="3"/>
  <c r="P402" i="1"/>
  <c r="AB402" i="3"/>
  <c r="AC401" i="3"/>
  <c r="H404" i="3" l="1"/>
  <c r="I404" i="3" s="1"/>
  <c r="V403" i="3"/>
  <c r="T404" i="3" l="1"/>
  <c r="S404" i="3"/>
  <c r="F53" i="4" s="1"/>
  <c r="AA403" i="3"/>
  <c r="W403" i="3"/>
  <c r="H405" i="3" l="1"/>
  <c r="I405" i="3" s="1"/>
  <c r="V404" i="3"/>
  <c r="W404" i="3" s="1"/>
  <c r="H53" i="4" s="1"/>
  <c r="G53" i="4"/>
  <c r="P403" i="1"/>
  <c r="AA404" i="3"/>
  <c r="AD403" i="3"/>
  <c r="AB403" i="3"/>
  <c r="T405" i="3" l="1"/>
  <c r="S405" i="3"/>
  <c r="F54" i="4" s="1"/>
  <c r="AC404" i="3"/>
  <c r="AD404" i="3"/>
  <c r="P404" i="1"/>
  <c r="AB404" i="3"/>
  <c r="AC403" i="3"/>
  <c r="H406" i="3" l="1"/>
  <c r="I406" i="3" s="1"/>
  <c r="V405" i="3"/>
  <c r="G54" i="4"/>
  <c r="T406" i="3" l="1"/>
  <c r="S406" i="3"/>
  <c r="AA405" i="3"/>
  <c r="W405" i="3"/>
  <c r="H54" i="4" s="1"/>
  <c r="H407" i="3" l="1"/>
  <c r="I407" i="3" s="1"/>
  <c r="V406" i="3"/>
  <c r="W406" i="3" s="1"/>
  <c r="P405" i="1"/>
  <c r="D19" i="1"/>
  <c r="AA406" i="3"/>
  <c r="AD405" i="3"/>
  <c r="AB405" i="3"/>
  <c r="T407" i="3" l="1"/>
  <c r="S407" i="3"/>
  <c r="E19" i="1"/>
  <c r="G19" i="1"/>
  <c r="AC406" i="3"/>
  <c r="AD406" i="3"/>
  <c r="P406" i="1"/>
  <c r="AB406" i="3"/>
  <c r="AC405" i="3"/>
  <c r="H408" i="3" l="1"/>
  <c r="I408" i="3" s="1"/>
  <c r="V407" i="3"/>
  <c r="T408" i="3" l="1"/>
  <c r="S408" i="3"/>
  <c r="AA407" i="3"/>
  <c r="W407" i="3"/>
  <c r="H409" i="3" l="1"/>
  <c r="I409" i="3" s="1"/>
  <c r="V408" i="3"/>
  <c r="W408" i="3" s="1"/>
  <c r="P407" i="1"/>
  <c r="AA408" i="3"/>
  <c r="AD407" i="3"/>
  <c r="AB407" i="3"/>
  <c r="T409" i="3" l="1"/>
  <c r="S409" i="3"/>
  <c r="AC408" i="3"/>
  <c r="AD408" i="3"/>
  <c r="P408" i="1"/>
  <c r="AB408" i="3"/>
  <c r="AC407" i="3"/>
  <c r="H410" i="3" l="1"/>
  <c r="I410" i="3" s="1"/>
  <c r="V409" i="3"/>
  <c r="T410" i="3" l="1"/>
  <c r="S410" i="3"/>
  <c r="AA409" i="3"/>
  <c r="W409" i="3"/>
  <c r="H411" i="3" l="1"/>
  <c r="I411" i="3" s="1"/>
  <c r="V410" i="3"/>
  <c r="W410" i="3" s="1"/>
  <c r="P409" i="1"/>
  <c r="AA410" i="3"/>
  <c r="AD409" i="3"/>
  <c r="AB409" i="3"/>
  <c r="T411" i="3" l="1"/>
  <c r="S411" i="3"/>
  <c r="AC410" i="3"/>
  <c r="AD410" i="3"/>
  <c r="P410" i="1"/>
  <c r="AB410" i="3"/>
  <c r="AC409" i="3"/>
  <c r="H412" i="3" l="1"/>
  <c r="I412" i="3" s="1"/>
  <c r="V411" i="3"/>
  <c r="T412" i="3" l="1"/>
  <c r="S412" i="3"/>
  <c r="AA411" i="3"/>
  <c r="W411" i="3"/>
  <c r="H413" i="3" l="1"/>
  <c r="I413" i="3" s="1"/>
  <c r="V412" i="3"/>
  <c r="W412" i="3" s="1"/>
  <c r="P411" i="1"/>
  <c r="AA412" i="3"/>
  <c r="AD411" i="3"/>
  <c r="AB411" i="3"/>
  <c r="T413" i="3" l="1"/>
  <c r="S413" i="3"/>
  <c r="AC412" i="3"/>
  <c r="AD412" i="3"/>
  <c r="P412" i="1"/>
  <c r="AB412" i="3"/>
  <c r="AC411" i="3"/>
  <c r="H414" i="3" l="1"/>
  <c r="I414" i="3" s="1"/>
  <c r="V413" i="3"/>
  <c r="T414" i="3" l="1"/>
  <c r="S414" i="3"/>
  <c r="AA413" i="3"/>
  <c r="W413" i="3"/>
  <c r="H415" i="3" l="1"/>
  <c r="I415" i="3" s="1"/>
  <c r="V414" i="3"/>
  <c r="W414" i="3" s="1"/>
  <c r="P413" i="1"/>
  <c r="AA414" i="3"/>
  <c r="AD413" i="3"/>
  <c r="AB413" i="3"/>
  <c r="T415" i="3" l="1"/>
  <c r="S415" i="3"/>
  <c r="AC414" i="3"/>
  <c r="AD414" i="3"/>
  <c r="P414" i="1"/>
  <c r="AB414" i="3"/>
  <c r="AC413" i="3"/>
  <c r="H416" i="3" l="1"/>
  <c r="I416" i="3" s="1"/>
  <c r="V415" i="3"/>
  <c r="T416" i="3" l="1"/>
  <c r="S416" i="3"/>
  <c r="F55" i="4" s="1"/>
  <c r="AA415" i="3"/>
  <c r="W415" i="3"/>
  <c r="H417" i="3" l="1"/>
  <c r="I417" i="3" s="1"/>
  <c r="V416" i="3"/>
  <c r="W416" i="3" s="1"/>
  <c r="H55" i="4" s="1"/>
  <c r="G55" i="4"/>
  <c r="P415" i="1"/>
  <c r="AA416" i="3"/>
  <c r="AD415" i="3"/>
  <c r="AB415" i="3"/>
  <c r="T417" i="3" l="1"/>
  <c r="S417" i="3"/>
  <c r="F56" i="4" s="1"/>
  <c r="AC416" i="3"/>
  <c r="AD416" i="3"/>
  <c r="P416" i="1"/>
  <c r="AB416" i="3"/>
  <c r="AC415" i="3"/>
  <c r="H418" i="3" l="1"/>
  <c r="I418" i="3" s="1"/>
  <c r="V417" i="3"/>
  <c r="G56" i="4"/>
  <c r="T418" i="3" l="1"/>
  <c r="S418" i="3"/>
  <c r="AA417" i="3"/>
  <c r="W417" i="3"/>
  <c r="H56" i="4" s="1"/>
  <c r="H419" i="3" l="1"/>
  <c r="I419" i="3" s="1"/>
  <c r="V418" i="3"/>
  <c r="W418" i="3" s="1"/>
  <c r="P417" i="1"/>
  <c r="AA418" i="3"/>
  <c r="AD417" i="3"/>
  <c r="AB417" i="3"/>
  <c r="T419" i="3" l="1"/>
  <c r="S419" i="3"/>
  <c r="AC418" i="3"/>
  <c r="AD418" i="3"/>
  <c r="P418" i="1"/>
  <c r="AB418" i="3"/>
  <c r="AC417" i="3"/>
  <c r="H420" i="3" l="1"/>
  <c r="I420" i="3" s="1"/>
  <c r="V419" i="3"/>
  <c r="T420" i="3" l="1"/>
  <c r="S420" i="3"/>
  <c r="AA419" i="3"/>
  <c r="W419" i="3"/>
  <c r="H421" i="3" l="1"/>
  <c r="I421" i="3" s="1"/>
  <c r="V420" i="3"/>
  <c r="W420" i="3" s="1"/>
  <c r="P419" i="1"/>
  <c r="AA420" i="3"/>
  <c r="AD419" i="3"/>
  <c r="AB419" i="3"/>
  <c r="T421" i="3" l="1"/>
  <c r="S421" i="3"/>
  <c r="AC420" i="3"/>
  <c r="AD420" i="3"/>
  <c r="P420" i="1"/>
  <c r="AB420" i="3"/>
  <c r="AC419" i="3"/>
  <c r="H422" i="3" l="1"/>
  <c r="I422" i="3" s="1"/>
  <c r="V421" i="3"/>
  <c r="T422" i="3" l="1"/>
  <c r="S422" i="3"/>
  <c r="AA421" i="3"/>
  <c r="W421" i="3"/>
  <c r="H423" i="3" l="1"/>
  <c r="I423" i="3" s="1"/>
  <c r="V422" i="3"/>
  <c r="W422" i="3" s="1"/>
  <c r="P421" i="1"/>
  <c r="AA422" i="3"/>
  <c r="AD421" i="3"/>
  <c r="AB421" i="3"/>
  <c r="T423" i="3" l="1"/>
  <c r="S423" i="3"/>
  <c r="AC422" i="3"/>
  <c r="AD422" i="3"/>
  <c r="P422" i="1"/>
  <c r="AB422" i="3"/>
  <c r="AC421" i="3"/>
  <c r="H424" i="3" l="1"/>
  <c r="I424" i="3" s="1"/>
  <c r="V423" i="3"/>
  <c r="T424" i="3" l="1"/>
  <c r="S424" i="3"/>
  <c r="AA423" i="3"/>
  <c r="W423" i="3"/>
  <c r="H425" i="3" l="1"/>
  <c r="I425" i="3" s="1"/>
  <c r="V424" i="3"/>
  <c r="P423" i="1"/>
  <c r="AD423" i="3"/>
  <c r="AB423" i="3"/>
  <c r="AC423" i="3" s="1"/>
  <c r="T425" i="3" l="1"/>
  <c r="S425" i="3"/>
  <c r="W424" i="3"/>
  <c r="AA424" i="3"/>
  <c r="H426" i="3" l="1"/>
  <c r="I426" i="3" s="1"/>
  <c r="V425" i="3"/>
  <c r="W425" i="3" s="1"/>
  <c r="P424" i="1"/>
  <c r="AA425" i="3"/>
  <c r="AD424" i="3"/>
  <c r="AB424" i="3"/>
  <c r="T426" i="3" l="1"/>
  <c r="S426" i="3"/>
  <c r="AC425" i="3"/>
  <c r="AD425" i="3"/>
  <c r="P425" i="1"/>
  <c r="AB425" i="3"/>
  <c r="AC424" i="3"/>
  <c r="H427" i="3" l="1"/>
  <c r="I427" i="3" s="1"/>
  <c r="V426" i="3"/>
  <c r="T427" i="3" l="1"/>
  <c r="S427" i="3"/>
  <c r="AA426" i="3"/>
  <c r="W426" i="3"/>
  <c r="H428" i="3" l="1"/>
  <c r="I428" i="3" s="1"/>
  <c r="V427" i="3"/>
  <c r="P426" i="1"/>
  <c r="AD426" i="3"/>
  <c r="AB426" i="3"/>
  <c r="AC426" i="3" s="1"/>
  <c r="T428" i="3" l="1"/>
  <c r="S428" i="3"/>
  <c r="W427" i="3"/>
  <c r="AA427" i="3"/>
  <c r="H429" i="3" l="1"/>
  <c r="I429" i="3" s="1"/>
  <c r="V428" i="3"/>
  <c r="W428" i="3" s="1"/>
  <c r="P427" i="1"/>
  <c r="AA428" i="3"/>
  <c r="AD427" i="3"/>
  <c r="AB427" i="3"/>
  <c r="T429" i="3" l="1"/>
  <c r="S429" i="3"/>
  <c r="F57" i="4" s="1"/>
  <c r="AC428" i="3"/>
  <c r="AD428" i="3"/>
  <c r="P428" i="1"/>
  <c r="AB428" i="3"/>
  <c r="AC427" i="3"/>
  <c r="H430" i="3" l="1"/>
  <c r="I430" i="3" s="1"/>
  <c r="V429" i="3"/>
  <c r="G57" i="4"/>
  <c r="T430" i="3" l="1"/>
  <c r="S430" i="3"/>
  <c r="F58" i="4" s="1"/>
  <c r="AA429" i="3"/>
  <c r="W429" i="3"/>
  <c r="H57" i="4" s="1"/>
  <c r="H431" i="3" l="1"/>
  <c r="I431" i="3" s="1"/>
  <c r="V430" i="3"/>
  <c r="W430" i="3" s="1"/>
  <c r="H58" i="4" s="1"/>
  <c r="G58" i="4"/>
  <c r="P429" i="1"/>
  <c r="AA430" i="3"/>
  <c r="AD429" i="3"/>
  <c r="AC429" i="3"/>
  <c r="AB429" i="3"/>
  <c r="T431" i="3" l="1"/>
  <c r="S431" i="3"/>
  <c r="AC430" i="3"/>
  <c r="AD430" i="3"/>
  <c r="P430" i="1"/>
  <c r="AB430" i="3"/>
  <c r="H432" i="3" l="1"/>
  <c r="I432" i="3" s="1"/>
  <c r="V431" i="3"/>
  <c r="T432" i="3" l="1"/>
  <c r="S432" i="3"/>
  <c r="F59" i="4" s="1"/>
  <c r="AA431" i="3"/>
  <c r="W431" i="3"/>
  <c r="H433" i="3" l="1"/>
  <c r="I433" i="3" s="1"/>
  <c r="V432" i="3"/>
  <c r="W432" i="3" s="1"/>
  <c r="H59" i="4" s="1"/>
  <c r="G59" i="4"/>
  <c r="AB431" i="3"/>
  <c r="AC431" i="3" s="1"/>
  <c r="P431" i="1"/>
  <c r="AA432" i="3"/>
  <c r="AD431" i="3"/>
  <c r="T433" i="3" l="1"/>
  <c r="S433" i="3"/>
  <c r="AD432" i="3"/>
  <c r="P432" i="1"/>
  <c r="AB432" i="3"/>
  <c r="AC432" i="3" s="1"/>
  <c r="H434" i="3" l="1"/>
  <c r="I434" i="3" s="1"/>
  <c r="V433" i="3"/>
  <c r="T434" i="3" l="1"/>
  <c r="S434" i="3"/>
  <c r="F60" i="4" s="1"/>
  <c r="AA433" i="3"/>
  <c r="W433" i="3"/>
  <c r="H435" i="3" l="1"/>
  <c r="I435" i="3" s="1"/>
  <c r="V434" i="3"/>
  <c r="G60" i="4"/>
  <c r="P433" i="1"/>
  <c r="AD433" i="3"/>
  <c r="AC433" i="3"/>
  <c r="AB433" i="3"/>
  <c r="T435" i="3" l="1"/>
  <c r="S435" i="3"/>
  <c r="F61" i="4" s="1"/>
  <c r="W434" i="3"/>
  <c r="H60" i="4" s="1"/>
  <c r="AA434" i="3"/>
  <c r="H436" i="3" l="1"/>
  <c r="I436" i="3" s="1"/>
  <c r="V435" i="3"/>
  <c r="W435" i="3" s="1"/>
  <c r="H61" i="4" s="1"/>
  <c r="G61" i="4"/>
  <c r="C11" i="5"/>
  <c r="D11" i="5" s="1"/>
  <c r="F11" i="5" s="1"/>
  <c r="G12" i="1"/>
  <c r="P434" i="1"/>
  <c r="AA435" i="3"/>
  <c r="AD434" i="3"/>
  <c r="AB434" i="3"/>
  <c r="T436" i="3" l="1"/>
  <c r="V436" i="3" s="1"/>
  <c r="W436" i="3" s="1"/>
  <c r="S436" i="3"/>
  <c r="AC435" i="3"/>
  <c r="AD435" i="3"/>
  <c r="AA436" i="3"/>
  <c r="P435" i="1"/>
  <c r="AB435" i="3"/>
  <c r="AC434" i="3"/>
  <c r="B27" i="1" l="1"/>
  <c r="C8" i="5"/>
  <c r="D8" i="5" s="1"/>
  <c r="F8" i="5" s="1"/>
  <c r="B24" i="1"/>
  <c r="C9" i="5"/>
  <c r="D9" i="5" s="1"/>
  <c r="F9" i="5" s="1"/>
  <c r="C10" i="5"/>
  <c r="D10" i="5" s="1"/>
  <c r="F10" i="5" s="1"/>
  <c r="B26" i="1"/>
  <c r="B25" i="1"/>
  <c r="D6" i="1"/>
  <c r="AB436" i="3"/>
  <c r="AC436" i="3"/>
  <c r="D12" i="1" s="1"/>
  <c r="AD436" i="3"/>
  <c r="D16" i="1"/>
  <c r="D20" i="1"/>
  <c r="D9" i="1"/>
  <c r="P436" i="1"/>
  <c r="E16" i="1" l="1"/>
  <c r="G16" i="1"/>
  <c r="E20" i="1"/>
  <c r="G20" i="1"/>
  <c r="G9" i="1"/>
  <c r="C7" i="5"/>
  <c r="D7" i="5" s="1"/>
  <c r="F7" i="5" s="1"/>
  <c r="G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tc={9FDB3B54-0A8E-4595-1074-862143BDEB1A}</author>
  </authors>
  <commentList>
    <comment ref="B10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Friday normalization uses the Tuesday daily cash-session open divided by the previous Friday daily cash-session close, minus one.</t>
      </text>
    </comment>
  </commentList>
</comments>
</file>

<file path=xl/sharedStrings.xml><?xml version="1.0" encoding="utf-8"?>
<sst xmlns="http://schemas.openxmlformats.org/spreadsheetml/2006/main" count="1227" uniqueCount="149">
  <si>
    <t>OPPW baseline versus loss-control rule</t>
  </si>
  <si>
    <t>Stateful comparison at 11.3x leverage with a two-outcome damage gate and no premarket-low rule. Tuesday re-entry is an approximate repricing overlay normalized from Friday.</t>
  </si>
  <si>
    <t>Stateful comparison at 11.3x leverage. Tuesday re-entry is an approximate repricing overlay normalized from Friday.</t>
  </si>
  <si>
    <t>Week</t>
  </si>
  <si>
    <t>Baseline log10 equity multiple</t>
  </si>
  <si>
    <t>Rule log10 equity multiple</t>
  </si>
  <si>
    <t>Trades</t>
  </si>
  <si>
    <t>Changed</t>
  </si>
  <si>
    <t>Model status</t>
  </si>
  <si>
    <t>Baseline weekly geo</t>
  </si>
  <si>
    <t>Rule weekly geo</t>
  </si>
  <si>
    <t>Weekly uplift</t>
  </si>
  <si>
    <t>Baseline max DD</t>
  </si>
  <si>
    <t>Rule max DD</t>
  </si>
  <si>
    <t>Target rule raw</t>
  </si>
  <si>
    <t>Period</t>
  </si>
  <si>
    <t>Weeks</t>
  </si>
  <si>
    <t>Difference</t>
  </si>
  <si>
    <t>Baseline CAGR</t>
  </si>
  <si>
    <t>Rule CAGR</t>
  </si>
  <si>
    <t>Full history</t>
  </si>
  <si>
    <t>2018-2020</t>
  </si>
  <si>
    <t>2021</t>
  </si>
  <si>
    <t>2022-2025</t>
  </si>
  <si>
    <t>2026</t>
  </si>
  <si>
    <t>Rule action</t>
  </si>
  <si>
    <t>BASELINE</t>
  </si>
  <si>
    <t>DAMAGE SKIP</t>
  </si>
  <si>
    <t>GAP/MOM SKIP</t>
  </si>
  <si>
    <t>TUESDAY RE-ENTRY</t>
  </si>
  <si>
    <t>Rule assumptions</t>
  </si>
  <si>
    <t>Blue-text cells are editable. All stateful decisions on All Trades reference these cells.</t>
  </si>
  <si>
    <t>Parameter</t>
  </si>
  <si>
    <t>Value</t>
  </si>
  <si>
    <t>Interpretation</t>
  </si>
  <si>
    <t>Leverage</t>
  </si>
  <si>
    <t>Applied to every raw weekly return</t>
  </si>
  <si>
    <t>Last-two threshold</t>
  </si>
  <si>
    <t>Skip when the prior two rule outcomes sum to this value or less</t>
  </si>
  <si>
    <t>Cash-opening gap</t>
  </si>
  <si>
    <t>Friday adjusted cash close to Monday adjusted cash open</t>
  </si>
  <si>
    <t>20-session momentum</t>
  </si>
  <si>
    <t>Previous Friday daily close versus 20 sessions earlier</t>
  </si>
  <si>
    <t>Tuesday normalization</t>
  </si>
  <si>
    <t>Absolute Tuesday daily open deviation from previous Friday daily close</t>
  </si>
  <si>
    <t>Initial comparison equity</t>
  </si>
  <si>
    <t>Common index base for both equity paths</t>
  </si>
  <si>
    <t>Model conventions</t>
  </si>
  <si>
    <t>State</t>
  </si>
  <si>
    <t>Skipped weeks contribute 0.0 to the next two-outcome sum</t>
  </si>
  <si>
    <t>Priority</t>
  </si>
  <si>
    <t>Damage skip is evaluated before the gap/momentum branch.</t>
  </si>
  <si>
    <t>Normalization anchor</t>
  </si>
  <si>
    <t>Previous Friday daily cash close</t>
  </si>
  <si>
    <t>Tuesday limitation</t>
  </si>
  <si>
    <t>Repriced overlay reuses the original baseline exit price; it does not rerun exit state.</t>
  </si>
  <si>
    <t>Source</t>
  </si>
  <si>
    <t>D:\oppw\backtest\oppw24.py; D:\oppw\backtest\quotes.pkl</t>
  </si>
  <si>
    <t>All baseline trades versus stateful loss-control rule</t>
  </si>
  <si>
    <t>One row per baseline trade. Green formula cells reference assumptions or prior rows; imported historical observations remain black.</t>
  </si>
  <si>
    <t>Trade #</t>
  </si>
  <si>
    <t>Open date</t>
  </si>
  <si>
    <t>Close date</t>
  </si>
  <si>
    <t>Exit reason</t>
  </si>
  <si>
    <t>Baseline open</t>
  </si>
  <si>
    <t>Baseline close</t>
  </si>
  <si>
    <t>Baseline raw</t>
  </si>
  <si>
    <t>Previous 2 rule sum</t>
  </si>
  <si>
    <t>Damage trigger</t>
  </si>
  <si>
    <t>Cash-open gap</t>
  </si>
  <si>
    <t>Momentum 20d</t>
  </si>
  <si>
    <t>Tuesday vs Friday</t>
  </si>
  <si>
    <t>Gap trigger</t>
  </si>
  <si>
    <t>Momentum trigger</t>
  </si>
  <si>
    <t>Tuesday normalized</t>
  </si>
  <si>
    <t>Tuesday date</t>
  </si>
  <si>
    <t>Tuesday entry</t>
  </si>
  <si>
    <t>Tuesday repriced raw</t>
  </si>
  <si>
    <t>Rule raw</t>
  </si>
  <si>
    <t>Baseline 11.3x</t>
  </si>
  <si>
    <t>Rule 11.3x</t>
  </si>
  <si>
    <t>11.3x difference</t>
  </si>
  <si>
    <t>Baseline equity</t>
  </si>
  <si>
    <t>Baseline peak</t>
  </si>
  <si>
    <t>Baseline DD</t>
  </si>
  <si>
    <t>Rule equity</t>
  </si>
  <si>
    <t>Rule peak</t>
  </si>
  <si>
    <t>Rule DD</t>
  </si>
  <si>
    <t>Equity difference</t>
  </si>
  <si>
    <t>Notes</t>
  </si>
  <si>
    <t>CH</t>
  </si>
  <si>
    <t>Baseline trade unchanged.</t>
  </si>
  <si>
    <t>TSL1PRE</t>
  </si>
  <si>
    <t>TO</t>
  </si>
  <si>
    <t>Skipped because the previous two rule outcomes totalled at or below the damage threshold.</t>
  </si>
  <si>
    <t>BH</t>
  </si>
  <si>
    <t>TSL2</t>
  </si>
  <si>
    <t>TSL4</t>
  </si>
  <si>
    <t>PREOH</t>
  </si>
  <si>
    <t>BEPRE</t>
  </si>
  <si>
    <t>GAP DOWN</t>
  </si>
  <si>
    <t>SL</t>
  </si>
  <si>
    <t>Monday entry skipped; Tuesday did not normalize within the Friday-based tolerance.</t>
  </si>
  <si>
    <t>SLPRE</t>
  </si>
  <si>
    <t>TSL3</t>
  </si>
  <si>
    <t>Monday entry deferred; Tuesday normalized from Friday and uses the repriced overlay return.</t>
  </si>
  <si>
    <t>Changed-trade snapshot</t>
  </si>
  <si>
    <t>Snapshot membership reflects the stated assumptions. Values remain linked to All Trades.</t>
  </si>
  <si>
    <t>Workbook checks</t>
  </si>
  <si>
    <t>All checks should report OK before delivery.</t>
  </si>
  <si>
    <t>Check</t>
  </si>
  <si>
    <t>Expected</t>
  </si>
  <si>
    <t>Actual</t>
  </si>
  <si>
    <t>Tolerance</t>
  </si>
  <si>
    <t>Status</t>
  </si>
  <si>
    <t>Trade count</t>
  </si>
  <si>
    <t>All captured closed baseline trades</t>
  </si>
  <si>
    <t>Reconciles to Python extraction</t>
  </si>
  <si>
    <t>Reconciles to independent two-week state calculation</t>
  </si>
  <si>
    <t>Damage skips</t>
  </si>
  <si>
    <t>Two-outcome priority branch</t>
  </si>
  <si>
    <t>Gap/momentum skips</t>
  </si>
  <si>
    <t>Tuesday not normalized</t>
  </si>
  <si>
    <t>Tuesday re-entries</t>
  </si>
  <si>
    <t>Friday-normalized overlay</t>
  </si>
  <si>
    <t>2026-07-27 rule return</t>
  </si>
  <si>
    <t>Recent -4.702% baseline trade is skipped</t>
  </si>
  <si>
    <t>Methodology and audit trail</t>
  </si>
  <si>
    <t>Definitions used to reproduce the comparison.</t>
  </si>
  <si>
    <t>Topic</t>
  </si>
  <si>
    <t>Definition</t>
  </si>
  <si>
    <t>Baseline source</t>
  </si>
  <si>
    <t>D:\oppw\backtest\oppw24.py</t>
  </si>
  <si>
    <t>Quote source</t>
  </si>
  <si>
    <t>D:\oppw\backtest\quotes.pkl</t>
  </si>
  <si>
    <t>History</t>
  </si>
  <si>
    <t>20180416 through 20260803; 432 closed trades</t>
  </si>
  <si>
    <t>Last two</t>
  </si>
  <si>
    <t>Sum of the previous two rule raw outcomes; skipped weeks enter the history as 0.0.</t>
  </si>
  <si>
    <t>Damage priority</t>
  </si>
  <si>
    <t>When the last-two condition is true, the week is skipped before evaluating gap or momentum.</t>
  </si>
  <si>
    <t>Monday adjusted cash open / previous session adjusted cash close - 1.</t>
  </si>
  <si>
    <t>Previous Friday daily close / daily close 20 sessions earlier - 1.</t>
  </si>
  <si>
    <t>Friday normalization</t>
  </si>
  <si>
    <t>Tuesday daily cash open / previous Friday daily cash close - 1; absolute value must be within tolerance.</t>
  </si>
  <si>
    <t>Tuesday return</t>
  </si>
  <si>
    <t>Original baseline exit price / Tuesday adjusted cash open - 1, truncated to five decimal places.</t>
  </si>
  <si>
    <t>Overlay limitation</t>
  </si>
  <si>
    <t>No premarket-low gate is applied. Use the Tuesday result for research screening and confirm it with an exact strategy-engine state-machine backtest before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</si>
</sst>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\x"/>
    <numFmt numFmtId="165" formatCode="yyyy\-mm\-dd"/>
    <numFmt numFmtId="166" formatCode="#,##0.000"/>
    <numFmt numFmtId="167" formatCode="0.000%;[Red]\(0.000%\);\-"/>
    <numFmt numFmtId="168" formatCode="0.00%;[Red]\(0.00%\);\-"/>
    <numFmt numFmtId="169" formatCode="#,##0.00;[Red]\(#,##0.00\);\-"/>
    <numFmt numFmtId="170" formatCode="0.000%"/>
    <numFmt numFmtId="171" formatCode="0.0000000000%"/>
    <numFmt numFmtId="172" formatCode="0.0E+00"/>
  </numFmts>
  <fonts count="11">
    <font>
      <sz val="11"/>
      <name val="Carlito"/>
    </font>
    <font>
      <b/>
      <sz val="18"/>
      <color rgb="FFFFFFFF"/>
      <name val="Aptos Display"/>
    </font>
    <font>
      <i/>
      <sz val="10"/>
      <color rgb="FF1F1F1F"/>
      <name val="Aptos"/>
    </font>
    <font>
      <b/>
      <sz val="11"/>
      <color rgb="FFFFFFFF"/>
      <name val="Aptos"/>
    </font>
    <font>
      <b/>
      <sz val="18"/>
      <color rgb="FFFFFFFF"/>
      <name val="Aptos"/>
    </font>
    <font>
      <sz val="11"/>
      <name val="Aptos"/>
    </font>
    <font>
      <sz val="11"/>
      <color rgb="FF0000FF"/>
      <name val="Aptos"/>
    </font>
    <font>
      <b/>
      <sz val="11"/>
      <name val="Aptos"/>
    </font>
    <font>
      <sz val="11"/>
      <color rgb="FF008000"/>
      <name val="Aptos"/>
    </font>
    <font>
      <b/>
      <sz val="11"/>
      <color rgb="FF17365D"/>
      <name val="Aptos"/>
    </font>
    <font>
      <b/>
      <sz val="14"/>
      <color rgb="FF008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5" fillId="0" borderId="0" xfId="0" applyFont="1"/>
    <xf numFmtId="164" fontId="6" fillId="0" borderId="0" xfId="0" applyNumberFormat="1" applyFont="1"/>
    <xf numFmtId="10" fontId="6" fillId="0" borderId="0" xfId="0" applyNumberFormat="1" applyFont="1"/>
    <xf numFmtId="4" fontId="6" fillId="0" borderId="0" xfId="0" applyNumberFormat="1" applyFont="1"/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7" fontId="8" fillId="0" borderId="0" xfId="0" applyNumberFormat="1" applyFont="1"/>
    <xf numFmtId="0" fontId="8" fillId="0" borderId="0" xfId="0" applyFont="1"/>
    <xf numFmtId="4" fontId="8" fillId="0" borderId="0" xfId="0" applyNumberFormat="1" applyFont="1"/>
    <xf numFmtId="168" fontId="8" fillId="0" borderId="0" xfId="0" applyNumberFormat="1" applyFont="1"/>
    <xf numFmtId="169" fontId="8" fillId="0" borderId="0" xfId="0" applyNumberFormat="1" applyFont="1"/>
    <xf numFmtId="0" fontId="5" fillId="0" borderId="4" xfId="0" applyFont="1" applyBorder="1"/>
    <xf numFmtId="165" fontId="5" fillId="0" borderId="4" xfId="0" applyNumberFormat="1" applyFont="1" applyBorder="1"/>
    <xf numFmtId="166" fontId="5" fillId="0" borderId="4" xfId="0" applyNumberFormat="1" applyFont="1" applyBorder="1"/>
    <xf numFmtId="167" fontId="5" fillId="0" borderId="4" xfId="0" applyNumberFormat="1" applyFont="1" applyBorder="1"/>
    <xf numFmtId="167" fontId="8" fillId="0" borderId="4" xfId="0" applyNumberFormat="1" applyFont="1" applyBorder="1"/>
    <xf numFmtId="0" fontId="8" fillId="0" borderId="4" xfId="0" applyFont="1" applyBorder="1"/>
    <xf numFmtId="4" fontId="8" fillId="0" borderId="4" xfId="0" applyNumberFormat="1" applyFont="1" applyBorder="1"/>
    <xf numFmtId="168" fontId="8" fillId="0" borderId="4" xfId="0" applyNumberFormat="1" applyFont="1" applyBorder="1"/>
    <xf numFmtId="169" fontId="8" fillId="0" borderId="4" xfId="0" applyNumberFormat="1" applyFont="1" applyBorder="1"/>
    <xf numFmtId="0" fontId="5" fillId="0" borderId="4" xfId="0" applyFont="1" applyBorder="1" applyAlignment="1">
      <alignment wrapText="1"/>
    </xf>
    <xf numFmtId="165" fontId="8" fillId="0" borderId="0" xfId="0" applyNumberFormat="1" applyFont="1"/>
    <xf numFmtId="0" fontId="8" fillId="0" borderId="0" xfId="0" applyFont="1" applyAlignment="1">
      <alignment wrapText="1"/>
    </xf>
    <xf numFmtId="0" fontId="9" fillId="5" borderId="5" xfId="0" applyFont="1" applyFill="1" applyBorder="1" applyAlignment="1">
      <alignment vertical="center"/>
    </xf>
    <xf numFmtId="0" fontId="9" fillId="5" borderId="6" xfId="0" applyFont="1" applyFill="1" applyBorder="1" applyAlignment="1">
      <alignment vertical="center"/>
    </xf>
    <xf numFmtId="0" fontId="9" fillId="0" borderId="0" xfId="0" applyFont="1"/>
    <xf numFmtId="0" fontId="10" fillId="5" borderId="7" xfId="0" applyFont="1" applyFill="1" applyBorder="1" applyAlignment="1">
      <alignment vertical="center"/>
    </xf>
    <xf numFmtId="0" fontId="10" fillId="5" borderId="8" xfId="0" applyFont="1" applyFill="1" applyBorder="1" applyAlignment="1">
      <alignment vertical="center"/>
    </xf>
    <xf numFmtId="0" fontId="10" fillId="0" borderId="0" xfId="0" applyFont="1"/>
    <xf numFmtId="0" fontId="10" fillId="5" borderId="5" xfId="0" applyFont="1" applyFill="1" applyBorder="1" applyAlignment="1">
      <alignment vertical="center"/>
    </xf>
    <xf numFmtId="0" fontId="10" fillId="5" borderId="6" xfId="0" applyFont="1" applyFill="1" applyBorder="1" applyAlignment="1">
      <alignment vertical="center"/>
    </xf>
    <xf numFmtId="170" fontId="10" fillId="5" borderId="7" xfId="0" applyNumberFormat="1" applyFont="1" applyFill="1" applyBorder="1" applyAlignment="1">
      <alignment vertical="center"/>
    </xf>
    <xf numFmtId="170" fontId="10" fillId="5" borderId="8" xfId="0" applyNumberFormat="1" applyFont="1" applyFill="1" applyBorder="1" applyAlignment="1">
      <alignment vertical="center"/>
    </xf>
    <xf numFmtId="170" fontId="10" fillId="0" borderId="0" xfId="0" applyNumberFormat="1" applyFont="1"/>
    <xf numFmtId="10" fontId="10" fillId="5" borderId="7" xfId="0" applyNumberFormat="1" applyFont="1" applyFill="1" applyBorder="1" applyAlignment="1">
      <alignment vertical="center"/>
    </xf>
    <xf numFmtId="10" fontId="10" fillId="5" borderId="8" xfId="0" applyNumberFormat="1" applyFont="1" applyFill="1" applyBorder="1" applyAlignment="1">
      <alignment vertical="center"/>
    </xf>
    <xf numFmtId="10" fontId="10" fillId="0" borderId="0" xfId="0" applyNumberFormat="1" applyFont="1"/>
    <xf numFmtId="3" fontId="8" fillId="0" borderId="0" xfId="0" applyNumberFormat="1" applyFont="1"/>
    <xf numFmtId="170" fontId="8" fillId="0" borderId="0" xfId="0" applyNumberFormat="1" applyFont="1"/>
    <xf numFmtId="171" fontId="5" fillId="0" borderId="0" xfId="0" applyNumberFormat="1" applyFont="1"/>
    <xf numFmtId="171" fontId="8" fillId="0" borderId="0" xfId="0" applyNumberFormat="1" applyFont="1"/>
    <xf numFmtId="172" fontId="8" fillId="0" borderId="0" xfId="0" applyNumberFormat="1" applyFont="1"/>
    <xf numFmtId="170" fontId="5" fillId="0" borderId="0" xfId="0" applyNumberFormat="1" applyFont="1"/>
    <xf numFmtId="0" fontId="9" fillId="0" borderId="0" xfId="0" applyFont="1" applyAlignment="1">
      <alignment wrapText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17">
    <dxf>
      <font>
        <b/>
        <color rgb="FFC00000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006100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pl-PL"/>
              <a:t>Cumulative growth: baseline vs rule (log10 equity multiple)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Baseline log10 equity multiple</c:v>
          </c:tx>
          <c:marker>
            <c:symbol val="none"/>
          </c:marker>
          <c:cat>
            <c:strRef>
              <c:f>Summary!$N$5:$N$436</c:f>
              <c:strCache>
                <c:ptCount val="432"/>
                <c:pt idx="0">
                  <c:v>yyyy-04-16</c:v>
                </c:pt>
                <c:pt idx="1">
                  <c:v>yyyy-04-23</c:v>
                </c:pt>
                <c:pt idx="2">
                  <c:v>yyyy-04-30</c:v>
                </c:pt>
                <c:pt idx="3">
                  <c:v>yyyy-05-07</c:v>
                </c:pt>
                <c:pt idx="4">
                  <c:v>yyyy-05-14</c:v>
                </c:pt>
                <c:pt idx="5">
                  <c:v>yyyy-05-21</c:v>
                </c:pt>
                <c:pt idx="6">
                  <c:v>yyyy-05-29</c:v>
                </c:pt>
                <c:pt idx="7">
                  <c:v>yyyy-06-04</c:v>
                </c:pt>
                <c:pt idx="8">
                  <c:v>yyyy-06-11</c:v>
                </c:pt>
                <c:pt idx="9">
                  <c:v>yyyy-06-18</c:v>
                </c:pt>
                <c:pt idx="10">
                  <c:v>yyyy-06-25</c:v>
                </c:pt>
                <c:pt idx="11">
                  <c:v>yyyy-07-02</c:v>
                </c:pt>
                <c:pt idx="12">
                  <c:v>yyyy-07-09</c:v>
                </c:pt>
                <c:pt idx="13">
                  <c:v>yyyy-07-16</c:v>
                </c:pt>
                <c:pt idx="14">
                  <c:v>yyyy-07-23</c:v>
                </c:pt>
                <c:pt idx="15">
                  <c:v>yyyy-07-30</c:v>
                </c:pt>
                <c:pt idx="16">
                  <c:v>yyyy-08-06</c:v>
                </c:pt>
                <c:pt idx="17">
                  <c:v>yyyy-08-13</c:v>
                </c:pt>
                <c:pt idx="18">
                  <c:v>yyyy-08-20</c:v>
                </c:pt>
                <c:pt idx="19">
                  <c:v>yyyy-08-27</c:v>
                </c:pt>
                <c:pt idx="20">
                  <c:v>yyyy-09-04</c:v>
                </c:pt>
                <c:pt idx="21">
                  <c:v>yyyy-09-10</c:v>
                </c:pt>
                <c:pt idx="22">
                  <c:v>yyyy-09-17</c:v>
                </c:pt>
                <c:pt idx="23">
                  <c:v>yyyy-09-24</c:v>
                </c:pt>
                <c:pt idx="24">
                  <c:v>yyyy-10-01</c:v>
                </c:pt>
                <c:pt idx="25">
                  <c:v>yyyy-10-08</c:v>
                </c:pt>
                <c:pt idx="26">
                  <c:v>yyyy-10-15</c:v>
                </c:pt>
                <c:pt idx="27">
                  <c:v>yyyy-10-22</c:v>
                </c:pt>
                <c:pt idx="28">
                  <c:v>yyyy-10-29</c:v>
                </c:pt>
                <c:pt idx="29">
                  <c:v>yyyy-11-05</c:v>
                </c:pt>
                <c:pt idx="30">
                  <c:v>yyyy-11-12</c:v>
                </c:pt>
                <c:pt idx="31">
                  <c:v>yyyy-11-19</c:v>
                </c:pt>
                <c:pt idx="32">
                  <c:v>yyyy-11-26</c:v>
                </c:pt>
                <c:pt idx="33">
                  <c:v>yyyy-12-03</c:v>
                </c:pt>
                <c:pt idx="34">
                  <c:v>yyyy-12-10</c:v>
                </c:pt>
                <c:pt idx="35">
                  <c:v>yyyy-12-17</c:v>
                </c:pt>
                <c:pt idx="36">
                  <c:v>yyyy-12-24</c:v>
                </c:pt>
                <c:pt idx="37">
                  <c:v>yyyy-12-31</c:v>
                </c:pt>
                <c:pt idx="38">
                  <c:v>yyyy-01-07</c:v>
                </c:pt>
                <c:pt idx="39">
                  <c:v>yyyy-01-14</c:v>
                </c:pt>
                <c:pt idx="40">
                  <c:v>yyyy-01-22</c:v>
                </c:pt>
                <c:pt idx="41">
                  <c:v>yyyy-01-28</c:v>
                </c:pt>
                <c:pt idx="42">
                  <c:v>yyyy-02-04</c:v>
                </c:pt>
                <c:pt idx="43">
                  <c:v>yyyy-02-11</c:v>
                </c:pt>
                <c:pt idx="44">
                  <c:v>yyyy-02-19</c:v>
                </c:pt>
                <c:pt idx="45">
                  <c:v>yyyy-02-25</c:v>
                </c:pt>
                <c:pt idx="46">
                  <c:v>yyyy-03-04</c:v>
                </c:pt>
                <c:pt idx="47">
                  <c:v>yyyy-03-11</c:v>
                </c:pt>
                <c:pt idx="48">
                  <c:v>yyyy-03-18</c:v>
                </c:pt>
                <c:pt idx="49">
                  <c:v>yyyy-03-25</c:v>
                </c:pt>
                <c:pt idx="50">
                  <c:v>yyyy-04-01</c:v>
                </c:pt>
                <c:pt idx="51">
                  <c:v>yyyy-04-08</c:v>
                </c:pt>
                <c:pt idx="52">
                  <c:v>yyyy-04-15</c:v>
                </c:pt>
                <c:pt idx="53">
                  <c:v>yyyy-04-22</c:v>
                </c:pt>
                <c:pt idx="54">
                  <c:v>yyyy-04-29</c:v>
                </c:pt>
                <c:pt idx="55">
                  <c:v>yyyy-05-06</c:v>
                </c:pt>
                <c:pt idx="56">
                  <c:v>yyyy-05-13</c:v>
                </c:pt>
                <c:pt idx="57">
                  <c:v>yyyy-05-20</c:v>
                </c:pt>
                <c:pt idx="58">
                  <c:v>yyyy-05-28</c:v>
                </c:pt>
                <c:pt idx="59">
                  <c:v>yyyy-06-03</c:v>
                </c:pt>
                <c:pt idx="60">
                  <c:v>yyyy-06-10</c:v>
                </c:pt>
                <c:pt idx="61">
                  <c:v>yyyy-06-17</c:v>
                </c:pt>
                <c:pt idx="62">
                  <c:v>yyyy-06-24</c:v>
                </c:pt>
                <c:pt idx="63">
                  <c:v>yyyy-07-01</c:v>
                </c:pt>
                <c:pt idx="64">
                  <c:v>yyyy-07-08</c:v>
                </c:pt>
                <c:pt idx="65">
                  <c:v>yyyy-07-15</c:v>
                </c:pt>
                <c:pt idx="66">
                  <c:v>yyyy-07-22</c:v>
                </c:pt>
                <c:pt idx="67">
                  <c:v>yyyy-07-29</c:v>
                </c:pt>
                <c:pt idx="68">
                  <c:v>yyyy-08-05</c:v>
                </c:pt>
                <c:pt idx="69">
                  <c:v>yyyy-08-12</c:v>
                </c:pt>
                <c:pt idx="70">
                  <c:v>yyyy-08-19</c:v>
                </c:pt>
                <c:pt idx="71">
                  <c:v>yyyy-08-26</c:v>
                </c:pt>
                <c:pt idx="72">
                  <c:v>yyyy-09-03</c:v>
                </c:pt>
                <c:pt idx="73">
                  <c:v>yyyy-09-09</c:v>
                </c:pt>
                <c:pt idx="74">
                  <c:v>yyyy-09-16</c:v>
                </c:pt>
                <c:pt idx="75">
                  <c:v>yyyy-09-23</c:v>
                </c:pt>
                <c:pt idx="76">
                  <c:v>yyyy-09-30</c:v>
                </c:pt>
                <c:pt idx="77">
                  <c:v>yyyy-10-07</c:v>
                </c:pt>
                <c:pt idx="78">
                  <c:v>yyyy-10-14</c:v>
                </c:pt>
                <c:pt idx="79">
                  <c:v>yyyy-10-21</c:v>
                </c:pt>
                <c:pt idx="80">
                  <c:v>yyyy-10-28</c:v>
                </c:pt>
                <c:pt idx="81">
                  <c:v>yyyy-11-04</c:v>
                </c:pt>
                <c:pt idx="82">
                  <c:v>yyyy-11-11</c:v>
                </c:pt>
                <c:pt idx="83">
                  <c:v>yyyy-11-18</c:v>
                </c:pt>
                <c:pt idx="84">
                  <c:v>yyyy-11-25</c:v>
                </c:pt>
                <c:pt idx="85">
                  <c:v>yyyy-12-02</c:v>
                </c:pt>
                <c:pt idx="86">
                  <c:v>yyyy-12-09</c:v>
                </c:pt>
                <c:pt idx="87">
                  <c:v>yyyy-12-16</c:v>
                </c:pt>
                <c:pt idx="88">
                  <c:v>yyyy-12-23</c:v>
                </c:pt>
                <c:pt idx="89">
                  <c:v>yyyy-12-30</c:v>
                </c:pt>
                <c:pt idx="90">
                  <c:v>yyyy-01-06</c:v>
                </c:pt>
                <c:pt idx="91">
                  <c:v>yyyy-01-13</c:v>
                </c:pt>
                <c:pt idx="92">
                  <c:v>yyyy-01-21</c:v>
                </c:pt>
                <c:pt idx="93">
                  <c:v>yyyy-01-27</c:v>
                </c:pt>
                <c:pt idx="94">
                  <c:v>yyyy-02-03</c:v>
                </c:pt>
                <c:pt idx="95">
                  <c:v>yyyy-02-10</c:v>
                </c:pt>
                <c:pt idx="96">
                  <c:v>yyyy-02-18</c:v>
                </c:pt>
                <c:pt idx="97">
                  <c:v>yyyy-02-24</c:v>
                </c:pt>
                <c:pt idx="98">
                  <c:v>yyyy-03-02</c:v>
                </c:pt>
                <c:pt idx="99">
                  <c:v>yyyy-03-23</c:v>
                </c:pt>
                <c:pt idx="100">
                  <c:v>yyyy-03-30</c:v>
                </c:pt>
                <c:pt idx="101">
                  <c:v>yyyy-04-06</c:v>
                </c:pt>
                <c:pt idx="102">
                  <c:v>yyyy-04-13</c:v>
                </c:pt>
                <c:pt idx="103">
                  <c:v>yyyy-04-20</c:v>
                </c:pt>
                <c:pt idx="104">
                  <c:v>yyyy-04-27</c:v>
                </c:pt>
                <c:pt idx="105">
                  <c:v>yyyy-05-04</c:v>
                </c:pt>
                <c:pt idx="106">
                  <c:v>yyyy-05-11</c:v>
                </c:pt>
                <c:pt idx="107">
                  <c:v>yyyy-05-18</c:v>
                </c:pt>
                <c:pt idx="108">
                  <c:v>yyyy-05-26</c:v>
                </c:pt>
                <c:pt idx="109">
                  <c:v>yyyy-06-01</c:v>
                </c:pt>
                <c:pt idx="110">
                  <c:v>yyyy-06-08</c:v>
                </c:pt>
                <c:pt idx="111">
                  <c:v>yyyy-06-15</c:v>
                </c:pt>
                <c:pt idx="112">
                  <c:v>yyyy-06-22</c:v>
                </c:pt>
                <c:pt idx="113">
                  <c:v>yyyy-06-29</c:v>
                </c:pt>
                <c:pt idx="114">
                  <c:v>yyyy-07-06</c:v>
                </c:pt>
                <c:pt idx="115">
                  <c:v>yyyy-07-13</c:v>
                </c:pt>
                <c:pt idx="116">
                  <c:v>yyyy-07-20</c:v>
                </c:pt>
                <c:pt idx="117">
                  <c:v>yyyy-07-27</c:v>
                </c:pt>
                <c:pt idx="118">
                  <c:v>yyyy-08-03</c:v>
                </c:pt>
                <c:pt idx="119">
                  <c:v>yyyy-08-10</c:v>
                </c:pt>
                <c:pt idx="120">
                  <c:v>yyyy-08-17</c:v>
                </c:pt>
                <c:pt idx="121">
                  <c:v>yyyy-08-24</c:v>
                </c:pt>
                <c:pt idx="122">
                  <c:v>yyyy-08-31</c:v>
                </c:pt>
                <c:pt idx="123">
                  <c:v>yyyy-09-08</c:v>
                </c:pt>
                <c:pt idx="124">
                  <c:v>yyyy-09-14</c:v>
                </c:pt>
                <c:pt idx="125">
                  <c:v>yyyy-09-21</c:v>
                </c:pt>
                <c:pt idx="126">
                  <c:v>yyyy-09-28</c:v>
                </c:pt>
                <c:pt idx="127">
                  <c:v>yyyy-10-05</c:v>
                </c:pt>
                <c:pt idx="128">
                  <c:v>yyyy-10-12</c:v>
                </c:pt>
                <c:pt idx="129">
                  <c:v>yyyy-10-19</c:v>
                </c:pt>
                <c:pt idx="130">
                  <c:v>yyyy-10-26</c:v>
                </c:pt>
                <c:pt idx="131">
                  <c:v>yyyy-11-02</c:v>
                </c:pt>
                <c:pt idx="132">
                  <c:v>yyyy-11-09</c:v>
                </c:pt>
                <c:pt idx="133">
                  <c:v>yyyy-11-16</c:v>
                </c:pt>
                <c:pt idx="134">
                  <c:v>yyyy-11-23</c:v>
                </c:pt>
                <c:pt idx="135">
                  <c:v>yyyy-11-30</c:v>
                </c:pt>
                <c:pt idx="136">
                  <c:v>yyyy-12-07</c:v>
                </c:pt>
                <c:pt idx="137">
                  <c:v>yyyy-12-14</c:v>
                </c:pt>
                <c:pt idx="138">
                  <c:v>yyyy-12-21</c:v>
                </c:pt>
                <c:pt idx="139">
                  <c:v>yyyy-12-28</c:v>
                </c:pt>
                <c:pt idx="140">
                  <c:v>yyyy-01-04</c:v>
                </c:pt>
                <c:pt idx="141">
                  <c:v>yyyy-01-11</c:v>
                </c:pt>
                <c:pt idx="142">
                  <c:v>yyyy-01-19</c:v>
                </c:pt>
                <c:pt idx="143">
                  <c:v>yyyy-01-25</c:v>
                </c:pt>
                <c:pt idx="144">
                  <c:v>yyyy-02-01</c:v>
                </c:pt>
                <c:pt idx="145">
                  <c:v>yyyy-02-08</c:v>
                </c:pt>
                <c:pt idx="146">
                  <c:v>yyyy-02-16</c:v>
                </c:pt>
                <c:pt idx="147">
                  <c:v>yyyy-02-22</c:v>
                </c:pt>
                <c:pt idx="148">
                  <c:v>yyyy-03-01</c:v>
                </c:pt>
                <c:pt idx="149">
                  <c:v>yyyy-03-08</c:v>
                </c:pt>
                <c:pt idx="150">
                  <c:v>yyyy-03-15</c:v>
                </c:pt>
                <c:pt idx="151">
                  <c:v>yyyy-03-22</c:v>
                </c:pt>
                <c:pt idx="152">
                  <c:v>yyyy-03-29</c:v>
                </c:pt>
                <c:pt idx="153">
                  <c:v>yyyy-04-05</c:v>
                </c:pt>
                <c:pt idx="154">
                  <c:v>yyyy-04-12</c:v>
                </c:pt>
                <c:pt idx="155">
                  <c:v>yyyy-04-19</c:v>
                </c:pt>
                <c:pt idx="156">
                  <c:v>yyyy-04-26</c:v>
                </c:pt>
                <c:pt idx="157">
                  <c:v>yyyy-05-03</c:v>
                </c:pt>
                <c:pt idx="158">
                  <c:v>yyyy-05-10</c:v>
                </c:pt>
                <c:pt idx="159">
                  <c:v>yyyy-05-17</c:v>
                </c:pt>
                <c:pt idx="160">
                  <c:v>yyyy-05-24</c:v>
                </c:pt>
                <c:pt idx="161">
                  <c:v>yyyy-06-01</c:v>
                </c:pt>
                <c:pt idx="162">
                  <c:v>yyyy-06-07</c:v>
                </c:pt>
                <c:pt idx="163">
                  <c:v>yyyy-06-14</c:v>
                </c:pt>
                <c:pt idx="164">
                  <c:v>yyyy-06-21</c:v>
                </c:pt>
                <c:pt idx="165">
                  <c:v>yyyy-06-28</c:v>
                </c:pt>
                <c:pt idx="166">
                  <c:v>yyyy-07-06</c:v>
                </c:pt>
                <c:pt idx="167">
                  <c:v>yyyy-07-12</c:v>
                </c:pt>
                <c:pt idx="168">
                  <c:v>yyyy-07-19</c:v>
                </c:pt>
                <c:pt idx="169">
                  <c:v>yyyy-07-26</c:v>
                </c:pt>
                <c:pt idx="170">
                  <c:v>yyyy-08-02</c:v>
                </c:pt>
                <c:pt idx="171">
                  <c:v>yyyy-08-09</c:v>
                </c:pt>
                <c:pt idx="172">
                  <c:v>yyyy-08-16</c:v>
                </c:pt>
                <c:pt idx="173">
                  <c:v>yyyy-08-23</c:v>
                </c:pt>
                <c:pt idx="174">
                  <c:v>yyyy-08-30</c:v>
                </c:pt>
                <c:pt idx="175">
                  <c:v>yyyy-09-07</c:v>
                </c:pt>
                <c:pt idx="176">
                  <c:v>yyyy-09-13</c:v>
                </c:pt>
                <c:pt idx="177">
                  <c:v>yyyy-09-20</c:v>
                </c:pt>
                <c:pt idx="178">
                  <c:v>yyyy-09-27</c:v>
                </c:pt>
                <c:pt idx="179">
                  <c:v>yyyy-10-04</c:v>
                </c:pt>
                <c:pt idx="180">
                  <c:v>yyyy-10-11</c:v>
                </c:pt>
                <c:pt idx="181">
                  <c:v>yyyy-10-18</c:v>
                </c:pt>
                <c:pt idx="182">
                  <c:v>yyyy-10-25</c:v>
                </c:pt>
                <c:pt idx="183">
                  <c:v>yyyy-11-01</c:v>
                </c:pt>
                <c:pt idx="184">
                  <c:v>yyyy-11-08</c:v>
                </c:pt>
                <c:pt idx="185">
                  <c:v>yyyy-11-15</c:v>
                </c:pt>
                <c:pt idx="186">
                  <c:v>yyyy-11-22</c:v>
                </c:pt>
                <c:pt idx="187">
                  <c:v>yyyy-11-29</c:v>
                </c:pt>
                <c:pt idx="188">
                  <c:v>yyyy-12-06</c:v>
                </c:pt>
                <c:pt idx="189">
                  <c:v>yyyy-12-13</c:v>
                </c:pt>
                <c:pt idx="190">
                  <c:v>yyyy-12-20</c:v>
                </c:pt>
                <c:pt idx="191">
                  <c:v>yyyy-12-27</c:v>
                </c:pt>
                <c:pt idx="192">
                  <c:v>yyyy-01-03</c:v>
                </c:pt>
                <c:pt idx="193">
                  <c:v>yyyy-01-10</c:v>
                </c:pt>
                <c:pt idx="194">
                  <c:v>yyyy-01-18</c:v>
                </c:pt>
                <c:pt idx="195">
                  <c:v>yyyy-01-24</c:v>
                </c:pt>
                <c:pt idx="196">
                  <c:v>yyyy-01-31</c:v>
                </c:pt>
                <c:pt idx="197">
                  <c:v>yyyy-02-07</c:v>
                </c:pt>
                <c:pt idx="198">
                  <c:v>yyyy-02-14</c:v>
                </c:pt>
                <c:pt idx="199">
                  <c:v>yyyy-02-22</c:v>
                </c:pt>
                <c:pt idx="200">
                  <c:v>yyyy-02-28</c:v>
                </c:pt>
                <c:pt idx="201">
                  <c:v>yyyy-03-07</c:v>
                </c:pt>
                <c:pt idx="202">
                  <c:v>yyyy-03-14</c:v>
                </c:pt>
                <c:pt idx="203">
                  <c:v>yyyy-03-21</c:v>
                </c:pt>
                <c:pt idx="204">
                  <c:v>yyyy-03-28</c:v>
                </c:pt>
                <c:pt idx="205">
                  <c:v>yyyy-04-04</c:v>
                </c:pt>
                <c:pt idx="206">
                  <c:v>yyyy-04-11</c:v>
                </c:pt>
                <c:pt idx="207">
                  <c:v>yyyy-04-18</c:v>
                </c:pt>
                <c:pt idx="208">
                  <c:v>yyyy-04-25</c:v>
                </c:pt>
                <c:pt idx="209">
                  <c:v>yyyy-05-02</c:v>
                </c:pt>
                <c:pt idx="210">
                  <c:v>yyyy-05-09</c:v>
                </c:pt>
                <c:pt idx="211">
                  <c:v>yyyy-05-16</c:v>
                </c:pt>
                <c:pt idx="212">
                  <c:v>yyyy-05-23</c:v>
                </c:pt>
                <c:pt idx="213">
                  <c:v>yyyy-05-31</c:v>
                </c:pt>
                <c:pt idx="214">
                  <c:v>yyyy-06-06</c:v>
                </c:pt>
                <c:pt idx="215">
                  <c:v>yyyy-06-13</c:v>
                </c:pt>
                <c:pt idx="216">
                  <c:v>yyyy-06-21</c:v>
                </c:pt>
                <c:pt idx="217">
                  <c:v>yyyy-06-27</c:v>
                </c:pt>
                <c:pt idx="218">
                  <c:v>yyyy-07-05</c:v>
                </c:pt>
                <c:pt idx="219">
                  <c:v>yyyy-07-11</c:v>
                </c:pt>
                <c:pt idx="220">
                  <c:v>yyyy-07-18</c:v>
                </c:pt>
                <c:pt idx="221">
                  <c:v>yyyy-07-25</c:v>
                </c:pt>
                <c:pt idx="222">
                  <c:v>yyyy-08-01</c:v>
                </c:pt>
                <c:pt idx="223">
                  <c:v>yyyy-08-08</c:v>
                </c:pt>
                <c:pt idx="224">
                  <c:v>yyyy-08-15</c:v>
                </c:pt>
                <c:pt idx="225">
                  <c:v>yyyy-08-22</c:v>
                </c:pt>
                <c:pt idx="226">
                  <c:v>yyyy-08-29</c:v>
                </c:pt>
                <c:pt idx="227">
                  <c:v>yyyy-09-06</c:v>
                </c:pt>
                <c:pt idx="228">
                  <c:v>yyyy-09-12</c:v>
                </c:pt>
                <c:pt idx="229">
                  <c:v>yyyy-09-19</c:v>
                </c:pt>
                <c:pt idx="230">
                  <c:v>yyyy-09-26</c:v>
                </c:pt>
                <c:pt idx="231">
                  <c:v>yyyy-10-03</c:v>
                </c:pt>
                <c:pt idx="232">
                  <c:v>yyyy-10-10</c:v>
                </c:pt>
                <c:pt idx="233">
                  <c:v>yyyy-10-17</c:v>
                </c:pt>
                <c:pt idx="234">
                  <c:v>yyyy-10-24</c:v>
                </c:pt>
                <c:pt idx="235">
                  <c:v>yyyy-10-31</c:v>
                </c:pt>
                <c:pt idx="236">
                  <c:v>yyyy-11-07</c:v>
                </c:pt>
                <c:pt idx="237">
                  <c:v>yyyy-11-14</c:v>
                </c:pt>
                <c:pt idx="238">
                  <c:v>yyyy-11-21</c:v>
                </c:pt>
                <c:pt idx="239">
                  <c:v>yyyy-11-28</c:v>
                </c:pt>
                <c:pt idx="240">
                  <c:v>yyyy-12-05</c:v>
                </c:pt>
                <c:pt idx="241">
                  <c:v>yyyy-12-12</c:v>
                </c:pt>
                <c:pt idx="242">
                  <c:v>yyyy-12-19</c:v>
                </c:pt>
                <c:pt idx="243">
                  <c:v>yyyy-12-27</c:v>
                </c:pt>
                <c:pt idx="244">
                  <c:v>yyyy-01-03</c:v>
                </c:pt>
                <c:pt idx="245">
                  <c:v>yyyy-01-09</c:v>
                </c:pt>
                <c:pt idx="246">
                  <c:v>yyyy-01-17</c:v>
                </c:pt>
                <c:pt idx="247">
                  <c:v>yyyy-01-23</c:v>
                </c:pt>
                <c:pt idx="248">
                  <c:v>yyyy-01-30</c:v>
                </c:pt>
                <c:pt idx="249">
                  <c:v>yyyy-02-06</c:v>
                </c:pt>
                <c:pt idx="250">
                  <c:v>yyyy-02-13</c:v>
                </c:pt>
                <c:pt idx="251">
                  <c:v>yyyy-02-21</c:v>
                </c:pt>
                <c:pt idx="252">
                  <c:v>yyyy-02-27</c:v>
                </c:pt>
                <c:pt idx="253">
                  <c:v>yyyy-03-06</c:v>
                </c:pt>
                <c:pt idx="254">
                  <c:v>yyyy-03-13</c:v>
                </c:pt>
                <c:pt idx="255">
                  <c:v>yyyy-03-20</c:v>
                </c:pt>
                <c:pt idx="256">
                  <c:v>yyyy-03-27</c:v>
                </c:pt>
                <c:pt idx="257">
                  <c:v>yyyy-04-03</c:v>
                </c:pt>
                <c:pt idx="258">
                  <c:v>yyyy-04-10</c:v>
                </c:pt>
                <c:pt idx="259">
                  <c:v>yyyy-04-17</c:v>
                </c:pt>
                <c:pt idx="260">
                  <c:v>yyyy-04-24</c:v>
                </c:pt>
                <c:pt idx="261">
                  <c:v>yyyy-05-01</c:v>
                </c:pt>
                <c:pt idx="262">
                  <c:v>yyyy-05-08</c:v>
                </c:pt>
                <c:pt idx="263">
                  <c:v>yyyy-05-15</c:v>
                </c:pt>
                <c:pt idx="264">
                  <c:v>yyyy-05-22</c:v>
                </c:pt>
                <c:pt idx="265">
                  <c:v>yyyy-05-30</c:v>
                </c:pt>
                <c:pt idx="266">
                  <c:v>yyyy-06-05</c:v>
                </c:pt>
                <c:pt idx="267">
                  <c:v>yyyy-06-12</c:v>
                </c:pt>
                <c:pt idx="268">
                  <c:v>yyyy-06-20</c:v>
                </c:pt>
                <c:pt idx="269">
                  <c:v>yyyy-06-26</c:v>
                </c:pt>
                <c:pt idx="270">
                  <c:v>yyyy-07-03</c:v>
                </c:pt>
                <c:pt idx="271">
                  <c:v>yyyy-07-10</c:v>
                </c:pt>
                <c:pt idx="272">
                  <c:v>yyyy-07-17</c:v>
                </c:pt>
                <c:pt idx="273">
                  <c:v>yyyy-07-24</c:v>
                </c:pt>
                <c:pt idx="274">
                  <c:v>yyyy-07-31</c:v>
                </c:pt>
                <c:pt idx="275">
                  <c:v>yyyy-08-07</c:v>
                </c:pt>
                <c:pt idx="276">
                  <c:v>yyyy-08-14</c:v>
                </c:pt>
                <c:pt idx="277">
                  <c:v>yyyy-08-21</c:v>
                </c:pt>
                <c:pt idx="278">
                  <c:v>yyyy-08-28</c:v>
                </c:pt>
                <c:pt idx="279">
                  <c:v>yyyy-09-05</c:v>
                </c:pt>
                <c:pt idx="280">
                  <c:v>yyyy-09-11</c:v>
                </c:pt>
                <c:pt idx="281">
                  <c:v>yyyy-09-18</c:v>
                </c:pt>
                <c:pt idx="282">
                  <c:v>yyyy-09-25</c:v>
                </c:pt>
                <c:pt idx="283">
                  <c:v>yyyy-10-02</c:v>
                </c:pt>
                <c:pt idx="284">
                  <c:v>yyyy-10-09</c:v>
                </c:pt>
                <c:pt idx="285">
                  <c:v>yyyy-10-16</c:v>
                </c:pt>
                <c:pt idx="286">
                  <c:v>yyyy-10-23</c:v>
                </c:pt>
                <c:pt idx="287">
                  <c:v>yyyy-10-30</c:v>
                </c:pt>
                <c:pt idx="288">
                  <c:v>yyyy-11-06</c:v>
                </c:pt>
                <c:pt idx="289">
                  <c:v>yyyy-11-13</c:v>
                </c:pt>
                <c:pt idx="290">
                  <c:v>yyyy-11-20</c:v>
                </c:pt>
                <c:pt idx="291">
                  <c:v>yyyy-11-27</c:v>
                </c:pt>
                <c:pt idx="292">
                  <c:v>yyyy-12-04</c:v>
                </c:pt>
                <c:pt idx="293">
                  <c:v>yyyy-12-11</c:v>
                </c:pt>
                <c:pt idx="294">
                  <c:v>yyyy-12-18</c:v>
                </c:pt>
                <c:pt idx="295">
                  <c:v>yyyy-12-26</c:v>
                </c:pt>
                <c:pt idx="296">
                  <c:v>yyyy-01-02</c:v>
                </c:pt>
                <c:pt idx="297">
                  <c:v>yyyy-01-08</c:v>
                </c:pt>
                <c:pt idx="298">
                  <c:v>yyyy-01-16</c:v>
                </c:pt>
                <c:pt idx="299">
                  <c:v>yyyy-01-22</c:v>
                </c:pt>
                <c:pt idx="300">
                  <c:v>yyyy-01-29</c:v>
                </c:pt>
                <c:pt idx="301">
                  <c:v>yyyy-02-05</c:v>
                </c:pt>
                <c:pt idx="302">
                  <c:v>yyyy-02-12</c:v>
                </c:pt>
                <c:pt idx="303">
                  <c:v>yyyy-02-20</c:v>
                </c:pt>
                <c:pt idx="304">
                  <c:v>yyyy-02-26</c:v>
                </c:pt>
                <c:pt idx="305">
                  <c:v>yyyy-03-04</c:v>
                </c:pt>
                <c:pt idx="306">
                  <c:v>yyyy-03-11</c:v>
                </c:pt>
                <c:pt idx="307">
                  <c:v>yyyy-03-18</c:v>
                </c:pt>
                <c:pt idx="308">
                  <c:v>yyyy-03-25</c:v>
                </c:pt>
                <c:pt idx="309">
                  <c:v>yyyy-04-01</c:v>
                </c:pt>
                <c:pt idx="310">
                  <c:v>yyyy-04-08</c:v>
                </c:pt>
                <c:pt idx="311">
                  <c:v>yyyy-04-15</c:v>
                </c:pt>
                <c:pt idx="312">
                  <c:v>yyyy-04-22</c:v>
                </c:pt>
                <c:pt idx="313">
                  <c:v>yyyy-04-29</c:v>
                </c:pt>
                <c:pt idx="314">
                  <c:v>yyyy-05-06</c:v>
                </c:pt>
                <c:pt idx="315">
                  <c:v>yyyy-05-13</c:v>
                </c:pt>
                <c:pt idx="316">
                  <c:v>yyyy-05-20</c:v>
                </c:pt>
                <c:pt idx="317">
                  <c:v>yyyy-05-28</c:v>
                </c:pt>
                <c:pt idx="318">
                  <c:v>yyyy-06-03</c:v>
                </c:pt>
                <c:pt idx="319">
                  <c:v>yyyy-06-10</c:v>
                </c:pt>
                <c:pt idx="320">
                  <c:v>yyyy-06-17</c:v>
                </c:pt>
                <c:pt idx="321">
                  <c:v>yyyy-06-24</c:v>
                </c:pt>
                <c:pt idx="322">
                  <c:v>yyyy-07-01</c:v>
                </c:pt>
                <c:pt idx="323">
                  <c:v>yyyy-07-08</c:v>
                </c:pt>
                <c:pt idx="324">
                  <c:v>yyyy-07-15</c:v>
                </c:pt>
                <c:pt idx="325">
                  <c:v>yyyy-07-22</c:v>
                </c:pt>
                <c:pt idx="326">
                  <c:v>yyyy-07-29</c:v>
                </c:pt>
                <c:pt idx="327">
                  <c:v>yyyy-08-05</c:v>
                </c:pt>
                <c:pt idx="328">
                  <c:v>yyyy-08-12</c:v>
                </c:pt>
                <c:pt idx="329">
                  <c:v>yyyy-08-19</c:v>
                </c:pt>
                <c:pt idx="330">
                  <c:v>yyyy-08-26</c:v>
                </c:pt>
                <c:pt idx="331">
                  <c:v>yyyy-09-03</c:v>
                </c:pt>
                <c:pt idx="332">
                  <c:v>yyyy-09-09</c:v>
                </c:pt>
                <c:pt idx="333">
                  <c:v>yyyy-09-16</c:v>
                </c:pt>
                <c:pt idx="334">
                  <c:v>yyyy-09-23</c:v>
                </c:pt>
                <c:pt idx="335">
                  <c:v>yyyy-09-30</c:v>
                </c:pt>
                <c:pt idx="336">
                  <c:v>yyyy-10-07</c:v>
                </c:pt>
                <c:pt idx="337">
                  <c:v>yyyy-10-14</c:v>
                </c:pt>
                <c:pt idx="338">
                  <c:v>yyyy-10-21</c:v>
                </c:pt>
                <c:pt idx="339">
                  <c:v>yyyy-10-28</c:v>
                </c:pt>
                <c:pt idx="340">
                  <c:v>yyyy-11-04</c:v>
                </c:pt>
                <c:pt idx="341">
                  <c:v>yyyy-11-11</c:v>
                </c:pt>
                <c:pt idx="342">
                  <c:v>yyyy-11-18</c:v>
                </c:pt>
                <c:pt idx="343">
                  <c:v>yyyy-11-25</c:v>
                </c:pt>
                <c:pt idx="344">
                  <c:v>yyyy-12-02</c:v>
                </c:pt>
                <c:pt idx="345">
                  <c:v>yyyy-12-09</c:v>
                </c:pt>
                <c:pt idx="346">
                  <c:v>yyyy-12-16</c:v>
                </c:pt>
                <c:pt idx="347">
                  <c:v>yyyy-12-23</c:v>
                </c:pt>
                <c:pt idx="348">
                  <c:v>yyyy-12-30</c:v>
                </c:pt>
                <c:pt idx="349">
                  <c:v>yyyy-01-06</c:v>
                </c:pt>
                <c:pt idx="350">
                  <c:v>yyyy-01-13</c:v>
                </c:pt>
                <c:pt idx="351">
                  <c:v>yyyy-01-21</c:v>
                </c:pt>
                <c:pt idx="352">
                  <c:v>yyyy-01-27</c:v>
                </c:pt>
                <c:pt idx="353">
                  <c:v>yyyy-02-03</c:v>
                </c:pt>
                <c:pt idx="354">
                  <c:v>yyyy-02-10</c:v>
                </c:pt>
                <c:pt idx="355">
                  <c:v>yyyy-02-18</c:v>
                </c:pt>
                <c:pt idx="356">
                  <c:v>yyyy-02-24</c:v>
                </c:pt>
                <c:pt idx="357">
                  <c:v>yyyy-03-03</c:v>
                </c:pt>
                <c:pt idx="358">
                  <c:v>yyyy-03-10</c:v>
                </c:pt>
                <c:pt idx="359">
                  <c:v>yyyy-03-17</c:v>
                </c:pt>
                <c:pt idx="360">
                  <c:v>yyyy-03-24</c:v>
                </c:pt>
                <c:pt idx="361">
                  <c:v>yyyy-03-31</c:v>
                </c:pt>
                <c:pt idx="362">
                  <c:v>yyyy-04-07</c:v>
                </c:pt>
                <c:pt idx="363">
                  <c:v>yyyy-04-14</c:v>
                </c:pt>
                <c:pt idx="364">
                  <c:v>yyyy-04-21</c:v>
                </c:pt>
                <c:pt idx="365">
                  <c:v>yyyy-04-28</c:v>
                </c:pt>
                <c:pt idx="366">
                  <c:v>yyyy-05-05</c:v>
                </c:pt>
                <c:pt idx="367">
                  <c:v>yyyy-05-12</c:v>
                </c:pt>
                <c:pt idx="368">
                  <c:v>yyyy-05-19</c:v>
                </c:pt>
                <c:pt idx="369">
                  <c:v>yyyy-05-27</c:v>
                </c:pt>
                <c:pt idx="370">
                  <c:v>yyyy-06-02</c:v>
                </c:pt>
                <c:pt idx="371">
                  <c:v>yyyy-06-09</c:v>
                </c:pt>
                <c:pt idx="372">
                  <c:v>yyyy-06-16</c:v>
                </c:pt>
                <c:pt idx="373">
                  <c:v>yyyy-06-23</c:v>
                </c:pt>
                <c:pt idx="374">
                  <c:v>yyyy-06-30</c:v>
                </c:pt>
                <c:pt idx="375">
                  <c:v>yyyy-07-07</c:v>
                </c:pt>
                <c:pt idx="376">
                  <c:v>yyyy-07-14</c:v>
                </c:pt>
                <c:pt idx="377">
                  <c:v>yyyy-07-21</c:v>
                </c:pt>
                <c:pt idx="378">
                  <c:v>yyyy-07-28</c:v>
                </c:pt>
                <c:pt idx="379">
                  <c:v>yyyy-08-04</c:v>
                </c:pt>
                <c:pt idx="380">
                  <c:v>yyyy-08-11</c:v>
                </c:pt>
                <c:pt idx="381">
                  <c:v>yyyy-08-18</c:v>
                </c:pt>
                <c:pt idx="382">
                  <c:v>yyyy-08-25</c:v>
                </c:pt>
                <c:pt idx="383">
                  <c:v>yyyy-09-02</c:v>
                </c:pt>
                <c:pt idx="384">
                  <c:v>yyyy-09-08</c:v>
                </c:pt>
                <c:pt idx="385">
                  <c:v>yyyy-09-15</c:v>
                </c:pt>
                <c:pt idx="386">
                  <c:v>yyyy-09-22</c:v>
                </c:pt>
                <c:pt idx="387">
                  <c:v>yyyy-09-29</c:v>
                </c:pt>
                <c:pt idx="388">
                  <c:v>yyyy-10-06</c:v>
                </c:pt>
                <c:pt idx="389">
                  <c:v>yyyy-10-13</c:v>
                </c:pt>
                <c:pt idx="390">
                  <c:v>yyyy-10-20</c:v>
                </c:pt>
                <c:pt idx="391">
                  <c:v>yyyy-10-27</c:v>
                </c:pt>
                <c:pt idx="392">
                  <c:v>yyyy-11-03</c:v>
                </c:pt>
                <c:pt idx="393">
                  <c:v>yyyy-11-10</c:v>
                </c:pt>
                <c:pt idx="394">
                  <c:v>yyyy-11-17</c:v>
                </c:pt>
                <c:pt idx="395">
                  <c:v>yyyy-11-24</c:v>
                </c:pt>
                <c:pt idx="396">
                  <c:v>yyyy-12-01</c:v>
                </c:pt>
                <c:pt idx="397">
                  <c:v>yyyy-12-08</c:v>
                </c:pt>
                <c:pt idx="398">
                  <c:v>yyyy-12-15</c:v>
                </c:pt>
                <c:pt idx="399">
                  <c:v>yyyy-12-22</c:v>
                </c:pt>
                <c:pt idx="400">
                  <c:v>yyyy-12-29</c:v>
                </c:pt>
                <c:pt idx="401">
                  <c:v>yyyy-01-05</c:v>
                </c:pt>
                <c:pt idx="402">
                  <c:v>yyyy-01-12</c:v>
                </c:pt>
                <c:pt idx="403">
                  <c:v>yyyy-01-20</c:v>
                </c:pt>
                <c:pt idx="404">
                  <c:v>yyyy-01-26</c:v>
                </c:pt>
                <c:pt idx="405">
                  <c:v>yyyy-02-02</c:v>
                </c:pt>
                <c:pt idx="406">
                  <c:v>yyyy-02-09</c:v>
                </c:pt>
                <c:pt idx="407">
                  <c:v>yyyy-02-17</c:v>
                </c:pt>
                <c:pt idx="408">
                  <c:v>yyyy-02-23</c:v>
                </c:pt>
                <c:pt idx="409">
                  <c:v>yyyy-03-02</c:v>
                </c:pt>
                <c:pt idx="410">
                  <c:v>yyyy-03-09</c:v>
                </c:pt>
                <c:pt idx="411">
                  <c:v>yyyy-03-16</c:v>
                </c:pt>
                <c:pt idx="412">
                  <c:v>yyyy-03-23</c:v>
                </c:pt>
                <c:pt idx="413">
                  <c:v>yyyy-03-30</c:v>
                </c:pt>
                <c:pt idx="414">
                  <c:v>yyyy-04-06</c:v>
                </c:pt>
                <c:pt idx="415">
                  <c:v>yyyy-04-13</c:v>
                </c:pt>
                <c:pt idx="416">
                  <c:v>yyyy-04-20</c:v>
                </c:pt>
                <c:pt idx="417">
                  <c:v>yyyy-04-27</c:v>
                </c:pt>
                <c:pt idx="418">
                  <c:v>yyyy-05-04</c:v>
                </c:pt>
                <c:pt idx="419">
                  <c:v>yyyy-05-11</c:v>
                </c:pt>
                <c:pt idx="420">
                  <c:v>yyyy-05-18</c:v>
                </c:pt>
                <c:pt idx="421">
                  <c:v>yyyy-05-26</c:v>
                </c:pt>
                <c:pt idx="422">
                  <c:v>yyyy-06-01</c:v>
                </c:pt>
                <c:pt idx="423">
                  <c:v>yyyy-06-08</c:v>
                </c:pt>
                <c:pt idx="424">
                  <c:v>yyyy-06-15</c:v>
                </c:pt>
                <c:pt idx="425">
                  <c:v>yyyy-06-22</c:v>
                </c:pt>
                <c:pt idx="426">
                  <c:v>yyyy-06-29</c:v>
                </c:pt>
                <c:pt idx="427">
                  <c:v>yyyy-07-06</c:v>
                </c:pt>
                <c:pt idx="428">
                  <c:v>yyyy-07-13</c:v>
                </c:pt>
                <c:pt idx="429">
                  <c:v>yyyy-07-20</c:v>
                </c:pt>
                <c:pt idx="430">
                  <c:v>yyyy-07-27</c:v>
                </c:pt>
                <c:pt idx="431">
                  <c:v>yyyy-08-03</c:v>
                </c:pt>
              </c:strCache>
            </c:strRef>
          </c:cat>
          <c:val>
            <c:numRef>
              <c:f>Summary!$O$5:$O$436</c:f>
              <c:numCache>
                <c:formatCode>General</c:formatCode>
                <c:ptCount val="432"/>
                <c:pt idx="0">
                  <c:v>9.5321415083295946E-2</c:v>
                </c:pt>
                <c:pt idx="1">
                  <c:v>2.61827471982218E-3</c:v>
                </c:pt>
                <c:pt idx="2">
                  <c:v>-2.8241295171276271E-2</c:v>
                </c:pt>
                <c:pt idx="3">
                  <c:v>7.1549113976815154E-2</c:v>
                </c:pt>
                <c:pt idx="4">
                  <c:v>5.1461524311532031E-2</c:v>
                </c:pt>
                <c:pt idx="5">
                  <c:v>3.1373934646248963E-2</c:v>
                </c:pt>
                <c:pt idx="6">
                  <c:v>0.13030547981734361</c:v>
                </c:pt>
                <c:pt idx="7">
                  <c:v>0.16558989516825492</c:v>
                </c:pt>
                <c:pt idx="8">
                  <c:v>0.23610060804846619</c:v>
                </c:pt>
                <c:pt idx="9">
                  <c:v>0.21601301838318307</c:v>
                </c:pt>
                <c:pt idx="10">
                  <c:v>0.19592542871790003</c:v>
                </c:pt>
                <c:pt idx="11">
                  <c:v>0.27038163577364366</c:v>
                </c:pt>
                <c:pt idx="12">
                  <c:v>0.34887071657586338</c:v>
                </c:pt>
                <c:pt idx="13">
                  <c:v>0.32878312691058037</c:v>
                </c:pt>
                <c:pt idx="14">
                  <c:v>0.37931600009052907</c:v>
                </c:pt>
                <c:pt idx="15">
                  <c:v>0.37079194479474725</c:v>
                </c:pt>
                <c:pt idx="16">
                  <c:v>0.38512805825114843</c:v>
                </c:pt>
                <c:pt idx="17">
                  <c:v>0.34827341006793683</c:v>
                </c:pt>
                <c:pt idx="18">
                  <c:v>0.40522397420713602</c:v>
                </c:pt>
                <c:pt idx="19">
                  <c:v>0.48297512513653373</c:v>
                </c:pt>
                <c:pt idx="20">
                  <c:v>0.41033573440745175</c:v>
                </c:pt>
                <c:pt idx="21">
                  <c:v>0.46047526674222433</c:v>
                </c:pt>
                <c:pt idx="22">
                  <c:v>0.44054184517436346</c:v>
                </c:pt>
                <c:pt idx="23">
                  <c:v>0.49085623964539243</c:v>
                </c:pt>
                <c:pt idx="24">
                  <c:v>0.47179540506287715</c:v>
                </c:pt>
                <c:pt idx="25">
                  <c:v>9.9548266799596594E-2</c:v>
                </c:pt>
                <c:pt idx="26">
                  <c:v>7.9460677134313581E-2</c:v>
                </c:pt>
                <c:pt idx="27">
                  <c:v>6.3516536412396241E-2</c:v>
                </c:pt>
                <c:pt idx="28">
                  <c:v>-0.30298672928802772</c:v>
                </c:pt>
                <c:pt idx="29">
                  <c:v>-0.25675620231172541</c:v>
                </c:pt>
                <c:pt idx="30">
                  <c:v>-0.44313785668515571</c:v>
                </c:pt>
                <c:pt idx="31">
                  <c:v>-0.8179365664035253</c:v>
                </c:pt>
                <c:pt idx="32">
                  <c:v>-0.76924233943310949</c:v>
                </c:pt>
                <c:pt idx="33">
                  <c:v>-1.0074407502831899</c:v>
                </c:pt>
                <c:pt idx="34">
                  <c:v>-0.94595132757706013</c:v>
                </c:pt>
                <c:pt idx="35">
                  <c:v>-0.96603891724234314</c:v>
                </c:pt>
                <c:pt idx="36">
                  <c:v>-0.7866485803564498</c:v>
                </c:pt>
                <c:pt idx="37">
                  <c:v>-0.890053476439293</c:v>
                </c:pt>
                <c:pt idx="38">
                  <c:v>-0.84276536619658682</c:v>
                </c:pt>
                <c:pt idx="39">
                  <c:v>-0.68829878744415385</c:v>
                </c:pt>
                <c:pt idx="40">
                  <c:v>-0.74869817463024646</c:v>
                </c:pt>
                <c:pt idx="41">
                  <c:v>-0.74968079093447904</c:v>
                </c:pt>
                <c:pt idx="42">
                  <c:v>-0.69242902356835723</c:v>
                </c:pt>
                <c:pt idx="43">
                  <c:v>-0.61681674043959789</c:v>
                </c:pt>
                <c:pt idx="44">
                  <c:v>-0.63690433010488101</c:v>
                </c:pt>
                <c:pt idx="45">
                  <c:v>-0.65858820294238318</c:v>
                </c:pt>
                <c:pt idx="46">
                  <c:v>-0.678521624510244</c:v>
                </c:pt>
                <c:pt idx="47">
                  <c:v>-0.60414811219526798</c:v>
                </c:pt>
                <c:pt idx="48">
                  <c:v>-0.58602997505499332</c:v>
                </c:pt>
                <c:pt idx="49">
                  <c:v>-0.60962680167506733</c:v>
                </c:pt>
                <c:pt idx="50">
                  <c:v>-0.52876844032562964</c:v>
                </c:pt>
                <c:pt idx="51">
                  <c:v>-0.48853528873839158</c:v>
                </c:pt>
                <c:pt idx="52">
                  <c:v>-0.44866014997595849</c:v>
                </c:pt>
                <c:pt idx="53">
                  <c:v>-0.41265240441016493</c:v>
                </c:pt>
                <c:pt idx="54">
                  <c:v>-0.40699665963831322</c:v>
                </c:pt>
                <c:pt idx="55">
                  <c:v>-0.3347787561075124</c:v>
                </c:pt>
                <c:pt idx="56">
                  <c:v>-0.27078338705630578</c:v>
                </c:pt>
                <c:pt idx="57">
                  <c:v>-0.29153967160674821</c:v>
                </c:pt>
                <c:pt idx="58">
                  <c:v>-0.37719228264939281</c:v>
                </c:pt>
                <c:pt idx="59">
                  <c:v>-0.20781972644251409</c:v>
                </c:pt>
                <c:pt idx="60">
                  <c:v>-0.23219448167761927</c:v>
                </c:pt>
                <c:pt idx="61">
                  <c:v>-9.7640638815062908E-2</c:v>
                </c:pt>
                <c:pt idx="62">
                  <c:v>-0.18377170867264497</c:v>
                </c:pt>
                <c:pt idx="63">
                  <c:v>-0.20385929833792804</c:v>
                </c:pt>
                <c:pt idx="64">
                  <c:v>-0.11729447209965642</c:v>
                </c:pt>
                <c:pt idx="65">
                  <c:v>-0.13671439490459086</c:v>
                </c:pt>
                <c:pt idx="66">
                  <c:v>-5.0229989419091438E-2</c:v>
                </c:pt>
                <c:pt idx="67">
                  <c:v>-6.9444682599748411E-2</c:v>
                </c:pt>
                <c:pt idx="68">
                  <c:v>2.7261183699163152E-4</c:v>
                </c:pt>
                <c:pt idx="69">
                  <c:v>-9.8363891722884109E-2</c:v>
                </c:pt>
                <c:pt idx="70">
                  <c:v>-0.11834869657597134</c:v>
                </c:pt>
                <c:pt idx="71">
                  <c:v>-3.7816365092293025E-2</c:v>
                </c:pt>
                <c:pt idx="72">
                  <c:v>8.4728796584542396E-2</c:v>
                </c:pt>
                <c:pt idx="73">
                  <c:v>6.4641206919259342E-2</c:v>
                </c:pt>
                <c:pt idx="74">
                  <c:v>4.4553617253976212E-2</c:v>
                </c:pt>
                <c:pt idx="75">
                  <c:v>8.3666997425071929E-2</c:v>
                </c:pt>
                <c:pt idx="76">
                  <c:v>0.11763729821066714</c:v>
                </c:pt>
                <c:pt idx="77">
                  <c:v>9.8986486939402929E-2</c:v>
                </c:pt>
                <c:pt idx="78">
                  <c:v>0.12197252503190872</c:v>
                </c:pt>
                <c:pt idx="79">
                  <c:v>0.10188493536662573</c:v>
                </c:pt>
                <c:pt idx="80">
                  <c:v>0.15572522373759004</c:v>
                </c:pt>
                <c:pt idx="81">
                  <c:v>0.13553482492819122</c:v>
                </c:pt>
                <c:pt idx="82">
                  <c:v>0.19188235519327723</c:v>
                </c:pt>
                <c:pt idx="83">
                  <c:v>0.14715725743883717</c:v>
                </c:pt>
                <c:pt idx="84">
                  <c:v>0.18266784292294364</c:v>
                </c:pt>
                <c:pt idx="85">
                  <c:v>0.10997043841541206</c:v>
                </c:pt>
                <c:pt idx="86">
                  <c:v>0.16821040528194806</c:v>
                </c:pt>
                <c:pt idx="87">
                  <c:v>0.24237711182981517</c:v>
                </c:pt>
                <c:pt idx="88">
                  <c:v>0.27684633805949327</c:v>
                </c:pt>
                <c:pt idx="89">
                  <c:v>0.26997073460258697</c:v>
                </c:pt>
                <c:pt idx="90">
                  <c:v>0.33637344687831833</c:v>
                </c:pt>
                <c:pt idx="91">
                  <c:v>0.37138630250272986</c:v>
                </c:pt>
                <c:pt idx="92">
                  <c:v>0.35129871283744679</c:v>
                </c:pt>
                <c:pt idx="93">
                  <c:v>0.38240043668586099</c:v>
                </c:pt>
                <c:pt idx="94">
                  <c:v>0.42796866390675764</c:v>
                </c:pt>
                <c:pt idx="95">
                  <c:v>0.49643023367459571</c:v>
                </c:pt>
                <c:pt idx="96">
                  <c:v>0.53275405777293294</c:v>
                </c:pt>
                <c:pt idx="97">
                  <c:v>0.57472830797529195</c:v>
                </c:pt>
                <c:pt idx="98">
                  <c:v>0.72431902999619524</c:v>
                </c:pt>
                <c:pt idx="99">
                  <c:v>0.7716951560370392</c:v>
                </c:pt>
                <c:pt idx="100">
                  <c:v>0.88162349473244084</c:v>
                </c:pt>
                <c:pt idx="101">
                  <c:v>1.0006384091351854</c:v>
                </c:pt>
                <c:pt idx="102">
                  <c:v>1.0743083796798421</c:v>
                </c:pt>
                <c:pt idx="103">
                  <c:v>1.0143599406705148</c:v>
                </c:pt>
                <c:pt idx="104">
                  <c:v>0.99754945885415303</c:v>
                </c:pt>
                <c:pt idx="105">
                  <c:v>1.072666657589342</c:v>
                </c:pt>
                <c:pt idx="106">
                  <c:v>1.1413796629244206</c:v>
                </c:pt>
                <c:pt idx="107">
                  <c:v>1.1751229897993936</c:v>
                </c:pt>
                <c:pt idx="108">
                  <c:v>1.1036422501930914</c:v>
                </c:pt>
                <c:pt idx="109">
                  <c:v>1.1400563402072141</c:v>
                </c:pt>
                <c:pt idx="110">
                  <c:v>1.1796627755390565</c:v>
                </c:pt>
                <c:pt idx="111">
                  <c:v>1.2975942934525675</c:v>
                </c:pt>
                <c:pt idx="112">
                  <c:v>1.35587717454971</c:v>
                </c:pt>
                <c:pt idx="113">
                  <c:v>1.413859566943694</c:v>
                </c:pt>
                <c:pt idx="114">
                  <c:v>1.4678732340239327</c:v>
                </c:pt>
                <c:pt idx="115">
                  <c:v>1.3392143672496912</c:v>
                </c:pt>
                <c:pt idx="116">
                  <c:v>1.4517637379961099</c:v>
                </c:pt>
                <c:pt idx="117">
                  <c:v>1.502383971894345</c:v>
                </c:pt>
                <c:pt idx="118">
                  <c:v>1.5586452860685751</c:v>
                </c:pt>
                <c:pt idx="119">
                  <c:v>1.5385576964032921</c:v>
                </c:pt>
                <c:pt idx="120">
                  <c:v>1.6623962756857831</c:v>
                </c:pt>
                <c:pt idx="121">
                  <c:v>1.773997823487085</c:v>
                </c:pt>
                <c:pt idx="122">
                  <c:v>1.8081949796226269</c:v>
                </c:pt>
                <c:pt idx="123">
                  <c:v>1.7881073899573439</c:v>
                </c:pt>
                <c:pt idx="124">
                  <c:v>1.7679683987622128</c:v>
                </c:pt>
                <c:pt idx="125">
                  <c:v>1.8554168718045387</c:v>
                </c:pt>
                <c:pt idx="126">
                  <c:v>1.8353292821392557</c:v>
                </c:pt>
                <c:pt idx="127">
                  <c:v>1.8967761063135666</c:v>
                </c:pt>
                <c:pt idx="128">
                  <c:v>1.9566865939006666</c:v>
                </c:pt>
                <c:pt idx="129">
                  <c:v>1.8495922354261833</c:v>
                </c:pt>
                <c:pt idx="130">
                  <c:v>1.6422871247237043</c:v>
                </c:pt>
                <c:pt idx="131">
                  <c:v>1.8550096741412769</c:v>
                </c:pt>
                <c:pt idx="132">
                  <c:v>1.7204370273850196</c:v>
                </c:pt>
                <c:pt idx="133">
                  <c:v>1.7604016970258609</c:v>
                </c:pt>
                <c:pt idx="134">
                  <c:v>1.8765340468167029</c:v>
                </c:pt>
                <c:pt idx="135">
                  <c:v>1.9689297260985505</c:v>
                </c:pt>
                <c:pt idx="136">
                  <c:v>1.8882693628859639</c:v>
                </c:pt>
                <c:pt idx="137">
                  <c:v>1.9934858312249955</c:v>
                </c:pt>
                <c:pt idx="138">
                  <c:v>2.028770246575907</c:v>
                </c:pt>
                <c:pt idx="139">
                  <c:v>2.0569843200753075</c:v>
                </c:pt>
                <c:pt idx="140">
                  <c:v>1.9412641134772934</c:v>
                </c:pt>
                <c:pt idx="141">
                  <c:v>1.9220494202966365</c:v>
                </c:pt>
                <c:pt idx="142">
                  <c:v>1.9703486368694019</c:v>
                </c:pt>
                <c:pt idx="143">
                  <c:v>1.75994767925824</c:v>
                </c:pt>
                <c:pt idx="144">
                  <c:v>1.8203281799042799</c:v>
                </c:pt>
                <c:pt idx="145">
                  <c:v>1.8690662747493321</c:v>
                </c:pt>
                <c:pt idx="146">
                  <c:v>1.8173770127915194</c:v>
                </c:pt>
                <c:pt idx="147">
                  <c:v>1.7835567739769354</c:v>
                </c:pt>
                <c:pt idx="148">
                  <c:v>1.8437236953795653</c:v>
                </c:pt>
                <c:pt idx="149">
                  <c:v>1.9456926700913315</c:v>
                </c:pt>
                <c:pt idx="150">
                  <c:v>1.9929807803340378</c:v>
                </c:pt>
                <c:pt idx="151">
                  <c:v>2.0448222226941719</c:v>
                </c:pt>
                <c:pt idx="152">
                  <c:v>2.1678482464084254</c:v>
                </c:pt>
                <c:pt idx="153">
                  <c:v>2.2247127140997685</c:v>
                </c:pt>
                <c:pt idx="154">
                  <c:v>2.3034884293537941</c:v>
                </c:pt>
                <c:pt idx="155">
                  <c:v>2.283400839688511</c:v>
                </c:pt>
                <c:pt idx="156">
                  <c:v>2.263313250023228</c:v>
                </c:pt>
                <c:pt idx="157">
                  <c:v>2.0783614206996983</c:v>
                </c:pt>
                <c:pt idx="158">
                  <c:v>1.7123143997381358</c:v>
                </c:pt>
                <c:pt idx="159">
                  <c:v>1.6763669715957095</c:v>
                </c:pt>
                <c:pt idx="160">
                  <c:v>1.7200309892616312</c:v>
                </c:pt>
                <c:pt idx="161">
                  <c:v>1.6939398702148254</c:v>
                </c:pt>
                <c:pt idx="162">
                  <c:v>1.7759374125036524</c:v>
                </c:pt>
                <c:pt idx="163">
                  <c:v>1.8145122751367562</c:v>
                </c:pt>
                <c:pt idx="164">
                  <c:v>1.9053978551299748</c:v>
                </c:pt>
                <c:pt idx="165">
                  <c:v>1.9421728213109917</c:v>
                </c:pt>
                <c:pt idx="166">
                  <c:v>1.9194559658590307</c:v>
                </c:pt>
                <c:pt idx="167">
                  <c:v>1.8993683761937477</c:v>
                </c:pt>
                <c:pt idx="168">
                  <c:v>2.0594041981440565</c:v>
                </c:pt>
                <c:pt idx="169">
                  <c:v>2.0402407972194485</c:v>
                </c:pt>
                <c:pt idx="170">
                  <c:v>2.0627611317628762</c:v>
                </c:pt>
                <c:pt idx="171">
                  <c:v>2.0483923541445375</c:v>
                </c:pt>
                <c:pt idx="172">
                  <c:v>2.0283561599261226</c:v>
                </c:pt>
                <c:pt idx="173">
                  <c:v>2.0855218905414512</c:v>
                </c:pt>
                <c:pt idx="174">
                  <c:v>2.1292302871088151</c:v>
                </c:pt>
                <c:pt idx="175">
                  <c:v>2.1072367773880822</c:v>
                </c:pt>
                <c:pt idx="176">
                  <c:v>2.0871491877227992</c:v>
                </c:pt>
                <c:pt idx="177">
                  <c:v>2.1610675972884539</c:v>
                </c:pt>
                <c:pt idx="178">
                  <c:v>2.0010789148338177</c:v>
                </c:pt>
                <c:pt idx="179">
                  <c:v>2.0350492156194129</c:v>
                </c:pt>
                <c:pt idx="180">
                  <c:v>2.0153726193264974</c:v>
                </c:pt>
                <c:pt idx="181">
                  <c:v>2.0798336036774461</c:v>
                </c:pt>
                <c:pt idx="182">
                  <c:v>2.1191263414072918</c:v>
                </c:pt>
                <c:pt idx="183">
                  <c:v>2.2467856454416308</c:v>
                </c:pt>
                <c:pt idx="184">
                  <c:v>2.1220032267112861</c:v>
                </c:pt>
                <c:pt idx="185">
                  <c:v>2.2118126415881179</c:v>
                </c:pt>
                <c:pt idx="186">
                  <c:v>2.0785759664752721</c:v>
                </c:pt>
                <c:pt idx="187">
                  <c:v>2.1233923642878829</c:v>
                </c:pt>
                <c:pt idx="188">
                  <c:v>2.1578162573364925</c:v>
                </c:pt>
                <c:pt idx="189">
                  <c:v>2.1377286676712095</c:v>
                </c:pt>
                <c:pt idx="190">
                  <c:v>2.1718350958861263</c:v>
                </c:pt>
                <c:pt idx="191">
                  <c:v>2.2320874615907256</c:v>
                </c:pt>
                <c:pt idx="192">
                  <c:v>2.2658761927386259</c:v>
                </c:pt>
                <c:pt idx="193">
                  <c:v>2.332068267674579</c:v>
                </c:pt>
                <c:pt idx="194">
                  <c:v>2.2221386911517151</c:v>
                </c:pt>
                <c:pt idx="195">
                  <c:v>2.3177752246315806</c:v>
                </c:pt>
                <c:pt idx="196">
                  <c:v>2.4352576487957345</c:v>
                </c:pt>
                <c:pt idx="197">
                  <c:v>2.4151700591304515</c:v>
                </c:pt>
                <c:pt idx="198">
                  <c:v>2.4887157568492628</c:v>
                </c:pt>
                <c:pt idx="199">
                  <c:v>2.3176635840789612</c:v>
                </c:pt>
                <c:pt idx="200">
                  <c:v>2.3762038615470931</c:v>
                </c:pt>
                <c:pt idx="201">
                  <c:v>2.3561162718818101</c:v>
                </c:pt>
                <c:pt idx="202">
                  <c:v>2.5594769329514495</c:v>
                </c:pt>
                <c:pt idx="203">
                  <c:v>2.6715336939313472</c:v>
                </c:pt>
                <c:pt idx="204">
                  <c:v>2.7428780211264128</c:v>
                </c:pt>
                <c:pt idx="205">
                  <c:v>2.8232472458483628</c:v>
                </c:pt>
                <c:pt idx="206">
                  <c:v>2.803211051629948</c:v>
                </c:pt>
                <c:pt idx="207">
                  <c:v>2.8426382589357195</c:v>
                </c:pt>
                <c:pt idx="208">
                  <c:v>2.9264603904764721</c:v>
                </c:pt>
                <c:pt idx="209">
                  <c:v>3.0084579327652992</c:v>
                </c:pt>
                <c:pt idx="210">
                  <c:v>2.9884217385468843</c:v>
                </c:pt>
                <c:pt idx="211">
                  <c:v>3.0607642953769898</c:v>
                </c:pt>
                <c:pt idx="212">
                  <c:v>3.1216569580716937</c:v>
                </c:pt>
                <c:pt idx="213">
                  <c:v>3.0698018305606527</c:v>
                </c:pt>
                <c:pt idx="214">
                  <c:v>3.018940947488078</c:v>
                </c:pt>
                <c:pt idx="215">
                  <c:v>2.9999313869944664</c:v>
                </c:pt>
                <c:pt idx="216">
                  <c:v>3.0399855690605082</c:v>
                </c:pt>
                <c:pt idx="217">
                  <c:v>2.7717241762493416</c:v>
                </c:pt>
                <c:pt idx="218">
                  <c:v>2.8993834802836806</c:v>
                </c:pt>
                <c:pt idx="219">
                  <c:v>2.7415881884103035</c:v>
                </c:pt>
                <c:pt idx="220">
                  <c:v>2.8466120317724064</c:v>
                </c:pt>
                <c:pt idx="221">
                  <c:v>2.8265244421071234</c:v>
                </c:pt>
                <c:pt idx="222">
                  <c:v>2.9371380547782242</c:v>
                </c:pt>
                <c:pt idx="223">
                  <c:v>2.9362538002099683</c:v>
                </c:pt>
                <c:pt idx="224">
                  <c:v>2.9868303559456959</c:v>
                </c:pt>
                <c:pt idx="225">
                  <c:v>2.935527867439057</c:v>
                </c:pt>
                <c:pt idx="226">
                  <c:v>2.921564709197952</c:v>
                </c:pt>
                <c:pt idx="227">
                  <c:v>3.077644484135055</c:v>
                </c:pt>
                <c:pt idx="228">
                  <c:v>3.1155452594584045</c:v>
                </c:pt>
                <c:pt idx="229">
                  <c:v>3.1985979436796503</c:v>
                </c:pt>
                <c:pt idx="230">
                  <c:v>3.1785103540143673</c:v>
                </c:pt>
                <c:pt idx="231">
                  <c:v>3.2598166071658556</c:v>
                </c:pt>
                <c:pt idx="232">
                  <c:v>3.1359489664953402</c:v>
                </c:pt>
                <c:pt idx="233">
                  <c:v>3.1828848350607517</c:v>
                </c:pt>
                <c:pt idx="234">
                  <c:v>3.2329806408583686</c:v>
                </c:pt>
                <c:pt idx="235">
                  <c:v>3.2129444466399537</c:v>
                </c:pt>
                <c:pt idx="236">
                  <c:v>3.2474590013191578</c:v>
                </c:pt>
                <c:pt idx="237">
                  <c:v>3.3456865740563804</c:v>
                </c:pt>
                <c:pt idx="238">
                  <c:v>3.4041410696833907</c:v>
                </c:pt>
                <c:pt idx="239">
                  <c:v>3.3840534800181077</c:v>
                </c:pt>
                <c:pt idx="240">
                  <c:v>3.1656932667088737</c:v>
                </c:pt>
                <c:pt idx="241">
                  <c:v>3.2132453708511965</c:v>
                </c:pt>
                <c:pt idx="242">
                  <c:v>3.1931577811859135</c:v>
                </c:pt>
                <c:pt idx="243">
                  <c:v>3.055698802832806</c:v>
                </c:pt>
                <c:pt idx="244">
                  <c:v>2.9952430141872091</c:v>
                </c:pt>
                <c:pt idx="245">
                  <c:v>3.1475723393554107</c:v>
                </c:pt>
                <c:pt idx="246">
                  <c:v>3.0885806133363509</c:v>
                </c:pt>
                <c:pt idx="247">
                  <c:v>3.1701716482303222</c:v>
                </c:pt>
                <c:pt idx="248">
                  <c:v>3.4062794411780262</c:v>
                </c:pt>
                <c:pt idx="249">
                  <c:v>3.4959691173758451</c:v>
                </c:pt>
                <c:pt idx="250">
                  <c:v>3.5497660502523134</c:v>
                </c:pt>
                <c:pt idx="251">
                  <c:v>3.5292670779037785</c:v>
                </c:pt>
                <c:pt idx="252">
                  <c:v>3.5095391287045743</c:v>
                </c:pt>
                <c:pt idx="253">
                  <c:v>3.4584022948619779</c:v>
                </c:pt>
                <c:pt idx="254">
                  <c:v>3.5198065163257088</c:v>
                </c:pt>
                <c:pt idx="255">
                  <c:v>3.6094163483930459</c:v>
                </c:pt>
                <c:pt idx="256">
                  <c:v>3.5893801541746306</c:v>
                </c:pt>
                <c:pt idx="257">
                  <c:v>3.5358628776873369</c:v>
                </c:pt>
                <c:pt idx="258">
                  <c:v>3.5793937314329756</c:v>
                </c:pt>
                <c:pt idx="259">
                  <c:v>3.5584314872983329</c:v>
                </c:pt>
                <c:pt idx="260">
                  <c:v>3.5164178384621976</c:v>
                </c:pt>
                <c:pt idx="261">
                  <c:v>3.4963302487969146</c:v>
                </c:pt>
                <c:pt idx="262">
                  <c:v>3.5328345859694066</c:v>
                </c:pt>
                <c:pt idx="263">
                  <c:v>3.6714732191424964</c:v>
                </c:pt>
                <c:pt idx="264">
                  <c:v>3.6844778047120545</c:v>
                </c:pt>
                <c:pt idx="265">
                  <c:v>3.603403605697856</c:v>
                </c:pt>
                <c:pt idx="266">
                  <c:v>3.5138481733080962</c:v>
                </c:pt>
                <c:pt idx="267">
                  <c:v>3.5728171060113314</c:v>
                </c:pt>
                <c:pt idx="268">
                  <c:v>3.5139939931361943</c:v>
                </c:pt>
                <c:pt idx="269">
                  <c:v>3.5994315714042582</c:v>
                </c:pt>
                <c:pt idx="270">
                  <c:v>3.5785208263233423</c:v>
                </c:pt>
                <c:pt idx="271">
                  <c:v>3.7265089269771523</c:v>
                </c:pt>
                <c:pt idx="272">
                  <c:v>3.7064213373118693</c:v>
                </c:pt>
                <c:pt idx="273">
                  <c:v>3.7840904185813655</c:v>
                </c:pt>
                <c:pt idx="274">
                  <c:v>3.6414144703156066</c:v>
                </c:pt>
                <c:pt idx="275">
                  <c:v>3.622148478820324</c:v>
                </c:pt>
                <c:pt idx="276">
                  <c:v>3.6839359743126954</c:v>
                </c:pt>
                <c:pt idx="277">
                  <c:v>3.7375160647704111</c:v>
                </c:pt>
                <c:pt idx="278">
                  <c:v>3.8309419527621347</c:v>
                </c:pt>
                <c:pt idx="279">
                  <c:v>3.8019750669970125</c:v>
                </c:pt>
                <c:pt idx="280">
                  <c:v>3.7818874773317295</c:v>
                </c:pt>
                <c:pt idx="281">
                  <c:v>3.7109849061608897</c:v>
                </c:pt>
                <c:pt idx="282">
                  <c:v>3.7495597687939934</c:v>
                </c:pt>
                <c:pt idx="283">
                  <c:v>3.7882244307345623</c:v>
                </c:pt>
                <c:pt idx="284">
                  <c:v>3.8423247612203006</c:v>
                </c:pt>
                <c:pt idx="285">
                  <c:v>3.8769752728687021</c:v>
                </c:pt>
                <c:pt idx="286">
                  <c:v>3.9146511197147684</c:v>
                </c:pt>
                <c:pt idx="287">
                  <c:v>4.1321287468720866</c:v>
                </c:pt>
                <c:pt idx="288">
                  <c:v>4.2467183827709309</c:v>
                </c:pt>
                <c:pt idx="289">
                  <c:v>4.3363681387384059</c:v>
                </c:pt>
                <c:pt idx="290">
                  <c:v>4.3918527369228118</c:v>
                </c:pt>
                <c:pt idx="291">
                  <c:v>4.3717651472575287</c:v>
                </c:pt>
                <c:pt idx="292">
                  <c:v>4.4429845342658014</c:v>
                </c:pt>
                <c:pt idx="293">
                  <c:v>4.4899204028312134</c:v>
                </c:pt>
                <c:pt idx="294">
                  <c:v>4.4765143533842719</c:v>
                </c:pt>
                <c:pt idx="295">
                  <c:v>4.479887414602489</c:v>
                </c:pt>
                <c:pt idx="296">
                  <c:v>4.3845028929624927</c:v>
                </c:pt>
                <c:pt idx="297">
                  <c:v>4.4641373782441471</c:v>
                </c:pt>
                <c:pt idx="298">
                  <c:v>4.5987632162017738</c:v>
                </c:pt>
                <c:pt idx="299">
                  <c:v>4.6023796871795373</c:v>
                </c:pt>
                <c:pt idx="300">
                  <c:v>4.6442648198688792</c:v>
                </c:pt>
                <c:pt idx="301">
                  <c:v>4.7252861044142183</c:v>
                </c:pt>
                <c:pt idx="302">
                  <c:v>4.682839759737365</c:v>
                </c:pt>
                <c:pt idx="303">
                  <c:v>4.6950339214081867</c:v>
                </c:pt>
                <c:pt idx="304">
                  <c:v>4.6532364589360595</c:v>
                </c:pt>
                <c:pt idx="305">
                  <c:v>4.57399197500804</c:v>
                </c:pt>
                <c:pt idx="306">
                  <c:v>4.553904385342757</c:v>
                </c:pt>
                <c:pt idx="307">
                  <c:v>4.6270770510783805</c:v>
                </c:pt>
                <c:pt idx="308">
                  <c:v>4.6301578403906287</c:v>
                </c:pt>
                <c:pt idx="309">
                  <c:v>4.6100702507253448</c:v>
                </c:pt>
                <c:pt idx="310">
                  <c:v>4.5681647085230725</c:v>
                </c:pt>
                <c:pt idx="311">
                  <c:v>4.3476082319308844</c:v>
                </c:pt>
                <c:pt idx="312">
                  <c:v>4.4864607934844596</c:v>
                </c:pt>
                <c:pt idx="313">
                  <c:v>4.3593829639696038</c:v>
                </c:pt>
                <c:pt idx="314">
                  <c:v>4.4095662184394087</c:v>
                </c:pt>
                <c:pt idx="315">
                  <c:v>4.4829461637213832</c:v>
                </c:pt>
                <c:pt idx="316">
                  <c:v>4.5440520491368366</c:v>
                </c:pt>
                <c:pt idx="317">
                  <c:v>4.4979648521982565</c:v>
                </c:pt>
                <c:pt idx="318">
                  <c:v>4.5794745399335213</c:v>
                </c:pt>
                <c:pt idx="319">
                  <c:v>4.7327703790242488</c:v>
                </c:pt>
                <c:pt idx="320">
                  <c:v>4.7847859997502313</c:v>
                </c:pt>
                <c:pt idx="321">
                  <c:v>4.7972663661025425</c:v>
                </c:pt>
                <c:pt idx="322">
                  <c:v>4.9349410153578974</c:v>
                </c:pt>
                <c:pt idx="323">
                  <c:v>4.9148534256926144</c:v>
                </c:pt>
                <c:pt idx="324">
                  <c:v>4.7530165449797614</c:v>
                </c:pt>
                <c:pt idx="325">
                  <c:v>4.5394172676016282</c:v>
                </c:pt>
                <c:pt idx="326">
                  <c:v>4.5205102371286854</c:v>
                </c:pt>
                <c:pt idx="327">
                  <c:v>4.6406802841294894</c:v>
                </c:pt>
                <c:pt idx="328">
                  <c:v>4.7452414786689063</c:v>
                </c:pt>
                <c:pt idx="329">
                  <c:v>4.8020198328408696</c:v>
                </c:pt>
                <c:pt idx="330">
                  <c:v>4.7824972588436951</c:v>
                </c:pt>
                <c:pt idx="331">
                  <c:v>4.634057673580239</c:v>
                </c:pt>
                <c:pt idx="332">
                  <c:v>4.8240328237656742</c:v>
                </c:pt>
                <c:pt idx="333">
                  <c:v>4.9112404804773391</c:v>
                </c:pt>
                <c:pt idx="334">
                  <c:v>4.9476996964148361</c:v>
                </c:pt>
                <c:pt idx="335">
                  <c:v>4.9276635021964212</c:v>
                </c:pt>
                <c:pt idx="336">
                  <c:v>5.0021610507185317</c:v>
                </c:pt>
                <c:pt idx="337">
                  <c:v>4.9455798800119632</c:v>
                </c:pt>
                <c:pt idx="338">
                  <c:v>4.9139292507976995</c:v>
                </c:pt>
                <c:pt idx="339">
                  <c:v>4.8714287888162335</c:v>
                </c:pt>
                <c:pt idx="340">
                  <c:v>5.081436528406523</c:v>
                </c:pt>
                <c:pt idx="341">
                  <c:v>5.0626832475931636</c:v>
                </c:pt>
                <c:pt idx="342">
                  <c:v>5.1326094769315702</c:v>
                </c:pt>
                <c:pt idx="343">
                  <c:v>5.112881527732366</c:v>
                </c:pt>
                <c:pt idx="344">
                  <c:v>5.1525327585160454</c:v>
                </c:pt>
                <c:pt idx="345">
                  <c:v>5.1327534503376402</c:v>
                </c:pt>
                <c:pt idx="346">
                  <c:v>5.1787633229329115</c:v>
                </c:pt>
                <c:pt idx="347">
                  <c:v>5.2120068892596247</c:v>
                </c:pt>
                <c:pt idx="348">
                  <c:v>5.1838261939101713</c:v>
                </c:pt>
                <c:pt idx="349">
                  <c:v>5.0460977418143127</c:v>
                </c:pt>
                <c:pt idx="350">
                  <c:v>5.0894509801277126</c:v>
                </c:pt>
                <c:pt idx="351">
                  <c:v>5.1355932588042368</c:v>
                </c:pt>
                <c:pt idx="352">
                  <c:v>5.1855578585687852</c:v>
                </c:pt>
                <c:pt idx="353">
                  <c:v>5.2253882249696844</c:v>
                </c:pt>
                <c:pt idx="354">
                  <c:v>5.3142388047749662</c:v>
                </c:pt>
                <c:pt idx="355">
                  <c:v>5.2931735442088277</c:v>
                </c:pt>
                <c:pt idx="356">
                  <c:v>5.1595365089444272</c:v>
                </c:pt>
                <c:pt idx="357">
                  <c:v>5.0437522382075164</c:v>
                </c:pt>
                <c:pt idx="358">
                  <c:v>4.965860320745997</c:v>
                </c:pt>
                <c:pt idx="359">
                  <c:v>5.0014161261261005</c:v>
                </c:pt>
                <c:pt idx="360">
                  <c:v>4.941073133075653</c:v>
                </c:pt>
                <c:pt idx="361">
                  <c:v>4.999827791047486</c:v>
                </c:pt>
                <c:pt idx="362">
                  <c:v>5.1610163476670659</c:v>
                </c:pt>
                <c:pt idx="363">
                  <c:v>4.8855969359022504</c:v>
                </c:pt>
                <c:pt idx="364">
                  <c:v>5.1288825859323213</c:v>
                </c:pt>
                <c:pt idx="365">
                  <c:v>5.2679845974824504</c:v>
                </c:pt>
                <c:pt idx="366">
                  <c:v>5.291110249315425</c:v>
                </c:pt>
                <c:pt idx="367">
                  <c:v>5.4082180736140932</c:v>
                </c:pt>
                <c:pt idx="368">
                  <c:v>5.4729750989098402</c:v>
                </c:pt>
                <c:pt idx="369">
                  <c:v>5.5149939010120308</c:v>
                </c:pt>
                <c:pt idx="370">
                  <c:v>5.5686173686158833</c:v>
                </c:pt>
                <c:pt idx="371">
                  <c:v>5.5442426133807778</c:v>
                </c:pt>
                <c:pt idx="372">
                  <c:v>5.5779405312354378</c:v>
                </c:pt>
                <c:pt idx="373">
                  <c:v>5.6184419988953938</c:v>
                </c:pt>
                <c:pt idx="374">
                  <c:v>5.5989194248982193</c:v>
                </c:pt>
                <c:pt idx="375">
                  <c:v>5.6031681235237691</c:v>
                </c:pt>
                <c:pt idx="376">
                  <c:v>5.6636340264660667</c:v>
                </c:pt>
                <c:pt idx="377">
                  <c:v>5.6995965991710467</c:v>
                </c:pt>
                <c:pt idx="378">
                  <c:v>5.6795090095057637</c:v>
                </c:pt>
                <c:pt idx="379">
                  <c:v>5.7205912605931708</c:v>
                </c:pt>
                <c:pt idx="380">
                  <c:v>5.7402599380272816</c:v>
                </c:pt>
                <c:pt idx="381">
                  <c:v>5.6383469179910284</c:v>
                </c:pt>
                <c:pt idx="382">
                  <c:v>5.6365766047752324</c:v>
                </c:pt>
                <c:pt idx="383">
                  <c:v>5.6719515023139886</c:v>
                </c:pt>
                <c:pt idx="384">
                  <c:v>5.734759411303294</c:v>
                </c:pt>
                <c:pt idx="385">
                  <c:v>5.8176499327595605</c:v>
                </c:pt>
                <c:pt idx="386">
                  <c:v>5.8521191589892387</c:v>
                </c:pt>
                <c:pt idx="387">
                  <c:v>5.8847713568106279</c:v>
                </c:pt>
                <c:pt idx="388">
                  <c:v>5.8648893124493302</c:v>
                </c:pt>
                <c:pt idx="389">
                  <c:v>5.8448017227840472</c:v>
                </c:pt>
                <c:pt idx="390">
                  <c:v>5.8788174041205217</c:v>
                </c:pt>
                <c:pt idx="391">
                  <c:v>5.9126515347949553</c:v>
                </c:pt>
                <c:pt idx="392">
                  <c:v>5.8138918368682644</c:v>
                </c:pt>
                <c:pt idx="393">
                  <c:v>5.8502156609666018</c:v>
                </c:pt>
                <c:pt idx="394">
                  <c:v>5.8301280713013188</c:v>
                </c:pt>
                <c:pt idx="395">
                  <c:v>5.9052865486324393</c:v>
                </c:pt>
                <c:pt idx="396">
                  <c:v>5.9920523616244221</c:v>
                </c:pt>
                <c:pt idx="397">
                  <c:v>5.9717077034512904</c:v>
                </c:pt>
                <c:pt idx="398">
                  <c:v>5.8256102410284125</c:v>
                </c:pt>
                <c:pt idx="399">
                  <c:v>5.8462159527262321</c:v>
                </c:pt>
                <c:pt idx="400">
                  <c:v>5.8262825311583715</c:v>
                </c:pt>
                <c:pt idx="401">
                  <c:v>5.8799059987622231</c:v>
                </c:pt>
                <c:pt idx="402">
                  <c:v>5.9180765345760742</c:v>
                </c:pt>
                <c:pt idx="403">
                  <c:v>6.0074467461391086</c:v>
                </c:pt>
                <c:pt idx="404">
                  <c:v>5.9873591564738255</c:v>
                </c:pt>
                <c:pt idx="405">
                  <c:v>6.0407656950091013</c:v>
                </c:pt>
                <c:pt idx="406">
                  <c:v>6.0949526716101197</c:v>
                </c:pt>
                <c:pt idx="407">
                  <c:v>6.1717590838012795</c:v>
                </c:pt>
                <c:pt idx="408">
                  <c:v>6.1516714941359965</c:v>
                </c:pt>
                <c:pt idx="409">
                  <c:v>6.2204263912500402</c:v>
                </c:pt>
                <c:pt idx="410">
                  <c:v>6.3237901234939971</c:v>
                </c:pt>
                <c:pt idx="411">
                  <c:v>6.2736458929122199</c:v>
                </c:pt>
                <c:pt idx="412">
                  <c:v>6.2635173410587628</c:v>
                </c:pt>
                <c:pt idx="413">
                  <c:v>6.3925643368762035</c:v>
                </c:pt>
                <c:pt idx="414">
                  <c:v>6.562368628488402</c:v>
                </c:pt>
                <c:pt idx="415">
                  <c:v>6.6214660753031787</c:v>
                </c:pt>
                <c:pt idx="416">
                  <c:v>6.6114881970696713</c:v>
                </c:pt>
                <c:pt idx="417">
                  <c:v>6.5918629476115669</c:v>
                </c:pt>
                <c:pt idx="418">
                  <c:v>6.7975525080113499</c:v>
                </c:pt>
                <c:pt idx="419">
                  <c:v>6.7775677031582626</c:v>
                </c:pt>
                <c:pt idx="420">
                  <c:v>6.7574801134929796</c:v>
                </c:pt>
                <c:pt idx="421">
                  <c:v>6.737238300983452</c:v>
                </c:pt>
                <c:pt idx="422">
                  <c:v>6.7713900955279129</c:v>
                </c:pt>
                <c:pt idx="423">
                  <c:v>6.5421854243608335</c:v>
                </c:pt>
                <c:pt idx="424">
                  <c:v>6.5812988045319294</c:v>
                </c:pt>
                <c:pt idx="425">
                  <c:v>6.4447816697157716</c:v>
                </c:pt>
                <c:pt idx="426">
                  <c:v>6.5022914451146567</c:v>
                </c:pt>
                <c:pt idx="427">
                  <c:v>6.4317354059069016</c:v>
                </c:pt>
                <c:pt idx="428">
                  <c:v>6.4109276406166389</c:v>
                </c:pt>
                <c:pt idx="429">
                  <c:v>6.3904286682681031</c:v>
                </c:pt>
                <c:pt idx="430">
                  <c:v>6.0612995296830654</c:v>
                </c:pt>
                <c:pt idx="431">
                  <c:v>6.1340573392992948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4-4F5F-ABF7-635109D35C22}"/>
            </c:ext>
          </c:extLst>
        </c:ser>
        <c:ser>
          <c:idx val="1"/>
          <c:order val="1"/>
          <c:tx>
            <c:v>Rule log10 equity multiple</c:v>
          </c:tx>
          <c:marker>
            <c:symbol val="none"/>
          </c:marker>
          <c:cat>
            <c:strRef>
              <c:f>Summary!$N$5:$N$436</c:f>
              <c:strCache>
                <c:ptCount val="432"/>
                <c:pt idx="0">
                  <c:v>yyyy-04-16</c:v>
                </c:pt>
                <c:pt idx="1">
                  <c:v>yyyy-04-23</c:v>
                </c:pt>
                <c:pt idx="2">
                  <c:v>yyyy-04-30</c:v>
                </c:pt>
                <c:pt idx="3">
                  <c:v>yyyy-05-07</c:v>
                </c:pt>
                <c:pt idx="4">
                  <c:v>yyyy-05-14</c:v>
                </c:pt>
                <c:pt idx="5">
                  <c:v>yyyy-05-21</c:v>
                </c:pt>
                <c:pt idx="6">
                  <c:v>yyyy-05-29</c:v>
                </c:pt>
                <c:pt idx="7">
                  <c:v>yyyy-06-04</c:v>
                </c:pt>
                <c:pt idx="8">
                  <c:v>yyyy-06-11</c:v>
                </c:pt>
                <c:pt idx="9">
                  <c:v>yyyy-06-18</c:v>
                </c:pt>
                <c:pt idx="10">
                  <c:v>yyyy-06-25</c:v>
                </c:pt>
                <c:pt idx="11">
                  <c:v>yyyy-07-02</c:v>
                </c:pt>
                <c:pt idx="12">
                  <c:v>yyyy-07-09</c:v>
                </c:pt>
                <c:pt idx="13">
                  <c:v>yyyy-07-16</c:v>
                </c:pt>
                <c:pt idx="14">
                  <c:v>yyyy-07-23</c:v>
                </c:pt>
                <c:pt idx="15">
                  <c:v>yyyy-07-30</c:v>
                </c:pt>
                <c:pt idx="16">
                  <c:v>yyyy-08-06</c:v>
                </c:pt>
                <c:pt idx="17">
                  <c:v>yyyy-08-13</c:v>
                </c:pt>
                <c:pt idx="18">
                  <c:v>yyyy-08-20</c:v>
                </c:pt>
                <c:pt idx="19">
                  <c:v>yyyy-08-27</c:v>
                </c:pt>
                <c:pt idx="20">
                  <c:v>yyyy-09-04</c:v>
                </c:pt>
                <c:pt idx="21">
                  <c:v>yyyy-09-10</c:v>
                </c:pt>
                <c:pt idx="22">
                  <c:v>yyyy-09-17</c:v>
                </c:pt>
                <c:pt idx="23">
                  <c:v>yyyy-09-24</c:v>
                </c:pt>
                <c:pt idx="24">
                  <c:v>yyyy-10-01</c:v>
                </c:pt>
                <c:pt idx="25">
                  <c:v>yyyy-10-08</c:v>
                </c:pt>
                <c:pt idx="26">
                  <c:v>yyyy-10-15</c:v>
                </c:pt>
                <c:pt idx="27">
                  <c:v>yyyy-10-22</c:v>
                </c:pt>
                <c:pt idx="28">
                  <c:v>yyyy-10-29</c:v>
                </c:pt>
                <c:pt idx="29">
                  <c:v>yyyy-11-05</c:v>
                </c:pt>
                <c:pt idx="30">
                  <c:v>yyyy-11-12</c:v>
                </c:pt>
                <c:pt idx="31">
                  <c:v>yyyy-11-19</c:v>
                </c:pt>
                <c:pt idx="32">
                  <c:v>yyyy-11-26</c:v>
                </c:pt>
                <c:pt idx="33">
                  <c:v>yyyy-12-03</c:v>
                </c:pt>
                <c:pt idx="34">
                  <c:v>yyyy-12-10</c:v>
                </c:pt>
                <c:pt idx="35">
                  <c:v>yyyy-12-17</c:v>
                </c:pt>
                <c:pt idx="36">
                  <c:v>yyyy-12-24</c:v>
                </c:pt>
                <c:pt idx="37">
                  <c:v>yyyy-12-31</c:v>
                </c:pt>
                <c:pt idx="38">
                  <c:v>yyyy-01-07</c:v>
                </c:pt>
                <c:pt idx="39">
                  <c:v>yyyy-01-14</c:v>
                </c:pt>
                <c:pt idx="40">
                  <c:v>yyyy-01-22</c:v>
                </c:pt>
                <c:pt idx="41">
                  <c:v>yyyy-01-28</c:v>
                </c:pt>
                <c:pt idx="42">
                  <c:v>yyyy-02-04</c:v>
                </c:pt>
                <c:pt idx="43">
                  <c:v>yyyy-02-11</c:v>
                </c:pt>
                <c:pt idx="44">
                  <c:v>yyyy-02-19</c:v>
                </c:pt>
                <c:pt idx="45">
                  <c:v>yyyy-02-25</c:v>
                </c:pt>
                <c:pt idx="46">
                  <c:v>yyyy-03-04</c:v>
                </c:pt>
                <c:pt idx="47">
                  <c:v>yyyy-03-11</c:v>
                </c:pt>
                <c:pt idx="48">
                  <c:v>yyyy-03-18</c:v>
                </c:pt>
                <c:pt idx="49">
                  <c:v>yyyy-03-25</c:v>
                </c:pt>
                <c:pt idx="50">
                  <c:v>yyyy-04-01</c:v>
                </c:pt>
                <c:pt idx="51">
                  <c:v>yyyy-04-08</c:v>
                </c:pt>
                <c:pt idx="52">
                  <c:v>yyyy-04-15</c:v>
                </c:pt>
                <c:pt idx="53">
                  <c:v>yyyy-04-22</c:v>
                </c:pt>
                <c:pt idx="54">
                  <c:v>yyyy-04-29</c:v>
                </c:pt>
                <c:pt idx="55">
                  <c:v>yyyy-05-06</c:v>
                </c:pt>
                <c:pt idx="56">
                  <c:v>yyyy-05-13</c:v>
                </c:pt>
                <c:pt idx="57">
                  <c:v>yyyy-05-20</c:v>
                </c:pt>
                <c:pt idx="58">
                  <c:v>yyyy-05-28</c:v>
                </c:pt>
                <c:pt idx="59">
                  <c:v>yyyy-06-03</c:v>
                </c:pt>
                <c:pt idx="60">
                  <c:v>yyyy-06-10</c:v>
                </c:pt>
                <c:pt idx="61">
                  <c:v>yyyy-06-17</c:v>
                </c:pt>
                <c:pt idx="62">
                  <c:v>yyyy-06-24</c:v>
                </c:pt>
                <c:pt idx="63">
                  <c:v>yyyy-07-01</c:v>
                </c:pt>
                <c:pt idx="64">
                  <c:v>yyyy-07-08</c:v>
                </c:pt>
                <c:pt idx="65">
                  <c:v>yyyy-07-15</c:v>
                </c:pt>
                <c:pt idx="66">
                  <c:v>yyyy-07-22</c:v>
                </c:pt>
                <c:pt idx="67">
                  <c:v>yyyy-07-29</c:v>
                </c:pt>
                <c:pt idx="68">
                  <c:v>yyyy-08-05</c:v>
                </c:pt>
                <c:pt idx="69">
                  <c:v>yyyy-08-12</c:v>
                </c:pt>
                <c:pt idx="70">
                  <c:v>yyyy-08-19</c:v>
                </c:pt>
                <c:pt idx="71">
                  <c:v>yyyy-08-26</c:v>
                </c:pt>
                <c:pt idx="72">
                  <c:v>yyyy-09-03</c:v>
                </c:pt>
                <c:pt idx="73">
                  <c:v>yyyy-09-09</c:v>
                </c:pt>
                <c:pt idx="74">
                  <c:v>yyyy-09-16</c:v>
                </c:pt>
                <c:pt idx="75">
                  <c:v>yyyy-09-23</c:v>
                </c:pt>
                <c:pt idx="76">
                  <c:v>yyyy-09-30</c:v>
                </c:pt>
                <c:pt idx="77">
                  <c:v>yyyy-10-07</c:v>
                </c:pt>
                <c:pt idx="78">
                  <c:v>yyyy-10-14</c:v>
                </c:pt>
                <c:pt idx="79">
                  <c:v>yyyy-10-21</c:v>
                </c:pt>
                <c:pt idx="80">
                  <c:v>yyyy-10-28</c:v>
                </c:pt>
                <c:pt idx="81">
                  <c:v>yyyy-11-04</c:v>
                </c:pt>
                <c:pt idx="82">
                  <c:v>yyyy-11-11</c:v>
                </c:pt>
                <c:pt idx="83">
                  <c:v>yyyy-11-18</c:v>
                </c:pt>
                <c:pt idx="84">
                  <c:v>yyyy-11-25</c:v>
                </c:pt>
                <c:pt idx="85">
                  <c:v>yyyy-12-02</c:v>
                </c:pt>
                <c:pt idx="86">
                  <c:v>yyyy-12-09</c:v>
                </c:pt>
                <c:pt idx="87">
                  <c:v>yyyy-12-16</c:v>
                </c:pt>
                <c:pt idx="88">
                  <c:v>yyyy-12-23</c:v>
                </c:pt>
                <c:pt idx="89">
                  <c:v>yyyy-12-30</c:v>
                </c:pt>
                <c:pt idx="90">
                  <c:v>yyyy-01-06</c:v>
                </c:pt>
                <c:pt idx="91">
                  <c:v>yyyy-01-13</c:v>
                </c:pt>
                <c:pt idx="92">
                  <c:v>yyyy-01-21</c:v>
                </c:pt>
                <c:pt idx="93">
                  <c:v>yyyy-01-27</c:v>
                </c:pt>
                <c:pt idx="94">
                  <c:v>yyyy-02-03</c:v>
                </c:pt>
                <c:pt idx="95">
                  <c:v>yyyy-02-10</c:v>
                </c:pt>
                <c:pt idx="96">
                  <c:v>yyyy-02-18</c:v>
                </c:pt>
                <c:pt idx="97">
                  <c:v>yyyy-02-24</c:v>
                </c:pt>
                <c:pt idx="98">
                  <c:v>yyyy-03-02</c:v>
                </c:pt>
                <c:pt idx="99">
                  <c:v>yyyy-03-23</c:v>
                </c:pt>
                <c:pt idx="100">
                  <c:v>yyyy-03-30</c:v>
                </c:pt>
                <c:pt idx="101">
                  <c:v>yyyy-04-06</c:v>
                </c:pt>
                <c:pt idx="102">
                  <c:v>yyyy-04-13</c:v>
                </c:pt>
                <c:pt idx="103">
                  <c:v>yyyy-04-20</c:v>
                </c:pt>
                <c:pt idx="104">
                  <c:v>yyyy-04-27</c:v>
                </c:pt>
                <c:pt idx="105">
                  <c:v>yyyy-05-04</c:v>
                </c:pt>
                <c:pt idx="106">
                  <c:v>yyyy-05-11</c:v>
                </c:pt>
                <c:pt idx="107">
                  <c:v>yyyy-05-18</c:v>
                </c:pt>
                <c:pt idx="108">
                  <c:v>yyyy-05-26</c:v>
                </c:pt>
                <c:pt idx="109">
                  <c:v>yyyy-06-01</c:v>
                </c:pt>
                <c:pt idx="110">
                  <c:v>yyyy-06-08</c:v>
                </c:pt>
                <c:pt idx="111">
                  <c:v>yyyy-06-15</c:v>
                </c:pt>
                <c:pt idx="112">
                  <c:v>yyyy-06-22</c:v>
                </c:pt>
                <c:pt idx="113">
                  <c:v>yyyy-06-29</c:v>
                </c:pt>
                <c:pt idx="114">
                  <c:v>yyyy-07-06</c:v>
                </c:pt>
                <c:pt idx="115">
                  <c:v>yyyy-07-13</c:v>
                </c:pt>
                <c:pt idx="116">
                  <c:v>yyyy-07-20</c:v>
                </c:pt>
                <c:pt idx="117">
                  <c:v>yyyy-07-27</c:v>
                </c:pt>
                <c:pt idx="118">
                  <c:v>yyyy-08-03</c:v>
                </c:pt>
                <c:pt idx="119">
                  <c:v>yyyy-08-10</c:v>
                </c:pt>
                <c:pt idx="120">
                  <c:v>yyyy-08-17</c:v>
                </c:pt>
                <c:pt idx="121">
                  <c:v>yyyy-08-24</c:v>
                </c:pt>
                <c:pt idx="122">
                  <c:v>yyyy-08-31</c:v>
                </c:pt>
                <c:pt idx="123">
                  <c:v>yyyy-09-08</c:v>
                </c:pt>
                <c:pt idx="124">
                  <c:v>yyyy-09-14</c:v>
                </c:pt>
                <c:pt idx="125">
                  <c:v>yyyy-09-21</c:v>
                </c:pt>
                <c:pt idx="126">
                  <c:v>yyyy-09-28</c:v>
                </c:pt>
                <c:pt idx="127">
                  <c:v>yyyy-10-05</c:v>
                </c:pt>
                <c:pt idx="128">
                  <c:v>yyyy-10-12</c:v>
                </c:pt>
                <c:pt idx="129">
                  <c:v>yyyy-10-19</c:v>
                </c:pt>
                <c:pt idx="130">
                  <c:v>yyyy-10-26</c:v>
                </c:pt>
                <c:pt idx="131">
                  <c:v>yyyy-11-02</c:v>
                </c:pt>
                <c:pt idx="132">
                  <c:v>yyyy-11-09</c:v>
                </c:pt>
                <c:pt idx="133">
                  <c:v>yyyy-11-16</c:v>
                </c:pt>
                <c:pt idx="134">
                  <c:v>yyyy-11-23</c:v>
                </c:pt>
                <c:pt idx="135">
                  <c:v>yyyy-11-30</c:v>
                </c:pt>
                <c:pt idx="136">
                  <c:v>yyyy-12-07</c:v>
                </c:pt>
                <c:pt idx="137">
                  <c:v>yyyy-12-14</c:v>
                </c:pt>
                <c:pt idx="138">
                  <c:v>yyyy-12-21</c:v>
                </c:pt>
                <c:pt idx="139">
                  <c:v>yyyy-12-28</c:v>
                </c:pt>
                <c:pt idx="140">
                  <c:v>yyyy-01-04</c:v>
                </c:pt>
                <c:pt idx="141">
                  <c:v>yyyy-01-11</c:v>
                </c:pt>
                <c:pt idx="142">
                  <c:v>yyyy-01-19</c:v>
                </c:pt>
                <c:pt idx="143">
                  <c:v>yyyy-01-25</c:v>
                </c:pt>
                <c:pt idx="144">
                  <c:v>yyyy-02-01</c:v>
                </c:pt>
                <c:pt idx="145">
                  <c:v>yyyy-02-08</c:v>
                </c:pt>
                <c:pt idx="146">
                  <c:v>yyyy-02-16</c:v>
                </c:pt>
                <c:pt idx="147">
                  <c:v>yyyy-02-22</c:v>
                </c:pt>
                <c:pt idx="148">
                  <c:v>yyyy-03-01</c:v>
                </c:pt>
                <c:pt idx="149">
                  <c:v>yyyy-03-08</c:v>
                </c:pt>
                <c:pt idx="150">
                  <c:v>yyyy-03-15</c:v>
                </c:pt>
                <c:pt idx="151">
                  <c:v>yyyy-03-22</c:v>
                </c:pt>
                <c:pt idx="152">
                  <c:v>yyyy-03-29</c:v>
                </c:pt>
                <c:pt idx="153">
                  <c:v>yyyy-04-05</c:v>
                </c:pt>
                <c:pt idx="154">
                  <c:v>yyyy-04-12</c:v>
                </c:pt>
                <c:pt idx="155">
                  <c:v>yyyy-04-19</c:v>
                </c:pt>
                <c:pt idx="156">
                  <c:v>yyyy-04-26</c:v>
                </c:pt>
                <c:pt idx="157">
                  <c:v>yyyy-05-03</c:v>
                </c:pt>
                <c:pt idx="158">
                  <c:v>yyyy-05-10</c:v>
                </c:pt>
                <c:pt idx="159">
                  <c:v>yyyy-05-17</c:v>
                </c:pt>
                <c:pt idx="160">
                  <c:v>yyyy-05-24</c:v>
                </c:pt>
                <c:pt idx="161">
                  <c:v>yyyy-06-01</c:v>
                </c:pt>
                <c:pt idx="162">
                  <c:v>yyyy-06-07</c:v>
                </c:pt>
                <c:pt idx="163">
                  <c:v>yyyy-06-14</c:v>
                </c:pt>
                <c:pt idx="164">
                  <c:v>yyyy-06-21</c:v>
                </c:pt>
                <c:pt idx="165">
                  <c:v>yyyy-06-28</c:v>
                </c:pt>
                <c:pt idx="166">
                  <c:v>yyyy-07-06</c:v>
                </c:pt>
                <c:pt idx="167">
                  <c:v>yyyy-07-12</c:v>
                </c:pt>
                <c:pt idx="168">
                  <c:v>yyyy-07-19</c:v>
                </c:pt>
                <c:pt idx="169">
                  <c:v>yyyy-07-26</c:v>
                </c:pt>
                <c:pt idx="170">
                  <c:v>yyyy-08-02</c:v>
                </c:pt>
                <c:pt idx="171">
                  <c:v>yyyy-08-09</c:v>
                </c:pt>
                <c:pt idx="172">
                  <c:v>yyyy-08-16</c:v>
                </c:pt>
                <c:pt idx="173">
                  <c:v>yyyy-08-23</c:v>
                </c:pt>
                <c:pt idx="174">
                  <c:v>yyyy-08-30</c:v>
                </c:pt>
                <c:pt idx="175">
                  <c:v>yyyy-09-07</c:v>
                </c:pt>
                <c:pt idx="176">
                  <c:v>yyyy-09-13</c:v>
                </c:pt>
                <c:pt idx="177">
                  <c:v>yyyy-09-20</c:v>
                </c:pt>
                <c:pt idx="178">
                  <c:v>yyyy-09-27</c:v>
                </c:pt>
                <c:pt idx="179">
                  <c:v>yyyy-10-04</c:v>
                </c:pt>
                <c:pt idx="180">
                  <c:v>yyyy-10-11</c:v>
                </c:pt>
                <c:pt idx="181">
                  <c:v>yyyy-10-18</c:v>
                </c:pt>
                <c:pt idx="182">
                  <c:v>yyyy-10-25</c:v>
                </c:pt>
                <c:pt idx="183">
                  <c:v>yyyy-11-01</c:v>
                </c:pt>
                <c:pt idx="184">
                  <c:v>yyyy-11-08</c:v>
                </c:pt>
                <c:pt idx="185">
                  <c:v>yyyy-11-15</c:v>
                </c:pt>
                <c:pt idx="186">
                  <c:v>yyyy-11-22</c:v>
                </c:pt>
                <c:pt idx="187">
                  <c:v>yyyy-11-29</c:v>
                </c:pt>
                <c:pt idx="188">
                  <c:v>yyyy-12-06</c:v>
                </c:pt>
                <c:pt idx="189">
                  <c:v>yyyy-12-13</c:v>
                </c:pt>
                <c:pt idx="190">
                  <c:v>yyyy-12-20</c:v>
                </c:pt>
                <c:pt idx="191">
                  <c:v>yyyy-12-27</c:v>
                </c:pt>
                <c:pt idx="192">
                  <c:v>yyyy-01-03</c:v>
                </c:pt>
                <c:pt idx="193">
                  <c:v>yyyy-01-10</c:v>
                </c:pt>
                <c:pt idx="194">
                  <c:v>yyyy-01-18</c:v>
                </c:pt>
                <c:pt idx="195">
                  <c:v>yyyy-01-24</c:v>
                </c:pt>
                <c:pt idx="196">
                  <c:v>yyyy-01-31</c:v>
                </c:pt>
                <c:pt idx="197">
                  <c:v>yyyy-02-07</c:v>
                </c:pt>
                <c:pt idx="198">
                  <c:v>yyyy-02-14</c:v>
                </c:pt>
                <c:pt idx="199">
                  <c:v>yyyy-02-22</c:v>
                </c:pt>
                <c:pt idx="200">
                  <c:v>yyyy-02-28</c:v>
                </c:pt>
                <c:pt idx="201">
                  <c:v>yyyy-03-07</c:v>
                </c:pt>
                <c:pt idx="202">
                  <c:v>yyyy-03-14</c:v>
                </c:pt>
                <c:pt idx="203">
                  <c:v>yyyy-03-21</c:v>
                </c:pt>
                <c:pt idx="204">
                  <c:v>yyyy-03-28</c:v>
                </c:pt>
                <c:pt idx="205">
                  <c:v>yyyy-04-04</c:v>
                </c:pt>
                <c:pt idx="206">
                  <c:v>yyyy-04-11</c:v>
                </c:pt>
                <c:pt idx="207">
                  <c:v>yyyy-04-18</c:v>
                </c:pt>
                <c:pt idx="208">
                  <c:v>yyyy-04-25</c:v>
                </c:pt>
                <c:pt idx="209">
                  <c:v>yyyy-05-02</c:v>
                </c:pt>
                <c:pt idx="210">
                  <c:v>yyyy-05-09</c:v>
                </c:pt>
                <c:pt idx="211">
                  <c:v>yyyy-05-16</c:v>
                </c:pt>
                <c:pt idx="212">
                  <c:v>yyyy-05-23</c:v>
                </c:pt>
                <c:pt idx="213">
                  <c:v>yyyy-05-31</c:v>
                </c:pt>
                <c:pt idx="214">
                  <c:v>yyyy-06-06</c:v>
                </c:pt>
                <c:pt idx="215">
                  <c:v>yyyy-06-13</c:v>
                </c:pt>
                <c:pt idx="216">
                  <c:v>yyyy-06-21</c:v>
                </c:pt>
                <c:pt idx="217">
                  <c:v>yyyy-06-27</c:v>
                </c:pt>
                <c:pt idx="218">
                  <c:v>yyyy-07-05</c:v>
                </c:pt>
                <c:pt idx="219">
                  <c:v>yyyy-07-11</c:v>
                </c:pt>
                <c:pt idx="220">
                  <c:v>yyyy-07-18</c:v>
                </c:pt>
                <c:pt idx="221">
                  <c:v>yyyy-07-25</c:v>
                </c:pt>
                <c:pt idx="222">
                  <c:v>yyyy-08-01</c:v>
                </c:pt>
                <c:pt idx="223">
                  <c:v>yyyy-08-08</c:v>
                </c:pt>
                <c:pt idx="224">
                  <c:v>yyyy-08-15</c:v>
                </c:pt>
                <c:pt idx="225">
                  <c:v>yyyy-08-22</c:v>
                </c:pt>
                <c:pt idx="226">
                  <c:v>yyyy-08-29</c:v>
                </c:pt>
                <c:pt idx="227">
                  <c:v>yyyy-09-06</c:v>
                </c:pt>
                <c:pt idx="228">
                  <c:v>yyyy-09-12</c:v>
                </c:pt>
                <c:pt idx="229">
                  <c:v>yyyy-09-19</c:v>
                </c:pt>
                <c:pt idx="230">
                  <c:v>yyyy-09-26</c:v>
                </c:pt>
                <c:pt idx="231">
                  <c:v>yyyy-10-03</c:v>
                </c:pt>
                <c:pt idx="232">
                  <c:v>yyyy-10-10</c:v>
                </c:pt>
                <c:pt idx="233">
                  <c:v>yyyy-10-17</c:v>
                </c:pt>
                <c:pt idx="234">
                  <c:v>yyyy-10-24</c:v>
                </c:pt>
                <c:pt idx="235">
                  <c:v>yyyy-10-31</c:v>
                </c:pt>
                <c:pt idx="236">
                  <c:v>yyyy-11-07</c:v>
                </c:pt>
                <c:pt idx="237">
                  <c:v>yyyy-11-14</c:v>
                </c:pt>
                <c:pt idx="238">
                  <c:v>yyyy-11-21</c:v>
                </c:pt>
                <c:pt idx="239">
                  <c:v>yyyy-11-28</c:v>
                </c:pt>
                <c:pt idx="240">
                  <c:v>yyyy-12-05</c:v>
                </c:pt>
                <c:pt idx="241">
                  <c:v>yyyy-12-12</c:v>
                </c:pt>
                <c:pt idx="242">
                  <c:v>yyyy-12-19</c:v>
                </c:pt>
                <c:pt idx="243">
                  <c:v>yyyy-12-27</c:v>
                </c:pt>
                <c:pt idx="244">
                  <c:v>yyyy-01-03</c:v>
                </c:pt>
                <c:pt idx="245">
                  <c:v>yyyy-01-09</c:v>
                </c:pt>
                <c:pt idx="246">
                  <c:v>yyyy-01-17</c:v>
                </c:pt>
                <c:pt idx="247">
                  <c:v>yyyy-01-23</c:v>
                </c:pt>
                <c:pt idx="248">
                  <c:v>yyyy-01-30</c:v>
                </c:pt>
                <c:pt idx="249">
                  <c:v>yyyy-02-06</c:v>
                </c:pt>
                <c:pt idx="250">
                  <c:v>yyyy-02-13</c:v>
                </c:pt>
                <c:pt idx="251">
                  <c:v>yyyy-02-21</c:v>
                </c:pt>
                <c:pt idx="252">
                  <c:v>yyyy-02-27</c:v>
                </c:pt>
                <c:pt idx="253">
                  <c:v>yyyy-03-06</c:v>
                </c:pt>
                <c:pt idx="254">
                  <c:v>yyyy-03-13</c:v>
                </c:pt>
                <c:pt idx="255">
                  <c:v>yyyy-03-20</c:v>
                </c:pt>
                <c:pt idx="256">
                  <c:v>yyyy-03-27</c:v>
                </c:pt>
                <c:pt idx="257">
                  <c:v>yyyy-04-03</c:v>
                </c:pt>
                <c:pt idx="258">
                  <c:v>yyyy-04-10</c:v>
                </c:pt>
                <c:pt idx="259">
                  <c:v>yyyy-04-17</c:v>
                </c:pt>
                <c:pt idx="260">
                  <c:v>yyyy-04-24</c:v>
                </c:pt>
                <c:pt idx="261">
                  <c:v>yyyy-05-01</c:v>
                </c:pt>
                <c:pt idx="262">
                  <c:v>yyyy-05-08</c:v>
                </c:pt>
                <c:pt idx="263">
                  <c:v>yyyy-05-15</c:v>
                </c:pt>
                <c:pt idx="264">
                  <c:v>yyyy-05-22</c:v>
                </c:pt>
                <c:pt idx="265">
                  <c:v>yyyy-05-30</c:v>
                </c:pt>
                <c:pt idx="266">
                  <c:v>yyyy-06-05</c:v>
                </c:pt>
                <c:pt idx="267">
                  <c:v>yyyy-06-12</c:v>
                </c:pt>
                <c:pt idx="268">
                  <c:v>yyyy-06-20</c:v>
                </c:pt>
                <c:pt idx="269">
                  <c:v>yyyy-06-26</c:v>
                </c:pt>
                <c:pt idx="270">
                  <c:v>yyyy-07-03</c:v>
                </c:pt>
                <c:pt idx="271">
                  <c:v>yyyy-07-10</c:v>
                </c:pt>
                <c:pt idx="272">
                  <c:v>yyyy-07-17</c:v>
                </c:pt>
                <c:pt idx="273">
                  <c:v>yyyy-07-24</c:v>
                </c:pt>
                <c:pt idx="274">
                  <c:v>yyyy-07-31</c:v>
                </c:pt>
                <c:pt idx="275">
                  <c:v>yyyy-08-07</c:v>
                </c:pt>
                <c:pt idx="276">
                  <c:v>yyyy-08-14</c:v>
                </c:pt>
                <c:pt idx="277">
                  <c:v>yyyy-08-21</c:v>
                </c:pt>
                <c:pt idx="278">
                  <c:v>yyyy-08-28</c:v>
                </c:pt>
                <c:pt idx="279">
                  <c:v>yyyy-09-05</c:v>
                </c:pt>
                <c:pt idx="280">
                  <c:v>yyyy-09-11</c:v>
                </c:pt>
                <c:pt idx="281">
                  <c:v>yyyy-09-18</c:v>
                </c:pt>
                <c:pt idx="282">
                  <c:v>yyyy-09-25</c:v>
                </c:pt>
                <c:pt idx="283">
                  <c:v>yyyy-10-02</c:v>
                </c:pt>
                <c:pt idx="284">
                  <c:v>yyyy-10-09</c:v>
                </c:pt>
                <c:pt idx="285">
                  <c:v>yyyy-10-16</c:v>
                </c:pt>
                <c:pt idx="286">
                  <c:v>yyyy-10-23</c:v>
                </c:pt>
                <c:pt idx="287">
                  <c:v>yyyy-10-30</c:v>
                </c:pt>
                <c:pt idx="288">
                  <c:v>yyyy-11-06</c:v>
                </c:pt>
                <c:pt idx="289">
                  <c:v>yyyy-11-13</c:v>
                </c:pt>
                <c:pt idx="290">
                  <c:v>yyyy-11-20</c:v>
                </c:pt>
                <c:pt idx="291">
                  <c:v>yyyy-11-27</c:v>
                </c:pt>
                <c:pt idx="292">
                  <c:v>yyyy-12-04</c:v>
                </c:pt>
                <c:pt idx="293">
                  <c:v>yyyy-12-11</c:v>
                </c:pt>
                <c:pt idx="294">
                  <c:v>yyyy-12-18</c:v>
                </c:pt>
                <c:pt idx="295">
                  <c:v>yyyy-12-26</c:v>
                </c:pt>
                <c:pt idx="296">
                  <c:v>yyyy-01-02</c:v>
                </c:pt>
                <c:pt idx="297">
                  <c:v>yyyy-01-08</c:v>
                </c:pt>
                <c:pt idx="298">
                  <c:v>yyyy-01-16</c:v>
                </c:pt>
                <c:pt idx="299">
                  <c:v>yyyy-01-22</c:v>
                </c:pt>
                <c:pt idx="300">
                  <c:v>yyyy-01-29</c:v>
                </c:pt>
                <c:pt idx="301">
                  <c:v>yyyy-02-05</c:v>
                </c:pt>
                <c:pt idx="302">
                  <c:v>yyyy-02-12</c:v>
                </c:pt>
                <c:pt idx="303">
                  <c:v>yyyy-02-20</c:v>
                </c:pt>
                <c:pt idx="304">
                  <c:v>yyyy-02-26</c:v>
                </c:pt>
                <c:pt idx="305">
                  <c:v>yyyy-03-04</c:v>
                </c:pt>
                <c:pt idx="306">
                  <c:v>yyyy-03-11</c:v>
                </c:pt>
                <c:pt idx="307">
                  <c:v>yyyy-03-18</c:v>
                </c:pt>
                <c:pt idx="308">
                  <c:v>yyyy-03-25</c:v>
                </c:pt>
                <c:pt idx="309">
                  <c:v>yyyy-04-01</c:v>
                </c:pt>
                <c:pt idx="310">
                  <c:v>yyyy-04-08</c:v>
                </c:pt>
                <c:pt idx="311">
                  <c:v>yyyy-04-15</c:v>
                </c:pt>
                <c:pt idx="312">
                  <c:v>yyyy-04-22</c:v>
                </c:pt>
                <c:pt idx="313">
                  <c:v>yyyy-04-29</c:v>
                </c:pt>
                <c:pt idx="314">
                  <c:v>yyyy-05-06</c:v>
                </c:pt>
                <c:pt idx="315">
                  <c:v>yyyy-05-13</c:v>
                </c:pt>
                <c:pt idx="316">
                  <c:v>yyyy-05-20</c:v>
                </c:pt>
                <c:pt idx="317">
                  <c:v>yyyy-05-28</c:v>
                </c:pt>
                <c:pt idx="318">
                  <c:v>yyyy-06-03</c:v>
                </c:pt>
                <c:pt idx="319">
                  <c:v>yyyy-06-10</c:v>
                </c:pt>
                <c:pt idx="320">
                  <c:v>yyyy-06-17</c:v>
                </c:pt>
                <c:pt idx="321">
                  <c:v>yyyy-06-24</c:v>
                </c:pt>
                <c:pt idx="322">
                  <c:v>yyyy-07-01</c:v>
                </c:pt>
                <c:pt idx="323">
                  <c:v>yyyy-07-08</c:v>
                </c:pt>
                <c:pt idx="324">
                  <c:v>yyyy-07-15</c:v>
                </c:pt>
                <c:pt idx="325">
                  <c:v>yyyy-07-22</c:v>
                </c:pt>
                <c:pt idx="326">
                  <c:v>yyyy-07-29</c:v>
                </c:pt>
                <c:pt idx="327">
                  <c:v>yyyy-08-05</c:v>
                </c:pt>
                <c:pt idx="328">
                  <c:v>yyyy-08-12</c:v>
                </c:pt>
                <c:pt idx="329">
                  <c:v>yyyy-08-19</c:v>
                </c:pt>
                <c:pt idx="330">
                  <c:v>yyyy-08-26</c:v>
                </c:pt>
                <c:pt idx="331">
                  <c:v>yyyy-09-03</c:v>
                </c:pt>
                <c:pt idx="332">
                  <c:v>yyyy-09-09</c:v>
                </c:pt>
                <c:pt idx="333">
                  <c:v>yyyy-09-16</c:v>
                </c:pt>
                <c:pt idx="334">
                  <c:v>yyyy-09-23</c:v>
                </c:pt>
                <c:pt idx="335">
                  <c:v>yyyy-09-30</c:v>
                </c:pt>
                <c:pt idx="336">
                  <c:v>yyyy-10-07</c:v>
                </c:pt>
                <c:pt idx="337">
                  <c:v>yyyy-10-14</c:v>
                </c:pt>
                <c:pt idx="338">
                  <c:v>yyyy-10-21</c:v>
                </c:pt>
                <c:pt idx="339">
                  <c:v>yyyy-10-28</c:v>
                </c:pt>
                <c:pt idx="340">
                  <c:v>yyyy-11-04</c:v>
                </c:pt>
                <c:pt idx="341">
                  <c:v>yyyy-11-11</c:v>
                </c:pt>
                <c:pt idx="342">
                  <c:v>yyyy-11-18</c:v>
                </c:pt>
                <c:pt idx="343">
                  <c:v>yyyy-11-25</c:v>
                </c:pt>
                <c:pt idx="344">
                  <c:v>yyyy-12-02</c:v>
                </c:pt>
                <c:pt idx="345">
                  <c:v>yyyy-12-09</c:v>
                </c:pt>
                <c:pt idx="346">
                  <c:v>yyyy-12-16</c:v>
                </c:pt>
                <c:pt idx="347">
                  <c:v>yyyy-12-23</c:v>
                </c:pt>
                <c:pt idx="348">
                  <c:v>yyyy-12-30</c:v>
                </c:pt>
                <c:pt idx="349">
                  <c:v>yyyy-01-06</c:v>
                </c:pt>
                <c:pt idx="350">
                  <c:v>yyyy-01-13</c:v>
                </c:pt>
                <c:pt idx="351">
                  <c:v>yyyy-01-21</c:v>
                </c:pt>
                <c:pt idx="352">
                  <c:v>yyyy-01-27</c:v>
                </c:pt>
                <c:pt idx="353">
                  <c:v>yyyy-02-03</c:v>
                </c:pt>
                <c:pt idx="354">
                  <c:v>yyyy-02-10</c:v>
                </c:pt>
                <c:pt idx="355">
                  <c:v>yyyy-02-18</c:v>
                </c:pt>
                <c:pt idx="356">
                  <c:v>yyyy-02-24</c:v>
                </c:pt>
                <c:pt idx="357">
                  <c:v>yyyy-03-03</c:v>
                </c:pt>
                <c:pt idx="358">
                  <c:v>yyyy-03-10</c:v>
                </c:pt>
                <c:pt idx="359">
                  <c:v>yyyy-03-17</c:v>
                </c:pt>
                <c:pt idx="360">
                  <c:v>yyyy-03-24</c:v>
                </c:pt>
                <c:pt idx="361">
                  <c:v>yyyy-03-31</c:v>
                </c:pt>
                <c:pt idx="362">
                  <c:v>yyyy-04-07</c:v>
                </c:pt>
                <c:pt idx="363">
                  <c:v>yyyy-04-14</c:v>
                </c:pt>
                <c:pt idx="364">
                  <c:v>yyyy-04-21</c:v>
                </c:pt>
                <c:pt idx="365">
                  <c:v>yyyy-04-28</c:v>
                </c:pt>
                <c:pt idx="366">
                  <c:v>yyyy-05-05</c:v>
                </c:pt>
                <c:pt idx="367">
                  <c:v>yyyy-05-12</c:v>
                </c:pt>
                <c:pt idx="368">
                  <c:v>yyyy-05-19</c:v>
                </c:pt>
                <c:pt idx="369">
                  <c:v>yyyy-05-27</c:v>
                </c:pt>
                <c:pt idx="370">
                  <c:v>yyyy-06-02</c:v>
                </c:pt>
                <c:pt idx="371">
                  <c:v>yyyy-06-09</c:v>
                </c:pt>
                <c:pt idx="372">
                  <c:v>yyyy-06-16</c:v>
                </c:pt>
                <c:pt idx="373">
                  <c:v>yyyy-06-23</c:v>
                </c:pt>
                <c:pt idx="374">
                  <c:v>yyyy-06-30</c:v>
                </c:pt>
                <c:pt idx="375">
                  <c:v>yyyy-07-07</c:v>
                </c:pt>
                <c:pt idx="376">
                  <c:v>yyyy-07-14</c:v>
                </c:pt>
                <c:pt idx="377">
                  <c:v>yyyy-07-21</c:v>
                </c:pt>
                <c:pt idx="378">
                  <c:v>yyyy-07-28</c:v>
                </c:pt>
                <c:pt idx="379">
                  <c:v>yyyy-08-04</c:v>
                </c:pt>
                <c:pt idx="380">
                  <c:v>yyyy-08-11</c:v>
                </c:pt>
                <c:pt idx="381">
                  <c:v>yyyy-08-18</c:v>
                </c:pt>
                <c:pt idx="382">
                  <c:v>yyyy-08-25</c:v>
                </c:pt>
                <c:pt idx="383">
                  <c:v>yyyy-09-02</c:v>
                </c:pt>
                <c:pt idx="384">
                  <c:v>yyyy-09-08</c:v>
                </c:pt>
                <c:pt idx="385">
                  <c:v>yyyy-09-15</c:v>
                </c:pt>
                <c:pt idx="386">
                  <c:v>yyyy-09-22</c:v>
                </c:pt>
                <c:pt idx="387">
                  <c:v>yyyy-09-29</c:v>
                </c:pt>
                <c:pt idx="388">
                  <c:v>yyyy-10-06</c:v>
                </c:pt>
                <c:pt idx="389">
                  <c:v>yyyy-10-13</c:v>
                </c:pt>
                <c:pt idx="390">
                  <c:v>yyyy-10-20</c:v>
                </c:pt>
                <c:pt idx="391">
                  <c:v>yyyy-10-27</c:v>
                </c:pt>
                <c:pt idx="392">
                  <c:v>yyyy-11-03</c:v>
                </c:pt>
                <c:pt idx="393">
                  <c:v>yyyy-11-10</c:v>
                </c:pt>
                <c:pt idx="394">
                  <c:v>yyyy-11-17</c:v>
                </c:pt>
                <c:pt idx="395">
                  <c:v>yyyy-11-24</c:v>
                </c:pt>
                <c:pt idx="396">
                  <c:v>yyyy-12-01</c:v>
                </c:pt>
                <c:pt idx="397">
                  <c:v>yyyy-12-08</c:v>
                </c:pt>
                <c:pt idx="398">
                  <c:v>yyyy-12-15</c:v>
                </c:pt>
                <c:pt idx="399">
                  <c:v>yyyy-12-22</c:v>
                </c:pt>
                <c:pt idx="400">
                  <c:v>yyyy-12-29</c:v>
                </c:pt>
                <c:pt idx="401">
                  <c:v>yyyy-01-05</c:v>
                </c:pt>
                <c:pt idx="402">
                  <c:v>yyyy-01-12</c:v>
                </c:pt>
                <c:pt idx="403">
                  <c:v>yyyy-01-20</c:v>
                </c:pt>
                <c:pt idx="404">
                  <c:v>yyyy-01-26</c:v>
                </c:pt>
                <c:pt idx="405">
                  <c:v>yyyy-02-02</c:v>
                </c:pt>
                <c:pt idx="406">
                  <c:v>yyyy-02-09</c:v>
                </c:pt>
                <c:pt idx="407">
                  <c:v>yyyy-02-17</c:v>
                </c:pt>
                <c:pt idx="408">
                  <c:v>yyyy-02-23</c:v>
                </c:pt>
                <c:pt idx="409">
                  <c:v>yyyy-03-02</c:v>
                </c:pt>
                <c:pt idx="410">
                  <c:v>yyyy-03-09</c:v>
                </c:pt>
                <c:pt idx="411">
                  <c:v>yyyy-03-16</c:v>
                </c:pt>
                <c:pt idx="412">
                  <c:v>yyyy-03-23</c:v>
                </c:pt>
                <c:pt idx="413">
                  <c:v>yyyy-03-30</c:v>
                </c:pt>
                <c:pt idx="414">
                  <c:v>yyyy-04-06</c:v>
                </c:pt>
                <c:pt idx="415">
                  <c:v>yyyy-04-13</c:v>
                </c:pt>
                <c:pt idx="416">
                  <c:v>yyyy-04-20</c:v>
                </c:pt>
                <c:pt idx="417">
                  <c:v>yyyy-04-27</c:v>
                </c:pt>
                <c:pt idx="418">
                  <c:v>yyyy-05-04</c:v>
                </c:pt>
                <c:pt idx="419">
                  <c:v>yyyy-05-11</c:v>
                </c:pt>
                <c:pt idx="420">
                  <c:v>yyyy-05-18</c:v>
                </c:pt>
                <c:pt idx="421">
                  <c:v>yyyy-05-26</c:v>
                </c:pt>
                <c:pt idx="422">
                  <c:v>yyyy-06-01</c:v>
                </c:pt>
                <c:pt idx="423">
                  <c:v>yyyy-06-08</c:v>
                </c:pt>
                <c:pt idx="424">
                  <c:v>yyyy-06-15</c:v>
                </c:pt>
                <c:pt idx="425">
                  <c:v>yyyy-06-22</c:v>
                </c:pt>
                <c:pt idx="426">
                  <c:v>yyyy-06-29</c:v>
                </c:pt>
                <c:pt idx="427">
                  <c:v>yyyy-07-06</c:v>
                </c:pt>
                <c:pt idx="428">
                  <c:v>yyyy-07-13</c:v>
                </c:pt>
                <c:pt idx="429">
                  <c:v>yyyy-07-20</c:v>
                </c:pt>
                <c:pt idx="430">
                  <c:v>yyyy-07-27</c:v>
                </c:pt>
                <c:pt idx="431">
                  <c:v>yyyy-08-03</c:v>
                </c:pt>
              </c:strCache>
            </c:strRef>
          </c:cat>
          <c:val>
            <c:numRef>
              <c:f>Summary!$P$5:$P$436</c:f>
              <c:numCache>
                <c:formatCode>General</c:formatCode>
                <c:ptCount val="432"/>
                <c:pt idx="0">
                  <c:v>9.5321415083295946E-2</c:v>
                </c:pt>
                <c:pt idx="1">
                  <c:v>2.61827471982218E-3</c:v>
                </c:pt>
                <c:pt idx="2">
                  <c:v>-2.8241295171276271E-2</c:v>
                </c:pt>
                <c:pt idx="3">
                  <c:v>-2.8241295171276271E-2</c:v>
                </c:pt>
                <c:pt idx="4">
                  <c:v>-4.8328884836559283E-2</c:v>
                </c:pt>
                <c:pt idx="5">
                  <c:v>-6.8416474501842392E-2</c:v>
                </c:pt>
                <c:pt idx="6">
                  <c:v>3.0515070669252246E-2</c:v>
                </c:pt>
                <c:pt idx="7">
                  <c:v>6.5799486020163528E-2</c:v>
                </c:pt>
                <c:pt idx="8">
                  <c:v>0.13631019890037474</c:v>
                </c:pt>
                <c:pt idx="9">
                  <c:v>0.11622260923509165</c:v>
                </c:pt>
                <c:pt idx="10">
                  <c:v>9.6135019569808633E-2</c:v>
                </c:pt>
                <c:pt idx="11">
                  <c:v>0.17059122662555215</c:v>
                </c:pt>
                <c:pt idx="12">
                  <c:v>0.24908030742777196</c:v>
                </c:pt>
                <c:pt idx="13">
                  <c:v>0.22899271776248889</c:v>
                </c:pt>
                <c:pt idx="14">
                  <c:v>0.27952559094243756</c:v>
                </c:pt>
                <c:pt idx="15">
                  <c:v>0.2710015356466558</c:v>
                </c:pt>
                <c:pt idx="16">
                  <c:v>0.28533764910305692</c:v>
                </c:pt>
                <c:pt idx="17">
                  <c:v>0.24848300091984526</c:v>
                </c:pt>
                <c:pt idx="18">
                  <c:v>0.30543356505904451</c:v>
                </c:pt>
                <c:pt idx="19">
                  <c:v>0.38318471598844223</c:v>
                </c:pt>
                <c:pt idx="20">
                  <c:v>0.31054532525936018</c:v>
                </c:pt>
                <c:pt idx="21">
                  <c:v>0.36068485759413282</c:v>
                </c:pt>
                <c:pt idx="22">
                  <c:v>0.340751436026272</c:v>
                </c:pt>
                <c:pt idx="23">
                  <c:v>0.39106583049730098</c:v>
                </c:pt>
                <c:pt idx="24">
                  <c:v>0.3720049959147857</c:v>
                </c:pt>
                <c:pt idx="25">
                  <c:v>-2.421423484948189E-4</c:v>
                </c:pt>
                <c:pt idx="26">
                  <c:v>-2.421423484948189E-4</c:v>
                </c:pt>
                <c:pt idx="27">
                  <c:v>-2.421423484948189E-4</c:v>
                </c:pt>
                <c:pt idx="28">
                  <c:v>-2.421423484948189E-4</c:v>
                </c:pt>
                <c:pt idx="29">
                  <c:v>4.5988384627807459E-2</c:v>
                </c:pt>
                <c:pt idx="30">
                  <c:v>-0.14039326974562277</c:v>
                </c:pt>
                <c:pt idx="31">
                  <c:v>-0.14039326974562277</c:v>
                </c:pt>
                <c:pt idx="32">
                  <c:v>-0.14039326974562277</c:v>
                </c:pt>
                <c:pt idx="33">
                  <c:v>-0.14039326974562277</c:v>
                </c:pt>
                <c:pt idx="34">
                  <c:v>-7.8903847039493005E-2</c:v>
                </c:pt>
                <c:pt idx="35">
                  <c:v>-9.8991436704776115E-2</c:v>
                </c:pt>
                <c:pt idx="36">
                  <c:v>8.0398900181117242E-2</c:v>
                </c:pt>
                <c:pt idx="37">
                  <c:v>8.0398900181117242E-2</c:v>
                </c:pt>
                <c:pt idx="38">
                  <c:v>0.12768701042382338</c:v>
                </c:pt>
                <c:pt idx="39">
                  <c:v>0.28215358917625633</c:v>
                </c:pt>
                <c:pt idx="40">
                  <c:v>0.2217542019901638</c:v>
                </c:pt>
                <c:pt idx="41">
                  <c:v>0.22077158568593111</c:v>
                </c:pt>
                <c:pt idx="42">
                  <c:v>0.278023353052053</c:v>
                </c:pt>
                <c:pt idx="43">
                  <c:v>0.35363563618081223</c:v>
                </c:pt>
                <c:pt idx="44">
                  <c:v>0.33354804651552916</c:v>
                </c:pt>
                <c:pt idx="45">
                  <c:v>0.3118641736780271</c:v>
                </c:pt>
                <c:pt idx="46">
                  <c:v>0.29193075211016623</c:v>
                </c:pt>
                <c:pt idx="47">
                  <c:v>0.36630426442514213</c:v>
                </c:pt>
                <c:pt idx="48">
                  <c:v>0.3844224015654169</c:v>
                </c:pt>
                <c:pt idx="49">
                  <c:v>0.36082557494534279</c:v>
                </c:pt>
                <c:pt idx="50">
                  <c:v>0.44168393629478053</c:v>
                </c:pt>
                <c:pt idx="51">
                  <c:v>0.48191708788201876</c:v>
                </c:pt>
                <c:pt idx="52">
                  <c:v>0.5217922266444518</c:v>
                </c:pt>
                <c:pt idx="53">
                  <c:v>0.55779997221024535</c:v>
                </c:pt>
                <c:pt idx="54">
                  <c:v>0.56345571698209695</c:v>
                </c:pt>
                <c:pt idx="55">
                  <c:v>0.63567362051289777</c:v>
                </c:pt>
                <c:pt idx="56">
                  <c:v>0.6996689895641045</c:v>
                </c:pt>
                <c:pt idx="57">
                  <c:v>0.67891270501366219</c:v>
                </c:pt>
                <c:pt idx="58">
                  <c:v>0.59326009397101753</c:v>
                </c:pt>
                <c:pt idx="59">
                  <c:v>0.76263265017789617</c:v>
                </c:pt>
                <c:pt idx="60">
                  <c:v>0.73825789494279104</c:v>
                </c:pt>
                <c:pt idx="61">
                  <c:v>0.87281173780534749</c:v>
                </c:pt>
                <c:pt idx="62">
                  <c:v>0.78668066794776537</c:v>
                </c:pt>
                <c:pt idx="63">
                  <c:v>0.76659307828248224</c:v>
                </c:pt>
                <c:pt idx="64">
                  <c:v>0.85315790452075391</c:v>
                </c:pt>
                <c:pt idx="65">
                  <c:v>0.83373798171581948</c:v>
                </c:pt>
                <c:pt idx="66">
                  <c:v>0.92022238720131899</c:v>
                </c:pt>
                <c:pt idx="67">
                  <c:v>0.90100769402066194</c:v>
                </c:pt>
                <c:pt idx="68">
                  <c:v>0.97072498845740207</c:v>
                </c:pt>
                <c:pt idx="69">
                  <c:v>0.87208848489752633</c:v>
                </c:pt>
                <c:pt idx="70">
                  <c:v>0.87208848489752633</c:v>
                </c:pt>
                <c:pt idx="71">
                  <c:v>0.95262081638120466</c:v>
                </c:pt>
                <c:pt idx="72">
                  <c:v>1.07516597805804</c:v>
                </c:pt>
                <c:pt idx="73">
                  <c:v>1.055078388392757</c:v>
                </c:pt>
                <c:pt idx="74">
                  <c:v>1.034990798727474</c:v>
                </c:pt>
                <c:pt idx="75">
                  <c:v>1.0741041788985697</c:v>
                </c:pt>
                <c:pt idx="76">
                  <c:v>1.1080744796841648</c:v>
                </c:pt>
                <c:pt idx="77">
                  <c:v>1.0894236684129008</c:v>
                </c:pt>
                <c:pt idx="78">
                  <c:v>1.1124097065054066</c:v>
                </c:pt>
                <c:pt idx="79">
                  <c:v>1.0923221168401236</c:v>
                </c:pt>
                <c:pt idx="80">
                  <c:v>1.1461624052110877</c:v>
                </c:pt>
                <c:pt idx="81">
                  <c:v>1.1259720064016889</c:v>
                </c:pt>
                <c:pt idx="82">
                  <c:v>1.1823195366667749</c:v>
                </c:pt>
                <c:pt idx="83">
                  <c:v>1.1375944389123349</c:v>
                </c:pt>
                <c:pt idx="84">
                  <c:v>1.1731050243964414</c:v>
                </c:pt>
                <c:pt idx="85">
                  <c:v>1.1004076198889099</c:v>
                </c:pt>
                <c:pt idx="86">
                  <c:v>1.1586475867554458</c:v>
                </c:pt>
                <c:pt idx="87">
                  <c:v>1.2328142933033128</c:v>
                </c:pt>
                <c:pt idx="88">
                  <c:v>1.267283519532991</c:v>
                </c:pt>
                <c:pt idx="89">
                  <c:v>1.2604079160760848</c:v>
                </c:pt>
                <c:pt idx="90">
                  <c:v>1.3268106283518162</c:v>
                </c:pt>
                <c:pt idx="91">
                  <c:v>1.3618234839762278</c:v>
                </c:pt>
                <c:pt idx="92">
                  <c:v>1.3417358943109445</c:v>
                </c:pt>
                <c:pt idx="93">
                  <c:v>1.3728376181593589</c:v>
                </c:pt>
                <c:pt idx="94">
                  <c:v>1.4184058453802555</c:v>
                </c:pt>
                <c:pt idx="95">
                  <c:v>1.4868674151480936</c:v>
                </c:pt>
                <c:pt idx="96">
                  <c:v>1.5231912392464306</c:v>
                </c:pt>
                <c:pt idx="97">
                  <c:v>1.5651654894487899</c:v>
                </c:pt>
                <c:pt idx="98">
                  <c:v>1.5651654894487899</c:v>
                </c:pt>
                <c:pt idx="99">
                  <c:v>1.6125416154896337</c:v>
                </c:pt>
                <c:pt idx="100">
                  <c:v>1.6125416154896337</c:v>
                </c:pt>
                <c:pt idx="101">
                  <c:v>1.6125416154896337</c:v>
                </c:pt>
                <c:pt idx="102">
                  <c:v>1.6862115860342903</c:v>
                </c:pt>
                <c:pt idx="103">
                  <c:v>1.6262631470249633</c:v>
                </c:pt>
                <c:pt idx="104">
                  <c:v>1.6094526652086014</c:v>
                </c:pt>
                <c:pt idx="105">
                  <c:v>1.6845698639437905</c:v>
                </c:pt>
                <c:pt idx="106">
                  <c:v>1.7532828692788689</c:v>
                </c:pt>
                <c:pt idx="107">
                  <c:v>1.7870261961538418</c:v>
                </c:pt>
                <c:pt idx="108">
                  <c:v>1.7155454565475399</c:v>
                </c:pt>
                <c:pt idx="109">
                  <c:v>1.7519595465616624</c:v>
                </c:pt>
                <c:pt idx="110">
                  <c:v>1.7915659818935048</c:v>
                </c:pt>
                <c:pt idx="111">
                  <c:v>1.9094974998070158</c:v>
                </c:pt>
                <c:pt idx="112">
                  <c:v>1.9677803809041583</c:v>
                </c:pt>
                <c:pt idx="113">
                  <c:v>2.0257627732981422</c:v>
                </c:pt>
                <c:pt idx="114">
                  <c:v>2.0797764403783807</c:v>
                </c:pt>
                <c:pt idx="115">
                  <c:v>1.9511175736041395</c:v>
                </c:pt>
                <c:pt idx="116">
                  <c:v>2.0636669443505582</c:v>
                </c:pt>
                <c:pt idx="117">
                  <c:v>2.1142871782487935</c:v>
                </c:pt>
                <c:pt idx="118">
                  <c:v>2.1705484924230234</c:v>
                </c:pt>
                <c:pt idx="119">
                  <c:v>2.1504609027577404</c:v>
                </c:pt>
                <c:pt idx="120">
                  <c:v>2.2742994820402314</c:v>
                </c:pt>
                <c:pt idx="121">
                  <c:v>2.3859010298415333</c:v>
                </c:pt>
                <c:pt idx="122">
                  <c:v>2.4200981859770754</c:v>
                </c:pt>
                <c:pt idx="123">
                  <c:v>2.4000105963117924</c:v>
                </c:pt>
                <c:pt idx="124">
                  <c:v>2.4000105963117924</c:v>
                </c:pt>
                <c:pt idx="125">
                  <c:v>2.4874590693541183</c:v>
                </c:pt>
                <c:pt idx="126">
                  <c:v>2.4874590693541183</c:v>
                </c:pt>
                <c:pt idx="127">
                  <c:v>2.548905893528429</c:v>
                </c:pt>
                <c:pt idx="128">
                  <c:v>2.6088163811155289</c:v>
                </c:pt>
                <c:pt idx="129">
                  <c:v>2.5017220226410459</c:v>
                </c:pt>
                <c:pt idx="130">
                  <c:v>2.2944169119385669</c:v>
                </c:pt>
                <c:pt idx="131">
                  <c:v>2.2944169119385669</c:v>
                </c:pt>
                <c:pt idx="132">
                  <c:v>2.2944169119385669</c:v>
                </c:pt>
                <c:pt idx="133">
                  <c:v>2.3343815815794082</c:v>
                </c:pt>
                <c:pt idx="134">
                  <c:v>2.4505139313702502</c:v>
                </c:pt>
                <c:pt idx="135">
                  <c:v>2.5429096106520976</c:v>
                </c:pt>
                <c:pt idx="136">
                  <c:v>2.462249247439511</c:v>
                </c:pt>
                <c:pt idx="137">
                  <c:v>2.567465715778543</c:v>
                </c:pt>
                <c:pt idx="138">
                  <c:v>2.6027501311294543</c:v>
                </c:pt>
                <c:pt idx="139">
                  <c:v>2.6309642046288548</c:v>
                </c:pt>
                <c:pt idx="140">
                  <c:v>2.515243998030841</c:v>
                </c:pt>
                <c:pt idx="141">
                  <c:v>2.4960293048501838</c:v>
                </c:pt>
                <c:pt idx="142">
                  <c:v>2.4960293048501838</c:v>
                </c:pt>
                <c:pt idx="143">
                  <c:v>2.285628347239022</c:v>
                </c:pt>
                <c:pt idx="144">
                  <c:v>2.285628347239022</c:v>
                </c:pt>
                <c:pt idx="145">
                  <c:v>2.285628347239022</c:v>
                </c:pt>
                <c:pt idx="146">
                  <c:v>2.2339390852812091</c:v>
                </c:pt>
                <c:pt idx="147">
                  <c:v>2.200118846466625</c:v>
                </c:pt>
                <c:pt idx="148">
                  <c:v>2.200118846466625</c:v>
                </c:pt>
                <c:pt idx="149">
                  <c:v>2.3020878211783917</c:v>
                </c:pt>
                <c:pt idx="150">
                  <c:v>2.3493759314210978</c:v>
                </c:pt>
                <c:pt idx="151">
                  <c:v>2.4012173737812321</c:v>
                </c:pt>
                <c:pt idx="152">
                  <c:v>2.5242433974954857</c:v>
                </c:pt>
                <c:pt idx="153">
                  <c:v>2.5811078651868282</c:v>
                </c:pt>
                <c:pt idx="154">
                  <c:v>2.6598835804408543</c:v>
                </c:pt>
                <c:pt idx="155">
                  <c:v>2.6397959907755713</c:v>
                </c:pt>
                <c:pt idx="156">
                  <c:v>2.6197084011102878</c:v>
                </c:pt>
                <c:pt idx="157">
                  <c:v>2.4347565717867585</c:v>
                </c:pt>
                <c:pt idx="158">
                  <c:v>2.4347565717867585</c:v>
                </c:pt>
                <c:pt idx="159">
                  <c:v>2.4347565717867585</c:v>
                </c:pt>
                <c:pt idx="160">
                  <c:v>2.4784205894526798</c:v>
                </c:pt>
                <c:pt idx="161">
                  <c:v>2.452329470405874</c:v>
                </c:pt>
                <c:pt idx="162">
                  <c:v>2.5343270126947015</c:v>
                </c:pt>
                <c:pt idx="163">
                  <c:v>2.5729018753278052</c:v>
                </c:pt>
                <c:pt idx="164">
                  <c:v>2.6637874553210237</c:v>
                </c:pt>
                <c:pt idx="165">
                  <c:v>2.7005624215020405</c:v>
                </c:pt>
                <c:pt idx="166">
                  <c:v>2.6778455660500797</c:v>
                </c:pt>
                <c:pt idx="167">
                  <c:v>2.6577579763847963</c:v>
                </c:pt>
                <c:pt idx="168">
                  <c:v>2.8177937983351056</c:v>
                </c:pt>
                <c:pt idx="169">
                  <c:v>2.7986303974104976</c:v>
                </c:pt>
                <c:pt idx="170">
                  <c:v>2.8211507319539253</c:v>
                </c:pt>
                <c:pt idx="171">
                  <c:v>2.8067819543355865</c:v>
                </c:pt>
                <c:pt idx="172">
                  <c:v>2.7867457601171717</c:v>
                </c:pt>
                <c:pt idx="173">
                  <c:v>2.8439114907325003</c:v>
                </c:pt>
                <c:pt idx="174">
                  <c:v>2.8876198872998642</c:v>
                </c:pt>
                <c:pt idx="175">
                  <c:v>2.8656263775791313</c:v>
                </c:pt>
                <c:pt idx="176">
                  <c:v>2.8455387879138483</c:v>
                </c:pt>
                <c:pt idx="177">
                  <c:v>2.9194571974795029</c:v>
                </c:pt>
                <c:pt idx="178">
                  <c:v>2.7594685150248668</c:v>
                </c:pt>
                <c:pt idx="179">
                  <c:v>2.7934388158104619</c:v>
                </c:pt>
                <c:pt idx="180">
                  <c:v>2.7934388158104619</c:v>
                </c:pt>
                <c:pt idx="181">
                  <c:v>2.8578998001614102</c:v>
                </c:pt>
                <c:pt idx="182">
                  <c:v>2.8971925378912564</c:v>
                </c:pt>
                <c:pt idx="183">
                  <c:v>3.0248518419255954</c:v>
                </c:pt>
                <c:pt idx="184">
                  <c:v>2.9000694231952506</c:v>
                </c:pt>
                <c:pt idx="185">
                  <c:v>2.9898788380720824</c:v>
                </c:pt>
                <c:pt idx="186">
                  <c:v>2.8566421629592362</c:v>
                </c:pt>
                <c:pt idx="187">
                  <c:v>2.9014585607718471</c:v>
                </c:pt>
                <c:pt idx="188">
                  <c:v>2.9358824538204567</c:v>
                </c:pt>
                <c:pt idx="189">
                  <c:v>2.9157948641551736</c:v>
                </c:pt>
                <c:pt idx="190">
                  <c:v>2.9499012923700905</c:v>
                </c:pt>
                <c:pt idx="191">
                  <c:v>3.0101536580746902</c:v>
                </c:pt>
                <c:pt idx="192">
                  <c:v>3.0439423892225905</c:v>
                </c:pt>
                <c:pt idx="193">
                  <c:v>3.1101344641585431</c:v>
                </c:pt>
                <c:pt idx="194">
                  <c:v>3.0002048876356793</c:v>
                </c:pt>
                <c:pt idx="195">
                  <c:v>3.0958414211155447</c:v>
                </c:pt>
                <c:pt idx="196">
                  <c:v>3.2133238452796991</c:v>
                </c:pt>
                <c:pt idx="197">
                  <c:v>3.193236255614416</c:v>
                </c:pt>
                <c:pt idx="198">
                  <c:v>3.2667819533332274</c:v>
                </c:pt>
                <c:pt idx="199">
                  <c:v>3.0957297805629258</c:v>
                </c:pt>
                <c:pt idx="200">
                  <c:v>3.1542700580310576</c:v>
                </c:pt>
                <c:pt idx="201">
                  <c:v>3.1341824683657746</c:v>
                </c:pt>
                <c:pt idx="202">
                  <c:v>3.3375431294354141</c:v>
                </c:pt>
                <c:pt idx="203">
                  <c:v>3.4495998904153118</c:v>
                </c:pt>
                <c:pt idx="204">
                  <c:v>3.5209442176103773</c:v>
                </c:pt>
                <c:pt idx="205">
                  <c:v>3.6013134423323274</c:v>
                </c:pt>
                <c:pt idx="206">
                  <c:v>3.5812772481139126</c:v>
                </c:pt>
                <c:pt idx="207">
                  <c:v>3.6207044554196841</c:v>
                </c:pt>
                <c:pt idx="208">
                  <c:v>3.7045265869604367</c:v>
                </c:pt>
                <c:pt idx="209">
                  <c:v>3.7865241292492637</c:v>
                </c:pt>
                <c:pt idx="210">
                  <c:v>3.7664879350308489</c:v>
                </c:pt>
                <c:pt idx="211">
                  <c:v>3.8388304918609544</c:v>
                </c:pt>
                <c:pt idx="212">
                  <c:v>3.8997231545556583</c:v>
                </c:pt>
                <c:pt idx="213">
                  <c:v>3.8478680270446173</c:v>
                </c:pt>
                <c:pt idx="214">
                  <c:v>3.8478680270446173</c:v>
                </c:pt>
                <c:pt idx="215">
                  <c:v>3.8288584665510057</c:v>
                </c:pt>
                <c:pt idx="216">
                  <c:v>3.8288584665510057</c:v>
                </c:pt>
                <c:pt idx="217">
                  <c:v>3.5605970737398391</c:v>
                </c:pt>
                <c:pt idx="218">
                  <c:v>3.5605970737398391</c:v>
                </c:pt>
                <c:pt idx="219">
                  <c:v>3.5605970737398391</c:v>
                </c:pt>
                <c:pt idx="220">
                  <c:v>3.665620917101942</c:v>
                </c:pt>
                <c:pt idx="221">
                  <c:v>3.645533327436659</c:v>
                </c:pt>
                <c:pt idx="222">
                  <c:v>3.7561469401077598</c:v>
                </c:pt>
                <c:pt idx="223">
                  <c:v>3.7552626855395039</c:v>
                </c:pt>
                <c:pt idx="224">
                  <c:v>3.805839241275232</c:v>
                </c:pt>
                <c:pt idx="225">
                  <c:v>3.7545367527685927</c:v>
                </c:pt>
                <c:pt idx="226">
                  <c:v>3.7405735945274876</c:v>
                </c:pt>
                <c:pt idx="227">
                  <c:v>3.8966533694645906</c:v>
                </c:pt>
                <c:pt idx="228">
                  <c:v>3.9345541447879397</c:v>
                </c:pt>
                <c:pt idx="229">
                  <c:v>4.0176068290091864</c:v>
                </c:pt>
                <c:pt idx="230">
                  <c:v>3.997519239343903</c:v>
                </c:pt>
                <c:pt idx="231">
                  <c:v>4.0788254924953913</c:v>
                </c:pt>
                <c:pt idx="232">
                  <c:v>3.9549578518248758</c:v>
                </c:pt>
                <c:pt idx="233">
                  <c:v>3.9549578518248758</c:v>
                </c:pt>
                <c:pt idx="234">
                  <c:v>3.9549578518248758</c:v>
                </c:pt>
                <c:pt idx="235">
                  <c:v>3.934921657606461</c:v>
                </c:pt>
                <c:pt idx="236">
                  <c:v>3.969436212285665</c:v>
                </c:pt>
                <c:pt idx="237">
                  <c:v>4.0676637850228872</c:v>
                </c:pt>
                <c:pt idx="238">
                  <c:v>4.1261182806498979</c:v>
                </c:pt>
                <c:pt idx="239">
                  <c:v>4.1060306909846149</c:v>
                </c:pt>
                <c:pt idx="240">
                  <c:v>3.887670477675381</c:v>
                </c:pt>
                <c:pt idx="241">
                  <c:v>3.887670477675381</c:v>
                </c:pt>
                <c:pt idx="242">
                  <c:v>3.887670477675381</c:v>
                </c:pt>
                <c:pt idx="243">
                  <c:v>3.7502114993222735</c:v>
                </c:pt>
                <c:pt idx="244">
                  <c:v>3.7502114993222735</c:v>
                </c:pt>
                <c:pt idx="245">
                  <c:v>3.7502114993222735</c:v>
                </c:pt>
                <c:pt idx="246">
                  <c:v>3.6912197733032137</c:v>
                </c:pt>
                <c:pt idx="247">
                  <c:v>3.772810808197185</c:v>
                </c:pt>
                <c:pt idx="248">
                  <c:v>4.008918601144889</c:v>
                </c:pt>
                <c:pt idx="249">
                  <c:v>4.0986082773427075</c:v>
                </c:pt>
                <c:pt idx="250">
                  <c:v>4.1524052102191762</c:v>
                </c:pt>
                <c:pt idx="251">
                  <c:v>4.1319062378706413</c:v>
                </c:pt>
                <c:pt idx="252">
                  <c:v>4.1436229722019622</c:v>
                </c:pt>
                <c:pt idx="253">
                  <c:v>4.0924861383593658</c:v>
                </c:pt>
                <c:pt idx="254">
                  <c:v>4.1538903598230972</c:v>
                </c:pt>
                <c:pt idx="255">
                  <c:v>4.2435001918904343</c:v>
                </c:pt>
                <c:pt idx="256">
                  <c:v>4.2234639976720185</c:v>
                </c:pt>
                <c:pt idx="257">
                  <c:v>4.1699467211847248</c:v>
                </c:pt>
                <c:pt idx="258">
                  <c:v>4.2134775749303639</c:v>
                </c:pt>
                <c:pt idx="259">
                  <c:v>4.1925153307957208</c:v>
                </c:pt>
                <c:pt idx="260">
                  <c:v>4.1505016819595859</c:v>
                </c:pt>
                <c:pt idx="261">
                  <c:v>4.1304140922943029</c:v>
                </c:pt>
                <c:pt idx="262">
                  <c:v>4.1669184294667945</c:v>
                </c:pt>
                <c:pt idx="263">
                  <c:v>4.3055570626398847</c:v>
                </c:pt>
                <c:pt idx="264">
                  <c:v>4.3185616482094424</c:v>
                </c:pt>
                <c:pt idx="265">
                  <c:v>4.2374874491952443</c:v>
                </c:pt>
                <c:pt idx="266">
                  <c:v>4.1479320168054841</c:v>
                </c:pt>
                <c:pt idx="267">
                  <c:v>4.1479320168054841</c:v>
                </c:pt>
                <c:pt idx="268">
                  <c:v>4.0891089039303479</c:v>
                </c:pt>
                <c:pt idx="269">
                  <c:v>4.1745464821984113</c:v>
                </c:pt>
                <c:pt idx="270">
                  <c:v>4.1536357371174955</c:v>
                </c:pt>
                <c:pt idx="271">
                  <c:v>4.3016238377713059</c:v>
                </c:pt>
                <c:pt idx="272">
                  <c:v>4.281536248106022</c:v>
                </c:pt>
                <c:pt idx="273">
                  <c:v>4.3592053293755182</c:v>
                </c:pt>
                <c:pt idx="274">
                  <c:v>4.2165293811097593</c:v>
                </c:pt>
                <c:pt idx="275">
                  <c:v>4.1972633896144771</c:v>
                </c:pt>
                <c:pt idx="276">
                  <c:v>4.1972633896144771</c:v>
                </c:pt>
                <c:pt idx="277">
                  <c:v>4.2508434800721924</c:v>
                </c:pt>
                <c:pt idx="278">
                  <c:v>4.3442693680639159</c:v>
                </c:pt>
                <c:pt idx="279">
                  <c:v>4.3153024822987938</c:v>
                </c:pt>
                <c:pt idx="280">
                  <c:v>4.2952148926335108</c:v>
                </c:pt>
                <c:pt idx="281">
                  <c:v>4.224312321462671</c:v>
                </c:pt>
                <c:pt idx="282">
                  <c:v>4.2628871840957752</c:v>
                </c:pt>
                <c:pt idx="283">
                  <c:v>4.3015518460363431</c:v>
                </c:pt>
                <c:pt idx="284">
                  <c:v>4.3556521765220824</c:v>
                </c:pt>
                <c:pt idx="285">
                  <c:v>4.3903026881704834</c:v>
                </c:pt>
                <c:pt idx="286">
                  <c:v>4.4279785350165497</c:v>
                </c:pt>
                <c:pt idx="287">
                  <c:v>4.6454561621738675</c:v>
                </c:pt>
                <c:pt idx="288">
                  <c:v>4.7600457980727127</c:v>
                </c:pt>
                <c:pt idx="289">
                  <c:v>4.8496955540401876</c:v>
                </c:pt>
                <c:pt idx="290">
                  <c:v>4.9051801522245926</c:v>
                </c:pt>
                <c:pt idx="291">
                  <c:v>4.8850925625593096</c:v>
                </c:pt>
                <c:pt idx="292">
                  <c:v>4.9563119495675831</c:v>
                </c:pt>
                <c:pt idx="293">
                  <c:v>5.0032478181329942</c:v>
                </c:pt>
                <c:pt idx="294">
                  <c:v>4.9898417686860537</c:v>
                </c:pt>
                <c:pt idx="295">
                  <c:v>4.9932148299042707</c:v>
                </c:pt>
                <c:pt idx="296">
                  <c:v>4.8978303082642745</c:v>
                </c:pt>
                <c:pt idx="297">
                  <c:v>4.977464793545928</c:v>
                </c:pt>
                <c:pt idx="298">
                  <c:v>5.1120906315035555</c:v>
                </c:pt>
                <c:pt idx="299">
                  <c:v>5.115707102481319</c:v>
                </c:pt>
                <c:pt idx="300">
                  <c:v>5.1575922351706609</c:v>
                </c:pt>
                <c:pt idx="301">
                  <c:v>5.238613519716</c:v>
                </c:pt>
                <c:pt idx="302">
                  <c:v>5.1961671750391467</c:v>
                </c:pt>
                <c:pt idx="303">
                  <c:v>5.2083613367099684</c:v>
                </c:pt>
                <c:pt idx="304">
                  <c:v>5.1665638742378412</c:v>
                </c:pt>
                <c:pt idx="305">
                  <c:v>5.0873193903098217</c:v>
                </c:pt>
                <c:pt idx="306">
                  <c:v>5.0873193903098217</c:v>
                </c:pt>
                <c:pt idx="307">
                  <c:v>5.1604920560454453</c:v>
                </c:pt>
                <c:pt idx="308">
                  <c:v>5.1635728453576926</c:v>
                </c:pt>
                <c:pt idx="309">
                  <c:v>5.1434852556924096</c:v>
                </c:pt>
                <c:pt idx="310">
                  <c:v>5.1015797134901373</c:v>
                </c:pt>
                <c:pt idx="311">
                  <c:v>4.8810232368979491</c:v>
                </c:pt>
                <c:pt idx="312">
                  <c:v>4.8810232368979491</c:v>
                </c:pt>
                <c:pt idx="313">
                  <c:v>4.8810232368979491</c:v>
                </c:pt>
                <c:pt idx="314">
                  <c:v>4.9312064913677549</c:v>
                </c:pt>
                <c:pt idx="315">
                  <c:v>5.0045864366497286</c:v>
                </c:pt>
                <c:pt idx="316">
                  <c:v>5.0656923220651819</c:v>
                </c:pt>
                <c:pt idx="317">
                  <c:v>5.0196051251266018</c:v>
                </c:pt>
                <c:pt idx="318">
                  <c:v>5.1011148128618666</c:v>
                </c:pt>
                <c:pt idx="319">
                  <c:v>5.2544106519525942</c:v>
                </c:pt>
                <c:pt idx="320">
                  <c:v>5.3064262726785767</c:v>
                </c:pt>
                <c:pt idx="321">
                  <c:v>5.3189066390308888</c:v>
                </c:pt>
                <c:pt idx="322">
                  <c:v>5.4565812882862428</c:v>
                </c:pt>
                <c:pt idx="323">
                  <c:v>5.4364936986209598</c:v>
                </c:pt>
                <c:pt idx="324">
                  <c:v>5.2746568179081068</c:v>
                </c:pt>
                <c:pt idx="325">
                  <c:v>5.2746568179081068</c:v>
                </c:pt>
                <c:pt idx="326">
                  <c:v>5.2746568179081068</c:v>
                </c:pt>
                <c:pt idx="327">
                  <c:v>5.3948268649089108</c:v>
                </c:pt>
                <c:pt idx="328">
                  <c:v>5.4993880594483278</c:v>
                </c:pt>
                <c:pt idx="329">
                  <c:v>5.5561664136202911</c:v>
                </c:pt>
                <c:pt idx="330">
                  <c:v>5.5366438396231166</c:v>
                </c:pt>
                <c:pt idx="331">
                  <c:v>5.3882042543596604</c:v>
                </c:pt>
                <c:pt idx="332">
                  <c:v>5.3882042543596604</c:v>
                </c:pt>
                <c:pt idx="333">
                  <c:v>5.3882042543596604</c:v>
                </c:pt>
                <c:pt idx="334">
                  <c:v>5.4246634702971575</c:v>
                </c:pt>
                <c:pt idx="335">
                  <c:v>5.4046272760787426</c:v>
                </c:pt>
                <c:pt idx="336">
                  <c:v>5.479124824600853</c:v>
                </c:pt>
                <c:pt idx="337">
                  <c:v>5.4225436538942846</c:v>
                </c:pt>
                <c:pt idx="338">
                  <c:v>5.3908930246800217</c:v>
                </c:pt>
                <c:pt idx="339">
                  <c:v>5.3483925626985549</c:v>
                </c:pt>
                <c:pt idx="340">
                  <c:v>5.5584003022888453</c:v>
                </c:pt>
                <c:pt idx="341">
                  <c:v>5.5396470214754858</c:v>
                </c:pt>
                <c:pt idx="342">
                  <c:v>5.6095732508138916</c:v>
                </c:pt>
                <c:pt idx="343">
                  <c:v>5.5898453016146883</c:v>
                </c:pt>
                <c:pt idx="344">
                  <c:v>5.6294965323983677</c:v>
                </c:pt>
                <c:pt idx="345">
                  <c:v>5.6097172242199616</c:v>
                </c:pt>
                <c:pt idx="346">
                  <c:v>5.6557270968152329</c:v>
                </c:pt>
                <c:pt idx="347">
                  <c:v>5.6889706631419461</c:v>
                </c:pt>
                <c:pt idx="348">
                  <c:v>5.6607899677924927</c:v>
                </c:pt>
                <c:pt idx="349">
                  <c:v>5.6607899677924927</c:v>
                </c:pt>
                <c:pt idx="350">
                  <c:v>5.7041432061058925</c:v>
                </c:pt>
                <c:pt idx="351">
                  <c:v>5.7502854847824167</c:v>
                </c:pt>
                <c:pt idx="352">
                  <c:v>5.800250084546966</c:v>
                </c:pt>
                <c:pt idx="353">
                  <c:v>5.8400804509478643</c:v>
                </c:pt>
                <c:pt idx="354">
                  <c:v>5.9289310307531462</c:v>
                </c:pt>
                <c:pt idx="355">
                  <c:v>5.9078657701870076</c:v>
                </c:pt>
                <c:pt idx="356">
                  <c:v>5.774228734922608</c:v>
                </c:pt>
                <c:pt idx="357">
                  <c:v>5.774228734922608</c:v>
                </c:pt>
                <c:pt idx="358">
                  <c:v>5.774228734922608</c:v>
                </c:pt>
                <c:pt idx="359">
                  <c:v>5.8097845403027106</c:v>
                </c:pt>
                <c:pt idx="360">
                  <c:v>5.8097845403027106</c:v>
                </c:pt>
                <c:pt idx="361">
                  <c:v>5.8685391982745436</c:v>
                </c:pt>
                <c:pt idx="362">
                  <c:v>6.0297277548941235</c:v>
                </c:pt>
                <c:pt idx="363">
                  <c:v>6.0297277548941235</c:v>
                </c:pt>
                <c:pt idx="364">
                  <c:v>6.2730134049241943</c:v>
                </c:pt>
                <c:pt idx="365">
                  <c:v>6.4121154164743235</c:v>
                </c:pt>
                <c:pt idx="366">
                  <c:v>6.4352410683072971</c:v>
                </c:pt>
                <c:pt idx="367">
                  <c:v>6.5523488926059654</c:v>
                </c:pt>
                <c:pt idx="368">
                  <c:v>6.6171059179017124</c:v>
                </c:pt>
                <c:pt idx="369">
                  <c:v>6.6591247200039039</c:v>
                </c:pt>
                <c:pt idx="370">
                  <c:v>6.7127481876077555</c:v>
                </c:pt>
                <c:pt idx="371">
                  <c:v>6.6883734323726509</c:v>
                </c:pt>
                <c:pt idx="372">
                  <c:v>6.7220713502273108</c:v>
                </c:pt>
                <c:pt idx="373">
                  <c:v>6.7625728178872659</c:v>
                </c:pt>
                <c:pt idx="374">
                  <c:v>6.7430502438900923</c:v>
                </c:pt>
                <c:pt idx="375">
                  <c:v>6.7472989425156422</c:v>
                </c:pt>
                <c:pt idx="376">
                  <c:v>6.8077648454579389</c:v>
                </c:pt>
                <c:pt idx="377">
                  <c:v>6.8437274181629197</c:v>
                </c:pt>
                <c:pt idx="378">
                  <c:v>6.8236398284976367</c:v>
                </c:pt>
                <c:pt idx="379">
                  <c:v>6.864722079585043</c:v>
                </c:pt>
                <c:pt idx="380">
                  <c:v>6.8843907570191547</c:v>
                </c:pt>
                <c:pt idx="381">
                  <c:v>6.7824777369829006</c:v>
                </c:pt>
                <c:pt idx="382">
                  <c:v>6.7807074237671054</c:v>
                </c:pt>
                <c:pt idx="383">
                  <c:v>6.8160823213058617</c:v>
                </c:pt>
                <c:pt idx="384">
                  <c:v>6.8788902302951671</c:v>
                </c:pt>
                <c:pt idx="385">
                  <c:v>6.9617807517514327</c:v>
                </c:pt>
                <c:pt idx="386">
                  <c:v>6.9962499779811109</c:v>
                </c:pt>
                <c:pt idx="387">
                  <c:v>7.0289021758025001</c:v>
                </c:pt>
                <c:pt idx="388">
                  <c:v>7.0090201314412033</c:v>
                </c:pt>
                <c:pt idx="389">
                  <c:v>6.9889325417759203</c:v>
                </c:pt>
                <c:pt idx="390">
                  <c:v>7.0229482231123947</c:v>
                </c:pt>
                <c:pt idx="391">
                  <c:v>7.0567823537868284</c:v>
                </c:pt>
                <c:pt idx="392">
                  <c:v>6.9580226558601375</c:v>
                </c:pt>
                <c:pt idx="393">
                  <c:v>6.9943464799584749</c:v>
                </c:pt>
                <c:pt idx="394">
                  <c:v>6.9742588902931919</c:v>
                </c:pt>
                <c:pt idx="395">
                  <c:v>7.0494173676243124</c:v>
                </c:pt>
                <c:pt idx="396">
                  <c:v>7.1361831806162943</c:v>
                </c:pt>
                <c:pt idx="397">
                  <c:v>7.1158385224431635</c:v>
                </c:pt>
                <c:pt idx="398">
                  <c:v>6.9697410600202856</c:v>
                </c:pt>
                <c:pt idx="399">
                  <c:v>6.9697410600202856</c:v>
                </c:pt>
                <c:pt idx="400">
                  <c:v>6.9697410600202856</c:v>
                </c:pt>
                <c:pt idx="401">
                  <c:v>7.0233645276241372</c:v>
                </c:pt>
                <c:pt idx="402">
                  <c:v>7.0615350634379892</c:v>
                </c:pt>
                <c:pt idx="403">
                  <c:v>7.1509052750010227</c:v>
                </c:pt>
                <c:pt idx="404">
                  <c:v>7.1308176853357397</c:v>
                </c:pt>
                <c:pt idx="405">
                  <c:v>7.1842242238710163</c:v>
                </c:pt>
                <c:pt idx="406">
                  <c:v>7.2384112004720338</c:v>
                </c:pt>
                <c:pt idx="407">
                  <c:v>7.3152176126631936</c:v>
                </c:pt>
                <c:pt idx="408">
                  <c:v>7.2951300229979106</c:v>
                </c:pt>
                <c:pt idx="409">
                  <c:v>7.3638849201119543</c:v>
                </c:pt>
                <c:pt idx="410">
                  <c:v>7.4672486523559121</c:v>
                </c:pt>
                <c:pt idx="411">
                  <c:v>7.4672486523559121</c:v>
                </c:pt>
                <c:pt idx="412">
                  <c:v>7.5038883251128494</c:v>
                </c:pt>
                <c:pt idx="413">
                  <c:v>7.6329353209302901</c:v>
                </c:pt>
                <c:pt idx="414">
                  <c:v>7.8027396125424886</c:v>
                </c:pt>
                <c:pt idx="415">
                  <c:v>7.8618370593572653</c:v>
                </c:pt>
                <c:pt idx="416">
                  <c:v>7.8518591811237588</c:v>
                </c:pt>
                <c:pt idx="417">
                  <c:v>7.8322339316656535</c:v>
                </c:pt>
                <c:pt idx="418">
                  <c:v>8.0379234920654365</c:v>
                </c:pt>
                <c:pt idx="419">
                  <c:v>8.0179386872123484</c:v>
                </c:pt>
                <c:pt idx="420">
                  <c:v>7.9978510975470662</c:v>
                </c:pt>
                <c:pt idx="421">
                  <c:v>7.9776092850375386</c:v>
                </c:pt>
                <c:pt idx="422">
                  <c:v>8.0117610795819996</c:v>
                </c:pt>
                <c:pt idx="423">
                  <c:v>7.7825564084149201</c:v>
                </c:pt>
                <c:pt idx="424">
                  <c:v>7.7825564084149201</c:v>
                </c:pt>
                <c:pt idx="425">
                  <c:v>7.7825564084149201</c:v>
                </c:pt>
                <c:pt idx="426">
                  <c:v>7.8400661838138053</c:v>
                </c:pt>
                <c:pt idx="427">
                  <c:v>7.8130359993933425</c:v>
                </c:pt>
                <c:pt idx="428">
                  <c:v>7.7922282341030789</c:v>
                </c:pt>
                <c:pt idx="429">
                  <c:v>7.7922282341030789</c:v>
                </c:pt>
                <c:pt idx="430">
                  <c:v>7.7922282341030789</c:v>
                </c:pt>
                <c:pt idx="431">
                  <c:v>7.8649860437193091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4-4F5F-ABF7-635109D35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l-PL"/>
                  <a:t>log10 equity multiple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800100</xdr:colOff>
      <xdr:row>16</xdr:row>
      <xdr:rowOff>261938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7E2E2A16-50E2-D48A-5C1F-DA21BAFC35D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FC205680-9584-401B-B22E-D8122A8BC76A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TradesTable" displayName="AllTradesTable" ref="A4:AE436" totalsRowShown="0">
  <tableColumns count="31">
    <tableColumn id="1" xr3:uid="{00000000-0010-0000-0000-000001000000}" name="Trade #"/>
    <tableColumn id="2" xr3:uid="{00000000-0010-0000-0000-000002000000}" name="Open date"/>
    <tableColumn id="3" xr3:uid="{00000000-0010-0000-0000-000003000000}" name="Close date"/>
    <tableColumn id="4" xr3:uid="{00000000-0010-0000-0000-000004000000}" name="Exit reason"/>
    <tableColumn id="5" xr3:uid="{00000000-0010-0000-0000-000005000000}" name="Baseline open"/>
    <tableColumn id="6" xr3:uid="{00000000-0010-0000-0000-000006000000}" name="Baseline close"/>
    <tableColumn id="7" xr3:uid="{00000000-0010-0000-0000-000007000000}" name="Baseline raw"/>
    <tableColumn id="8" xr3:uid="{00000000-0010-0000-0000-000008000000}" name="Previous 3 rule sum"/>
    <tableColumn id="9" xr3:uid="{00000000-0010-0000-0000-000009000000}" name="Damage trigger"/>
    <tableColumn id="10" xr3:uid="{00000000-0010-0000-0000-00000A000000}" name="Cash-open gap"/>
    <tableColumn id="11" xr3:uid="{00000000-0010-0000-0000-00000B000000}" name="Momentum 20d"/>
    <tableColumn id="12" xr3:uid="{00000000-0010-0000-0000-00000C000000}" name="Tuesday vs Friday"/>
    <tableColumn id="13" xr3:uid="{00000000-0010-0000-0000-00000D000000}" name="Gap trigger"/>
    <tableColumn id="14" xr3:uid="{00000000-0010-0000-0000-00000E000000}" name="Momentum trigger"/>
    <tableColumn id="15" xr3:uid="{00000000-0010-0000-0000-00000F000000}" name="Tuesday normalized"/>
    <tableColumn id="16" xr3:uid="{00000000-0010-0000-0000-000010000000}" name="Tuesday date"/>
    <tableColumn id="17" xr3:uid="{00000000-0010-0000-0000-000011000000}" name="Tuesday entry"/>
    <tableColumn id="18" xr3:uid="{00000000-0010-0000-0000-000012000000}" name="Tuesday repriced raw"/>
    <tableColumn id="19" xr3:uid="{00000000-0010-0000-0000-000013000000}" name="Rule action"/>
    <tableColumn id="20" xr3:uid="{00000000-0010-0000-0000-000014000000}" name="Rule raw"/>
    <tableColumn id="21" xr3:uid="{00000000-0010-0000-0000-000015000000}" name="Baseline 11.3x"/>
    <tableColumn id="22" xr3:uid="{00000000-0010-0000-0000-000016000000}" name="Rule 11.3x"/>
    <tableColumn id="23" xr3:uid="{00000000-0010-0000-0000-000017000000}" name="11.3x difference"/>
    <tableColumn id="24" xr3:uid="{00000000-0010-0000-0000-000018000000}" name="Baseline equity"/>
    <tableColumn id="25" xr3:uid="{00000000-0010-0000-0000-000019000000}" name="Baseline peak"/>
    <tableColumn id="26" xr3:uid="{00000000-0010-0000-0000-00001A000000}" name="Baseline DD"/>
    <tableColumn id="27" xr3:uid="{00000000-0010-0000-0000-00001B000000}" name="Rule equity"/>
    <tableColumn id="28" xr3:uid="{00000000-0010-0000-0000-00001C000000}" name="Rule peak"/>
    <tableColumn id="29" xr3:uid="{00000000-0010-0000-0000-00001D000000}" name="Rule DD"/>
    <tableColumn id="30" xr3:uid="{00000000-0010-0000-0000-00001E000000}" name="Equity difference"/>
    <tableColumn id="31" xr3:uid="{00000000-0010-0000-0000-00001F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angedTradesTable" displayName="ChangedTradesTable" ref="A4:L67" totalsRowShown="0">
  <tableColumns count="12">
    <tableColumn id="1" xr3:uid="{00000000-0010-0000-0100-000001000000}" name="Trade #"/>
    <tableColumn id="2" xr3:uid="{00000000-0010-0000-0100-000002000000}" name="Open date"/>
    <tableColumn id="3" xr3:uid="{00000000-0010-0000-0100-000003000000}" name="Close date"/>
    <tableColumn id="4" xr3:uid="{00000000-0010-0000-0100-000004000000}" name="Exit reason"/>
    <tableColumn id="5" xr3:uid="{00000000-0010-0000-0100-000005000000}" name="Baseline raw"/>
    <tableColumn id="6" xr3:uid="{00000000-0010-0000-0100-000006000000}" name="Rule action"/>
    <tableColumn id="7" xr3:uid="{00000000-0010-0000-0100-000007000000}" name="Rule raw"/>
    <tableColumn id="8" xr3:uid="{00000000-0010-0000-0100-000008000000}" name="11.3x difference"/>
    <tableColumn id="9" xr3:uid="{00000000-0010-0000-0100-000009000000}" name="Cash-open gap"/>
    <tableColumn id="10" xr3:uid="{00000000-0010-0000-0100-00000A000000}" name="Momentum 20d"/>
    <tableColumn id="11" xr3:uid="{00000000-0010-0000-0100-00000B000000}" name="Tuesday vs Friday"/>
    <tableColumn id="12" xr3:uid="{00000000-0010-0000-0100-00000C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6-08-11T11:58:30.86" personId="{FC205680-9584-401B-B22E-D8122A8BC76A}" id="{9FDB3B54-0A8E-4595-1074-862143BDEB1A}">
    <text>Friday normalization uses the Tuesday daily cash-session open divided by the previous Friday daily cash-session close, minus one.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6"/>
  <sheetViews>
    <sheetView showGridLines="0" workbookViewId="0">
      <selection sqref="A1:L2"/>
    </sheetView>
  </sheetViews>
  <sheetFormatPr defaultRowHeight="13.5"/>
  <cols>
    <col min="1" max="1" width="21" customWidth="1"/>
    <col min="2" max="2" width="12" customWidth="1"/>
    <col min="3" max="7" width="18" customWidth="1"/>
    <col min="8" max="8" width="14" customWidth="1"/>
  </cols>
  <sheetData>
    <row r="1" spans="1:16" ht="30" customHeight="1">
      <c r="A1" s="54" t="s">
        <v>0</v>
      </c>
      <c r="B1" s="54" t="s">
        <v>0</v>
      </c>
      <c r="C1" s="54" t="s">
        <v>0</v>
      </c>
      <c r="D1" s="54" t="s">
        <v>0</v>
      </c>
      <c r="E1" s="54" t="s">
        <v>0</v>
      </c>
      <c r="F1" s="54" t="s">
        <v>0</v>
      </c>
      <c r="G1" s="54" t="s">
        <v>0</v>
      </c>
      <c r="H1" s="54" t="s">
        <v>0</v>
      </c>
      <c r="I1" s="54" t="s">
        <v>0</v>
      </c>
      <c r="J1" s="54" t="s">
        <v>0</v>
      </c>
      <c r="K1" s="54" t="s">
        <v>0</v>
      </c>
      <c r="L1" s="54" t="s">
        <v>0</v>
      </c>
    </row>
    <row r="2" spans="1:16" ht="30" customHeight="1">
      <c r="A2" s="54" t="s">
        <v>0</v>
      </c>
      <c r="B2" s="54" t="s">
        <v>0</v>
      </c>
      <c r="C2" s="54" t="s">
        <v>0</v>
      </c>
      <c r="D2" s="54" t="s">
        <v>0</v>
      </c>
      <c r="E2" s="54" t="s">
        <v>0</v>
      </c>
      <c r="F2" s="54" t="s">
        <v>0</v>
      </c>
      <c r="G2" s="54" t="s">
        <v>0</v>
      </c>
      <c r="H2" s="54" t="s">
        <v>0</v>
      </c>
      <c r="I2" s="54" t="s">
        <v>0</v>
      </c>
      <c r="J2" s="54" t="s">
        <v>0</v>
      </c>
      <c r="K2" s="54" t="s">
        <v>0</v>
      </c>
      <c r="L2" s="54" t="s">
        <v>0</v>
      </c>
    </row>
    <row r="3" spans="1:16" ht="26" customHeight="1">
      <c r="A3" s="55" t="s">
        <v>1</v>
      </c>
      <c r="B3" s="55" t="s">
        <v>2</v>
      </c>
      <c r="C3" s="55" t="s">
        <v>2</v>
      </c>
      <c r="D3" s="55" t="s">
        <v>2</v>
      </c>
      <c r="E3" s="55" t="s">
        <v>2</v>
      </c>
      <c r="F3" s="55" t="s">
        <v>2</v>
      </c>
      <c r="G3" s="55" t="s">
        <v>2</v>
      </c>
      <c r="H3" s="55" t="s">
        <v>2</v>
      </c>
      <c r="I3" s="55" t="s">
        <v>2</v>
      </c>
      <c r="J3" s="55" t="s">
        <v>2</v>
      </c>
      <c r="K3" s="55" t="s">
        <v>2</v>
      </c>
      <c r="L3" s="55" t="s">
        <v>2</v>
      </c>
    </row>
    <row r="4" spans="1:16" ht="14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N4" t="s">
        <v>3</v>
      </c>
      <c r="O4" t="s">
        <v>4</v>
      </c>
      <c r="P4" t="s">
        <v>5</v>
      </c>
    </row>
    <row r="5" spans="1:16" ht="14.25">
      <c r="A5" s="33" t="s">
        <v>6</v>
      </c>
      <c r="B5" s="34"/>
      <c r="C5" s="35"/>
      <c r="D5" s="33" t="s">
        <v>7</v>
      </c>
      <c r="E5" s="34"/>
      <c r="F5" s="35"/>
      <c r="G5" s="33" t="s">
        <v>8</v>
      </c>
      <c r="H5" s="34"/>
      <c r="I5" s="4"/>
      <c r="J5" s="4"/>
      <c r="K5" s="4"/>
      <c r="L5" s="4"/>
      <c r="N5" t="str">
        <f>TEXT('All Trades'!B5,"yyyy-mm-dd")</f>
        <v>yyyy-04-16</v>
      </c>
      <c r="O5">
        <f>LOG10('All Trades'!X5/Assumptions!$B$11)</f>
        <v>9.5321415083295946E-2</v>
      </c>
      <c r="P5">
        <f>LOG10('All Trades'!AA5/Assumptions!$B$11)</f>
        <v>9.5321415083295946E-2</v>
      </c>
    </row>
    <row r="6" spans="1:16" ht="18">
      <c r="A6" s="36">
        <f>COUNT('All Trades'!$A$5:$A$436)</f>
        <v>432</v>
      </c>
      <c r="B6" s="37"/>
      <c r="C6" s="38"/>
      <c r="D6" s="36">
        <f>COUNTIF('All Trades'!$S$5:$S$436,"&lt;&gt;BASELINE")</f>
        <v>57</v>
      </c>
      <c r="E6" s="37"/>
      <c r="F6" s="38"/>
      <c r="G6" s="36" t="str">
        <f>IF(COUNTIF(Checks!$F$5:$F$11,"CHECK")=0,"OK","CHECK")</f>
        <v>OK</v>
      </c>
      <c r="H6" s="37"/>
      <c r="I6" s="4"/>
      <c r="J6" s="4"/>
      <c r="K6" s="4"/>
      <c r="L6" s="4"/>
      <c r="N6" t="str">
        <f>TEXT('All Trades'!B6,"yyyy-mm-dd")</f>
        <v>yyyy-04-23</v>
      </c>
      <c r="O6">
        <f>LOG10('All Trades'!X6/Assumptions!$B$11)</f>
        <v>2.61827471982218E-3</v>
      </c>
      <c r="P6">
        <f>LOG10('All Trades'!AA6/Assumptions!$B$11)</f>
        <v>2.61827471982218E-3</v>
      </c>
    </row>
    <row r="7" spans="1:16" ht="18">
      <c r="A7" s="38"/>
      <c r="B7" s="38"/>
      <c r="C7" s="38"/>
      <c r="D7" s="38"/>
      <c r="E7" s="38"/>
      <c r="F7" s="38"/>
      <c r="G7" s="38"/>
      <c r="H7" s="38"/>
      <c r="I7" s="4"/>
      <c r="J7" s="4"/>
      <c r="K7" s="4"/>
      <c r="L7" s="4"/>
      <c r="N7" t="str">
        <f>TEXT('All Trades'!B7,"yyyy-mm-dd")</f>
        <v>yyyy-04-30</v>
      </c>
      <c r="O7">
        <f>LOG10('All Trades'!X7/Assumptions!$B$11)</f>
        <v>-2.8241295171276271E-2</v>
      </c>
      <c r="P7">
        <f>LOG10('All Trades'!AA7/Assumptions!$B$11)</f>
        <v>-2.8241295171276271E-2</v>
      </c>
    </row>
    <row r="8" spans="1:16" ht="18">
      <c r="A8" s="39" t="s">
        <v>9</v>
      </c>
      <c r="B8" s="40"/>
      <c r="C8" s="38"/>
      <c r="D8" s="39" t="s">
        <v>10</v>
      </c>
      <c r="E8" s="40"/>
      <c r="F8" s="38"/>
      <c r="G8" s="39" t="s">
        <v>11</v>
      </c>
      <c r="H8" s="40"/>
      <c r="I8" s="4"/>
      <c r="J8" s="4"/>
      <c r="K8" s="4"/>
      <c r="L8" s="4"/>
      <c r="N8" t="str">
        <f>TEXT('All Trades'!B8,"yyyy-mm-dd")</f>
        <v>yyyy-05-07</v>
      </c>
      <c r="O8">
        <f>LOG10('All Trades'!X8/Assumptions!$B$11)</f>
        <v>7.1549113976815154E-2</v>
      </c>
      <c r="P8">
        <f>LOG10('All Trades'!AA8/Assumptions!$B$11)</f>
        <v>-2.8241295171276271E-2</v>
      </c>
    </row>
    <row r="9" spans="1:16" ht="18">
      <c r="A9" s="41">
        <f>POWER('All Trades'!X436/Assumptions!$B$11,1/COUNT('All Trades'!$A$5:$A$436))-1</f>
        <v>3.323523238959214E-2</v>
      </c>
      <c r="B9" s="42"/>
      <c r="C9" s="43"/>
      <c r="D9" s="41">
        <f>POWER('All Trades'!AA436/Assumptions!$B$11,1/COUNT('All Trades'!$A$5:$A$436))-1</f>
        <v>4.2811918624029666E-2</v>
      </c>
      <c r="E9" s="42"/>
      <c r="F9" s="43"/>
      <c r="G9" s="41">
        <f>D9-A9</f>
        <v>9.5766862344375259E-3</v>
      </c>
      <c r="H9" s="42"/>
      <c r="I9" s="4"/>
      <c r="J9" s="4"/>
      <c r="K9" s="4"/>
      <c r="L9" s="4"/>
      <c r="N9" t="str">
        <f>TEXT('All Trades'!B9,"yyyy-mm-dd")</f>
        <v>yyyy-05-14</v>
      </c>
      <c r="O9">
        <f>LOG10('All Trades'!X9/Assumptions!$B$11)</f>
        <v>5.1461524311532031E-2</v>
      </c>
      <c r="P9">
        <f>LOG10('All Trades'!AA9/Assumptions!$B$11)</f>
        <v>-4.8328884836559283E-2</v>
      </c>
    </row>
    <row r="10" spans="1:16" ht="18">
      <c r="A10" s="38"/>
      <c r="B10" s="38"/>
      <c r="C10" s="38"/>
      <c r="D10" s="38"/>
      <c r="E10" s="38"/>
      <c r="F10" s="38"/>
      <c r="G10" s="38"/>
      <c r="H10" s="38"/>
      <c r="I10" s="4"/>
      <c r="J10" s="4"/>
      <c r="K10" s="4"/>
      <c r="L10" s="4"/>
      <c r="N10" t="str">
        <f>TEXT('All Trades'!B10,"yyyy-mm-dd")</f>
        <v>yyyy-05-21</v>
      </c>
      <c r="O10">
        <f>LOG10('All Trades'!X10/Assumptions!$B$11)</f>
        <v>3.1373934646248963E-2</v>
      </c>
      <c r="P10">
        <f>LOG10('All Trades'!AA10/Assumptions!$B$11)</f>
        <v>-6.8416474501842392E-2</v>
      </c>
    </row>
    <row r="11" spans="1:16" ht="18">
      <c r="A11" s="39" t="s">
        <v>12</v>
      </c>
      <c r="B11" s="40"/>
      <c r="C11" s="38"/>
      <c r="D11" s="39" t="s">
        <v>13</v>
      </c>
      <c r="E11" s="40"/>
      <c r="F11" s="38"/>
      <c r="G11" s="39" t="s">
        <v>14</v>
      </c>
      <c r="H11" s="40"/>
      <c r="I11" s="4"/>
      <c r="J11" s="4"/>
      <c r="K11" s="4"/>
      <c r="L11" s="4"/>
      <c r="N11" t="str">
        <f>TEXT('All Trades'!B11,"yyyy-mm-dd")</f>
        <v>yyyy-05-29</v>
      </c>
      <c r="O11">
        <f>LOG10('All Trades'!X11/Assumptions!$B$11)</f>
        <v>0.13030547981734361</v>
      </c>
      <c r="P11">
        <f>LOG10('All Trades'!AA11/Assumptions!$B$11)</f>
        <v>3.0515070669252246E-2</v>
      </c>
    </row>
    <row r="12" spans="1:16" ht="18">
      <c r="A12" s="44">
        <f>-MIN('All Trades'!Z5:Z436)</f>
        <v>0.96825297674819344</v>
      </c>
      <c r="B12" s="45"/>
      <c r="C12" s="46"/>
      <c r="D12" s="44">
        <f>-MIN('All Trades'!AC5:AC436)</f>
        <v>0.70586893208594437</v>
      </c>
      <c r="E12" s="45"/>
      <c r="F12" s="46"/>
      <c r="G12" s="44">
        <f>'All Trades'!T435</f>
        <v>0</v>
      </c>
      <c r="H12" s="45"/>
      <c r="I12" s="4"/>
      <c r="J12" s="4"/>
      <c r="K12" s="4"/>
      <c r="L12" s="4"/>
      <c r="N12" t="str">
        <f>TEXT('All Trades'!B12,"yyyy-mm-dd")</f>
        <v>yyyy-06-04</v>
      </c>
      <c r="O12">
        <f>LOG10('All Trades'!X12/Assumptions!$B$11)</f>
        <v>0.16558989516825492</v>
      </c>
      <c r="P12">
        <f>LOG10('All Trades'!AA12/Assumptions!$B$11)</f>
        <v>6.5799486020163528E-2</v>
      </c>
    </row>
    <row r="13" spans="1:16" ht="14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N13" t="str">
        <f>TEXT('All Trades'!B13,"yyyy-mm-dd")</f>
        <v>yyyy-06-11</v>
      </c>
      <c r="O13">
        <f>LOG10('All Trades'!X13/Assumptions!$B$11)</f>
        <v>0.23610060804846619</v>
      </c>
      <c r="P13">
        <f>LOG10('All Trades'!AA13/Assumptions!$B$11)</f>
        <v>0.13631019890037474</v>
      </c>
    </row>
    <row r="14" spans="1:16" ht="14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N14" t="str">
        <f>TEXT('All Trades'!B14,"yyyy-mm-dd")</f>
        <v>yyyy-06-18</v>
      </c>
      <c r="O14">
        <f>LOG10('All Trades'!X14/Assumptions!$B$11)</f>
        <v>0.21601301838318307</v>
      </c>
      <c r="P14">
        <f>LOG10('All Trades'!AA14/Assumptions!$B$11)</f>
        <v>0.11622260923509165</v>
      </c>
    </row>
    <row r="15" spans="1:16" ht="14.25">
      <c r="A15" s="1" t="s">
        <v>15</v>
      </c>
      <c r="B15" s="2" t="s">
        <v>16</v>
      </c>
      <c r="C15" s="2" t="s">
        <v>9</v>
      </c>
      <c r="D15" s="2" t="s">
        <v>10</v>
      </c>
      <c r="E15" s="2" t="s">
        <v>17</v>
      </c>
      <c r="F15" s="2" t="s">
        <v>18</v>
      </c>
      <c r="G15" s="3" t="s">
        <v>19</v>
      </c>
      <c r="H15" s="4"/>
      <c r="I15" s="4"/>
      <c r="J15" s="4"/>
      <c r="K15" s="4"/>
      <c r="L15" s="4"/>
      <c r="N15" t="str">
        <f>TEXT('All Trades'!B15,"yyyy-mm-dd")</f>
        <v>yyyy-06-25</v>
      </c>
      <c r="O15">
        <f>LOG10('All Trades'!X15/Assumptions!$B$11)</f>
        <v>0.19592542871790003</v>
      </c>
      <c r="P15">
        <f>LOG10('All Trades'!AA15/Assumptions!$B$11)</f>
        <v>9.6135019569808633E-2</v>
      </c>
    </row>
    <row r="16" spans="1:16" ht="14.25">
      <c r="A16" s="4" t="s">
        <v>20</v>
      </c>
      <c r="B16" s="47">
        <f>432</f>
        <v>432</v>
      </c>
      <c r="C16" s="48">
        <f>POWER('All Trades'!X436/Assumptions!$B$11,1/B16)-1</f>
        <v>3.323523238959214E-2</v>
      </c>
      <c r="D16" s="48">
        <f>POWER('All Trades'!AA436/Assumptions!$B$11,1/B16)-1</f>
        <v>4.2811918624029666E-2</v>
      </c>
      <c r="E16" s="48">
        <f>D16-C16</f>
        <v>9.5766862344375259E-3</v>
      </c>
      <c r="F16" s="48">
        <f t="shared" ref="F16:G20" si="0">POWER(1+C16,52)-1</f>
        <v>4.4746801822310012</v>
      </c>
      <c r="G16" s="48">
        <f t="shared" si="0"/>
        <v>7.8452738462005662</v>
      </c>
      <c r="H16" s="4"/>
      <c r="I16" s="4"/>
      <c r="J16" s="4"/>
      <c r="K16" s="4"/>
      <c r="L16" s="4"/>
      <c r="N16" t="str">
        <f>TEXT('All Trades'!B16,"yyyy-mm-dd")</f>
        <v>yyyy-07-02</v>
      </c>
      <c r="O16">
        <f>LOG10('All Trades'!X16/Assumptions!$B$11)</f>
        <v>0.27038163577364366</v>
      </c>
      <c r="P16">
        <f>LOG10('All Trades'!AA16/Assumptions!$B$11)</f>
        <v>0.17059122662555215</v>
      </c>
    </row>
    <row r="17" spans="1:16" ht="14.25">
      <c r="A17" s="4" t="s">
        <v>21</v>
      </c>
      <c r="B17" s="47">
        <f>140</f>
        <v>140</v>
      </c>
      <c r="C17" s="48">
        <f>POWER('All Trades'!X144/Assumptions!$B$11,1/B17)-1</f>
        <v>3.4410082828831401E-2</v>
      </c>
      <c r="D17" s="48">
        <f>POWER('All Trades'!AA144/Assumptions!$B$11,1/B17)-1</f>
        <v>4.4221429281658287E-2</v>
      </c>
      <c r="E17" s="48">
        <f>D17-C17</f>
        <v>9.8113464528268857E-3</v>
      </c>
      <c r="F17" s="48">
        <f t="shared" si="0"/>
        <v>4.8079483757011774</v>
      </c>
      <c r="G17" s="48">
        <f t="shared" si="0"/>
        <v>8.4888870263802989</v>
      </c>
      <c r="H17" s="4"/>
      <c r="I17" s="4"/>
      <c r="J17" s="4"/>
      <c r="K17" s="4"/>
      <c r="L17" s="4"/>
      <c r="N17" t="str">
        <f>TEXT('All Trades'!B17,"yyyy-mm-dd")</f>
        <v>yyyy-07-09</v>
      </c>
      <c r="O17">
        <f>LOG10('All Trades'!X17/Assumptions!$B$11)</f>
        <v>0.34887071657586338</v>
      </c>
      <c r="P17">
        <f>LOG10('All Trades'!AA17/Assumptions!$B$11)</f>
        <v>0.24908030742777196</v>
      </c>
    </row>
    <row r="18" spans="1:16" ht="14.25">
      <c r="A18" s="4" t="s">
        <v>22</v>
      </c>
      <c r="B18" s="47">
        <f>52</f>
        <v>52</v>
      </c>
      <c r="C18" s="48">
        <f>POWER('All Trades'!X196/'All Trades'!X144,1/B18)-1</f>
        <v>7.7837890015191036E-3</v>
      </c>
      <c r="D18" s="48">
        <f>POWER('All Trades'!AA196/'All Trades'!AA144,1/B18)-1</f>
        <v>1.693244793002302E-2</v>
      </c>
      <c r="E18" s="48">
        <f>D18-C18</f>
        <v>9.1486589285039166E-3</v>
      </c>
      <c r="F18" s="48">
        <f t="shared" si="0"/>
        <v>0.49659104246531127</v>
      </c>
      <c r="G18" s="48">
        <f t="shared" si="0"/>
        <v>1.3943600267082039</v>
      </c>
      <c r="H18" s="4"/>
      <c r="I18" s="4"/>
      <c r="J18" s="4"/>
      <c r="K18" s="4"/>
      <c r="L18" s="4"/>
      <c r="N18" t="str">
        <f>TEXT('All Trades'!B18,"yyyy-mm-dd")</f>
        <v>yyyy-07-16</v>
      </c>
      <c r="O18">
        <f>LOG10('All Trades'!X18/Assumptions!$B$11)</f>
        <v>0.32878312691058037</v>
      </c>
      <c r="P18">
        <f>LOG10('All Trades'!AA18/Assumptions!$B$11)</f>
        <v>0.22899271776248889</v>
      </c>
    </row>
    <row r="19" spans="1:16" ht="14.25">
      <c r="A19" s="4" t="s">
        <v>23</v>
      </c>
      <c r="B19" s="47">
        <f>209</f>
        <v>209</v>
      </c>
      <c r="C19" s="48">
        <f>POWER('All Trades'!X405/'All Trades'!X196,1/B19)-1</f>
        <v>4.0392243218175805E-2</v>
      </c>
      <c r="D19" s="48">
        <f>POWER('All Trades'!AA405/'All Trades'!AA196,1/B19)-1</f>
        <v>4.4588870265801495E-2</v>
      </c>
      <c r="E19" s="48">
        <f>D19-C19</f>
        <v>4.1966270476256895E-3</v>
      </c>
      <c r="F19" s="48">
        <f t="shared" si="0"/>
        <v>6.838798322144366</v>
      </c>
      <c r="G19" s="48">
        <f t="shared" si="0"/>
        <v>8.6640796774364865</v>
      </c>
      <c r="H19" s="4"/>
      <c r="I19" s="4"/>
      <c r="J19" s="4"/>
      <c r="K19" s="4"/>
      <c r="L19" s="4"/>
      <c r="N19" t="str">
        <f>TEXT('All Trades'!B19,"yyyy-mm-dd")</f>
        <v>yyyy-07-23</v>
      </c>
      <c r="O19">
        <f>LOG10('All Trades'!X19/Assumptions!$B$11)</f>
        <v>0.37931600009052907</v>
      </c>
      <c r="P19">
        <f>LOG10('All Trades'!AA19/Assumptions!$B$11)</f>
        <v>0.27952559094243756</v>
      </c>
    </row>
    <row r="20" spans="1:16" ht="14.25">
      <c r="A20" s="4" t="s">
        <v>24</v>
      </c>
      <c r="B20" s="47">
        <f>31</f>
        <v>31</v>
      </c>
      <c r="C20" s="48">
        <f>POWER('All Trades'!X436/'All Trades'!X405,1/B20)-1</f>
        <v>2.312387594213372E-2</v>
      </c>
      <c r="D20" s="48">
        <f>POWER('All Trades'!AA436/'All Trades'!AA405,1/B20)-1</f>
        <v>6.8756749512296711E-2</v>
      </c>
      <c r="E20" s="48">
        <f>D20-C20</f>
        <v>4.5632873570162991E-2</v>
      </c>
      <c r="F20" s="48">
        <f t="shared" si="0"/>
        <v>2.2829738248052336</v>
      </c>
      <c r="G20" s="48">
        <f t="shared" si="0"/>
        <v>30.746895539219324</v>
      </c>
      <c r="H20" s="4"/>
      <c r="I20" s="4"/>
      <c r="J20" s="4"/>
      <c r="K20" s="4"/>
      <c r="L20" s="4"/>
      <c r="N20" t="str">
        <f>TEXT('All Trades'!B20,"yyyy-mm-dd")</f>
        <v>yyyy-07-30</v>
      </c>
      <c r="O20">
        <f>LOG10('All Trades'!X20/Assumptions!$B$11)</f>
        <v>0.37079194479474725</v>
      </c>
      <c r="P20">
        <f>LOG10('All Trades'!AA20/Assumptions!$B$11)</f>
        <v>0.2710015356466558</v>
      </c>
    </row>
    <row r="21" spans="1:16" ht="14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N21" t="str">
        <f>TEXT('All Trades'!B21,"yyyy-mm-dd")</f>
        <v>yyyy-08-06</v>
      </c>
      <c r="O21">
        <f>LOG10('All Trades'!X21/Assumptions!$B$11)</f>
        <v>0.38512805825114843</v>
      </c>
      <c r="P21">
        <f>LOG10('All Trades'!AA21/Assumptions!$B$11)</f>
        <v>0.28533764910305692</v>
      </c>
    </row>
    <row r="22" spans="1:16" ht="14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N22" t="str">
        <f>TEXT('All Trades'!B22,"yyyy-mm-dd")</f>
        <v>yyyy-08-13</v>
      </c>
      <c r="O22">
        <f>LOG10('All Trades'!X22/Assumptions!$B$11)</f>
        <v>0.34827341006793683</v>
      </c>
      <c r="P22">
        <f>LOG10('All Trades'!AA22/Assumptions!$B$11)</f>
        <v>0.24848300091984526</v>
      </c>
    </row>
    <row r="23" spans="1:16" ht="14.25">
      <c r="A23" s="1" t="s">
        <v>25</v>
      </c>
      <c r="B23" s="3" t="s">
        <v>6</v>
      </c>
      <c r="C23" s="4"/>
      <c r="D23" s="4"/>
      <c r="E23" s="4"/>
      <c r="F23" s="4"/>
      <c r="G23" s="4"/>
      <c r="H23" s="4"/>
      <c r="I23" s="4"/>
      <c r="J23" s="4"/>
      <c r="K23" s="4"/>
      <c r="L23" s="4"/>
      <c r="N23" t="str">
        <f>TEXT('All Trades'!B23,"yyyy-mm-dd")</f>
        <v>yyyy-08-20</v>
      </c>
      <c r="O23">
        <f>LOG10('All Trades'!X23/Assumptions!$B$11)</f>
        <v>0.40522397420713602</v>
      </c>
      <c r="P23">
        <f>LOG10('All Trades'!AA23/Assumptions!$B$11)</f>
        <v>0.30543356505904451</v>
      </c>
    </row>
    <row r="24" spans="1:16" ht="14.25">
      <c r="A24" s="4" t="s">
        <v>26</v>
      </c>
      <c r="B24" s="47">
        <f>COUNTIF('All Trades'!$S$5:$S$436,"BASELINE")</f>
        <v>375</v>
      </c>
      <c r="C24" s="4"/>
      <c r="D24" s="4"/>
      <c r="E24" s="4"/>
      <c r="F24" s="4"/>
      <c r="G24" s="4"/>
      <c r="H24" s="4"/>
      <c r="I24" s="4"/>
      <c r="J24" s="4"/>
      <c r="K24" s="4"/>
      <c r="L24" s="4"/>
      <c r="N24" t="str">
        <f>TEXT('All Trades'!B24,"yyyy-mm-dd")</f>
        <v>yyyy-08-27</v>
      </c>
      <c r="O24">
        <f>LOG10('All Trades'!X24/Assumptions!$B$11)</f>
        <v>0.48297512513653373</v>
      </c>
      <c r="P24">
        <f>LOG10('All Trades'!AA24/Assumptions!$B$11)</f>
        <v>0.38318471598844223</v>
      </c>
    </row>
    <row r="25" spans="1:16" ht="14.25">
      <c r="A25" s="4" t="s">
        <v>27</v>
      </c>
      <c r="B25" s="47">
        <f>COUNTIF('All Trades'!$S$5:$S$436,"DAMAGE SKIP")</f>
        <v>35</v>
      </c>
      <c r="C25" s="4"/>
      <c r="D25" s="4"/>
      <c r="E25" s="4"/>
      <c r="F25" s="4"/>
      <c r="G25" s="4"/>
      <c r="H25" s="4"/>
      <c r="I25" s="4"/>
      <c r="J25" s="4"/>
      <c r="K25" s="4"/>
      <c r="L25" s="4"/>
      <c r="N25" t="str">
        <f>TEXT('All Trades'!B25,"yyyy-mm-dd")</f>
        <v>yyyy-09-04</v>
      </c>
      <c r="O25">
        <f>LOG10('All Trades'!X25/Assumptions!$B$11)</f>
        <v>0.41033573440745175</v>
      </c>
      <c r="P25">
        <f>LOG10('All Trades'!AA25/Assumptions!$B$11)</f>
        <v>0.31054532525936018</v>
      </c>
    </row>
    <row r="26" spans="1:16" ht="14.25">
      <c r="A26" s="4" t="s">
        <v>28</v>
      </c>
      <c r="B26" s="47">
        <f>COUNTIF('All Trades'!$S$5:$S$436,"GAP/MOM SKIP")</f>
        <v>19</v>
      </c>
      <c r="C26" s="4"/>
      <c r="D26" s="4"/>
      <c r="E26" s="4"/>
      <c r="F26" s="4"/>
      <c r="G26" s="4"/>
      <c r="H26" s="4"/>
      <c r="I26" s="4"/>
      <c r="J26" s="4"/>
      <c r="K26" s="4"/>
      <c r="L26" s="4"/>
      <c r="N26" t="str">
        <f>TEXT('All Trades'!B26,"yyyy-mm-dd")</f>
        <v>yyyy-09-10</v>
      </c>
      <c r="O26">
        <f>LOG10('All Trades'!X26/Assumptions!$B$11)</f>
        <v>0.46047526674222433</v>
      </c>
      <c r="P26">
        <f>LOG10('All Trades'!AA26/Assumptions!$B$11)</f>
        <v>0.36068485759413282</v>
      </c>
    </row>
    <row r="27" spans="1:16" ht="14.25">
      <c r="A27" s="4" t="s">
        <v>29</v>
      </c>
      <c r="B27" s="47">
        <f>COUNTIF('All Trades'!$S$5:$S$436,"TUESDAY RE-ENTRY")</f>
        <v>3</v>
      </c>
      <c r="C27" s="4"/>
      <c r="D27" s="4"/>
      <c r="E27" s="4"/>
      <c r="F27" s="4"/>
      <c r="G27" s="4"/>
      <c r="H27" s="4"/>
      <c r="I27" s="4"/>
      <c r="J27" s="4"/>
      <c r="K27" s="4"/>
      <c r="L27" s="4"/>
      <c r="N27" t="str">
        <f>TEXT('All Trades'!B27,"yyyy-mm-dd")</f>
        <v>yyyy-09-17</v>
      </c>
      <c r="O27">
        <f>LOG10('All Trades'!X27/Assumptions!$B$11)</f>
        <v>0.44054184517436346</v>
      </c>
      <c r="P27">
        <f>LOG10('All Trades'!AA27/Assumptions!$B$11)</f>
        <v>0.340751436026272</v>
      </c>
    </row>
    <row r="28" spans="1:16" ht="14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N28" t="str">
        <f>TEXT('All Trades'!B28,"yyyy-mm-dd")</f>
        <v>yyyy-09-24</v>
      </c>
      <c r="O28">
        <f>LOG10('All Trades'!X28/Assumptions!$B$11)</f>
        <v>0.49085623964539243</v>
      </c>
      <c r="P28">
        <f>LOG10('All Trades'!AA28/Assumptions!$B$11)</f>
        <v>0.39106583049730098</v>
      </c>
    </row>
    <row r="29" spans="1:16" ht="14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N29" t="str">
        <f>TEXT('All Trades'!B29,"yyyy-mm-dd")</f>
        <v>yyyy-10-01</v>
      </c>
      <c r="O29">
        <f>LOG10('All Trades'!X29/Assumptions!$B$11)</f>
        <v>0.47179540506287715</v>
      </c>
      <c r="P29">
        <f>LOG10('All Trades'!AA29/Assumptions!$B$11)</f>
        <v>0.3720049959147857</v>
      </c>
    </row>
    <row r="30" spans="1:16" ht="14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N30" t="str">
        <f>TEXT('All Trades'!B30,"yyyy-mm-dd")</f>
        <v>yyyy-10-08</v>
      </c>
      <c r="O30">
        <f>LOG10('All Trades'!X30/Assumptions!$B$11)</f>
        <v>9.9548266799596594E-2</v>
      </c>
      <c r="P30">
        <f>LOG10('All Trades'!AA30/Assumptions!$B$11)</f>
        <v>-2.421423484948189E-4</v>
      </c>
    </row>
    <row r="31" spans="1:16" ht="14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N31" t="str">
        <f>TEXT('All Trades'!B31,"yyyy-mm-dd")</f>
        <v>yyyy-10-15</v>
      </c>
      <c r="O31">
        <f>LOG10('All Trades'!X31/Assumptions!$B$11)</f>
        <v>7.9460677134313581E-2</v>
      </c>
      <c r="P31">
        <f>LOG10('All Trades'!AA31/Assumptions!$B$11)</f>
        <v>-2.421423484948189E-4</v>
      </c>
    </row>
    <row r="32" spans="1:16" ht="14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N32" t="str">
        <f>TEXT('All Trades'!B32,"yyyy-mm-dd")</f>
        <v>yyyy-10-22</v>
      </c>
      <c r="O32">
        <f>LOG10('All Trades'!X32/Assumptions!$B$11)</f>
        <v>6.3516536412396241E-2</v>
      </c>
      <c r="P32">
        <f>LOG10('All Trades'!AA32/Assumptions!$B$11)</f>
        <v>-2.421423484948189E-4</v>
      </c>
    </row>
    <row r="33" spans="1:16" ht="14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N33" t="str">
        <f>TEXT('All Trades'!B33,"yyyy-mm-dd")</f>
        <v>yyyy-10-29</v>
      </c>
      <c r="O33">
        <f>LOG10('All Trades'!X33/Assumptions!$B$11)</f>
        <v>-0.30298672928802772</v>
      </c>
      <c r="P33">
        <f>LOG10('All Trades'!AA33/Assumptions!$B$11)</f>
        <v>-2.421423484948189E-4</v>
      </c>
    </row>
    <row r="34" spans="1:16" ht="14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N34" t="str">
        <f>TEXT('All Trades'!B34,"yyyy-mm-dd")</f>
        <v>yyyy-11-05</v>
      </c>
      <c r="O34">
        <f>LOG10('All Trades'!X34/Assumptions!$B$11)</f>
        <v>-0.25675620231172541</v>
      </c>
      <c r="P34">
        <f>LOG10('All Trades'!AA34/Assumptions!$B$11)</f>
        <v>4.5988384627807459E-2</v>
      </c>
    </row>
    <row r="35" spans="1:16" ht="14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N35" t="str">
        <f>TEXT('All Trades'!B35,"yyyy-mm-dd")</f>
        <v>yyyy-11-12</v>
      </c>
      <c r="O35">
        <f>LOG10('All Trades'!X35/Assumptions!$B$11)</f>
        <v>-0.44313785668515571</v>
      </c>
      <c r="P35">
        <f>LOG10('All Trades'!AA35/Assumptions!$B$11)</f>
        <v>-0.14039326974562277</v>
      </c>
    </row>
    <row r="36" spans="1:16" ht="14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N36" t="str">
        <f>TEXT('All Trades'!B36,"yyyy-mm-dd")</f>
        <v>yyyy-11-19</v>
      </c>
      <c r="O36">
        <f>LOG10('All Trades'!X36/Assumptions!$B$11)</f>
        <v>-0.8179365664035253</v>
      </c>
      <c r="P36">
        <f>LOG10('All Trades'!AA36/Assumptions!$B$11)</f>
        <v>-0.14039326974562277</v>
      </c>
    </row>
    <row r="37" spans="1:16" ht="14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N37" t="str">
        <f>TEXT('All Trades'!B37,"yyyy-mm-dd")</f>
        <v>yyyy-11-26</v>
      </c>
      <c r="O37">
        <f>LOG10('All Trades'!X37/Assumptions!$B$11)</f>
        <v>-0.76924233943310949</v>
      </c>
      <c r="P37">
        <f>LOG10('All Trades'!AA37/Assumptions!$B$11)</f>
        <v>-0.14039326974562277</v>
      </c>
    </row>
    <row r="38" spans="1:16" ht="14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N38" t="str">
        <f>TEXT('All Trades'!B38,"yyyy-mm-dd")</f>
        <v>yyyy-12-03</v>
      </c>
      <c r="O38">
        <f>LOG10('All Trades'!X38/Assumptions!$B$11)</f>
        <v>-1.0074407502831899</v>
      </c>
      <c r="P38">
        <f>LOG10('All Trades'!AA38/Assumptions!$B$11)</f>
        <v>-0.14039326974562277</v>
      </c>
    </row>
    <row r="39" spans="1:16" ht="14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N39" t="str">
        <f>TEXT('All Trades'!B39,"yyyy-mm-dd")</f>
        <v>yyyy-12-10</v>
      </c>
      <c r="O39">
        <f>LOG10('All Trades'!X39/Assumptions!$B$11)</f>
        <v>-0.94595132757706013</v>
      </c>
      <c r="P39">
        <f>LOG10('All Trades'!AA39/Assumptions!$B$11)</f>
        <v>-7.8903847039493005E-2</v>
      </c>
    </row>
    <row r="40" spans="1:16" ht="14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N40" t="str">
        <f>TEXT('All Trades'!B40,"yyyy-mm-dd")</f>
        <v>yyyy-12-17</v>
      </c>
      <c r="O40">
        <f>LOG10('All Trades'!X40/Assumptions!$B$11)</f>
        <v>-0.96603891724234314</v>
      </c>
      <c r="P40">
        <f>LOG10('All Trades'!AA40/Assumptions!$B$11)</f>
        <v>-9.8991436704776115E-2</v>
      </c>
    </row>
    <row r="41" spans="1:16" ht="14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N41" t="str">
        <f>TEXT('All Trades'!B41,"yyyy-mm-dd")</f>
        <v>yyyy-12-24</v>
      </c>
      <c r="O41">
        <f>LOG10('All Trades'!X41/Assumptions!$B$11)</f>
        <v>-0.7866485803564498</v>
      </c>
      <c r="P41">
        <f>LOG10('All Trades'!AA41/Assumptions!$B$11)</f>
        <v>8.0398900181117242E-2</v>
      </c>
    </row>
    <row r="42" spans="1:16" ht="14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N42" t="str">
        <f>TEXT('All Trades'!B42,"yyyy-mm-dd")</f>
        <v>yyyy-12-31</v>
      </c>
      <c r="O42">
        <f>LOG10('All Trades'!X42/Assumptions!$B$11)</f>
        <v>-0.890053476439293</v>
      </c>
      <c r="P42">
        <f>LOG10('All Trades'!AA42/Assumptions!$B$11)</f>
        <v>8.0398900181117242E-2</v>
      </c>
    </row>
    <row r="43" spans="1:16">
      <c r="N43" t="str">
        <f>TEXT('All Trades'!B43,"yyyy-mm-dd")</f>
        <v>yyyy-01-07</v>
      </c>
      <c r="O43">
        <f>LOG10('All Trades'!X43/Assumptions!$B$11)</f>
        <v>-0.84276536619658682</v>
      </c>
      <c r="P43">
        <f>LOG10('All Trades'!AA43/Assumptions!$B$11)</f>
        <v>0.12768701042382338</v>
      </c>
    </row>
    <row r="44" spans="1:16">
      <c r="N44" t="str">
        <f>TEXT('All Trades'!B44,"yyyy-mm-dd")</f>
        <v>yyyy-01-14</v>
      </c>
      <c r="O44">
        <f>LOG10('All Trades'!X44/Assumptions!$B$11)</f>
        <v>-0.68829878744415385</v>
      </c>
      <c r="P44">
        <f>LOG10('All Trades'!AA44/Assumptions!$B$11)</f>
        <v>0.28215358917625633</v>
      </c>
    </row>
    <row r="45" spans="1:16">
      <c r="N45" t="str">
        <f>TEXT('All Trades'!B45,"yyyy-mm-dd")</f>
        <v>yyyy-01-22</v>
      </c>
      <c r="O45">
        <f>LOG10('All Trades'!X45/Assumptions!$B$11)</f>
        <v>-0.74869817463024646</v>
      </c>
      <c r="P45">
        <f>LOG10('All Trades'!AA45/Assumptions!$B$11)</f>
        <v>0.2217542019901638</v>
      </c>
    </row>
    <row r="46" spans="1:16">
      <c r="N46" t="str">
        <f>TEXT('All Trades'!B46,"yyyy-mm-dd")</f>
        <v>yyyy-01-28</v>
      </c>
      <c r="O46">
        <f>LOG10('All Trades'!X46/Assumptions!$B$11)</f>
        <v>-0.74968079093447904</v>
      </c>
      <c r="P46">
        <f>LOG10('All Trades'!AA46/Assumptions!$B$11)</f>
        <v>0.22077158568593111</v>
      </c>
    </row>
    <row r="47" spans="1:16">
      <c r="N47" t="str">
        <f>TEXT('All Trades'!B47,"yyyy-mm-dd")</f>
        <v>yyyy-02-04</v>
      </c>
      <c r="O47">
        <f>LOG10('All Trades'!X47/Assumptions!$B$11)</f>
        <v>-0.69242902356835723</v>
      </c>
      <c r="P47">
        <f>LOG10('All Trades'!AA47/Assumptions!$B$11)</f>
        <v>0.278023353052053</v>
      </c>
    </row>
    <row r="48" spans="1:16">
      <c r="N48" t="str">
        <f>TEXT('All Trades'!B48,"yyyy-mm-dd")</f>
        <v>yyyy-02-11</v>
      </c>
      <c r="O48">
        <f>LOG10('All Trades'!X48/Assumptions!$B$11)</f>
        <v>-0.61681674043959789</v>
      </c>
      <c r="P48">
        <f>LOG10('All Trades'!AA48/Assumptions!$B$11)</f>
        <v>0.35363563618081223</v>
      </c>
    </row>
    <row r="49" spans="14:16">
      <c r="N49" t="str">
        <f>TEXT('All Trades'!B49,"yyyy-mm-dd")</f>
        <v>yyyy-02-19</v>
      </c>
      <c r="O49">
        <f>LOG10('All Trades'!X49/Assumptions!$B$11)</f>
        <v>-0.63690433010488101</v>
      </c>
      <c r="P49">
        <f>LOG10('All Trades'!AA49/Assumptions!$B$11)</f>
        <v>0.33354804651552916</v>
      </c>
    </row>
    <row r="50" spans="14:16">
      <c r="N50" t="str">
        <f>TEXT('All Trades'!B50,"yyyy-mm-dd")</f>
        <v>yyyy-02-25</v>
      </c>
      <c r="O50">
        <f>LOG10('All Trades'!X50/Assumptions!$B$11)</f>
        <v>-0.65858820294238318</v>
      </c>
      <c r="P50">
        <f>LOG10('All Trades'!AA50/Assumptions!$B$11)</f>
        <v>0.3118641736780271</v>
      </c>
    </row>
    <row r="51" spans="14:16">
      <c r="N51" t="str">
        <f>TEXT('All Trades'!B51,"yyyy-mm-dd")</f>
        <v>yyyy-03-04</v>
      </c>
      <c r="O51">
        <f>LOG10('All Trades'!X51/Assumptions!$B$11)</f>
        <v>-0.678521624510244</v>
      </c>
      <c r="P51">
        <f>LOG10('All Trades'!AA51/Assumptions!$B$11)</f>
        <v>0.29193075211016623</v>
      </c>
    </row>
    <row r="52" spans="14:16">
      <c r="N52" t="str">
        <f>TEXT('All Trades'!B52,"yyyy-mm-dd")</f>
        <v>yyyy-03-11</v>
      </c>
      <c r="O52">
        <f>LOG10('All Trades'!X52/Assumptions!$B$11)</f>
        <v>-0.60414811219526798</v>
      </c>
      <c r="P52">
        <f>LOG10('All Trades'!AA52/Assumptions!$B$11)</f>
        <v>0.36630426442514213</v>
      </c>
    </row>
    <row r="53" spans="14:16">
      <c r="N53" t="str">
        <f>TEXT('All Trades'!B53,"yyyy-mm-dd")</f>
        <v>yyyy-03-18</v>
      </c>
      <c r="O53">
        <f>LOG10('All Trades'!X53/Assumptions!$B$11)</f>
        <v>-0.58602997505499332</v>
      </c>
      <c r="P53">
        <f>LOG10('All Trades'!AA53/Assumptions!$B$11)</f>
        <v>0.3844224015654169</v>
      </c>
    </row>
    <row r="54" spans="14:16">
      <c r="N54" t="str">
        <f>TEXT('All Trades'!B54,"yyyy-mm-dd")</f>
        <v>yyyy-03-25</v>
      </c>
      <c r="O54">
        <f>LOG10('All Trades'!X54/Assumptions!$B$11)</f>
        <v>-0.60962680167506733</v>
      </c>
      <c r="P54">
        <f>LOG10('All Trades'!AA54/Assumptions!$B$11)</f>
        <v>0.36082557494534279</v>
      </c>
    </row>
    <row r="55" spans="14:16">
      <c r="N55" t="str">
        <f>TEXT('All Trades'!B55,"yyyy-mm-dd")</f>
        <v>yyyy-04-01</v>
      </c>
      <c r="O55">
        <f>LOG10('All Trades'!X55/Assumptions!$B$11)</f>
        <v>-0.52876844032562964</v>
      </c>
      <c r="P55">
        <f>LOG10('All Trades'!AA55/Assumptions!$B$11)</f>
        <v>0.44168393629478053</v>
      </c>
    </row>
    <row r="56" spans="14:16">
      <c r="N56" t="str">
        <f>TEXT('All Trades'!B56,"yyyy-mm-dd")</f>
        <v>yyyy-04-08</v>
      </c>
      <c r="O56">
        <f>LOG10('All Trades'!X56/Assumptions!$B$11)</f>
        <v>-0.48853528873839158</v>
      </c>
      <c r="P56">
        <f>LOG10('All Trades'!AA56/Assumptions!$B$11)</f>
        <v>0.48191708788201876</v>
      </c>
    </row>
    <row r="57" spans="14:16">
      <c r="N57" t="str">
        <f>TEXT('All Trades'!B57,"yyyy-mm-dd")</f>
        <v>yyyy-04-15</v>
      </c>
      <c r="O57">
        <f>LOG10('All Trades'!X57/Assumptions!$B$11)</f>
        <v>-0.44866014997595849</v>
      </c>
      <c r="P57">
        <f>LOG10('All Trades'!AA57/Assumptions!$B$11)</f>
        <v>0.5217922266444518</v>
      </c>
    </row>
    <row r="58" spans="14:16">
      <c r="N58" t="str">
        <f>TEXT('All Trades'!B58,"yyyy-mm-dd")</f>
        <v>yyyy-04-22</v>
      </c>
      <c r="O58">
        <f>LOG10('All Trades'!X58/Assumptions!$B$11)</f>
        <v>-0.41265240441016493</v>
      </c>
      <c r="P58">
        <f>LOG10('All Trades'!AA58/Assumptions!$B$11)</f>
        <v>0.55779997221024535</v>
      </c>
    </row>
    <row r="59" spans="14:16">
      <c r="N59" t="str">
        <f>TEXT('All Trades'!B59,"yyyy-mm-dd")</f>
        <v>yyyy-04-29</v>
      </c>
      <c r="O59">
        <f>LOG10('All Trades'!X59/Assumptions!$B$11)</f>
        <v>-0.40699665963831322</v>
      </c>
      <c r="P59">
        <f>LOG10('All Trades'!AA59/Assumptions!$B$11)</f>
        <v>0.56345571698209695</v>
      </c>
    </row>
    <row r="60" spans="14:16">
      <c r="N60" t="str">
        <f>TEXT('All Trades'!B60,"yyyy-mm-dd")</f>
        <v>yyyy-05-06</v>
      </c>
      <c r="O60">
        <f>LOG10('All Trades'!X60/Assumptions!$B$11)</f>
        <v>-0.3347787561075124</v>
      </c>
      <c r="P60">
        <f>LOG10('All Trades'!AA60/Assumptions!$B$11)</f>
        <v>0.63567362051289777</v>
      </c>
    </row>
    <row r="61" spans="14:16">
      <c r="N61" t="str">
        <f>TEXT('All Trades'!B61,"yyyy-mm-dd")</f>
        <v>yyyy-05-13</v>
      </c>
      <c r="O61">
        <f>LOG10('All Trades'!X61/Assumptions!$B$11)</f>
        <v>-0.27078338705630578</v>
      </c>
      <c r="P61">
        <f>LOG10('All Trades'!AA61/Assumptions!$B$11)</f>
        <v>0.6996689895641045</v>
      </c>
    </row>
    <row r="62" spans="14:16">
      <c r="N62" t="str">
        <f>TEXT('All Trades'!B62,"yyyy-mm-dd")</f>
        <v>yyyy-05-20</v>
      </c>
      <c r="O62">
        <f>LOG10('All Trades'!X62/Assumptions!$B$11)</f>
        <v>-0.29153967160674821</v>
      </c>
      <c r="P62">
        <f>LOG10('All Trades'!AA62/Assumptions!$B$11)</f>
        <v>0.67891270501366219</v>
      </c>
    </row>
    <row r="63" spans="14:16">
      <c r="N63" t="str">
        <f>TEXT('All Trades'!B63,"yyyy-mm-dd")</f>
        <v>yyyy-05-28</v>
      </c>
      <c r="O63">
        <f>LOG10('All Trades'!X63/Assumptions!$B$11)</f>
        <v>-0.37719228264939281</v>
      </c>
      <c r="P63">
        <f>LOG10('All Trades'!AA63/Assumptions!$B$11)</f>
        <v>0.59326009397101753</v>
      </c>
    </row>
    <row r="64" spans="14:16">
      <c r="N64" t="str">
        <f>TEXT('All Trades'!B64,"yyyy-mm-dd")</f>
        <v>yyyy-06-03</v>
      </c>
      <c r="O64">
        <f>LOG10('All Trades'!X64/Assumptions!$B$11)</f>
        <v>-0.20781972644251409</v>
      </c>
      <c r="P64">
        <f>LOG10('All Trades'!AA64/Assumptions!$B$11)</f>
        <v>0.76263265017789617</v>
      </c>
    </row>
    <row r="65" spans="14:16">
      <c r="N65" t="str">
        <f>TEXT('All Trades'!B65,"yyyy-mm-dd")</f>
        <v>yyyy-06-10</v>
      </c>
      <c r="O65">
        <f>LOG10('All Trades'!X65/Assumptions!$B$11)</f>
        <v>-0.23219448167761927</v>
      </c>
      <c r="P65">
        <f>LOG10('All Trades'!AA65/Assumptions!$B$11)</f>
        <v>0.73825789494279104</v>
      </c>
    </row>
    <row r="66" spans="14:16">
      <c r="N66" t="str">
        <f>TEXT('All Trades'!B66,"yyyy-mm-dd")</f>
        <v>yyyy-06-17</v>
      </c>
      <c r="O66">
        <f>LOG10('All Trades'!X66/Assumptions!$B$11)</f>
        <v>-9.7640638815062908E-2</v>
      </c>
      <c r="P66">
        <f>LOG10('All Trades'!AA66/Assumptions!$B$11)</f>
        <v>0.87281173780534749</v>
      </c>
    </row>
    <row r="67" spans="14:16">
      <c r="N67" t="str">
        <f>TEXT('All Trades'!B67,"yyyy-mm-dd")</f>
        <v>yyyy-06-24</v>
      </c>
      <c r="O67">
        <f>LOG10('All Trades'!X67/Assumptions!$B$11)</f>
        <v>-0.18377170867264497</v>
      </c>
      <c r="P67">
        <f>LOG10('All Trades'!AA67/Assumptions!$B$11)</f>
        <v>0.78668066794776537</v>
      </c>
    </row>
    <row r="68" spans="14:16">
      <c r="N68" t="str">
        <f>TEXT('All Trades'!B68,"yyyy-mm-dd")</f>
        <v>yyyy-07-01</v>
      </c>
      <c r="O68">
        <f>LOG10('All Trades'!X68/Assumptions!$B$11)</f>
        <v>-0.20385929833792804</v>
      </c>
      <c r="P68">
        <f>LOG10('All Trades'!AA68/Assumptions!$B$11)</f>
        <v>0.76659307828248224</v>
      </c>
    </row>
    <row r="69" spans="14:16">
      <c r="N69" t="str">
        <f>TEXT('All Trades'!B69,"yyyy-mm-dd")</f>
        <v>yyyy-07-08</v>
      </c>
      <c r="O69">
        <f>LOG10('All Trades'!X69/Assumptions!$B$11)</f>
        <v>-0.11729447209965642</v>
      </c>
      <c r="P69">
        <f>LOG10('All Trades'!AA69/Assumptions!$B$11)</f>
        <v>0.85315790452075391</v>
      </c>
    </row>
    <row r="70" spans="14:16">
      <c r="N70" t="str">
        <f>TEXT('All Trades'!B70,"yyyy-mm-dd")</f>
        <v>yyyy-07-15</v>
      </c>
      <c r="O70">
        <f>LOG10('All Trades'!X70/Assumptions!$B$11)</f>
        <v>-0.13671439490459086</v>
      </c>
      <c r="P70">
        <f>LOG10('All Trades'!AA70/Assumptions!$B$11)</f>
        <v>0.83373798171581948</v>
      </c>
    </row>
    <row r="71" spans="14:16">
      <c r="N71" t="str">
        <f>TEXT('All Trades'!B71,"yyyy-mm-dd")</f>
        <v>yyyy-07-22</v>
      </c>
      <c r="O71">
        <f>LOG10('All Trades'!X71/Assumptions!$B$11)</f>
        <v>-5.0229989419091438E-2</v>
      </c>
      <c r="P71">
        <f>LOG10('All Trades'!AA71/Assumptions!$B$11)</f>
        <v>0.92022238720131899</v>
      </c>
    </row>
    <row r="72" spans="14:16">
      <c r="N72" t="str">
        <f>TEXT('All Trades'!B72,"yyyy-mm-dd")</f>
        <v>yyyy-07-29</v>
      </c>
      <c r="O72">
        <f>LOG10('All Trades'!X72/Assumptions!$B$11)</f>
        <v>-6.9444682599748411E-2</v>
      </c>
      <c r="P72">
        <f>LOG10('All Trades'!AA72/Assumptions!$B$11)</f>
        <v>0.90100769402066194</v>
      </c>
    </row>
    <row r="73" spans="14:16">
      <c r="N73" t="str">
        <f>TEXT('All Trades'!B73,"yyyy-mm-dd")</f>
        <v>yyyy-08-05</v>
      </c>
      <c r="O73">
        <f>LOG10('All Trades'!X73/Assumptions!$B$11)</f>
        <v>2.7261183699163152E-4</v>
      </c>
      <c r="P73">
        <f>LOG10('All Trades'!AA73/Assumptions!$B$11)</f>
        <v>0.97072498845740207</v>
      </c>
    </row>
    <row r="74" spans="14:16">
      <c r="N74" t="str">
        <f>TEXT('All Trades'!B74,"yyyy-mm-dd")</f>
        <v>yyyy-08-12</v>
      </c>
      <c r="O74">
        <f>LOG10('All Trades'!X74/Assumptions!$B$11)</f>
        <v>-9.8363891722884109E-2</v>
      </c>
      <c r="P74">
        <f>LOG10('All Trades'!AA74/Assumptions!$B$11)</f>
        <v>0.87208848489752633</v>
      </c>
    </row>
    <row r="75" spans="14:16">
      <c r="N75" t="str">
        <f>TEXT('All Trades'!B75,"yyyy-mm-dd")</f>
        <v>yyyy-08-19</v>
      </c>
      <c r="O75">
        <f>LOG10('All Trades'!X75/Assumptions!$B$11)</f>
        <v>-0.11834869657597134</v>
      </c>
      <c r="P75">
        <f>LOG10('All Trades'!AA75/Assumptions!$B$11)</f>
        <v>0.87208848489752633</v>
      </c>
    </row>
    <row r="76" spans="14:16">
      <c r="N76" t="str">
        <f>TEXT('All Trades'!B76,"yyyy-mm-dd")</f>
        <v>yyyy-08-26</v>
      </c>
      <c r="O76">
        <f>LOG10('All Trades'!X76/Assumptions!$B$11)</f>
        <v>-3.7816365092293025E-2</v>
      </c>
      <c r="P76">
        <f>LOG10('All Trades'!AA76/Assumptions!$B$11)</f>
        <v>0.95262081638120466</v>
      </c>
    </row>
    <row r="77" spans="14:16">
      <c r="N77" t="str">
        <f>TEXT('All Trades'!B77,"yyyy-mm-dd")</f>
        <v>yyyy-09-03</v>
      </c>
      <c r="O77">
        <f>LOG10('All Trades'!X77/Assumptions!$B$11)</f>
        <v>8.4728796584542396E-2</v>
      </c>
      <c r="P77">
        <f>LOG10('All Trades'!AA77/Assumptions!$B$11)</f>
        <v>1.07516597805804</v>
      </c>
    </row>
    <row r="78" spans="14:16">
      <c r="N78" t="str">
        <f>TEXT('All Trades'!B78,"yyyy-mm-dd")</f>
        <v>yyyy-09-09</v>
      </c>
      <c r="O78">
        <f>LOG10('All Trades'!X78/Assumptions!$B$11)</f>
        <v>6.4641206919259342E-2</v>
      </c>
      <c r="P78">
        <f>LOG10('All Trades'!AA78/Assumptions!$B$11)</f>
        <v>1.055078388392757</v>
      </c>
    </row>
    <row r="79" spans="14:16">
      <c r="N79" t="str">
        <f>TEXT('All Trades'!B79,"yyyy-mm-dd")</f>
        <v>yyyy-09-16</v>
      </c>
      <c r="O79">
        <f>LOG10('All Trades'!X79/Assumptions!$B$11)</f>
        <v>4.4553617253976212E-2</v>
      </c>
      <c r="P79">
        <f>LOG10('All Trades'!AA79/Assumptions!$B$11)</f>
        <v>1.034990798727474</v>
      </c>
    </row>
    <row r="80" spans="14:16">
      <c r="N80" t="str">
        <f>TEXT('All Trades'!B80,"yyyy-mm-dd")</f>
        <v>yyyy-09-23</v>
      </c>
      <c r="O80">
        <f>LOG10('All Trades'!X80/Assumptions!$B$11)</f>
        <v>8.3666997425071929E-2</v>
      </c>
      <c r="P80">
        <f>LOG10('All Trades'!AA80/Assumptions!$B$11)</f>
        <v>1.0741041788985697</v>
      </c>
    </row>
    <row r="81" spans="14:16">
      <c r="N81" t="str">
        <f>TEXT('All Trades'!B81,"yyyy-mm-dd")</f>
        <v>yyyy-09-30</v>
      </c>
      <c r="O81">
        <f>LOG10('All Trades'!X81/Assumptions!$B$11)</f>
        <v>0.11763729821066714</v>
      </c>
      <c r="P81">
        <f>LOG10('All Trades'!AA81/Assumptions!$B$11)</f>
        <v>1.1080744796841648</v>
      </c>
    </row>
    <row r="82" spans="14:16">
      <c r="N82" t="str">
        <f>TEXT('All Trades'!B82,"yyyy-mm-dd")</f>
        <v>yyyy-10-07</v>
      </c>
      <c r="O82">
        <f>LOG10('All Trades'!X82/Assumptions!$B$11)</f>
        <v>9.8986486939402929E-2</v>
      </c>
      <c r="P82">
        <f>LOG10('All Trades'!AA82/Assumptions!$B$11)</f>
        <v>1.0894236684129008</v>
      </c>
    </row>
    <row r="83" spans="14:16">
      <c r="N83" t="str">
        <f>TEXT('All Trades'!B83,"yyyy-mm-dd")</f>
        <v>yyyy-10-14</v>
      </c>
      <c r="O83">
        <f>LOG10('All Trades'!X83/Assumptions!$B$11)</f>
        <v>0.12197252503190872</v>
      </c>
      <c r="P83">
        <f>LOG10('All Trades'!AA83/Assumptions!$B$11)</f>
        <v>1.1124097065054066</v>
      </c>
    </row>
    <row r="84" spans="14:16">
      <c r="N84" t="str">
        <f>TEXT('All Trades'!B84,"yyyy-mm-dd")</f>
        <v>yyyy-10-21</v>
      </c>
      <c r="O84">
        <f>LOG10('All Trades'!X84/Assumptions!$B$11)</f>
        <v>0.10188493536662573</v>
      </c>
      <c r="P84">
        <f>LOG10('All Trades'!AA84/Assumptions!$B$11)</f>
        <v>1.0923221168401236</v>
      </c>
    </row>
    <row r="85" spans="14:16">
      <c r="N85" t="str">
        <f>TEXT('All Trades'!B85,"yyyy-mm-dd")</f>
        <v>yyyy-10-28</v>
      </c>
      <c r="O85">
        <f>LOG10('All Trades'!X85/Assumptions!$B$11)</f>
        <v>0.15572522373759004</v>
      </c>
      <c r="P85">
        <f>LOG10('All Trades'!AA85/Assumptions!$B$11)</f>
        <v>1.1461624052110877</v>
      </c>
    </row>
    <row r="86" spans="14:16">
      <c r="N86" t="str">
        <f>TEXT('All Trades'!B86,"yyyy-mm-dd")</f>
        <v>yyyy-11-04</v>
      </c>
      <c r="O86">
        <f>LOG10('All Trades'!X86/Assumptions!$B$11)</f>
        <v>0.13553482492819122</v>
      </c>
      <c r="P86">
        <f>LOG10('All Trades'!AA86/Assumptions!$B$11)</f>
        <v>1.1259720064016889</v>
      </c>
    </row>
    <row r="87" spans="14:16">
      <c r="N87" t="str">
        <f>TEXT('All Trades'!B87,"yyyy-mm-dd")</f>
        <v>yyyy-11-11</v>
      </c>
      <c r="O87">
        <f>LOG10('All Trades'!X87/Assumptions!$B$11)</f>
        <v>0.19188235519327723</v>
      </c>
      <c r="P87">
        <f>LOG10('All Trades'!AA87/Assumptions!$B$11)</f>
        <v>1.1823195366667749</v>
      </c>
    </row>
    <row r="88" spans="14:16">
      <c r="N88" t="str">
        <f>TEXT('All Trades'!B88,"yyyy-mm-dd")</f>
        <v>yyyy-11-18</v>
      </c>
      <c r="O88">
        <f>LOG10('All Trades'!X88/Assumptions!$B$11)</f>
        <v>0.14715725743883717</v>
      </c>
      <c r="P88">
        <f>LOG10('All Trades'!AA88/Assumptions!$B$11)</f>
        <v>1.1375944389123349</v>
      </c>
    </row>
    <row r="89" spans="14:16">
      <c r="N89" t="str">
        <f>TEXT('All Trades'!B89,"yyyy-mm-dd")</f>
        <v>yyyy-11-25</v>
      </c>
      <c r="O89">
        <f>LOG10('All Trades'!X89/Assumptions!$B$11)</f>
        <v>0.18266784292294364</v>
      </c>
      <c r="P89">
        <f>LOG10('All Trades'!AA89/Assumptions!$B$11)</f>
        <v>1.1731050243964414</v>
      </c>
    </row>
    <row r="90" spans="14:16">
      <c r="N90" t="str">
        <f>TEXT('All Trades'!B90,"yyyy-mm-dd")</f>
        <v>yyyy-12-02</v>
      </c>
      <c r="O90">
        <f>LOG10('All Trades'!X90/Assumptions!$B$11)</f>
        <v>0.10997043841541206</v>
      </c>
      <c r="P90">
        <f>LOG10('All Trades'!AA90/Assumptions!$B$11)</f>
        <v>1.1004076198889099</v>
      </c>
    </row>
    <row r="91" spans="14:16">
      <c r="N91" t="str">
        <f>TEXT('All Trades'!B91,"yyyy-mm-dd")</f>
        <v>yyyy-12-09</v>
      </c>
      <c r="O91">
        <f>LOG10('All Trades'!X91/Assumptions!$B$11)</f>
        <v>0.16821040528194806</v>
      </c>
      <c r="P91">
        <f>LOG10('All Trades'!AA91/Assumptions!$B$11)</f>
        <v>1.1586475867554458</v>
      </c>
    </row>
    <row r="92" spans="14:16">
      <c r="N92" t="str">
        <f>TEXT('All Trades'!B92,"yyyy-mm-dd")</f>
        <v>yyyy-12-16</v>
      </c>
      <c r="O92">
        <f>LOG10('All Trades'!X92/Assumptions!$B$11)</f>
        <v>0.24237711182981517</v>
      </c>
      <c r="P92">
        <f>LOG10('All Trades'!AA92/Assumptions!$B$11)</f>
        <v>1.2328142933033128</v>
      </c>
    </row>
    <row r="93" spans="14:16">
      <c r="N93" t="str">
        <f>TEXT('All Trades'!B93,"yyyy-mm-dd")</f>
        <v>yyyy-12-23</v>
      </c>
      <c r="O93">
        <f>LOG10('All Trades'!X93/Assumptions!$B$11)</f>
        <v>0.27684633805949327</v>
      </c>
      <c r="P93">
        <f>LOG10('All Trades'!AA93/Assumptions!$B$11)</f>
        <v>1.267283519532991</v>
      </c>
    </row>
    <row r="94" spans="14:16">
      <c r="N94" t="str">
        <f>TEXT('All Trades'!B94,"yyyy-mm-dd")</f>
        <v>yyyy-12-30</v>
      </c>
      <c r="O94">
        <f>LOG10('All Trades'!X94/Assumptions!$B$11)</f>
        <v>0.26997073460258697</v>
      </c>
      <c r="P94">
        <f>LOG10('All Trades'!AA94/Assumptions!$B$11)</f>
        <v>1.2604079160760848</v>
      </c>
    </row>
    <row r="95" spans="14:16">
      <c r="N95" t="str">
        <f>TEXT('All Trades'!B95,"yyyy-mm-dd")</f>
        <v>yyyy-01-06</v>
      </c>
      <c r="O95">
        <f>LOG10('All Trades'!X95/Assumptions!$B$11)</f>
        <v>0.33637344687831833</v>
      </c>
      <c r="P95">
        <f>LOG10('All Trades'!AA95/Assumptions!$B$11)</f>
        <v>1.3268106283518162</v>
      </c>
    </row>
    <row r="96" spans="14:16">
      <c r="N96" t="str">
        <f>TEXT('All Trades'!B96,"yyyy-mm-dd")</f>
        <v>yyyy-01-13</v>
      </c>
      <c r="O96">
        <f>LOG10('All Trades'!X96/Assumptions!$B$11)</f>
        <v>0.37138630250272986</v>
      </c>
      <c r="P96">
        <f>LOG10('All Trades'!AA96/Assumptions!$B$11)</f>
        <v>1.3618234839762278</v>
      </c>
    </row>
    <row r="97" spans="14:16">
      <c r="N97" t="str">
        <f>TEXT('All Trades'!B97,"yyyy-mm-dd")</f>
        <v>yyyy-01-21</v>
      </c>
      <c r="O97">
        <f>LOG10('All Trades'!X97/Assumptions!$B$11)</f>
        <v>0.35129871283744679</v>
      </c>
      <c r="P97">
        <f>LOG10('All Trades'!AA97/Assumptions!$B$11)</f>
        <v>1.3417358943109445</v>
      </c>
    </row>
    <row r="98" spans="14:16">
      <c r="N98" t="str">
        <f>TEXT('All Trades'!B98,"yyyy-mm-dd")</f>
        <v>yyyy-01-27</v>
      </c>
      <c r="O98">
        <f>LOG10('All Trades'!X98/Assumptions!$B$11)</f>
        <v>0.38240043668586099</v>
      </c>
      <c r="P98">
        <f>LOG10('All Trades'!AA98/Assumptions!$B$11)</f>
        <v>1.3728376181593589</v>
      </c>
    </row>
    <row r="99" spans="14:16">
      <c r="N99" t="str">
        <f>TEXT('All Trades'!B99,"yyyy-mm-dd")</f>
        <v>yyyy-02-03</v>
      </c>
      <c r="O99">
        <f>LOG10('All Trades'!X99/Assumptions!$B$11)</f>
        <v>0.42796866390675764</v>
      </c>
      <c r="P99">
        <f>LOG10('All Trades'!AA99/Assumptions!$B$11)</f>
        <v>1.4184058453802555</v>
      </c>
    </row>
    <row r="100" spans="14:16">
      <c r="N100" t="str">
        <f>TEXT('All Trades'!B100,"yyyy-mm-dd")</f>
        <v>yyyy-02-10</v>
      </c>
      <c r="O100">
        <f>LOG10('All Trades'!X100/Assumptions!$B$11)</f>
        <v>0.49643023367459571</v>
      </c>
      <c r="P100">
        <f>LOG10('All Trades'!AA100/Assumptions!$B$11)</f>
        <v>1.4868674151480936</v>
      </c>
    </row>
    <row r="101" spans="14:16">
      <c r="N101" t="str">
        <f>TEXT('All Trades'!B101,"yyyy-mm-dd")</f>
        <v>yyyy-02-18</v>
      </c>
      <c r="O101">
        <f>LOG10('All Trades'!X101/Assumptions!$B$11)</f>
        <v>0.53275405777293294</v>
      </c>
      <c r="P101">
        <f>LOG10('All Trades'!AA101/Assumptions!$B$11)</f>
        <v>1.5231912392464306</v>
      </c>
    </row>
    <row r="102" spans="14:16">
      <c r="N102" t="str">
        <f>TEXT('All Trades'!B102,"yyyy-mm-dd")</f>
        <v>yyyy-02-24</v>
      </c>
      <c r="O102">
        <f>LOG10('All Trades'!X102/Assumptions!$B$11)</f>
        <v>0.57472830797529195</v>
      </c>
      <c r="P102">
        <f>LOG10('All Trades'!AA102/Assumptions!$B$11)</f>
        <v>1.5651654894487899</v>
      </c>
    </row>
    <row r="103" spans="14:16">
      <c r="N103" t="str">
        <f>TEXT('All Trades'!B103,"yyyy-mm-dd")</f>
        <v>yyyy-03-02</v>
      </c>
      <c r="O103">
        <f>LOG10('All Trades'!X103/Assumptions!$B$11)</f>
        <v>0.72431902999619524</v>
      </c>
      <c r="P103">
        <f>LOG10('All Trades'!AA103/Assumptions!$B$11)</f>
        <v>1.5651654894487899</v>
      </c>
    </row>
    <row r="104" spans="14:16">
      <c r="N104" t="str">
        <f>TEXT('All Trades'!B104,"yyyy-mm-dd")</f>
        <v>yyyy-03-23</v>
      </c>
      <c r="O104">
        <f>LOG10('All Trades'!X104/Assumptions!$B$11)</f>
        <v>0.7716951560370392</v>
      </c>
      <c r="P104">
        <f>LOG10('All Trades'!AA104/Assumptions!$B$11)</f>
        <v>1.6125416154896337</v>
      </c>
    </row>
    <row r="105" spans="14:16">
      <c r="N105" t="str">
        <f>TEXT('All Trades'!B105,"yyyy-mm-dd")</f>
        <v>yyyy-03-30</v>
      </c>
      <c r="O105">
        <f>LOG10('All Trades'!X105/Assumptions!$B$11)</f>
        <v>0.88162349473244084</v>
      </c>
      <c r="P105">
        <f>LOG10('All Trades'!AA105/Assumptions!$B$11)</f>
        <v>1.6125416154896337</v>
      </c>
    </row>
    <row r="106" spans="14:16">
      <c r="N106" t="str">
        <f>TEXT('All Trades'!B106,"yyyy-mm-dd")</f>
        <v>yyyy-04-06</v>
      </c>
      <c r="O106">
        <f>LOG10('All Trades'!X106/Assumptions!$B$11)</f>
        <v>1.0006384091351854</v>
      </c>
      <c r="P106">
        <f>LOG10('All Trades'!AA106/Assumptions!$B$11)</f>
        <v>1.6125416154896337</v>
      </c>
    </row>
    <row r="107" spans="14:16">
      <c r="N107" t="str">
        <f>TEXT('All Trades'!B107,"yyyy-mm-dd")</f>
        <v>yyyy-04-13</v>
      </c>
      <c r="O107">
        <f>LOG10('All Trades'!X107/Assumptions!$B$11)</f>
        <v>1.0743083796798421</v>
      </c>
      <c r="P107">
        <f>LOG10('All Trades'!AA107/Assumptions!$B$11)</f>
        <v>1.6862115860342903</v>
      </c>
    </row>
    <row r="108" spans="14:16">
      <c r="N108" t="str">
        <f>TEXT('All Trades'!B108,"yyyy-mm-dd")</f>
        <v>yyyy-04-20</v>
      </c>
      <c r="O108">
        <f>LOG10('All Trades'!X108/Assumptions!$B$11)</f>
        <v>1.0143599406705148</v>
      </c>
      <c r="P108">
        <f>LOG10('All Trades'!AA108/Assumptions!$B$11)</f>
        <v>1.6262631470249633</v>
      </c>
    </row>
    <row r="109" spans="14:16">
      <c r="N109" t="str">
        <f>TEXT('All Trades'!B109,"yyyy-mm-dd")</f>
        <v>yyyy-04-27</v>
      </c>
      <c r="O109">
        <f>LOG10('All Trades'!X109/Assumptions!$B$11)</f>
        <v>0.99754945885415303</v>
      </c>
      <c r="P109">
        <f>LOG10('All Trades'!AA109/Assumptions!$B$11)</f>
        <v>1.6094526652086014</v>
      </c>
    </row>
    <row r="110" spans="14:16">
      <c r="N110" t="str">
        <f>TEXT('All Trades'!B110,"yyyy-mm-dd")</f>
        <v>yyyy-05-04</v>
      </c>
      <c r="O110">
        <f>LOG10('All Trades'!X110/Assumptions!$B$11)</f>
        <v>1.072666657589342</v>
      </c>
      <c r="P110">
        <f>LOG10('All Trades'!AA110/Assumptions!$B$11)</f>
        <v>1.6845698639437905</v>
      </c>
    </row>
    <row r="111" spans="14:16">
      <c r="N111" t="str">
        <f>TEXT('All Trades'!B111,"yyyy-mm-dd")</f>
        <v>yyyy-05-11</v>
      </c>
      <c r="O111">
        <f>LOG10('All Trades'!X111/Assumptions!$B$11)</f>
        <v>1.1413796629244206</v>
      </c>
      <c r="P111">
        <f>LOG10('All Trades'!AA111/Assumptions!$B$11)</f>
        <v>1.7532828692788689</v>
      </c>
    </row>
    <row r="112" spans="14:16">
      <c r="N112" t="str">
        <f>TEXT('All Trades'!B112,"yyyy-mm-dd")</f>
        <v>yyyy-05-18</v>
      </c>
      <c r="O112">
        <f>LOG10('All Trades'!X112/Assumptions!$B$11)</f>
        <v>1.1751229897993936</v>
      </c>
      <c r="P112">
        <f>LOG10('All Trades'!AA112/Assumptions!$B$11)</f>
        <v>1.7870261961538418</v>
      </c>
    </row>
    <row r="113" spans="14:16">
      <c r="N113" t="str">
        <f>TEXT('All Trades'!B113,"yyyy-mm-dd")</f>
        <v>yyyy-05-26</v>
      </c>
      <c r="O113">
        <f>LOG10('All Trades'!X113/Assumptions!$B$11)</f>
        <v>1.1036422501930914</v>
      </c>
      <c r="P113">
        <f>LOG10('All Trades'!AA113/Assumptions!$B$11)</f>
        <v>1.7155454565475399</v>
      </c>
    </row>
    <row r="114" spans="14:16">
      <c r="N114" t="str">
        <f>TEXT('All Trades'!B114,"yyyy-mm-dd")</f>
        <v>yyyy-06-01</v>
      </c>
      <c r="O114">
        <f>LOG10('All Trades'!X114/Assumptions!$B$11)</f>
        <v>1.1400563402072141</v>
      </c>
      <c r="P114">
        <f>LOG10('All Trades'!AA114/Assumptions!$B$11)</f>
        <v>1.7519595465616624</v>
      </c>
    </row>
    <row r="115" spans="14:16">
      <c r="N115" t="str">
        <f>TEXT('All Trades'!B115,"yyyy-mm-dd")</f>
        <v>yyyy-06-08</v>
      </c>
      <c r="O115">
        <f>LOG10('All Trades'!X115/Assumptions!$B$11)</f>
        <v>1.1796627755390565</v>
      </c>
      <c r="P115">
        <f>LOG10('All Trades'!AA115/Assumptions!$B$11)</f>
        <v>1.7915659818935048</v>
      </c>
    </row>
    <row r="116" spans="14:16">
      <c r="N116" t="str">
        <f>TEXT('All Trades'!B116,"yyyy-mm-dd")</f>
        <v>yyyy-06-15</v>
      </c>
      <c r="O116">
        <f>LOG10('All Trades'!X116/Assumptions!$B$11)</f>
        <v>1.2975942934525675</v>
      </c>
      <c r="P116">
        <f>LOG10('All Trades'!AA116/Assumptions!$B$11)</f>
        <v>1.9094974998070158</v>
      </c>
    </row>
    <row r="117" spans="14:16">
      <c r="N117" t="str">
        <f>TEXT('All Trades'!B117,"yyyy-mm-dd")</f>
        <v>yyyy-06-22</v>
      </c>
      <c r="O117">
        <f>LOG10('All Trades'!X117/Assumptions!$B$11)</f>
        <v>1.35587717454971</v>
      </c>
      <c r="P117">
        <f>LOG10('All Trades'!AA117/Assumptions!$B$11)</f>
        <v>1.9677803809041583</v>
      </c>
    </row>
    <row r="118" spans="14:16">
      <c r="N118" t="str">
        <f>TEXT('All Trades'!B118,"yyyy-mm-dd")</f>
        <v>yyyy-06-29</v>
      </c>
      <c r="O118">
        <f>LOG10('All Trades'!X118/Assumptions!$B$11)</f>
        <v>1.413859566943694</v>
      </c>
      <c r="P118">
        <f>LOG10('All Trades'!AA118/Assumptions!$B$11)</f>
        <v>2.0257627732981422</v>
      </c>
    </row>
    <row r="119" spans="14:16">
      <c r="N119" t="str">
        <f>TEXT('All Trades'!B119,"yyyy-mm-dd")</f>
        <v>yyyy-07-06</v>
      </c>
      <c r="O119">
        <f>LOG10('All Trades'!X119/Assumptions!$B$11)</f>
        <v>1.4678732340239327</v>
      </c>
      <c r="P119">
        <f>LOG10('All Trades'!AA119/Assumptions!$B$11)</f>
        <v>2.0797764403783807</v>
      </c>
    </row>
    <row r="120" spans="14:16">
      <c r="N120" t="str">
        <f>TEXT('All Trades'!B120,"yyyy-mm-dd")</f>
        <v>yyyy-07-13</v>
      </c>
      <c r="O120">
        <f>LOG10('All Trades'!X120/Assumptions!$B$11)</f>
        <v>1.3392143672496912</v>
      </c>
      <c r="P120">
        <f>LOG10('All Trades'!AA120/Assumptions!$B$11)</f>
        <v>1.9511175736041395</v>
      </c>
    </row>
    <row r="121" spans="14:16">
      <c r="N121" t="str">
        <f>TEXT('All Trades'!B121,"yyyy-mm-dd")</f>
        <v>yyyy-07-20</v>
      </c>
      <c r="O121">
        <f>LOG10('All Trades'!X121/Assumptions!$B$11)</f>
        <v>1.4517637379961099</v>
      </c>
      <c r="P121">
        <f>LOG10('All Trades'!AA121/Assumptions!$B$11)</f>
        <v>2.0636669443505582</v>
      </c>
    </row>
    <row r="122" spans="14:16">
      <c r="N122" t="str">
        <f>TEXT('All Trades'!B122,"yyyy-mm-dd")</f>
        <v>yyyy-07-27</v>
      </c>
      <c r="O122">
        <f>LOG10('All Trades'!X122/Assumptions!$B$11)</f>
        <v>1.502383971894345</v>
      </c>
      <c r="P122">
        <f>LOG10('All Trades'!AA122/Assumptions!$B$11)</f>
        <v>2.1142871782487935</v>
      </c>
    </row>
    <row r="123" spans="14:16">
      <c r="N123" t="str">
        <f>TEXT('All Trades'!B123,"yyyy-mm-dd")</f>
        <v>yyyy-08-03</v>
      </c>
      <c r="O123">
        <f>LOG10('All Trades'!X123/Assumptions!$B$11)</f>
        <v>1.5586452860685751</v>
      </c>
      <c r="P123">
        <f>LOG10('All Trades'!AA123/Assumptions!$B$11)</f>
        <v>2.1705484924230234</v>
      </c>
    </row>
    <row r="124" spans="14:16">
      <c r="N124" t="str">
        <f>TEXT('All Trades'!B124,"yyyy-mm-dd")</f>
        <v>yyyy-08-10</v>
      </c>
      <c r="O124">
        <f>LOG10('All Trades'!X124/Assumptions!$B$11)</f>
        <v>1.5385576964032921</v>
      </c>
      <c r="P124">
        <f>LOG10('All Trades'!AA124/Assumptions!$B$11)</f>
        <v>2.1504609027577404</v>
      </c>
    </row>
    <row r="125" spans="14:16">
      <c r="N125" t="str">
        <f>TEXT('All Trades'!B125,"yyyy-mm-dd")</f>
        <v>yyyy-08-17</v>
      </c>
      <c r="O125">
        <f>LOG10('All Trades'!X125/Assumptions!$B$11)</f>
        <v>1.6623962756857831</v>
      </c>
      <c r="P125">
        <f>LOG10('All Trades'!AA125/Assumptions!$B$11)</f>
        <v>2.2742994820402314</v>
      </c>
    </row>
    <row r="126" spans="14:16">
      <c r="N126" t="str">
        <f>TEXT('All Trades'!B126,"yyyy-mm-dd")</f>
        <v>yyyy-08-24</v>
      </c>
      <c r="O126">
        <f>LOG10('All Trades'!X126/Assumptions!$B$11)</f>
        <v>1.773997823487085</v>
      </c>
      <c r="P126">
        <f>LOG10('All Trades'!AA126/Assumptions!$B$11)</f>
        <v>2.3859010298415333</v>
      </c>
    </row>
    <row r="127" spans="14:16">
      <c r="N127" t="str">
        <f>TEXT('All Trades'!B127,"yyyy-mm-dd")</f>
        <v>yyyy-08-31</v>
      </c>
      <c r="O127">
        <f>LOG10('All Trades'!X127/Assumptions!$B$11)</f>
        <v>1.8081949796226269</v>
      </c>
      <c r="P127">
        <f>LOG10('All Trades'!AA127/Assumptions!$B$11)</f>
        <v>2.4200981859770754</v>
      </c>
    </row>
    <row r="128" spans="14:16">
      <c r="N128" t="str">
        <f>TEXT('All Trades'!B128,"yyyy-mm-dd")</f>
        <v>yyyy-09-08</v>
      </c>
      <c r="O128">
        <f>LOG10('All Trades'!X128/Assumptions!$B$11)</f>
        <v>1.7881073899573439</v>
      </c>
      <c r="P128">
        <f>LOG10('All Trades'!AA128/Assumptions!$B$11)</f>
        <v>2.4000105963117924</v>
      </c>
    </row>
    <row r="129" spans="14:16">
      <c r="N129" t="str">
        <f>TEXT('All Trades'!B129,"yyyy-mm-dd")</f>
        <v>yyyy-09-14</v>
      </c>
      <c r="O129">
        <f>LOG10('All Trades'!X129/Assumptions!$B$11)</f>
        <v>1.7679683987622128</v>
      </c>
      <c r="P129">
        <f>LOG10('All Trades'!AA129/Assumptions!$B$11)</f>
        <v>2.4000105963117924</v>
      </c>
    </row>
    <row r="130" spans="14:16">
      <c r="N130" t="str">
        <f>TEXT('All Trades'!B130,"yyyy-mm-dd")</f>
        <v>yyyy-09-21</v>
      </c>
      <c r="O130">
        <f>LOG10('All Trades'!X130/Assumptions!$B$11)</f>
        <v>1.8554168718045387</v>
      </c>
      <c r="P130">
        <f>LOG10('All Trades'!AA130/Assumptions!$B$11)</f>
        <v>2.4874590693541183</v>
      </c>
    </row>
    <row r="131" spans="14:16">
      <c r="N131" t="str">
        <f>TEXT('All Trades'!B131,"yyyy-mm-dd")</f>
        <v>yyyy-09-28</v>
      </c>
      <c r="O131">
        <f>LOG10('All Trades'!X131/Assumptions!$B$11)</f>
        <v>1.8353292821392557</v>
      </c>
      <c r="P131">
        <f>LOG10('All Trades'!AA131/Assumptions!$B$11)</f>
        <v>2.4874590693541183</v>
      </c>
    </row>
    <row r="132" spans="14:16">
      <c r="N132" t="str">
        <f>TEXT('All Trades'!B132,"yyyy-mm-dd")</f>
        <v>yyyy-10-05</v>
      </c>
      <c r="O132">
        <f>LOG10('All Trades'!X132/Assumptions!$B$11)</f>
        <v>1.8967761063135666</v>
      </c>
      <c r="P132">
        <f>LOG10('All Trades'!AA132/Assumptions!$B$11)</f>
        <v>2.548905893528429</v>
      </c>
    </row>
    <row r="133" spans="14:16">
      <c r="N133" t="str">
        <f>TEXT('All Trades'!B133,"yyyy-mm-dd")</f>
        <v>yyyy-10-12</v>
      </c>
      <c r="O133">
        <f>LOG10('All Trades'!X133/Assumptions!$B$11)</f>
        <v>1.9566865939006666</v>
      </c>
      <c r="P133">
        <f>LOG10('All Trades'!AA133/Assumptions!$B$11)</f>
        <v>2.6088163811155289</v>
      </c>
    </row>
    <row r="134" spans="14:16">
      <c r="N134" t="str">
        <f>TEXT('All Trades'!B134,"yyyy-mm-dd")</f>
        <v>yyyy-10-19</v>
      </c>
      <c r="O134">
        <f>LOG10('All Trades'!X134/Assumptions!$B$11)</f>
        <v>1.8495922354261833</v>
      </c>
      <c r="P134">
        <f>LOG10('All Trades'!AA134/Assumptions!$B$11)</f>
        <v>2.5017220226410459</v>
      </c>
    </row>
    <row r="135" spans="14:16">
      <c r="N135" t="str">
        <f>TEXT('All Trades'!B135,"yyyy-mm-dd")</f>
        <v>yyyy-10-26</v>
      </c>
      <c r="O135">
        <f>LOG10('All Trades'!X135/Assumptions!$B$11)</f>
        <v>1.6422871247237043</v>
      </c>
      <c r="P135">
        <f>LOG10('All Trades'!AA135/Assumptions!$B$11)</f>
        <v>2.2944169119385669</v>
      </c>
    </row>
    <row r="136" spans="14:16">
      <c r="N136" t="str">
        <f>TEXT('All Trades'!B136,"yyyy-mm-dd")</f>
        <v>yyyy-11-02</v>
      </c>
      <c r="O136">
        <f>LOG10('All Trades'!X136/Assumptions!$B$11)</f>
        <v>1.8550096741412769</v>
      </c>
      <c r="P136">
        <f>LOG10('All Trades'!AA136/Assumptions!$B$11)</f>
        <v>2.2944169119385669</v>
      </c>
    </row>
    <row r="137" spans="14:16">
      <c r="N137" t="str">
        <f>TEXT('All Trades'!B137,"yyyy-mm-dd")</f>
        <v>yyyy-11-09</v>
      </c>
      <c r="O137">
        <f>LOG10('All Trades'!X137/Assumptions!$B$11)</f>
        <v>1.7204370273850196</v>
      </c>
      <c r="P137">
        <f>LOG10('All Trades'!AA137/Assumptions!$B$11)</f>
        <v>2.2944169119385669</v>
      </c>
    </row>
    <row r="138" spans="14:16">
      <c r="N138" t="str">
        <f>TEXT('All Trades'!B138,"yyyy-mm-dd")</f>
        <v>yyyy-11-16</v>
      </c>
      <c r="O138">
        <f>LOG10('All Trades'!X138/Assumptions!$B$11)</f>
        <v>1.7604016970258609</v>
      </c>
      <c r="P138">
        <f>LOG10('All Trades'!AA138/Assumptions!$B$11)</f>
        <v>2.3343815815794082</v>
      </c>
    </row>
    <row r="139" spans="14:16">
      <c r="N139" t="str">
        <f>TEXT('All Trades'!B139,"yyyy-mm-dd")</f>
        <v>yyyy-11-23</v>
      </c>
      <c r="O139">
        <f>LOG10('All Trades'!X139/Assumptions!$B$11)</f>
        <v>1.8765340468167029</v>
      </c>
      <c r="P139">
        <f>LOG10('All Trades'!AA139/Assumptions!$B$11)</f>
        <v>2.4505139313702502</v>
      </c>
    </row>
    <row r="140" spans="14:16">
      <c r="N140" t="str">
        <f>TEXT('All Trades'!B140,"yyyy-mm-dd")</f>
        <v>yyyy-11-30</v>
      </c>
      <c r="O140">
        <f>LOG10('All Trades'!X140/Assumptions!$B$11)</f>
        <v>1.9689297260985505</v>
      </c>
      <c r="P140">
        <f>LOG10('All Trades'!AA140/Assumptions!$B$11)</f>
        <v>2.5429096106520976</v>
      </c>
    </row>
    <row r="141" spans="14:16">
      <c r="N141" t="str">
        <f>TEXT('All Trades'!B141,"yyyy-mm-dd")</f>
        <v>yyyy-12-07</v>
      </c>
      <c r="O141">
        <f>LOG10('All Trades'!X141/Assumptions!$B$11)</f>
        <v>1.8882693628859639</v>
      </c>
      <c r="P141">
        <f>LOG10('All Trades'!AA141/Assumptions!$B$11)</f>
        <v>2.462249247439511</v>
      </c>
    </row>
    <row r="142" spans="14:16">
      <c r="N142" t="str">
        <f>TEXT('All Trades'!B142,"yyyy-mm-dd")</f>
        <v>yyyy-12-14</v>
      </c>
      <c r="O142">
        <f>LOG10('All Trades'!X142/Assumptions!$B$11)</f>
        <v>1.9934858312249955</v>
      </c>
      <c r="P142">
        <f>LOG10('All Trades'!AA142/Assumptions!$B$11)</f>
        <v>2.567465715778543</v>
      </c>
    </row>
    <row r="143" spans="14:16">
      <c r="N143" t="str">
        <f>TEXT('All Trades'!B143,"yyyy-mm-dd")</f>
        <v>yyyy-12-21</v>
      </c>
      <c r="O143">
        <f>LOG10('All Trades'!X143/Assumptions!$B$11)</f>
        <v>2.028770246575907</v>
      </c>
      <c r="P143">
        <f>LOG10('All Trades'!AA143/Assumptions!$B$11)</f>
        <v>2.6027501311294543</v>
      </c>
    </row>
    <row r="144" spans="14:16">
      <c r="N144" t="str">
        <f>TEXT('All Trades'!B144,"yyyy-mm-dd")</f>
        <v>yyyy-12-28</v>
      </c>
      <c r="O144">
        <f>LOG10('All Trades'!X144/Assumptions!$B$11)</f>
        <v>2.0569843200753075</v>
      </c>
      <c r="P144">
        <f>LOG10('All Trades'!AA144/Assumptions!$B$11)</f>
        <v>2.6309642046288548</v>
      </c>
    </row>
    <row r="145" spans="14:16">
      <c r="N145" t="str">
        <f>TEXT('All Trades'!B145,"yyyy-mm-dd")</f>
        <v>yyyy-01-04</v>
      </c>
      <c r="O145">
        <f>LOG10('All Trades'!X145/Assumptions!$B$11)</f>
        <v>1.9412641134772934</v>
      </c>
      <c r="P145">
        <f>LOG10('All Trades'!AA145/Assumptions!$B$11)</f>
        <v>2.515243998030841</v>
      </c>
    </row>
    <row r="146" spans="14:16">
      <c r="N146" t="str">
        <f>TEXT('All Trades'!B146,"yyyy-mm-dd")</f>
        <v>yyyy-01-11</v>
      </c>
      <c r="O146">
        <f>LOG10('All Trades'!X146/Assumptions!$B$11)</f>
        <v>1.9220494202966365</v>
      </c>
      <c r="P146">
        <f>LOG10('All Trades'!AA146/Assumptions!$B$11)</f>
        <v>2.4960293048501838</v>
      </c>
    </row>
    <row r="147" spans="14:16">
      <c r="N147" t="str">
        <f>TEXT('All Trades'!B147,"yyyy-mm-dd")</f>
        <v>yyyy-01-19</v>
      </c>
      <c r="O147">
        <f>LOG10('All Trades'!X147/Assumptions!$B$11)</f>
        <v>1.9703486368694019</v>
      </c>
      <c r="P147">
        <f>LOG10('All Trades'!AA147/Assumptions!$B$11)</f>
        <v>2.4960293048501838</v>
      </c>
    </row>
    <row r="148" spans="14:16">
      <c r="N148" t="str">
        <f>TEXT('All Trades'!B148,"yyyy-mm-dd")</f>
        <v>yyyy-01-25</v>
      </c>
      <c r="O148">
        <f>LOG10('All Trades'!X148/Assumptions!$B$11)</f>
        <v>1.75994767925824</v>
      </c>
      <c r="P148">
        <f>LOG10('All Trades'!AA148/Assumptions!$B$11)</f>
        <v>2.285628347239022</v>
      </c>
    </row>
    <row r="149" spans="14:16">
      <c r="N149" t="str">
        <f>TEXT('All Trades'!B149,"yyyy-mm-dd")</f>
        <v>yyyy-02-01</v>
      </c>
      <c r="O149">
        <f>LOG10('All Trades'!X149/Assumptions!$B$11)</f>
        <v>1.8203281799042799</v>
      </c>
      <c r="P149">
        <f>LOG10('All Trades'!AA149/Assumptions!$B$11)</f>
        <v>2.285628347239022</v>
      </c>
    </row>
    <row r="150" spans="14:16">
      <c r="N150" t="str">
        <f>TEXT('All Trades'!B150,"yyyy-mm-dd")</f>
        <v>yyyy-02-08</v>
      </c>
      <c r="O150">
        <f>LOG10('All Trades'!X150/Assumptions!$B$11)</f>
        <v>1.8690662747493321</v>
      </c>
      <c r="P150">
        <f>LOG10('All Trades'!AA150/Assumptions!$B$11)</f>
        <v>2.285628347239022</v>
      </c>
    </row>
    <row r="151" spans="14:16">
      <c r="N151" t="str">
        <f>TEXT('All Trades'!B151,"yyyy-mm-dd")</f>
        <v>yyyy-02-16</v>
      </c>
      <c r="O151">
        <f>LOG10('All Trades'!X151/Assumptions!$B$11)</f>
        <v>1.8173770127915194</v>
      </c>
      <c r="P151">
        <f>LOG10('All Trades'!AA151/Assumptions!$B$11)</f>
        <v>2.2339390852812091</v>
      </c>
    </row>
    <row r="152" spans="14:16">
      <c r="N152" t="str">
        <f>TEXT('All Trades'!B152,"yyyy-mm-dd")</f>
        <v>yyyy-02-22</v>
      </c>
      <c r="O152">
        <f>LOG10('All Trades'!X152/Assumptions!$B$11)</f>
        <v>1.7835567739769354</v>
      </c>
      <c r="P152">
        <f>LOG10('All Trades'!AA152/Assumptions!$B$11)</f>
        <v>2.200118846466625</v>
      </c>
    </row>
    <row r="153" spans="14:16">
      <c r="N153" t="str">
        <f>TEXT('All Trades'!B153,"yyyy-mm-dd")</f>
        <v>yyyy-03-01</v>
      </c>
      <c r="O153">
        <f>LOG10('All Trades'!X153/Assumptions!$B$11)</f>
        <v>1.8437236953795653</v>
      </c>
      <c r="P153">
        <f>LOG10('All Trades'!AA153/Assumptions!$B$11)</f>
        <v>2.200118846466625</v>
      </c>
    </row>
    <row r="154" spans="14:16">
      <c r="N154" t="str">
        <f>TEXT('All Trades'!B154,"yyyy-mm-dd")</f>
        <v>yyyy-03-08</v>
      </c>
      <c r="O154">
        <f>LOG10('All Trades'!X154/Assumptions!$B$11)</f>
        <v>1.9456926700913315</v>
      </c>
      <c r="P154">
        <f>LOG10('All Trades'!AA154/Assumptions!$B$11)</f>
        <v>2.3020878211783917</v>
      </c>
    </row>
    <row r="155" spans="14:16">
      <c r="N155" t="str">
        <f>TEXT('All Trades'!B155,"yyyy-mm-dd")</f>
        <v>yyyy-03-15</v>
      </c>
      <c r="O155">
        <f>LOG10('All Trades'!X155/Assumptions!$B$11)</f>
        <v>1.9929807803340378</v>
      </c>
      <c r="P155">
        <f>LOG10('All Trades'!AA155/Assumptions!$B$11)</f>
        <v>2.3493759314210978</v>
      </c>
    </row>
    <row r="156" spans="14:16">
      <c r="N156" t="str">
        <f>TEXT('All Trades'!B156,"yyyy-mm-dd")</f>
        <v>yyyy-03-22</v>
      </c>
      <c r="O156">
        <f>LOG10('All Trades'!X156/Assumptions!$B$11)</f>
        <v>2.0448222226941719</v>
      </c>
      <c r="P156">
        <f>LOG10('All Trades'!AA156/Assumptions!$B$11)</f>
        <v>2.4012173737812321</v>
      </c>
    </row>
    <row r="157" spans="14:16">
      <c r="N157" t="str">
        <f>TEXT('All Trades'!B157,"yyyy-mm-dd")</f>
        <v>yyyy-03-29</v>
      </c>
      <c r="O157">
        <f>LOG10('All Trades'!X157/Assumptions!$B$11)</f>
        <v>2.1678482464084254</v>
      </c>
      <c r="P157">
        <f>LOG10('All Trades'!AA157/Assumptions!$B$11)</f>
        <v>2.5242433974954857</v>
      </c>
    </row>
    <row r="158" spans="14:16">
      <c r="N158" t="str">
        <f>TEXT('All Trades'!B158,"yyyy-mm-dd")</f>
        <v>yyyy-04-05</v>
      </c>
      <c r="O158">
        <f>LOG10('All Trades'!X158/Assumptions!$B$11)</f>
        <v>2.2247127140997685</v>
      </c>
      <c r="P158">
        <f>LOG10('All Trades'!AA158/Assumptions!$B$11)</f>
        <v>2.5811078651868282</v>
      </c>
    </row>
    <row r="159" spans="14:16">
      <c r="N159" t="str">
        <f>TEXT('All Trades'!B159,"yyyy-mm-dd")</f>
        <v>yyyy-04-12</v>
      </c>
      <c r="O159">
        <f>LOG10('All Trades'!X159/Assumptions!$B$11)</f>
        <v>2.3034884293537941</v>
      </c>
      <c r="P159">
        <f>LOG10('All Trades'!AA159/Assumptions!$B$11)</f>
        <v>2.6598835804408543</v>
      </c>
    </row>
    <row r="160" spans="14:16">
      <c r="N160" t="str">
        <f>TEXT('All Trades'!B160,"yyyy-mm-dd")</f>
        <v>yyyy-04-19</v>
      </c>
      <c r="O160">
        <f>LOG10('All Trades'!X160/Assumptions!$B$11)</f>
        <v>2.283400839688511</v>
      </c>
      <c r="P160">
        <f>LOG10('All Trades'!AA160/Assumptions!$B$11)</f>
        <v>2.6397959907755713</v>
      </c>
    </row>
    <row r="161" spans="14:16">
      <c r="N161" t="str">
        <f>TEXT('All Trades'!B161,"yyyy-mm-dd")</f>
        <v>yyyy-04-26</v>
      </c>
      <c r="O161">
        <f>LOG10('All Trades'!X161/Assumptions!$B$11)</f>
        <v>2.263313250023228</v>
      </c>
      <c r="P161">
        <f>LOG10('All Trades'!AA161/Assumptions!$B$11)</f>
        <v>2.6197084011102878</v>
      </c>
    </row>
    <row r="162" spans="14:16">
      <c r="N162" t="str">
        <f>TEXT('All Trades'!B162,"yyyy-mm-dd")</f>
        <v>yyyy-05-03</v>
      </c>
      <c r="O162">
        <f>LOG10('All Trades'!X162/Assumptions!$B$11)</f>
        <v>2.0783614206996983</v>
      </c>
      <c r="P162">
        <f>LOG10('All Trades'!AA162/Assumptions!$B$11)</f>
        <v>2.4347565717867585</v>
      </c>
    </row>
    <row r="163" spans="14:16">
      <c r="N163" t="str">
        <f>TEXT('All Trades'!B163,"yyyy-mm-dd")</f>
        <v>yyyy-05-10</v>
      </c>
      <c r="O163">
        <f>LOG10('All Trades'!X163/Assumptions!$B$11)</f>
        <v>1.7123143997381358</v>
      </c>
      <c r="P163">
        <f>LOG10('All Trades'!AA163/Assumptions!$B$11)</f>
        <v>2.4347565717867585</v>
      </c>
    </row>
    <row r="164" spans="14:16">
      <c r="N164" t="str">
        <f>TEXT('All Trades'!B164,"yyyy-mm-dd")</f>
        <v>yyyy-05-17</v>
      </c>
      <c r="O164">
        <f>LOG10('All Trades'!X164/Assumptions!$B$11)</f>
        <v>1.6763669715957095</v>
      </c>
      <c r="P164">
        <f>LOG10('All Trades'!AA164/Assumptions!$B$11)</f>
        <v>2.4347565717867585</v>
      </c>
    </row>
    <row r="165" spans="14:16">
      <c r="N165" t="str">
        <f>TEXT('All Trades'!B165,"yyyy-mm-dd")</f>
        <v>yyyy-05-24</v>
      </c>
      <c r="O165">
        <f>LOG10('All Trades'!X165/Assumptions!$B$11)</f>
        <v>1.7200309892616312</v>
      </c>
      <c r="P165">
        <f>LOG10('All Trades'!AA165/Assumptions!$B$11)</f>
        <v>2.4784205894526798</v>
      </c>
    </row>
    <row r="166" spans="14:16">
      <c r="N166" t="str">
        <f>TEXT('All Trades'!B166,"yyyy-mm-dd")</f>
        <v>yyyy-06-01</v>
      </c>
      <c r="O166">
        <f>LOG10('All Trades'!X166/Assumptions!$B$11)</f>
        <v>1.6939398702148254</v>
      </c>
      <c r="P166">
        <f>LOG10('All Trades'!AA166/Assumptions!$B$11)</f>
        <v>2.452329470405874</v>
      </c>
    </row>
    <row r="167" spans="14:16">
      <c r="N167" t="str">
        <f>TEXT('All Trades'!B167,"yyyy-mm-dd")</f>
        <v>yyyy-06-07</v>
      </c>
      <c r="O167">
        <f>LOG10('All Trades'!X167/Assumptions!$B$11)</f>
        <v>1.7759374125036524</v>
      </c>
      <c r="P167">
        <f>LOG10('All Trades'!AA167/Assumptions!$B$11)</f>
        <v>2.5343270126947015</v>
      </c>
    </row>
    <row r="168" spans="14:16">
      <c r="N168" t="str">
        <f>TEXT('All Trades'!B168,"yyyy-mm-dd")</f>
        <v>yyyy-06-14</v>
      </c>
      <c r="O168">
        <f>LOG10('All Trades'!X168/Assumptions!$B$11)</f>
        <v>1.8145122751367562</v>
      </c>
      <c r="P168">
        <f>LOG10('All Trades'!AA168/Assumptions!$B$11)</f>
        <v>2.5729018753278052</v>
      </c>
    </row>
    <row r="169" spans="14:16">
      <c r="N169" t="str">
        <f>TEXT('All Trades'!B169,"yyyy-mm-dd")</f>
        <v>yyyy-06-21</v>
      </c>
      <c r="O169">
        <f>LOG10('All Trades'!X169/Assumptions!$B$11)</f>
        <v>1.9053978551299748</v>
      </c>
      <c r="P169">
        <f>LOG10('All Trades'!AA169/Assumptions!$B$11)</f>
        <v>2.6637874553210237</v>
      </c>
    </row>
    <row r="170" spans="14:16">
      <c r="N170" t="str">
        <f>TEXT('All Trades'!B170,"yyyy-mm-dd")</f>
        <v>yyyy-06-28</v>
      </c>
      <c r="O170">
        <f>LOG10('All Trades'!X170/Assumptions!$B$11)</f>
        <v>1.9421728213109917</v>
      </c>
      <c r="P170">
        <f>LOG10('All Trades'!AA170/Assumptions!$B$11)</f>
        <v>2.7005624215020405</v>
      </c>
    </row>
    <row r="171" spans="14:16">
      <c r="N171" t="str">
        <f>TEXT('All Trades'!B171,"yyyy-mm-dd")</f>
        <v>yyyy-07-06</v>
      </c>
      <c r="O171">
        <f>LOG10('All Trades'!X171/Assumptions!$B$11)</f>
        <v>1.9194559658590307</v>
      </c>
      <c r="P171">
        <f>LOG10('All Trades'!AA171/Assumptions!$B$11)</f>
        <v>2.6778455660500797</v>
      </c>
    </row>
    <row r="172" spans="14:16">
      <c r="N172" t="str">
        <f>TEXT('All Trades'!B172,"yyyy-mm-dd")</f>
        <v>yyyy-07-12</v>
      </c>
      <c r="O172">
        <f>LOG10('All Trades'!X172/Assumptions!$B$11)</f>
        <v>1.8993683761937477</v>
      </c>
      <c r="P172">
        <f>LOG10('All Trades'!AA172/Assumptions!$B$11)</f>
        <v>2.6577579763847963</v>
      </c>
    </row>
    <row r="173" spans="14:16">
      <c r="N173" t="str">
        <f>TEXT('All Trades'!B173,"yyyy-mm-dd")</f>
        <v>yyyy-07-19</v>
      </c>
      <c r="O173">
        <f>LOG10('All Trades'!X173/Assumptions!$B$11)</f>
        <v>2.0594041981440565</v>
      </c>
      <c r="P173">
        <f>LOG10('All Trades'!AA173/Assumptions!$B$11)</f>
        <v>2.8177937983351056</v>
      </c>
    </row>
    <row r="174" spans="14:16">
      <c r="N174" t="str">
        <f>TEXT('All Trades'!B174,"yyyy-mm-dd")</f>
        <v>yyyy-07-26</v>
      </c>
      <c r="O174">
        <f>LOG10('All Trades'!X174/Assumptions!$B$11)</f>
        <v>2.0402407972194485</v>
      </c>
      <c r="P174">
        <f>LOG10('All Trades'!AA174/Assumptions!$B$11)</f>
        <v>2.7986303974104976</v>
      </c>
    </row>
    <row r="175" spans="14:16">
      <c r="N175" t="str">
        <f>TEXT('All Trades'!B175,"yyyy-mm-dd")</f>
        <v>yyyy-08-02</v>
      </c>
      <c r="O175">
        <f>LOG10('All Trades'!X175/Assumptions!$B$11)</f>
        <v>2.0627611317628762</v>
      </c>
      <c r="P175">
        <f>LOG10('All Trades'!AA175/Assumptions!$B$11)</f>
        <v>2.8211507319539253</v>
      </c>
    </row>
    <row r="176" spans="14:16">
      <c r="N176" t="str">
        <f>TEXT('All Trades'!B176,"yyyy-mm-dd")</f>
        <v>yyyy-08-09</v>
      </c>
      <c r="O176">
        <f>LOG10('All Trades'!X176/Assumptions!$B$11)</f>
        <v>2.0483923541445375</v>
      </c>
      <c r="P176">
        <f>LOG10('All Trades'!AA176/Assumptions!$B$11)</f>
        <v>2.8067819543355865</v>
      </c>
    </row>
    <row r="177" spans="14:16">
      <c r="N177" t="str">
        <f>TEXT('All Trades'!B177,"yyyy-mm-dd")</f>
        <v>yyyy-08-16</v>
      </c>
      <c r="O177">
        <f>LOG10('All Trades'!X177/Assumptions!$B$11)</f>
        <v>2.0283561599261226</v>
      </c>
      <c r="P177">
        <f>LOG10('All Trades'!AA177/Assumptions!$B$11)</f>
        <v>2.7867457601171717</v>
      </c>
    </row>
    <row r="178" spans="14:16">
      <c r="N178" t="str">
        <f>TEXT('All Trades'!B178,"yyyy-mm-dd")</f>
        <v>yyyy-08-23</v>
      </c>
      <c r="O178">
        <f>LOG10('All Trades'!X178/Assumptions!$B$11)</f>
        <v>2.0855218905414512</v>
      </c>
      <c r="P178">
        <f>LOG10('All Trades'!AA178/Assumptions!$B$11)</f>
        <v>2.8439114907325003</v>
      </c>
    </row>
    <row r="179" spans="14:16">
      <c r="N179" t="str">
        <f>TEXT('All Trades'!B179,"yyyy-mm-dd")</f>
        <v>yyyy-08-30</v>
      </c>
      <c r="O179">
        <f>LOG10('All Trades'!X179/Assumptions!$B$11)</f>
        <v>2.1292302871088151</v>
      </c>
      <c r="P179">
        <f>LOG10('All Trades'!AA179/Assumptions!$B$11)</f>
        <v>2.8876198872998642</v>
      </c>
    </row>
    <row r="180" spans="14:16">
      <c r="N180" t="str">
        <f>TEXT('All Trades'!B180,"yyyy-mm-dd")</f>
        <v>yyyy-09-07</v>
      </c>
      <c r="O180">
        <f>LOG10('All Trades'!X180/Assumptions!$B$11)</f>
        <v>2.1072367773880822</v>
      </c>
      <c r="P180">
        <f>LOG10('All Trades'!AA180/Assumptions!$B$11)</f>
        <v>2.8656263775791313</v>
      </c>
    </row>
    <row r="181" spans="14:16">
      <c r="N181" t="str">
        <f>TEXT('All Trades'!B181,"yyyy-mm-dd")</f>
        <v>yyyy-09-13</v>
      </c>
      <c r="O181">
        <f>LOG10('All Trades'!X181/Assumptions!$B$11)</f>
        <v>2.0871491877227992</v>
      </c>
      <c r="P181">
        <f>LOG10('All Trades'!AA181/Assumptions!$B$11)</f>
        <v>2.8455387879138483</v>
      </c>
    </row>
    <row r="182" spans="14:16">
      <c r="N182" t="str">
        <f>TEXT('All Trades'!B182,"yyyy-mm-dd")</f>
        <v>yyyy-09-20</v>
      </c>
      <c r="O182">
        <f>LOG10('All Trades'!X182/Assumptions!$B$11)</f>
        <v>2.1610675972884539</v>
      </c>
      <c r="P182">
        <f>LOG10('All Trades'!AA182/Assumptions!$B$11)</f>
        <v>2.9194571974795029</v>
      </c>
    </row>
    <row r="183" spans="14:16">
      <c r="N183" t="str">
        <f>TEXT('All Trades'!B183,"yyyy-mm-dd")</f>
        <v>yyyy-09-27</v>
      </c>
      <c r="O183">
        <f>LOG10('All Trades'!X183/Assumptions!$B$11)</f>
        <v>2.0010789148338177</v>
      </c>
      <c r="P183">
        <f>LOG10('All Trades'!AA183/Assumptions!$B$11)</f>
        <v>2.7594685150248668</v>
      </c>
    </row>
    <row r="184" spans="14:16">
      <c r="N184" t="str">
        <f>TEXT('All Trades'!B184,"yyyy-mm-dd")</f>
        <v>yyyy-10-04</v>
      </c>
      <c r="O184">
        <f>LOG10('All Trades'!X184/Assumptions!$B$11)</f>
        <v>2.0350492156194129</v>
      </c>
      <c r="P184">
        <f>LOG10('All Trades'!AA184/Assumptions!$B$11)</f>
        <v>2.7934388158104619</v>
      </c>
    </row>
    <row r="185" spans="14:16">
      <c r="N185" t="str">
        <f>TEXT('All Trades'!B185,"yyyy-mm-dd")</f>
        <v>yyyy-10-11</v>
      </c>
      <c r="O185">
        <f>LOG10('All Trades'!X185/Assumptions!$B$11)</f>
        <v>2.0153726193264974</v>
      </c>
      <c r="P185">
        <f>LOG10('All Trades'!AA185/Assumptions!$B$11)</f>
        <v>2.7934388158104619</v>
      </c>
    </row>
    <row r="186" spans="14:16">
      <c r="N186" t="str">
        <f>TEXT('All Trades'!B186,"yyyy-mm-dd")</f>
        <v>yyyy-10-18</v>
      </c>
      <c r="O186">
        <f>LOG10('All Trades'!X186/Assumptions!$B$11)</f>
        <v>2.0798336036774461</v>
      </c>
      <c r="P186">
        <f>LOG10('All Trades'!AA186/Assumptions!$B$11)</f>
        <v>2.8578998001614102</v>
      </c>
    </row>
    <row r="187" spans="14:16">
      <c r="N187" t="str">
        <f>TEXT('All Trades'!B187,"yyyy-mm-dd")</f>
        <v>yyyy-10-25</v>
      </c>
      <c r="O187">
        <f>LOG10('All Trades'!X187/Assumptions!$B$11)</f>
        <v>2.1191263414072918</v>
      </c>
      <c r="P187">
        <f>LOG10('All Trades'!AA187/Assumptions!$B$11)</f>
        <v>2.8971925378912564</v>
      </c>
    </row>
    <row r="188" spans="14:16">
      <c r="N188" t="str">
        <f>TEXT('All Trades'!B188,"yyyy-mm-dd")</f>
        <v>yyyy-11-01</v>
      </c>
      <c r="O188">
        <f>LOG10('All Trades'!X188/Assumptions!$B$11)</f>
        <v>2.2467856454416308</v>
      </c>
      <c r="P188">
        <f>LOG10('All Trades'!AA188/Assumptions!$B$11)</f>
        <v>3.0248518419255954</v>
      </c>
    </row>
    <row r="189" spans="14:16">
      <c r="N189" t="str">
        <f>TEXT('All Trades'!B189,"yyyy-mm-dd")</f>
        <v>yyyy-11-08</v>
      </c>
      <c r="O189">
        <f>LOG10('All Trades'!X189/Assumptions!$B$11)</f>
        <v>2.1220032267112861</v>
      </c>
      <c r="P189">
        <f>LOG10('All Trades'!AA189/Assumptions!$B$11)</f>
        <v>2.9000694231952506</v>
      </c>
    </row>
    <row r="190" spans="14:16">
      <c r="N190" t="str">
        <f>TEXT('All Trades'!B190,"yyyy-mm-dd")</f>
        <v>yyyy-11-15</v>
      </c>
      <c r="O190">
        <f>LOG10('All Trades'!X190/Assumptions!$B$11)</f>
        <v>2.2118126415881179</v>
      </c>
      <c r="P190">
        <f>LOG10('All Trades'!AA190/Assumptions!$B$11)</f>
        <v>2.9898788380720824</v>
      </c>
    </row>
    <row r="191" spans="14:16">
      <c r="N191" t="str">
        <f>TEXT('All Trades'!B191,"yyyy-mm-dd")</f>
        <v>yyyy-11-22</v>
      </c>
      <c r="O191">
        <f>LOG10('All Trades'!X191/Assumptions!$B$11)</f>
        <v>2.0785759664752721</v>
      </c>
      <c r="P191">
        <f>LOG10('All Trades'!AA191/Assumptions!$B$11)</f>
        <v>2.8566421629592362</v>
      </c>
    </row>
    <row r="192" spans="14:16">
      <c r="N192" t="str">
        <f>TEXT('All Trades'!B192,"yyyy-mm-dd")</f>
        <v>yyyy-11-29</v>
      </c>
      <c r="O192">
        <f>LOG10('All Trades'!X192/Assumptions!$B$11)</f>
        <v>2.1233923642878829</v>
      </c>
      <c r="P192">
        <f>LOG10('All Trades'!AA192/Assumptions!$B$11)</f>
        <v>2.9014585607718471</v>
      </c>
    </row>
    <row r="193" spans="14:16">
      <c r="N193" t="str">
        <f>TEXT('All Trades'!B193,"yyyy-mm-dd")</f>
        <v>yyyy-12-06</v>
      </c>
      <c r="O193">
        <f>LOG10('All Trades'!X193/Assumptions!$B$11)</f>
        <v>2.1578162573364925</v>
      </c>
      <c r="P193">
        <f>LOG10('All Trades'!AA193/Assumptions!$B$11)</f>
        <v>2.9358824538204567</v>
      </c>
    </row>
    <row r="194" spans="14:16">
      <c r="N194" t="str">
        <f>TEXT('All Trades'!B194,"yyyy-mm-dd")</f>
        <v>yyyy-12-13</v>
      </c>
      <c r="O194">
        <f>LOG10('All Trades'!X194/Assumptions!$B$11)</f>
        <v>2.1377286676712095</v>
      </c>
      <c r="P194">
        <f>LOG10('All Trades'!AA194/Assumptions!$B$11)</f>
        <v>2.9157948641551736</v>
      </c>
    </row>
    <row r="195" spans="14:16">
      <c r="N195" t="str">
        <f>TEXT('All Trades'!B195,"yyyy-mm-dd")</f>
        <v>yyyy-12-20</v>
      </c>
      <c r="O195">
        <f>LOG10('All Trades'!X195/Assumptions!$B$11)</f>
        <v>2.1718350958861263</v>
      </c>
      <c r="P195">
        <f>LOG10('All Trades'!AA195/Assumptions!$B$11)</f>
        <v>2.9499012923700905</v>
      </c>
    </row>
    <row r="196" spans="14:16">
      <c r="N196" t="str">
        <f>TEXT('All Trades'!B196,"yyyy-mm-dd")</f>
        <v>yyyy-12-27</v>
      </c>
      <c r="O196">
        <f>LOG10('All Trades'!X196/Assumptions!$B$11)</f>
        <v>2.2320874615907256</v>
      </c>
      <c r="P196">
        <f>LOG10('All Trades'!AA196/Assumptions!$B$11)</f>
        <v>3.0101536580746902</v>
      </c>
    </row>
    <row r="197" spans="14:16">
      <c r="N197" t="str">
        <f>TEXT('All Trades'!B197,"yyyy-mm-dd")</f>
        <v>yyyy-01-03</v>
      </c>
      <c r="O197">
        <f>LOG10('All Trades'!X197/Assumptions!$B$11)</f>
        <v>2.2658761927386259</v>
      </c>
      <c r="P197">
        <f>LOG10('All Trades'!AA197/Assumptions!$B$11)</f>
        <v>3.0439423892225905</v>
      </c>
    </row>
    <row r="198" spans="14:16">
      <c r="N198" t="str">
        <f>TEXT('All Trades'!B198,"yyyy-mm-dd")</f>
        <v>yyyy-01-10</v>
      </c>
      <c r="O198">
        <f>LOG10('All Trades'!X198/Assumptions!$B$11)</f>
        <v>2.332068267674579</v>
      </c>
      <c r="P198">
        <f>LOG10('All Trades'!AA198/Assumptions!$B$11)</f>
        <v>3.1101344641585431</v>
      </c>
    </row>
    <row r="199" spans="14:16">
      <c r="N199" t="str">
        <f>TEXT('All Trades'!B199,"yyyy-mm-dd")</f>
        <v>yyyy-01-18</v>
      </c>
      <c r="O199">
        <f>LOG10('All Trades'!X199/Assumptions!$B$11)</f>
        <v>2.2221386911517151</v>
      </c>
      <c r="P199">
        <f>LOG10('All Trades'!AA199/Assumptions!$B$11)</f>
        <v>3.0002048876356793</v>
      </c>
    </row>
    <row r="200" spans="14:16">
      <c r="N200" t="str">
        <f>TEXT('All Trades'!B200,"yyyy-mm-dd")</f>
        <v>yyyy-01-24</v>
      </c>
      <c r="O200">
        <f>LOG10('All Trades'!X200/Assumptions!$B$11)</f>
        <v>2.3177752246315806</v>
      </c>
      <c r="P200">
        <f>LOG10('All Trades'!AA200/Assumptions!$B$11)</f>
        <v>3.0958414211155447</v>
      </c>
    </row>
    <row r="201" spans="14:16">
      <c r="N201" t="str">
        <f>TEXT('All Trades'!B201,"yyyy-mm-dd")</f>
        <v>yyyy-01-31</v>
      </c>
      <c r="O201">
        <f>LOG10('All Trades'!X201/Assumptions!$B$11)</f>
        <v>2.4352576487957345</v>
      </c>
      <c r="P201">
        <f>LOG10('All Trades'!AA201/Assumptions!$B$11)</f>
        <v>3.2133238452796991</v>
      </c>
    </row>
    <row r="202" spans="14:16">
      <c r="N202" t="str">
        <f>TEXT('All Trades'!B202,"yyyy-mm-dd")</f>
        <v>yyyy-02-07</v>
      </c>
      <c r="O202">
        <f>LOG10('All Trades'!X202/Assumptions!$B$11)</f>
        <v>2.4151700591304515</v>
      </c>
      <c r="P202">
        <f>LOG10('All Trades'!AA202/Assumptions!$B$11)</f>
        <v>3.193236255614416</v>
      </c>
    </row>
    <row r="203" spans="14:16">
      <c r="N203" t="str">
        <f>TEXT('All Trades'!B203,"yyyy-mm-dd")</f>
        <v>yyyy-02-14</v>
      </c>
      <c r="O203">
        <f>LOG10('All Trades'!X203/Assumptions!$B$11)</f>
        <v>2.4887157568492628</v>
      </c>
      <c r="P203">
        <f>LOG10('All Trades'!AA203/Assumptions!$B$11)</f>
        <v>3.2667819533332274</v>
      </c>
    </row>
    <row r="204" spans="14:16">
      <c r="N204" t="str">
        <f>TEXT('All Trades'!B204,"yyyy-mm-dd")</f>
        <v>yyyy-02-22</v>
      </c>
      <c r="O204">
        <f>LOG10('All Trades'!X204/Assumptions!$B$11)</f>
        <v>2.3176635840789612</v>
      </c>
      <c r="P204">
        <f>LOG10('All Trades'!AA204/Assumptions!$B$11)</f>
        <v>3.0957297805629258</v>
      </c>
    </row>
    <row r="205" spans="14:16">
      <c r="N205" t="str">
        <f>TEXT('All Trades'!B205,"yyyy-mm-dd")</f>
        <v>yyyy-02-28</v>
      </c>
      <c r="O205">
        <f>LOG10('All Trades'!X205/Assumptions!$B$11)</f>
        <v>2.3762038615470931</v>
      </c>
      <c r="P205">
        <f>LOG10('All Trades'!AA205/Assumptions!$B$11)</f>
        <v>3.1542700580310576</v>
      </c>
    </row>
    <row r="206" spans="14:16">
      <c r="N206" t="str">
        <f>TEXT('All Trades'!B206,"yyyy-mm-dd")</f>
        <v>yyyy-03-07</v>
      </c>
      <c r="O206">
        <f>LOG10('All Trades'!X206/Assumptions!$B$11)</f>
        <v>2.3561162718818101</v>
      </c>
      <c r="P206">
        <f>LOG10('All Trades'!AA206/Assumptions!$B$11)</f>
        <v>3.1341824683657746</v>
      </c>
    </row>
    <row r="207" spans="14:16">
      <c r="N207" t="str">
        <f>TEXT('All Trades'!B207,"yyyy-mm-dd")</f>
        <v>yyyy-03-14</v>
      </c>
      <c r="O207">
        <f>LOG10('All Trades'!X207/Assumptions!$B$11)</f>
        <v>2.5594769329514495</v>
      </c>
      <c r="P207">
        <f>LOG10('All Trades'!AA207/Assumptions!$B$11)</f>
        <v>3.3375431294354141</v>
      </c>
    </row>
    <row r="208" spans="14:16">
      <c r="N208" t="str">
        <f>TEXT('All Trades'!B208,"yyyy-mm-dd")</f>
        <v>yyyy-03-21</v>
      </c>
      <c r="O208">
        <f>LOG10('All Trades'!X208/Assumptions!$B$11)</f>
        <v>2.6715336939313472</v>
      </c>
      <c r="P208">
        <f>LOG10('All Trades'!AA208/Assumptions!$B$11)</f>
        <v>3.4495998904153118</v>
      </c>
    </row>
    <row r="209" spans="14:16">
      <c r="N209" t="str">
        <f>TEXT('All Trades'!B209,"yyyy-mm-dd")</f>
        <v>yyyy-03-28</v>
      </c>
      <c r="O209">
        <f>LOG10('All Trades'!X209/Assumptions!$B$11)</f>
        <v>2.7428780211264128</v>
      </c>
      <c r="P209">
        <f>LOG10('All Trades'!AA209/Assumptions!$B$11)</f>
        <v>3.5209442176103773</v>
      </c>
    </row>
    <row r="210" spans="14:16">
      <c r="N210" t="str">
        <f>TEXT('All Trades'!B210,"yyyy-mm-dd")</f>
        <v>yyyy-04-04</v>
      </c>
      <c r="O210">
        <f>LOG10('All Trades'!X210/Assumptions!$B$11)</f>
        <v>2.8232472458483628</v>
      </c>
      <c r="P210">
        <f>LOG10('All Trades'!AA210/Assumptions!$B$11)</f>
        <v>3.6013134423323274</v>
      </c>
    </row>
    <row r="211" spans="14:16">
      <c r="N211" t="str">
        <f>TEXT('All Trades'!B211,"yyyy-mm-dd")</f>
        <v>yyyy-04-11</v>
      </c>
      <c r="O211">
        <f>LOG10('All Trades'!X211/Assumptions!$B$11)</f>
        <v>2.803211051629948</v>
      </c>
      <c r="P211">
        <f>LOG10('All Trades'!AA211/Assumptions!$B$11)</f>
        <v>3.5812772481139126</v>
      </c>
    </row>
    <row r="212" spans="14:16">
      <c r="N212" t="str">
        <f>TEXT('All Trades'!B212,"yyyy-mm-dd")</f>
        <v>yyyy-04-18</v>
      </c>
      <c r="O212">
        <f>LOG10('All Trades'!X212/Assumptions!$B$11)</f>
        <v>2.8426382589357195</v>
      </c>
      <c r="P212">
        <f>LOG10('All Trades'!AA212/Assumptions!$B$11)</f>
        <v>3.6207044554196841</v>
      </c>
    </row>
    <row r="213" spans="14:16">
      <c r="N213" t="str">
        <f>TEXT('All Trades'!B213,"yyyy-mm-dd")</f>
        <v>yyyy-04-25</v>
      </c>
      <c r="O213">
        <f>LOG10('All Trades'!X213/Assumptions!$B$11)</f>
        <v>2.9264603904764721</v>
      </c>
      <c r="P213">
        <f>LOG10('All Trades'!AA213/Assumptions!$B$11)</f>
        <v>3.7045265869604367</v>
      </c>
    </row>
    <row r="214" spans="14:16">
      <c r="N214" t="str">
        <f>TEXT('All Trades'!B214,"yyyy-mm-dd")</f>
        <v>yyyy-05-02</v>
      </c>
      <c r="O214">
        <f>LOG10('All Trades'!X214/Assumptions!$B$11)</f>
        <v>3.0084579327652992</v>
      </c>
      <c r="P214">
        <f>LOG10('All Trades'!AA214/Assumptions!$B$11)</f>
        <v>3.7865241292492637</v>
      </c>
    </row>
    <row r="215" spans="14:16">
      <c r="N215" t="str">
        <f>TEXT('All Trades'!B215,"yyyy-mm-dd")</f>
        <v>yyyy-05-09</v>
      </c>
      <c r="O215">
        <f>LOG10('All Trades'!X215/Assumptions!$B$11)</f>
        <v>2.9884217385468843</v>
      </c>
      <c r="P215">
        <f>LOG10('All Trades'!AA215/Assumptions!$B$11)</f>
        <v>3.7664879350308489</v>
      </c>
    </row>
    <row r="216" spans="14:16">
      <c r="N216" t="str">
        <f>TEXT('All Trades'!B216,"yyyy-mm-dd")</f>
        <v>yyyy-05-16</v>
      </c>
      <c r="O216">
        <f>LOG10('All Trades'!X216/Assumptions!$B$11)</f>
        <v>3.0607642953769898</v>
      </c>
      <c r="P216">
        <f>LOG10('All Trades'!AA216/Assumptions!$B$11)</f>
        <v>3.8388304918609544</v>
      </c>
    </row>
    <row r="217" spans="14:16">
      <c r="N217" t="str">
        <f>TEXT('All Trades'!B217,"yyyy-mm-dd")</f>
        <v>yyyy-05-23</v>
      </c>
      <c r="O217">
        <f>LOG10('All Trades'!X217/Assumptions!$B$11)</f>
        <v>3.1216569580716937</v>
      </c>
      <c r="P217">
        <f>LOG10('All Trades'!AA217/Assumptions!$B$11)</f>
        <v>3.8997231545556583</v>
      </c>
    </row>
    <row r="218" spans="14:16">
      <c r="N218" t="str">
        <f>TEXT('All Trades'!B218,"yyyy-mm-dd")</f>
        <v>yyyy-05-31</v>
      </c>
      <c r="O218">
        <f>LOG10('All Trades'!X218/Assumptions!$B$11)</f>
        <v>3.0698018305606527</v>
      </c>
      <c r="P218">
        <f>LOG10('All Trades'!AA218/Assumptions!$B$11)</f>
        <v>3.8478680270446173</v>
      </c>
    </row>
    <row r="219" spans="14:16">
      <c r="N219" t="str">
        <f>TEXT('All Trades'!B219,"yyyy-mm-dd")</f>
        <v>yyyy-06-06</v>
      </c>
      <c r="O219">
        <f>LOG10('All Trades'!X219/Assumptions!$B$11)</f>
        <v>3.018940947488078</v>
      </c>
      <c r="P219">
        <f>LOG10('All Trades'!AA219/Assumptions!$B$11)</f>
        <v>3.8478680270446173</v>
      </c>
    </row>
    <row r="220" spans="14:16">
      <c r="N220" t="str">
        <f>TEXT('All Trades'!B220,"yyyy-mm-dd")</f>
        <v>yyyy-06-13</v>
      </c>
      <c r="O220">
        <f>LOG10('All Trades'!X220/Assumptions!$B$11)</f>
        <v>2.9999313869944664</v>
      </c>
      <c r="P220">
        <f>LOG10('All Trades'!AA220/Assumptions!$B$11)</f>
        <v>3.8288584665510057</v>
      </c>
    </row>
    <row r="221" spans="14:16">
      <c r="N221" t="str">
        <f>TEXT('All Trades'!B221,"yyyy-mm-dd")</f>
        <v>yyyy-06-21</v>
      </c>
      <c r="O221">
        <f>LOG10('All Trades'!X221/Assumptions!$B$11)</f>
        <v>3.0399855690605082</v>
      </c>
      <c r="P221">
        <f>LOG10('All Trades'!AA221/Assumptions!$B$11)</f>
        <v>3.8288584665510057</v>
      </c>
    </row>
    <row r="222" spans="14:16">
      <c r="N222" t="str">
        <f>TEXT('All Trades'!B222,"yyyy-mm-dd")</f>
        <v>yyyy-06-27</v>
      </c>
      <c r="O222">
        <f>LOG10('All Trades'!X222/Assumptions!$B$11)</f>
        <v>2.7717241762493416</v>
      </c>
      <c r="P222">
        <f>LOG10('All Trades'!AA222/Assumptions!$B$11)</f>
        <v>3.5605970737398391</v>
      </c>
    </row>
    <row r="223" spans="14:16">
      <c r="N223" t="str">
        <f>TEXT('All Trades'!B223,"yyyy-mm-dd")</f>
        <v>yyyy-07-05</v>
      </c>
      <c r="O223">
        <f>LOG10('All Trades'!X223/Assumptions!$B$11)</f>
        <v>2.8993834802836806</v>
      </c>
      <c r="P223">
        <f>LOG10('All Trades'!AA223/Assumptions!$B$11)</f>
        <v>3.5605970737398391</v>
      </c>
    </row>
    <row r="224" spans="14:16">
      <c r="N224" t="str">
        <f>TEXT('All Trades'!B224,"yyyy-mm-dd")</f>
        <v>yyyy-07-11</v>
      </c>
      <c r="O224">
        <f>LOG10('All Trades'!X224/Assumptions!$B$11)</f>
        <v>2.7415881884103035</v>
      </c>
      <c r="P224">
        <f>LOG10('All Trades'!AA224/Assumptions!$B$11)</f>
        <v>3.5605970737398391</v>
      </c>
    </row>
    <row r="225" spans="14:16">
      <c r="N225" t="str">
        <f>TEXT('All Trades'!B225,"yyyy-mm-dd")</f>
        <v>yyyy-07-18</v>
      </c>
      <c r="O225">
        <f>LOG10('All Trades'!X225/Assumptions!$B$11)</f>
        <v>2.8466120317724064</v>
      </c>
      <c r="P225">
        <f>LOG10('All Trades'!AA225/Assumptions!$B$11)</f>
        <v>3.665620917101942</v>
      </c>
    </row>
    <row r="226" spans="14:16">
      <c r="N226" t="str">
        <f>TEXT('All Trades'!B226,"yyyy-mm-dd")</f>
        <v>yyyy-07-25</v>
      </c>
      <c r="O226">
        <f>LOG10('All Trades'!X226/Assumptions!$B$11)</f>
        <v>2.8265244421071234</v>
      </c>
      <c r="P226">
        <f>LOG10('All Trades'!AA226/Assumptions!$B$11)</f>
        <v>3.645533327436659</v>
      </c>
    </row>
    <row r="227" spans="14:16">
      <c r="N227" t="str">
        <f>TEXT('All Trades'!B227,"yyyy-mm-dd")</f>
        <v>yyyy-08-01</v>
      </c>
      <c r="O227">
        <f>LOG10('All Trades'!X227/Assumptions!$B$11)</f>
        <v>2.9371380547782242</v>
      </c>
      <c r="P227">
        <f>LOG10('All Trades'!AA227/Assumptions!$B$11)</f>
        <v>3.7561469401077598</v>
      </c>
    </row>
    <row r="228" spans="14:16">
      <c r="N228" t="str">
        <f>TEXT('All Trades'!B228,"yyyy-mm-dd")</f>
        <v>yyyy-08-08</v>
      </c>
      <c r="O228">
        <f>LOG10('All Trades'!X228/Assumptions!$B$11)</f>
        <v>2.9362538002099683</v>
      </c>
      <c r="P228">
        <f>LOG10('All Trades'!AA228/Assumptions!$B$11)</f>
        <v>3.7552626855395039</v>
      </c>
    </row>
    <row r="229" spans="14:16">
      <c r="N229" t="str">
        <f>TEXT('All Trades'!B229,"yyyy-mm-dd")</f>
        <v>yyyy-08-15</v>
      </c>
      <c r="O229">
        <f>LOG10('All Trades'!X229/Assumptions!$B$11)</f>
        <v>2.9868303559456959</v>
      </c>
      <c r="P229">
        <f>LOG10('All Trades'!AA229/Assumptions!$B$11)</f>
        <v>3.805839241275232</v>
      </c>
    </row>
    <row r="230" spans="14:16">
      <c r="N230" t="str">
        <f>TEXT('All Trades'!B230,"yyyy-mm-dd")</f>
        <v>yyyy-08-22</v>
      </c>
      <c r="O230">
        <f>LOG10('All Trades'!X230/Assumptions!$B$11)</f>
        <v>2.935527867439057</v>
      </c>
      <c r="P230">
        <f>LOG10('All Trades'!AA230/Assumptions!$B$11)</f>
        <v>3.7545367527685927</v>
      </c>
    </row>
    <row r="231" spans="14:16">
      <c r="N231" t="str">
        <f>TEXT('All Trades'!B231,"yyyy-mm-dd")</f>
        <v>yyyy-08-29</v>
      </c>
      <c r="O231">
        <f>LOG10('All Trades'!X231/Assumptions!$B$11)</f>
        <v>2.921564709197952</v>
      </c>
      <c r="P231">
        <f>LOG10('All Trades'!AA231/Assumptions!$B$11)</f>
        <v>3.7405735945274876</v>
      </c>
    </row>
    <row r="232" spans="14:16">
      <c r="N232" t="str">
        <f>TEXT('All Trades'!B232,"yyyy-mm-dd")</f>
        <v>yyyy-09-06</v>
      </c>
      <c r="O232">
        <f>LOG10('All Trades'!X232/Assumptions!$B$11)</f>
        <v>3.077644484135055</v>
      </c>
      <c r="P232">
        <f>LOG10('All Trades'!AA232/Assumptions!$B$11)</f>
        <v>3.8966533694645906</v>
      </c>
    </row>
    <row r="233" spans="14:16">
      <c r="N233" t="str">
        <f>TEXT('All Trades'!B233,"yyyy-mm-dd")</f>
        <v>yyyy-09-12</v>
      </c>
      <c r="O233">
        <f>LOG10('All Trades'!X233/Assumptions!$B$11)</f>
        <v>3.1155452594584045</v>
      </c>
      <c r="P233">
        <f>LOG10('All Trades'!AA233/Assumptions!$B$11)</f>
        <v>3.9345541447879397</v>
      </c>
    </row>
    <row r="234" spans="14:16">
      <c r="N234" t="str">
        <f>TEXT('All Trades'!B234,"yyyy-mm-dd")</f>
        <v>yyyy-09-19</v>
      </c>
      <c r="O234">
        <f>LOG10('All Trades'!X234/Assumptions!$B$11)</f>
        <v>3.1985979436796503</v>
      </c>
      <c r="P234">
        <f>LOG10('All Trades'!AA234/Assumptions!$B$11)</f>
        <v>4.0176068290091864</v>
      </c>
    </row>
    <row r="235" spans="14:16">
      <c r="N235" t="str">
        <f>TEXT('All Trades'!B235,"yyyy-mm-dd")</f>
        <v>yyyy-09-26</v>
      </c>
      <c r="O235">
        <f>LOG10('All Trades'!X235/Assumptions!$B$11)</f>
        <v>3.1785103540143673</v>
      </c>
      <c r="P235">
        <f>LOG10('All Trades'!AA235/Assumptions!$B$11)</f>
        <v>3.997519239343903</v>
      </c>
    </row>
    <row r="236" spans="14:16">
      <c r="N236" t="str">
        <f>TEXT('All Trades'!B236,"yyyy-mm-dd")</f>
        <v>yyyy-10-03</v>
      </c>
      <c r="O236">
        <f>LOG10('All Trades'!X236/Assumptions!$B$11)</f>
        <v>3.2598166071658556</v>
      </c>
      <c r="P236">
        <f>LOG10('All Trades'!AA236/Assumptions!$B$11)</f>
        <v>4.0788254924953913</v>
      </c>
    </row>
    <row r="237" spans="14:16">
      <c r="N237" t="str">
        <f>TEXT('All Trades'!B237,"yyyy-mm-dd")</f>
        <v>yyyy-10-10</v>
      </c>
      <c r="O237">
        <f>LOG10('All Trades'!X237/Assumptions!$B$11)</f>
        <v>3.1359489664953402</v>
      </c>
      <c r="P237">
        <f>LOG10('All Trades'!AA237/Assumptions!$B$11)</f>
        <v>3.9549578518248758</v>
      </c>
    </row>
    <row r="238" spans="14:16">
      <c r="N238" t="str">
        <f>TEXT('All Trades'!B238,"yyyy-mm-dd")</f>
        <v>yyyy-10-17</v>
      </c>
      <c r="O238">
        <f>LOG10('All Trades'!X238/Assumptions!$B$11)</f>
        <v>3.1828848350607517</v>
      </c>
      <c r="P238">
        <f>LOG10('All Trades'!AA238/Assumptions!$B$11)</f>
        <v>3.9549578518248758</v>
      </c>
    </row>
    <row r="239" spans="14:16">
      <c r="N239" t="str">
        <f>TEXT('All Trades'!B239,"yyyy-mm-dd")</f>
        <v>yyyy-10-24</v>
      </c>
      <c r="O239">
        <f>LOG10('All Trades'!X239/Assumptions!$B$11)</f>
        <v>3.2329806408583686</v>
      </c>
      <c r="P239">
        <f>LOG10('All Trades'!AA239/Assumptions!$B$11)</f>
        <v>3.9549578518248758</v>
      </c>
    </row>
    <row r="240" spans="14:16">
      <c r="N240" t="str">
        <f>TEXT('All Trades'!B240,"yyyy-mm-dd")</f>
        <v>yyyy-10-31</v>
      </c>
      <c r="O240">
        <f>LOG10('All Trades'!X240/Assumptions!$B$11)</f>
        <v>3.2129444466399537</v>
      </c>
      <c r="P240">
        <f>LOG10('All Trades'!AA240/Assumptions!$B$11)</f>
        <v>3.934921657606461</v>
      </c>
    </row>
    <row r="241" spans="14:16">
      <c r="N241" t="str">
        <f>TEXT('All Trades'!B241,"yyyy-mm-dd")</f>
        <v>yyyy-11-07</v>
      </c>
      <c r="O241">
        <f>LOG10('All Trades'!X241/Assumptions!$B$11)</f>
        <v>3.2474590013191578</v>
      </c>
      <c r="P241">
        <f>LOG10('All Trades'!AA241/Assumptions!$B$11)</f>
        <v>3.969436212285665</v>
      </c>
    </row>
    <row r="242" spans="14:16">
      <c r="N242" t="str">
        <f>TEXT('All Trades'!B242,"yyyy-mm-dd")</f>
        <v>yyyy-11-14</v>
      </c>
      <c r="O242">
        <f>LOG10('All Trades'!X242/Assumptions!$B$11)</f>
        <v>3.3456865740563804</v>
      </c>
      <c r="P242">
        <f>LOG10('All Trades'!AA242/Assumptions!$B$11)</f>
        <v>4.0676637850228872</v>
      </c>
    </row>
    <row r="243" spans="14:16">
      <c r="N243" t="str">
        <f>TEXT('All Trades'!B243,"yyyy-mm-dd")</f>
        <v>yyyy-11-21</v>
      </c>
      <c r="O243">
        <f>LOG10('All Trades'!X243/Assumptions!$B$11)</f>
        <v>3.4041410696833907</v>
      </c>
      <c r="P243">
        <f>LOG10('All Trades'!AA243/Assumptions!$B$11)</f>
        <v>4.1261182806498979</v>
      </c>
    </row>
    <row r="244" spans="14:16">
      <c r="N244" t="str">
        <f>TEXT('All Trades'!B244,"yyyy-mm-dd")</f>
        <v>yyyy-11-28</v>
      </c>
      <c r="O244">
        <f>LOG10('All Trades'!X244/Assumptions!$B$11)</f>
        <v>3.3840534800181077</v>
      </c>
      <c r="P244">
        <f>LOG10('All Trades'!AA244/Assumptions!$B$11)</f>
        <v>4.1060306909846149</v>
      </c>
    </row>
    <row r="245" spans="14:16">
      <c r="N245" t="str">
        <f>TEXT('All Trades'!B245,"yyyy-mm-dd")</f>
        <v>yyyy-12-05</v>
      </c>
      <c r="O245">
        <f>LOG10('All Trades'!X245/Assumptions!$B$11)</f>
        <v>3.1656932667088737</v>
      </c>
      <c r="P245">
        <f>LOG10('All Trades'!AA245/Assumptions!$B$11)</f>
        <v>3.887670477675381</v>
      </c>
    </row>
    <row r="246" spans="14:16">
      <c r="N246" t="str">
        <f>TEXT('All Trades'!B246,"yyyy-mm-dd")</f>
        <v>yyyy-12-12</v>
      </c>
      <c r="O246">
        <f>LOG10('All Trades'!X246/Assumptions!$B$11)</f>
        <v>3.2132453708511965</v>
      </c>
      <c r="P246">
        <f>LOG10('All Trades'!AA246/Assumptions!$B$11)</f>
        <v>3.887670477675381</v>
      </c>
    </row>
    <row r="247" spans="14:16">
      <c r="N247" t="str">
        <f>TEXT('All Trades'!B247,"yyyy-mm-dd")</f>
        <v>yyyy-12-19</v>
      </c>
      <c r="O247">
        <f>LOG10('All Trades'!X247/Assumptions!$B$11)</f>
        <v>3.1931577811859135</v>
      </c>
      <c r="P247">
        <f>LOG10('All Trades'!AA247/Assumptions!$B$11)</f>
        <v>3.887670477675381</v>
      </c>
    </row>
    <row r="248" spans="14:16">
      <c r="N248" t="str">
        <f>TEXT('All Trades'!B248,"yyyy-mm-dd")</f>
        <v>yyyy-12-27</v>
      </c>
      <c r="O248">
        <f>LOG10('All Trades'!X248/Assumptions!$B$11)</f>
        <v>3.055698802832806</v>
      </c>
      <c r="P248">
        <f>LOG10('All Trades'!AA248/Assumptions!$B$11)</f>
        <v>3.7502114993222735</v>
      </c>
    </row>
    <row r="249" spans="14:16">
      <c r="N249" t="str">
        <f>TEXT('All Trades'!B249,"yyyy-mm-dd")</f>
        <v>yyyy-01-03</v>
      </c>
      <c r="O249">
        <f>LOG10('All Trades'!X249/Assumptions!$B$11)</f>
        <v>2.9952430141872091</v>
      </c>
      <c r="P249">
        <f>LOG10('All Trades'!AA249/Assumptions!$B$11)</f>
        <v>3.7502114993222735</v>
      </c>
    </row>
    <row r="250" spans="14:16">
      <c r="N250" t="str">
        <f>TEXT('All Trades'!B250,"yyyy-mm-dd")</f>
        <v>yyyy-01-09</v>
      </c>
      <c r="O250">
        <f>LOG10('All Trades'!X250/Assumptions!$B$11)</f>
        <v>3.1475723393554107</v>
      </c>
      <c r="P250">
        <f>LOG10('All Trades'!AA250/Assumptions!$B$11)</f>
        <v>3.7502114993222735</v>
      </c>
    </row>
    <row r="251" spans="14:16">
      <c r="N251" t="str">
        <f>TEXT('All Trades'!B251,"yyyy-mm-dd")</f>
        <v>yyyy-01-17</v>
      </c>
      <c r="O251">
        <f>LOG10('All Trades'!X251/Assumptions!$B$11)</f>
        <v>3.0885806133363509</v>
      </c>
      <c r="P251">
        <f>LOG10('All Trades'!AA251/Assumptions!$B$11)</f>
        <v>3.6912197733032137</v>
      </c>
    </row>
    <row r="252" spans="14:16">
      <c r="N252" t="str">
        <f>TEXT('All Trades'!B252,"yyyy-mm-dd")</f>
        <v>yyyy-01-23</v>
      </c>
      <c r="O252">
        <f>LOG10('All Trades'!X252/Assumptions!$B$11)</f>
        <v>3.1701716482303222</v>
      </c>
      <c r="P252">
        <f>LOG10('All Trades'!AA252/Assumptions!$B$11)</f>
        <v>3.772810808197185</v>
      </c>
    </row>
    <row r="253" spans="14:16">
      <c r="N253" t="str">
        <f>TEXT('All Trades'!B253,"yyyy-mm-dd")</f>
        <v>yyyy-01-30</v>
      </c>
      <c r="O253">
        <f>LOG10('All Trades'!X253/Assumptions!$B$11)</f>
        <v>3.4062794411780262</v>
      </c>
      <c r="P253">
        <f>LOG10('All Trades'!AA253/Assumptions!$B$11)</f>
        <v>4.008918601144889</v>
      </c>
    </row>
    <row r="254" spans="14:16">
      <c r="N254" t="str">
        <f>TEXT('All Trades'!B254,"yyyy-mm-dd")</f>
        <v>yyyy-02-06</v>
      </c>
      <c r="O254">
        <f>LOG10('All Trades'!X254/Assumptions!$B$11)</f>
        <v>3.4959691173758451</v>
      </c>
      <c r="P254">
        <f>LOG10('All Trades'!AA254/Assumptions!$B$11)</f>
        <v>4.0986082773427075</v>
      </c>
    </row>
    <row r="255" spans="14:16">
      <c r="N255" t="str">
        <f>TEXT('All Trades'!B255,"yyyy-mm-dd")</f>
        <v>yyyy-02-13</v>
      </c>
      <c r="O255">
        <f>LOG10('All Trades'!X255/Assumptions!$B$11)</f>
        <v>3.5497660502523134</v>
      </c>
      <c r="P255">
        <f>LOG10('All Trades'!AA255/Assumptions!$B$11)</f>
        <v>4.1524052102191762</v>
      </c>
    </row>
    <row r="256" spans="14:16">
      <c r="N256" t="str">
        <f>TEXT('All Trades'!B256,"yyyy-mm-dd")</f>
        <v>yyyy-02-21</v>
      </c>
      <c r="O256">
        <f>LOG10('All Trades'!X256/Assumptions!$B$11)</f>
        <v>3.5292670779037785</v>
      </c>
      <c r="P256">
        <f>LOG10('All Trades'!AA256/Assumptions!$B$11)</f>
        <v>4.1319062378706413</v>
      </c>
    </row>
    <row r="257" spans="14:16">
      <c r="N257" t="str">
        <f>TEXT('All Trades'!B257,"yyyy-mm-dd")</f>
        <v>yyyy-02-27</v>
      </c>
      <c r="O257">
        <f>LOG10('All Trades'!X257/Assumptions!$B$11)</f>
        <v>3.5095391287045743</v>
      </c>
      <c r="P257">
        <f>LOG10('All Trades'!AA257/Assumptions!$B$11)</f>
        <v>4.1436229722019622</v>
      </c>
    </row>
    <row r="258" spans="14:16">
      <c r="N258" t="str">
        <f>TEXT('All Trades'!B258,"yyyy-mm-dd")</f>
        <v>yyyy-03-06</v>
      </c>
      <c r="O258">
        <f>LOG10('All Trades'!X258/Assumptions!$B$11)</f>
        <v>3.4584022948619779</v>
      </c>
      <c r="P258">
        <f>LOG10('All Trades'!AA258/Assumptions!$B$11)</f>
        <v>4.0924861383593658</v>
      </c>
    </row>
    <row r="259" spans="14:16">
      <c r="N259" t="str">
        <f>TEXT('All Trades'!B259,"yyyy-mm-dd")</f>
        <v>yyyy-03-13</v>
      </c>
      <c r="O259">
        <f>LOG10('All Trades'!X259/Assumptions!$B$11)</f>
        <v>3.5198065163257088</v>
      </c>
      <c r="P259">
        <f>LOG10('All Trades'!AA259/Assumptions!$B$11)</f>
        <v>4.1538903598230972</v>
      </c>
    </row>
    <row r="260" spans="14:16">
      <c r="N260" t="str">
        <f>TEXT('All Trades'!B260,"yyyy-mm-dd")</f>
        <v>yyyy-03-20</v>
      </c>
      <c r="O260">
        <f>LOG10('All Trades'!X260/Assumptions!$B$11)</f>
        <v>3.6094163483930459</v>
      </c>
      <c r="P260">
        <f>LOG10('All Trades'!AA260/Assumptions!$B$11)</f>
        <v>4.2435001918904343</v>
      </c>
    </row>
    <row r="261" spans="14:16">
      <c r="N261" t="str">
        <f>TEXT('All Trades'!B261,"yyyy-mm-dd")</f>
        <v>yyyy-03-27</v>
      </c>
      <c r="O261">
        <f>LOG10('All Trades'!X261/Assumptions!$B$11)</f>
        <v>3.5893801541746306</v>
      </c>
      <c r="P261">
        <f>LOG10('All Trades'!AA261/Assumptions!$B$11)</f>
        <v>4.2234639976720185</v>
      </c>
    </row>
    <row r="262" spans="14:16">
      <c r="N262" t="str">
        <f>TEXT('All Trades'!B262,"yyyy-mm-dd")</f>
        <v>yyyy-04-03</v>
      </c>
      <c r="O262">
        <f>LOG10('All Trades'!X262/Assumptions!$B$11)</f>
        <v>3.5358628776873369</v>
      </c>
      <c r="P262">
        <f>LOG10('All Trades'!AA262/Assumptions!$B$11)</f>
        <v>4.1699467211847248</v>
      </c>
    </row>
    <row r="263" spans="14:16">
      <c r="N263" t="str">
        <f>TEXT('All Trades'!B263,"yyyy-mm-dd")</f>
        <v>yyyy-04-10</v>
      </c>
      <c r="O263">
        <f>LOG10('All Trades'!X263/Assumptions!$B$11)</f>
        <v>3.5793937314329756</v>
      </c>
      <c r="P263">
        <f>LOG10('All Trades'!AA263/Assumptions!$B$11)</f>
        <v>4.2134775749303639</v>
      </c>
    </row>
    <row r="264" spans="14:16">
      <c r="N264" t="str">
        <f>TEXT('All Trades'!B264,"yyyy-mm-dd")</f>
        <v>yyyy-04-17</v>
      </c>
      <c r="O264">
        <f>LOG10('All Trades'!X264/Assumptions!$B$11)</f>
        <v>3.5584314872983329</v>
      </c>
      <c r="P264">
        <f>LOG10('All Trades'!AA264/Assumptions!$B$11)</f>
        <v>4.1925153307957208</v>
      </c>
    </row>
    <row r="265" spans="14:16">
      <c r="N265" t="str">
        <f>TEXT('All Trades'!B265,"yyyy-mm-dd")</f>
        <v>yyyy-04-24</v>
      </c>
      <c r="O265">
        <f>LOG10('All Trades'!X265/Assumptions!$B$11)</f>
        <v>3.5164178384621976</v>
      </c>
      <c r="P265">
        <f>LOG10('All Trades'!AA265/Assumptions!$B$11)</f>
        <v>4.1505016819595859</v>
      </c>
    </row>
    <row r="266" spans="14:16">
      <c r="N266" t="str">
        <f>TEXT('All Trades'!B266,"yyyy-mm-dd")</f>
        <v>yyyy-05-01</v>
      </c>
      <c r="O266">
        <f>LOG10('All Trades'!X266/Assumptions!$B$11)</f>
        <v>3.4963302487969146</v>
      </c>
      <c r="P266">
        <f>LOG10('All Trades'!AA266/Assumptions!$B$11)</f>
        <v>4.1304140922943029</v>
      </c>
    </row>
    <row r="267" spans="14:16">
      <c r="N267" t="str">
        <f>TEXT('All Trades'!B267,"yyyy-mm-dd")</f>
        <v>yyyy-05-08</v>
      </c>
      <c r="O267">
        <f>LOG10('All Trades'!X267/Assumptions!$B$11)</f>
        <v>3.5328345859694066</v>
      </c>
      <c r="P267">
        <f>LOG10('All Trades'!AA267/Assumptions!$B$11)</f>
        <v>4.1669184294667945</v>
      </c>
    </row>
    <row r="268" spans="14:16">
      <c r="N268" t="str">
        <f>TEXT('All Trades'!B268,"yyyy-mm-dd")</f>
        <v>yyyy-05-15</v>
      </c>
      <c r="O268">
        <f>LOG10('All Trades'!X268/Assumptions!$B$11)</f>
        <v>3.6714732191424964</v>
      </c>
      <c r="P268">
        <f>LOG10('All Trades'!AA268/Assumptions!$B$11)</f>
        <v>4.3055570626398847</v>
      </c>
    </row>
    <row r="269" spans="14:16">
      <c r="N269" t="str">
        <f>TEXT('All Trades'!B269,"yyyy-mm-dd")</f>
        <v>yyyy-05-22</v>
      </c>
      <c r="O269">
        <f>LOG10('All Trades'!X269/Assumptions!$B$11)</f>
        <v>3.6844778047120545</v>
      </c>
      <c r="P269">
        <f>LOG10('All Trades'!AA269/Assumptions!$B$11)</f>
        <v>4.3185616482094424</v>
      </c>
    </row>
    <row r="270" spans="14:16">
      <c r="N270" t="str">
        <f>TEXT('All Trades'!B270,"yyyy-mm-dd")</f>
        <v>yyyy-05-30</v>
      </c>
      <c r="O270">
        <f>LOG10('All Trades'!X270/Assumptions!$B$11)</f>
        <v>3.603403605697856</v>
      </c>
      <c r="P270">
        <f>LOG10('All Trades'!AA270/Assumptions!$B$11)</f>
        <v>4.2374874491952443</v>
      </c>
    </row>
    <row r="271" spans="14:16">
      <c r="N271" t="str">
        <f>TEXT('All Trades'!B271,"yyyy-mm-dd")</f>
        <v>yyyy-06-05</v>
      </c>
      <c r="O271">
        <f>LOG10('All Trades'!X271/Assumptions!$B$11)</f>
        <v>3.5138481733080962</v>
      </c>
      <c r="P271">
        <f>LOG10('All Trades'!AA271/Assumptions!$B$11)</f>
        <v>4.1479320168054841</v>
      </c>
    </row>
    <row r="272" spans="14:16">
      <c r="N272" t="str">
        <f>TEXT('All Trades'!B272,"yyyy-mm-dd")</f>
        <v>yyyy-06-12</v>
      </c>
      <c r="O272">
        <f>LOG10('All Trades'!X272/Assumptions!$B$11)</f>
        <v>3.5728171060113314</v>
      </c>
      <c r="P272">
        <f>LOG10('All Trades'!AA272/Assumptions!$B$11)</f>
        <v>4.1479320168054841</v>
      </c>
    </row>
    <row r="273" spans="14:16">
      <c r="N273" t="str">
        <f>TEXT('All Trades'!B273,"yyyy-mm-dd")</f>
        <v>yyyy-06-20</v>
      </c>
      <c r="O273">
        <f>LOG10('All Trades'!X273/Assumptions!$B$11)</f>
        <v>3.5139939931361943</v>
      </c>
      <c r="P273">
        <f>LOG10('All Trades'!AA273/Assumptions!$B$11)</f>
        <v>4.0891089039303479</v>
      </c>
    </row>
    <row r="274" spans="14:16">
      <c r="N274" t="str">
        <f>TEXT('All Trades'!B274,"yyyy-mm-dd")</f>
        <v>yyyy-06-26</v>
      </c>
      <c r="O274">
        <f>LOG10('All Trades'!X274/Assumptions!$B$11)</f>
        <v>3.5994315714042582</v>
      </c>
      <c r="P274">
        <f>LOG10('All Trades'!AA274/Assumptions!$B$11)</f>
        <v>4.1745464821984113</v>
      </c>
    </row>
    <row r="275" spans="14:16">
      <c r="N275" t="str">
        <f>TEXT('All Trades'!B275,"yyyy-mm-dd")</f>
        <v>yyyy-07-03</v>
      </c>
      <c r="O275">
        <f>LOG10('All Trades'!X275/Assumptions!$B$11)</f>
        <v>3.5785208263233423</v>
      </c>
      <c r="P275">
        <f>LOG10('All Trades'!AA275/Assumptions!$B$11)</f>
        <v>4.1536357371174955</v>
      </c>
    </row>
    <row r="276" spans="14:16">
      <c r="N276" t="str">
        <f>TEXT('All Trades'!B276,"yyyy-mm-dd")</f>
        <v>yyyy-07-10</v>
      </c>
      <c r="O276">
        <f>LOG10('All Trades'!X276/Assumptions!$B$11)</f>
        <v>3.7265089269771523</v>
      </c>
      <c r="P276">
        <f>LOG10('All Trades'!AA276/Assumptions!$B$11)</f>
        <v>4.3016238377713059</v>
      </c>
    </row>
    <row r="277" spans="14:16">
      <c r="N277" t="str">
        <f>TEXT('All Trades'!B277,"yyyy-mm-dd")</f>
        <v>yyyy-07-17</v>
      </c>
      <c r="O277">
        <f>LOG10('All Trades'!X277/Assumptions!$B$11)</f>
        <v>3.7064213373118693</v>
      </c>
      <c r="P277">
        <f>LOG10('All Trades'!AA277/Assumptions!$B$11)</f>
        <v>4.281536248106022</v>
      </c>
    </row>
    <row r="278" spans="14:16">
      <c r="N278" t="str">
        <f>TEXT('All Trades'!B278,"yyyy-mm-dd")</f>
        <v>yyyy-07-24</v>
      </c>
      <c r="O278">
        <f>LOG10('All Trades'!X278/Assumptions!$B$11)</f>
        <v>3.7840904185813655</v>
      </c>
      <c r="P278">
        <f>LOG10('All Trades'!AA278/Assumptions!$B$11)</f>
        <v>4.3592053293755182</v>
      </c>
    </row>
    <row r="279" spans="14:16">
      <c r="N279" t="str">
        <f>TEXT('All Trades'!B279,"yyyy-mm-dd")</f>
        <v>yyyy-07-31</v>
      </c>
      <c r="O279">
        <f>LOG10('All Trades'!X279/Assumptions!$B$11)</f>
        <v>3.6414144703156066</v>
      </c>
      <c r="P279">
        <f>LOG10('All Trades'!AA279/Assumptions!$B$11)</f>
        <v>4.2165293811097593</v>
      </c>
    </row>
    <row r="280" spans="14:16">
      <c r="N280" t="str">
        <f>TEXT('All Trades'!B280,"yyyy-mm-dd")</f>
        <v>yyyy-08-07</v>
      </c>
      <c r="O280">
        <f>LOG10('All Trades'!X280/Assumptions!$B$11)</f>
        <v>3.622148478820324</v>
      </c>
      <c r="P280">
        <f>LOG10('All Trades'!AA280/Assumptions!$B$11)</f>
        <v>4.1972633896144771</v>
      </c>
    </row>
    <row r="281" spans="14:16">
      <c r="N281" t="str">
        <f>TEXT('All Trades'!B281,"yyyy-mm-dd")</f>
        <v>yyyy-08-14</v>
      </c>
      <c r="O281">
        <f>LOG10('All Trades'!X281/Assumptions!$B$11)</f>
        <v>3.6839359743126954</v>
      </c>
      <c r="P281">
        <f>LOG10('All Trades'!AA281/Assumptions!$B$11)</f>
        <v>4.1972633896144771</v>
      </c>
    </row>
    <row r="282" spans="14:16">
      <c r="N282" t="str">
        <f>TEXT('All Trades'!B282,"yyyy-mm-dd")</f>
        <v>yyyy-08-21</v>
      </c>
      <c r="O282">
        <f>LOG10('All Trades'!X282/Assumptions!$B$11)</f>
        <v>3.7375160647704111</v>
      </c>
      <c r="P282">
        <f>LOG10('All Trades'!AA282/Assumptions!$B$11)</f>
        <v>4.2508434800721924</v>
      </c>
    </row>
    <row r="283" spans="14:16">
      <c r="N283" t="str">
        <f>TEXT('All Trades'!B283,"yyyy-mm-dd")</f>
        <v>yyyy-08-28</v>
      </c>
      <c r="O283">
        <f>LOG10('All Trades'!X283/Assumptions!$B$11)</f>
        <v>3.8309419527621347</v>
      </c>
      <c r="P283">
        <f>LOG10('All Trades'!AA283/Assumptions!$B$11)</f>
        <v>4.3442693680639159</v>
      </c>
    </row>
    <row r="284" spans="14:16">
      <c r="N284" t="str">
        <f>TEXT('All Trades'!B284,"yyyy-mm-dd")</f>
        <v>yyyy-09-05</v>
      </c>
      <c r="O284">
        <f>LOG10('All Trades'!X284/Assumptions!$B$11)</f>
        <v>3.8019750669970125</v>
      </c>
      <c r="P284">
        <f>LOG10('All Trades'!AA284/Assumptions!$B$11)</f>
        <v>4.3153024822987938</v>
      </c>
    </row>
    <row r="285" spans="14:16">
      <c r="N285" t="str">
        <f>TEXT('All Trades'!B285,"yyyy-mm-dd")</f>
        <v>yyyy-09-11</v>
      </c>
      <c r="O285">
        <f>LOG10('All Trades'!X285/Assumptions!$B$11)</f>
        <v>3.7818874773317295</v>
      </c>
      <c r="P285">
        <f>LOG10('All Trades'!AA285/Assumptions!$B$11)</f>
        <v>4.2952148926335108</v>
      </c>
    </row>
    <row r="286" spans="14:16">
      <c r="N286" t="str">
        <f>TEXT('All Trades'!B286,"yyyy-mm-dd")</f>
        <v>yyyy-09-18</v>
      </c>
      <c r="O286">
        <f>LOG10('All Trades'!X286/Assumptions!$B$11)</f>
        <v>3.7109849061608897</v>
      </c>
      <c r="P286">
        <f>LOG10('All Trades'!AA286/Assumptions!$B$11)</f>
        <v>4.224312321462671</v>
      </c>
    </row>
    <row r="287" spans="14:16">
      <c r="N287" t="str">
        <f>TEXT('All Trades'!B287,"yyyy-mm-dd")</f>
        <v>yyyy-09-25</v>
      </c>
      <c r="O287">
        <f>LOG10('All Trades'!X287/Assumptions!$B$11)</f>
        <v>3.7495597687939934</v>
      </c>
      <c r="P287">
        <f>LOG10('All Trades'!AA287/Assumptions!$B$11)</f>
        <v>4.2628871840957752</v>
      </c>
    </row>
    <row r="288" spans="14:16">
      <c r="N288" t="str">
        <f>TEXT('All Trades'!B288,"yyyy-mm-dd")</f>
        <v>yyyy-10-02</v>
      </c>
      <c r="O288">
        <f>LOG10('All Trades'!X288/Assumptions!$B$11)</f>
        <v>3.7882244307345623</v>
      </c>
      <c r="P288">
        <f>LOG10('All Trades'!AA288/Assumptions!$B$11)</f>
        <v>4.3015518460363431</v>
      </c>
    </row>
    <row r="289" spans="14:16">
      <c r="N289" t="str">
        <f>TEXT('All Trades'!B289,"yyyy-mm-dd")</f>
        <v>yyyy-10-09</v>
      </c>
      <c r="O289">
        <f>LOG10('All Trades'!X289/Assumptions!$B$11)</f>
        <v>3.8423247612203006</v>
      </c>
      <c r="P289">
        <f>LOG10('All Trades'!AA289/Assumptions!$B$11)</f>
        <v>4.3556521765220824</v>
      </c>
    </row>
    <row r="290" spans="14:16">
      <c r="N290" t="str">
        <f>TEXT('All Trades'!B290,"yyyy-mm-dd")</f>
        <v>yyyy-10-16</v>
      </c>
      <c r="O290">
        <f>LOG10('All Trades'!X290/Assumptions!$B$11)</f>
        <v>3.8769752728687021</v>
      </c>
      <c r="P290">
        <f>LOG10('All Trades'!AA290/Assumptions!$B$11)</f>
        <v>4.3903026881704834</v>
      </c>
    </row>
    <row r="291" spans="14:16">
      <c r="N291" t="str">
        <f>TEXT('All Trades'!B291,"yyyy-mm-dd")</f>
        <v>yyyy-10-23</v>
      </c>
      <c r="O291">
        <f>LOG10('All Trades'!X291/Assumptions!$B$11)</f>
        <v>3.9146511197147684</v>
      </c>
      <c r="P291">
        <f>LOG10('All Trades'!AA291/Assumptions!$B$11)</f>
        <v>4.4279785350165497</v>
      </c>
    </row>
    <row r="292" spans="14:16">
      <c r="N292" t="str">
        <f>TEXT('All Trades'!B292,"yyyy-mm-dd")</f>
        <v>yyyy-10-30</v>
      </c>
      <c r="O292">
        <f>LOG10('All Trades'!X292/Assumptions!$B$11)</f>
        <v>4.1321287468720866</v>
      </c>
      <c r="P292">
        <f>LOG10('All Trades'!AA292/Assumptions!$B$11)</f>
        <v>4.6454561621738675</v>
      </c>
    </row>
    <row r="293" spans="14:16">
      <c r="N293" t="str">
        <f>TEXT('All Trades'!B293,"yyyy-mm-dd")</f>
        <v>yyyy-11-06</v>
      </c>
      <c r="O293">
        <f>LOG10('All Trades'!X293/Assumptions!$B$11)</f>
        <v>4.2467183827709309</v>
      </c>
      <c r="P293">
        <f>LOG10('All Trades'!AA293/Assumptions!$B$11)</f>
        <v>4.7600457980727127</v>
      </c>
    </row>
    <row r="294" spans="14:16">
      <c r="N294" t="str">
        <f>TEXT('All Trades'!B294,"yyyy-mm-dd")</f>
        <v>yyyy-11-13</v>
      </c>
      <c r="O294">
        <f>LOG10('All Trades'!X294/Assumptions!$B$11)</f>
        <v>4.3363681387384059</v>
      </c>
      <c r="P294">
        <f>LOG10('All Trades'!AA294/Assumptions!$B$11)</f>
        <v>4.8496955540401876</v>
      </c>
    </row>
    <row r="295" spans="14:16">
      <c r="N295" t="str">
        <f>TEXT('All Trades'!B295,"yyyy-mm-dd")</f>
        <v>yyyy-11-20</v>
      </c>
      <c r="O295">
        <f>LOG10('All Trades'!X295/Assumptions!$B$11)</f>
        <v>4.3918527369228118</v>
      </c>
      <c r="P295">
        <f>LOG10('All Trades'!AA295/Assumptions!$B$11)</f>
        <v>4.9051801522245926</v>
      </c>
    </row>
    <row r="296" spans="14:16">
      <c r="N296" t="str">
        <f>TEXT('All Trades'!B296,"yyyy-mm-dd")</f>
        <v>yyyy-11-27</v>
      </c>
      <c r="O296">
        <f>LOG10('All Trades'!X296/Assumptions!$B$11)</f>
        <v>4.3717651472575287</v>
      </c>
      <c r="P296">
        <f>LOG10('All Trades'!AA296/Assumptions!$B$11)</f>
        <v>4.8850925625593096</v>
      </c>
    </row>
    <row r="297" spans="14:16">
      <c r="N297" t="str">
        <f>TEXT('All Trades'!B297,"yyyy-mm-dd")</f>
        <v>yyyy-12-04</v>
      </c>
      <c r="O297">
        <f>LOG10('All Trades'!X297/Assumptions!$B$11)</f>
        <v>4.4429845342658014</v>
      </c>
      <c r="P297">
        <f>LOG10('All Trades'!AA297/Assumptions!$B$11)</f>
        <v>4.9563119495675831</v>
      </c>
    </row>
    <row r="298" spans="14:16">
      <c r="N298" t="str">
        <f>TEXT('All Trades'!B298,"yyyy-mm-dd")</f>
        <v>yyyy-12-11</v>
      </c>
      <c r="O298">
        <f>LOG10('All Trades'!X298/Assumptions!$B$11)</f>
        <v>4.4899204028312134</v>
      </c>
      <c r="P298">
        <f>LOG10('All Trades'!AA298/Assumptions!$B$11)</f>
        <v>5.0032478181329942</v>
      </c>
    </row>
    <row r="299" spans="14:16">
      <c r="N299" t="str">
        <f>TEXT('All Trades'!B299,"yyyy-mm-dd")</f>
        <v>yyyy-12-18</v>
      </c>
      <c r="O299">
        <f>LOG10('All Trades'!X299/Assumptions!$B$11)</f>
        <v>4.4765143533842719</v>
      </c>
      <c r="P299">
        <f>LOG10('All Trades'!AA299/Assumptions!$B$11)</f>
        <v>4.9898417686860537</v>
      </c>
    </row>
    <row r="300" spans="14:16">
      <c r="N300" t="str">
        <f>TEXT('All Trades'!B300,"yyyy-mm-dd")</f>
        <v>yyyy-12-26</v>
      </c>
      <c r="O300">
        <f>LOG10('All Trades'!X300/Assumptions!$B$11)</f>
        <v>4.479887414602489</v>
      </c>
      <c r="P300">
        <f>LOG10('All Trades'!AA300/Assumptions!$B$11)</f>
        <v>4.9932148299042707</v>
      </c>
    </row>
    <row r="301" spans="14:16">
      <c r="N301" t="str">
        <f>TEXT('All Trades'!B301,"yyyy-mm-dd")</f>
        <v>yyyy-01-02</v>
      </c>
      <c r="O301">
        <f>LOG10('All Trades'!X301/Assumptions!$B$11)</f>
        <v>4.3845028929624927</v>
      </c>
      <c r="P301">
        <f>LOG10('All Trades'!AA301/Assumptions!$B$11)</f>
        <v>4.8978303082642745</v>
      </c>
    </row>
    <row r="302" spans="14:16">
      <c r="N302" t="str">
        <f>TEXT('All Trades'!B302,"yyyy-mm-dd")</f>
        <v>yyyy-01-08</v>
      </c>
      <c r="O302">
        <f>LOG10('All Trades'!X302/Assumptions!$B$11)</f>
        <v>4.4641373782441471</v>
      </c>
      <c r="P302">
        <f>LOG10('All Trades'!AA302/Assumptions!$B$11)</f>
        <v>4.977464793545928</v>
      </c>
    </row>
    <row r="303" spans="14:16">
      <c r="N303" t="str">
        <f>TEXT('All Trades'!B303,"yyyy-mm-dd")</f>
        <v>yyyy-01-16</v>
      </c>
      <c r="O303">
        <f>LOG10('All Trades'!X303/Assumptions!$B$11)</f>
        <v>4.5987632162017738</v>
      </c>
      <c r="P303">
        <f>LOG10('All Trades'!AA303/Assumptions!$B$11)</f>
        <v>5.1120906315035555</v>
      </c>
    </row>
    <row r="304" spans="14:16">
      <c r="N304" t="str">
        <f>TEXT('All Trades'!B304,"yyyy-mm-dd")</f>
        <v>yyyy-01-22</v>
      </c>
      <c r="O304">
        <f>LOG10('All Trades'!X304/Assumptions!$B$11)</f>
        <v>4.6023796871795373</v>
      </c>
      <c r="P304">
        <f>LOG10('All Trades'!AA304/Assumptions!$B$11)</f>
        <v>5.115707102481319</v>
      </c>
    </row>
    <row r="305" spans="14:16">
      <c r="N305" t="str">
        <f>TEXT('All Trades'!B305,"yyyy-mm-dd")</f>
        <v>yyyy-01-29</v>
      </c>
      <c r="O305">
        <f>LOG10('All Trades'!X305/Assumptions!$B$11)</f>
        <v>4.6442648198688792</v>
      </c>
      <c r="P305">
        <f>LOG10('All Trades'!AA305/Assumptions!$B$11)</f>
        <v>5.1575922351706609</v>
      </c>
    </row>
    <row r="306" spans="14:16">
      <c r="N306" t="str">
        <f>TEXT('All Trades'!B306,"yyyy-mm-dd")</f>
        <v>yyyy-02-05</v>
      </c>
      <c r="O306">
        <f>LOG10('All Trades'!X306/Assumptions!$B$11)</f>
        <v>4.7252861044142183</v>
      </c>
      <c r="P306">
        <f>LOG10('All Trades'!AA306/Assumptions!$B$11)</f>
        <v>5.238613519716</v>
      </c>
    </row>
    <row r="307" spans="14:16">
      <c r="N307" t="str">
        <f>TEXT('All Trades'!B307,"yyyy-mm-dd")</f>
        <v>yyyy-02-12</v>
      </c>
      <c r="O307">
        <f>LOG10('All Trades'!X307/Assumptions!$B$11)</f>
        <v>4.682839759737365</v>
      </c>
      <c r="P307">
        <f>LOG10('All Trades'!AA307/Assumptions!$B$11)</f>
        <v>5.1961671750391467</v>
      </c>
    </row>
    <row r="308" spans="14:16">
      <c r="N308" t="str">
        <f>TEXT('All Trades'!B308,"yyyy-mm-dd")</f>
        <v>yyyy-02-20</v>
      </c>
      <c r="O308">
        <f>LOG10('All Trades'!X308/Assumptions!$B$11)</f>
        <v>4.6950339214081867</v>
      </c>
      <c r="P308">
        <f>LOG10('All Trades'!AA308/Assumptions!$B$11)</f>
        <v>5.2083613367099684</v>
      </c>
    </row>
    <row r="309" spans="14:16">
      <c r="N309" t="str">
        <f>TEXT('All Trades'!B309,"yyyy-mm-dd")</f>
        <v>yyyy-02-26</v>
      </c>
      <c r="O309">
        <f>LOG10('All Trades'!X309/Assumptions!$B$11)</f>
        <v>4.6532364589360595</v>
      </c>
      <c r="P309">
        <f>LOG10('All Trades'!AA309/Assumptions!$B$11)</f>
        <v>5.1665638742378412</v>
      </c>
    </row>
    <row r="310" spans="14:16">
      <c r="N310" t="str">
        <f>TEXT('All Trades'!B310,"yyyy-mm-dd")</f>
        <v>yyyy-03-04</v>
      </c>
      <c r="O310">
        <f>LOG10('All Trades'!X310/Assumptions!$B$11)</f>
        <v>4.57399197500804</v>
      </c>
      <c r="P310">
        <f>LOG10('All Trades'!AA310/Assumptions!$B$11)</f>
        <v>5.0873193903098217</v>
      </c>
    </row>
    <row r="311" spans="14:16">
      <c r="N311" t="str">
        <f>TEXT('All Trades'!B311,"yyyy-mm-dd")</f>
        <v>yyyy-03-11</v>
      </c>
      <c r="O311">
        <f>LOG10('All Trades'!X311/Assumptions!$B$11)</f>
        <v>4.553904385342757</v>
      </c>
      <c r="P311">
        <f>LOG10('All Trades'!AA311/Assumptions!$B$11)</f>
        <v>5.0873193903098217</v>
      </c>
    </row>
    <row r="312" spans="14:16">
      <c r="N312" t="str">
        <f>TEXT('All Trades'!B312,"yyyy-mm-dd")</f>
        <v>yyyy-03-18</v>
      </c>
      <c r="O312">
        <f>LOG10('All Trades'!X312/Assumptions!$B$11)</f>
        <v>4.6270770510783805</v>
      </c>
      <c r="P312">
        <f>LOG10('All Trades'!AA312/Assumptions!$B$11)</f>
        <v>5.1604920560454453</v>
      </c>
    </row>
    <row r="313" spans="14:16">
      <c r="N313" t="str">
        <f>TEXT('All Trades'!B313,"yyyy-mm-dd")</f>
        <v>yyyy-03-25</v>
      </c>
      <c r="O313">
        <f>LOG10('All Trades'!X313/Assumptions!$B$11)</f>
        <v>4.6301578403906287</v>
      </c>
      <c r="P313">
        <f>LOG10('All Trades'!AA313/Assumptions!$B$11)</f>
        <v>5.1635728453576926</v>
      </c>
    </row>
    <row r="314" spans="14:16">
      <c r="N314" t="str">
        <f>TEXT('All Trades'!B314,"yyyy-mm-dd")</f>
        <v>yyyy-04-01</v>
      </c>
      <c r="O314">
        <f>LOG10('All Trades'!X314/Assumptions!$B$11)</f>
        <v>4.6100702507253448</v>
      </c>
      <c r="P314">
        <f>LOG10('All Trades'!AA314/Assumptions!$B$11)</f>
        <v>5.1434852556924096</v>
      </c>
    </row>
    <row r="315" spans="14:16">
      <c r="N315" t="str">
        <f>TEXT('All Trades'!B315,"yyyy-mm-dd")</f>
        <v>yyyy-04-08</v>
      </c>
      <c r="O315">
        <f>LOG10('All Trades'!X315/Assumptions!$B$11)</f>
        <v>4.5681647085230725</v>
      </c>
      <c r="P315">
        <f>LOG10('All Trades'!AA315/Assumptions!$B$11)</f>
        <v>5.1015797134901373</v>
      </c>
    </row>
    <row r="316" spans="14:16">
      <c r="N316" t="str">
        <f>TEXT('All Trades'!B316,"yyyy-mm-dd")</f>
        <v>yyyy-04-15</v>
      </c>
      <c r="O316">
        <f>LOG10('All Trades'!X316/Assumptions!$B$11)</f>
        <v>4.3476082319308844</v>
      </c>
      <c r="P316">
        <f>LOG10('All Trades'!AA316/Assumptions!$B$11)</f>
        <v>4.8810232368979491</v>
      </c>
    </row>
    <row r="317" spans="14:16">
      <c r="N317" t="str">
        <f>TEXT('All Trades'!B317,"yyyy-mm-dd")</f>
        <v>yyyy-04-22</v>
      </c>
      <c r="O317">
        <f>LOG10('All Trades'!X317/Assumptions!$B$11)</f>
        <v>4.4864607934844596</v>
      </c>
      <c r="P317">
        <f>LOG10('All Trades'!AA317/Assumptions!$B$11)</f>
        <v>4.8810232368979491</v>
      </c>
    </row>
    <row r="318" spans="14:16">
      <c r="N318" t="str">
        <f>TEXT('All Trades'!B318,"yyyy-mm-dd")</f>
        <v>yyyy-04-29</v>
      </c>
      <c r="O318">
        <f>LOG10('All Trades'!X318/Assumptions!$B$11)</f>
        <v>4.3593829639696038</v>
      </c>
      <c r="P318">
        <f>LOG10('All Trades'!AA318/Assumptions!$B$11)</f>
        <v>4.8810232368979491</v>
      </c>
    </row>
    <row r="319" spans="14:16">
      <c r="N319" t="str">
        <f>TEXT('All Trades'!B319,"yyyy-mm-dd")</f>
        <v>yyyy-05-06</v>
      </c>
      <c r="O319">
        <f>LOG10('All Trades'!X319/Assumptions!$B$11)</f>
        <v>4.4095662184394087</v>
      </c>
      <c r="P319">
        <f>LOG10('All Trades'!AA319/Assumptions!$B$11)</f>
        <v>4.9312064913677549</v>
      </c>
    </row>
    <row r="320" spans="14:16">
      <c r="N320" t="str">
        <f>TEXT('All Trades'!B320,"yyyy-mm-dd")</f>
        <v>yyyy-05-13</v>
      </c>
      <c r="O320">
        <f>LOG10('All Trades'!X320/Assumptions!$B$11)</f>
        <v>4.4829461637213832</v>
      </c>
      <c r="P320">
        <f>LOG10('All Trades'!AA320/Assumptions!$B$11)</f>
        <v>5.0045864366497286</v>
      </c>
    </row>
    <row r="321" spans="14:16">
      <c r="N321" t="str">
        <f>TEXT('All Trades'!B321,"yyyy-mm-dd")</f>
        <v>yyyy-05-20</v>
      </c>
      <c r="O321">
        <f>LOG10('All Trades'!X321/Assumptions!$B$11)</f>
        <v>4.5440520491368366</v>
      </c>
      <c r="P321">
        <f>LOG10('All Trades'!AA321/Assumptions!$B$11)</f>
        <v>5.0656923220651819</v>
      </c>
    </row>
    <row r="322" spans="14:16">
      <c r="N322" t="str">
        <f>TEXT('All Trades'!B322,"yyyy-mm-dd")</f>
        <v>yyyy-05-28</v>
      </c>
      <c r="O322">
        <f>LOG10('All Trades'!X322/Assumptions!$B$11)</f>
        <v>4.4979648521982565</v>
      </c>
      <c r="P322">
        <f>LOG10('All Trades'!AA322/Assumptions!$B$11)</f>
        <v>5.0196051251266018</v>
      </c>
    </row>
    <row r="323" spans="14:16">
      <c r="N323" t="str">
        <f>TEXT('All Trades'!B323,"yyyy-mm-dd")</f>
        <v>yyyy-06-03</v>
      </c>
      <c r="O323">
        <f>LOG10('All Trades'!X323/Assumptions!$B$11)</f>
        <v>4.5794745399335213</v>
      </c>
      <c r="P323">
        <f>LOG10('All Trades'!AA323/Assumptions!$B$11)</f>
        <v>5.1011148128618666</v>
      </c>
    </row>
    <row r="324" spans="14:16">
      <c r="N324" t="str">
        <f>TEXT('All Trades'!B324,"yyyy-mm-dd")</f>
        <v>yyyy-06-10</v>
      </c>
      <c r="O324">
        <f>LOG10('All Trades'!X324/Assumptions!$B$11)</f>
        <v>4.7327703790242488</v>
      </c>
      <c r="P324">
        <f>LOG10('All Trades'!AA324/Assumptions!$B$11)</f>
        <v>5.2544106519525942</v>
      </c>
    </row>
    <row r="325" spans="14:16">
      <c r="N325" t="str">
        <f>TEXT('All Trades'!B325,"yyyy-mm-dd")</f>
        <v>yyyy-06-17</v>
      </c>
      <c r="O325">
        <f>LOG10('All Trades'!X325/Assumptions!$B$11)</f>
        <v>4.7847859997502313</v>
      </c>
      <c r="P325">
        <f>LOG10('All Trades'!AA325/Assumptions!$B$11)</f>
        <v>5.3064262726785767</v>
      </c>
    </row>
    <row r="326" spans="14:16">
      <c r="N326" t="str">
        <f>TEXT('All Trades'!B326,"yyyy-mm-dd")</f>
        <v>yyyy-06-24</v>
      </c>
      <c r="O326">
        <f>LOG10('All Trades'!X326/Assumptions!$B$11)</f>
        <v>4.7972663661025425</v>
      </c>
      <c r="P326">
        <f>LOG10('All Trades'!AA326/Assumptions!$B$11)</f>
        <v>5.3189066390308888</v>
      </c>
    </row>
    <row r="327" spans="14:16">
      <c r="N327" t="str">
        <f>TEXT('All Trades'!B327,"yyyy-mm-dd")</f>
        <v>yyyy-07-01</v>
      </c>
      <c r="O327">
        <f>LOG10('All Trades'!X327/Assumptions!$B$11)</f>
        <v>4.9349410153578974</v>
      </c>
      <c r="P327">
        <f>LOG10('All Trades'!AA327/Assumptions!$B$11)</f>
        <v>5.4565812882862428</v>
      </c>
    </row>
    <row r="328" spans="14:16">
      <c r="N328" t="str">
        <f>TEXT('All Trades'!B328,"yyyy-mm-dd")</f>
        <v>yyyy-07-08</v>
      </c>
      <c r="O328">
        <f>LOG10('All Trades'!X328/Assumptions!$B$11)</f>
        <v>4.9148534256926144</v>
      </c>
      <c r="P328">
        <f>LOG10('All Trades'!AA328/Assumptions!$B$11)</f>
        <v>5.4364936986209598</v>
      </c>
    </row>
    <row r="329" spans="14:16">
      <c r="N329" t="str">
        <f>TEXT('All Trades'!B329,"yyyy-mm-dd")</f>
        <v>yyyy-07-15</v>
      </c>
      <c r="O329">
        <f>LOG10('All Trades'!X329/Assumptions!$B$11)</f>
        <v>4.7530165449797614</v>
      </c>
      <c r="P329">
        <f>LOG10('All Trades'!AA329/Assumptions!$B$11)</f>
        <v>5.2746568179081068</v>
      </c>
    </row>
    <row r="330" spans="14:16">
      <c r="N330" t="str">
        <f>TEXT('All Trades'!B330,"yyyy-mm-dd")</f>
        <v>yyyy-07-22</v>
      </c>
      <c r="O330">
        <f>LOG10('All Trades'!X330/Assumptions!$B$11)</f>
        <v>4.5394172676016282</v>
      </c>
      <c r="P330">
        <f>LOG10('All Trades'!AA330/Assumptions!$B$11)</f>
        <v>5.2746568179081068</v>
      </c>
    </row>
    <row r="331" spans="14:16">
      <c r="N331" t="str">
        <f>TEXT('All Trades'!B331,"yyyy-mm-dd")</f>
        <v>yyyy-07-29</v>
      </c>
      <c r="O331">
        <f>LOG10('All Trades'!X331/Assumptions!$B$11)</f>
        <v>4.5205102371286854</v>
      </c>
      <c r="P331">
        <f>LOG10('All Trades'!AA331/Assumptions!$B$11)</f>
        <v>5.2746568179081068</v>
      </c>
    </row>
    <row r="332" spans="14:16">
      <c r="N332" t="str">
        <f>TEXT('All Trades'!B332,"yyyy-mm-dd")</f>
        <v>yyyy-08-05</v>
      </c>
      <c r="O332">
        <f>LOG10('All Trades'!X332/Assumptions!$B$11)</f>
        <v>4.6406802841294894</v>
      </c>
      <c r="P332">
        <f>LOG10('All Trades'!AA332/Assumptions!$B$11)</f>
        <v>5.3948268649089108</v>
      </c>
    </row>
    <row r="333" spans="14:16">
      <c r="N333" t="str">
        <f>TEXT('All Trades'!B333,"yyyy-mm-dd")</f>
        <v>yyyy-08-12</v>
      </c>
      <c r="O333">
        <f>LOG10('All Trades'!X333/Assumptions!$B$11)</f>
        <v>4.7452414786689063</v>
      </c>
      <c r="P333">
        <f>LOG10('All Trades'!AA333/Assumptions!$B$11)</f>
        <v>5.4993880594483278</v>
      </c>
    </row>
    <row r="334" spans="14:16">
      <c r="N334" t="str">
        <f>TEXT('All Trades'!B334,"yyyy-mm-dd")</f>
        <v>yyyy-08-19</v>
      </c>
      <c r="O334">
        <f>LOG10('All Trades'!X334/Assumptions!$B$11)</f>
        <v>4.8020198328408696</v>
      </c>
      <c r="P334">
        <f>LOG10('All Trades'!AA334/Assumptions!$B$11)</f>
        <v>5.5561664136202911</v>
      </c>
    </row>
    <row r="335" spans="14:16">
      <c r="N335" t="str">
        <f>TEXT('All Trades'!B335,"yyyy-mm-dd")</f>
        <v>yyyy-08-26</v>
      </c>
      <c r="O335">
        <f>LOG10('All Trades'!X335/Assumptions!$B$11)</f>
        <v>4.7824972588436951</v>
      </c>
      <c r="P335">
        <f>LOG10('All Trades'!AA335/Assumptions!$B$11)</f>
        <v>5.5366438396231166</v>
      </c>
    </row>
    <row r="336" spans="14:16">
      <c r="N336" t="str">
        <f>TEXT('All Trades'!B336,"yyyy-mm-dd")</f>
        <v>yyyy-09-03</v>
      </c>
      <c r="O336">
        <f>LOG10('All Trades'!X336/Assumptions!$B$11)</f>
        <v>4.634057673580239</v>
      </c>
      <c r="P336">
        <f>LOG10('All Trades'!AA336/Assumptions!$B$11)</f>
        <v>5.3882042543596604</v>
      </c>
    </row>
    <row r="337" spans="14:16">
      <c r="N337" t="str">
        <f>TEXT('All Trades'!B337,"yyyy-mm-dd")</f>
        <v>yyyy-09-09</v>
      </c>
      <c r="O337">
        <f>LOG10('All Trades'!X337/Assumptions!$B$11)</f>
        <v>4.8240328237656742</v>
      </c>
      <c r="P337">
        <f>LOG10('All Trades'!AA337/Assumptions!$B$11)</f>
        <v>5.3882042543596604</v>
      </c>
    </row>
    <row r="338" spans="14:16">
      <c r="N338" t="str">
        <f>TEXT('All Trades'!B338,"yyyy-mm-dd")</f>
        <v>yyyy-09-16</v>
      </c>
      <c r="O338">
        <f>LOG10('All Trades'!X338/Assumptions!$B$11)</f>
        <v>4.9112404804773391</v>
      </c>
      <c r="P338">
        <f>LOG10('All Trades'!AA338/Assumptions!$B$11)</f>
        <v>5.3882042543596604</v>
      </c>
    </row>
    <row r="339" spans="14:16">
      <c r="N339" t="str">
        <f>TEXT('All Trades'!B339,"yyyy-mm-dd")</f>
        <v>yyyy-09-23</v>
      </c>
      <c r="O339">
        <f>LOG10('All Trades'!X339/Assumptions!$B$11)</f>
        <v>4.9476996964148361</v>
      </c>
      <c r="P339">
        <f>LOG10('All Trades'!AA339/Assumptions!$B$11)</f>
        <v>5.4246634702971575</v>
      </c>
    </row>
    <row r="340" spans="14:16">
      <c r="N340" t="str">
        <f>TEXT('All Trades'!B340,"yyyy-mm-dd")</f>
        <v>yyyy-09-30</v>
      </c>
      <c r="O340">
        <f>LOG10('All Trades'!X340/Assumptions!$B$11)</f>
        <v>4.9276635021964212</v>
      </c>
      <c r="P340">
        <f>LOG10('All Trades'!AA340/Assumptions!$B$11)</f>
        <v>5.4046272760787426</v>
      </c>
    </row>
    <row r="341" spans="14:16">
      <c r="N341" t="str">
        <f>TEXT('All Trades'!B341,"yyyy-mm-dd")</f>
        <v>yyyy-10-07</v>
      </c>
      <c r="O341">
        <f>LOG10('All Trades'!X341/Assumptions!$B$11)</f>
        <v>5.0021610507185317</v>
      </c>
      <c r="P341">
        <f>LOG10('All Trades'!AA341/Assumptions!$B$11)</f>
        <v>5.479124824600853</v>
      </c>
    </row>
    <row r="342" spans="14:16">
      <c r="N342" t="str">
        <f>TEXT('All Trades'!B342,"yyyy-mm-dd")</f>
        <v>yyyy-10-14</v>
      </c>
      <c r="O342">
        <f>LOG10('All Trades'!X342/Assumptions!$B$11)</f>
        <v>4.9455798800119632</v>
      </c>
      <c r="P342">
        <f>LOG10('All Trades'!AA342/Assumptions!$B$11)</f>
        <v>5.4225436538942846</v>
      </c>
    </row>
    <row r="343" spans="14:16">
      <c r="N343" t="str">
        <f>TEXT('All Trades'!B343,"yyyy-mm-dd")</f>
        <v>yyyy-10-21</v>
      </c>
      <c r="O343">
        <f>LOG10('All Trades'!X343/Assumptions!$B$11)</f>
        <v>4.9139292507976995</v>
      </c>
      <c r="P343">
        <f>LOG10('All Trades'!AA343/Assumptions!$B$11)</f>
        <v>5.3908930246800217</v>
      </c>
    </row>
    <row r="344" spans="14:16">
      <c r="N344" t="str">
        <f>TEXT('All Trades'!B344,"yyyy-mm-dd")</f>
        <v>yyyy-10-28</v>
      </c>
      <c r="O344">
        <f>LOG10('All Trades'!X344/Assumptions!$B$11)</f>
        <v>4.8714287888162335</v>
      </c>
      <c r="P344">
        <f>LOG10('All Trades'!AA344/Assumptions!$B$11)</f>
        <v>5.3483925626985549</v>
      </c>
    </row>
    <row r="345" spans="14:16">
      <c r="N345" t="str">
        <f>TEXT('All Trades'!B345,"yyyy-mm-dd")</f>
        <v>yyyy-11-04</v>
      </c>
      <c r="O345">
        <f>LOG10('All Trades'!X345/Assumptions!$B$11)</f>
        <v>5.081436528406523</v>
      </c>
      <c r="P345">
        <f>LOG10('All Trades'!AA345/Assumptions!$B$11)</f>
        <v>5.5584003022888453</v>
      </c>
    </row>
    <row r="346" spans="14:16">
      <c r="N346" t="str">
        <f>TEXT('All Trades'!B346,"yyyy-mm-dd")</f>
        <v>yyyy-11-11</v>
      </c>
      <c r="O346">
        <f>LOG10('All Trades'!X346/Assumptions!$B$11)</f>
        <v>5.0626832475931636</v>
      </c>
      <c r="P346">
        <f>LOG10('All Trades'!AA346/Assumptions!$B$11)</f>
        <v>5.5396470214754858</v>
      </c>
    </row>
    <row r="347" spans="14:16">
      <c r="N347" t="str">
        <f>TEXT('All Trades'!B347,"yyyy-mm-dd")</f>
        <v>yyyy-11-18</v>
      </c>
      <c r="O347">
        <f>LOG10('All Trades'!X347/Assumptions!$B$11)</f>
        <v>5.1326094769315702</v>
      </c>
      <c r="P347">
        <f>LOG10('All Trades'!AA347/Assumptions!$B$11)</f>
        <v>5.6095732508138916</v>
      </c>
    </row>
    <row r="348" spans="14:16">
      <c r="N348" t="str">
        <f>TEXT('All Trades'!B348,"yyyy-mm-dd")</f>
        <v>yyyy-11-25</v>
      </c>
      <c r="O348">
        <f>LOG10('All Trades'!X348/Assumptions!$B$11)</f>
        <v>5.112881527732366</v>
      </c>
      <c r="P348">
        <f>LOG10('All Trades'!AA348/Assumptions!$B$11)</f>
        <v>5.5898453016146883</v>
      </c>
    </row>
    <row r="349" spans="14:16">
      <c r="N349" t="str">
        <f>TEXT('All Trades'!B349,"yyyy-mm-dd")</f>
        <v>yyyy-12-02</v>
      </c>
      <c r="O349">
        <f>LOG10('All Trades'!X349/Assumptions!$B$11)</f>
        <v>5.1525327585160454</v>
      </c>
      <c r="P349">
        <f>LOG10('All Trades'!AA349/Assumptions!$B$11)</f>
        <v>5.6294965323983677</v>
      </c>
    </row>
    <row r="350" spans="14:16">
      <c r="N350" t="str">
        <f>TEXT('All Trades'!B350,"yyyy-mm-dd")</f>
        <v>yyyy-12-09</v>
      </c>
      <c r="O350">
        <f>LOG10('All Trades'!X350/Assumptions!$B$11)</f>
        <v>5.1327534503376402</v>
      </c>
      <c r="P350">
        <f>LOG10('All Trades'!AA350/Assumptions!$B$11)</f>
        <v>5.6097172242199616</v>
      </c>
    </row>
    <row r="351" spans="14:16">
      <c r="N351" t="str">
        <f>TEXT('All Trades'!B351,"yyyy-mm-dd")</f>
        <v>yyyy-12-16</v>
      </c>
      <c r="O351">
        <f>LOG10('All Trades'!X351/Assumptions!$B$11)</f>
        <v>5.1787633229329115</v>
      </c>
      <c r="P351">
        <f>LOG10('All Trades'!AA351/Assumptions!$B$11)</f>
        <v>5.6557270968152329</v>
      </c>
    </row>
    <row r="352" spans="14:16">
      <c r="N352" t="str">
        <f>TEXT('All Trades'!B352,"yyyy-mm-dd")</f>
        <v>yyyy-12-23</v>
      </c>
      <c r="O352">
        <f>LOG10('All Trades'!X352/Assumptions!$B$11)</f>
        <v>5.2120068892596247</v>
      </c>
      <c r="P352">
        <f>LOG10('All Trades'!AA352/Assumptions!$B$11)</f>
        <v>5.6889706631419461</v>
      </c>
    </row>
    <row r="353" spans="14:16">
      <c r="N353" t="str">
        <f>TEXT('All Trades'!B353,"yyyy-mm-dd")</f>
        <v>yyyy-12-30</v>
      </c>
      <c r="O353">
        <f>LOG10('All Trades'!X353/Assumptions!$B$11)</f>
        <v>5.1838261939101713</v>
      </c>
      <c r="P353">
        <f>LOG10('All Trades'!AA353/Assumptions!$B$11)</f>
        <v>5.6607899677924927</v>
      </c>
    </row>
    <row r="354" spans="14:16">
      <c r="N354" t="str">
        <f>TEXT('All Trades'!B354,"yyyy-mm-dd")</f>
        <v>yyyy-01-06</v>
      </c>
      <c r="O354">
        <f>LOG10('All Trades'!X354/Assumptions!$B$11)</f>
        <v>5.0460977418143127</v>
      </c>
      <c r="P354">
        <f>LOG10('All Trades'!AA354/Assumptions!$B$11)</f>
        <v>5.6607899677924927</v>
      </c>
    </row>
    <row r="355" spans="14:16">
      <c r="N355" t="str">
        <f>TEXT('All Trades'!B355,"yyyy-mm-dd")</f>
        <v>yyyy-01-13</v>
      </c>
      <c r="O355">
        <f>LOG10('All Trades'!X355/Assumptions!$B$11)</f>
        <v>5.0894509801277126</v>
      </c>
      <c r="P355">
        <f>LOG10('All Trades'!AA355/Assumptions!$B$11)</f>
        <v>5.7041432061058925</v>
      </c>
    </row>
    <row r="356" spans="14:16">
      <c r="N356" t="str">
        <f>TEXT('All Trades'!B356,"yyyy-mm-dd")</f>
        <v>yyyy-01-21</v>
      </c>
      <c r="O356">
        <f>LOG10('All Trades'!X356/Assumptions!$B$11)</f>
        <v>5.1355932588042368</v>
      </c>
      <c r="P356">
        <f>LOG10('All Trades'!AA356/Assumptions!$B$11)</f>
        <v>5.7502854847824167</v>
      </c>
    </row>
    <row r="357" spans="14:16">
      <c r="N357" t="str">
        <f>TEXT('All Trades'!B357,"yyyy-mm-dd")</f>
        <v>yyyy-01-27</v>
      </c>
      <c r="O357">
        <f>LOG10('All Trades'!X357/Assumptions!$B$11)</f>
        <v>5.1855578585687852</v>
      </c>
      <c r="P357">
        <f>LOG10('All Trades'!AA357/Assumptions!$B$11)</f>
        <v>5.800250084546966</v>
      </c>
    </row>
    <row r="358" spans="14:16">
      <c r="N358" t="str">
        <f>TEXT('All Trades'!B358,"yyyy-mm-dd")</f>
        <v>yyyy-02-03</v>
      </c>
      <c r="O358">
        <f>LOG10('All Trades'!X358/Assumptions!$B$11)</f>
        <v>5.2253882249696844</v>
      </c>
      <c r="P358">
        <f>LOG10('All Trades'!AA358/Assumptions!$B$11)</f>
        <v>5.8400804509478643</v>
      </c>
    </row>
    <row r="359" spans="14:16">
      <c r="N359" t="str">
        <f>TEXT('All Trades'!B359,"yyyy-mm-dd")</f>
        <v>yyyy-02-10</v>
      </c>
      <c r="O359">
        <f>LOG10('All Trades'!X359/Assumptions!$B$11)</f>
        <v>5.3142388047749662</v>
      </c>
      <c r="P359">
        <f>LOG10('All Trades'!AA359/Assumptions!$B$11)</f>
        <v>5.9289310307531462</v>
      </c>
    </row>
    <row r="360" spans="14:16">
      <c r="N360" t="str">
        <f>TEXT('All Trades'!B360,"yyyy-mm-dd")</f>
        <v>yyyy-02-18</v>
      </c>
      <c r="O360">
        <f>LOG10('All Trades'!X360/Assumptions!$B$11)</f>
        <v>5.2931735442088277</v>
      </c>
      <c r="P360">
        <f>LOG10('All Trades'!AA360/Assumptions!$B$11)</f>
        <v>5.9078657701870076</v>
      </c>
    </row>
    <row r="361" spans="14:16">
      <c r="N361" t="str">
        <f>TEXT('All Trades'!B361,"yyyy-mm-dd")</f>
        <v>yyyy-02-24</v>
      </c>
      <c r="O361">
        <f>LOG10('All Trades'!X361/Assumptions!$B$11)</f>
        <v>5.1595365089444272</v>
      </c>
      <c r="P361">
        <f>LOG10('All Trades'!AA361/Assumptions!$B$11)</f>
        <v>5.774228734922608</v>
      </c>
    </row>
    <row r="362" spans="14:16">
      <c r="N362" t="str">
        <f>TEXT('All Trades'!B362,"yyyy-mm-dd")</f>
        <v>yyyy-03-03</v>
      </c>
      <c r="O362">
        <f>LOG10('All Trades'!X362/Assumptions!$B$11)</f>
        <v>5.0437522382075164</v>
      </c>
      <c r="P362">
        <f>LOG10('All Trades'!AA362/Assumptions!$B$11)</f>
        <v>5.774228734922608</v>
      </c>
    </row>
    <row r="363" spans="14:16">
      <c r="N363" t="str">
        <f>TEXT('All Trades'!B363,"yyyy-mm-dd")</f>
        <v>yyyy-03-10</v>
      </c>
      <c r="O363">
        <f>LOG10('All Trades'!X363/Assumptions!$B$11)</f>
        <v>4.965860320745997</v>
      </c>
      <c r="P363">
        <f>LOG10('All Trades'!AA363/Assumptions!$B$11)</f>
        <v>5.774228734922608</v>
      </c>
    </row>
    <row r="364" spans="14:16">
      <c r="N364" t="str">
        <f>TEXT('All Trades'!B364,"yyyy-mm-dd")</f>
        <v>yyyy-03-17</v>
      </c>
      <c r="O364">
        <f>LOG10('All Trades'!X364/Assumptions!$B$11)</f>
        <v>5.0014161261261005</v>
      </c>
      <c r="P364">
        <f>LOG10('All Trades'!AA364/Assumptions!$B$11)</f>
        <v>5.8097845403027106</v>
      </c>
    </row>
    <row r="365" spans="14:16">
      <c r="N365" t="str">
        <f>TEXT('All Trades'!B365,"yyyy-mm-dd")</f>
        <v>yyyy-03-24</v>
      </c>
      <c r="O365">
        <f>LOG10('All Trades'!X365/Assumptions!$B$11)</f>
        <v>4.941073133075653</v>
      </c>
      <c r="P365">
        <f>LOG10('All Trades'!AA365/Assumptions!$B$11)</f>
        <v>5.8097845403027106</v>
      </c>
    </row>
    <row r="366" spans="14:16">
      <c r="N366" t="str">
        <f>TEXT('All Trades'!B366,"yyyy-mm-dd")</f>
        <v>yyyy-03-31</v>
      </c>
      <c r="O366">
        <f>LOG10('All Trades'!X366/Assumptions!$B$11)</f>
        <v>4.999827791047486</v>
      </c>
      <c r="P366">
        <f>LOG10('All Trades'!AA366/Assumptions!$B$11)</f>
        <v>5.8685391982745436</v>
      </c>
    </row>
    <row r="367" spans="14:16">
      <c r="N367" t="str">
        <f>TEXT('All Trades'!B367,"yyyy-mm-dd")</f>
        <v>yyyy-04-07</v>
      </c>
      <c r="O367">
        <f>LOG10('All Trades'!X367/Assumptions!$B$11)</f>
        <v>5.1610163476670659</v>
      </c>
      <c r="P367">
        <f>LOG10('All Trades'!AA367/Assumptions!$B$11)</f>
        <v>6.0297277548941235</v>
      </c>
    </row>
    <row r="368" spans="14:16">
      <c r="N368" t="str">
        <f>TEXT('All Trades'!B368,"yyyy-mm-dd")</f>
        <v>yyyy-04-14</v>
      </c>
      <c r="O368">
        <f>LOG10('All Trades'!X368/Assumptions!$B$11)</f>
        <v>4.8855969359022504</v>
      </c>
      <c r="P368">
        <f>LOG10('All Trades'!AA368/Assumptions!$B$11)</f>
        <v>6.0297277548941235</v>
      </c>
    </row>
    <row r="369" spans="14:16">
      <c r="N369" t="str">
        <f>TEXT('All Trades'!B369,"yyyy-mm-dd")</f>
        <v>yyyy-04-21</v>
      </c>
      <c r="O369">
        <f>LOG10('All Trades'!X369/Assumptions!$B$11)</f>
        <v>5.1288825859323213</v>
      </c>
      <c r="P369">
        <f>LOG10('All Trades'!AA369/Assumptions!$B$11)</f>
        <v>6.2730134049241943</v>
      </c>
    </row>
    <row r="370" spans="14:16">
      <c r="N370" t="str">
        <f>TEXT('All Trades'!B370,"yyyy-mm-dd")</f>
        <v>yyyy-04-28</v>
      </c>
      <c r="O370">
        <f>LOG10('All Trades'!X370/Assumptions!$B$11)</f>
        <v>5.2679845974824504</v>
      </c>
      <c r="P370">
        <f>LOG10('All Trades'!AA370/Assumptions!$B$11)</f>
        <v>6.4121154164743235</v>
      </c>
    </row>
    <row r="371" spans="14:16">
      <c r="N371" t="str">
        <f>TEXT('All Trades'!B371,"yyyy-mm-dd")</f>
        <v>yyyy-05-05</v>
      </c>
      <c r="O371">
        <f>LOG10('All Trades'!X371/Assumptions!$B$11)</f>
        <v>5.291110249315425</v>
      </c>
      <c r="P371">
        <f>LOG10('All Trades'!AA371/Assumptions!$B$11)</f>
        <v>6.4352410683072971</v>
      </c>
    </row>
    <row r="372" spans="14:16">
      <c r="N372" t="str">
        <f>TEXT('All Trades'!B372,"yyyy-mm-dd")</f>
        <v>yyyy-05-12</v>
      </c>
      <c r="O372">
        <f>LOG10('All Trades'!X372/Assumptions!$B$11)</f>
        <v>5.4082180736140932</v>
      </c>
      <c r="P372">
        <f>LOG10('All Trades'!AA372/Assumptions!$B$11)</f>
        <v>6.5523488926059654</v>
      </c>
    </row>
    <row r="373" spans="14:16">
      <c r="N373" t="str">
        <f>TEXT('All Trades'!B373,"yyyy-mm-dd")</f>
        <v>yyyy-05-19</v>
      </c>
      <c r="O373">
        <f>LOG10('All Trades'!X373/Assumptions!$B$11)</f>
        <v>5.4729750989098402</v>
      </c>
      <c r="P373">
        <f>LOG10('All Trades'!AA373/Assumptions!$B$11)</f>
        <v>6.6171059179017124</v>
      </c>
    </row>
    <row r="374" spans="14:16">
      <c r="N374" t="str">
        <f>TEXT('All Trades'!B374,"yyyy-mm-dd")</f>
        <v>yyyy-05-27</v>
      </c>
      <c r="O374">
        <f>LOG10('All Trades'!X374/Assumptions!$B$11)</f>
        <v>5.5149939010120308</v>
      </c>
      <c r="P374">
        <f>LOG10('All Trades'!AA374/Assumptions!$B$11)</f>
        <v>6.6591247200039039</v>
      </c>
    </row>
    <row r="375" spans="14:16">
      <c r="N375" t="str">
        <f>TEXT('All Trades'!B375,"yyyy-mm-dd")</f>
        <v>yyyy-06-02</v>
      </c>
      <c r="O375">
        <f>LOG10('All Trades'!X375/Assumptions!$B$11)</f>
        <v>5.5686173686158833</v>
      </c>
      <c r="P375">
        <f>LOG10('All Trades'!AA375/Assumptions!$B$11)</f>
        <v>6.7127481876077555</v>
      </c>
    </row>
    <row r="376" spans="14:16">
      <c r="N376" t="str">
        <f>TEXT('All Trades'!B376,"yyyy-mm-dd")</f>
        <v>yyyy-06-09</v>
      </c>
      <c r="O376">
        <f>LOG10('All Trades'!X376/Assumptions!$B$11)</f>
        <v>5.5442426133807778</v>
      </c>
      <c r="P376">
        <f>LOG10('All Trades'!AA376/Assumptions!$B$11)</f>
        <v>6.6883734323726509</v>
      </c>
    </row>
    <row r="377" spans="14:16">
      <c r="N377" t="str">
        <f>TEXT('All Trades'!B377,"yyyy-mm-dd")</f>
        <v>yyyy-06-16</v>
      </c>
      <c r="O377">
        <f>LOG10('All Trades'!X377/Assumptions!$B$11)</f>
        <v>5.5779405312354378</v>
      </c>
      <c r="P377">
        <f>LOG10('All Trades'!AA377/Assumptions!$B$11)</f>
        <v>6.7220713502273108</v>
      </c>
    </row>
    <row r="378" spans="14:16">
      <c r="N378" t="str">
        <f>TEXT('All Trades'!B378,"yyyy-mm-dd")</f>
        <v>yyyy-06-23</v>
      </c>
      <c r="O378">
        <f>LOG10('All Trades'!X378/Assumptions!$B$11)</f>
        <v>5.6184419988953938</v>
      </c>
      <c r="P378">
        <f>LOG10('All Trades'!AA378/Assumptions!$B$11)</f>
        <v>6.7625728178872659</v>
      </c>
    </row>
    <row r="379" spans="14:16">
      <c r="N379" t="str">
        <f>TEXT('All Trades'!B379,"yyyy-mm-dd")</f>
        <v>yyyy-06-30</v>
      </c>
      <c r="O379">
        <f>LOG10('All Trades'!X379/Assumptions!$B$11)</f>
        <v>5.5989194248982193</v>
      </c>
      <c r="P379">
        <f>LOG10('All Trades'!AA379/Assumptions!$B$11)</f>
        <v>6.7430502438900923</v>
      </c>
    </row>
    <row r="380" spans="14:16">
      <c r="N380" t="str">
        <f>TEXT('All Trades'!B380,"yyyy-mm-dd")</f>
        <v>yyyy-07-07</v>
      </c>
      <c r="O380">
        <f>LOG10('All Trades'!X380/Assumptions!$B$11)</f>
        <v>5.6031681235237691</v>
      </c>
      <c r="P380">
        <f>LOG10('All Trades'!AA380/Assumptions!$B$11)</f>
        <v>6.7472989425156422</v>
      </c>
    </row>
    <row r="381" spans="14:16">
      <c r="N381" t="str">
        <f>TEXT('All Trades'!B381,"yyyy-mm-dd")</f>
        <v>yyyy-07-14</v>
      </c>
      <c r="O381">
        <f>LOG10('All Trades'!X381/Assumptions!$B$11)</f>
        <v>5.6636340264660667</v>
      </c>
      <c r="P381">
        <f>LOG10('All Trades'!AA381/Assumptions!$B$11)</f>
        <v>6.8077648454579389</v>
      </c>
    </row>
    <row r="382" spans="14:16">
      <c r="N382" t="str">
        <f>TEXT('All Trades'!B382,"yyyy-mm-dd")</f>
        <v>yyyy-07-21</v>
      </c>
      <c r="O382">
        <f>LOG10('All Trades'!X382/Assumptions!$B$11)</f>
        <v>5.6995965991710467</v>
      </c>
      <c r="P382">
        <f>LOG10('All Trades'!AA382/Assumptions!$B$11)</f>
        <v>6.8437274181629197</v>
      </c>
    </row>
    <row r="383" spans="14:16">
      <c r="N383" t="str">
        <f>TEXT('All Trades'!B383,"yyyy-mm-dd")</f>
        <v>yyyy-07-28</v>
      </c>
      <c r="O383">
        <f>LOG10('All Trades'!X383/Assumptions!$B$11)</f>
        <v>5.6795090095057637</v>
      </c>
      <c r="P383">
        <f>LOG10('All Trades'!AA383/Assumptions!$B$11)</f>
        <v>6.8236398284976367</v>
      </c>
    </row>
    <row r="384" spans="14:16">
      <c r="N384" t="str">
        <f>TEXT('All Trades'!B384,"yyyy-mm-dd")</f>
        <v>yyyy-08-04</v>
      </c>
      <c r="O384">
        <f>LOG10('All Trades'!X384/Assumptions!$B$11)</f>
        <v>5.7205912605931708</v>
      </c>
      <c r="P384">
        <f>LOG10('All Trades'!AA384/Assumptions!$B$11)</f>
        <v>6.864722079585043</v>
      </c>
    </row>
    <row r="385" spans="14:16">
      <c r="N385" t="str">
        <f>TEXT('All Trades'!B385,"yyyy-mm-dd")</f>
        <v>yyyy-08-11</v>
      </c>
      <c r="O385">
        <f>LOG10('All Trades'!X385/Assumptions!$B$11)</f>
        <v>5.7402599380272816</v>
      </c>
      <c r="P385">
        <f>LOG10('All Trades'!AA385/Assumptions!$B$11)</f>
        <v>6.8843907570191547</v>
      </c>
    </row>
    <row r="386" spans="14:16">
      <c r="N386" t="str">
        <f>TEXT('All Trades'!B386,"yyyy-mm-dd")</f>
        <v>yyyy-08-18</v>
      </c>
      <c r="O386">
        <f>LOG10('All Trades'!X386/Assumptions!$B$11)</f>
        <v>5.6383469179910284</v>
      </c>
      <c r="P386">
        <f>LOG10('All Trades'!AA386/Assumptions!$B$11)</f>
        <v>6.7824777369829006</v>
      </c>
    </row>
    <row r="387" spans="14:16">
      <c r="N387" t="str">
        <f>TEXT('All Trades'!B387,"yyyy-mm-dd")</f>
        <v>yyyy-08-25</v>
      </c>
      <c r="O387">
        <f>LOG10('All Trades'!X387/Assumptions!$B$11)</f>
        <v>5.6365766047752324</v>
      </c>
      <c r="P387">
        <f>LOG10('All Trades'!AA387/Assumptions!$B$11)</f>
        <v>6.7807074237671054</v>
      </c>
    </row>
    <row r="388" spans="14:16">
      <c r="N388" t="str">
        <f>TEXT('All Trades'!B388,"yyyy-mm-dd")</f>
        <v>yyyy-09-02</v>
      </c>
      <c r="O388">
        <f>LOG10('All Trades'!X388/Assumptions!$B$11)</f>
        <v>5.6719515023139886</v>
      </c>
      <c r="P388">
        <f>LOG10('All Trades'!AA388/Assumptions!$B$11)</f>
        <v>6.8160823213058617</v>
      </c>
    </row>
    <row r="389" spans="14:16">
      <c r="N389" t="str">
        <f>TEXT('All Trades'!B389,"yyyy-mm-dd")</f>
        <v>yyyy-09-08</v>
      </c>
      <c r="O389">
        <f>LOG10('All Trades'!X389/Assumptions!$B$11)</f>
        <v>5.734759411303294</v>
      </c>
      <c r="P389">
        <f>LOG10('All Trades'!AA389/Assumptions!$B$11)</f>
        <v>6.8788902302951671</v>
      </c>
    </row>
    <row r="390" spans="14:16">
      <c r="N390" t="str">
        <f>TEXT('All Trades'!B390,"yyyy-mm-dd")</f>
        <v>yyyy-09-15</v>
      </c>
      <c r="O390">
        <f>LOG10('All Trades'!X390/Assumptions!$B$11)</f>
        <v>5.8176499327595605</v>
      </c>
      <c r="P390">
        <f>LOG10('All Trades'!AA390/Assumptions!$B$11)</f>
        <v>6.9617807517514327</v>
      </c>
    </row>
    <row r="391" spans="14:16">
      <c r="N391" t="str">
        <f>TEXT('All Trades'!B391,"yyyy-mm-dd")</f>
        <v>yyyy-09-22</v>
      </c>
      <c r="O391">
        <f>LOG10('All Trades'!X391/Assumptions!$B$11)</f>
        <v>5.8521191589892387</v>
      </c>
      <c r="P391">
        <f>LOG10('All Trades'!AA391/Assumptions!$B$11)</f>
        <v>6.9962499779811109</v>
      </c>
    </row>
    <row r="392" spans="14:16">
      <c r="N392" t="str">
        <f>TEXT('All Trades'!B392,"yyyy-mm-dd")</f>
        <v>yyyy-09-29</v>
      </c>
      <c r="O392">
        <f>LOG10('All Trades'!X392/Assumptions!$B$11)</f>
        <v>5.8847713568106279</v>
      </c>
      <c r="P392">
        <f>LOG10('All Trades'!AA392/Assumptions!$B$11)</f>
        <v>7.0289021758025001</v>
      </c>
    </row>
    <row r="393" spans="14:16">
      <c r="N393" t="str">
        <f>TEXT('All Trades'!B393,"yyyy-mm-dd")</f>
        <v>yyyy-10-06</v>
      </c>
      <c r="O393">
        <f>LOG10('All Trades'!X393/Assumptions!$B$11)</f>
        <v>5.8648893124493302</v>
      </c>
      <c r="P393">
        <f>LOG10('All Trades'!AA393/Assumptions!$B$11)</f>
        <v>7.0090201314412033</v>
      </c>
    </row>
    <row r="394" spans="14:16">
      <c r="N394" t="str">
        <f>TEXT('All Trades'!B394,"yyyy-mm-dd")</f>
        <v>yyyy-10-13</v>
      </c>
      <c r="O394">
        <f>LOG10('All Trades'!X394/Assumptions!$B$11)</f>
        <v>5.8448017227840472</v>
      </c>
      <c r="P394">
        <f>LOG10('All Trades'!AA394/Assumptions!$B$11)</f>
        <v>6.9889325417759203</v>
      </c>
    </row>
    <row r="395" spans="14:16">
      <c r="N395" t="str">
        <f>TEXT('All Trades'!B395,"yyyy-mm-dd")</f>
        <v>yyyy-10-20</v>
      </c>
      <c r="O395">
        <f>LOG10('All Trades'!X395/Assumptions!$B$11)</f>
        <v>5.8788174041205217</v>
      </c>
      <c r="P395">
        <f>LOG10('All Trades'!AA395/Assumptions!$B$11)</f>
        <v>7.0229482231123947</v>
      </c>
    </row>
    <row r="396" spans="14:16">
      <c r="N396" t="str">
        <f>TEXT('All Trades'!B396,"yyyy-mm-dd")</f>
        <v>yyyy-10-27</v>
      </c>
      <c r="O396">
        <f>LOG10('All Trades'!X396/Assumptions!$B$11)</f>
        <v>5.9126515347949553</v>
      </c>
      <c r="P396">
        <f>LOG10('All Trades'!AA396/Assumptions!$B$11)</f>
        <v>7.0567823537868284</v>
      </c>
    </row>
    <row r="397" spans="14:16">
      <c r="N397" t="str">
        <f>TEXT('All Trades'!B397,"yyyy-mm-dd")</f>
        <v>yyyy-11-03</v>
      </c>
      <c r="O397">
        <f>LOG10('All Trades'!X397/Assumptions!$B$11)</f>
        <v>5.8138918368682644</v>
      </c>
      <c r="P397">
        <f>LOG10('All Trades'!AA397/Assumptions!$B$11)</f>
        <v>6.9580226558601375</v>
      </c>
    </row>
    <row r="398" spans="14:16">
      <c r="N398" t="str">
        <f>TEXT('All Trades'!B398,"yyyy-mm-dd")</f>
        <v>yyyy-11-10</v>
      </c>
      <c r="O398">
        <f>LOG10('All Trades'!X398/Assumptions!$B$11)</f>
        <v>5.8502156609666018</v>
      </c>
      <c r="P398">
        <f>LOG10('All Trades'!AA398/Assumptions!$B$11)</f>
        <v>6.9943464799584749</v>
      </c>
    </row>
    <row r="399" spans="14:16">
      <c r="N399" t="str">
        <f>TEXT('All Trades'!B399,"yyyy-mm-dd")</f>
        <v>yyyy-11-17</v>
      </c>
      <c r="O399">
        <f>LOG10('All Trades'!X399/Assumptions!$B$11)</f>
        <v>5.8301280713013188</v>
      </c>
      <c r="P399">
        <f>LOG10('All Trades'!AA399/Assumptions!$B$11)</f>
        <v>6.9742588902931919</v>
      </c>
    </row>
    <row r="400" spans="14:16">
      <c r="N400" t="str">
        <f>TEXT('All Trades'!B400,"yyyy-mm-dd")</f>
        <v>yyyy-11-24</v>
      </c>
      <c r="O400">
        <f>LOG10('All Trades'!X400/Assumptions!$B$11)</f>
        <v>5.9052865486324393</v>
      </c>
      <c r="P400">
        <f>LOG10('All Trades'!AA400/Assumptions!$B$11)</f>
        <v>7.0494173676243124</v>
      </c>
    </row>
    <row r="401" spans="14:16">
      <c r="N401" t="str">
        <f>TEXT('All Trades'!B401,"yyyy-mm-dd")</f>
        <v>yyyy-12-01</v>
      </c>
      <c r="O401">
        <f>LOG10('All Trades'!X401/Assumptions!$B$11)</f>
        <v>5.9920523616244221</v>
      </c>
      <c r="P401">
        <f>LOG10('All Trades'!AA401/Assumptions!$B$11)</f>
        <v>7.1361831806162943</v>
      </c>
    </row>
    <row r="402" spans="14:16">
      <c r="N402" t="str">
        <f>TEXT('All Trades'!B402,"yyyy-mm-dd")</f>
        <v>yyyy-12-08</v>
      </c>
      <c r="O402">
        <f>LOG10('All Trades'!X402/Assumptions!$B$11)</f>
        <v>5.9717077034512904</v>
      </c>
      <c r="P402">
        <f>LOG10('All Trades'!AA402/Assumptions!$B$11)</f>
        <v>7.1158385224431635</v>
      </c>
    </row>
    <row r="403" spans="14:16">
      <c r="N403" t="str">
        <f>TEXT('All Trades'!B403,"yyyy-mm-dd")</f>
        <v>yyyy-12-15</v>
      </c>
      <c r="O403">
        <f>LOG10('All Trades'!X403/Assumptions!$B$11)</f>
        <v>5.8256102410284125</v>
      </c>
      <c r="P403">
        <f>LOG10('All Trades'!AA403/Assumptions!$B$11)</f>
        <v>6.9697410600202856</v>
      </c>
    </row>
    <row r="404" spans="14:16">
      <c r="N404" t="str">
        <f>TEXT('All Trades'!B404,"yyyy-mm-dd")</f>
        <v>yyyy-12-22</v>
      </c>
      <c r="O404">
        <f>LOG10('All Trades'!X404/Assumptions!$B$11)</f>
        <v>5.8462159527262321</v>
      </c>
      <c r="P404">
        <f>LOG10('All Trades'!AA404/Assumptions!$B$11)</f>
        <v>6.9697410600202856</v>
      </c>
    </row>
    <row r="405" spans="14:16">
      <c r="N405" t="str">
        <f>TEXT('All Trades'!B405,"yyyy-mm-dd")</f>
        <v>yyyy-12-29</v>
      </c>
      <c r="O405">
        <f>LOG10('All Trades'!X405/Assumptions!$B$11)</f>
        <v>5.8262825311583715</v>
      </c>
      <c r="P405">
        <f>LOG10('All Trades'!AA405/Assumptions!$B$11)</f>
        <v>6.9697410600202856</v>
      </c>
    </row>
    <row r="406" spans="14:16">
      <c r="N406" t="str">
        <f>TEXT('All Trades'!B406,"yyyy-mm-dd")</f>
        <v>yyyy-01-05</v>
      </c>
      <c r="O406">
        <f>LOG10('All Trades'!X406/Assumptions!$B$11)</f>
        <v>5.8799059987622231</v>
      </c>
      <c r="P406">
        <f>LOG10('All Trades'!AA406/Assumptions!$B$11)</f>
        <v>7.0233645276241372</v>
      </c>
    </row>
    <row r="407" spans="14:16">
      <c r="N407" t="str">
        <f>TEXT('All Trades'!B407,"yyyy-mm-dd")</f>
        <v>yyyy-01-12</v>
      </c>
      <c r="O407">
        <f>LOG10('All Trades'!X407/Assumptions!$B$11)</f>
        <v>5.9180765345760742</v>
      </c>
      <c r="P407">
        <f>LOG10('All Trades'!AA407/Assumptions!$B$11)</f>
        <v>7.0615350634379892</v>
      </c>
    </row>
    <row r="408" spans="14:16">
      <c r="N408" t="str">
        <f>TEXT('All Trades'!B408,"yyyy-mm-dd")</f>
        <v>yyyy-01-20</v>
      </c>
      <c r="O408">
        <f>LOG10('All Trades'!X408/Assumptions!$B$11)</f>
        <v>6.0074467461391086</v>
      </c>
      <c r="P408">
        <f>LOG10('All Trades'!AA408/Assumptions!$B$11)</f>
        <v>7.1509052750010227</v>
      </c>
    </row>
    <row r="409" spans="14:16">
      <c r="N409" t="str">
        <f>TEXT('All Trades'!B409,"yyyy-mm-dd")</f>
        <v>yyyy-01-26</v>
      </c>
      <c r="O409">
        <f>LOG10('All Trades'!X409/Assumptions!$B$11)</f>
        <v>5.9873591564738255</v>
      </c>
      <c r="P409">
        <f>LOG10('All Trades'!AA409/Assumptions!$B$11)</f>
        <v>7.1308176853357397</v>
      </c>
    </row>
    <row r="410" spans="14:16">
      <c r="N410" t="str">
        <f>TEXT('All Trades'!B410,"yyyy-mm-dd")</f>
        <v>yyyy-02-02</v>
      </c>
      <c r="O410">
        <f>LOG10('All Trades'!X410/Assumptions!$B$11)</f>
        <v>6.0407656950091013</v>
      </c>
      <c r="P410">
        <f>LOG10('All Trades'!AA410/Assumptions!$B$11)</f>
        <v>7.1842242238710163</v>
      </c>
    </row>
    <row r="411" spans="14:16">
      <c r="N411" t="str">
        <f>TEXT('All Trades'!B411,"yyyy-mm-dd")</f>
        <v>yyyy-02-09</v>
      </c>
      <c r="O411">
        <f>LOG10('All Trades'!X411/Assumptions!$B$11)</f>
        <v>6.0949526716101197</v>
      </c>
      <c r="P411">
        <f>LOG10('All Trades'!AA411/Assumptions!$B$11)</f>
        <v>7.2384112004720338</v>
      </c>
    </row>
    <row r="412" spans="14:16">
      <c r="N412" t="str">
        <f>TEXT('All Trades'!B412,"yyyy-mm-dd")</f>
        <v>yyyy-02-17</v>
      </c>
      <c r="O412">
        <f>LOG10('All Trades'!X412/Assumptions!$B$11)</f>
        <v>6.1717590838012795</v>
      </c>
      <c r="P412">
        <f>LOG10('All Trades'!AA412/Assumptions!$B$11)</f>
        <v>7.3152176126631936</v>
      </c>
    </row>
    <row r="413" spans="14:16">
      <c r="N413" t="str">
        <f>TEXT('All Trades'!B413,"yyyy-mm-dd")</f>
        <v>yyyy-02-23</v>
      </c>
      <c r="O413">
        <f>LOG10('All Trades'!X413/Assumptions!$B$11)</f>
        <v>6.1516714941359965</v>
      </c>
      <c r="P413">
        <f>LOG10('All Trades'!AA413/Assumptions!$B$11)</f>
        <v>7.2951300229979106</v>
      </c>
    </row>
    <row r="414" spans="14:16">
      <c r="N414" t="str">
        <f>TEXT('All Trades'!B414,"yyyy-mm-dd")</f>
        <v>yyyy-03-02</v>
      </c>
      <c r="O414">
        <f>LOG10('All Trades'!X414/Assumptions!$B$11)</f>
        <v>6.2204263912500402</v>
      </c>
      <c r="P414">
        <f>LOG10('All Trades'!AA414/Assumptions!$B$11)</f>
        <v>7.3638849201119543</v>
      </c>
    </row>
    <row r="415" spans="14:16">
      <c r="N415" t="str">
        <f>TEXT('All Trades'!B415,"yyyy-mm-dd")</f>
        <v>yyyy-03-09</v>
      </c>
      <c r="O415">
        <f>LOG10('All Trades'!X415/Assumptions!$B$11)</f>
        <v>6.3237901234939971</v>
      </c>
      <c r="P415">
        <f>LOG10('All Trades'!AA415/Assumptions!$B$11)</f>
        <v>7.4672486523559121</v>
      </c>
    </row>
    <row r="416" spans="14:16">
      <c r="N416" t="str">
        <f>TEXT('All Trades'!B416,"yyyy-mm-dd")</f>
        <v>yyyy-03-16</v>
      </c>
      <c r="O416">
        <f>LOG10('All Trades'!X416/Assumptions!$B$11)</f>
        <v>6.2736458929122199</v>
      </c>
      <c r="P416">
        <f>LOG10('All Trades'!AA416/Assumptions!$B$11)</f>
        <v>7.4672486523559121</v>
      </c>
    </row>
    <row r="417" spans="14:16">
      <c r="N417" t="str">
        <f>TEXT('All Trades'!B417,"yyyy-mm-dd")</f>
        <v>yyyy-03-23</v>
      </c>
      <c r="O417">
        <f>LOG10('All Trades'!X417/Assumptions!$B$11)</f>
        <v>6.2635173410587628</v>
      </c>
      <c r="P417">
        <f>LOG10('All Trades'!AA417/Assumptions!$B$11)</f>
        <v>7.5038883251128494</v>
      </c>
    </row>
    <row r="418" spans="14:16">
      <c r="N418" t="str">
        <f>TEXT('All Trades'!B418,"yyyy-mm-dd")</f>
        <v>yyyy-03-30</v>
      </c>
      <c r="O418">
        <f>LOG10('All Trades'!X418/Assumptions!$B$11)</f>
        <v>6.3925643368762035</v>
      </c>
      <c r="P418">
        <f>LOG10('All Trades'!AA418/Assumptions!$B$11)</f>
        <v>7.6329353209302901</v>
      </c>
    </row>
    <row r="419" spans="14:16">
      <c r="N419" t="str">
        <f>TEXT('All Trades'!B419,"yyyy-mm-dd")</f>
        <v>yyyy-04-06</v>
      </c>
      <c r="O419">
        <f>LOG10('All Trades'!X419/Assumptions!$B$11)</f>
        <v>6.562368628488402</v>
      </c>
      <c r="P419">
        <f>LOG10('All Trades'!AA419/Assumptions!$B$11)</f>
        <v>7.8027396125424886</v>
      </c>
    </row>
    <row r="420" spans="14:16">
      <c r="N420" t="str">
        <f>TEXT('All Trades'!B420,"yyyy-mm-dd")</f>
        <v>yyyy-04-13</v>
      </c>
      <c r="O420">
        <f>LOG10('All Trades'!X420/Assumptions!$B$11)</f>
        <v>6.6214660753031787</v>
      </c>
      <c r="P420">
        <f>LOG10('All Trades'!AA420/Assumptions!$B$11)</f>
        <v>7.8618370593572653</v>
      </c>
    </row>
    <row r="421" spans="14:16">
      <c r="N421" t="str">
        <f>TEXT('All Trades'!B421,"yyyy-mm-dd")</f>
        <v>yyyy-04-20</v>
      </c>
      <c r="O421">
        <f>LOG10('All Trades'!X421/Assumptions!$B$11)</f>
        <v>6.6114881970696713</v>
      </c>
      <c r="P421">
        <f>LOG10('All Trades'!AA421/Assumptions!$B$11)</f>
        <v>7.8518591811237588</v>
      </c>
    </row>
    <row r="422" spans="14:16">
      <c r="N422" t="str">
        <f>TEXT('All Trades'!B422,"yyyy-mm-dd")</f>
        <v>yyyy-04-27</v>
      </c>
      <c r="O422">
        <f>LOG10('All Trades'!X422/Assumptions!$B$11)</f>
        <v>6.5918629476115669</v>
      </c>
      <c r="P422">
        <f>LOG10('All Trades'!AA422/Assumptions!$B$11)</f>
        <v>7.8322339316656535</v>
      </c>
    </row>
    <row r="423" spans="14:16">
      <c r="N423" t="str">
        <f>TEXT('All Trades'!B423,"yyyy-mm-dd")</f>
        <v>yyyy-05-04</v>
      </c>
      <c r="O423">
        <f>LOG10('All Trades'!X423/Assumptions!$B$11)</f>
        <v>6.7975525080113499</v>
      </c>
      <c r="P423">
        <f>LOG10('All Trades'!AA423/Assumptions!$B$11)</f>
        <v>8.0379234920654365</v>
      </c>
    </row>
    <row r="424" spans="14:16">
      <c r="N424" t="str">
        <f>TEXT('All Trades'!B424,"yyyy-mm-dd")</f>
        <v>yyyy-05-11</v>
      </c>
      <c r="O424">
        <f>LOG10('All Trades'!X424/Assumptions!$B$11)</f>
        <v>6.7775677031582626</v>
      </c>
      <c r="P424">
        <f>LOG10('All Trades'!AA424/Assumptions!$B$11)</f>
        <v>8.0179386872123484</v>
      </c>
    </row>
    <row r="425" spans="14:16">
      <c r="N425" t="str">
        <f>TEXT('All Trades'!B425,"yyyy-mm-dd")</f>
        <v>yyyy-05-18</v>
      </c>
      <c r="O425">
        <f>LOG10('All Trades'!X425/Assumptions!$B$11)</f>
        <v>6.7574801134929796</v>
      </c>
      <c r="P425">
        <f>LOG10('All Trades'!AA425/Assumptions!$B$11)</f>
        <v>7.9978510975470662</v>
      </c>
    </row>
    <row r="426" spans="14:16">
      <c r="N426" t="str">
        <f>TEXT('All Trades'!B426,"yyyy-mm-dd")</f>
        <v>yyyy-05-26</v>
      </c>
      <c r="O426">
        <f>LOG10('All Trades'!X426/Assumptions!$B$11)</f>
        <v>6.737238300983452</v>
      </c>
      <c r="P426">
        <f>LOG10('All Trades'!AA426/Assumptions!$B$11)</f>
        <v>7.9776092850375386</v>
      </c>
    </row>
    <row r="427" spans="14:16">
      <c r="N427" t="str">
        <f>TEXT('All Trades'!B427,"yyyy-mm-dd")</f>
        <v>yyyy-06-01</v>
      </c>
      <c r="O427">
        <f>LOG10('All Trades'!X427/Assumptions!$B$11)</f>
        <v>6.7713900955279129</v>
      </c>
      <c r="P427">
        <f>LOG10('All Trades'!AA427/Assumptions!$B$11)</f>
        <v>8.0117610795819996</v>
      </c>
    </row>
    <row r="428" spans="14:16">
      <c r="N428" t="str">
        <f>TEXT('All Trades'!B428,"yyyy-mm-dd")</f>
        <v>yyyy-06-08</v>
      </c>
      <c r="O428">
        <f>LOG10('All Trades'!X428/Assumptions!$B$11)</f>
        <v>6.5421854243608335</v>
      </c>
      <c r="P428">
        <f>LOG10('All Trades'!AA428/Assumptions!$B$11)</f>
        <v>7.7825564084149201</v>
      </c>
    </row>
    <row r="429" spans="14:16">
      <c r="N429" t="str">
        <f>TEXT('All Trades'!B429,"yyyy-mm-dd")</f>
        <v>yyyy-06-15</v>
      </c>
      <c r="O429">
        <f>LOG10('All Trades'!X429/Assumptions!$B$11)</f>
        <v>6.5812988045319294</v>
      </c>
      <c r="P429">
        <f>LOG10('All Trades'!AA429/Assumptions!$B$11)</f>
        <v>7.7825564084149201</v>
      </c>
    </row>
    <row r="430" spans="14:16">
      <c r="N430" t="str">
        <f>TEXT('All Trades'!B430,"yyyy-mm-dd")</f>
        <v>yyyy-06-22</v>
      </c>
      <c r="O430">
        <f>LOG10('All Trades'!X430/Assumptions!$B$11)</f>
        <v>6.4447816697157716</v>
      </c>
      <c r="P430">
        <f>LOG10('All Trades'!AA430/Assumptions!$B$11)</f>
        <v>7.7825564084149201</v>
      </c>
    </row>
    <row r="431" spans="14:16">
      <c r="N431" t="str">
        <f>TEXT('All Trades'!B431,"yyyy-mm-dd")</f>
        <v>yyyy-06-29</v>
      </c>
      <c r="O431">
        <f>LOG10('All Trades'!X431/Assumptions!$B$11)</f>
        <v>6.5022914451146567</v>
      </c>
      <c r="P431">
        <f>LOG10('All Trades'!AA431/Assumptions!$B$11)</f>
        <v>7.8400661838138053</v>
      </c>
    </row>
    <row r="432" spans="14:16">
      <c r="N432" t="str">
        <f>TEXT('All Trades'!B432,"yyyy-mm-dd")</f>
        <v>yyyy-07-06</v>
      </c>
      <c r="O432">
        <f>LOG10('All Trades'!X432/Assumptions!$B$11)</f>
        <v>6.4317354059069016</v>
      </c>
      <c r="P432">
        <f>LOG10('All Trades'!AA432/Assumptions!$B$11)</f>
        <v>7.8130359993933425</v>
      </c>
    </row>
    <row r="433" spans="14:16">
      <c r="N433" t="str">
        <f>TEXT('All Trades'!B433,"yyyy-mm-dd")</f>
        <v>yyyy-07-13</v>
      </c>
      <c r="O433">
        <f>LOG10('All Trades'!X433/Assumptions!$B$11)</f>
        <v>6.4109276406166389</v>
      </c>
      <c r="P433">
        <f>LOG10('All Trades'!AA433/Assumptions!$B$11)</f>
        <v>7.7922282341030789</v>
      </c>
    </row>
    <row r="434" spans="14:16">
      <c r="N434" t="str">
        <f>TEXT('All Trades'!B434,"yyyy-mm-dd")</f>
        <v>yyyy-07-20</v>
      </c>
      <c r="O434">
        <f>LOG10('All Trades'!X434/Assumptions!$B$11)</f>
        <v>6.3904286682681031</v>
      </c>
      <c r="P434">
        <f>LOG10('All Trades'!AA434/Assumptions!$B$11)</f>
        <v>7.7922282341030789</v>
      </c>
    </row>
    <row r="435" spans="14:16">
      <c r="N435" t="str">
        <f>TEXT('All Trades'!B435,"yyyy-mm-dd")</f>
        <v>yyyy-07-27</v>
      </c>
      <c r="O435">
        <f>LOG10('All Trades'!X435/Assumptions!$B$11)</f>
        <v>6.0612995296830654</v>
      </c>
      <c r="P435">
        <f>LOG10('All Trades'!AA435/Assumptions!$B$11)</f>
        <v>7.7922282341030789</v>
      </c>
    </row>
    <row r="436" spans="14:16">
      <c r="N436" t="str">
        <f>TEXT('All Trades'!B436,"yyyy-mm-dd")</f>
        <v>yyyy-08-03</v>
      </c>
      <c r="O436">
        <f>LOG10('All Trades'!X436/Assumptions!$B$11)</f>
        <v>6.1340573392992948</v>
      </c>
      <c r="P436">
        <f>LOG10('All Trades'!AA436/Assumptions!$B$11)</f>
        <v>7.8649860437193091</v>
      </c>
    </row>
  </sheetData>
  <mergeCells count="2">
    <mergeCell ref="A1:L2"/>
    <mergeCell ref="A3:L3"/>
  </mergeCells>
  <conditionalFormatting sqref="E16:E20">
    <cfRule type="cellIs" dxfId="16" priority="1" operator="greaterThan">
      <formula>0</formula>
    </cfRule>
    <cfRule type="cellIs" dxfId="15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workbookViewId="0">
      <selection sqref="A1:D2"/>
    </sheetView>
  </sheetViews>
  <sheetFormatPr defaultRowHeight="13.5"/>
  <cols>
    <col min="1" max="1" width="24" customWidth="1"/>
    <col min="2" max="2" width="28" customWidth="1"/>
    <col min="3" max="4" width="34" customWidth="1"/>
  </cols>
  <sheetData>
    <row r="1" spans="1:4" ht="30" customHeight="1">
      <c r="A1" s="54" t="s">
        <v>30</v>
      </c>
      <c r="B1" s="54" t="s">
        <v>30</v>
      </c>
      <c r="C1" s="54" t="s">
        <v>30</v>
      </c>
      <c r="D1" s="54" t="s">
        <v>30</v>
      </c>
    </row>
    <row r="2" spans="1:4" ht="30" customHeight="1">
      <c r="A2" s="54" t="s">
        <v>30</v>
      </c>
      <c r="B2" s="54" t="s">
        <v>30</v>
      </c>
      <c r="C2" s="54" t="s">
        <v>30</v>
      </c>
      <c r="D2" s="54" t="s">
        <v>30</v>
      </c>
    </row>
    <row r="3" spans="1:4" ht="26" customHeight="1">
      <c r="A3" s="55" t="s">
        <v>31</v>
      </c>
      <c r="B3" s="55" t="s">
        <v>31</v>
      </c>
      <c r="C3" s="55" t="s">
        <v>31</v>
      </c>
      <c r="D3" s="55" t="s">
        <v>31</v>
      </c>
    </row>
    <row r="4" spans="1:4" ht="14.25">
      <c r="A4" s="4"/>
      <c r="B4" s="4"/>
      <c r="C4" s="4"/>
      <c r="D4" s="4"/>
    </row>
    <row r="5" spans="1:4" ht="14.25">
      <c r="A5" s="1" t="s">
        <v>32</v>
      </c>
      <c r="B5" s="2" t="s">
        <v>33</v>
      </c>
      <c r="C5" s="3" t="s">
        <v>34</v>
      </c>
      <c r="D5" s="4"/>
    </row>
    <row r="6" spans="1:4" ht="14.25">
      <c r="A6" s="4" t="s">
        <v>35</v>
      </c>
      <c r="B6" s="5">
        <v>11.3</v>
      </c>
      <c r="C6" s="4" t="s">
        <v>36</v>
      </c>
      <c r="D6" s="4"/>
    </row>
    <row r="7" spans="1:4" ht="14.25">
      <c r="A7" s="4" t="s">
        <v>37</v>
      </c>
      <c r="B7" s="6">
        <v>-0.02</v>
      </c>
      <c r="C7" s="4" t="s">
        <v>38</v>
      </c>
      <c r="D7" s="4"/>
    </row>
    <row r="8" spans="1:4" ht="14.25">
      <c r="A8" s="4" t="s">
        <v>39</v>
      </c>
      <c r="B8" s="6">
        <v>0.01</v>
      </c>
      <c r="C8" s="4" t="s">
        <v>40</v>
      </c>
      <c r="D8" s="4"/>
    </row>
    <row r="9" spans="1:4" ht="14.25">
      <c r="A9" s="4" t="s">
        <v>41</v>
      </c>
      <c r="B9" s="6">
        <v>-5.0000000000000001E-3</v>
      </c>
      <c r="C9" s="4" t="s">
        <v>42</v>
      </c>
      <c r="D9" s="4"/>
    </row>
    <row r="10" spans="1:4" ht="14.25">
      <c r="A10" s="4" t="s">
        <v>43</v>
      </c>
      <c r="B10" s="6">
        <v>5.0000000000000001E-3</v>
      </c>
      <c r="C10" s="4" t="s">
        <v>44</v>
      </c>
      <c r="D10" s="4"/>
    </row>
    <row r="11" spans="1:4" ht="14.25">
      <c r="A11" s="4" t="s">
        <v>45</v>
      </c>
      <c r="B11" s="7">
        <v>100</v>
      </c>
      <c r="C11" s="4" t="s">
        <v>46</v>
      </c>
      <c r="D11" s="4"/>
    </row>
    <row r="12" spans="1:4" ht="14.25">
      <c r="A12" s="4"/>
      <c r="B12" s="4"/>
      <c r="C12" s="4"/>
      <c r="D12" s="4"/>
    </row>
    <row r="13" spans="1:4" ht="14.25">
      <c r="A13" s="56" t="s">
        <v>47</v>
      </c>
      <c r="B13" s="57" t="s">
        <v>47</v>
      </c>
      <c r="C13" s="57" t="s">
        <v>47</v>
      </c>
      <c r="D13" s="58" t="s">
        <v>47</v>
      </c>
    </row>
    <row r="14" spans="1:4" ht="42" customHeight="1">
      <c r="A14" s="8" t="s">
        <v>48</v>
      </c>
      <c r="B14" s="59" t="s">
        <v>49</v>
      </c>
      <c r="C14" s="59"/>
      <c r="D14" s="59"/>
    </row>
    <row r="15" spans="1:4" ht="42" customHeight="1">
      <c r="A15" s="8" t="s">
        <v>50</v>
      </c>
      <c r="B15" s="59" t="s">
        <v>51</v>
      </c>
      <c r="C15" s="59"/>
      <c r="D15" s="59"/>
    </row>
    <row r="16" spans="1:4" ht="42" customHeight="1">
      <c r="A16" s="8" t="s">
        <v>52</v>
      </c>
      <c r="B16" s="59" t="s">
        <v>53</v>
      </c>
      <c r="C16" s="59"/>
      <c r="D16" s="59"/>
    </row>
    <row r="17" spans="1:4" ht="42" customHeight="1">
      <c r="A17" s="8" t="s">
        <v>54</v>
      </c>
      <c r="B17" s="59" t="s">
        <v>55</v>
      </c>
      <c r="C17" s="59"/>
      <c r="D17" s="59"/>
    </row>
    <row r="18" spans="1:4" ht="42" customHeight="1">
      <c r="A18" s="8" t="s">
        <v>56</v>
      </c>
      <c r="B18" s="59" t="s">
        <v>57</v>
      </c>
      <c r="C18" s="59"/>
      <c r="D18" s="59"/>
    </row>
  </sheetData>
  <mergeCells count="8">
    <mergeCell ref="B16:D16"/>
    <mergeCell ref="B17:D17"/>
    <mergeCell ref="B18:D18"/>
    <mergeCell ref="A1:D2"/>
    <mergeCell ref="A3:D3"/>
    <mergeCell ref="A13:D13"/>
    <mergeCell ref="B14:D14"/>
    <mergeCell ref="B15:D1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6"/>
  <sheetViews>
    <sheetView showGridLines="0" tabSelected="1" topLeftCell="R7" workbookViewId="0">
      <selection activeCell="AA436" sqref="AA4:AA436"/>
    </sheetView>
  </sheetViews>
  <sheetFormatPr defaultRowHeight="13.5"/>
  <cols>
    <col min="1" max="1" width="9" customWidth="1"/>
    <col min="2" max="3" width="13" customWidth="1"/>
    <col min="4" max="4" width="15" customWidth="1"/>
    <col min="5" max="6" width="14" customWidth="1"/>
    <col min="7" max="8" width="15" customWidth="1"/>
    <col min="9" max="9" width="12" customWidth="1"/>
    <col min="10" max="12" width="15" customWidth="1"/>
    <col min="13" max="15" width="14" customWidth="1"/>
    <col min="16" max="16" width="13" customWidth="1"/>
    <col min="17" max="18" width="16" customWidth="1"/>
    <col min="19" max="19" width="19" customWidth="1"/>
    <col min="20" max="23" width="15" customWidth="1"/>
    <col min="24" max="30" width="16" customWidth="1"/>
    <col min="31" max="31" width="54" customWidth="1"/>
  </cols>
  <sheetData>
    <row r="1" spans="1:31" ht="30" customHeight="1">
      <c r="A1" s="60" t="s">
        <v>58</v>
      </c>
      <c r="B1" s="60" t="s">
        <v>58</v>
      </c>
      <c r="C1" s="60" t="s">
        <v>58</v>
      </c>
      <c r="D1" s="60" t="s">
        <v>58</v>
      </c>
      <c r="E1" s="60" t="s">
        <v>58</v>
      </c>
      <c r="F1" s="60" t="s">
        <v>58</v>
      </c>
      <c r="G1" s="60" t="s">
        <v>58</v>
      </c>
      <c r="H1" s="60" t="s">
        <v>58</v>
      </c>
      <c r="I1" s="60" t="s">
        <v>58</v>
      </c>
      <c r="J1" s="60" t="s">
        <v>58</v>
      </c>
      <c r="K1" s="60" t="s">
        <v>58</v>
      </c>
      <c r="L1" s="60" t="s">
        <v>58</v>
      </c>
      <c r="M1" s="60" t="s">
        <v>58</v>
      </c>
      <c r="N1" s="60" t="s">
        <v>58</v>
      </c>
      <c r="O1" s="60" t="s">
        <v>58</v>
      </c>
      <c r="P1" s="60" t="s">
        <v>58</v>
      </c>
      <c r="Q1" s="60" t="s">
        <v>58</v>
      </c>
      <c r="R1" s="60" t="s">
        <v>58</v>
      </c>
      <c r="S1" s="60" t="s">
        <v>58</v>
      </c>
      <c r="T1" s="60" t="s">
        <v>58</v>
      </c>
      <c r="U1" s="60" t="s">
        <v>58</v>
      </c>
      <c r="V1" s="60" t="s">
        <v>58</v>
      </c>
      <c r="W1" s="60" t="s">
        <v>58</v>
      </c>
      <c r="X1" s="60" t="s">
        <v>58</v>
      </c>
      <c r="Y1" s="60" t="s">
        <v>58</v>
      </c>
      <c r="Z1" s="60" t="s">
        <v>58</v>
      </c>
      <c r="AA1" s="60" t="s">
        <v>58</v>
      </c>
      <c r="AB1" s="60" t="s">
        <v>58</v>
      </c>
      <c r="AC1" s="60" t="s">
        <v>58</v>
      </c>
      <c r="AD1" s="60" t="s">
        <v>58</v>
      </c>
      <c r="AE1" s="60" t="s">
        <v>58</v>
      </c>
    </row>
    <row r="2" spans="1:31" ht="30" customHeight="1">
      <c r="A2" s="60" t="s">
        <v>58</v>
      </c>
      <c r="B2" s="60" t="s">
        <v>58</v>
      </c>
      <c r="C2" s="60" t="s">
        <v>58</v>
      </c>
      <c r="D2" s="60" t="s">
        <v>58</v>
      </c>
      <c r="E2" s="60" t="s">
        <v>58</v>
      </c>
      <c r="F2" s="60" t="s">
        <v>58</v>
      </c>
      <c r="G2" s="60" t="s">
        <v>58</v>
      </c>
      <c r="H2" s="60" t="s">
        <v>58</v>
      </c>
      <c r="I2" s="60" t="s">
        <v>58</v>
      </c>
      <c r="J2" s="60" t="s">
        <v>58</v>
      </c>
      <c r="K2" s="60" t="s">
        <v>58</v>
      </c>
      <c r="L2" s="60" t="s">
        <v>58</v>
      </c>
      <c r="M2" s="60" t="s">
        <v>58</v>
      </c>
      <c r="N2" s="60" t="s">
        <v>58</v>
      </c>
      <c r="O2" s="60" t="s">
        <v>58</v>
      </c>
      <c r="P2" s="60" t="s">
        <v>58</v>
      </c>
      <c r="Q2" s="60" t="s">
        <v>58</v>
      </c>
      <c r="R2" s="60" t="s">
        <v>58</v>
      </c>
      <c r="S2" s="60" t="s">
        <v>58</v>
      </c>
      <c r="T2" s="60" t="s">
        <v>58</v>
      </c>
      <c r="U2" s="60" t="s">
        <v>58</v>
      </c>
      <c r="V2" s="60" t="s">
        <v>58</v>
      </c>
      <c r="W2" s="60" t="s">
        <v>58</v>
      </c>
      <c r="X2" s="60" t="s">
        <v>58</v>
      </c>
      <c r="Y2" s="60" t="s">
        <v>58</v>
      </c>
      <c r="Z2" s="60" t="s">
        <v>58</v>
      </c>
      <c r="AA2" s="60" t="s">
        <v>58</v>
      </c>
      <c r="AB2" s="60" t="s">
        <v>58</v>
      </c>
      <c r="AC2" s="60" t="s">
        <v>58</v>
      </c>
      <c r="AD2" s="60" t="s">
        <v>58</v>
      </c>
      <c r="AE2" s="60" t="s">
        <v>58</v>
      </c>
    </row>
    <row r="3" spans="1:31" ht="26" customHeight="1">
      <c r="A3" s="55" t="s">
        <v>59</v>
      </c>
      <c r="B3" s="55" t="s">
        <v>59</v>
      </c>
      <c r="C3" s="55" t="s">
        <v>59</v>
      </c>
      <c r="D3" s="55" t="s">
        <v>59</v>
      </c>
      <c r="E3" s="55" t="s">
        <v>59</v>
      </c>
      <c r="F3" s="55" t="s">
        <v>59</v>
      </c>
      <c r="G3" s="55" t="s">
        <v>59</v>
      </c>
      <c r="H3" s="55" t="s">
        <v>59</v>
      </c>
      <c r="I3" s="55" t="s">
        <v>59</v>
      </c>
      <c r="J3" s="55" t="s">
        <v>59</v>
      </c>
      <c r="K3" s="55" t="s">
        <v>59</v>
      </c>
      <c r="L3" s="55" t="s">
        <v>59</v>
      </c>
      <c r="M3" s="55" t="s">
        <v>59</v>
      </c>
      <c r="N3" s="55" t="s">
        <v>59</v>
      </c>
      <c r="O3" s="55" t="s">
        <v>59</v>
      </c>
      <c r="P3" s="55" t="s">
        <v>59</v>
      </c>
      <c r="Q3" s="55" t="s">
        <v>59</v>
      </c>
      <c r="R3" s="55" t="s">
        <v>59</v>
      </c>
      <c r="S3" s="55" t="s">
        <v>59</v>
      </c>
      <c r="T3" s="55" t="s">
        <v>59</v>
      </c>
      <c r="U3" s="55" t="s">
        <v>59</v>
      </c>
      <c r="V3" s="55" t="s">
        <v>59</v>
      </c>
      <c r="W3" s="55" t="s">
        <v>59</v>
      </c>
      <c r="X3" s="55" t="s">
        <v>59</v>
      </c>
      <c r="Y3" s="55" t="s">
        <v>59</v>
      </c>
      <c r="Z3" s="55" t="s">
        <v>59</v>
      </c>
      <c r="AA3" s="55" t="s">
        <v>59</v>
      </c>
      <c r="AB3" s="55" t="s">
        <v>59</v>
      </c>
      <c r="AC3" s="55" t="s">
        <v>59</v>
      </c>
      <c r="AD3" s="55" t="s">
        <v>59</v>
      </c>
      <c r="AE3" s="55" t="s">
        <v>59</v>
      </c>
    </row>
    <row r="4" spans="1:31" ht="38" customHeight="1">
      <c r="A4" s="10" t="s">
        <v>60</v>
      </c>
      <c r="B4" s="11" t="s">
        <v>61</v>
      </c>
      <c r="C4" s="11" t="s">
        <v>62</v>
      </c>
      <c r="D4" s="11" t="s">
        <v>63</v>
      </c>
      <c r="E4" s="11" t="s">
        <v>64</v>
      </c>
      <c r="F4" s="11" t="s">
        <v>65</v>
      </c>
      <c r="G4" s="11" t="s">
        <v>66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  <c r="M4" s="11" t="s">
        <v>72</v>
      </c>
      <c r="N4" s="11" t="s">
        <v>73</v>
      </c>
      <c r="O4" s="11" t="s">
        <v>74</v>
      </c>
      <c r="P4" s="11" t="s">
        <v>75</v>
      </c>
      <c r="Q4" s="11" t="s">
        <v>76</v>
      </c>
      <c r="R4" s="11" t="s">
        <v>77</v>
      </c>
      <c r="S4" s="11" t="s">
        <v>25</v>
      </c>
      <c r="T4" s="11" t="s">
        <v>78</v>
      </c>
      <c r="U4" s="11" t="s">
        <v>79</v>
      </c>
      <c r="V4" s="11" t="s">
        <v>80</v>
      </c>
      <c r="W4" s="11" t="s">
        <v>81</v>
      </c>
      <c r="X4" s="11" t="s">
        <v>82</v>
      </c>
      <c r="Y4" s="11" t="s">
        <v>83</v>
      </c>
      <c r="Z4" s="11" t="s">
        <v>84</v>
      </c>
      <c r="AA4" s="11" t="s">
        <v>85</v>
      </c>
      <c r="AB4" s="11" t="s">
        <v>86</v>
      </c>
      <c r="AC4" s="11" t="s">
        <v>87</v>
      </c>
      <c r="AD4" s="11" t="s">
        <v>88</v>
      </c>
      <c r="AE4" s="12" t="s">
        <v>89</v>
      </c>
    </row>
    <row r="5" spans="1:31" ht="18" customHeight="1">
      <c r="A5" s="4">
        <v>1</v>
      </c>
      <c r="B5" s="13">
        <v>43206</v>
      </c>
      <c r="C5" s="13">
        <v>43207</v>
      </c>
      <c r="D5" s="4" t="s">
        <v>90</v>
      </c>
      <c r="E5" s="14">
        <v>6671.4589999999998</v>
      </c>
      <c r="F5" s="14">
        <v>6816.3689999999997</v>
      </c>
      <c r="G5" s="15">
        <v>2.172E-2</v>
      </c>
      <c r="H5" s="16">
        <f>0</f>
        <v>0</v>
      </c>
      <c r="I5" s="17" t="b">
        <f>AND(A5&gt;2,H5&lt;=Assumptions!$B$7)</f>
        <v>0</v>
      </c>
      <c r="J5" s="15">
        <v>6.7437077188432504E-3</v>
      </c>
      <c r="K5" s="15"/>
      <c r="L5" s="15">
        <v>1.7657043632083091E-2</v>
      </c>
      <c r="M5" s="17" t="b">
        <f>J5&gt;=Assumptions!$B$8</f>
        <v>0</v>
      </c>
      <c r="N5" s="17" t="b">
        <f>AND(K5&lt;&gt;"",K5&lt;=Assumptions!$B$9)</f>
        <v>0</v>
      </c>
      <c r="O5" s="17" t="b">
        <f>AND(P5&lt;&gt;"",ABS(L5)&lt;=Assumptions!$B$10)</f>
        <v>0</v>
      </c>
      <c r="P5" s="13">
        <v>43207</v>
      </c>
      <c r="Q5" s="14">
        <v>6741.259</v>
      </c>
      <c r="R5" s="15">
        <v>1.1140000000000001E-2</v>
      </c>
      <c r="S5" s="17" t="str">
        <f t="shared" ref="S5:S68" si="0">IF(I5,"DAMAGE SKIP",IF(AND(M5,N5),IF(O5,"TUESDAY RE-ENTRY","GAP/MOM SKIP"),"BASELINE"))</f>
        <v>BASELINE</v>
      </c>
      <c r="T5" s="16">
        <f t="shared" ref="T5:T68" si="1">IF(I5,0,IF(AND(M5,N5),IF(O5,R5,0),G5))</f>
        <v>2.172E-2</v>
      </c>
      <c r="U5" s="16">
        <f>G5*Assumptions!$B$6</f>
        <v>0.24543600000000002</v>
      </c>
      <c r="V5" s="16">
        <f>T5*Assumptions!$B$6</f>
        <v>0.24543600000000002</v>
      </c>
      <c r="W5" s="16">
        <f t="shared" ref="W5:W68" si="2">V5-U5</f>
        <v>0</v>
      </c>
      <c r="X5" s="18">
        <f>Assumptions!$B$11*(1+U5)</f>
        <v>124.5436</v>
      </c>
      <c r="Y5" s="18">
        <f>MAX(Assumptions!$B$11,X5)</f>
        <v>124.5436</v>
      </c>
      <c r="Z5" s="19">
        <f t="shared" ref="Z5:Z68" si="3">X5/Y5-1</f>
        <v>0</v>
      </c>
      <c r="AA5" s="18">
        <f>Assumptions!$B$11*(1+V5)</f>
        <v>124.5436</v>
      </c>
      <c r="AB5" s="18">
        <f>MAX(Assumptions!$B$11,AA5)</f>
        <v>124.5436</v>
      </c>
      <c r="AC5" s="19">
        <f t="shared" ref="AC5:AC68" si="4">AA5/AB5-1</f>
        <v>0</v>
      </c>
      <c r="AD5" s="20">
        <f t="shared" ref="AD5:AD68" si="5">AA5-X5</f>
        <v>0</v>
      </c>
      <c r="AE5" s="9" t="s">
        <v>91</v>
      </c>
    </row>
    <row r="6" spans="1:31" ht="18" customHeight="1">
      <c r="A6" s="4">
        <v>2</v>
      </c>
      <c r="B6" s="13">
        <v>43213</v>
      </c>
      <c r="C6" s="13">
        <v>43216</v>
      </c>
      <c r="D6" s="4" t="s">
        <v>92</v>
      </c>
      <c r="E6" s="14">
        <v>6695.27</v>
      </c>
      <c r="F6" s="14">
        <v>6581.3590000000004</v>
      </c>
      <c r="G6" s="15">
        <v>-1.7010000000000001E-2</v>
      </c>
      <c r="H6" s="16">
        <f>0</f>
        <v>0</v>
      </c>
      <c r="I6" s="17" t="b">
        <f>AND(A6&gt;2,H6&lt;=Assumptions!$B$7)</f>
        <v>0</v>
      </c>
      <c r="J6" s="15">
        <v>3.9754023199818356E-3</v>
      </c>
      <c r="K6" s="15"/>
      <c r="L6" s="15">
        <v>2.0431518850663188E-3</v>
      </c>
      <c r="M6" s="17" t="b">
        <f>J6&gt;=Assumptions!$B$8</f>
        <v>0</v>
      </c>
      <c r="N6" s="17" t="b">
        <f>AND(K6&lt;&gt;"",K6&lt;=Assumptions!$B$9)</f>
        <v>0</v>
      </c>
      <c r="O6" s="17" t="b">
        <f>AND(P6&lt;&gt;"",ABS(L6)&lt;=Assumptions!$B$10)</f>
        <v>1</v>
      </c>
      <c r="P6" s="13">
        <v>43214</v>
      </c>
      <c r="Q6" s="14">
        <v>6678.3689999999997</v>
      </c>
      <c r="R6" s="15">
        <v>-1.452E-2</v>
      </c>
      <c r="S6" s="17" t="str">
        <f t="shared" si="0"/>
        <v>BASELINE</v>
      </c>
      <c r="T6" s="16">
        <f t="shared" si="1"/>
        <v>-1.7010000000000001E-2</v>
      </c>
      <c r="U6" s="16">
        <f>G6*Assumptions!$B$6</f>
        <v>-0.19221300000000002</v>
      </c>
      <c r="V6" s="16">
        <f>T6*Assumptions!$B$6</f>
        <v>-0.19221300000000002</v>
      </c>
      <c r="W6" s="16">
        <f t="shared" si="2"/>
        <v>0</v>
      </c>
      <c r="X6" s="18">
        <f t="shared" ref="X6:X69" si="6">X5*(1+U6)</f>
        <v>100.6047010132</v>
      </c>
      <c r="Y6" s="18">
        <f t="shared" ref="Y6:Y69" si="7">MAX(Y5,X6)</f>
        <v>124.5436</v>
      </c>
      <c r="Z6" s="19">
        <f t="shared" si="3"/>
        <v>-0.19221299999999997</v>
      </c>
      <c r="AA6" s="18">
        <f t="shared" ref="AA6:AA69" si="8">AA5*(1+V6)</f>
        <v>100.6047010132</v>
      </c>
      <c r="AB6" s="18">
        <f t="shared" ref="AB6:AB69" si="9">MAX(AB5,AA6)</f>
        <v>124.5436</v>
      </c>
      <c r="AC6" s="19">
        <f t="shared" si="4"/>
        <v>-0.19221299999999997</v>
      </c>
      <c r="AD6" s="20">
        <f t="shared" si="5"/>
        <v>0</v>
      </c>
      <c r="AE6" s="9" t="s">
        <v>91</v>
      </c>
    </row>
    <row r="7" spans="1:31" ht="18" customHeight="1">
      <c r="A7" s="4">
        <v>3</v>
      </c>
      <c r="B7" s="13">
        <v>43220</v>
      </c>
      <c r="C7" s="13">
        <v>43223</v>
      </c>
      <c r="D7" s="4" t="s">
        <v>92</v>
      </c>
      <c r="E7" s="14">
        <v>6669.27</v>
      </c>
      <c r="F7" s="14">
        <v>6628.76</v>
      </c>
      <c r="G7" s="15">
        <v>-6.0699999999999999E-3</v>
      </c>
      <c r="H7" s="16">
        <f t="shared" ref="H7:H70" si="10">SUM(T5:T6)</f>
        <v>4.7099999999999989E-3</v>
      </c>
      <c r="I7" s="17" t="b">
        <f>AND(A7&gt;2,H7&lt;=Assumptions!$B$7)</f>
        <v>0</v>
      </c>
      <c r="J7" s="15">
        <v>1.4416632418219333E-3</v>
      </c>
      <c r="K7" s="15"/>
      <c r="L7" s="15">
        <v>-9.6524846570162914E-3</v>
      </c>
      <c r="M7" s="17" t="b">
        <f>J7&gt;=Assumptions!$B$8</f>
        <v>0</v>
      </c>
      <c r="N7" s="17" t="b">
        <f>AND(K7&lt;&gt;"",K7&lt;=Assumptions!$B$9)</f>
        <v>0</v>
      </c>
      <c r="O7" s="17" t="b">
        <f>AND(P7&lt;&gt;"",ABS(L7)&lt;=Assumptions!$B$10)</f>
        <v>0</v>
      </c>
      <c r="P7" s="13">
        <v>43221</v>
      </c>
      <c r="Q7" s="14">
        <v>6590.4589999999998</v>
      </c>
      <c r="R7" s="15">
        <v>5.8100000000000001E-3</v>
      </c>
      <c r="S7" s="17" t="str">
        <f t="shared" si="0"/>
        <v>BASELINE</v>
      </c>
      <c r="T7" s="16">
        <f t="shared" si="1"/>
        <v>-6.0699999999999999E-3</v>
      </c>
      <c r="U7" s="16">
        <f>G7*Assumptions!$B$6</f>
        <v>-6.8590999999999999E-2</v>
      </c>
      <c r="V7" s="16">
        <f>T7*Assumptions!$B$6</f>
        <v>-6.8590999999999999E-2</v>
      </c>
      <c r="W7" s="16">
        <f t="shared" si="2"/>
        <v>0</v>
      </c>
      <c r="X7" s="18">
        <f t="shared" si="6"/>
        <v>93.704123966003607</v>
      </c>
      <c r="Y7" s="18">
        <f t="shared" si="7"/>
        <v>124.5436</v>
      </c>
      <c r="Z7" s="19">
        <f t="shared" si="3"/>
        <v>-0.2476199181169999</v>
      </c>
      <c r="AA7" s="18">
        <f t="shared" si="8"/>
        <v>93.704123966003607</v>
      </c>
      <c r="AB7" s="18">
        <f t="shared" si="9"/>
        <v>124.5436</v>
      </c>
      <c r="AC7" s="19">
        <f t="shared" si="4"/>
        <v>-0.2476199181169999</v>
      </c>
      <c r="AD7" s="20">
        <f t="shared" si="5"/>
        <v>0</v>
      </c>
      <c r="AE7" s="9" t="s">
        <v>91</v>
      </c>
    </row>
    <row r="8" spans="1:31" ht="18" customHeight="1">
      <c r="A8" s="4">
        <v>4</v>
      </c>
      <c r="B8" s="13">
        <v>43227</v>
      </c>
      <c r="C8" s="13">
        <v>43231</v>
      </c>
      <c r="D8" s="4" t="s">
        <v>93</v>
      </c>
      <c r="E8" s="14">
        <v>6796.7690000000002</v>
      </c>
      <c r="F8" s="14">
        <v>6952.1589999999997</v>
      </c>
      <c r="G8" s="15">
        <v>2.2859999999999998E-2</v>
      </c>
      <c r="H8" s="16">
        <f t="shared" si="10"/>
        <v>-2.308E-2</v>
      </c>
      <c r="I8" s="17" t="b">
        <f>AND(A8&gt;2,H8&lt;=Assumptions!$B$7)</f>
        <v>1</v>
      </c>
      <c r="J8" s="15">
        <v>4.4332820533281581E-3</v>
      </c>
      <c r="K8" s="15"/>
      <c r="L8" s="15">
        <v>5.6134008808330638E-3</v>
      </c>
      <c r="M8" s="17" t="b">
        <f>J8&gt;=Assumptions!$B$8</f>
        <v>0</v>
      </c>
      <c r="N8" s="17" t="b">
        <f>AND(K8&lt;&gt;"",K8&lt;=Assumptions!$B$9)</f>
        <v>0</v>
      </c>
      <c r="O8" s="17" t="b">
        <f>AND(P8&lt;&gt;"",ABS(L8)&lt;=Assumptions!$B$10)</f>
        <v>0</v>
      </c>
      <c r="P8" s="13">
        <v>43228</v>
      </c>
      <c r="Q8" s="14">
        <v>6807.36</v>
      </c>
      <c r="R8" s="15">
        <v>2.1270000000000001E-2</v>
      </c>
      <c r="S8" s="17" t="str">
        <f t="shared" si="0"/>
        <v>DAMAGE SKIP</v>
      </c>
      <c r="T8" s="16">
        <f t="shared" si="1"/>
        <v>0</v>
      </c>
      <c r="U8" s="16">
        <f>G8*Assumptions!$B$6</f>
        <v>0.25831799999999999</v>
      </c>
      <c r="V8" s="16">
        <f>T8*Assumptions!$B$6</f>
        <v>0</v>
      </c>
      <c r="W8" s="16">
        <f t="shared" si="2"/>
        <v>-0.25831799999999999</v>
      </c>
      <c r="X8" s="18">
        <f t="shared" si="6"/>
        <v>117.90958586065373</v>
      </c>
      <c r="Y8" s="18">
        <f t="shared" si="7"/>
        <v>124.5436</v>
      </c>
      <c r="Z8" s="19">
        <f t="shared" si="3"/>
        <v>-5.3266600125147057E-2</v>
      </c>
      <c r="AA8" s="18">
        <f t="shared" si="8"/>
        <v>93.704123966003607</v>
      </c>
      <c r="AB8" s="18">
        <f t="shared" si="9"/>
        <v>124.5436</v>
      </c>
      <c r="AC8" s="19">
        <f t="shared" si="4"/>
        <v>-0.2476199181169999</v>
      </c>
      <c r="AD8" s="20">
        <f t="shared" si="5"/>
        <v>-24.205461894650128</v>
      </c>
      <c r="AE8" s="9" t="s">
        <v>94</v>
      </c>
    </row>
    <row r="9" spans="1:31" ht="18" customHeight="1">
      <c r="A9" s="4">
        <v>5</v>
      </c>
      <c r="B9" s="13">
        <v>43234</v>
      </c>
      <c r="C9" s="13">
        <v>43236</v>
      </c>
      <c r="D9" s="4" t="s">
        <v>95</v>
      </c>
      <c r="E9" s="14">
        <v>6967.4589999999998</v>
      </c>
      <c r="F9" s="14">
        <v>6939.589164</v>
      </c>
      <c r="G9" s="15">
        <v>-4.0000000000000001E-3</v>
      </c>
      <c r="H9" s="16">
        <f t="shared" si="10"/>
        <v>-6.0699999999999999E-3</v>
      </c>
      <c r="I9" s="17" t="b">
        <f>AND(A9&gt;2,H9&lt;=Assumptions!$B$7)</f>
        <v>0</v>
      </c>
      <c r="J9" s="15">
        <v>2.2007551898626243E-3</v>
      </c>
      <c r="K9" s="15">
        <v>5.0415249442323562E-2</v>
      </c>
      <c r="L9" s="15">
        <v>-6.3709253010556521E-3</v>
      </c>
      <c r="M9" s="17" t="b">
        <f>J9&gt;=Assumptions!$B$8</f>
        <v>0</v>
      </c>
      <c r="N9" s="17" t="b">
        <f>AND(K9&lt;&gt;"",K9&lt;=Assumptions!$B$9)</f>
        <v>0</v>
      </c>
      <c r="O9" s="17" t="b">
        <f>AND(P9&lt;&gt;"",ABS(L9)&lt;=Assumptions!$B$10)</f>
        <v>0</v>
      </c>
      <c r="P9" s="13">
        <v>43235</v>
      </c>
      <c r="Q9" s="14">
        <v>6907.26</v>
      </c>
      <c r="R9" s="15">
        <v>4.6800000000000001E-3</v>
      </c>
      <c r="S9" s="17" t="str">
        <f t="shared" si="0"/>
        <v>BASELINE</v>
      </c>
      <c r="T9" s="16">
        <f t="shared" si="1"/>
        <v>-4.0000000000000001E-3</v>
      </c>
      <c r="U9" s="16">
        <f>G9*Assumptions!$B$6</f>
        <v>-4.5200000000000004E-2</v>
      </c>
      <c r="V9" s="16">
        <f>T9*Assumptions!$B$6</f>
        <v>-4.5200000000000004E-2</v>
      </c>
      <c r="W9" s="16">
        <f t="shared" si="2"/>
        <v>0</v>
      </c>
      <c r="X9" s="18">
        <f t="shared" si="6"/>
        <v>112.58007257975218</v>
      </c>
      <c r="Y9" s="18">
        <f t="shared" si="7"/>
        <v>124.5436</v>
      </c>
      <c r="Z9" s="19">
        <f t="shared" si="3"/>
        <v>-9.6058949799490367E-2</v>
      </c>
      <c r="AA9" s="18">
        <f t="shared" si="8"/>
        <v>89.468697562740246</v>
      </c>
      <c r="AB9" s="18">
        <f t="shared" si="9"/>
        <v>124.5436</v>
      </c>
      <c r="AC9" s="19">
        <f t="shared" si="4"/>
        <v>-0.28162749781811147</v>
      </c>
      <c r="AD9" s="20">
        <f t="shared" si="5"/>
        <v>-23.111375017011937</v>
      </c>
      <c r="AE9" s="9" t="s">
        <v>91</v>
      </c>
    </row>
    <row r="10" spans="1:31" ht="18" customHeight="1">
      <c r="A10" s="4">
        <v>6</v>
      </c>
      <c r="B10" s="13">
        <v>43241</v>
      </c>
      <c r="C10" s="13">
        <v>43244</v>
      </c>
      <c r="D10" s="4" t="s">
        <v>96</v>
      </c>
      <c r="E10" s="14">
        <v>6917.2690000000002</v>
      </c>
      <c r="F10" s="14">
        <v>6889.5999240000001</v>
      </c>
      <c r="G10" s="15">
        <v>-4.0000000000000001E-3</v>
      </c>
      <c r="H10" s="16">
        <f t="shared" si="10"/>
        <v>-4.0000000000000001E-3</v>
      </c>
      <c r="I10" s="17" t="b">
        <f>AND(A10&gt;2,H10&lt;=Assumptions!$B$7)</f>
        <v>0</v>
      </c>
      <c r="J10" s="15">
        <v>7.3410565150675566E-3</v>
      </c>
      <c r="K10" s="15">
        <v>3.1824030311063289E-2</v>
      </c>
      <c r="L10" s="15">
        <v>1.0195193783876899E-2</v>
      </c>
      <c r="M10" s="17" t="b">
        <f>J10&gt;=Assumptions!$B$8</f>
        <v>0</v>
      </c>
      <c r="N10" s="17" t="b">
        <f>AND(K10&lt;&gt;"",K10&lt;=Assumptions!$B$9)</f>
        <v>0</v>
      </c>
      <c r="O10" s="17" t="b">
        <f>AND(P10&lt;&gt;"",ABS(L10)&lt;=Assumptions!$B$10)</f>
        <v>0</v>
      </c>
      <c r="P10" s="13">
        <v>43242</v>
      </c>
      <c r="Q10" s="14">
        <v>6934.57</v>
      </c>
      <c r="R10" s="15">
        <v>-6.4799999999999996E-3</v>
      </c>
      <c r="S10" s="17" t="str">
        <f t="shared" si="0"/>
        <v>BASELINE</v>
      </c>
      <c r="T10" s="16">
        <f t="shared" si="1"/>
        <v>-4.0000000000000001E-3</v>
      </c>
      <c r="U10" s="16">
        <f>G10*Assumptions!$B$6</f>
        <v>-4.5200000000000004E-2</v>
      </c>
      <c r="V10" s="16">
        <f>T10*Assumptions!$B$6</f>
        <v>-4.5200000000000004E-2</v>
      </c>
      <c r="W10" s="16">
        <f t="shared" si="2"/>
        <v>0</v>
      </c>
      <c r="X10" s="18">
        <f t="shared" si="6"/>
        <v>107.49145329914738</v>
      </c>
      <c r="Y10" s="18">
        <f t="shared" si="7"/>
        <v>124.5436</v>
      </c>
      <c r="Z10" s="19">
        <f t="shared" si="3"/>
        <v>-0.13691708526855351</v>
      </c>
      <c r="AA10" s="18">
        <f t="shared" si="8"/>
        <v>85.424712432904386</v>
      </c>
      <c r="AB10" s="18">
        <f t="shared" si="9"/>
        <v>124.5436</v>
      </c>
      <c r="AC10" s="19">
        <f t="shared" si="4"/>
        <v>-0.31409793491673288</v>
      </c>
      <c r="AD10" s="20">
        <f t="shared" si="5"/>
        <v>-22.066740866242995</v>
      </c>
      <c r="AE10" s="9" t="s">
        <v>91</v>
      </c>
    </row>
    <row r="11" spans="1:31" ht="18" customHeight="1">
      <c r="A11" s="4">
        <v>7</v>
      </c>
      <c r="B11" s="13">
        <v>43249</v>
      </c>
      <c r="C11" s="13">
        <v>43252</v>
      </c>
      <c r="D11" s="4" t="s">
        <v>93</v>
      </c>
      <c r="E11" s="14">
        <v>6923.56</v>
      </c>
      <c r="F11" s="14">
        <v>7080.37</v>
      </c>
      <c r="G11" s="15">
        <v>2.264E-2</v>
      </c>
      <c r="H11" s="16">
        <f t="shared" si="10"/>
        <v>-8.0000000000000002E-3</v>
      </c>
      <c r="I11" s="17" t="b">
        <f>AND(A11&gt;2,H11&lt;=Assumptions!$B$7)</f>
        <v>0</v>
      </c>
      <c r="J11" s="15">
        <v>-4.1867374960607995E-3</v>
      </c>
      <c r="K11" s="15">
        <v>4.7278400704352963E-2</v>
      </c>
      <c r="L11" s="15"/>
      <c r="M11" s="17" t="b">
        <f>J11&gt;=Assumptions!$B$8</f>
        <v>0</v>
      </c>
      <c r="N11" s="17" t="b">
        <f>AND(K11&lt;&gt;"",K11&lt;=Assumptions!$B$9)</f>
        <v>0</v>
      </c>
      <c r="O11" s="17" t="b">
        <f>AND(P11&lt;&gt;"",ABS(L11)&lt;=Assumptions!$B$10)</f>
        <v>0</v>
      </c>
      <c r="P11" s="13"/>
      <c r="Q11" s="14"/>
      <c r="R11" s="15"/>
      <c r="S11" s="17" t="str">
        <f t="shared" si="0"/>
        <v>BASELINE</v>
      </c>
      <c r="T11" s="16">
        <f t="shared" si="1"/>
        <v>2.264E-2</v>
      </c>
      <c r="U11" s="16">
        <f>G11*Assumptions!$B$6</f>
        <v>0.255832</v>
      </c>
      <c r="V11" s="16">
        <f>T11*Assumptions!$B$6</f>
        <v>0.255832</v>
      </c>
      <c r="W11" s="16">
        <f t="shared" si="2"/>
        <v>0</v>
      </c>
      <c r="X11" s="18">
        <f t="shared" si="6"/>
        <v>134.99120677957487</v>
      </c>
      <c r="Y11" s="18">
        <f t="shared" si="7"/>
        <v>134.99120677957487</v>
      </c>
      <c r="Z11" s="19">
        <f t="shared" si="3"/>
        <v>0</v>
      </c>
      <c r="AA11" s="18">
        <f t="shared" si="8"/>
        <v>107.27908746403918</v>
      </c>
      <c r="AB11" s="18">
        <f t="shared" si="9"/>
        <v>124.5436</v>
      </c>
      <c r="AC11" s="19">
        <f t="shared" si="4"/>
        <v>-0.1386222378023505</v>
      </c>
      <c r="AD11" s="20">
        <f t="shared" si="5"/>
        <v>-27.712119315535688</v>
      </c>
      <c r="AE11" s="9" t="s">
        <v>91</v>
      </c>
    </row>
    <row r="12" spans="1:31" ht="18" customHeight="1">
      <c r="A12" s="4">
        <v>8</v>
      </c>
      <c r="B12" s="13">
        <v>43255</v>
      </c>
      <c r="C12" s="13">
        <v>43259</v>
      </c>
      <c r="D12" s="4" t="s">
        <v>93</v>
      </c>
      <c r="E12" s="14">
        <v>7098.0590000000002</v>
      </c>
      <c r="F12" s="14">
        <v>7151.26</v>
      </c>
      <c r="G12" s="15">
        <v>7.4900000000000001E-3</v>
      </c>
      <c r="H12" s="16">
        <f t="shared" si="10"/>
        <v>1.864E-2</v>
      </c>
      <c r="I12" s="17" t="b">
        <f>AND(A12&gt;2,H12&lt;=Assumptions!$B$7)</f>
        <v>0</v>
      </c>
      <c r="J12" s="15">
        <v>2.4983157659839161E-3</v>
      </c>
      <c r="K12" s="15">
        <v>6.771779172936232E-2</v>
      </c>
      <c r="L12" s="15">
        <v>1.1176917236142669E-2</v>
      </c>
      <c r="M12" s="17" t="b">
        <f>J12&gt;=Assumptions!$B$8</f>
        <v>0</v>
      </c>
      <c r="N12" s="17" t="b">
        <f>AND(K12&lt;&gt;"",K12&lt;=Assumptions!$B$9)</f>
        <v>0</v>
      </c>
      <c r="O12" s="17" t="b">
        <f>AND(P12&lt;&gt;"",ABS(L12)&lt;=Assumptions!$B$10)</f>
        <v>0</v>
      </c>
      <c r="P12" s="13">
        <v>43256</v>
      </c>
      <c r="Q12" s="14">
        <v>7159.97</v>
      </c>
      <c r="R12" s="15">
        <v>-1.2099999999999999E-3</v>
      </c>
      <c r="S12" s="17" t="str">
        <f t="shared" si="0"/>
        <v>BASELINE</v>
      </c>
      <c r="T12" s="16">
        <f t="shared" si="1"/>
        <v>7.4900000000000001E-3</v>
      </c>
      <c r="U12" s="16">
        <f>G12*Assumptions!$B$6</f>
        <v>8.4637000000000004E-2</v>
      </c>
      <c r="V12" s="16">
        <f>T12*Assumptions!$B$6</f>
        <v>8.4637000000000004E-2</v>
      </c>
      <c r="W12" s="16">
        <f t="shared" si="2"/>
        <v>0</v>
      </c>
      <c r="X12" s="18">
        <f t="shared" si="6"/>
        <v>146.41645754777775</v>
      </c>
      <c r="Y12" s="18">
        <f t="shared" si="7"/>
        <v>146.41645754777775</v>
      </c>
      <c r="Z12" s="19">
        <f t="shared" si="3"/>
        <v>0</v>
      </c>
      <c r="AA12" s="18">
        <f t="shared" si="8"/>
        <v>116.35886758973307</v>
      </c>
      <c r="AB12" s="18">
        <f t="shared" si="9"/>
        <v>124.5436</v>
      </c>
      <c r="AC12" s="19">
        <f t="shared" si="4"/>
        <v>-6.5717808143228029E-2</v>
      </c>
      <c r="AD12" s="20">
        <f t="shared" si="5"/>
        <v>-30.057589958044687</v>
      </c>
      <c r="AE12" s="9" t="s">
        <v>91</v>
      </c>
    </row>
    <row r="13" spans="1:31" ht="18" customHeight="1">
      <c r="A13" s="4">
        <v>9</v>
      </c>
      <c r="B13" s="13">
        <v>43262</v>
      </c>
      <c r="C13" s="13">
        <v>43266</v>
      </c>
      <c r="D13" s="4" t="s">
        <v>93</v>
      </c>
      <c r="E13" s="14">
        <v>7143.46</v>
      </c>
      <c r="F13" s="14">
        <v>7254.9589999999998</v>
      </c>
      <c r="G13" s="15">
        <v>1.5599999999999999E-2</v>
      </c>
      <c r="H13" s="16">
        <f t="shared" si="10"/>
        <v>3.0130000000000001E-2</v>
      </c>
      <c r="I13" s="17" t="b">
        <f>AND(A13&gt;2,H13&lt;=Assumptions!$B$7)</f>
        <v>0</v>
      </c>
      <c r="J13" s="15">
        <v>-1.0907168806616463E-3</v>
      </c>
      <c r="K13" s="15">
        <v>2.8254388460729585E-2</v>
      </c>
      <c r="L13" s="15">
        <v>3.9520698740391769E-3</v>
      </c>
      <c r="M13" s="17" t="b">
        <f>J13&gt;=Assumptions!$B$8</f>
        <v>0</v>
      </c>
      <c r="N13" s="17" t="b">
        <f>AND(K13&lt;&gt;"",K13&lt;=Assumptions!$B$9)</f>
        <v>0</v>
      </c>
      <c r="O13" s="17" t="b">
        <f>AND(P13&lt;&gt;"",ABS(L13)&lt;=Assumptions!$B$10)</f>
        <v>1</v>
      </c>
      <c r="P13" s="13">
        <v>43263</v>
      </c>
      <c r="Q13" s="14">
        <v>7180.46</v>
      </c>
      <c r="R13" s="15">
        <v>1.0370000000000001E-2</v>
      </c>
      <c r="S13" s="17" t="str">
        <f t="shared" si="0"/>
        <v>BASELINE</v>
      </c>
      <c r="T13" s="16">
        <f t="shared" si="1"/>
        <v>1.5599999999999999E-2</v>
      </c>
      <c r="U13" s="16">
        <f>G13*Assumptions!$B$6</f>
        <v>0.17627999999999999</v>
      </c>
      <c r="V13" s="16">
        <f>T13*Assumptions!$B$6</f>
        <v>0.17627999999999999</v>
      </c>
      <c r="W13" s="16">
        <f t="shared" si="2"/>
        <v>0</v>
      </c>
      <c r="X13" s="18">
        <f t="shared" si="6"/>
        <v>172.22675068430001</v>
      </c>
      <c r="Y13" s="18">
        <f t="shared" si="7"/>
        <v>172.22675068430001</v>
      </c>
      <c r="Z13" s="19">
        <f t="shared" si="3"/>
        <v>0</v>
      </c>
      <c r="AA13" s="18">
        <f t="shared" si="8"/>
        <v>136.87060876845121</v>
      </c>
      <c r="AB13" s="18">
        <f t="shared" si="9"/>
        <v>136.87060876845121</v>
      </c>
      <c r="AC13" s="19">
        <f t="shared" si="4"/>
        <v>0</v>
      </c>
      <c r="AD13" s="20">
        <f t="shared" si="5"/>
        <v>-35.356141915848809</v>
      </c>
      <c r="AE13" s="9" t="s">
        <v>91</v>
      </c>
    </row>
    <row r="14" spans="1:31" ht="18" customHeight="1">
      <c r="A14" s="4">
        <v>10</v>
      </c>
      <c r="B14" s="13">
        <v>43269</v>
      </c>
      <c r="C14" s="13">
        <v>43273</v>
      </c>
      <c r="D14" s="4" t="s">
        <v>97</v>
      </c>
      <c r="E14" s="14">
        <v>7206.4690000000001</v>
      </c>
      <c r="F14" s="14">
        <v>7177.6431240000002</v>
      </c>
      <c r="G14" s="15">
        <v>-4.0000000000000001E-3</v>
      </c>
      <c r="H14" s="16">
        <f t="shared" si="10"/>
        <v>2.3089999999999999E-2</v>
      </c>
      <c r="I14" s="17" t="b">
        <f>AND(A14&gt;2,H14&lt;=Assumptions!$B$7)</f>
        <v>0</v>
      </c>
      <c r="J14" s="15">
        <v>-6.683704208390373E-3</v>
      </c>
      <c r="K14" s="15">
        <v>5.1403529551107496E-2</v>
      </c>
      <c r="L14" s="15">
        <v>-1.3328352987910908E-2</v>
      </c>
      <c r="M14" s="17" t="b">
        <f>J14&gt;=Assumptions!$B$8</f>
        <v>0</v>
      </c>
      <c r="N14" s="17" t="b">
        <f>AND(K14&lt;&gt;"",K14&lt;=Assumptions!$B$9)</f>
        <v>0</v>
      </c>
      <c r="O14" s="17" t="b">
        <f>AND(P14&lt;&gt;"",ABS(L14)&lt;=Assumptions!$B$10)</f>
        <v>0</v>
      </c>
      <c r="P14" s="13">
        <v>43270</v>
      </c>
      <c r="Q14" s="14">
        <v>7155.46</v>
      </c>
      <c r="R14" s="15">
        <v>3.0999999999999999E-3</v>
      </c>
      <c r="S14" s="17" t="str">
        <f t="shared" si="0"/>
        <v>BASELINE</v>
      </c>
      <c r="T14" s="16">
        <f t="shared" si="1"/>
        <v>-4.0000000000000001E-3</v>
      </c>
      <c r="U14" s="16">
        <f>G14*Assumptions!$B$6</f>
        <v>-4.5200000000000004E-2</v>
      </c>
      <c r="V14" s="16">
        <f>T14*Assumptions!$B$6</f>
        <v>-4.5200000000000004E-2</v>
      </c>
      <c r="W14" s="16">
        <f t="shared" si="2"/>
        <v>0</v>
      </c>
      <c r="X14" s="18">
        <f t="shared" si="6"/>
        <v>164.44210155336964</v>
      </c>
      <c r="Y14" s="18">
        <f t="shared" si="7"/>
        <v>172.22675068430001</v>
      </c>
      <c r="Z14" s="19">
        <f t="shared" si="3"/>
        <v>-4.5200000000000129E-2</v>
      </c>
      <c r="AA14" s="18">
        <f t="shared" si="8"/>
        <v>130.68405725211721</v>
      </c>
      <c r="AB14" s="18">
        <f t="shared" si="9"/>
        <v>136.87060876845121</v>
      </c>
      <c r="AC14" s="19">
        <f t="shared" si="4"/>
        <v>-4.5200000000000018E-2</v>
      </c>
      <c r="AD14" s="20">
        <f t="shared" si="5"/>
        <v>-33.758044301252426</v>
      </c>
      <c r="AE14" s="9" t="s">
        <v>91</v>
      </c>
    </row>
    <row r="15" spans="1:31" ht="18" customHeight="1">
      <c r="A15" s="4">
        <v>11</v>
      </c>
      <c r="B15" s="13">
        <v>43276</v>
      </c>
      <c r="C15" s="13">
        <v>43278</v>
      </c>
      <c r="D15" s="4" t="s">
        <v>95</v>
      </c>
      <c r="E15" s="14">
        <v>7134.27</v>
      </c>
      <c r="F15" s="14">
        <v>7105.7329200000004</v>
      </c>
      <c r="G15" s="15">
        <v>-4.0000000000000001E-3</v>
      </c>
      <c r="H15" s="16">
        <f t="shared" si="10"/>
        <v>1.1599999999999999E-2</v>
      </c>
      <c r="I15" s="17" t="b">
        <f>AND(A15&gt;2,H15&lt;=Assumptions!$B$7)</f>
        <v>0</v>
      </c>
      <c r="J15" s="15">
        <v>-9.7150852412322131E-3</v>
      </c>
      <c r="K15" s="15">
        <v>3.6094403603871283E-2</v>
      </c>
      <c r="L15" s="15">
        <v>-1.8974300781786746E-2</v>
      </c>
      <c r="M15" s="17" t="b">
        <f>J15&gt;=Assumptions!$B$8</f>
        <v>0</v>
      </c>
      <c r="N15" s="17" t="b">
        <f>AND(K15&lt;&gt;"",K15&lt;=Assumptions!$B$9)</f>
        <v>0</v>
      </c>
      <c r="O15" s="17" t="b">
        <f>AND(P15&lt;&gt;"",ABS(L15)&lt;=Assumptions!$B$10)</f>
        <v>0</v>
      </c>
      <c r="P15" s="13">
        <v>43277</v>
      </c>
      <c r="Q15" s="14">
        <v>7064.7690000000002</v>
      </c>
      <c r="R15" s="15">
        <v>5.79E-3</v>
      </c>
      <c r="S15" s="17" t="str">
        <f t="shared" si="0"/>
        <v>BASELINE</v>
      </c>
      <c r="T15" s="16">
        <f t="shared" si="1"/>
        <v>-4.0000000000000001E-3</v>
      </c>
      <c r="U15" s="16">
        <f>G15*Assumptions!$B$6</f>
        <v>-4.5200000000000004E-2</v>
      </c>
      <c r="V15" s="16">
        <f>T15*Assumptions!$B$6</f>
        <v>-4.5200000000000004E-2</v>
      </c>
      <c r="W15" s="16">
        <f t="shared" si="2"/>
        <v>0</v>
      </c>
      <c r="X15" s="18">
        <f t="shared" si="6"/>
        <v>157.00931856315734</v>
      </c>
      <c r="Y15" s="18">
        <f t="shared" si="7"/>
        <v>172.22675068430001</v>
      </c>
      <c r="Z15" s="19">
        <f t="shared" si="3"/>
        <v>-8.835696000000004E-2</v>
      </c>
      <c r="AA15" s="18">
        <f t="shared" si="8"/>
        <v>124.77713786432152</v>
      </c>
      <c r="AB15" s="18">
        <f t="shared" si="9"/>
        <v>136.87060876845121</v>
      </c>
      <c r="AC15" s="19">
        <f t="shared" si="4"/>
        <v>-8.8356959999999929E-2</v>
      </c>
      <c r="AD15" s="20">
        <f t="shared" si="5"/>
        <v>-32.232180698835819</v>
      </c>
      <c r="AE15" s="9" t="s">
        <v>91</v>
      </c>
    </row>
    <row r="16" spans="1:31" ht="18" customHeight="1">
      <c r="A16" s="4">
        <v>12</v>
      </c>
      <c r="B16" s="13">
        <v>43283</v>
      </c>
      <c r="C16" s="13">
        <v>43283</v>
      </c>
      <c r="D16" s="4" t="s">
        <v>90</v>
      </c>
      <c r="E16" s="14">
        <v>6981.27</v>
      </c>
      <c r="F16" s="14">
        <v>7096.8590000000004</v>
      </c>
      <c r="G16" s="15">
        <v>1.6549999999999999E-2</v>
      </c>
      <c r="H16" s="16">
        <f t="shared" si="10"/>
        <v>-8.0000000000000002E-3</v>
      </c>
      <c r="I16" s="17" t="b">
        <f>AND(A16&gt;2,H16&lt;=Assumptions!$B$7)</f>
        <v>0</v>
      </c>
      <c r="J16" s="15">
        <v>-1.0208031168521869E-2</v>
      </c>
      <c r="K16" s="15">
        <v>-4.1731207289295025E-3</v>
      </c>
      <c r="L16" s="15">
        <v>1.0168478327172492E-2</v>
      </c>
      <c r="M16" s="17" t="b">
        <f>J16&gt;=Assumptions!$B$8</f>
        <v>0</v>
      </c>
      <c r="N16" s="17" t="b">
        <f>AND(K16&lt;&gt;"",K16&lt;=Assumptions!$B$9)</f>
        <v>0</v>
      </c>
      <c r="O16" s="17" t="b">
        <f>AND(P16&lt;&gt;"",ABS(L16)&lt;=Assumptions!$B$10)</f>
        <v>0</v>
      </c>
      <c r="P16" s="13">
        <v>43284</v>
      </c>
      <c r="Q16" s="14">
        <v>7121.87</v>
      </c>
      <c r="R16" s="15">
        <v>-3.5100000000000001E-3</v>
      </c>
      <c r="S16" s="17" t="str">
        <f t="shared" si="0"/>
        <v>BASELINE</v>
      </c>
      <c r="T16" s="16">
        <f t="shared" si="1"/>
        <v>1.6549999999999999E-2</v>
      </c>
      <c r="U16" s="16">
        <f>G16*Assumptions!$B$6</f>
        <v>0.18701499999999999</v>
      </c>
      <c r="V16" s="16">
        <f>T16*Assumptions!$B$6</f>
        <v>0.18701499999999999</v>
      </c>
      <c r="W16" s="16">
        <f t="shared" si="2"/>
        <v>0</v>
      </c>
      <c r="X16" s="18">
        <f t="shared" si="6"/>
        <v>186.37241627424621</v>
      </c>
      <c r="Y16" s="18">
        <f t="shared" si="7"/>
        <v>186.37241627424621</v>
      </c>
      <c r="Z16" s="19">
        <f t="shared" si="3"/>
        <v>0</v>
      </c>
      <c r="AA16" s="18">
        <f t="shared" si="8"/>
        <v>148.11233430201759</v>
      </c>
      <c r="AB16" s="18">
        <f t="shared" si="9"/>
        <v>148.11233430201759</v>
      </c>
      <c r="AC16" s="19">
        <f t="shared" si="4"/>
        <v>0</v>
      </c>
      <c r="AD16" s="20">
        <f t="shared" si="5"/>
        <v>-38.260081972228619</v>
      </c>
      <c r="AE16" s="9" t="s">
        <v>91</v>
      </c>
    </row>
    <row r="17" spans="1:31" ht="18" customHeight="1">
      <c r="A17" s="4">
        <v>13</v>
      </c>
      <c r="B17" s="13">
        <v>43290</v>
      </c>
      <c r="C17" s="13">
        <v>43294</v>
      </c>
      <c r="D17" s="4" t="s">
        <v>93</v>
      </c>
      <c r="E17" s="14">
        <v>7246.7690000000002</v>
      </c>
      <c r="F17" s="14">
        <v>7373.8689999999997</v>
      </c>
      <c r="G17" s="15">
        <v>1.753E-2</v>
      </c>
      <c r="H17" s="16">
        <f t="shared" si="10"/>
        <v>1.2549999999999999E-2</v>
      </c>
      <c r="I17" s="17" t="b">
        <f>AND(A17&gt;2,H17&lt;=Assumptions!$B$7)</f>
        <v>0</v>
      </c>
      <c r="J17" s="15">
        <v>5.2030312685396041E-3</v>
      </c>
      <c r="K17" s="15">
        <v>8.8972039077916953E-3</v>
      </c>
      <c r="L17" s="15">
        <v>1.0339214482055326E-2</v>
      </c>
      <c r="M17" s="17" t="b">
        <f>J17&gt;=Assumptions!$B$8</f>
        <v>0</v>
      </c>
      <c r="N17" s="17" t="b">
        <f>AND(K17&lt;&gt;"",K17&lt;=Assumptions!$B$9)</f>
        <v>0</v>
      </c>
      <c r="O17" s="17" t="b">
        <f>AND(P17&lt;&gt;"",ABS(L17)&lt;=Assumptions!$B$10)</f>
        <v>0</v>
      </c>
      <c r="P17" s="13">
        <v>43291</v>
      </c>
      <c r="Q17" s="14">
        <v>7285.66</v>
      </c>
      <c r="R17" s="15">
        <v>1.21E-2</v>
      </c>
      <c r="S17" s="17" t="str">
        <f t="shared" si="0"/>
        <v>BASELINE</v>
      </c>
      <c r="T17" s="16">
        <f t="shared" si="1"/>
        <v>1.753E-2</v>
      </c>
      <c r="U17" s="16">
        <f>G17*Assumptions!$B$6</f>
        <v>0.19808900000000002</v>
      </c>
      <c r="V17" s="16">
        <f>T17*Assumptions!$B$6</f>
        <v>0.19808900000000002</v>
      </c>
      <c r="W17" s="16">
        <f t="shared" si="2"/>
        <v>0</v>
      </c>
      <c r="X17" s="18">
        <f t="shared" si="6"/>
        <v>223.29074184159535</v>
      </c>
      <c r="Y17" s="18">
        <f t="shared" si="7"/>
        <v>223.29074184159535</v>
      </c>
      <c r="Z17" s="19">
        <f t="shared" si="3"/>
        <v>0</v>
      </c>
      <c r="AA17" s="18">
        <f t="shared" si="8"/>
        <v>177.45175849156993</v>
      </c>
      <c r="AB17" s="18">
        <f t="shared" si="9"/>
        <v>177.45175849156993</v>
      </c>
      <c r="AC17" s="19">
        <f t="shared" si="4"/>
        <v>0</v>
      </c>
      <c r="AD17" s="20">
        <f t="shared" si="5"/>
        <v>-45.838983350025416</v>
      </c>
      <c r="AE17" s="9" t="s">
        <v>91</v>
      </c>
    </row>
    <row r="18" spans="1:31" ht="18" customHeight="1">
      <c r="A18" s="4">
        <v>14</v>
      </c>
      <c r="B18" s="13">
        <v>43297</v>
      </c>
      <c r="C18" s="13">
        <v>43300</v>
      </c>
      <c r="D18" s="4" t="s">
        <v>96</v>
      </c>
      <c r="E18" s="14">
        <v>7375.97</v>
      </c>
      <c r="F18" s="14">
        <v>7346.46612</v>
      </c>
      <c r="G18" s="15">
        <v>-4.0000000000000001E-3</v>
      </c>
      <c r="H18" s="16">
        <f t="shared" si="10"/>
        <v>3.4079999999999999E-2</v>
      </c>
      <c r="I18" s="17" t="b">
        <f>AND(A18&gt;2,H18&lt;=Assumptions!$B$7)</f>
        <v>0</v>
      </c>
      <c r="J18" s="15">
        <v>2.8492505087895914E-4</v>
      </c>
      <c r="K18" s="15">
        <v>1.3369094528891567E-2</v>
      </c>
      <c r="L18" s="15">
        <v>-1.2732169715624853E-2</v>
      </c>
      <c r="M18" s="17" t="b">
        <f>J18&gt;=Assumptions!$B$8</f>
        <v>0</v>
      </c>
      <c r="N18" s="17" t="b">
        <f>AND(K18&lt;&gt;"",K18&lt;=Assumptions!$B$9)</f>
        <v>0</v>
      </c>
      <c r="O18" s="17" t="b">
        <f>AND(P18&lt;&gt;"",ABS(L18)&lt;=Assumptions!$B$10)</f>
        <v>0</v>
      </c>
      <c r="P18" s="13">
        <v>43298</v>
      </c>
      <c r="Q18" s="14">
        <v>7277.6589999999997</v>
      </c>
      <c r="R18" s="15">
        <v>9.4500000000000001E-3</v>
      </c>
      <c r="S18" s="17" t="str">
        <f t="shared" si="0"/>
        <v>BASELINE</v>
      </c>
      <c r="T18" s="16">
        <f t="shared" si="1"/>
        <v>-4.0000000000000001E-3</v>
      </c>
      <c r="U18" s="16">
        <f>G18*Assumptions!$B$6</f>
        <v>-4.5200000000000004E-2</v>
      </c>
      <c r="V18" s="16">
        <f>T18*Assumptions!$B$6</f>
        <v>-4.5200000000000004E-2</v>
      </c>
      <c r="W18" s="16">
        <f t="shared" si="2"/>
        <v>0</v>
      </c>
      <c r="X18" s="18">
        <f t="shared" si="6"/>
        <v>213.19800031035524</v>
      </c>
      <c r="Y18" s="18">
        <f t="shared" si="7"/>
        <v>223.29074184159535</v>
      </c>
      <c r="Z18" s="19">
        <f t="shared" si="3"/>
        <v>-4.5200000000000018E-2</v>
      </c>
      <c r="AA18" s="18">
        <f t="shared" si="8"/>
        <v>169.43093900775096</v>
      </c>
      <c r="AB18" s="18">
        <f t="shared" si="9"/>
        <v>177.45175849156993</v>
      </c>
      <c r="AC18" s="19">
        <f t="shared" si="4"/>
        <v>-4.5200000000000018E-2</v>
      </c>
      <c r="AD18" s="20">
        <f t="shared" si="5"/>
        <v>-43.767061302604276</v>
      </c>
      <c r="AE18" s="9" t="s">
        <v>91</v>
      </c>
    </row>
    <row r="19" spans="1:31" ht="18" customHeight="1">
      <c r="A19" s="4">
        <v>15</v>
      </c>
      <c r="B19" s="13">
        <v>43304</v>
      </c>
      <c r="C19" s="13">
        <v>43305</v>
      </c>
      <c r="D19" s="4" t="s">
        <v>98</v>
      </c>
      <c r="E19" s="14">
        <v>7325.86</v>
      </c>
      <c r="F19" s="14">
        <v>7405.8689999999997</v>
      </c>
      <c r="G19" s="15">
        <v>1.0919999999999999E-2</v>
      </c>
      <c r="H19" s="16">
        <f t="shared" si="10"/>
        <v>1.353E-2</v>
      </c>
      <c r="I19" s="17" t="b">
        <f>AND(A19&gt;2,H19&lt;=Assumptions!$B$7)</f>
        <v>0</v>
      </c>
      <c r="J19" s="15">
        <v>-3.1446583670909911E-3</v>
      </c>
      <c r="K19" s="15">
        <v>1.8681842560038131E-2</v>
      </c>
      <c r="L19" s="15">
        <v>1.33668723858551E-2</v>
      </c>
      <c r="M19" s="17" t="b">
        <f>J19&gt;=Assumptions!$B$8</f>
        <v>0</v>
      </c>
      <c r="N19" s="17" t="b">
        <f>AND(K19&lt;&gt;"",K19&lt;=Assumptions!$B$9)</f>
        <v>0</v>
      </c>
      <c r="O19" s="17" t="b">
        <f>AND(P19&lt;&gt;"",ABS(L19)&lt;=Assumptions!$B$10)</f>
        <v>0</v>
      </c>
      <c r="P19" s="13">
        <v>43305</v>
      </c>
      <c r="Q19" s="14">
        <v>7449.67</v>
      </c>
      <c r="R19" s="15">
        <v>-5.8700000000000002E-3</v>
      </c>
      <c r="S19" s="17" t="str">
        <f t="shared" si="0"/>
        <v>BASELINE</v>
      </c>
      <c r="T19" s="16">
        <f t="shared" si="1"/>
        <v>1.0919999999999999E-2</v>
      </c>
      <c r="U19" s="16">
        <f>G19*Assumptions!$B$6</f>
        <v>0.12339599999999999</v>
      </c>
      <c r="V19" s="16">
        <f>T19*Assumptions!$B$6</f>
        <v>0.12339599999999999</v>
      </c>
      <c r="W19" s="16">
        <f t="shared" si="2"/>
        <v>0</v>
      </c>
      <c r="X19" s="18">
        <f t="shared" si="6"/>
        <v>239.50578075665186</v>
      </c>
      <c r="Y19" s="18">
        <f t="shared" si="7"/>
        <v>239.50578075665186</v>
      </c>
      <c r="Z19" s="19">
        <f t="shared" si="3"/>
        <v>0</v>
      </c>
      <c r="AA19" s="18">
        <f t="shared" si="8"/>
        <v>190.33803915755141</v>
      </c>
      <c r="AB19" s="18">
        <f t="shared" si="9"/>
        <v>190.33803915755141</v>
      </c>
      <c r="AC19" s="19">
        <f t="shared" si="4"/>
        <v>0</v>
      </c>
      <c r="AD19" s="20">
        <f t="shared" si="5"/>
        <v>-49.167741599100452</v>
      </c>
      <c r="AE19" s="9" t="s">
        <v>91</v>
      </c>
    </row>
    <row r="20" spans="1:31" ht="18" customHeight="1">
      <c r="A20" s="4">
        <v>16</v>
      </c>
      <c r="B20" s="13">
        <v>43311</v>
      </c>
      <c r="C20" s="13">
        <v>43313</v>
      </c>
      <c r="D20" s="4" t="s">
        <v>99</v>
      </c>
      <c r="E20" s="14">
        <v>7294.6689999999999</v>
      </c>
      <c r="F20" s="14">
        <v>7282.07</v>
      </c>
      <c r="G20" s="15">
        <v>-1.72E-3</v>
      </c>
      <c r="H20" s="16">
        <f t="shared" si="10"/>
        <v>6.9199999999999991E-3</v>
      </c>
      <c r="I20" s="17" t="b">
        <f>AND(A20&gt;2,H20&lt;=Assumptions!$B$7)</f>
        <v>0</v>
      </c>
      <c r="J20" s="15">
        <v>6.9781852879646777E-5</v>
      </c>
      <c r="K20" s="15">
        <v>3.7660717125625576E-2</v>
      </c>
      <c r="L20" s="15">
        <v>-1.0575148989348304E-2</v>
      </c>
      <c r="M20" s="17" t="b">
        <f>J20&gt;=Assumptions!$B$8</f>
        <v>0</v>
      </c>
      <c r="N20" s="17" t="b">
        <f>AND(K20&lt;&gt;"",K20&lt;=Assumptions!$B$9)</f>
        <v>0</v>
      </c>
      <c r="O20" s="17" t="b">
        <f>AND(P20&lt;&gt;"",ABS(L20)&lt;=Assumptions!$B$10)</f>
        <v>0</v>
      </c>
      <c r="P20" s="13">
        <v>43312</v>
      </c>
      <c r="Q20" s="14">
        <v>7216.2</v>
      </c>
      <c r="R20" s="15">
        <v>9.1199999999999996E-3</v>
      </c>
      <c r="S20" s="17" t="str">
        <f t="shared" si="0"/>
        <v>BASELINE</v>
      </c>
      <c r="T20" s="16">
        <f t="shared" si="1"/>
        <v>-1.72E-3</v>
      </c>
      <c r="U20" s="16">
        <f>G20*Assumptions!$B$6</f>
        <v>-1.9436000000000002E-2</v>
      </c>
      <c r="V20" s="16">
        <f>T20*Assumptions!$B$6</f>
        <v>-1.9436000000000002E-2</v>
      </c>
      <c r="W20" s="16">
        <f t="shared" si="2"/>
        <v>0</v>
      </c>
      <c r="X20" s="18">
        <f t="shared" si="6"/>
        <v>234.85074640186556</v>
      </c>
      <c r="Y20" s="18">
        <f t="shared" si="7"/>
        <v>239.50578075665186</v>
      </c>
      <c r="Z20" s="19">
        <f t="shared" si="3"/>
        <v>-1.9436000000000009E-2</v>
      </c>
      <c r="AA20" s="18">
        <f t="shared" si="8"/>
        <v>186.63862902848524</v>
      </c>
      <c r="AB20" s="18">
        <f t="shared" si="9"/>
        <v>190.33803915755141</v>
      </c>
      <c r="AC20" s="19">
        <f t="shared" si="4"/>
        <v>-1.9436000000000009E-2</v>
      </c>
      <c r="AD20" s="20">
        <f t="shared" si="5"/>
        <v>-48.212117373380323</v>
      </c>
      <c r="AE20" s="9" t="s">
        <v>91</v>
      </c>
    </row>
    <row r="21" spans="1:31" ht="18" customHeight="1">
      <c r="A21" s="4">
        <v>17</v>
      </c>
      <c r="B21" s="13">
        <v>43318</v>
      </c>
      <c r="C21" s="13">
        <v>43322</v>
      </c>
      <c r="D21" s="4" t="s">
        <v>93</v>
      </c>
      <c r="E21" s="14">
        <v>7388.67</v>
      </c>
      <c r="F21" s="14">
        <v>7410.67</v>
      </c>
      <c r="G21" s="15">
        <v>2.97E-3</v>
      </c>
      <c r="H21" s="16">
        <f t="shared" si="10"/>
        <v>9.1999999999999998E-3</v>
      </c>
      <c r="I21" s="17" t="b">
        <f>AND(A21&gt;2,H21&lt;=Assumptions!$B$7)</f>
        <v>0</v>
      </c>
      <c r="J21" s="15">
        <v>-8.2477221397991851E-4</v>
      </c>
      <c r="K21" s="15">
        <v>2.5490277918562176E-2</v>
      </c>
      <c r="L21" s="15">
        <v>8.611166025141781E-3</v>
      </c>
      <c r="M21" s="17" t="b">
        <f>J21&gt;=Assumptions!$B$8</f>
        <v>0</v>
      </c>
      <c r="N21" s="17" t="b">
        <f>AND(K21&lt;&gt;"",K21&lt;=Assumptions!$B$9)</f>
        <v>0</v>
      </c>
      <c r="O21" s="17" t="b">
        <f>AND(P21&lt;&gt;"",ABS(L21)&lt;=Assumptions!$B$10)</f>
        <v>0</v>
      </c>
      <c r="P21" s="13">
        <v>43319</v>
      </c>
      <c r="Q21" s="14">
        <v>7456.76</v>
      </c>
      <c r="R21" s="15">
        <v>-6.1799999999999997E-3</v>
      </c>
      <c r="S21" s="17" t="str">
        <f t="shared" si="0"/>
        <v>BASELINE</v>
      </c>
      <c r="T21" s="16">
        <f t="shared" si="1"/>
        <v>2.97E-3</v>
      </c>
      <c r="U21" s="16">
        <f>G21*Assumptions!$B$6</f>
        <v>3.3561000000000001E-2</v>
      </c>
      <c r="V21" s="16">
        <f>T21*Assumptions!$B$6</f>
        <v>3.3561000000000001E-2</v>
      </c>
      <c r="W21" s="16">
        <f t="shared" si="2"/>
        <v>0</v>
      </c>
      <c r="X21" s="18">
        <f t="shared" si="6"/>
        <v>242.73257230185857</v>
      </c>
      <c r="Y21" s="18">
        <f t="shared" si="7"/>
        <v>242.73257230185857</v>
      </c>
      <c r="Z21" s="19">
        <f t="shared" si="3"/>
        <v>0</v>
      </c>
      <c r="AA21" s="18">
        <f t="shared" si="8"/>
        <v>192.90240805731023</v>
      </c>
      <c r="AB21" s="18">
        <f t="shared" si="9"/>
        <v>192.90240805731023</v>
      </c>
      <c r="AC21" s="19">
        <f t="shared" si="4"/>
        <v>0</v>
      </c>
      <c r="AD21" s="20">
        <f t="shared" si="5"/>
        <v>-49.830164244548342</v>
      </c>
      <c r="AE21" s="9" t="s">
        <v>91</v>
      </c>
    </row>
    <row r="22" spans="1:31" ht="18" customHeight="1">
      <c r="A22" s="4">
        <v>18</v>
      </c>
      <c r="B22" s="13">
        <v>43325</v>
      </c>
      <c r="C22" s="13">
        <v>43328</v>
      </c>
      <c r="D22" s="4" t="s">
        <v>92</v>
      </c>
      <c r="E22" s="14">
        <v>7419.96</v>
      </c>
      <c r="F22" s="14">
        <v>7366.47</v>
      </c>
      <c r="G22" s="15">
        <v>-7.1999999999999998E-3</v>
      </c>
      <c r="H22" s="16">
        <f t="shared" si="10"/>
        <v>1.25E-3</v>
      </c>
      <c r="I22" s="17" t="b">
        <f>AND(A22&gt;2,H22&lt;=Assumptions!$B$7)</f>
        <v>0</v>
      </c>
      <c r="J22" s="15">
        <v>1.2535978528256386E-3</v>
      </c>
      <c r="K22" s="15">
        <v>5.0951997854653541E-3</v>
      </c>
      <c r="L22" s="15">
        <v>2.6680896478121774E-3</v>
      </c>
      <c r="M22" s="17" t="b">
        <f>J22&gt;=Assumptions!$B$8</f>
        <v>0</v>
      </c>
      <c r="N22" s="17" t="b">
        <f>AND(K22&lt;&gt;"",K22&lt;=Assumptions!$B$9)</f>
        <v>0</v>
      </c>
      <c r="O22" s="17" t="b">
        <f>AND(P22&lt;&gt;"",ABS(L22)&lt;=Assumptions!$B$10)</f>
        <v>1</v>
      </c>
      <c r="P22" s="13">
        <v>43326</v>
      </c>
      <c r="Q22" s="14">
        <v>7426.9690000000001</v>
      </c>
      <c r="R22" s="15">
        <v>-8.1399999999999997E-3</v>
      </c>
      <c r="S22" s="17" t="str">
        <f t="shared" si="0"/>
        <v>BASELINE</v>
      </c>
      <c r="T22" s="16">
        <f t="shared" si="1"/>
        <v>-7.1999999999999998E-3</v>
      </c>
      <c r="U22" s="16">
        <f>G22*Assumptions!$B$6</f>
        <v>-8.1360000000000002E-2</v>
      </c>
      <c r="V22" s="16">
        <f>T22*Assumptions!$B$6</f>
        <v>-8.1360000000000002E-2</v>
      </c>
      <c r="W22" s="16">
        <f t="shared" si="2"/>
        <v>0</v>
      </c>
      <c r="X22" s="18">
        <f t="shared" si="6"/>
        <v>222.98385021937935</v>
      </c>
      <c r="Y22" s="18">
        <f t="shared" si="7"/>
        <v>242.73257230185857</v>
      </c>
      <c r="Z22" s="19">
        <f t="shared" si="3"/>
        <v>-8.1359999999999988E-2</v>
      </c>
      <c r="AA22" s="18">
        <f t="shared" si="8"/>
        <v>177.20786813776746</v>
      </c>
      <c r="AB22" s="18">
        <f t="shared" si="9"/>
        <v>192.90240805731023</v>
      </c>
      <c r="AC22" s="19">
        <f t="shared" si="4"/>
        <v>-8.1359999999999988E-2</v>
      </c>
      <c r="AD22" s="20">
        <f t="shared" si="5"/>
        <v>-45.775982081611886</v>
      </c>
      <c r="AE22" s="9" t="s">
        <v>91</v>
      </c>
    </row>
    <row r="23" spans="1:31" ht="18" customHeight="1">
      <c r="A23" s="4">
        <v>19</v>
      </c>
      <c r="B23" s="13">
        <v>43332</v>
      </c>
      <c r="C23" s="13">
        <v>43336</v>
      </c>
      <c r="D23" s="4" t="s">
        <v>93</v>
      </c>
      <c r="E23" s="14">
        <v>7393.27</v>
      </c>
      <c r="F23" s="14">
        <v>7484.9589999999998</v>
      </c>
      <c r="G23" s="15">
        <v>1.24E-2</v>
      </c>
      <c r="H23" s="16">
        <f t="shared" si="10"/>
        <v>-4.2299999999999994E-3</v>
      </c>
      <c r="I23" s="17" t="b">
        <f>AND(A23&gt;2,H23&lt;=Assumptions!$B$7)</f>
        <v>0</v>
      </c>
      <c r="J23" s="15">
        <v>2.2382458204206479E-3</v>
      </c>
      <c r="K23" s="15">
        <v>4.8319634970310776E-3</v>
      </c>
      <c r="L23" s="15">
        <v>2.2122477018822195E-3</v>
      </c>
      <c r="M23" s="17" t="b">
        <f>J23&gt;=Assumptions!$B$8</f>
        <v>0</v>
      </c>
      <c r="N23" s="17" t="b">
        <f>AND(K23&lt;&gt;"",K23&lt;=Assumptions!$B$9)</f>
        <v>0</v>
      </c>
      <c r="O23" s="17" t="b">
        <f>AND(P23&lt;&gt;"",ABS(L23)&lt;=Assumptions!$B$10)</f>
        <v>1</v>
      </c>
      <c r="P23" s="13">
        <v>43333</v>
      </c>
      <c r="Q23" s="14">
        <v>7391.7690000000002</v>
      </c>
      <c r="R23" s="15">
        <v>1.26E-2</v>
      </c>
      <c r="S23" s="17" t="str">
        <f t="shared" si="0"/>
        <v>BASELINE</v>
      </c>
      <c r="T23" s="16">
        <f t="shared" si="1"/>
        <v>1.24E-2</v>
      </c>
      <c r="U23" s="16">
        <f>G23*Assumptions!$B$6</f>
        <v>0.14011999999999999</v>
      </c>
      <c r="V23" s="16">
        <f>T23*Assumptions!$B$6</f>
        <v>0.14011999999999999</v>
      </c>
      <c r="W23" s="16">
        <f t="shared" si="2"/>
        <v>0</v>
      </c>
      <c r="X23" s="18">
        <f t="shared" si="6"/>
        <v>254.22834731211879</v>
      </c>
      <c r="Y23" s="18">
        <f t="shared" si="7"/>
        <v>254.22834731211879</v>
      </c>
      <c r="Z23" s="19">
        <f t="shared" si="3"/>
        <v>0</v>
      </c>
      <c r="AA23" s="18">
        <f t="shared" si="8"/>
        <v>202.03823462123145</v>
      </c>
      <c r="AB23" s="18">
        <f t="shared" si="9"/>
        <v>202.03823462123145</v>
      </c>
      <c r="AC23" s="19">
        <f t="shared" si="4"/>
        <v>0</v>
      </c>
      <c r="AD23" s="20">
        <f t="shared" si="5"/>
        <v>-52.190112690887332</v>
      </c>
      <c r="AE23" s="9" t="s">
        <v>91</v>
      </c>
    </row>
    <row r="24" spans="1:31" ht="18" customHeight="1">
      <c r="A24" s="4">
        <v>20</v>
      </c>
      <c r="B24" s="13">
        <v>43339</v>
      </c>
      <c r="C24" s="13">
        <v>43343</v>
      </c>
      <c r="D24" s="4" t="s">
        <v>93</v>
      </c>
      <c r="E24" s="14">
        <v>7521.1589999999997</v>
      </c>
      <c r="F24" s="14">
        <v>7651.67</v>
      </c>
      <c r="G24" s="15">
        <v>1.7350000000000001E-2</v>
      </c>
      <c r="H24" s="16">
        <f t="shared" si="10"/>
        <v>5.1999999999999998E-3</v>
      </c>
      <c r="I24" s="17" t="b">
        <f>AND(A24&gt;2,H24&lt;=Assumptions!$B$7)</f>
        <v>0</v>
      </c>
      <c r="J24" s="15">
        <v>4.8363658371408658E-3</v>
      </c>
      <c r="K24" s="15">
        <v>2.7274924400063627E-2</v>
      </c>
      <c r="L24" s="15">
        <v>1.2647041946404869E-2</v>
      </c>
      <c r="M24" s="17" t="b">
        <f>J24&gt;=Assumptions!$B$8</f>
        <v>0</v>
      </c>
      <c r="N24" s="17" t="b">
        <f>AND(K24&lt;&gt;"",K24&lt;=Assumptions!$B$9)</f>
        <v>0</v>
      </c>
      <c r="O24" s="17" t="b">
        <f>AND(P24&lt;&gt;"",ABS(L24)&lt;=Assumptions!$B$10)</f>
        <v>0</v>
      </c>
      <c r="P24" s="13">
        <v>43340</v>
      </c>
      <c r="Q24" s="14">
        <v>7578.3590000000004</v>
      </c>
      <c r="R24" s="15">
        <v>9.6699999999999998E-3</v>
      </c>
      <c r="S24" s="17" t="str">
        <f t="shared" si="0"/>
        <v>BASELINE</v>
      </c>
      <c r="T24" s="16">
        <f t="shared" si="1"/>
        <v>1.7350000000000001E-2</v>
      </c>
      <c r="U24" s="16">
        <f>G24*Assumptions!$B$6</f>
        <v>0.19605500000000003</v>
      </c>
      <c r="V24" s="16">
        <f>T24*Assumptions!$B$6</f>
        <v>0.19605500000000003</v>
      </c>
      <c r="W24" s="16">
        <f t="shared" si="2"/>
        <v>0</v>
      </c>
      <c r="X24" s="18">
        <f t="shared" si="6"/>
        <v>304.07108594439626</v>
      </c>
      <c r="Y24" s="18">
        <f t="shared" si="7"/>
        <v>304.07108594439626</v>
      </c>
      <c r="Z24" s="19">
        <f t="shared" si="3"/>
        <v>0</v>
      </c>
      <c r="AA24" s="18">
        <f t="shared" si="8"/>
        <v>241.648840709897</v>
      </c>
      <c r="AB24" s="18">
        <f t="shared" si="9"/>
        <v>241.648840709897</v>
      </c>
      <c r="AC24" s="19">
        <f t="shared" si="4"/>
        <v>0</v>
      </c>
      <c r="AD24" s="20">
        <f t="shared" si="5"/>
        <v>-62.422245234499258</v>
      </c>
      <c r="AE24" s="9" t="s">
        <v>91</v>
      </c>
    </row>
    <row r="25" spans="1:31" ht="18" customHeight="1">
      <c r="A25" s="4">
        <v>21</v>
      </c>
      <c r="B25" s="13">
        <v>43347</v>
      </c>
      <c r="C25" s="13">
        <v>43349</v>
      </c>
      <c r="D25" s="4" t="s">
        <v>92</v>
      </c>
      <c r="E25" s="14">
        <v>7629.759</v>
      </c>
      <c r="F25" s="14">
        <v>7525.76</v>
      </c>
      <c r="G25" s="15">
        <v>-1.363E-2</v>
      </c>
      <c r="H25" s="16">
        <f t="shared" si="10"/>
        <v>2.9749999999999999E-2</v>
      </c>
      <c r="I25" s="17" t="b">
        <f>AND(A25&gt;2,H25&lt;=Assumptions!$B$7)</f>
        <v>0</v>
      </c>
      <c r="J25" s="15">
        <v>-2.8635578899769421E-3</v>
      </c>
      <c r="K25" s="15">
        <v>3.6485527891805258E-2</v>
      </c>
      <c r="L25" s="15"/>
      <c r="M25" s="17" t="b">
        <f>J25&gt;=Assumptions!$B$8</f>
        <v>0</v>
      </c>
      <c r="N25" s="17" t="b">
        <f>AND(K25&lt;&gt;"",K25&lt;=Assumptions!$B$9)</f>
        <v>0</v>
      </c>
      <c r="O25" s="17" t="b">
        <f>AND(P25&lt;&gt;"",ABS(L25)&lt;=Assumptions!$B$10)</f>
        <v>0</v>
      </c>
      <c r="P25" s="13"/>
      <c r="Q25" s="14"/>
      <c r="R25" s="15"/>
      <c r="S25" s="17" t="str">
        <f t="shared" si="0"/>
        <v>BASELINE</v>
      </c>
      <c r="T25" s="16">
        <f t="shared" si="1"/>
        <v>-1.363E-2</v>
      </c>
      <c r="U25" s="16">
        <f>G25*Assumptions!$B$6</f>
        <v>-0.15401900000000002</v>
      </c>
      <c r="V25" s="16">
        <f>T25*Assumptions!$B$6</f>
        <v>-0.15401900000000002</v>
      </c>
      <c r="W25" s="16">
        <f t="shared" si="2"/>
        <v>0</v>
      </c>
      <c r="X25" s="18">
        <f t="shared" si="6"/>
        <v>257.2383613583263</v>
      </c>
      <c r="Y25" s="18">
        <f t="shared" si="7"/>
        <v>304.07108594439626</v>
      </c>
      <c r="Z25" s="19">
        <f t="shared" si="3"/>
        <v>-0.15401900000000002</v>
      </c>
      <c r="AA25" s="18">
        <f t="shared" si="8"/>
        <v>204.43032791259938</v>
      </c>
      <c r="AB25" s="18">
        <f t="shared" si="9"/>
        <v>241.648840709897</v>
      </c>
      <c r="AC25" s="19">
        <f t="shared" si="4"/>
        <v>-0.15401900000000002</v>
      </c>
      <c r="AD25" s="20">
        <f t="shared" si="5"/>
        <v>-52.80803344572692</v>
      </c>
      <c r="AE25" s="9" t="s">
        <v>91</v>
      </c>
    </row>
    <row r="26" spans="1:31" ht="18" customHeight="1">
      <c r="A26" s="4">
        <v>22</v>
      </c>
      <c r="B26" s="13">
        <v>43353</v>
      </c>
      <c r="C26" s="13">
        <v>43357</v>
      </c>
      <c r="D26" s="4" t="s">
        <v>93</v>
      </c>
      <c r="E26" s="14">
        <v>7465.77</v>
      </c>
      <c r="F26" s="14">
        <v>7546.66</v>
      </c>
      <c r="G26" s="15">
        <v>1.0829999999999999E-2</v>
      </c>
      <c r="H26" s="16">
        <f t="shared" si="10"/>
        <v>3.7200000000000011E-3</v>
      </c>
      <c r="I26" s="17" t="b">
        <f>AND(A26&gt;2,H26&lt;=Assumptions!$B$7)</f>
        <v>0</v>
      </c>
      <c r="J26" s="15">
        <v>5.7265945150783981E-3</v>
      </c>
      <c r="K26" s="15">
        <v>-4.3518054812026197E-3</v>
      </c>
      <c r="L26" s="15">
        <v>-7.9206775937323837E-4</v>
      </c>
      <c r="M26" s="17" t="b">
        <f>J26&gt;=Assumptions!$B$8</f>
        <v>0</v>
      </c>
      <c r="N26" s="17" t="b">
        <f>AND(K26&lt;&gt;"",K26&lt;=Assumptions!$B$9)</f>
        <v>0</v>
      </c>
      <c r="O26" s="17" t="b">
        <f>AND(P26&lt;&gt;"",ABS(L26)&lt;=Assumptions!$B$10)</f>
        <v>1</v>
      </c>
      <c r="P26" s="13">
        <v>43354</v>
      </c>
      <c r="Q26" s="14">
        <v>7417.665</v>
      </c>
      <c r="R26" s="15">
        <v>1.7389999999999999E-2</v>
      </c>
      <c r="S26" s="17" t="str">
        <f t="shared" si="0"/>
        <v>BASELINE</v>
      </c>
      <c r="T26" s="16">
        <f t="shared" si="1"/>
        <v>1.0829999999999999E-2</v>
      </c>
      <c r="U26" s="16">
        <f>G26*Assumptions!$B$6</f>
        <v>0.122379</v>
      </c>
      <c r="V26" s="16">
        <f>T26*Assumptions!$B$6</f>
        <v>0.122379</v>
      </c>
      <c r="W26" s="16">
        <f t="shared" si="2"/>
        <v>0</v>
      </c>
      <c r="X26" s="18">
        <f t="shared" si="6"/>
        <v>288.71893478299694</v>
      </c>
      <c r="Y26" s="18">
        <f t="shared" si="7"/>
        <v>304.07108594439626</v>
      </c>
      <c r="Z26" s="19">
        <f t="shared" si="3"/>
        <v>-5.0488691200999858E-2</v>
      </c>
      <c r="AA26" s="18">
        <f t="shared" si="8"/>
        <v>229.44830701221539</v>
      </c>
      <c r="AB26" s="18">
        <f t="shared" si="9"/>
        <v>241.648840709897</v>
      </c>
      <c r="AC26" s="19">
        <f t="shared" si="4"/>
        <v>-5.0488691200999969E-2</v>
      </c>
      <c r="AD26" s="20">
        <f t="shared" si="5"/>
        <v>-59.270627770781545</v>
      </c>
      <c r="AE26" s="9" t="s">
        <v>91</v>
      </c>
    </row>
    <row r="27" spans="1:31" ht="18" customHeight="1">
      <c r="A27" s="4">
        <v>23</v>
      </c>
      <c r="B27" s="13">
        <v>43360</v>
      </c>
      <c r="C27" s="13">
        <v>43362</v>
      </c>
      <c r="D27" s="4" t="s">
        <v>99</v>
      </c>
      <c r="E27" s="14">
        <v>7527.07</v>
      </c>
      <c r="F27" s="14">
        <v>7497.1689999999999</v>
      </c>
      <c r="G27" s="15">
        <v>-3.9699999999999996E-3</v>
      </c>
      <c r="H27" s="16">
        <f t="shared" si="10"/>
        <v>-2.8000000000000004E-3</v>
      </c>
      <c r="I27" s="17" t="b">
        <f>AND(A27&gt;2,H27&lt;=Assumptions!$B$7)</f>
        <v>0</v>
      </c>
      <c r="J27" s="15">
        <v>-2.5958503496911201E-3</v>
      </c>
      <c r="K27" s="15">
        <v>2.3216542150223285E-2</v>
      </c>
      <c r="L27" s="15">
        <v>-1.3424919473246755E-2</v>
      </c>
      <c r="M27" s="17" t="b">
        <f>J27&gt;=Assumptions!$B$8</f>
        <v>0</v>
      </c>
      <c r="N27" s="17" t="b">
        <f>AND(K27&lt;&gt;"",K27&lt;=Assumptions!$B$9)</f>
        <v>0</v>
      </c>
      <c r="O27" s="17" t="b">
        <f>AND(P27&lt;&gt;"",ABS(L27)&lt;=Assumptions!$B$10)</f>
        <v>0</v>
      </c>
      <c r="P27" s="13">
        <v>43361</v>
      </c>
      <c r="Q27" s="14">
        <v>7438.8590000000004</v>
      </c>
      <c r="R27" s="15">
        <v>7.8300000000000002E-3</v>
      </c>
      <c r="S27" s="17" t="str">
        <f t="shared" si="0"/>
        <v>BASELINE</v>
      </c>
      <c r="T27" s="16">
        <f t="shared" si="1"/>
        <v>-3.9699999999999996E-3</v>
      </c>
      <c r="U27" s="16">
        <f>G27*Assumptions!$B$6</f>
        <v>-4.4860999999999998E-2</v>
      </c>
      <c r="V27" s="16">
        <f>T27*Assumptions!$B$6</f>
        <v>-4.4860999999999998E-2</v>
      </c>
      <c r="W27" s="16">
        <f t="shared" si="2"/>
        <v>0</v>
      </c>
      <c r="X27" s="18">
        <f t="shared" si="6"/>
        <v>275.76671464969689</v>
      </c>
      <c r="Y27" s="18">
        <f t="shared" si="7"/>
        <v>304.07108594439626</v>
      </c>
      <c r="Z27" s="19">
        <f t="shared" si="3"/>
        <v>-9.3084718025031932E-2</v>
      </c>
      <c r="AA27" s="18">
        <f t="shared" si="8"/>
        <v>219.1550265113404</v>
      </c>
      <c r="AB27" s="18">
        <f t="shared" si="9"/>
        <v>241.648840709897</v>
      </c>
      <c r="AC27" s="19">
        <f t="shared" si="4"/>
        <v>-9.3084718025031932E-2</v>
      </c>
      <c r="AD27" s="20">
        <f t="shared" si="5"/>
        <v>-56.611688138356499</v>
      </c>
      <c r="AE27" s="9" t="s">
        <v>91</v>
      </c>
    </row>
    <row r="28" spans="1:31" ht="18" customHeight="1">
      <c r="A28" s="4">
        <v>24</v>
      </c>
      <c r="B28" s="13">
        <v>43367</v>
      </c>
      <c r="C28" s="13">
        <v>43367</v>
      </c>
      <c r="D28" s="4" t="s">
        <v>90</v>
      </c>
      <c r="E28" s="14">
        <v>7473.7690000000002</v>
      </c>
      <c r="F28" s="14">
        <v>7555.0690000000004</v>
      </c>
      <c r="G28" s="15">
        <v>1.0869999999999999E-2</v>
      </c>
      <c r="H28" s="16">
        <f t="shared" si="10"/>
        <v>6.8599999999999998E-3</v>
      </c>
      <c r="I28" s="17" t="b">
        <f>AND(A28&gt;2,H28&lt;=Assumptions!$B$7)</f>
        <v>0</v>
      </c>
      <c r="J28" s="15">
        <v>-7.3053111338653443E-3</v>
      </c>
      <c r="K28" s="15">
        <v>1.6070001505657849E-2</v>
      </c>
      <c r="L28" s="15">
        <v>2.1087787891049814E-3</v>
      </c>
      <c r="M28" s="17" t="b">
        <f>J28&gt;=Assumptions!$B$8</f>
        <v>0</v>
      </c>
      <c r="N28" s="17" t="b">
        <f>AND(K28&lt;&gt;"",K28&lt;=Assumptions!$B$9)</f>
        <v>0</v>
      </c>
      <c r="O28" s="17" t="b">
        <f>AND(P28&lt;&gt;"",ABS(L28)&lt;=Assumptions!$B$10)</f>
        <v>1</v>
      </c>
      <c r="P28" s="13">
        <v>43368</v>
      </c>
      <c r="Q28" s="14">
        <v>7544.06</v>
      </c>
      <c r="R28" s="15">
        <v>1.4499999999999999E-3</v>
      </c>
      <c r="S28" s="17" t="str">
        <f t="shared" si="0"/>
        <v>BASELINE</v>
      </c>
      <c r="T28" s="16">
        <f t="shared" si="1"/>
        <v>1.0869999999999999E-2</v>
      </c>
      <c r="U28" s="16">
        <f>G28*Assumptions!$B$6</f>
        <v>0.122831</v>
      </c>
      <c r="V28" s="16">
        <f>T28*Assumptions!$B$6</f>
        <v>0.122831</v>
      </c>
      <c r="W28" s="16">
        <f t="shared" si="2"/>
        <v>0</v>
      </c>
      <c r="X28" s="18">
        <f t="shared" si="6"/>
        <v>309.63941597683379</v>
      </c>
      <c r="Y28" s="18">
        <f t="shared" si="7"/>
        <v>309.63941597683379</v>
      </c>
      <c r="Z28" s="19">
        <f t="shared" si="3"/>
        <v>0</v>
      </c>
      <c r="AA28" s="18">
        <f t="shared" si="8"/>
        <v>246.07405757275484</v>
      </c>
      <c r="AB28" s="18">
        <f t="shared" si="9"/>
        <v>246.07405757275484</v>
      </c>
      <c r="AC28" s="19">
        <f t="shared" si="4"/>
        <v>0</v>
      </c>
      <c r="AD28" s="20">
        <f t="shared" si="5"/>
        <v>-63.56535840407895</v>
      </c>
      <c r="AE28" s="9" t="s">
        <v>91</v>
      </c>
    </row>
    <row r="29" spans="1:31" ht="18" customHeight="1">
      <c r="A29" s="4">
        <v>25</v>
      </c>
      <c r="B29" s="13">
        <v>43374</v>
      </c>
      <c r="C29" s="13">
        <v>43376</v>
      </c>
      <c r="D29" s="4" t="s">
        <v>99</v>
      </c>
      <c r="E29" s="14">
        <v>7671.07</v>
      </c>
      <c r="F29" s="14">
        <v>7641.87</v>
      </c>
      <c r="G29" s="15">
        <v>-3.8E-3</v>
      </c>
      <c r="H29" s="16">
        <f t="shared" si="10"/>
        <v>6.8999999999999999E-3</v>
      </c>
      <c r="I29" s="17" t="b">
        <f>AND(A29&gt;2,H29&lt;=Assumptions!$B$7)</f>
        <v>0</v>
      </c>
      <c r="J29" s="15">
        <v>4.7677240797572296E-3</v>
      </c>
      <c r="K29" s="15">
        <v>-1.5614819474712993E-3</v>
      </c>
      <c r="L29" s="15">
        <v>8.8884888443829801E-4</v>
      </c>
      <c r="M29" s="17" t="b">
        <f>J29&gt;=Assumptions!$B$8</f>
        <v>0</v>
      </c>
      <c r="N29" s="17" t="b">
        <f>AND(K29&lt;&gt;"",K29&lt;=Assumptions!$B$9)</f>
        <v>0</v>
      </c>
      <c r="O29" s="17" t="b">
        <f>AND(P29&lt;&gt;"",ABS(L29)&lt;=Assumptions!$B$10)</f>
        <v>1</v>
      </c>
      <c r="P29" s="13">
        <v>43375</v>
      </c>
      <c r="Q29" s="14">
        <v>7634.9589999999998</v>
      </c>
      <c r="R29" s="15">
        <v>8.9999999999999998E-4</v>
      </c>
      <c r="S29" s="17" t="str">
        <f t="shared" si="0"/>
        <v>BASELINE</v>
      </c>
      <c r="T29" s="16">
        <f t="shared" si="1"/>
        <v>-3.8E-3</v>
      </c>
      <c r="U29" s="16">
        <f>G29*Assumptions!$B$6</f>
        <v>-4.2940000000000006E-2</v>
      </c>
      <c r="V29" s="16">
        <f>T29*Assumptions!$B$6</f>
        <v>-4.2940000000000006E-2</v>
      </c>
      <c r="W29" s="16">
        <f t="shared" si="2"/>
        <v>0</v>
      </c>
      <c r="X29" s="18">
        <f t="shared" si="6"/>
        <v>296.34349945478857</v>
      </c>
      <c r="Y29" s="18">
        <f t="shared" si="7"/>
        <v>309.63941597683379</v>
      </c>
      <c r="Z29" s="19">
        <f t="shared" si="3"/>
        <v>-4.2939999999999867E-2</v>
      </c>
      <c r="AA29" s="18">
        <f t="shared" si="8"/>
        <v>235.50763754058076</v>
      </c>
      <c r="AB29" s="18">
        <f t="shared" si="9"/>
        <v>246.07405757275484</v>
      </c>
      <c r="AC29" s="19">
        <f t="shared" si="4"/>
        <v>-4.2939999999999978E-2</v>
      </c>
      <c r="AD29" s="20">
        <f t="shared" si="5"/>
        <v>-60.835861914207811</v>
      </c>
      <c r="AE29" s="9" t="s">
        <v>91</v>
      </c>
    </row>
    <row r="30" spans="1:31" ht="18" customHeight="1">
      <c r="A30" s="4">
        <v>26</v>
      </c>
      <c r="B30" s="13">
        <v>43381</v>
      </c>
      <c r="C30" s="13">
        <v>43384</v>
      </c>
      <c r="D30" s="4" t="s">
        <v>100</v>
      </c>
      <c r="E30" s="14">
        <v>7363.47</v>
      </c>
      <c r="F30" s="14">
        <v>6988.37</v>
      </c>
      <c r="G30" s="15">
        <v>-5.0939999999999999E-2</v>
      </c>
      <c r="H30" s="16">
        <f t="shared" si="10"/>
        <v>7.0699999999999999E-3</v>
      </c>
      <c r="I30" s="17" t="b">
        <f>AND(A30&gt;2,H30&lt;=Assumptions!$B$7)</f>
        <v>0</v>
      </c>
      <c r="J30" s="15">
        <v>-5.4699040474102123E-3</v>
      </c>
      <c r="K30" s="15">
        <v>-3.5035989940160883E-3</v>
      </c>
      <c r="L30" s="15">
        <v>-5.3028852569347862E-3</v>
      </c>
      <c r="M30" s="17" t="b">
        <f>J30&gt;=Assumptions!$B$8</f>
        <v>0</v>
      </c>
      <c r="N30" s="17" t="b">
        <f>AND(K30&lt;&gt;"",K30&lt;=Assumptions!$B$9)</f>
        <v>0</v>
      </c>
      <c r="O30" s="17" t="b">
        <f>AND(P30&lt;&gt;"",ABS(L30)&lt;=Assumptions!$B$10)</f>
        <v>0</v>
      </c>
      <c r="P30" s="13">
        <v>43382</v>
      </c>
      <c r="Q30" s="14">
        <v>7356.97</v>
      </c>
      <c r="R30" s="15">
        <v>-5.0099999999999999E-2</v>
      </c>
      <c r="S30" s="17" t="str">
        <f t="shared" si="0"/>
        <v>BASELINE</v>
      </c>
      <c r="T30" s="16">
        <f t="shared" si="1"/>
        <v>-5.0939999999999999E-2</v>
      </c>
      <c r="U30" s="16">
        <f>G30*Assumptions!$B$6</f>
        <v>-0.57562200000000008</v>
      </c>
      <c r="V30" s="16">
        <f>T30*Assumptions!$B$6</f>
        <v>-0.57562200000000008</v>
      </c>
      <c r="W30" s="16">
        <f t="shared" si="2"/>
        <v>0</v>
      </c>
      <c r="X30" s="18">
        <f t="shared" si="6"/>
        <v>125.76166161162423</v>
      </c>
      <c r="Y30" s="18">
        <f t="shared" si="7"/>
        <v>309.63941597683379</v>
      </c>
      <c r="Z30" s="19">
        <f t="shared" si="3"/>
        <v>-0.59384479132000001</v>
      </c>
      <c r="AA30" s="18">
        <f t="shared" si="8"/>
        <v>99.944260204196567</v>
      </c>
      <c r="AB30" s="18">
        <f t="shared" si="9"/>
        <v>246.07405757275484</v>
      </c>
      <c r="AC30" s="19">
        <f t="shared" si="4"/>
        <v>-0.59384479132000001</v>
      </c>
      <c r="AD30" s="20">
        <f t="shared" si="5"/>
        <v>-25.817401407427667</v>
      </c>
      <c r="AE30" s="9" t="s">
        <v>91</v>
      </c>
    </row>
    <row r="31" spans="1:31" ht="18" customHeight="1">
      <c r="A31" s="4">
        <v>27</v>
      </c>
      <c r="B31" s="13">
        <v>43388</v>
      </c>
      <c r="C31" s="13">
        <v>43391</v>
      </c>
      <c r="D31" s="4" t="s">
        <v>96</v>
      </c>
      <c r="E31" s="14">
        <v>7130.37</v>
      </c>
      <c r="F31" s="14">
        <v>7101.8485199999996</v>
      </c>
      <c r="G31" s="15">
        <v>-4.0000000000000001E-3</v>
      </c>
      <c r="H31" s="16">
        <f t="shared" si="10"/>
        <v>-5.4739999999999997E-2</v>
      </c>
      <c r="I31" s="17" t="b">
        <f>AND(A31&gt;2,H31&lt;=Assumptions!$B$7)</f>
        <v>1</v>
      </c>
      <c r="J31" s="15">
        <v>-3.1595267420386763E-3</v>
      </c>
      <c r="K31" s="15">
        <v>-5.0911118951957102E-2</v>
      </c>
      <c r="L31" s="15">
        <v>-1.720912383373574E-3</v>
      </c>
      <c r="M31" s="17" t="b">
        <f>J31&gt;=Assumptions!$B$8</f>
        <v>0</v>
      </c>
      <c r="N31" s="17" t="b">
        <f>AND(K31&lt;&gt;"",K31&lt;=Assumptions!$B$9)</f>
        <v>1</v>
      </c>
      <c r="O31" s="17" t="b">
        <f>AND(P31&lt;&gt;"",ABS(L31)&lt;=Assumptions!$B$10)</f>
        <v>1</v>
      </c>
      <c r="P31" s="13">
        <v>43389</v>
      </c>
      <c r="Q31" s="14">
        <v>7141.5590000000002</v>
      </c>
      <c r="R31" s="15">
        <v>-5.5599999999999998E-3</v>
      </c>
      <c r="S31" s="17" t="str">
        <f t="shared" si="0"/>
        <v>DAMAGE SKIP</v>
      </c>
      <c r="T31" s="16">
        <f t="shared" si="1"/>
        <v>0</v>
      </c>
      <c r="U31" s="16">
        <f>G31*Assumptions!$B$6</f>
        <v>-4.5200000000000004E-2</v>
      </c>
      <c r="V31" s="16">
        <f>T31*Assumptions!$B$6</f>
        <v>0</v>
      </c>
      <c r="W31" s="16">
        <f t="shared" si="2"/>
        <v>4.5200000000000004E-2</v>
      </c>
      <c r="X31" s="18">
        <f t="shared" si="6"/>
        <v>120.07723450677882</v>
      </c>
      <c r="Y31" s="18">
        <f t="shared" si="7"/>
        <v>309.63941597683379</v>
      </c>
      <c r="Z31" s="19">
        <f t="shared" si="3"/>
        <v>-0.61220300675233608</v>
      </c>
      <c r="AA31" s="18">
        <f t="shared" si="8"/>
        <v>99.944260204196567</v>
      </c>
      <c r="AB31" s="18">
        <f t="shared" si="9"/>
        <v>246.07405757275484</v>
      </c>
      <c r="AC31" s="19">
        <f t="shared" si="4"/>
        <v>-0.59384479132000001</v>
      </c>
      <c r="AD31" s="20">
        <f t="shared" si="5"/>
        <v>-20.132974302582255</v>
      </c>
      <c r="AE31" s="9" t="s">
        <v>94</v>
      </c>
    </row>
    <row r="32" spans="1:31" ht="18" customHeight="1">
      <c r="A32" s="4">
        <v>28</v>
      </c>
      <c r="B32" s="13">
        <v>43395</v>
      </c>
      <c r="C32" s="13">
        <v>43397</v>
      </c>
      <c r="D32" s="4" t="s">
        <v>99</v>
      </c>
      <c r="E32" s="14">
        <v>7143.86</v>
      </c>
      <c r="F32" s="14">
        <v>7121.0690000000004</v>
      </c>
      <c r="G32" s="15">
        <v>-3.1900000000000001E-3</v>
      </c>
      <c r="H32" s="16">
        <f t="shared" si="10"/>
        <v>-5.0939999999999999E-2</v>
      </c>
      <c r="I32" s="17" t="b">
        <f>AND(A32&gt;2,H32&lt;=Assumptions!$B$7)</f>
        <v>1</v>
      </c>
      <c r="J32" s="15">
        <v>6.7772771665370879E-3</v>
      </c>
      <c r="K32" s="15">
        <v>-5.6606461982138034E-2</v>
      </c>
      <c r="L32" s="15">
        <v>-1.2862105422141834E-2</v>
      </c>
      <c r="M32" s="17" t="b">
        <f>J32&gt;=Assumptions!$B$8</f>
        <v>0</v>
      </c>
      <c r="N32" s="17" t="b">
        <f>AND(K32&lt;&gt;"",K32&lt;=Assumptions!$B$9)</f>
        <v>1</v>
      </c>
      <c r="O32" s="17" t="b">
        <f>AND(P32&lt;&gt;"",ABS(L32)&lt;=Assumptions!$B$10)</f>
        <v>0</v>
      </c>
      <c r="P32" s="13">
        <v>43396</v>
      </c>
      <c r="Q32" s="14">
        <v>7010.0590000000002</v>
      </c>
      <c r="R32" s="15">
        <v>1.583E-2</v>
      </c>
      <c r="S32" s="17" t="str">
        <f t="shared" si="0"/>
        <v>DAMAGE SKIP</v>
      </c>
      <c r="T32" s="16">
        <f t="shared" si="1"/>
        <v>0</v>
      </c>
      <c r="U32" s="16">
        <f>G32*Assumptions!$B$6</f>
        <v>-3.6047000000000003E-2</v>
      </c>
      <c r="V32" s="16">
        <f>T32*Assumptions!$B$6</f>
        <v>0</v>
      </c>
      <c r="W32" s="16">
        <f t="shared" si="2"/>
        <v>3.6047000000000003E-2</v>
      </c>
      <c r="X32" s="18">
        <f t="shared" si="6"/>
        <v>115.74881043451296</v>
      </c>
      <c r="Y32" s="18">
        <f t="shared" si="7"/>
        <v>309.63941597683379</v>
      </c>
      <c r="Z32" s="19">
        <f t="shared" si="3"/>
        <v>-0.62618192496793457</v>
      </c>
      <c r="AA32" s="18">
        <f t="shared" si="8"/>
        <v>99.944260204196567</v>
      </c>
      <c r="AB32" s="18">
        <f t="shared" si="9"/>
        <v>246.07405757275484</v>
      </c>
      <c r="AC32" s="19">
        <f t="shared" si="4"/>
        <v>-0.59384479132000001</v>
      </c>
      <c r="AD32" s="20">
        <f t="shared" si="5"/>
        <v>-15.804550230316394</v>
      </c>
      <c r="AE32" s="9" t="s">
        <v>94</v>
      </c>
    </row>
    <row r="33" spans="1:31" ht="18" customHeight="1">
      <c r="A33" s="4">
        <v>29</v>
      </c>
      <c r="B33" s="13">
        <v>43402</v>
      </c>
      <c r="C33" s="13">
        <v>43402</v>
      </c>
      <c r="D33" s="4" t="s">
        <v>101</v>
      </c>
      <c r="E33" s="14">
        <v>6940.259</v>
      </c>
      <c r="F33" s="14">
        <v>6590.1689999999999</v>
      </c>
      <c r="G33" s="15">
        <v>-5.0439999999999999E-2</v>
      </c>
      <c r="H33" s="16">
        <f t="shared" si="10"/>
        <v>0</v>
      </c>
      <c r="I33" s="17" t="b">
        <f>AND(A33&gt;2,H33&lt;=Assumptions!$B$7)</f>
        <v>0</v>
      </c>
      <c r="J33" s="15">
        <v>1.1307423069188971E-2</v>
      </c>
      <c r="K33" s="15">
        <v>-0.10300520932953794</v>
      </c>
      <c r="L33" s="15">
        <v>-2.2991821785158795E-2</v>
      </c>
      <c r="M33" s="17" t="b">
        <f>J33&gt;=Assumptions!$B$8</f>
        <v>1</v>
      </c>
      <c r="N33" s="17" t="b">
        <f>AND(K33&lt;&gt;"",K33&lt;=Assumptions!$B$9)</f>
        <v>1</v>
      </c>
      <c r="O33" s="17" t="b">
        <f>AND(P33&lt;&gt;"",ABS(L33)&lt;=Assumptions!$B$10)</f>
        <v>0</v>
      </c>
      <c r="P33" s="13">
        <v>43403</v>
      </c>
      <c r="Q33" s="14">
        <v>6684.87</v>
      </c>
      <c r="R33" s="15">
        <v>-1.4160000000000001E-2</v>
      </c>
      <c r="S33" s="17" t="str">
        <f t="shared" si="0"/>
        <v>GAP/MOM SKIP</v>
      </c>
      <c r="T33" s="16">
        <f t="shared" si="1"/>
        <v>0</v>
      </c>
      <c r="U33" s="16">
        <f>G33*Assumptions!$B$6</f>
        <v>-0.56997200000000003</v>
      </c>
      <c r="V33" s="16">
        <f>T33*Assumptions!$B$6</f>
        <v>0</v>
      </c>
      <c r="W33" s="16">
        <f t="shared" si="2"/>
        <v>0.56997200000000003</v>
      </c>
      <c r="X33" s="18">
        <f t="shared" si="6"/>
        <v>49.775229453532738</v>
      </c>
      <c r="Y33" s="18">
        <f t="shared" si="7"/>
        <v>309.63941597683379</v>
      </c>
      <c r="Z33" s="19">
        <f t="shared" si="3"/>
        <v>-0.83924776083011099</v>
      </c>
      <c r="AA33" s="18">
        <f t="shared" si="8"/>
        <v>99.944260204196567</v>
      </c>
      <c r="AB33" s="18">
        <f t="shared" si="9"/>
        <v>246.07405757275484</v>
      </c>
      <c r="AC33" s="19">
        <f t="shared" si="4"/>
        <v>-0.59384479132000001</v>
      </c>
      <c r="AD33" s="20">
        <f t="shared" si="5"/>
        <v>50.169030750663829</v>
      </c>
      <c r="AE33" s="9" t="s">
        <v>102</v>
      </c>
    </row>
    <row r="34" spans="1:31" ht="18" customHeight="1">
      <c r="A34" s="4">
        <v>30</v>
      </c>
      <c r="B34" s="13">
        <v>43409</v>
      </c>
      <c r="C34" s="13">
        <v>43413</v>
      </c>
      <c r="D34" s="4" t="s">
        <v>93</v>
      </c>
      <c r="E34" s="14">
        <v>6961.759</v>
      </c>
      <c r="F34" s="14">
        <v>7030.97</v>
      </c>
      <c r="G34" s="15">
        <v>9.9399999999999992E-3</v>
      </c>
      <c r="H34" s="16">
        <f t="shared" si="10"/>
        <v>0</v>
      </c>
      <c r="I34" s="17" t="b">
        <f>AND(A34&gt;2,H34&lt;=Assumptions!$B$7)</f>
        <v>0</v>
      </c>
      <c r="J34" s="15">
        <v>5.7316386453232226E-5</v>
      </c>
      <c r="K34" s="15">
        <v>-5.9735784032165506E-2</v>
      </c>
      <c r="L34" s="15">
        <v>-2.5854143141863517E-3</v>
      </c>
      <c r="M34" s="17" t="b">
        <f>J34&gt;=Assumptions!$B$8</f>
        <v>0</v>
      </c>
      <c r="N34" s="17" t="b">
        <f>AND(K34&lt;&gt;"",K34&lt;=Assumptions!$B$9)</f>
        <v>1</v>
      </c>
      <c r="O34" s="17" t="b">
        <f>AND(P34&lt;&gt;"",ABS(L34)&lt;=Assumptions!$B$10)</f>
        <v>1</v>
      </c>
      <c r="P34" s="13">
        <v>43410</v>
      </c>
      <c r="Q34" s="14">
        <v>6932.56</v>
      </c>
      <c r="R34" s="15">
        <v>1.4189999999999999E-2</v>
      </c>
      <c r="S34" s="17" t="str">
        <f t="shared" si="0"/>
        <v>BASELINE</v>
      </c>
      <c r="T34" s="16">
        <f t="shared" si="1"/>
        <v>9.9399999999999992E-3</v>
      </c>
      <c r="U34" s="16">
        <f>G34*Assumptions!$B$6</f>
        <v>0.11232199999999999</v>
      </c>
      <c r="V34" s="16">
        <f>T34*Assumptions!$B$6</f>
        <v>0.11232199999999999</v>
      </c>
      <c r="W34" s="16">
        <f t="shared" si="2"/>
        <v>0</v>
      </c>
      <c r="X34" s="18">
        <f t="shared" si="6"/>
        <v>55.366082776212444</v>
      </c>
      <c r="Y34" s="18">
        <f t="shared" si="7"/>
        <v>309.63941597683379</v>
      </c>
      <c r="Z34" s="19">
        <f t="shared" si="3"/>
        <v>-0.82119174782207072</v>
      </c>
      <c r="AA34" s="18">
        <f t="shared" si="8"/>
        <v>111.17019939885233</v>
      </c>
      <c r="AB34" s="18">
        <f t="shared" si="9"/>
        <v>246.07405757275484</v>
      </c>
      <c r="AC34" s="19">
        <f t="shared" si="4"/>
        <v>-0.54822462597064514</v>
      </c>
      <c r="AD34" s="20">
        <f t="shared" si="5"/>
        <v>55.804116622639889</v>
      </c>
      <c r="AE34" s="9" t="s">
        <v>91</v>
      </c>
    </row>
    <row r="35" spans="1:31" ht="18" customHeight="1">
      <c r="A35" s="4">
        <v>31</v>
      </c>
      <c r="B35" s="13">
        <v>43416</v>
      </c>
      <c r="C35" s="13">
        <v>43419</v>
      </c>
      <c r="D35" s="4" t="s">
        <v>92</v>
      </c>
      <c r="E35" s="14">
        <v>6984.77</v>
      </c>
      <c r="F35" s="14">
        <v>6769.0690000000004</v>
      </c>
      <c r="G35" s="15">
        <v>-3.0880000000000001E-2</v>
      </c>
      <c r="H35" s="16">
        <f t="shared" si="10"/>
        <v>9.9399999999999992E-3</v>
      </c>
      <c r="I35" s="17" t="b">
        <f>AND(A35&gt;2,H35&lt;=Assumptions!$B$7)</f>
        <v>0</v>
      </c>
      <c r="J35" s="15">
        <v>-6.5709283356349957E-3</v>
      </c>
      <c r="K35" s="15">
        <v>-1.5997889333940862E-2</v>
      </c>
      <c r="L35" s="15">
        <v>-2.5502120606444745E-2</v>
      </c>
      <c r="M35" s="17" t="b">
        <f>J35&gt;=Assumptions!$B$8</f>
        <v>0</v>
      </c>
      <c r="N35" s="17" t="b">
        <f>AND(K35&lt;&gt;"",K35&lt;=Assumptions!$B$9)</f>
        <v>1</v>
      </c>
      <c r="O35" s="17" t="b">
        <f>AND(P35&lt;&gt;"",ABS(L35)&lt;=Assumptions!$B$10)</f>
        <v>0</v>
      </c>
      <c r="P35" s="13">
        <v>43417</v>
      </c>
      <c r="Q35" s="14">
        <v>6854.77</v>
      </c>
      <c r="R35" s="15">
        <v>-1.2500000000000001E-2</v>
      </c>
      <c r="S35" s="17" t="str">
        <f t="shared" si="0"/>
        <v>BASELINE</v>
      </c>
      <c r="T35" s="16">
        <f t="shared" si="1"/>
        <v>-3.0880000000000001E-2</v>
      </c>
      <c r="U35" s="16">
        <f>G35*Assumptions!$B$6</f>
        <v>-0.34894400000000003</v>
      </c>
      <c r="V35" s="16">
        <f>T35*Assumptions!$B$6</f>
        <v>-0.34894400000000003</v>
      </c>
      <c r="W35" s="16">
        <f t="shared" si="2"/>
        <v>0</v>
      </c>
      <c r="X35" s="18">
        <f t="shared" si="6"/>
        <v>36.046420387949766</v>
      </c>
      <c r="Y35" s="18">
        <f t="shared" si="7"/>
        <v>309.63941597683379</v>
      </c>
      <c r="Z35" s="19">
        <f t="shared" si="3"/>
        <v>-0.88358581457004604</v>
      </c>
      <c r="AA35" s="18">
        <f t="shared" si="8"/>
        <v>72.378025339819203</v>
      </c>
      <c r="AB35" s="18">
        <f t="shared" si="9"/>
        <v>246.07405757275484</v>
      </c>
      <c r="AC35" s="19">
        <f t="shared" si="4"/>
        <v>-0.70586893208594437</v>
      </c>
      <c r="AD35" s="20">
        <f t="shared" si="5"/>
        <v>36.331604951869437</v>
      </c>
      <c r="AE35" s="9" t="s">
        <v>91</v>
      </c>
    </row>
    <row r="36" spans="1:31" ht="18" customHeight="1">
      <c r="A36" s="4">
        <v>32</v>
      </c>
      <c r="B36" s="13">
        <v>43423</v>
      </c>
      <c r="C36" s="13">
        <v>43424</v>
      </c>
      <c r="D36" s="4" t="s">
        <v>103</v>
      </c>
      <c r="E36" s="14">
        <v>6832.46</v>
      </c>
      <c r="F36" s="14">
        <v>6482.8590000000004</v>
      </c>
      <c r="G36" s="15">
        <v>-5.1159999999999997E-2</v>
      </c>
      <c r="H36" s="16">
        <f t="shared" si="10"/>
        <v>-2.094E-2</v>
      </c>
      <c r="I36" s="17" t="b">
        <f>AND(A36&gt;2,H36&lt;=Assumptions!$B$7)</f>
        <v>1</v>
      </c>
      <c r="J36" s="15">
        <v>-5.3007263203408428E-3</v>
      </c>
      <c r="K36" s="15">
        <v>-3.1801842621960508E-2</v>
      </c>
      <c r="L36" s="15">
        <v>-5.4448680589787912E-2</v>
      </c>
      <c r="M36" s="17" t="b">
        <f>J36&gt;=Assumptions!$B$8</f>
        <v>0</v>
      </c>
      <c r="N36" s="17" t="b">
        <f>AND(K36&lt;&gt;"",K36&lt;=Assumptions!$B$9)</f>
        <v>1</v>
      </c>
      <c r="O36" s="17" t="b">
        <f>AND(P36&lt;&gt;"",ABS(L36)&lt;=Assumptions!$B$10)</f>
        <v>0</v>
      </c>
      <c r="P36" s="13">
        <v>43424</v>
      </c>
      <c r="Q36" s="14">
        <v>6488.5690000000004</v>
      </c>
      <c r="R36" s="15">
        <v>-8.8000000000000003E-4</v>
      </c>
      <c r="S36" s="17" t="str">
        <f t="shared" si="0"/>
        <v>DAMAGE SKIP</v>
      </c>
      <c r="T36" s="16">
        <f t="shared" si="1"/>
        <v>0</v>
      </c>
      <c r="U36" s="16">
        <f>G36*Assumptions!$B$6</f>
        <v>-0.57810799999999996</v>
      </c>
      <c r="V36" s="16">
        <f>T36*Assumptions!$B$6</f>
        <v>0</v>
      </c>
      <c r="W36" s="16">
        <f t="shared" si="2"/>
        <v>0.57810799999999996</v>
      </c>
      <c r="X36" s="18">
        <f t="shared" si="6"/>
        <v>15.207696390312904</v>
      </c>
      <c r="Y36" s="18">
        <f t="shared" si="7"/>
        <v>309.63941597683379</v>
      </c>
      <c r="Z36" s="19">
        <f t="shared" si="3"/>
        <v>-0.95088578648058586</v>
      </c>
      <c r="AA36" s="18">
        <f t="shared" si="8"/>
        <v>72.378025339819203</v>
      </c>
      <c r="AB36" s="18">
        <f t="shared" si="9"/>
        <v>246.07405757275484</v>
      </c>
      <c r="AC36" s="19">
        <f t="shared" si="4"/>
        <v>-0.70586893208594437</v>
      </c>
      <c r="AD36" s="20">
        <f t="shared" si="5"/>
        <v>57.170328949506299</v>
      </c>
      <c r="AE36" s="9" t="s">
        <v>94</v>
      </c>
    </row>
    <row r="37" spans="1:31" ht="18" customHeight="1">
      <c r="A37" s="4">
        <v>33</v>
      </c>
      <c r="B37" s="13">
        <v>43430</v>
      </c>
      <c r="C37" s="13">
        <v>43430</v>
      </c>
      <c r="D37" s="4" t="s">
        <v>90</v>
      </c>
      <c r="E37" s="14">
        <v>6615.27</v>
      </c>
      <c r="F37" s="14">
        <v>6684.76</v>
      </c>
      <c r="G37" s="15">
        <v>1.0500000000000001E-2</v>
      </c>
      <c r="H37" s="16">
        <f t="shared" si="10"/>
        <v>-3.0880000000000001E-2</v>
      </c>
      <c r="I37" s="17" t="b">
        <f>AND(A37&gt;2,H37&lt;=Assumptions!$B$7)</f>
        <v>1</v>
      </c>
      <c r="J37" s="15">
        <v>1.4134448963448287E-2</v>
      </c>
      <c r="K37" s="15">
        <v>-6.9123748189878098E-2</v>
      </c>
      <c r="L37" s="15">
        <v>1.7387594355103397E-2</v>
      </c>
      <c r="M37" s="17" t="b">
        <f>J37&gt;=Assumptions!$B$8</f>
        <v>1</v>
      </c>
      <c r="N37" s="17" t="b">
        <f>AND(K37&lt;&gt;"",K37&lt;=Assumptions!$B$9)</f>
        <v>1</v>
      </c>
      <c r="O37" s="17" t="b">
        <f>AND(P37&lt;&gt;"",ABS(L37)&lt;=Assumptions!$B$10)</f>
        <v>0</v>
      </c>
      <c r="P37" s="13">
        <v>43431</v>
      </c>
      <c r="Q37" s="14">
        <v>6638.47</v>
      </c>
      <c r="R37" s="15">
        <v>6.9699999999999996E-3</v>
      </c>
      <c r="S37" s="17" t="str">
        <f t="shared" si="0"/>
        <v>DAMAGE SKIP</v>
      </c>
      <c r="T37" s="16">
        <f t="shared" si="1"/>
        <v>0</v>
      </c>
      <c r="U37" s="16">
        <f>G37*Assumptions!$B$6</f>
        <v>0.11865000000000002</v>
      </c>
      <c r="V37" s="16">
        <f>T37*Assumptions!$B$6</f>
        <v>0</v>
      </c>
      <c r="W37" s="16">
        <f t="shared" si="2"/>
        <v>-0.11865000000000002</v>
      </c>
      <c r="X37" s="18">
        <f t="shared" si="6"/>
        <v>17.01208956702353</v>
      </c>
      <c r="Y37" s="18">
        <f t="shared" si="7"/>
        <v>309.63941597683379</v>
      </c>
      <c r="Z37" s="19">
        <f t="shared" si="3"/>
        <v>-0.94505838504650741</v>
      </c>
      <c r="AA37" s="18">
        <f t="shared" si="8"/>
        <v>72.378025339819203</v>
      </c>
      <c r="AB37" s="18">
        <f t="shared" si="9"/>
        <v>246.07405757275484</v>
      </c>
      <c r="AC37" s="19">
        <f t="shared" si="4"/>
        <v>-0.70586893208594437</v>
      </c>
      <c r="AD37" s="20">
        <f t="shared" si="5"/>
        <v>55.365935772795673</v>
      </c>
      <c r="AE37" s="9" t="s">
        <v>94</v>
      </c>
    </row>
    <row r="38" spans="1:31" ht="18" customHeight="1">
      <c r="A38" s="4">
        <v>34</v>
      </c>
      <c r="B38" s="13">
        <v>43437</v>
      </c>
      <c r="C38" s="13">
        <v>43440</v>
      </c>
      <c r="D38" s="4" t="s">
        <v>92</v>
      </c>
      <c r="E38" s="14">
        <v>7092.8689999999997</v>
      </c>
      <c r="F38" s="14">
        <v>6827.8689999999997</v>
      </c>
      <c r="G38" s="15">
        <v>-3.7359999999999997E-2</v>
      </c>
      <c r="H38" s="16">
        <f t="shared" si="10"/>
        <v>0</v>
      </c>
      <c r="I38" s="17" t="b">
        <f>AND(A38&gt;2,H38&lt;=Assumptions!$B$7)</f>
        <v>0</v>
      </c>
      <c r="J38" s="15">
        <v>2.1619616035043032E-2</v>
      </c>
      <c r="K38" s="15">
        <v>-1.5623386484434287E-2</v>
      </c>
      <c r="L38" s="15">
        <v>1.1878829765570531E-2</v>
      </c>
      <c r="M38" s="17" t="b">
        <f>J38&gt;=Assumptions!$B$8</f>
        <v>1</v>
      </c>
      <c r="N38" s="17" t="b">
        <f>AND(K38&lt;&gt;"",K38&lt;=Assumptions!$B$9)</f>
        <v>1</v>
      </c>
      <c r="O38" s="17" t="b">
        <f>AND(P38&lt;&gt;"",ABS(L38)&lt;=Assumptions!$B$10)</f>
        <v>0</v>
      </c>
      <c r="P38" s="13">
        <v>43438</v>
      </c>
      <c r="Q38" s="14">
        <v>7023.07</v>
      </c>
      <c r="R38" s="15">
        <v>-2.7789999999999999E-2</v>
      </c>
      <c r="S38" s="17" t="str">
        <f t="shared" si="0"/>
        <v>GAP/MOM SKIP</v>
      </c>
      <c r="T38" s="16">
        <f t="shared" si="1"/>
        <v>0</v>
      </c>
      <c r="U38" s="16">
        <f>G38*Assumptions!$B$6</f>
        <v>-0.42216799999999999</v>
      </c>
      <c r="V38" s="16">
        <f>T38*Assumptions!$B$6</f>
        <v>0</v>
      </c>
      <c r="W38" s="16">
        <f t="shared" si="2"/>
        <v>0.42216799999999999</v>
      </c>
      <c r="X38" s="18">
        <f t="shared" si="6"/>
        <v>9.8301297386923405</v>
      </c>
      <c r="Y38" s="18">
        <f t="shared" si="7"/>
        <v>309.63941597683379</v>
      </c>
      <c r="Z38" s="19">
        <f t="shared" si="3"/>
        <v>-0.96825297674819344</v>
      </c>
      <c r="AA38" s="18">
        <f t="shared" si="8"/>
        <v>72.378025339819203</v>
      </c>
      <c r="AB38" s="18">
        <f t="shared" si="9"/>
        <v>246.07405757275484</v>
      </c>
      <c r="AC38" s="19">
        <f t="shared" si="4"/>
        <v>-0.70586893208594437</v>
      </c>
      <c r="AD38" s="20">
        <f t="shared" si="5"/>
        <v>62.547895601126861</v>
      </c>
      <c r="AE38" s="9" t="s">
        <v>102</v>
      </c>
    </row>
    <row r="39" spans="1:31" ht="18" customHeight="1">
      <c r="A39" s="4">
        <v>35</v>
      </c>
      <c r="B39" s="13">
        <v>43444</v>
      </c>
      <c r="C39" s="13">
        <v>43444</v>
      </c>
      <c r="D39" s="4" t="s">
        <v>90</v>
      </c>
      <c r="E39" s="14">
        <v>6601.2690000000002</v>
      </c>
      <c r="F39" s="14">
        <v>6690.17</v>
      </c>
      <c r="G39" s="15">
        <v>1.346E-2</v>
      </c>
      <c r="H39" s="16">
        <f t="shared" si="10"/>
        <v>0</v>
      </c>
      <c r="I39" s="17" t="b">
        <f>AND(A39&gt;2,H39&lt;=Assumptions!$B$7)</f>
        <v>0</v>
      </c>
      <c r="J39" s="15">
        <v>-1.5414144530859764E-3</v>
      </c>
      <c r="K39" s="15">
        <v>-8.094192158193303E-2</v>
      </c>
      <c r="L39" s="15">
        <v>2.648333214593368E-2</v>
      </c>
      <c r="M39" s="17" t="b">
        <f>J39&gt;=Assumptions!$B$8</f>
        <v>0</v>
      </c>
      <c r="N39" s="17" t="b">
        <f>AND(K39&lt;&gt;"",K39&lt;=Assumptions!$B$9)</f>
        <v>1</v>
      </c>
      <c r="O39" s="17" t="b">
        <f>AND(P39&lt;&gt;"",ABS(L39)&lt;=Assumptions!$B$10)</f>
        <v>0</v>
      </c>
      <c r="P39" s="13">
        <v>43445</v>
      </c>
      <c r="Q39" s="14">
        <v>6785.66</v>
      </c>
      <c r="R39" s="15">
        <v>-1.4069999999999999E-2</v>
      </c>
      <c r="S39" s="17" t="str">
        <f t="shared" si="0"/>
        <v>BASELINE</v>
      </c>
      <c r="T39" s="16">
        <f t="shared" si="1"/>
        <v>1.346E-2</v>
      </c>
      <c r="U39" s="16">
        <f>G39*Assumptions!$B$6</f>
        <v>0.15209800000000001</v>
      </c>
      <c r="V39" s="16">
        <f>T39*Assumptions!$B$6</f>
        <v>0.15209800000000001</v>
      </c>
      <c r="W39" s="16">
        <f t="shared" si="2"/>
        <v>0</v>
      </c>
      <c r="X39" s="18">
        <f t="shared" si="6"/>
        <v>11.325272811687968</v>
      </c>
      <c r="Y39" s="18">
        <f t="shared" si="7"/>
        <v>309.63941597683379</v>
      </c>
      <c r="Z39" s="19">
        <f t="shared" si="3"/>
        <v>-0.96342431800564021</v>
      </c>
      <c r="AA39" s="18">
        <f t="shared" si="8"/>
        <v>83.386578237955035</v>
      </c>
      <c r="AB39" s="18">
        <f t="shared" si="9"/>
        <v>246.07405757275484</v>
      </c>
      <c r="AC39" s="19">
        <f t="shared" si="4"/>
        <v>-0.66113218491835224</v>
      </c>
      <c r="AD39" s="20">
        <f t="shared" si="5"/>
        <v>72.061305426267069</v>
      </c>
      <c r="AE39" s="9" t="s">
        <v>91</v>
      </c>
    </row>
    <row r="40" spans="1:31" ht="18" customHeight="1">
      <c r="A40" s="4">
        <v>36</v>
      </c>
      <c r="B40" s="13">
        <v>43451</v>
      </c>
      <c r="C40" s="13">
        <v>43453</v>
      </c>
      <c r="D40" s="4" t="s">
        <v>95</v>
      </c>
      <c r="E40" s="14">
        <v>6570.67</v>
      </c>
      <c r="F40" s="14">
        <v>6544.3873199999998</v>
      </c>
      <c r="G40" s="15">
        <v>-4.0000000000000001E-3</v>
      </c>
      <c r="H40" s="16">
        <f t="shared" si="10"/>
        <v>1.346E-2</v>
      </c>
      <c r="I40" s="17" t="b">
        <f>AND(A40&gt;2,H40&lt;=Assumptions!$B$7)</f>
        <v>0</v>
      </c>
      <c r="J40" s="15">
        <v>-4.3941591018944459E-3</v>
      </c>
      <c r="K40" s="15">
        <v>-2.4880406995874238E-2</v>
      </c>
      <c r="L40" s="15">
        <v>-1.4756268494004021E-2</v>
      </c>
      <c r="M40" s="17" t="b">
        <f>J40&gt;=Assumptions!$B$8</f>
        <v>0</v>
      </c>
      <c r="N40" s="17" t="b">
        <f>AND(K40&lt;&gt;"",K40&lt;=Assumptions!$B$9)</f>
        <v>1</v>
      </c>
      <c r="O40" s="17" t="b">
        <f>AND(P40&lt;&gt;"",ABS(L40)&lt;=Assumptions!$B$10)</f>
        <v>0</v>
      </c>
      <c r="P40" s="13">
        <v>43452</v>
      </c>
      <c r="Q40" s="14">
        <v>6497.5690000000004</v>
      </c>
      <c r="R40" s="15">
        <v>7.1999999999999998E-3</v>
      </c>
      <c r="S40" s="17" t="str">
        <f t="shared" si="0"/>
        <v>BASELINE</v>
      </c>
      <c r="T40" s="16">
        <f t="shared" si="1"/>
        <v>-4.0000000000000001E-3</v>
      </c>
      <c r="U40" s="16">
        <f>G40*Assumptions!$B$6</f>
        <v>-4.5200000000000004E-2</v>
      </c>
      <c r="V40" s="16">
        <f>T40*Assumptions!$B$6</f>
        <v>-4.5200000000000004E-2</v>
      </c>
      <c r="W40" s="16">
        <f t="shared" si="2"/>
        <v>0</v>
      </c>
      <c r="X40" s="18">
        <f t="shared" si="6"/>
        <v>10.813370480599673</v>
      </c>
      <c r="Y40" s="18">
        <f t="shared" si="7"/>
        <v>309.63941597683379</v>
      </c>
      <c r="Z40" s="19">
        <f t="shared" si="3"/>
        <v>-0.96507753883178526</v>
      </c>
      <c r="AA40" s="18">
        <f t="shared" si="8"/>
        <v>79.61750490159946</v>
      </c>
      <c r="AB40" s="18">
        <f t="shared" si="9"/>
        <v>246.07405757275484</v>
      </c>
      <c r="AC40" s="19">
        <f t="shared" si="4"/>
        <v>-0.67644901016004266</v>
      </c>
      <c r="AD40" s="20">
        <f t="shared" si="5"/>
        <v>68.804134420999787</v>
      </c>
      <c r="AE40" s="9" t="s">
        <v>91</v>
      </c>
    </row>
    <row r="41" spans="1:31" ht="18" customHeight="1">
      <c r="A41" s="4">
        <v>37</v>
      </c>
      <c r="B41" s="13">
        <v>43458</v>
      </c>
      <c r="C41" s="13">
        <v>43460</v>
      </c>
      <c r="D41" s="4" t="s">
        <v>90</v>
      </c>
      <c r="E41" s="14">
        <v>6001.06</v>
      </c>
      <c r="F41" s="14">
        <v>6272.67</v>
      </c>
      <c r="G41" s="15">
        <v>4.5260000000000002E-2</v>
      </c>
      <c r="H41" s="16">
        <f t="shared" si="10"/>
        <v>9.4599999999999997E-3</v>
      </c>
      <c r="I41" s="17" t="b">
        <f>AND(A41&gt;2,H41&lt;=Assumptions!$B$7)</f>
        <v>0</v>
      </c>
      <c r="J41" s="15">
        <v>-7.0649739673602774E-3</v>
      </c>
      <c r="K41" s="15">
        <v>-7.9718693580660527E-2</v>
      </c>
      <c r="L41" s="15"/>
      <c r="M41" s="17" t="b">
        <f>J41&gt;=Assumptions!$B$8</f>
        <v>0</v>
      </c>
      <c r="N41" s="17" t="b">
        <f>AND(K41&lt;&gt;"",K41&lt;=Assumptions!$B$9)</f>
        <v>1</v>
      </c>
      <c r="O41" s="17" t="b">
        <f>AND(P41&lt;&gt;"",ABS(L41)&lt;=Assumptions!$B$10)</f>
        <v>0</v>
      </c>
      <c r="P41" s="13"/>
      <c r="Q41" s="14"/>
      <c r="R41" s="15"/>
      <c r="S41" s="17" t="str">
        <f t="shared" si="0"/>
        <v>BASELINE</v>
      </c>
      <c r="T41" s="16">
        <f t="shared" si="1"/>
        <v>4.5260000000000002E-2</v>
      </c>
      <c r="U41" s="16">
        <f>G41*Assumptions!$B$6</f>
        <v>0.51143800000000006</v>
      </c>
      <c r="V41" s="16">
        <f>T41*Assumptions!$B$6</f>
        <v>0.51143800000000006</v>
      </c>
      <c r="W41" s="16">
        <f t="shared" si="2"/>
        <v>0</v>
      </c>
      <c r="X41" s="18">
        <f t="shared" si="6"/>
        <v>16.343739052456609</v>
      </c>
      <c r="Y41" s="18">
        <f t="shared" si="7"/>
        <v>309.63941597683379</v>
      </c>
      <c r="Z41" s="19">
        <f t="shared" si="3"/>
        <v>-0.94721686513683578</v>
      </c>
      <c r="AA41" s="18">
        <f t="shared" si="8"/>
        <v>120.33692237346369</v>
      </c>
      <c r="AB41" s="18">
        <f t="shared" si="9"/>
        <v>246.07405757275484</v>
      </c>
      <c r="AC41" s="19">
        <f t="shared" si="4"/>
        <v>-0.51097273901827456</v>
      </c>
      <c r="AD41" s="20">
        <f t="shared" si="5"/>
        <v>103.99318332100708</v>
      </c>
      <c r="AE41" s="9" t="s">
        <v>91</v>
      </c>
    </row>
    <row r="42" spans="1:31" ht="18" customHeight="1">
      <c r="A42" s="4">
        <v>38</v>
      </c>
      <c r="B42" s="13">
        <v>43465</v>
      </c>
      <c r="C42" s="13">
        <v>43468</v>
      </c>
      <c r="D42" s="4" t="s">
        <v>92</v>
      </c>
      <c r="E42" s="14">
        <v>6340.6589999999997</v>
      </c>
      <c r="F42" s="14">
        <v>6221.77</v>
      </c>
      <c r="G42" s="15">
        <v>-1.8749999999999999E-2</v>
      </c>
      <c r="H42" s="16">
        <f t="shared" si="10"/>
        <v>4.1260000000000005E-2</v>
      </c>
      <c r="I42" s="17" t="b">
        <f>AND(A42&gt;2,H42&lt;=Assumptions!$B$7)</f>
        <v>0</v>
      </c>
      <c r="J42" s="15">
        <v>1.1000261652839072E-2</v>
      </c>
      <c r="K42" s="15">
        <v>-9.0603839744264891E-2</v>
      </c>
      <c r="L42" s="15"/>
      <c r="M42" s="17" t="b">
        <f>J42&gt;=Assumptions!$B$8</f>
        <v>1</v>
      </c>
      <c r="N42" s="17" t="b">
        <f>AND(K42&lt;&gt;"",K42&lt;=Assumptions!$B$9)</f>
        <v>1</v>
      </c>
      <c r="O42" s="17" t="b">
        <f>AND(P42&lt;&gt;"",ABS(L42)&lt;=Assumptions!$B$10)</f>
        <v>0</v>
      </c>
      <c r="P42" s="13"/>
      <c r="Q42" s="14"/>
      <c r="R42" s="15"/>
      <c r="S42" s="17" t="str">
        <f t="shared" si="0"/>
        <v>GAP/MOM SKIP</v>
      </c>
      <c r="T42" s="16">
        <f t="shared" si="1"/>
        <v>0</v>
      </c>
      <c r="U42" s="16">
        <f>G42*Assumptions!$B$6</f>
        <v>-0.21187500000000001</v>
      </c>
      <c r="V42" s="16">
        <f>T42*Assumptions!$B$6</f>
        <v>0</v>
      </c>
      <c r="W42" s="16">
        <f t="shared" si="2"/>
        <v>0.21187500000000001</v>
      </c>
      <c r="X42" s="18">
        <f t="shared" si="6"/>
        <v>12.880909340717364</v>
      </c>
      <c r="Y42" s="18">
        <f t="shared" si="7"/>
        <v>309.63941597683379</v>
      </c>
      <c r="Z42" s="19">
        <f t="shared" si="3"/>
        <v>-0.95840029183596875</v>
      </c>
      <c r="AA42" s="18">
        <f t="shared" si="8"/>
        <v>120.33692237346369</v>
      </c>
      <c r="AB42" s="18">
        <f t="shared" si="9"/>
        <v>246.07405757275484</v>
      </c>
      <c r="AC42" s="19">
        <f t="shared" si="4"/>
        <v>-0.51097273901827456</v>
      </c>
      <c r="AD42" s="20">
        <f t="shared" si="5"/>
        <v>107.45601303274633</v>
      </c>
      <c r="AE42" s="9" t="s">
        <v>102</v>
      </c>
    </row>
    <row r="43" spans="1:31" ht="18" customHeight="1">
      <c r="A43" s="4">
        <v>39</v>
      </c>
      <c r="B43" s="13">
        <v>43472</v>
      </c>
      <c r="C43" s="13">
        <v>43472</v>
      </c>
      <c r="D43" s="4" t="s">
        <v>90</v>
      </c>
      <c r="E43" s="14">
        <v>6423.4589999999998</v>
      </c>
      <c r="F43" s="14">
        <v>6488.8590000000004</v>
      </c>
      <c r="G43" s="15">
        <v>1.018E-2</v>
      </c>
      <c r="H43" s="16">
        <f t="shared" si="10"/>
        <v>4.5260000000000002E-2</v>
      </c>
      <c r="I43" s="17" t="b">
        <f>AND(A43&gt;2,H43&lt;=Assumptions!$B$7)</f>
        <v>0</v>
      </c>
      <c r="J43" s="15">
        <v>1.0753427187375486E-3</v>
      </c>
      <c r="K43" s="15">
        <v>-5.466517814906624E-2</v>
      </c>
      <c r="L43" s="15">
        <v>2.1517213771016674E-2</v>
      </c>
      <c r="M43" s="17" t="b">
        <f>J43&gt;=Assumptions!$B$8</f>
        <v>0</v>
      </c>
      <c r="N43" s="17" t="b">
        <f>AND(K43&lt;&gt;"",K43&lt;=Assumptions!$B$9)</f>
        <v>1</v>
      </c>
      <c r="O43" s="17" t="b">
        <f>AND(P43&lt;&gt;"",ABS(L43)&lt;=Assumptions!$B$10)</f>
        <v>0</v>
      </c>
      <c r="P43" s="13">
        <v>43473</v>
      </c>
      <c r="Q43" s="14">
        <v>6550.07</v>
      </c>
      <c r="R43" s="15">
        <v>-9.3399999999999993E-3</v>
      </c>
      <c r="S43" s="17" t="str">
        <f t="shared" si="0"/>
        <v>BASELINE</v>
      </c>
      <c r="T43" s="16">
        <f t="shared" si="1"/>
        <v>1.018E-2</v>
      </c>
      <c r="U43" s="16">
        <f>G43*Assumptions!$B$6</f>
        <v>0.11503400000000001</v>
      </c>
      <c r="V43" s="16">
        <f>T43*Assumptions!$B$6</f>
        <v>0.11503400000000001</v>
      </c>
      <c r="W43" s="16">
        <f t="shared" si="2"/>
        <v>0</v>
      </c>
      <c r="X43" s="18">
        <f t="shared" si="6"/>
        <v>14.362651865817448</v>
      </c>
      <c r="Y43" s="18">
        <f t="shared" si="7"/>
        <v>309.63941597683379</v>
      </c>
      <c r="Z43" s="19">
        <f t="shared" si="3"/>
        <v>-0.95361491100702755</v>
      </c>
      <c r="AA43" s="18">
        <f t="shared" si="8"/>
        <v>134.17975990177271</v>
      </c>
      <c r="AB43" s="18">
        <f t="shared" si="9"/>
        <v>246.07405757275484</v>
      </c>
      <c r="AC43" s="19">
        <f t="shared" si="4"/>
        <v>-0.45471797707850281</v>
      </c>
      <c r="AD43" s="20">
        <f t="shared" si="5"/>
        <v>119.81710803595527</v>
      </c>
      <c r="AE43" s="9" t="s">
        <v>91</v>
      </c>
    </row>
    <row r="44" spans="1:31" ht="18" customHeight="1">
      <c r="A44" s="4">
        <v>40</v>
      </c>
      <c r="B44" s="13">
        <v>43479</v>
      </c>
      <c r="C44" s="13">
        <v>43483</v>
      </c>
      <c r="D44" s="4" t="s">
        <v>93</v>
      </c>
      <c r="E44" s="14">
        <v>6539.86</v>
      </c>
      <c r="F44" s="14">
        <v>6787.07</v>
      </c>
      <c r="G44" s="15">
        <v>3.78E-2</v>
      </c>
      <c r="H44" s="16">
        <f t="shared" si="10"/>
        <v>1.018E-2</v>
      </c>
      <c r="I44" s="17" t="b">
        <f>AND(A44&gt;2,H44&lt;=Assumptions!$B$7)</f>
        <v>0</v>
      </c>
      <c r="J44" s="15">
        <v>-9.0926033391567351E-3</v>
      </c>
      <c r="K44" s="15">
        <v>-2.3523003648155627E-2</v>
      </c>
      <c r="L44" s="15">
        <v>-4.456004254932866E-3</v>
      </c>
      <c r="M44" s="17" t="b">
        <f>J44&gt;=Assumptions!$B$8</f>
        <v>0</v>
      </c>
      <c r="N44" s="17" t="b">
        <f>AND(K44&lt;&gt;"",K44&lt;=Assumptions!$B$9)</f>
        <v>1</v>
      </c>
      <c r="O44" s="17" t="b">
        <f>AND(P44&lt;&gt;"",ABS(L44)&lt;=Assumptions!$B$10)</f>
        <v>1</v>
      </c>
      <c r="P44" s="13">
        <v>43480</v>
      </c>
      <c r="Q44" s="14">
        <v>6565.47</v>
      </c>
      <c r="R44" s="15">
        <v>3.3750000000000002E-2</v>
      </c>
      <c r="S44" s="17" t="str">
        <f t="shared" si="0"/>
        <v>BASELINE</v>
      </c>
      <c r="T44" s="16">
        <f t="shared" si="1"/>
        <v>3.78E-2</v>
      </c>
      <c r="U44" s="16">
        <f>G44*Assumptions!$B$6</f>
        <v>0.42714000000000002</v>
      </c>
      <c r="V44" s="16">
        <f>T44*Assumptions!$B$6</f>
        <v>0.42714000000000002</v>
      </c>
      <c r="W44" s="16">
        <f t="shared" si="2"/>
        <v>0</v>
      </c>
      <c r="X44" s="18">
        <f t="shared" si="6"/>
        <v>20.497514983782715</v>
      </c>
      <c r="Y44" s="18">
        <f t="shared" si="7"/>
        <v>309.63941597683379</v>
      </c>
      <c r="Z44" s="19">
        <f t="shared" si="3"/>
        <v>-0.93380198409456927</v>
      </c>
      <c r="AA44" s="18">
        <f t="shared" si="8"/>
        <v>191.49330254621592</v>
      </c>
      <c r="AB44" s="18">
        <f t="shared" si="9"/>
        <v>246.07405757275484</v>
      </c>
      <c r="AC44" s="19">
        <f t="shared" si="4"/>
        <v>-0.22180621380781451</v>
      </c>
      <c r="AD44" s="20">
        <f t="shared" si="5"/>
        <v>170.99578756243321</v>
      </c>
      <c r="AE44" s="9" t="s">
        <v>91</v>
      </c>
    </row>
    <row r="45" spans="1:31" ht="18" customHeight="1">
      <c r="A45" s="4">
        <v>41</v>
      </c>
      <c r="B45" s="13">
        <v>43487</v>
      </c>
      <c r="C45" s="13">
        <v>43489</v>
      </c>
      <c r="D45" s="4" t="s">
        <v>92</v>
      </c>
      <c r="E45" s="14">
        <v>6732.96</v>
      </c>
      <c r="F45" s="14">
        <v>6655.56</v>
      </c>
      <c r="G45" s="15">
        <v>-1.149E-2</v>
      </c>
      <c r="H45" s="16">
        <f t="shared" si="10"/>
        <v>4.7980000000000002E-2</v>
      </c>
      <c r="I45" s="17" t="b">
        <f>AND(A45&gt;2,H45&lt;=Assumptions!$B$7)</f>
        <v>0</v>
      </c>
      <c r="J45" s="15">
        <v>-7.972512439093693E-3</v>
      </c>
      <c r="K45" s="15">
        <v>7.2277830380089059E-2</v>
      </c>
      <c r="L45" s="15"/>
      <c r="M45" s="17" t="b">
        <f>J45&gt;=Assumptions!$B$8</f>
        <v>0</v>
      </c>
      <c r="N45" s="17" t="b">
        <f>AND(K45&lt;&gt;"",K45&lt;=Assumptions!$B$9)</f>
        <v>0</v>
      </c>
      <c r="O45" s="17" t="b">
        <f>AND(P45&lt;&gt;"",ABS(L45)&lt;=Assumptions!$B$10)</f>
        <v>0</v>
      </c>
      <c r="P45" s="13"/>
      <c r="Q45" s="14"/>
      <c r="R45" s="15"/>
      <c r="S45" s="17" t="str">
        <f t="shared" si="0"/>
        <v>BASELINE</v>
      </c>
      <c r="T45" s="16">
        <f t="shared" si="1"/>
        <v>-1.149E-2</v>
      </c>
      <c r="U45" s="16">
        <f>G45*Assumptions!$B$6</f>
        <v>-0.12983700000000001</v>
      </c>
      <c r="V45" s="16">
        <f>T45*Assumptions!$B$6</f>
        <v>-0.12983700000000001</v>
      </c>
      <c r="W45" s="16">
        <f t="shared" si="2"/>
        <v>0</v>
      </c>
      <c r="X45" s="18">
        <f t="shared" si="6"/>
        <v>17.836179130833319</v>
      </c>
      <c r="Y45" s="18">
        <f t="shared" si="7"/>
        <v>309.63941597683379</v>
      </c>
      <c r="Z45" s="19">
        <f t="shared" si="3"/>
        <v>-0.94239693588568274</v>
      </c>
      <c r="AA45" s="18">
        <f t="shared" si="8"/>
        <v>166.6303866235229</v>
      </c>
      <c r="AB45" s="18">
        <f t="shared" si="9"/>
        <v>246.07405757275484</v>
      </c>
      <c r="AC45" s="19">
        <f t="shared" si="4"/>
        <v>-0.32284456042564924</v>
      </c>
      <c r="AD45" s="20">
        <f t="shared" si="5"/>
        <v>148.79420749268957</v>
      </c>
      <c r="AE45" s="9" t="s">
        <v>91</v>
      </c>
    </row>
    <row r="46" spans="1:31" ht="18" customHeight="1">
      <c r="A46" s="4">
        <v>42</v>
      </c>
      <c r="B46" s="13">
        <v>43493</v>
      </c>
      <c r="C46" s="13">
        <v>43495</v>
      </c>
      <c r="D46" s="4" t="s">
        <v>99</v>
      </c>
      <c r="E46" s="14">
        <v>6691.0690000000004</v>
      </c>
      <c r="F46" s="14">
        <v>6689.67</v>
      </c>
      <c r="G46" s="15">
        <v>-2.0000000000000001E-4</v>
      </c>
      <c r="H46" s="16">
        <f t="shared" si="10"/>
        <v>2.631E-2</v>
      </c>
      <c r="I46" s="17" t="b">
        <f>AND(A46&gt;2,H46&lt;=Assumptions!$B$7)</f>
        <v>0</v>
      </c>
      <c r="J46" s="15">
        <v>-1.3708732368622245E-2</v>
      </c>
      <c r="K46" s="15">
        <v>8.3086682206257256E-2</v>
      </c>
      <c r="L46" s="15">
        <v>-1.1757800666464702E-2</v>
      </c>
      <c r="M46" s="17" t="b">
        <f>J46&gt;=Assumptions!$B$8</f>
        <v>0</v>
      </c>
      <c r="N46" s="17" t="b">
        <f>AND(K46&lt;&gt;"",K46&lt;=Assumptions!$B$9)</f>
        <v>0</v>
      </c>
      <c r="O46" s="17" t="b">
        <f>AND(P46&lt;&gt;"",ABS(L46)&lt;=Assumptions!$B$10)</f>
        <v>0</v>
      </c>
      <c r="P46" s="13">
        <v>43494</v>
      </c>
      <c r="Q46" s="14">
        <v>6699.87</v>
      </c>
      <c r="R46" s="15">
        <v>-1.5200000000000001E-3</v>
      </c>
      <c r="S46" s="17" t="str">
        <f t="shared" si="0"/>
        <v>BASELINE</v>
      </c>
      <c r="T46" s="16">
        <f t="shared" si="1"/>
        <v>-2.0000000000000001E-4</v>
      </c>
      <c r="U46" s="16">
        <f>G46*Assumptions!$B$6</f>
        <v>-2.2600000000000003E-3</v>
      </c>
      <c r="V46" s="16">
        <f>T46*Assumptions!$B$6</f>
        <v>-2.2600000000000003E-3</v>
      </c>
      <c r="W46" s="16">
        <f t="shared" si="2"/>
        <v>0</v>
      </c>
      <c r="X46" s="18">
        <f t="shared" si="6"/>
        <v>17.795869365997635</v>
      </c>
      <c r="Y46" s="18">
        <f t="shared" si="7"/>
        <v>309.63941597683379</v>
      </c>
      <c r="Z46" s="19">
        <f t="shared" si="3"/>
        <v>-0.94252711881058104</v>
      </c>
      <c r="AA46" s="18">
        <f t="shared" si="8"/>
        <v>166.25380194975372</v>
      </c>
      <c r="AB46" s="18">
        <f t="shared" si="9"/>
        <v>246.07405757275484</v>
      </c>
      <c r="AC46" s="19">
        <f t="shared" si="4"/>
        <v>-0.32437493171908738</v>
      </c>
      <c r="AD46" s="20">
        <f t="shared" si="5"/>
        <v>148.45793258375608</v>
      </c>
      <c r="AE46" s="9" t="s">
        <v>91</v>
      </c>
    </row>
    <row r="47" spans="1:31" ht="18" customHeight="1">
      <c r="A47" s="4">
        <v>43</v>
      </c>
      <c r="B47" s="13">
        <v>43500</v>
      </c>
      <c r="C47" s="13">
        <v>43500</v>
      </c>
      <c r="D47" s="4" t="s">
        <v>90</v>
      </c>
      <c r="E47" s="14">
        <v>6875.37</v>
      </c>
      <c r="F47" s="14">
        <v>6961.1689999999999</v>
      </c>
      <c r="G47" s="15">
        <v>1.247E-2</v>
      </c>
      <c r="H47" s="16">
        <f t="shared" si="10"/>
        <v>-1.1690000000000001E-2</v>
      </c>
      <c r="I47" s="17" t="b">
        <f>AND(A47&gt;2,H47&lt;=Assumptions!$B$7)</f>
        <v>0</v>
      </c>
      <c r="J47" s="15">
        <v>1.9057151086832036E-4</v>
      </c>
      <c r="K47" s="15">
        <v>0.11777105290618795</v>
      </c>
      <c r="L47" s="15">
        <v>1.3710992444328385E-2</v>
      </c>
      <c r="M47" s="17" t="b">
        <f>J47&gt;=Assumptions!$B$8</f>
        <v>0</v>
      </c>
      <c r="N47" s="17" t="b">
        <f>AND(K47&lt;&gt;"",K47&lt;=Assumptions!$B$9)</f>
        <v>0</v>
      </c>
      <c r="O47" s="17" t="b">
        <f>AND(P47&lt;&gt;"",ABS(L47)&lt;=Assumptions!$B$10)</f>
        <v>0</v>
      </c>
      <c r="P47" s="13">
        <v>43501</v>
      </c>
      <c r="Q47" s="14">
        <v>6968.4690000000001</v>
      </c>
      <c r="R47" s="15">
        <v>-1.0399999999999999E-3</v>
      </c>
      <c r="S47" s="17" t="str">
        <f t="shared" si="0"/>
        <v>BASELINE</v>
      </c>
      <c r="T47" s="16">
        <f t="shared" si="1"/>
        <v>1.247E-2</v>
      </c>
      <c r="U47" s="16">
        <f>G47*Assumptions!$B$6</f>
        <v>0.14091100000000001</v>
      </c>
      <c r="V47" s="16">
        <f>T47*Assumptions!$B$6</f>
        <v>0.14091100000000001</v>
      </c>
      <c r="W47" s="16">
        <f t="shared" si="2"/>
        <v>0</v>
      </c>
      <c r="X47" s="18">
        <f t="shared" si="6"/>
        <v>20.303503114229727</v>
      </c>
      <c r="Y47" s="18">
        <f t="shared" si="7"/>
        <v>309.63941597683379</v>
      </c>
      <c r="Z47" s="19">
        <f t="shared" si="3"/>
        <v>-0.93442855764929889</v>
      </c>
      <c r="AA47" s="18">
        <f t="shared" si="8"/>
        <v>189.68079143629546</v>
      </c>
      <c r="AB47" s="18">
        <f t="shared" si="9"/>
        <v>246.07405757275484</v>
      </c>
      <c r="AC47" s="19">
        <f t="shared" si="4"/>
        <v>-0.22917192772255568</v>
      </c>
      <c r="AD47" s="20">
        <f t="shared" si="5"/>
        <v>169.37728832206574</v>
      </c>
      <c r="AE47" s="9" t="s">
        <v>91</v>
      </c>
    </row>
    <row r="48" spans="1:31" ht="18" customHeight="1">
      <c r="A48" s="4">
        <v>44</v>
      </c>
      <c r="B48" s="13">
        <v>43507</v>
      </c>
      <c r="C48" s="13">
        <v>43511</v>
      </c>
      <c r="D48" s="4" t="s">
        <v>93</v>
      </c>
      <c r="E48" s="14">
        <v>6938.86</v>
      </c>
      <c r="F48" s="14">
        <v>7055.6689999999999</v>
      </c>
      <c r="G48" s="15">
        <v>1.6830000000000001E-2</v>
      </c>
      <c r="H48" s="16">
        <f t="shared" si="10"/>
        <v>1.227E-2</v>
      </c>
      <c r="I48" s="17" t="b">
        <f>AND(A48&gt;2,H48&lt;=Assumptions!$B$7)</f>
        <v>0</v>
      </c>
      <c r="J48" s="15">
        <v>4.0791992672200017E-3</v>
      </c>
      <c r="K48" s="15">
        <v>4.5301503803129028E-2</v>
      </c>
      <c r="L48" s="15">
        <v>6.0525128129036432E-3</v>
      </c>
      <c r="M48" s="17" t="b">
        <f>J48&gt;=Assumptions!$B$8</f>
        <v>0</v>
      </c>
      <c r="N48" s="17" t="b">
        <f>AND(K48&lt;&gt;"",K48&lt;=Assumptions!$B$9)</f>
        <v>0</v>
      </c>
      <c r="O48" s="17" t="b">
        <f>AND(P48&lt;&gt;"",ABS(L48)&lt;=Assumptions!$B$10)</f>
        <v>0</v>
      </c>
      <c r="P48" s="13">
        <v>43508</v>
      </c>
      <c r="Q48" s="14">
        <v>6956.37</v>
      </c>
      <c r="R48" s="15">
        <v>1.427E-2</v>
      </c>
      <c r="S48" s="17" t="str">
        <f t="shared" si="0"/>
        <v>BASELINE</v>
      </c>
      <c r="T48" s="16">
        <f t="shared" si="1"/>
        <v>1.6830000000000001E-2</v>
      </c>
      <c r="U48" s="16">
        <f>G48*Assumptions!$B$6</f>
        <v>0.19017900000000001</v>
      </c>
      <c r="V48" s="16">
        <f>T48*Assumptions!$B$6</f>
        <v>0.19017900000000001</v>
      </c>
      <c r="W48" s="16">
        <f t="shared" si="2"/>
        <v>0</v>
      </c>
      <c r="X48" s="18">
        <f t="shared" si="6"/>
        <v>24.164803032990825</v>
      </c>
      <c r="Y48" s="18">
        <f t="shared" si="7"/>
        <v>309.63941597683379</v>
      </c>
      <c r="Z48" s="19">
        <f t="shared" si="3"/>
        <v>-0.92195824631448486</v>
      </c>
      <c r="AA48" s="18">
        <f t="shared" si="8"/>
        <v>225.75409467085871</v>
      </c>
      <c r="AB48" s="18">
        <f t="shared" si="9"/>
        <v>246.07405757275484</v>
      </c>
      <c r="AC48" s="19">
        <f t="shared" si="4"/>
        <v>-8.2576615764903605E-2</v>
      </c>
      <c r="AD48" s="20">
        <f t="shared" si="5"/>
        <v>201.58929163786789</v>
      </c>
      <c r="AE48" s="9" t="s">
        <v>91</v>
      </c>
    </row>
    <row r="49" spans="1:31" ht="18" customHeight="1">
      <c r="A49" s="4">
        <v>45</v>
      </c>
      <c r="B49" s="13">
        <v>43515</v>
      </c>
      <c r="C49" s="13">
        <v>43517</v>
      </c>
      <c r="D49" s="4" t="s">
        <v>96</v>
      </c>
      <c r="E49" s="14">
        <v>7029.1689999999999</v>
      </c>
      <c r="F49" s="14">
        <v>7001.0523240000002</v>
      </c>
      <c r="G49" s="15">
        <v>-4.0000000000000001E-3</v>
      </c>
      <c r="H49" s="16">
        <f t="shared" si="10"/>
        <v>2.93E-2</v>
      </c>
      <c r="I49" s="17" t="b">
        <f>AND(A49&gt;2,H49&lt;=Assumptions!$B$7)</f>
        <v>0</v>
      </c>
      <c r="J49" s="15">
        <v>-3.7558451225532252E-3</v>
      </c>
      <c r="K49" s="15">
        <v>5.0685315397941411E-2</v>
      </c>
      <c r="L49" s="15"/>
      <c r="M49" s="17" t="b">
        <f>J49&gt;=Assumptions!$B$8</f>
        <v>0</v>
      </c>
      <c r="N49" s="17" t="b">
        <f>AND(K49&lt;&gt;"",K49&lt;=Assumptions!$B$9)</f>
        <v>0</v>
      </c>
      <c r="O49" s="17" t="b">
        <f>AND(P49&lt;&gt;"",ABS(L49)&lt;=Assumptions!$B$10)</f>
        <v>0</v>
      </c>
      <c r="P49" s="13"/>
      <c r="Q49" s="14"/>
      <c r="R49" s="15"/>
      <c r="S49" s="17" t="str">
        <f t="shared" si="0"/>
        <v>BASELINE</v>
      </c>
      <c r="T49" s="16">
        <f t="shared" si="1"/>
        <v>-4.0000000000000001E-3</v>
      </c>
      <c r="U49" s="16">
        <f>G49*Assumptions!$B$6</f>
        <v>-4.5200000000000004E-2</v>
      </c>
      <c r="V49" s="16">
        <f>T49*Assumptions!$B$6</f>
        <v>-4.5200000000000004E-2</v>
      </c>
      <c r="W49" s="16">
        <f t="shared" si="2"/>
        <v>0</v>
      </c>
      <c r="X49" s="18">
        <f t="shared" si="6"/>
        <v>23.072553935899638</v>
      </c>
      <c r="Y49" s="18">
        <f t="shared" si="7"/>
        <v>309.63941597683379</v>
      </c>
      <c r="Z49" s="19">
        <f t="shared" si="3"/>
        <v>-0.92548573358107011</v>
      </c>
      <c r="AA49" s="18">
        <f t="shared" si="8"/>
        <v>215.55000959173589</v>
      </c>
      <c r="AB49" s="18">
        <f t="shared" si="9"/>
        <v>246.07405757275484</v>
      </c>
      <c r="AC49" s="19">
        <f t="shared" si="4"/>
        <v>-0.12404415273232994</v>
      </c>
      <c r="AD49" s="20">
        <f t="shared" si="5"/>
        <v>192.47745565583625</v>
      </c>
      <c r="AE49" s="9" t="s">
        <v>91</v>
      </c>
    </row>
    <row r="50" spans="1:31" ht="18" customHeight="1">
      <c r="A50" s="4">
        <v>46</v>
      </c>
      <c r="B50" s="13">
        <v>43521</v>
      </c>
      <c r="C50" s="13">
        <v>43524</v>
      </c>
      <c r="D50" s="4" t="s">
        <v>92</v>
      </c>
      <c r="E50" s="14">
        <v>7141.37</v>
      </c>
      <c r="F50" s="14">
        <v>7110.5590000000002</v>
      </c>
      <c r="G50" s="15">
        <v>-4.3099999999999996E-3</v>
      </c>
      <c r="H50" s="16">
        <f t="shared" si="10"/>
        <v>1.2830000000000001E-2</v>
      </c>
      <c r="I50" s="17" t="b">
        <f>AND(A50&gt;2,H50&lt;=Assumptions!$B$7)</f>
        <v>0</v>
      </c>
      <c r="J50" s="15">
        <v>7.7345013285008424E-3</v>
      </c>
      <c r="K50" s="15">
        <v>5.9341571670338711E-2</v>
      </c>
      <c r="L50" s="15">
        <v>9.0428449996071691E-4</v>
      </c>
      <c r="M50" s="17" t="b">
        <f>J50&gt;=Assumptions!$B$8</f>
        <v>0</v>
      </c>
      <c r="N50" s="17" t="b">
        <f>AND(K50&lt;&gt;"",K50&lt;=Assumptions!$B$9)</f>
        <v>0</v>
      </c>
      <c r="O50" s="17" t="b">
        <f>AND(P50&lt;&gt;"",ABS(L50)&lt;=Assumptions!$B$10)</f>
        <v>1</v>
      </c>
      <c r="P50" s="13">
        <v>43522</v>
      </c>
      <c r="Q50" s="14">
        <v>7092.86</v>
      </c>
      <c r="R50" s="15">
        <v>2.49E-3</v>
      </c>
      <c r="S50" s="17" t="str">
        <f t="shared" si="0"/>
        <v>BASELINE</v>
      </c>
      <c r="T50" s="16">
        <f t="shared" si="1"/>
        <v>-4.3099999999999996E-3</v>
      </c>
      <c r="U50" s="16">
        <f>G50*Assumptions!$B$6</f>
        <v>-4.8702999999999996E-2</v>
      </c>
      <c r="V50" s="16">
        <f>T50*Assumptions!$B$6</f>
        <v>-4.8702999999999996E-2</v>
      </c>
      <c r="W50" s="16">
        <f t="shared" si="2"/>
        <v>0</v>
      </c>
      <c r="X50" s="18">
        <f t="shared" si="6"/>
        <v>21.948851341559518</v>
      </c>
      <c r="Y50" s="18">
        <f t="shared" si="7"/>
        <v>309.63941597683379</v>
      </c>
      <c r="Z50" s="19">
        <f t="shared" si="3"/>
        <v>-0.92911480189847129</v>
      </c>
      <c r="AA50" s="18">
        <f t="shared" si="8"/>
        <v>205.05207747458959</v>
      </c>
      <c r="AB50" s="18">
        <f t="shared" si="9"/>
        <v>246.07405757275484</v>
      </c>
      <c r="AC50" s="19">
        <f t="shared" si="4"/>
        <v>-0.16670583036180719</v>
      </c>
      <c r="AD50" s="20">
        <f t="shared" si="5"/>
        <v>183.10322613303009</v>
      </c>
      <c r="AE50" s="9" t="s">
        <v>91</v>
      </c>
    </row>
    <row r="51" spans="1:31" ht="18" customHeight="1">
      <c r="A51" s="4">
        <v>47</v>
      </c>
      <c r="B51" s="13">
        <v>43528</v>
      </c>
      <c r="C51" s="13">
        <v>43530</v>
      </c>
      <c r="D51" s="4" t="s">
        <v>99</v>
      </c>
      <c r="E51" s="14">
        <v>7188.6589999999997</v>
      </c>
      <c r="F51" s="14">
        <v>7160.06</v>
      </c>
      <c r="G51" s="15">
        <v>-3.9699999999999996E-3</v>
      </c>
      <c r="H51" s="16">
        <f t="shared" si="10"/>
        <v>-8.3099999999999997E-3</v>
      </c>
      <c r="I51" s="17" t="b">
        <f>AND(A51&gt;2,H51&lt;=Assumptions!$B$7)</f>
        <v>0</v>
      </c>
      <c r="J51" s="15">
        <v>5.4407428278351322E-3</v>
      </c>
      <c r="K51" s="15">
        <v>3.6948667257481693E-2</v>
      </c>
      <c r="L51" s="15">
        <v>7.5304355101879494E-4</v>
      </c>
      <c r="M51" s="17" t="b">
        <f>J51&gt;=Assumptions!$B$8</f>
        <v>0</v>
      </c>
      <c r="N51" s="17" t="b">
        <f>AND(K51&lt;&gt;"",K51&lt;=Assumptions!$B$9)</f>
        <v>0</v>
      </c>
      <c r="O51" s="17" t="b">
        <f>AND(P51&lt;&gt;"",ABS(L51)&lt;=Assumptions!$B$10)</f>
        <v>1</v>
      </c>
      <c r="P51" s="13">
        <v>43529</v>
      </c>
      <c r="Q51" s="14">
        <v>7151.96</v>
      </c>
      <c r="R51" s="15">
        <v>1.1299999999999999E-3</v>
      </c>
      <c r="S51" s="17" t="str">
        <f t="shared" si="0"/>
        <v>BASELINE</v>
      </c>
      <c r="T51" s="16">
        <f t="shared" si="1"/>
        <v>-3.9699999999999996E-3</v>
      </c>
      <c r="U51" s="16">
        <f>G51*Assumptions!$B$6</f>
        <v>-4.4860999999999998E-2</v>
      </c>
      <c r="V51" s="16">
        <f>T51*Assumptions!$B$6</f>
        <v>-4.4860999999999998E-2</v>
      </c>
      <c r="W51" s="16">
        <f t="shared" si="2"/>
        <v>0</v>
      </c>
      <c r="X51" s="18">
        <f t="shared" si="6"/>
        <v>20.964203921525815</v>
      </c>
      <c r="Y51" s="18">
        <f t="shared" si="7"/>
        <v>309.63941597683379</v>
      </c>
      <c r="Z51" s="19">
        <f t="shared" si="3"/>
        <v>-0.93229478277050393</v>
      </c>
      <c r="AA51" s="18">
        <f t="shared" si="8"/>
        <v>195.85323622700201</v>
      </c>
      <c r="AB51" s="18">
        <f t="shared" si="9"/>
        <v>246.07405757275484</v>
      </c>
      <c r="AC51" s="19">
        <f t="shared" si="4"/>
        <v>-0.20408824010594617</v>
      </c>
      <c r="AD51" s="20">
        <f t="shared" si="5"/>
        <v>174.88903230547621</v>
      </c>
      <c r="AE51" s="9" t="s">
        <v>91</v>
      </c>
    </row>
    <row r="52" spans="1:31" ht="18" customHeight="1">
      <c r="A52" s="4">
        <v>48</v>
      </c>
      <c r="B52" s="13">
        <v>43535</v>
      </c>
      <c r="C52" s="13">
        <v>43535</v>
      </c>
      <c r="D52" s="4" t="s">
        <v>90</v>
      </c>
      <c r="E52" s="14">
        <v>7040.96</v>
      </c>
      <c r="F52" s="14">
        <v>7157.36</v>
      </c>
      <c r="G52" s="15">
        <v>1.653E-2</v>
      </c>
      <c r="H52" s="16">
        <f t="shared" si="10"/>
        <v>-8.2799999999999992E-3</v>
      </c>
      <c r="I52" s="17" t="b">
        <f>AND(A52&gt;2,H52&lt;=Assumptions!$B$7)</f>
        <v>0</v>
      </c>
      <c r="J52" s="15">
        <v>3.2201254994044248E-3</v>
      </c>
      <c r="K52" s="15">
        <v>1.7432136087123684E-2</v>
      </c>
      <c r="L52" s="15">
        <v>2.3404773502191834E-2</v>
      </c>
      <c r="M52" s="17" t="b">
        <f>J52&gt;=Assumptions!$B$8</f>
        <v>0</v>
      </c>
      <c r="N52" s="17" t="b">
        <f>AND(K52&lt;&gt;"",K52&lt;=Assumptions!$B$9)</f>
        <v>0</v>
      </c>
      <c r="O52" s="17" t="b">
        <f>AND(P52&lt;&gt;"",ABS(L52)&lt;=Assumptions!$B$10)</f>
        <v>0</v>
      </c>
      <c r="P52" s="13">
        <v>43536</v>
      </c>
      <c r="Q52" s="14">
        <v>7177.26</v>
      </c>
      <c r="R52" s="15">
        <v>-2.7699999999999999E-3</v>
      </c>
      <c r="S52" s="17" t="str">
        <f t="shared" si="0"/>
        <v>BASELINE</v>
      </c>
      <c r="T52" s="16">
        <f t="shared" si="1"/>
        <v>1.653E-2</v>
      </c>
      <c r="U52" s="16">
        <f>G52*Assumptions!$B$6</f>
        <v>0.18678900000000001</v>
      </c>
      <c r="V52" s="16">
        <f>T52*Assumptions!$B$6</f>
        <v>0.18678900000000001</v>
      </c>
      <c r="W52" s="16">
        <f t="shared" si="2"/>
        <v>0</v>
      </c>
      <c r="X52" s="18">
        <f t="shared" si="6"/>
        <v>24.880086607823703</v>
      </c>
      <c r="Y52" s="18">
        <f t="shared" si="7"/>
        <v>309.63941597683379</v>
      </c>
      <c r="Z52" s="19">
        <f t="shared" si="3"/>
        <v>-0.91964819294942357</v>
      </c>
      <c r="AA52" s="18">
        <f t="shared" si="8"/>
        <v>232.43646636860751</v>
      </c>
      <c r="AB52" s="18">
        <f t="shared" si="9"/>
        <v>246.07405757275484</v>
      </c>
      <c r="AC52" s="19">
        <f t="shared" si="4"/>
        <v>-5.5420678387095745E-2</v>
      </c>
      <c r="AD52" s="20">
        <f t="shared" si="5"/>
        <v>207.55637976078381</v>
      </c>
      <c r="AE52" s="9" t="s">
        <v>91</v>
      </c>
    </row>
    <row r="53" spans="1:31" ht="18" customHeight="1">
      <c r="A53" s="4">
        <v>49</v>
      </c>
      <c r="B53" s="13">
        <v>43542</v>
      </c>
      <c r="C53" s="13">
        <v>43546</v>
      </c>
      <c r="D53" s="4" t="s">
        <v>93</v>
      </c>
      <c r="E53" s="14">
        <v>7305.46</v>
      </c>
      <c r="F53" s="14">
        <v>7333.06</v>
      </c>
      <c r="G53" s="15">
        <v>3.7699999999999999E-3</v>
      </c>
      <c r="H53" s="16">
        <f t="shared" si="10"/>
        <v>1.256E-2</v>
      </c>
      <c r="I53" s="17" t="b">
        <f>AND(A53&gt;2,H53&lt;=Assumptions!$B$7)</f>
        <v>0</v>
      </c>
      <c r="J53" s="15">
        <v>4.3685045882990714E-4</v>
      </c>
      <c r="K53" s="15">
        <v>4.1673261179220544E-2</v>
      </c>
      <c r="L53" s="15">
        <v>6.2936817746195306E-3</v>
      </c>
      <c r="M53" s="17" t="b">
        <f>J53&gt;=Assumptions!$B$8</f>
        <v>0</v>
      </c>
      <c r="N53" s="17" t="b">
        <f>AND(K53&lt;&gt;"",K53&lt;=Assumptions!$B$9)</f>
        <v>0</v>
      </c>
      <c r="O53" s="17" t="b">
        <f>AND(P53&lt;&gt;"",ABS(L53)&lt;=Assumptions!$B$10)</f>
        <v>0</v>
      </c>
      <c r="P53" s="13">
        <v>43543</v>
      </c>
      <c r="Q53" s="14">
        <v>7355.16</v>
      </c>
      <c r="R53" s="15">
        <v>-3.0000000000000001E-3</v>
      </c>
      <c r="S53" s="17" t="str">
        <f t="shared" si="0"/>
        <v>BASELINE</v>
      </c>
      <c r="T53" s="16">
        <f t="shared" si="1"/>
        <v>3.7699999999999999E-3</v>
      </c>
      <c r="U53" s="16">
        <f>G53*Assumptions!$B$6</f>
        <v>4.2601E-2</v>
      </c>
      <c r="V53" s="16">
        <f>T53*Assumptions!$B$6</f>
        <v>4.2601E-2</v>
      </c>
      <c r="W53" s="16">
        <f t="shared" si="2"/>
        <v>0</v>
      </c>
      <c r="X53" s="18">
        <f t="shared" si="6"/>
        <v>25.940003177403597</v>
      </c>
      <c r="Y53" s="18">
        <f t="shared" si="7"/>
        <v>309.63941597683379</v>
      </c>
      <c r="Z53" s="19">
        <f t="shared" si="3"/>
        <v>-0.91622512561726199</v>
      </c>
      <c r="AA53" s="18">
        <f t="shared" si="8"/>
        <v>242.33849227237653</v>
      </c>
      <c r="AB53" s="18">
        <f t="shared" si="9"/>
        <v>246.07405757275484</v>
      </c>
      <c r="AC53" s="19">
        <f t="shared" si="4"/>
        <v>-1.5180654707064534E-2</v>
      </c>
      <c r="AD53" s="20">
        <f t="shared" si="5"/>
        <v>216.39848909497294</v>
      </c>
      <c r="AE53" s="9" t="s">
        <v>91</v>
      </c>
    </row>
    <row r="54" spans="1:31" ht="18" customHeight="1">
      <c r="A54" s="4">
        <v>50</v>
      </c>
      <c r="B54" s="13">
        <v>43549</v>
      </c>
      <c r="C54" s="13">
        <v>43552</v>
      </c>
      <c r="D54" s="4" t="s">
        <v>92</v>
      </c>
      <c r="E54" s="14">
        <v>7302.0590000000002</v>
      </c>
      <c r="F54" s="14">
        <v>7267.87</v>
      </c>
      <c r="G54" s="15">
        <v>-4.6800000000000001E-3</v>
      </c>
      <c r="H54" s="16">
        <f t="shared" si="10"/>
        <v>2.0299999999999999E-2</v>
      </c>
      <c r="I54" s="17" t="b">
        <f>AND(A54&gt;2,H54&lt;=Assumptions!$B$7)</f>
        <v>0</v>
      </c>
      <c r="J54" s="15">
        <v>-4.2275666638483811E-3</v>
      </c>
      <c r="K54" s="15">
        <v>3.4694381981829947E-2</v>
      </c>
      <c r="L54" s="15">
        <v>5.7215437680619985E-3</v>
      </c>
      <c r="M54" s="17" t="b">
        <f>J54&gt;=Assumptions!$B$8</f>
        <v>0</v>
      </c>
      <c r="N54" s="17" t="b">
        <f>AND(K54&lt;&gt;"",K54&lt;=Assumptions!$B$9)</f>
        <v>0</v>
      </c>
      <c r="O54" s="17" t="b">
        <f>AND(P54&lt;&gt;"",ABS(L54)&lt;=Assumptions!$B$10)</f>
        <v>0</v>
      </c>
      <c r="P54" s="13">
        <v>43550</v>
      </c>
      <c r="Q54" s="14">
        <v>7369.07</v>
      </c>
      <c r="R54" s="15">
        <v>-1.3729999999999999E-2</v>
      </c>
      <c r="S54" s="17" t="str">
        <f t="shared" si="0"/>
        <v>BASELINE</v>
      </c>
      <c r="T54" s="16">
        <f t="shared" si="1"/>
        <v>-4.6800000000000001E-3</v>
      </c>
      <c r="U54" s="16">
        <f>G54*Assumptions!$B$6</f>
        <v>-5.2884000000000007E-2</v>
      </c>
      <c r="V54" s="16">
        <f>T54*Assumptions!$B$6</f>
        <v>-5.2884000000000007E-2</v>
      </c>
      <c r="W54" s="16">
        <f t="shared" si="2"/>
        <v>0</v>
      </c>
      <c r="X54" s="18">
        <f t="shared" si="6"/>
        <v>24.568192049369785</v>
      </c>
      <c r="Y54" s="18">
        <f t="shared" si="7"/>
        <v>309.63941597683379</v>
      </c>
      <c r="Z54" s="19">
        <f t="shared" si="3"/>
        <v>-0.92065547607411879</v>
      </c>
      <c r="AA54" s="18">
        <f t="shared" si="8"/>
        <v>229.52266344704415</v>
      </c>
      <c r="AB54" s="18">
        <f t="shared" si="9"/>
        <v>246.07405757275484</v>
      </c>
      <c r="AC54" s="19">
        <f t="shared" si="4"/>
        <v>-6.7261840963536157E-2</v>
      </c>
      <c r="AD54" s="20">
        <f t="shared" si="5"/>
        <v>204.95447139767435</v>
      </c>
      <c r="AE54" s="9" t="s">
        <v>91</v>
      </c>
    </row>
    <row r="55" spans="1:31" ht="18" customHeight="1">
      <c r="A55" s="4">
        <v>51</v>
      </c>
      <c r="B55" s="13">
        <v>43556</v>
      </c>
      <c r="C55" s="13">
        <v>43560</v>
      </c>
      <c r="D55" s="4" t="s">
        <v>93</v>
      </c>
      <c r="E55" s="14">
        <v>7444.87</v>
      </c>
      <c r="F55" s="14">
        <v>7579.76</v>
      </c>
      <c r="G55" s="15">
        <v>1.8110000000000001E-2</v>
      </c>
      <c r="H55" s="16">
        <f t="shared" si="10"/>
        <v>-9.1000000000000022E-4</v>
      </c>
      <c r="I55" s="17" t="b">
        <f>AND(A55&gt;2,H55&lt;=Assumptions!$B$7)</f>
        <v>0</v>
      </c>
      <c r="J55" s="15">
        <v>9.5615077104995727E-3</v>
      </c>
      <c r="K55" s="15">
        <v>3.2099975496201916E-2</v>
      </c>
      <c r="L55" s="15">
        <v>1.4297130150788595E-2</v>
      </c>
      <c r="M55" s="17" t="b">
        <f>J55&gt;=Assumptions!$B$8</f>
        <v>0</v>
      </c>
      <c r="N55" s="17" t="b">
        <f>AND(K55&lt;&gt;"",K55&lt;=Assumptions!$B$9)</f>
        <v>0</v>
      </c>
      <c r="O55" s="17" t="b">
        <f>AND(P55&lt;&gt;"",ABS(L55)&lt;=Assumptions!$B$10)</f>
        <v>0</v>
      </c>
      <c r="P55" s="13">
        <v>43557</v>
      </c>
      <c r="Q55" s="14">
        <v>7478.16</v>
      </c>
      <c r="R55" s="15">
        <v>1.358E-2</v>
      </c>
      <c r="S55" s="17" t="str">
        <f t="shared" si="0"/>
        <v>BASELINE</v>
      </c>
      <c r="T55" s="16">
        <f t="shared" si="1"/>
        <v>1.8110000000000001E-2</v>
      </c>
      <c r="U55" s="16">
        <f>G55*Assumptions!$B$6</f>
        <v>0.20464300000000002</v>
      </c>
      <c r="V55" s="16">
        <f>T55*Assumptions!$B$6</f>
        <v>0.20464300000000002</v>
      </c>
      <c r="W55" s="16">
        <f t="shared" si="2"/>
        <v>0</v>
      </c>
      <c r="X55" s="18">
        <f t="shared" si="6"/>
        <v>29.595900574928962</v>
      </c>
      <c r="Y55" s="18">
        <f t="shared" si="7"/>
        <v>309.63941597683379</v>
      </c>
      <c r="Z55" s="19">
        <f t="shared" si="3"/>
        <v>-0.9044181746643547</v>
      </c>
      <c r="AA55" s="18">
        <f t="shared" si="8"/>
        <v>276.49286986283761</v>
      </c>
      <c r="AB55" s="18">
        <f t="shared" si="9"/>
        <v>276.49286986283761</v>
      </c>
      <c r="AC55" s="19">
        <f t="shared" si="4"/>
        <v>0</v>
      </c>
      <c r="AD55" s="20">
        <f t="shared" si="5"/>
        <v>246.89696928790863</v>
      </c>
      <c r="AE55" s="9" t="s">
        <v>91</v>
      </c>
    </row>
    <row r="56" spans="1:31" ht="18" customHeight="1">
      <c r="A56" s="4">
        <v>52</v>
      </c>
      <c r="B56" s="13">
        <v>43563</v>
      </c>
      <c r="C56" s="13">
        <v>43567</v>
      </c>
      <c r="D56" s="4" t="s">
        <v>93</v>
      </c>
      <c r="E56" s="14">
        <v>7563.47</v>
      </c>
      <c r="F56" s="14">
        <v>7628.47</v>
      </c>
      <c r="G56" s="15">
        <v>8.5900000000000004E-3</v>
      </c>
      <c r="H56" s="16">
        <f t="shared" si="10"/>
        <v>1.3430000000000001E-2</v>
      </c>
      <c r="I56" s="17" t="b">
        <f>AND(A56&gt;2,H56&lt;=Assumptions!$B$7)</f>
        <v>0</v>
      </c>
      <c r="J56" s="15">
        <v>-2.1491445639439943E-3</v>
      </c>
      <c r="K56" s="15">
        <v>8.0711154408183106E-2</v>
      </c>
      <c r="L56" s="15">
        <v>-8.9016090503457601E-4</v>
      </c>
      <c r="M56" s="17" t="b">
        <f>J56&gt;=Assumptions!$B$8</f>
        <v>0</v>
      </c>
      <c r="N56" s="17" t="b">
        <f>AND(K56&lt;&gt;"",K56&lt;=Assumptions!$B$9)</f>
        <v>0</v>
      </c>
      <c r="O56" s="17" t="b">
        <f>AND(P56&lt;&gt;"",ABS(L56)&lt;=Assumptions!$B$10)</f>
        <v>1</v>
      </c>
      <c r="P56" s="13">
        <v>43564</v>
      </c>
      <c r="Q56" s="14">
        <v>7568.86</v>
      </c>
      <c r="R56" s="15">
        <v>7.8700000000000003E-3</v>
      </c>
      <c r="S56" s="17" t="str">
        <f t="shared" si="0"/>
        <v>BASELINE</v>
      </c>
      <c r="T56" s="16">
        <f t="shared" si="1"/>
        <v>8.5900000000000004E-3</v>
      </c>
      <c r="U56" s="16">
        <f>G56*Assumptions!$B$6</f>
        <v>9.7067000000000014E-2</v>
      </c>
      <c r="V56" s="16">
        <f>T56*Assumptions!$B$6</f>
        <v>9.7067000000000014E-2</v>
      </c>
      <c r="W56" s="16">
        <f t="shared" si="2"/>
        <v>0</v>
      </c>
      <c r="X56" s="18">
        <f t="shared" si="6"/>
        <v>32.468685856035592</v>
      </c>
      <c r="Y56" s="18">
        <f t="shared" si="7"/>
        <v>309.63941597683379</v>
      </c>
      <c r="Z56" s="19">
        <f t="shared" si="3"/>
        <v>-0.89514033362449952</v>
      </c>
      <c r="AA56" s="18">
        <f t="shared" si="8"/>
        <v>303.3312032618137</v>
      </c>
      <c r="AB56" s="18">
        <f t="shared" si="9"/>
        <v>303.3312032618137</v>
      </c>
      <c r="AC56" s="19">
        <f t="shared" si="4"/>
        <v>0</v>
      </c>
      <c r="AD56" s="20">
        <f t="shared" si="5"/>
        <v>270.86251740577814</v>
      </c>
      <c r="AE56" s="9" t="s">
        <v>91</v>
      </c>
    </row>
    <row r="57" spans="1:31" ht="18" customHeight="1">
      <c r="A57" s="4">
        <v>53</v>
      </c>
      <c r="B57" s="13">
        <v>43570</v>
      </c>
      <c r="C57" s="13">
        <v>43573</v>
      </c>
      <c r="D57" s="4" t="s">
        <v>93</v>
      </c>
      <c r="E57" s="14">
        <v>7624.7690000000002</v>
      </c>
      <c r="F57" s="14">
        <v>7689.67</v>
      </c>
      <c r="G57" s="15">
        <v>8.5100000000000002E-3</v>
      </c>
      <c r="H57" s="16">
        <f t="shared" si="10"/>
        <v>2.6700000000000002E-2</v>
      </c>
      <c r="I57" s="17" t="b">
        <f>AND(A57&gt;2,H57&lt;=Assumptions!$B$7)</f>
        <v>0</v>
      </c>
      <c r="J57" s="15">
        <v>-4.8515626331357975E-4</v>
      </c>
      <c r="K57" s="15">
        <v>4.3868773520955529E-2</v>
      </c>
      <c r="L57" s="15">
        <v>3.683571160660648E-3</v>
      </c>
      <c r="M57" s="17" t="b">
        <f>J57&gt;=Assumptions!$B$8</f>
        <v>0</v>
      </c>
      <c r="N57" s="17" t="b">
        <f>AND(K57&lt;&gt;"",K57&lt;=Assumptions!$B$9)</f>
        <v>0</v>
      </c>
      <c r="O57" s="17" t="b">
        <f>AND(P57&lt;&gt;"",ABS(L57)&lt;=Assumptions!$B$10)</f>
        <v>1</v>
      </c>
      <c r="P57" s="13">
        <v>43571</v>
      </c>
      <c r="Q57" s="14">
        <v>7653.0690000000004</v>
      </c>
      <c r="R57" s="15">
        <v>4.7800000000000004E-3</v>
      </c>
      <c r="S57" s="17" t="str">
        <f t="shared" si="0"/>
        <v>BASELINE</v>
      </c>
      <c r="T57" s="16">
        <f t="shared" si="1"/>
        <v>8.5100000000000002E-3</v>
      </c>
      <c r="U57" s="16">
        <f>G57*Assumptions!$B$6</f>
        <v>9.6163000000000012E-2</v>
      </c>
      <c r="V57" s="16">
        <f>T57*Assumptions!$B$6</f>
        <v>9.6163000000000012E-2</v>
      </c>
      <c r="W57" s="16">
        <f t="shared" si="2"/>
        <v>0</v>
      </c>
      <c r="X57" s="18">
        <f t="shared" si="6"/>
        <v>35.590972094009544</v>
      </c>
      <c r="Y57" s="18">
        <f t="shared" si="7"/>
        <v>309.63941597683379</v>
      </c>
      <c r="Z57" s="19">
        <f t="shared" si="3"/>
        <v>-0.88505671352683235</v>
      </c>
      <c r="AA57" s="18">
        <f t="shared" si="8"/>
        <v>332.50044176107951</v>
      </c>
      <c r="AB57" s="18">
        <f t="shared" si="9"/>
        <v>332.50044176107951</v>
      </c>
      <c r="AC57" s="19">
        <f t="shared" si="4"/>
        <v>0</v>
      </c>
      <c r="AD57" s="20">
        <f t="shared" si="5"/>
        <v>296.90946966706997</v>
      </c>
      <c r="AE57" s="9" t="s">
        <v>91</v>
      </c>
    </row>
    <row r="58" spans="1:31" ht="18" customHeight="1">
      <c r="A58" s="4">
        <v>54</v>
      </c>
      <c r="B58" s="13">
        <v>43577</v>
      </c>
      <c r="C58" s="13">
        <v>43577</v>
      </c>
      <c r="D58" s="4" t="s">
        <v>90</v>
      </c>
      <c r="E58" s="14">
        <v>7654.7690000000002</v>
      </c>
      <c r="F58" s="14">
        <v>7713.37</v>
      </c>
      <c r="G58" s="15">
        <v>7.6499999999999997E-3</v>
      </c>
      <c r="H58" s="16">
        <f t="shared" si="10"/>
        <v>1.7100000000000001E-2</v>
      </c>
      <c r="I58" s="17" t="b">
        <f>AND(A58&gt;2,H58&lt;=Assumptions!$B$7)</f>
        <v>0</v>
      </c>
      <c r="J58" s="15">
        <v>-4.5386863155375545E-3</v>
      </c>
      <c r="K58" s="15">
        <v>2.6406514442665285E-2</v>
      </c>
      <c r="L58" s="15">
        <v>5.2409213806274835E-3</v>
      </c>
      <c r="M58" s="17" t="b">
        <f>J58&gt;=Assumptions!$B$8</f>
        <v>0</v>
      </c>
      <c r="N58" s="17" t="b">
        <f>AND(K58&lt;&gt;"",K58&lt;=Assumptions!$B$9)</f>
        <v>0</v>
      </c>
      <c r="O58" s="17" t="b">
        <f>AND(P58&lt;&gt;"",ABS(L58)&lt;=Assumptions!$B$10)</f>
        <v>0</v>
      </c>
      <c r="P58" s="13">
        <v>43578</v>
      </c>
      <c r="Q58" s="14">
        <v>7729.66</v>
      </c>
      <c r="R58" s="15">
        <v>-2.0999999999999999E-3</v>
      </c>
      <c r="S58" s="17" t="str">
        <f t="shared" si="0"/>
        <v>BASELINE</v>
      </c>
      <c r="T58" s="16">
        <f t="shared" si="1"/>
        <v>7.6499999999999997E-3</v>
      </c>
      <c r="U58" s="16">
        <f>G58*Assumptions!$B$6</f>
        <v>8.6445000000000008E-2</v>
      </c>
      <c r="V58" s="16">
        <f>T58*Assumptions!$B$6</f>
        <v>8.6445000000000008E-2</v>
      </c>
      <c r="W58" s="16">
        <f t="shared" si="2"/>
        <v>0</v>
      </c>
      <c r="X58" s="18">
        <f t="shared" si="6"/>
        <v>38.667633676676203</v>
      </c>
      <c r="Y58" s="18">
        <f t="shared" si="7"/>
        <v>309.63941597683379</v>
      </c>
      <c r="Z58" s="19">
        <f t="shared" si="3"/>
        <v>-0.8751204411276593</v>
      </c>
      <c r="AA58" s="18">
        <f t="shared" si="8"/>
        <v>361.24344244911606</v>
      </c>
      <c r="AB58" s="18">
        <f t="shared" si="9"/>
        <v>361.24344244911606</v>
      </c>
      <c r="AC58" s="19">
        <f t="shared" si="4"/>
        <v>0</v>
      </c>
      <c r="AD58" s="20">
        <f t="shared" si="5"/>
        <v>322.57580877243987</v>
      </c>
      <c r="AE58" s="9" t="s">
        <v>91</v>
      </c>
    </row>
    <row r="59" spans="1:31" ht="18" customHeight="1">
      <c r="A59" s="4">
        <v>55</v>
      </c>
      <c r="B59" s="13">
        <v>43584</v>
      </c>
      <c r="C59" s="13">
        <v>43586</v>
      </c>
      <c r="D59" s="4" t="s">
        <v>99</v>
      </c>
      <c r="E59" s="14">
        <v>7821.86</v>
      </c>
      <c r="F59" s="14">
        <v>7830.9690000000001</v>
      </c>
      <c r="G59" s="15">
        <v>1.16E-3</v>
      </c>
      <c r="H59" s="16">
        <f t="shared" si="10"/>
        <v>1.6160000000000001E-2</v>
      </c>
      <c r="I59" s="17" t="b">
        <f>AND(A59&gt;2,H59&lt;=Assumptions!$B$7)</f>
        <v>0</v>
      </c>
      <c r="J59" s="15">
        <v>-6.4010262084335245E-4</v>
      </c>
      <c r="K59" s="15">
        <v>6.9211380026606317E-2</v>
      </c>
      <c r="L59" s="15">
        <v>-6.1009549795361107E-3</v>
      </c>
      <c r="M59" s="17" t="b">
        <f>J59&gt;=Assumptions!$B$8</f>
        <v>0</v>
      </c>
      <c r="N59" s="17" t="b">
        <f>AND(K59&lt;&gt;"",K59&lt;=Assumptions!$B$9)</f>
        <v>0</v>
      </c>
      <c r="O59" s="17" t="b">
        <f>AND(P59&lt;&gt;"",ABS(L59)&lt;=Assumptions!$B$10)</f>
        <v>0</v>
      </c>
      <c r="P59" s="13">
        <v>43585</v>
      </c>
      <c r="Q59" s="14">
        <v>7774.76</v>
      </c>
      <c r="R59" s="15">
        <v>7.2199999999999999E-3</v>
      </c>
      <c r="S59" s="17" t="str">
        <f t="shared" si="0"/>
        <v>BASELINE</v>
      </c>
      <c r="T59" s="16">
        <f t="shared" si="1"/>
        <v>1.16E-3</v>
      </c>
      <c r="U59" s="16">
        <f>G59*Assumptions!$B$6</f>
        <v>1.3108000000000002E-2</v>
      </c>
      <c r="V59" s="16">
        <f>T59*Assumptions!$B$6</f>
        <v>1.3108000000000002E-2</v>
      </c>
      <c r="W59" s="16">
        <f t="shared" si="2"/>
        <v>0</v>
      </c>
      <c r="X59" s="18">
        <f t="shared" si="6"/>
        <v>39.174489018910073</v>
      </c>
      <c r="Y59" s="18">
        <f t="shared" si="7"/>
        <v>309.63941597683379</v>
      </c>
      <c r="Z59" s="19">
        <f t="shared" si="3"/>
        <v>-0.87348351986996065</v>
      </c>
      <c r="AA59" s="18">
        <f t="shared" si="8"/>
        <v>365.97862149273902</v>
      </c>
      <c r="AB59" s="18">
        <f t="shared" si="9"/>
        <v>365.97862149273902</v>
      </c>
      <c r="AC59" s="19">
        <f t="shared" si="4"/>
        <v>0</v>
      </c>
      <c r="AD59" s="20">
        <f t="shared" si="5"/>
        <v>326.80413247382893</v>
      </c>
      <c r="AE59" s="9" t="s">
        <v>91</v>
      </c>
    </row>
    <row r="60" spans="1:31" ht="18" customHeight="1">
      <c r="A60" s="4">
        <v>56</v>
      </c>
      <c r="B60" s="13">
        <v>43591</v>
      </c>
      <c r="C60" s="13">
        <v>43591</v>
      </c>
      <c r="D60" s="4" t="s">
        <v>90</v>
      </c>
      <c r="E60" s="14">
        <v>7673.57</v>
      </c>
      <c r="F60" s="14">
        <v>7796.46</v>
      </c>
      <c r="G60" s="15">
        <v>1.601E-2</v>
      </c>
      <c r="H60" s="16">
        <f t="shared" si="10"/>
        <v>8.8100000000000001E-3</v>
      </c>
      <c r="I60" s="17" t="b">
        <f>AND(A60&gt;2,H60&lt;=Assumptions!$B$7)</f>
        <v>0</v>
      </c>
      <c r="J60" s="15">
        <v>-2.1810987587750685E-2</v>
      </c>
      <c r="K60" s="15">
        <v>4.036519542599537E-2</v>
      </c>
      <c r="L60" s="15">
        <v>-1.7006913822200431E-2</v>
      </c>
      <c r="M60" s="17" t="b">
        <f>J60&gt;=Assumptions!$B$8</f>
        <v>0</v>
      </c>
      <c r="N60" s="17" t="b">
        <f>AND(K60&lt;&gt;"",K60&lt;=Assumptions!$B$9)</f>
        <v>0</v>
      </c>
      <c r="O60" s="17" t="b">
        <f>AND(P60&lt;&gt;"",ABS(L60)&lt;=Assumptions!$B$10)</f>
        <v>0</v>
      </c>
      <c r="P60" s="13">
        <v>43592</v>
      </c>
      <c r="Q60" s="14">
        <v>7706.1689999999999</v>
      </c>
      <c r="R60" s="15">
        <v>1.171E-2</v>
      </c>
      <c r="S60" s="17" t="str">
        <f t="shared" si="0"/>
        <v>BASELINE</v>
      </c>
      <c r="T60" s="16">
        <f t="shared" si="1"/>
        <v>1.601E-2</v>
      </c>
      <c r="U60" s="16">
        <f>G60*Assumptions!$B$6</f>
        <v>0.18091300000000002</v>
      </c>
      <c r="V60" s="16">
        <f>T60*Assumptions!$B$6</f>
        <v>0.18091300000000002</v>
      </c>
      <c r="W60" s="16">
        <f t="shared" si="2"/>
        <v>0</v>
      </c>
      <c r="X60" s="18">
        <f t="shared" si="6"/>
        <v>46.261663350788155</v>
      </c>
      <c r="Y60" s="18">
        <f t="shared" si="7"/>
        <v>309.63941597683379</v>
      </c>
      <c r="Z60" s="19">
        <f t="shared" si="3"/>
        <v>-0.8505950439001948</v>
      </c>
      <c r="AA60" s="18">
        <f t="shared" si="8"/>
        <v>432.18891184285496</v>
      </c>
      <c r="AB60" s="18">
        <f t="shared" si="9"/>
        <v>432.18891184285496</v>
      </c>
      <c r="AC60" s="19">
        <f t="shared" si="4"/>
        <v>0</v>
      </c>
      <c r="AD60" s="20">
        <f t="shared" si="5"/>
        <v>385.92724849206684</v>
      </c>
      <c r="AE60" s="9" t="s">
        <v>91</v>
      </c>
    </row>
    <row r="61" spans="1:31" ht="18" customHeight="1">
      <c r="A61" s="4">
        <v>57</v>
      </c>
      <c r="B61" s="13">
        <v>43598</v>
      </c>
      <c r="C61" s="13">
        <v>43602</v>
      </c>
      <c r="D61" s="4" t="s">
        <v>93</v>
      </c>
      <c r="E61" s="14">
        <v>7392.66</v>
      </c>
      <c r="F61" s="14">
        <v>7496.5690000000004</v>
      </c>
      <c r="G61" s="15">
        <v>1.405E-2</v>
      </c>
      <c r="H61" s="16">
        <f t="shared" si="10"/>
        <v>1.7170000000000001E-2</v>
      </c>
      <c r="I61" s="17" t="b">
        <f>AND(A61&gt;2,H61&lt;=Assumptions!$B$7)</f>
        <v>0</v>
      </c>
      <c r="J61" s="15">
        <v>-2.5829295515551465E-2</v>
      </c>
      <c r="K61" s="15">
        <v>-1.6867483427696062E-4</v>
      </c>
      <c r="L61" s="15">
        <v>-2.9708649417692357E-2</v>
      </c>
      <c r="M61" s="17" t="b">
        <f>J61&gt;=Assumptions!$B$8</f>
        <v>0</v>
      </c>
      <c r="N61" s="17" t="b">
        <f>AND(K61&lt;&gt;"",K61&lt;=Assumptions!$B$9)</f>
        <v>0</v>
      </c>
      <c r="O61" s="17" t="b">
        <f>AND(P61&lt;&gt;"",ABS(L61)&lt;=Assumptions!$B$10)</f>
        <v>0</v>
      </c>
      <c r="P61" s="13">
        <v>43599</v>
      </c>
      <c r="Q61" s="14">
        <v>7362.76</v>
      </c>
      <c r="R61" s="15">
        <v>1.8169999999999999E-2</v>
      </c>
      <c r="S61" s="17" t="str">
        <f t="shared" si="0"/>
        <v>BASELINE</v>
      </c>
      <c r="T61" s="16">
        <f t="shared" si="1"/>
        <v>1.405E-2</v>
      </c>
      <c r="U61" s="16">
        <f>G61*Assumptions!$B$6</f>
        <v>0.15876500000000002</v>
      </c>
      <c r="V61" s="16">
        <f>T61*Assumptions!$B$6</f>
        <v>0.15876500000000002</v>
      </c>
      <c r="W61" s="16">
        <f t="shared" si="2"/>
        <v>0</v>
      </c>
      <c r="X61" s="18">
        <f t="shared" si="6"/>
        <v>53.606396332676034</v>
      </c>
      <c r="Y61" s="18">
        <f t="shared" si="7"/>
        <v>309.63941597683379</v>
      </c>
      <c r="Z61" s="19">
        <f t="shared" si="3"/>
        <v>-0.82687476604500931</v>
      </c>
      <c r="AA61" s="18">
        <f t="shared" si="8"/>
        <v>500.80538443158588</v>
      </c>
      <c r="AB61" s="18">
        <f t="shared" si="9"/>
        <v>500.80538443158588</v>
      </c>
      <c r="AC61" s="19">
        <f t="shared" si="4"/>
        <v>0</v>
      </c>
      <c r="AD61" s="20">
        <f t="shared" si="5"/>
        <v>447.19898809890987</v>
      </c>
      <c r="AE61" s="9" t="s">
        <v>91</v>
      </c>
    </row>
    <row r="62" spans="1:31" ht="18" customHeight="1">
      <c r="A62" s="4">
        <v>58</v>
      </c>
      <c r="B62" s="13">
        <v>43605</v>
      </c>
      <c r="C62" s="13">
        <v>43608</v>
      </c>
      <c r="D62" s="4" t="s">
        <v>92</v>
      </c>
      <c r="E62" s="14">
        <v>7396.16</v>
      </c>
      <c r="F62" s="14">
        <v>7365.5690000000004</v>
      </c>
      <c r="G62" s="15">
        <v>-4.13E-3</v>
      </c>
      <c r="H62" s="16">
        <f t="shared" si="10"/>
        <v>3.006E-2</v>
      </c>
      <c r="I62" s="17" t="b">
        <f>AND(A62&gt;2,H62&lt;=Assumptions!$B$7)</f>
        <v>0</v>
      </c>
      <c r="J62" s="15">
        <v>-1.3393993972442675E-2</v>
      </c>
      <c r="K62" s="15">
        <v>-2.3228829509052251E-2</v>
      </c>
      <c r="L62" s="15">
        <v>-8.360947384575157E-3</v>
      </c>
      <c r="M62" s="17" t="b">
        <f>J62&gt;=Assumptions!$B$8</f>
        <v>0</v>
      </c>
      <c r="N62" s="17" t="b">
        <f>AND(K62&lt;&gt;"",K62&lt;=Assumptions!$B$9)</f>
        <v>1</v>
      </c>
      <c r="O62" s="17" t="b">
        <f>AND(P62&lt;&gt;"",ABS(L62)&lt;=Assumptions!$B$10)</f>
        <v>0</v>
      </c>
      <c r="P62" s="13">
        <v>43606</v>
      </c>
      <c r="Q62" s="14">
        <v>7437.7690000000002</v>
      </c>
      <c r="R62" s="15">
        <v>-9.7000000000000003E-3</v>
      </c>
      <c r="S62" s="17" t="str">
        <f t="shared" si="0"/>
        <v>BASELINE</v>
      </c>
      <c r="T62" s="16">
        <f t="shared" si="1"/>
        <v>-4.13E-3</v>
      </c>
      <c r="U62" s="16">
        <f>G62*Assumptions!$B$6</f>
        <v>-4.6669000000000002E-2</v>
      </c>
      <c r="V62" s="16">
        <f>T62*Assumptions!$B$6</f>
        <v>-4.6669000000000002E-2</v>
      </c>
      <c r="W62" s="16">
        <f t="shared" si="2"/>
        <v>0</v>
      </c>
      <c r="X62" s="18">
        <f t="shared" si="6"/>
        <v>51.104639422226377</v>
      </c>
      <c r="Y62" s="18">
        <f t="shared" si="7"/>
        <v>309.63941597683379</v>
      </c>
      <c r="Z62" s="19">
        <f t="shared" si="3"/>
        <v>-0.83495434758845477</v>
      </c>
      <c r="AA62" s="18">
        <f t="shared" si="8"/>
        <v>477.43329794554819</v>
      </c>
      <c r="AB62" s="18">
        <f t="shared" si="9"/>
        <v>500.80538443158588</v>
      </c>
      <c r="AC62" s="19">
        <f t="shared" si="4"/>
        <v>-4.6668999999999961E-2</v>
      </c>
      <c r="AD62" s="20">
        <f t="shared" si="5"/>
        <v>426.32865852332179</v>
      </c>
      <c r="AE62" s="9" t="s">
        <v>91</v>
      </c>
    </row>
    <row r="63" spans="1:31" ht="18" customHeight="1">
      <c r="A63" s="4">
        <v>59</v>
      </c>
      <c r="B63" s="13">
        <v>43613</v>
      </c>
      <c r="C63" s="13">
        <v>43615</v>
      </c>
      <c r="D63" s="4" t="s">
        <v>92</v>
      </c>
      <c r="E63" s="14">
        <v>7319.16</v>
      </c>
      <c r="F63" s="14">
        <v>7203.1689999999999</v>
      </c>
      <c r="G63" s="15">
        <v>-1.584E-2</v>
      </c>
      <c r="H63" s="16">
        <f t="shared" si="10"/>
        <v>9.92E-3</v>
      </c>
      <c r="I63" s="17" t="b">
        <f>AND(A63&gt;2,H63&lt;=Assumptions!$B$7)</f>
        <v>0</v>
      </c>
      <c r="J63" s="15">
        <v>3.0974874594997814E-3</v>
      </c>
      <c r="K63" s="15">
        <v>-6.5473396998635747E-2</v>
      </c>
      <c r="L63" s="15"/>
      <c r="M63" s="17" t="b">
        <f>J63&gt;=Assumptions!$B$8</f>
        <v>0</v>
      </c>
      <c r="N63" s="17" t="b">
        <f>AND(K63&lt;&gt;"",K63&lt;=Assumptions!$B$9)</f>
        <v>1</v>
      </c>
      <c r="O63" s="17" t="b">
        <f>AND(P63&lt;&gt;"",ABS(L63)&lt;=Assumptions!$B$10)</f>
        <v>0</v>
      </c>
      <c r="P63" s="13"/>
      <c r="Q63" s="14"/>
      <c r="R63" s="15"/>
      <c r="S63" s="17" t="str">
        <f t="shared" si="0"/>
        <v>BASELINE</v>
      </c>
      <c r="T63" s="16">
        <f t="shared" si="1"/>
        <v>-1.584E-2</v>
      </c>
      <c r="U63" s="16">
        <f>G63*Assumptions!$B$6</f>
        <v>-0.17899200000000001</v>
      </c>
      <c r="V63" s="16">
        <f>T63*Assumptions!$B$6</f>
        <v>-0.17899200000000001</v>
      </c>
      <c r="W63" s="16">
        <f t="shared" si="2"/>
        <v>0</v>
      </c>
      <c r="X63" s="18">
        <f t="shared" si="6"/>
        <v>41.957317802763228</v>
      </c>
      <c r="Y63" s="18">
        <f t="shared" si="7"/>
        <v>309.63941597683379</v>
      </c>
      <c r="Z63" s="19">
        <f t="shared" si="3"/>
        <v>-0.86449619900490204</v>
      </c>
      <c r="AA63" s="18">
        <f t="shared" si="8"/>
        <v>391.97655707967863</v>
      </c>
      <c r="AB63" s="18">
        <f t="shared" si="9"/>
        <v>500.80538443158588</v>
      </c>
      <c r="AC63" s="19">
        <f t="shared" si="4"/>
        <v>-0.21730762235199996</v>
      </c>
      <c r="AD63" s="20">
        <f t="shared" si="5"/>
        <v>350.01923927691541</v>
      </c>
      <c r="AE63" s="9" t="s">
        <v>91</v>
      </c>
    </row>
    <row r="64" spans="1:31" ht="18" customHeight="1">
      <c r="A64" s="4">
        <v>60</v>
      </c>
      <c r="B64" s="13">
        <v>43619</v>
      </c>
      <c r="C64" s="13">
        <v>43623</v>
      </c>
      <c r="D64" s="4" t="s">
        <v>93</v>
      </c>
      <c r="E64" s="14">
        <v>7108.26</v>
      </c>
      <c r="F64" s="14">
        <v>7408.3689999999997</v>
      </c>
      <c r="G64" s="15">
        <v>4.2209999999999998E-2</v>
      </c>
      <c r="H64" s="16">
        <f t="shared" si="10"/>
        <v>-1.9970000000000002E-2</v>
      </c>
      <c r="I64" s="17" t="b">
        <f>AND(A64&gt;2,H64&lt;=Assumptions!$B$7)</f>
        <v>0</v>
      </c>
      <c r="J64" s="15">
        <v>-3.226634246074056E-3</v>
      </c>
      <c r="K64" s="15">
        <v>-7.5311933100305262E-2</v>
      </c>
      <c r="L64" s="15">
        <v>-1.1358266892356639E-2</v>
      </c>
      <c r="M64" s="17" t="b">
        <f>J64&gt;=Assumptions!$B$8</f>
        <v>0</v>
      </c>
      <c r="N64" s="17" t="b">
        <f>AND(K64&lt;&gt;"",K64&lt;=Assumptions!$B$9)</f>
        <v>1</v>
      </c>
      <c r="O64" s="17" t="b">
        <f>AND(P64&lt;&gt;"",ABS(L64)&lt;=Assumptions!$B$10)</f>
        <v>0</v>
      </c>
      <c r="P64" s="13">
        <v>43620</v>
      </c>
      <c r="Q64" s="14">
        <v>7046.26</v>
      </c>
      <c r="R64" s="15">
        <v>5.1389999999999998E-2</v>
      </c>
      <c r="S64" s="17" t="str">
        <f t="shared" si="0"/>
        <v>BASELINE</v>
      </c>
      <c r="T64" s="16">
        <f t="shared" si="1"/>
        <v>4.2209999999999998E-2</v>
      </c>
      <c r="U64" s="16">
        <f>G64*Assumptions!$B$6</f>
        <v>0.47697299999999998</v>
      </c>
      <c r="V64" s="16">
        <f>T64*Assumptions!$B$6</f>
        <v>0.47697299999999998</v>
      </c>
      <c r="W64" s="16">
        <f t="shared" si="2"/>
        <v>0</v>
      </c>
      <c r="X64" s="18">
        <f t="shared" si="6"/>
        <v>61.969825547100619</v>
      </c>
      <c r="Y64" s="18">
        <f t="shared" si="7"/>
        <v>309.63941597683379</v>
      </c>
      <c r="Z64" s="19">
        <f t="shared" si="3"/>
        <v>-0.79986454453286726</v>
      </c>
      <c r="AA64" s="18">
        <f t="shared" si="8"/>
        <v>578.93879143964421</v>
      </c>
      <c r="AB64" s="18">
        <f t="shared" si="9"/>
        <v>578.93879143964421</v>
      </c>
      <c r="AC64" s="19">
        <f t="shared" si="4"/>
        <v>0</v>
      </c>
      <c r="AD64" s="20">
        <f t="shared" si="5"/>
        <v>516.96896589254357</v>
      </c>
      <c r="AE64" s="9" t="s">
        <v>91</v>
      </c>
    </row>
    <row r="65" spans="1:31" ht="18" customHeight="1">
      <c r="A65" s="4">
        <v>61</v>
      </c>
      <c r="B65" s="13">
        <v>43626</v>
      </c>
      <c r="C65" s="13">
        <v>43629</v>
      </c>
      <c r="D65" s="4" t="s">
        <v>92</v>
      </c>
      <c r="E65" s="14">
        <v>7462.47</v>
      </c>
      <c r="F65" s="14">
        <v>7426.3689999999997</v>
      </c>
      <c r="G65" s="15">
        <v>-4.8300000000000001E-3</v>
      </c>
      <c r="H65" s="16">
        <f t="shared" si="10"/>
        <v>2.6369999999999998E-2</v>
      </c>
      <c r="I65" s="17" t="b">
        <f>AND(A65&gt;2,H65&lt;=Assumptions!$B$7)</f>
        <v>0</v>
      </c>
      <c r="J65" s="15">
        <v>7.3026870016870138E-3</v>
      </c>
      <c r="K65" s="15">
        <v>-2.0213394893161762E-2</v>
      </c>
      <c r="L65" s="15">
        <v>2.2302675056747878E-2</v>
      </c>
      <c r="M65" s="17" t="b">
        <f>J65&gt;=Assumptions!$B$8</f>
        <v>0</v>
      </c>
      <c r="N65" s="17" t="b">
        <f>AND(K65&lt;&gt;"",K65&lt;=Assumptions!$B$9)</f>
        <v>1</v>
      </c>
      <c r="O65" s="17" t="b">
        <f>AND(P65&lt;&gt;"",ABS(L65)&lt;=Assumptions!$B$10)</f>
        <v>0</v>
      </c>
      <c r="P65" s="13">
        <v>43627</v>
      </c>
      <c r="Q65" s="14">
        <v>7581.9690000000001</v>
      </c>
      <c r="R65" s="15">
        <v>-2.052E-2</v>
      </c>
      <c r="S65" s="17" t="str">
        <f t="shared" si="0"/>
        <v>BASELINE</v>
      </c>
      <c r="T65" s="16">
        <f t="shared" si="1"/>
        <v>-4.8300000000000001E-3</v>
      </c>
      <c r="U65" s="16">
        <f>G65*Assumptions!$B$6</f>
        <v>-5.4579000000000003E-2</v>
      </c>
      <c r="V65" s="16">
        <f>T65*Assumptions!$B$6</f>
        <v>-5.4579000000000003E-2</v>
      </c>
      <c r="W65" s="16">
        <f t="shared" si="2"/>
        <v>0</v>
      </c>
      <c r="X65" s="18">
        <f t="shared" si="6"/>
        <v>58.587574438565412</v>
      </c>
      <c r="Y65" s="18">
        <f t="shared" si="7"/>
        <v>309.63941597683379</v>
      </c>
      <c r="Z65" s="19">
        <f t="shared" si="3"/>
        <v>-0.81078773755680789</v>
      </c>
      <c r="AA65" s="18">
        <f t="shared" si="8"/>
        <v>547.34089114165988</v>
      </c>
      <c r="AB65" s="18">
        <f t="shared" si="9"/>
        <v>578.93879143964421</v>
      </c>
      <c r="AC65" s="19">
        <f t="shared" si="4"/>
        <v>-5.4578999999999933E-2</v>
      </c>
      <c r="AD65" s="20">
        <f t="shared" si="5"/>
        <v>488.75331670309447</v>
      </c>
      <c r="AE65" s="9" t="s">
        <v>91</v>
      </c>
    </row>
    <row r="66" spans="1:31" ht="18" customHeight="1">
      <c r="A66" s="4">
        <v>62</v>
      </c>
      <c r="B66" s="13">
        <v>43633</v>
      </c>
      <c r="C66" s="13">
        <v>43637</v>
      </c>
      <c r="D66" s="4" t="s">
        <v>93</v>
      </c>
      <c r="E66" s="14">
        <v>7493.9589999999998</v>
      </c>
      <c r="F66" s="14">
        <v>7734.86</v>
      </c>
      <c r="G66" s="15">
        <v>3.2140000000000002E-2</v>
      </c>
      <c r="H66" s="16">
        <f t="shared" si="10"/>
        <v>3.7379999999999997E-2</v>
      </c>
      <c r="I66" s="17" t="b">
        <f>AND(A66&gt;2,H66&lt;=Assumptions!$B$7)</f>
        <v>0</v>
      </c>
      <c r="J66" s="15">
        <v>2.1796925776245146E-3</v>
      </c>
      <c r="K66" s="15">
        <v>-1.2387628123628702E-2</v>
      </c>
      <c r="L66" s="15">
        <v>1.7800587846612981E-2</v>
      </c>
      <c r="M66" s="17" t="b">
        <f>J66&gt;=Assumptions!$B$8</f>
        <v>0</v>
      </c>
      <c r="N66" s="17" t="b">
        <f>AND(K66&lt;&gt;"",K66&lt;=Assumptions!$B$9)</f>
        <v>1</v>
      </c>
      <c r="O66" s="17" t="b">
        <f>AND(P66&lt;&gt;"",ABS(L66)&lt;=Assumptions!$B$10)</f>
        <v>0</v>
      </c>
      <c r="P66" s="13">
        <v>43634</v>
      </c>
      <c r="Q66" s="14">
        <v>7611.07</v>
      </c>
      <c r="R66" s="15">
        <v>1.626E-2</v>
      </c>
      <c r="S66" s="17" t="str">
        <f t="shared" si="0"/>
        <v>BASELINE</v>
      </c>
      <c r="T66" s="16">
        <f t="shared" si="1"/>
        <v>3.2140000000000002E-2</v>
      </c>
      <c r="U66" s="16">
        <f>G66*Assumptions!$B$6</f>
        <v>0.36318200000000006</v>
      </c>
      <c r="V66" s="16">
        <f>T66*Assumptions!$B$6</f>
        <v>0.36318200000000006</v>
      </c>
      <c r="W66" s="16">
        <f t="shared" si="2"/>
        <v>0</v>
      </c>
      <c r="X66" s="18">
        <f t="shared" si="6"/>
        <v>79.865526898312481</v>
      </c>
      <c r="Y66" s="18">
        <f t="shared" si="7"/>
        <v>309.63941597683379</v>
      </c>
      <c r="Z66" s="19">
        <f t="shared" si="3"/>
        <v>-0.74206924965816445</v>
      </c>
      <c r="AA66" s="18">
        <f t="shared" si="8"/>
        <v>746.12525066827027</v>
      </c>
      <c r="AB66" s="18">
        <f t="shared" si="9"/>
        <v>746.12525066827027</v>
      </c>
      <c r="AC66" s="19">
        <f t="shared" si="4"/>
        <v>0</v>
      </c>
      <c r="AD66" s="20">
        <f t="shared" si="5"/>
        <v>666.25972376995776</v>
      </c>
      <c r="AE66" s="9" t="s">
        <v>91</v>
      </c>
    </row>
    <row r="67" spans="1:31" ht="18" customHeight="1">
      <c r="A67" s="4">
        <v>63</v>
      </c>
      <c r="B67" s="13">
        <v>43640</v>
      </c>
      <c r="C67" s="13">
        <v>43643</v>
      </c>
      <c r="D67" s="4" t="s">
        <v>92</v>
      </c>
      <c r="E67" s="14">
        <v>7738.37</v>
      </c>
      <c r="F67" s="14">
        <v>7615.16</v>
      </c>
      <c r="G67" s="15">
        <v>-1.592E-2</v>
      </c>
      <c r="H67" s="16">
        <f t="shared" si="10"/>
        <v>2.7310000000000001E-2</v>
      </c>
      <c r="I67" s="17" t="b">
        <f>AND(A67&gt;2,H67&lt;=Assumptions!$B$7)</f>
        <v>0</v>
      </c>
      <c r="J67" s="15">
        <v>4.5378972599374734E-4</v>
      </c>
      <c r="K67" s="15">
        <v>5.7964501047691686E-2</v>
      </c>
      <c r="L67" s="15">
        <v>-4.9100739269558602E-4</v>
      </c>
      <c r="M67" s="17" t="b">
        <f>J67&gt;=Assumptions!$B$8</f>
        <v>0</v>
      </c>
      <c r="N67" s="17" t="b">
        <f>AND(K67&lt;&gt;"",K67&lt;=Assumptions!$B$9)</f>
        <v>0</v>
      </c>
      <c r="O67" s="17" t="b">
        <f>AND(P67&lt;&gt;"",ABS(L67)&lt;=Assumptions!$B$10)</f>
        <v>1</v>
      </c>
      <c r="P67" s="13">
        <v>43641</v>
      </c>
      <c r="Q67" s="14">
        <v>7718.259</v>
      </c>
      <c r="R67" s="15">
        <v>-1.3350000000000001E-2</v>
      </c>
      <c r="S67" s="17" t="str">
        <f t="shared" si="0"/>
        <v>BASELINE</v>
      </c>
      <c r="T67" s="16">
        <f t="shared" si="1"/>
        <v>-1.592E-2</v>
      </c>
      <c r="U67" s="16">
        <f>G67*Assumptions!$B$6</f>
        <v>-0.179896</v>
      </c>
      <c r="V67" s="16">
        <f>T67*Assumptions!$B$6</f>
        <v>-0.179896</v>
      </c>
      <c r="W67" s="16">
        <f t="shared" si="2"/>
        <v>0</v>
      </c>
      <c r="X67" s="18">
        <f t="shared" si="6"/>
        <v>65.49803807141366</v>
      </c>
      <c r="Y67" s="18">
        <f t="shared" si="7"/>
        <v>309.63941597683379</v>
      </c>
      <c r="Z67" s="19">
        <f t="shared" si="3"/>
        <v>-0.78846995992165936</v>
      </c>
      <c r="AA67" s="18">
        <f t="shared" si="8"/>
        <v>611.90030257405112</v>
      </c>
      <c r="AB67" s="18">
        <f t="shared" si="9"/>
        <v>746.12525066827027</v>
      </c>
      <c r="AC67" s="19">
        <f t="shared" si="4"/>
        <v>-0.17989599999999994</v>
      </c>
      <c r="AD67" s="20">
        <f t="shared" si="5"/>
        <v>546.40226450263742</v>
      </c>
      <c r="AE67" s="9" t="s">
        <v>91</v>
      </c>
    </row>
    <row r="68" spans="1:31" ht="18" customHeight="1">
      <c r="A68" s="4">
        <v>64</v>
      </c>
      <c r="B68" s="13">
        <v>43647</v>
      </c>
      <c r="C68" s="13">
        <v>43651</v>
      </c>
      <c r="D68" s="4" t="s">
        <v>97</v>
      </c>
      <c r="E68" s="14">
        <v>7811.0590000000002</v>
      </c>
      <c r="F68" s="14">
        <v>7779.8147639999997</v>
      </c>
      <c r="G68" s="15">
        <v>-4.0000000000000001E-3</v>
      </c>
      <c r="H68" s="16">
        <f t="shared" si="10"/>
        <v>1.6220000000000002E-2</v>
      </c>
      <c r="I68" s="17" t="b">
        <f>AND(A68&gt;2,H68&lt;=Assumptions!$B$7)</f>
        <v>0</v>
      </c>
      <c r="J68" s="15">
        <v>1.7758189204131192E-2</v>
      </c>
      <c r="K68" s="15">
        <v>7.6116537373423165E-2</v>
      </c>
      <c r="L68" s="15">
        <v>1.3005997209824649E-2</v>
      </c>
      <c r="M68" s="17" t="b">
        <f>J68&gt;=Assumptions!$B$8</f>
        <v>1</v>
      </c>
      <c r="N68" s="17" t="b">
        <f>AND(K68&lt;&gt;"",K68&lt;=Assumptions!$B$9)</f>
        <v>0</v>
      </c>
      <c r="O68" s="17" t="b">
        <f>AND(P68&lt;&gt;"",ABS(L68)&lt;=Assumptions!$B$10)</f>
        <v>0</v>
      </c>
      <c r="P68" s="13">
        <v>43648</v>
      </c>
      <c r="Q68" s="14">
        <v>7761.4690000000001</v>
      </c>
      <c r="R68" s="15">
        <v>2.3600000000000001E-3</v>
      </c>
      <c r="S68" s="17" t="str">
        <f t="shared" si="0"/>
        <v>BASELINE</v>
      </c>
      <c r="T68" s="16">
        <f t="shared" si="1"/>
        <v>-4.0000000000000001E-3</v>
      </c>
      <c r="U68" s="16">
        <f>G68*Assumptions!$B$6</f>
        <v>-4.5200000000000004E-2</v>
      </c>
      <c r="V68" s="16">
        <f>T68*Assumptions!$B$6</f>
        <v>-4.5200000000000004E-2</v>
      </c>
      <c r="W68" s="16">
        <f t="shared" si="2"/>
        <v>0</v>
      </c>
      <c r="X68" s="18">
        <f t="shared" si="6"/>
        <v>62.537526750585762</v>
      </c>
      <c r="Y68" s="18">
        <f t="shared" si="7"/>
        <v>309.63941597683379</v>
      </c>
      <c r="Z68" s="19">
        <f t="shared" si="3"/>
        <v>-0.79803111773320023</v>
      </c>
      <c r="AA68" s="18">
        <f t="shared" si="8"/>
        <v>584.24240889770397</v>
      </c>
      <c r="AB68" s="18">
        <f t="shared" si="9"/>
        <v>746.12525066827027</v>
      </c>
      <c r="AC68" s="19">
        <f t="shared" si="4"/>
        <v>-0.21696470080000008</v>
      </c>
      <c r="AD68" s="20">
        <f t="shared" si="5"/>
        <v>521.70488214711816</v>
      </c>
      <c r="AE68" s="9" t="s">
        <v>91</v>
      </c>
    </row>
    <row r="69" spans="1:31" ht="18" customHeight="1">
      <c r="A69" s="4">
        <v>65</v>
      </c>
      <c r="B69" s="13">
        <v>43654</v>
      </c>
      <c r="C69" s="13">
        <v>43658</v>
      </c>
      <c r="D69" s="4" t="s">
        <v>93</v>
      </c>
      <c r="E69" s="14">
        <v>7791.36</v>
      </c>
      <c r="F69" s="14">
        <v>7943.47</v>
      </c>
      <c r="G69" s="15">
        <v>1.9519999999999999E-2</v>
      </c>
      <c r="H69" s="16">
        <f t="shared" si="10"/>
        <v>-1.992E-2</v>
      </c>
      <c r="I69" s="17" t="b">
        <f>AND(A69&gt;2,H69&lt;=Assumptions!$B$7)</f>
        <v>0</v>
      </c>
      <c r="J69" s="15">
        <v>-6.4017873994460794E-3</v>
      </c>
      <c r="K69" s="15">
        <v>7.8039608484017808E-2</v>
      </c>
      <c r="L69" s="15">
        <v>-1.1828693138597357E-2</v>
      </c>
      <c r="M69" s="17" t="b">
        <f>J69&gt;=Assumptions!$B$8</f>
        <v>0</v>
      </c>
      <c r="N69" s="17" t="b">
        <f>AND(K69&lt;&gt;"",K69&lt;=Assumptions!$B$9)</f>
        <v>0</v>
      </c>
      <c r="O69" s="17" t="b">
        <f>AND(P69&lt;&gt;"",ABS(L69)&lt;=Assumptions!$B$10)</f>
        <v>0</v>
      </c>
      <c r="P69" s="13">
        <v>43655</v>
      </c>
      <c r="Q69" s="14">
        <v>7747.37</v>
      </c>
      <c r="R69" s="15">
        <v>2.5309999999999999E-2</v>
      </c>
      <c r="S69" s="17" t="str">
        <f t="shared" ref="S69:S132" si="11">IF(I69,"DAMAGE SKIP",IF(AND(M69,N69),IF(O69,"TUESDAY RE-ENTRY","GAP/MOM SKIP"),"BASELINE"))</f>
        <v>BASELINE</v>
      </c>
      <c r="T69" s="16">
        <f t="shared" ref="T69:T132" si="12">IF(I69,0,IF(AND(M69,N69),IF(O69,R69,0),G69))</f>
        <v>1.9519999999999999E-2</v>
      </c>
      <c r="U69" s="16">
        <f>G69*Assumptions!$B$6</f>
        <v>0.22057599999999999</v>
      </c>
      <c r="V69" s="16">
        <f>T69*Assumptions!$B$6</f>
        <v>0.22057599999999999</v>
      </c>
      <c r="W69" s="16">
        <f t="shared" ref="W69:W132" si="13">V69-U69</f>
        <v>0</v>
      </c>
      <c r="X69" s="18">
        <f t="shared" si="6"/>
        <v>76.331804251122961</v>
      </c>
      <c r="Y69" s="18">
        <f t="shared" si="7"/>
        <v>309.63941597683379</v>
      </c>
      <c r="Z69" s="19">
        <f t="shared" ref="Z69:Z132" si="14">X69/Y69-1</f>
        <v>-0.75348162955831866</v>
      </c>
      <c r="AA69" s="18">
        <f t="shared" si="8"/>
        <v>713.11226248272385</v>
      </c>
      <c r="AB69" s="18">
        <f t="shared" si="9"/>
        <v>746.12525066827027</v>
      </c>
      <c r="AC69" s="19">
        <f t="shared" ref="AC69:AC132" si="15">AA69/AB69-1</f>
        <v>-4.4245906643661015E-2</v>
      </c>
      <c r="AD69" s="20">
        <f t="shared" ref="AD69:AD132" si="16">AA69-X69</f>
        <v>636.78045823160085</v>
      </c>
      <c r="AE69" s="9" t="s">
        <v>91</v>
      </c>
    </row>
    <row r="70" spans="1:31" ht="18" customHeight="1">
      <c r="A70" s="4">
        <v>66</v>
      </c>
      <c r="B70" s="13">
        <v>43661</v>
      </c>
      <c r="C70" s="13">
        <v>43663</v>
      </c>
      <c r="D70" s="4" t="s">
        <v>99</v>
      </c>
      <c r="E70" s="14">
        <v>7959.77</v>
      </c>
      <c r="F70" s="14">
        <v>7928.9589999999998</v>
      </c>
      <c r="G70" s="15">
        <v>-3.8700000000000002E-3</v>
      </c>
      <c r="H70" s="16">
        <f t="shared" si="10"/>
        <v>1.5519999999999999E-2</v>
      </c>
      <c r="I70" s="17" t="b">
        <f>AND(A70&gt;2,H70&lt;=Assumptions!$B$7)</f>
        <v>0</v>
      </c>
      <c r="J70" s="15">
        <v>2.0519999446086956E-3</v>
      </c>
      <c r="K70" s="15">
        <v>5.7609620511656967E-2</v>
      </c>
      <c r="L70" s="15">
        <v>1.6787702605578492E-3</v>
      </c>
      <c r="M70" s="17" t="b">
        <f>J70&gt;=Assumptions!$B$8</f>
        <v>0</v>
      </c>
      <c r="N70" s="17" t="b">
        <f>AND(K70&lt;&gt;"",K70&lt;=Assumptions!$B$9)</f>
        <v>0</v>
      </c>
      <c r="O70" s="17" t="b">
        <f>AND(P70&lt;&gt;"",ABS(L70)&lt;=Assumptions!$B$10)</f>
        <v>1</v>
      </c>
      <c r="P70" s="13">
        <v>43662</v>
      </c>
      <c r="Q70" s="14">
        <v>7954.3590000000004</v>
      </c>
      <c r="R70" s="15">
        <v>-3.1900000000000001E-3</v>
      </c>
      <c r="S70" s="17" t="str">
        <f t="shared" si="11"/>
        <v>BASELINE</v>
      </c>
      <c r="T70" s="16">
        <f t="shared" si="12"/>
        <v>-3.8700000000000002E-3</v>
      </c>
      <c r="U70" s="16">
        <f>G70*Assumptions!$B$6</f>
        <v>-4.3731000000000006E-2</v>
      </c>
      <c r="V70" s="16">
        <f>T70*Assumptions!$B$6</f>
        <v>-4.3731000000000006E-2</v>
      </c>
      <c r="W70" s="16">
        <f t="shared" si="13"/>
        <v>0</v>
      </c>
      <c r="X70" s="18">
        <f t="shared" ref="X70:X133" si="17">X69*(1+U70)</f>
        <v>72.993738119417102</v>
      </c>
      <c r="Y70" s="18">
        <f t="shared" ref="Y70:Y133" si="18">MAX(Y69,X70)</f>
        <v>309.63941597683379</v>
      </c>
      <c r="Z70" s="19">
        <f t="shared" si="14"/>
        <v>-0.76426212441610386</v>
      </c>
      <c r="AA70" s="18">
        <f t="shared" ref="AA70:AA133" si="19">AA69*(1+V70)</f>
        <v>681.92715013209192</v>
      </c>
      <c r="AB70" s="18">
        <f t="shared" ref="AB70:AB133" si="20">MAX(AB69,AA70)</f>
        <v>746.12525066827027</v>
      </c>
      <c r="AC70" s="19">
        <f t="shared" si="15"/>
        <v>-8.6041988900226962E-2</v>
      </c>
      <c r="AD70" s="20">
        <f t="shared" si="16"/>
        <v>608.93341201267481</v>
      </c>
      <c r="AE70" s="9" t="s">
        <v>91</v>
      </c>
    </row>
    <row r="71" spans="1:31" ht="18" customHeight="1">
      <c r="A71" s="4">
        <v>67</v>
      </c>
      <c r="B71" s="13">
        <v>43668</v>
      </c>
      <c r="C71" s="13">
        <v>43672</v>
      </c>
      <c r="D71" s="4" t="s">
        <v>93</v>
      </c>
      <c r="E71" s="14">
        <v>7859.96</v>
      </c>
      <c r="F71" s="14">
        <v>8013.259</v>
      </c>
      <c r="G71" s="15">
        <v>1.95E-2</v>
      </c>
      <c r="H71" s="16">
        <f t="shared" ref="H71:H134" si="21">SUM(T69:T70)</f>
        <v>1.5649999999999997E-2</v>
      </c>
      <c r="I71" s="17" t="b">
        <f>AND(A71&gt;2,H71&lt;=Assumptions!$B$7)</f>
        <v>0</v>
      </c>
      <c r="J71" s="15">
        <v>3.1256584640944052E-3</v>
      </c>
      <c r="K71" s="15">
        <v>1.372353495341927E-2</v>
      </c>
      <c r="L71" s="15">
        <v>1.3537749179365788E-2</v>
      </c>
      <c r="M71" s="17" t="b">
        <f>J71&gt;=Assumptions!$B$8</f>
        <v>0</v>
      </c>
      <c r="N71" s="17" t="b">
        <f>AND(K71&lt;&gt;"",K71&lt;=Assumptions!$B$9)</f>
        <v>0</v>
      </c>
      <c r="O71" s="17" t="b">
        <f>AND(P71&lt;&gt;"",ABS(L71)&lt;=Assumptions!$B$10)</f>
        <v>0</v>
      </c>
      <c r="P71" s="13">
        <v>43669</v>
      </c>
      <c r="Q71" s="14">
        <v>7943.86</v>
      </c>
      <c r="R71" s="15">
        <v>8.7299999999999999E-3</v>
      </c>
      <c r="S71" s="17" t="str">
        <f t="shared" si="11"/>
        <v>BASELINE</v>
      </c>
      <c r="T71" s="16">
        <f t="shared" si="12"/>
        <v>1.95E-2</v>
      </c>
      <c r="U71" s="16">
        <f>G71*Assumptions!$B$6</f>
        <v>0.22035000000000002</v>
      </c>
      <c r="V71" s="16">
        <f>T71*Assumptions!$B$6</f>
        <v>0.22035000000000002</v>
      </c>
      <c r="W71" s="16">
        <f t="shared" si="13"/>
        <v>0</v>
      </c>
      <c r="X71" s="18">
        <f t="shared" si="17"/>
        <v>89.077908314030665</v>
      </c>
      <c r="Y71" s="18">
        <f t="shared" si="18"/>
        <v>309.63941597683379</v>
      </c>
      <c r="Z71" s="19">
        <f t="shared" si="14"/>
        <v>-0.71231728353119239</v>
      </c>
      <c r="AA71" s="18">
        <f t="shared" si="19"/>
        <v>832.18979766369841</v>
      </c>
      <c r="AB71" s="18">
        <f t="shared" si="20"/>
        <v>832.18979766369841</v>
      </c>
      <c r="AC71" s="19">
        <f t="shared" si="15"/>
        <v>0</v>
      </c>
      <c r="AD71" s="20">
        <f t="shared" si="16"/>
        <v>743.11188934966776</v>
      </c>
      <c r="AE71" s="9" t="s">
        <v>91</v>
      </c>
    </row>
    <row r="72" spans="1:31" ht="18" customHeight="1">
      <c r="A72" s="4">
        <v>68</v>
      </c>
      <c r="B72" s="13">
        <v>43675</v>
      </c>
      <c r="C72" s="13">
        <v>43677</v>
      </c>
      <c r="D72" s="4" t="s">
        <v>99</v>
      </c>
      <c r="E72" s="14">
        <v>8009.57</v>
      </c>
      <c r="F72" s="14">
        <v>7978.86</v>
      </c>
      <c r="G72" s="15">
        <v>-3.8300000000000001E-3</v>
      </c>
      <c r="H72" s="16">
        <f t="shared" si="21"/>
        <v>1.5629999999999998E-2</v>
      </c>
      <c r="I72" s="17" t="b">
        <f>AND(A72&gt;2,H72&lt;=Assumptions!$B$7)</f>
        <v>0</v>
      </c>
      <c r="J72" s="15">
        <v>-4.6036200751786716E-4</v>
      </c>
      <c r="K72" s="15">
        <v>4.6975085007039841E-2</v>
      </c>
      <c r="L72" s="15">
        <v>-1.084345034337586E-2</v>
      </c>
      <c r="M72" s="17" t="b">
        <f>J72&gt;=Assumptions!$B$8</f>
        <v>0</v>
      </c>
      <c r="N72" s="17" t="b">
        <f>AND(K72&lt;&gt;"",K72&lt;=Assumptions!$B$9)</f>
        <v>0</v>
      </c>
      <c r="O72" s="17" t="b">
        <f>AND(P72&lt;&gt;"",ABS(L72)&lt;=Assumptions!$B$10)</f>
        <v>0</v>
      </c>
      <c r="P72" s="13">
        <v>43676</v>
      </c>
      <c r="Q72" s="14">
        <v>7925.47</v>
      </c>
      <c r="R72" s="15">
        <v>6.7299999999999999E-3</v>
      </c>
      <c r="S72" s="17" t="str">
        <f t="shared" si="11"/>
        <v>BASELINE</v>
      </c>
      <c r="T72" s="16">
        <f t="shared" si="12"/>
        <v>-3.8300000000000001E-3</v>
      </c>
      <c r="U72" s="16">
        <f>G72*Assumptions!$B$6</f>
        <v>-4.3279000000000005E-2</v>
      </c>
      <c r="V72" s="16">
        <f>T72*Assumptions!$B$6</f>
        <v>-4.3279000000000005E-2</v>
      </c>
      <c r="W72" s="16">
        <f t="shared" si="13"/>
        <v>0</v>
      </c>
      <c r="X72" s="18">
        <f t="shared" si="17"/>
        <v>85.222705520107738</v>
      </c>
      <c r="Y72" s="18">
        <f t="shared" si="18"/>
        <v>309.63941597683379</v>
      </c>
      <c r="Z72" s="19">
        <f t="shared" si="14"/>
        <v>-0.72476790381724587</v>
      </c>
      <c r="AA72" s="18">
        <f t="shared" si="19"/>
        <v>796.17345541061127</v>
      </c>
      <c r="AB72" s="18">
        <f t="shared" si="20"/>
        <v>832.18979766369841</v>
      </c>
      <c r="AC72" s="19">
        <f t="shared" si="15"/>
        <v>-4.3278999999999956E-2</v>
      </c>
      <c r="AD72" s="20">
        <f t="shared" si="16"/>
        <v>710.95074989050352</v>
      </c>
      <c r="AE72" s="9" t="s">
        <v>91</v>
      </c>
    </row>
    <row r="73" spans="1:31" ht="18" customHeight="1">
      <c r="A73" s="4">
        <v>69</v>
      </c>
      <c r="B73" s="13">
        <v>43682</v>
      </c>
      <c r="C73" s="13">
        <v>43686</v>
      </c>
      <c r="D73" s="4" t="s">
        <v>93</v>
      </c>
      <c r="E73" s="14">
        <v>7530.5590000000002</v>
      </c>
      <c r="F73" s="14">
        <v>7646.66</v>
      </c>
      <c r="G73" s="15">
        <v>1.541E-2</v>
      </c>
      <c r="H73" s="16">
        <f t="shared" si="21"/>
        <v>1.567E-2</v>
      </c>
      <c r="I73" s="17" t="b">
        <f>AND(A73&gt;2,H73&lt;=Assumptions!$B$7)</f>
        <v>0</v>
      </c>
      <c r="J73" s="15">
        <v>-2.0755197869487874E-2</v>
      </c>
      <c r="K73" s="15">
        <v>-1.93269000891092E-2</v>
      </c>
      <c r="L73" s="15">
        <v>-2.652822640965824E-2</v>
      </c>
      <c r="M73" s="17" t="b">
        <f>J73&gt;=Assumptions!$B$8</f>
        <v>0</v>
      </c>
      <c r="N73" s="17" t="b">
        <f>AND(K73&lt;&gt;"",K73&lt;=Assumptions!$B$9)</f>
        <v>1</v>
      </c>
      <c r="O73" s="17" t="b">
        <f>AND(P73&lt;&gt;"",ABS(L73)&lt;=Assumptions!$B$10)</f>
        <v>0</v>
      </c>
      <c r="P73" s="13">
        <v>43683</v>
      </c>
      <c r="Q73" s="14">
        <v>7482.6589999999997</v>
      </c>
      <c r="R73" s="15">
        <v>2.1909999999999999E-2</v>
      </c>
      <c r="S73" s="17" t="str">
        <f t="shared" si="11"/>
        <v>BASELINE</v>
      </c>
      <c r="T73" s="16">
        <f t="shared" si="12"/>
        <v>1.541E-2</v>
      </c>
      <c r="U73" s="16">
        <f>G73*Assumptions!$B$6</f>
        <v>0.17413300000000001</v>
      </c>
      <c r="V73" s="16">
        <f>T73*Assumptions!$B$6</f>
        <v>0.17413300000000001</v>
      </c>
      <c r="W73" s="16">
        <f t="shared" si="13"/>
        <v>0</v>
      </c>
      <c r="X73" s="18">
        <f t="shared" si="17"/>
        <v>100.06279090044066</v>
      </c>
      <c r="Y73" s="18">
        <f t="shared" si="18"/>
        <v>309.63941597683379</v>
      </c>
      <c r="Z73" s="19">
        <f t="shared" si="14"/>
        <v>-0.67684091321265427</v>
      </c>
      <c r="AA73" s="18">
        <f t="shared" si="19"/>
        <v>934.81352772162734</v>
      </c>
      <c r="AB73" s="18">
        <f t="shared" si="20"/>
        <v>934.81352772162734</v>
      </c>
      <c r="AC73" s="19">
        <f t="shared" si="15"/>
        <v>0</v>
      </c>
      <c r="AD73" s="20">
        <f t="shared" si="16"/>
        <v>834.75073682118671</v>
      </c>
      <c r="AE73" s="9" t="s">
        <v>91</v>
      </c>
    </row>
    <row r="74" spans="1:31" ht="18" customHeight="1">
      <c r="A74" s="4">
        <v>70</v>
      </c>
      <c r="B74" s="13">
        <v>43689</v>
      </c>
      <c r="C74" s="13">
        <v>43692</v>
      </c>
      <c r="D74" s="4" t="s">
        <v>92</v>
      </c>
      <c r="E74" s="14">
        <v>7602.37</v>
      </c>
      <c r="F74" s="14">
        <v>7465.6589999999997</v>
      </c>
      <c r="G74" s="15">
        <v>-1.7979999999999999E-2</v>
      </c>
      <c r="H74" s="16">
        <f t="shared" si="21"/>
        <v>1.158E-2</v>
      </c>
      <c r="I74" s="17" t="b">
        <f>AND(A74&gt;2,H74&lt;=Assumptions!$B$7)</f>
        <v>0</v>
      </c>
      <c r="J74" s="15">
        <v>-5.7920713095652721E-3</v>
      </c>
      <c r="K74" s="15">
        <v>-3.6283964257747492E-2</v>
      </c>
      <c r="L74" s="15">
        <v>-1.2049131516409739E-2</v>
      </c>
      <c r="M74" s="17" t="b">
        <f>J74&gt;=Assumptions!$B$8</f>
        <v>0</v>
      </c>
      <c r="N74" s="17" t="b">
        <f>AND(K74&lt;&gt;"",K74&lt;=Assumptions!$B$9)</f>
        <v>1</v>
      </c>
      <c r="O74" s="17" t="b">
        <f>AND(P74&lt;&gt;"",ABS(L74)&lt;=Assumptions!$B$10)</f>
        <v>0</v>
      </c>
      <c r="P74" s="13">
        <v>43690</v>
      </c>
      <c r="Q74" s="14">
        <v>7557.46</v>
      </c>
      <c r="R74" s="15">
        <v>-1.214E-2</v>
      </c>
      <c r="S74" s="17" t="str">
        <f t="shared" si="11"/>
        <v>BASELINE</v>
      </c>
      <c r="T74" s="16">
        <f t="shared" si="12"/>
        <v>-1.7979999999999999E-2</v>
      </c>
      <c r="U74" s="16">
        <f>G74*Assumptions!$B$6</f>
        <v>-0.20317399999999999</v>
      </c>
      <c r="V74" s="16">
        <f>T74*Assumptions!$B$6</f>
        <v>-0.20317399999999999</v>
      </c>
      <c r="W74" s="16">
        <f t="shared" si="13"/>
        <v>0</v>
      </c>
      <c r="X74" s="18">
        <f t="shared" si="17"/>
        <v>79.732633422034539</v>
      </c>
      <c r="Y74" s="18">
        <f t="shared" si="18"/>
        <v>309.63941597683379</v>
      </c>
      <c r="Z74" s="19">
        <f t="shared" si="14"/>
        <v>-0.7424984375115864</v>
      </c>
      <c r="AA74" s="18">
        <f t="shared" si="19"/>
        <v>744.8837240403135</v>
      </c>
      <c r="AB74" s="18">
        <f t="shared" si="20"/>
        <v>934.81352772162734</v>
      </c>
      <c r="AC74" s="19">
        <f t="shared" si="15"/>
        <v>-0.20317399999999997</v>
      </c>
      <c r="AD74" s="20">
        <f t="shared" si="16"/>
        <v>665.151090618279</v>
      </c>
      <c r="AE74" s="9" t="s">
        <v>91</v>
      </c>
    </row>
    <row r="75" spans="1:31" ht="18" customHeight="1">
      <c r="A75" s="4">
        <v>71</v>
      </c>
      <c r="B75" s="13">
        <v>43696</v>
      </c>
      <c r="C75" s="13">
        <v>43698</v>
      </c>
      <c r="D75" s="4" t="s">
        <v>99</v>
      </c>
      <c r="E75" s="14">
        <v>7705.759</v>
      </c>
      <c r="F75" s="14">
        <v>7675.0590000000002</v>
      </c>
      <c r="G75" s="15">
        <v>-3.98E-3</v>
      </c>
      <c r="H75" s="16">
        <f t="shared" si="21"/>
        <v>-2.5699999999999994E-3</v>
      </c>
      <c r="I75" s="17" t="b">
        <f>AND(A75&gt;2,H75&lt;=Assumptions!$B$7)</f>
        <v>0</v>
      </c>
      <c r="J75" s="15">
        <v>1.4601982735953367E-2</v>
      </c>
      <c r="K75" s="15">
        <v>-2.8874372296254336E-2</v>
      </c>
      <c r="L75" s="15">
        <v>1.3559720411212561E-2</v>
      </c>
      <c r="M75" s="17" t="b">
        <f>J75&gt;=Assumptions!$B$8</f>
        <v>1</v>
      </c>
      <c r="N75" s="17" t="b">
        <f>AND(K75&lt;&gt;"",K75&lt;=Assumptions!$B$9)</f>
        <v>1</v>
      </c>
      <c r="O75" s="17" t="b">
        <f>AND(P75&lt;&gt;"",ABS(L75)&lt;=Assumptions!$B$10)</f>
        <v>0</v>
      </c>
      <c r="P75" s="13">
        <v>43697</v>
      </c>
      <c r="Q75" s="14">
        <v>7705.97</v>
      </c>
      <c r="R75" s="15">
        <v>-4.0099999999999997E-3</v>
      </c>
      <c r="S75" s="17" t="str">
        <f t="shared" si="11"/>
        <v>GAP/MOM SKIP</v>
      </c>
      <c r="T75" s="16">
        <f t="shared" si="12"/>
        <v>0</v>
      </c>
      <c r="U75" s="16">
        <f>G75*Assumptions!$B$6</f>
        <v>-4.4974E-2</v>
      </c>
      <c r="V75" s="16">
        <f>T75*Assumptions!$B$6</f>
        <v>0</v>
      </c>
      <c r="W75" s="16">
        <f t="shared" si="13"/>
        <v>4.4974E-2</v>
      </c>
      <c r="X75" s="18">
        <f t="shared" si="17"/>
        <v>76.146737966511964</v>
      </c>
      <c r="Y75" s="18">
        <f t="shared" si="18"/>
        <v>309.63941597683379</v>
      </c>
      <c r="Z75" s="19">
        <f t="shared" si="14"/>
        <v>-0.75407931278294038</v>
      </c>
      <c r="AA75" s="18">
        <f t="shared" si="19"/>
        <v>744.8837240403135</v>
      </c>
      <c r="AB75" s="18">
        <f t="shared" si="20"/>
        <v>934.81352772162734</v>
      </c>
      <c r="AC75" s="19">
        <f t="shared" si="15"/>
        <v>-0.20317399999999997</v>
      </c>
      <c r="AD75" s="20">
        <f t="shared" si="16"/>
        <v>668.73698607380152</v>
      </c>
      <c r="AE75" s="9" t="s">
        <v>102</v>
      </c>
    </row>
    <row r="76" spans="1:31" ht="18" customHeight="1">
      <c r="A76" s="4">
        <v>72</v>
      </c>
      <c r="B76" s="13">
        <v>43703</v>
      </c>
      <c r="C76" s="13">
        <v>43707</v>
      </c>
      <c r="D76" s="4" t="s">
        <v>93</v>
      </c>
      <c r="E76" s="14">
        <v>7548.96</v>
      </c>
      <c r="F76" s="14">
        <v>7685.0690000000004</v>
      </c>
      <c r="G76" s="15">
        <v>1.8030000000000001E-2</v>
      </c>
      <c r="H76" s="16">
        <f t="shared" si="21"/>
        <v>-1.7979999999999999E-2</v>
      </c>
      <c r="I76" s="17" t="b">
        <f>AND(A76&gt;2,H76&lt;=Assumptions!$B$7)</f>
        <v>0</v>
      </c>
      <c r="J76" s="15">
        <v>9.6552388263915212E-3</v>
      </c>
      <c r="K76" s="15">
        <v>-6.7633363808389912E-2</v>
      </c>
      <c r="L76" s="15">
        <v>2.2068548754902828E-2</v>
      </c>
      <c r="M76" s="17" t="b">
        <f>J76&gt;=Assumptions!$B$8</f>
        <v>0</v>
      </c>
      <c r="N76" s="17" t="b">
        <f>AND(K76&lt;&gt;"",K76&lt;=Assumptions!$B$9)</f>
        <v>1</v>
      </c>
      <c r="O76" s="17" t="b">
        <f>AND(P76&lt;&gt;"",ABS(L76)&lt;=Assumptions!$B$10)</f>
        <v>0</v>
      </c>
      <c r="P76" s="13">
        <v>43704</v>
      </c>
      <c r="Q76" s="14">
        <v>7626.6589999999997</v>
      </c>
      <c r="R76" s="15">
        <v>7.6499999999999997E-3</v>
      </c>
      <c r="S76" s="17" t="str">
        <f t="shared" si="11"/>
        <v>BASELINE</v>
      </c>
      <c r="T76" s="16">
        <f t="shared" si="12"/>
        <v>1.8030000000000001E-2</v>
      </c>
      <c r="U76" s="16">
        <f>G76*Assumptions!$B$6</f>
        <v>0.20373900000000003</v>
      </c>
      <c r="V76" s="16">
        <f>T76*Assumptions!$B$6</f>
        <v>0.20373900000000003</v>
      </c>
      <c r="W76" s="16">
        <f t="shared" si="13"/>
        <v>0</v>
      </c>
      <c r="X76" s="18">
        <f t="shared" si="17"/>
        <v>91.660798213071146</v>
      </c>
      <c r="Y76" s="18">
        <f t="shared" si="18"/>
        <v>309.63941597683379</v>
      </c>
      <c r="Z76" s="19">
        <f t="shared" si="14"/>
        <v>-0.70397567789002391</v>
      </c>
      <c r="AA76" s="18">
        <f t="shared" si="19"/>
        <v>896.645589092563</v>
      </c>
      <c r="AB76" s="18">
        <f t="shared" si="20"/>
        <v>934.81352772162734</v>
      </c>
      <c r="AC76" s="19">
        <f t="shared" si="15"/>
        <v>-4.0829467585999812E-2</v>
      </c>
      <c r="AD76" s="20">
        <f t="shared" si="16"/>
        <v>804.98479087949181</v>
      </c>
      <c r="AE76" s="9" t="s">
        <v>91</v>
      </c>
    </row>
    <row r="77" spans="1:31" ht="18" customHeight="1">
      <c r="A77" s="4">
        <v>73</v>
      </c>
      <c r="B77" s="13">
        <v>43711</v>
      </c>
      <c r="C77" s="13">
        <v>43714</v>
      </c>
      <c r="D77" s="4" t="s">
        <v>93</v>
      </c>
      <c r="E77" s="14">
        <v>7631.6589999999997</v>
      </c>
      <c r="F77" s="14">
        <v>7851.86</v>
      </c>
      <c r="G77" s="15">
        <v>2.8850000000000001E-2</v>
      </c>
      <c r="H77" s="16">
        <f t="shared" si="21"/>
        <v>1.8030000000000001E-2</v>
      </c>
      <c r="I77" s="17" t="b">
        <f>AND(A77&gt;2,H77&lt;=Assumptions!$B$7)</f>
        <v>0</v>
      </c>
      <c r="J77" s="15">
        <v>-6.9498400079427425E-3</v>
      </c>
      <c r="K77" s="15">
        <v>5.8729991633743595E-4</v>
      </c>
      <c r="L77" s="15"/>
      <c r="M77" s="17" t="b">
        <f>J77&gt;=Assumptions!$B$8</f>
        <v>0</v>
      </c>
      <c r="N77" s="17" t="b">
        <f>AND(K77&lt;&gt;"",K77&lt;=Assumptions!$B$9)</f>
        <v>0</v>
      </c>
      <c r="O77" s="17" t="b">
        <f>AND(P77&lt;&gt;"",ABS(L77)&lt;=Assumptions!$B$10)</f>
        <v>0</v>
      </c>
      <c r="P77" s="13"/>
      <c r="Q77" s="14"/>
      <c r="R77" s="15"/>
      <c r="S77" s="17" t="str">
        <f t="shared" si="11"/>
        <v>BASELINE</v>
      </c>
      <c r="T77" s="16">
        <f t="shared" si="12"/>
        <v>2.8850000000000001E-2</v>
      </c>
      <c r="U77" s="16">
        <f>G77*Assumptions!$B$6</f>
        <v>0.32600500000000004</v>
      </c>
      <c r="V77" s="16">
        <f>T77*Assumptions!$B$6</f>
        <v>0.32600500000000004</v>
      </c>
      <c r="W77" s="16">
        <f t="shared" si="13"/>
        <v>0</v>
      </c>
      <c r="X77" s="18">
        <f t="shared" si="17"/>
        <v>121.54267673452341</v>
      </c>
      <c r="Y77" s="18">
        <f t="shared" si="18"/>
        <v>309.63941597683379</v>
      </c>
      <c r="Z77" s="19">
        <f t="shared" si="14"/>
        <v>-0.60747026876056109</v>
      </c>
      <c r="AA77" s="18">
        <f t="shared" si="19"/>
        <v>1188.9565343646841</v>
      </c>
      <c r="AB77" s="18">
        <f t="shared" si="20"/>
        <v>1188.9565343646841</v>
      </c>
      <c r="AC77" s="19">
        <f t="shared" si="15"/>
        <v>0</v>
      </c>
      <c r="AD77" s="20">
        <f t="shared" si="16"/>
        <v>1067.4138576301607</v>
      </c>
      <c r="AE77" s="9" t="s">
        <v>91</v>
      </c>
    </row>
    <row r="78" spans="1:31" ht="18" customHeight="1">
      <c r="A78" s="4">
        <v>74</v>
      </c>
      <c r="B78" s="13">
        <v>43717</v>
      </c>
      <c r="C78" s="13">
        <v>43719</v>
      </c>
      <c r="D78" s="4" t="s">
        <v>95</v>
      </c>
      <c r="E78" s="14">
        <v>7874.759</v>
      </c>
      <c r="F78" s="14">
        <v>7843.2599639999999</v>
      </c>
      <c r="G78" s="15">
        <v>-4.0000000000000001E-3</v>
      </c>
      <c r="H78" s="16">
        <f t="shared" si="21"/>
        <v>4.6880000000000005E-2</v>
      </c>
      <c r="I78" s="17" t="b">
        <f>AND(A78&gt;2,H78&lt;=Assumptions!$B$7)</f>
        <v>0</v>
      </c>
      <c r="J78" s="15">
        <v>2.9163790490407404E-3</v>
      </c>
      <c r="K78" s="15">
        <v>1.7621631158749151E-2</v>
      </c>
      <c r="L78" s="15">
        <v>-7.3307904033288462E-3</v>
      </c>
      <c r="M78" s="17" t="b">
        <f>J78&gt;=Assumptions!$B$8</f>
        <v>0</v>
      </c>
      <c r="N78" s="17" t="b">
        <f>AND(K78&lt;&gt;"",K78&lt;=Assumptions!$B$9)</f>
        <v>0</v>
      </c>
      <c r="O78" s="17" t="b">
        <f>AND(P78&lt;&gt;"",ABS(L78)&lt;=Assumptions!$B$10)</f>
        <v>0</v>
      </c>
      <c r="P78" s="13">
        <v>43718</v>
      </c>
      <c r="Q78" s="14">
        <v>7791.87</v>
      </c>
      <c r="R78" s="15">
        <v>6.5900000000000004E-3</v>
      </c>
      <c r="S78" s="17" t="str">
        <f t="shared" si="11"/>
        <v>BASELINE</v>
      </c>
      <c r="T78" s="16">
        <f t="shared" si="12"/>
        <v>-4.0000000000000001E-3</v>
      </c>
      <c r="U78" s="16">
        <f>G78*Assumptions!$B$6</f>
        <v>-4.5200000000000004E-2</v>
      </c>
      <c r="V78" s="16">
        <f>T78*Assumptions!$B$6</f>
        <v>-4.5200000000000004E-2</v>
      </c>
      <c r="W78" s="16">
        <f t="shared" si="13"/>
        <v>0</v>
      </c>
      <c r="X78" s="18">
        <f t="shared" si="17"/>
        <v>116.04894774612295</v>
      </c>
      <c r="Y78" s="18">
        <f t="shared" si="18"/>
        <v>309.63941597683379</v>
      </c>
      <c r="Z78" s="19">
        <f t="shared" si="14"/>
        <v>-0.62521261261258365</v>
      </c>
      <c r="AA78" s="18">
        <f t="shared" si="19"/>
        <v>1135.2156990114004</v>
      </c>
      <c r="AB78" s="18">
        <f t="shared" si="20"/>
        <v>1188.9565343646841</v>
      </c>
      <c r="AC78" s="19">
        <f t="shared" si="15"/>
        <v>-4.5200000000000018E-2</v>
      </c>
      <c r="AD78" s="20">
        <f t="shared" si="16"/>
        <v>1019.1667512652774</v>
      </c>
      <c r="AE78" s="9" t="s">
        <v>91</v>
      </c>
    </row>
    <row r="79" spans="1:31" ht="18" customHeight="1">
      <c r="A79" s="4">
        <v>75</v>
      </c>
      <c r="B79" s="13">
        <v>43724</v>
      </c>
      <c r="C79" s="13">
        <v>43728</v>
      </c>
      <c r="D79" s="4" t="s">
        <v>97</v>
      </c>
      <c r="E79" s="14">
        <v>7835.96</v>
      </c>
      <c r="F79" s="14">
        <v>7804.6161599999996</v>
      </c>
      <c r="G79" s="15">
        <v>-4.0000000000000001E-3</v>
      </c>
      <c r="H79" s="16">
        <f t="shared" si="21"/>
        <v>2.4850000000000001E-2</v>
      </c>
      <c r="I79" s="17" t="b">
        <f>AND(A79&gt;2,H79&lt;=Assumptions!$B$7)</f>
        <v>0</v>
      </c>
      <c r="J79" s="15">
        <v>-7.2969619914160511E-3</v>
      </c>
      <c r="K79" s="15">
        <v>5.4805893424771268E-2</v>
      </c>
      <c r="L79" s="15">
        <v>-4.4475592334025649E-3</v>
      </c>
      <c r="M79" s="17" t="b">
        <f>J79&gt;=Assumptions!$B$8</f>
        <v>0</v>
      </c>
      <c r="N79" s="17" t="b">
        <f>AND(K79&lt;&gt;"",K79&lt;=Assumptions!$B$9)</f>
        <v>0</v>
      </c>
      <c r="O79" s="17" t="b">
        <f>AND(P79&lt;&gt;"",ABS(L79)&lt;=Assumptions!$B$10)</f>
        <v>1</v>
      </c>
      <c r="P79" s="13">
        <v>43725</v>
      </c>
      <c r="Q79" s="14">
        <v>7852.8689999999997</v>
      </c>
      <c r="R79" s="15">
        <v>-6.1399999999999996E-3</v>
      </c>
      <c r="S79" s="17" t="str">
        <f t="shared" si="11"/>
        <v>BASELINE</v>
      </c>
      <c r="T79" s="16">
        <f t="shared" si="12"/>
        <v>-4.0000000000000001E-3</v>
      </c>
      <c r="U79" s="16">
        <f>G79*Assumptions!$B$6</f>
        <v>-4.5200000000000004E-2</v>
      </c>
      <c r="V79" s="16">
        <f>T79*Assumptions!$B$6</f>
        <v>-4.5200000000000004E-2</v>
      </c>
      <c r="W79" s="16">
        <f t="shared" si="13"/>
        <v>0</v>
      </c>
      <c r="X79" s="18">
        <f t="shared" si="17"/>
        <v>110.80353530799819</v>
      </c>
      <c r="Y79" s="18">
        <f t="shared" si="18"/>
        <v>309.63941597683379</v>
      </c>
      <c r="Z79" s="19">
        <f t="shared" si="14"/>
        <v>-0.64215300252249485</v>
      </c>
      <c r="AA79" s="18">
        <f t="shared" si="19"/>
        <v>1083.903949416085</v>
      </c>
      <c r="AB79" s="18">
        <f t="shared" si="20"/>
        <v>1188.9565343646841</v>
      </c>
      <c r="AC79" s="19">
        <f t="shared" si="15"/>
        <v>-8.8356960000000151E-2</v>
      </c>
      <c r="AD79" s="20">
        <f t="shared" si="16"/>
        <v>973.10041410808674</v>
      </c>
      <c r="AE79" s="9" t="s">
        <v>91</v>
      </c>
    </row>
    <row r="80" spans="1:31" ht="18" customHeight="1">
      <c r="A80" s="4">
        <v>76</v>
      </c>
      <c r="B80" s="13">
        <v>43731</v>
      </c>
      <c r="C80" s="13">
        <v>43732</v>
      </c>
      <c r="D80" s="4" t="s">
        <v>98</v>
      </c>
      <c r="E80" s="14">
        <v>7811.37</v>
      </c>
      <c r="F80" s="14">
        <v>7876.57</v>
      </c>
      <c r="G80" s="15">
        <v>8.3400000000000002E-3</v>
      </c>
      <c r="H80" s="16">
        <f t="shared" si="21"/>
        <v>-8.0000000000000002E-3</v>
      </c>
      <c r="I80" s="17" t="b">
        <f>AND(A80&gt;2,H80&lt;=Assumptions!$B$7)</f>
        <v>0</v>
      </c>
      <c r="J80" s="15">
        <v>-7.9308531935118332E-4</v>
      </c>
      <c r="K80" s="15">
        <v>1.4768072255898934E-2</v>
      </c>
      <c r="L80" s="15">
        <v>4.9507913105450996E-3</v>
      </c>
      <c r="M80" s="17" t="b">
        <f>J80&gt;=Assumptions!$B$8</f>
        <v>0</v>
      </c>
      <c r="N80" s="17" t="b">
        <f>AND(K80&lt;&gt;"",K80&lt;=Assumptions!$B$9)</f>
        <v>0</v>
      </c>
      <c r="O80" s="17" t="b">
        <f>AND(P80&lt;&gt;"",ABS(L80)&lt;=Assumptions!$B$10)</f>
        <v>1</v>
      </c>
      <c r="P80" s="13">
        <v>43732</v>
      </c>
      <c r="Q80" s="14">
        <v>7854.57</v>
      </c>
      <c r="R80" s="15">
        <v>2.8E-3</v>
      </c>
      <c r="S80" s="17" t="str">
        <f t="shared" si="11"/>
        <v>BASELINE</v>
      </c>
      <c r="T80" s="16">
        <f t="shared" si="12"/>
        <v>8.3400000000000002E-3</v>
      </c>
      <c r="U80" s="16">
        <f>G80*Assumptions!$B$6</f>
        <v>9.4242000000000006E-2</v>
      </c>
      <c r="V80" s="16">
        <f>T80*Assumptions!$B$6</f>
        <v>9.4242000000000006E-2</v>
      </c>
      <c r="W80" s="16">
        <f t="shared" si="13"/>
        <v>0</v>
      </c>
      <c r="X80" s="18">
        <f t="shared" si="17"/>
        <v>121.24588208249455</v>
      </c>
      <c r="Y80" s="18">
        <f t="shared" si="18"/>
        <v>309.63941597683379</v>
      </c>
      <c r="Z80" s="19">
        <f t="shared" si="14"/>
        <v>-0.60842878578621984</v>
      </c>
      <c r="AA80" s="18">
        <f t="shared" si="19"/>
        <v>1186.0532254169557</v>
      </c>
      <c r="AB80" s="18">
        <f t="shared" si="20"/>
        <v>1188.9565343646841</v>
      </c>
      <c r="AC80" s="19">
        <f t="shared" si="15"/>
        <v>-2.4418966243200391E-3</v>
      </c>
      <c r="AD80" s="20">
        <f t="shared" si="16"/>
        <v>1064.8073433344612</v>
      </c>
      <c r="AE80" s="9" t="s">
        <v>91</v>
      </c>
    </row>
    <row r="81" spans="1:31" ht="18" customHeight="1">
      <c r="A81" s="4">
        <v>77</v>
      </c>
      <c r="B81" s="13">
        <v>43738</v>
      </c>
      <c r="C81" s="13">
        <v>43739</v>
      </c>
      <c r="D81" s="4" t="s">
        <v>98</v>
      </c>
      <c r="E81" s="14">
        <v>7707.17</v>
      </c>
      <c r="F81" s="14">
        <v>7762.6689999999999</v>
      </c>
      <c r="G81" s="15">
        <v>7.1999999999999998E-3</v>
      </c>
      <c r="H81" s="16">
        <f t="shared" si="21"/>
        <v>4.3400000000000001E-3</v>
      </c>
      <c r="I81" s="17" t="b">
        <f>AND(A81&gt;2,H81&lt;=Assumptions!$B$7)</f>
        <v>0</v>
      </c>
      <c r="J81" s="15">
        <v>2.5366596818880982E-3</v>
      </c>
      <c r="K81" s="15">
        <v>-2.8060872207031906E-3</v>
      </c>
      <c r="L81" s="15">
        <v>1.3394118331329974E-2</v>
      </c>
      <c r="M81" s="17" t="b">
        <f>J81&gt;=Assumptions!$B$8</f>
        <v>0</v>
      </c>
      <c r="N81" s="17" t="b">
        <f>AND(K81&lt;&gt;"",K81&lt;=Assumptions!$B$9)</f>
        <v>0</v>
      </c>
      <c r="O81" s="17" t="b">
        <f>AND(P81&lt;&gt;"",ABS(L81)&lt;=Assumptions!$B$10)</f>
        <v>0</v>
      </c>
      <c r="P81" s="13">
        <v>43739</v>
      </c>
      <c r="Q81" s="14">
        <v>7777.2690000000002</v>
      </c>
      <c r="R81" s="15">
        <v>-1.8699999999999999E-3</v>
      </c>
      <c r="S81" s="17" t="str">
        <f t="shared" si="11"/>
        <v>BASELINE</v>
      </c>
      <c r="T81" s="16">
        <f t="shared" si="12"/>
        <v>7.1999999999999998E-3</v>
      </c>
      <c r="U81" s="16">
        <f>G81*Assumptions!$B$6</f>
        <v>8.1360000000000002E-2</v>
      </c>
      <c r="V81" s="16">
        <f>T81*Assumptions!$B$6</f>
        <v>8.1360000000000002E-2</v>
      </c>
      <c r="W81" s="16">
        <f t="shared" si="13"/>
        <v>0</v>
      </c>
      <c r="X81" s="18">
        <f t="shared" si="17"/>
        <v>131.11044704872631</v>
      </c>
      <c r="Y81" s="18">
        <f t="shared" si="18"/>
        <v>309.63941597683379</v>
      </c>
      <c r="Z81" s="19">
        <f t="shared" si="14"/>
        <v>-0.57657055179778671</v>
      </c>
      <c r="AA81" s="18">
        <f t="shared" si="19"/>
        <v>1282.5505158368794</v>
      </c>
      <c r="AB81" s="18">
        <f t="shared" si="20"/>
        <v>1282.5505158368794</v>
      </c>
      <c r="AC81" s="19">
        <f t="shared" si="15"/>
        <v>0</v>
      </c>
      <c r="AD81" s="20">
        <f t="shared" si="16"/>
        <v>1151.440068788153</v>
      </c>
      <c r="AE81" s="9" t="s">
        <v>91</v>
      </c>
    </row>
    <row r="82" spans="1:31" ht="18" customHeight="1">
      <c r="A82" s="4">
        <v>78</v>
      </c>
      <c r="B82" s="13">
        <v>43745</v>
      </c>
      <c r="C82" s="13">
        <v>43747</v>
      </c>
      <c r="D82" s="4" t="s">
        <v>99</v>
      </c>
      <c r="E82" s="14">
        <v>7722.46</v>
      </c>
      <c r="F82" s="14">
        <v>7693.66</v>
      </c>
      <c r="G82" s="15">
        <v>-3.7200000000000002E-3</v>
      </c>
      <c r="H82" s="16">
        <f t="shared" si="21"/>
        <v>1.554E-2</v>
      </c>
      <c r="I82" s="17" t="b">
        <f>AND(A82&gt;2,H82&lt;=Assumptions!$B$7)</f>
        <v>0</v>
      </c>
      <c r="J82" s="15">
        <v>-2.8922407893751112E-3</v>
      </c>
      <c r="K82" s="15">
        <v>-1.2499729091263623E-2</v>
      </c>
      <c r="L82" s="15">
        <v>-9.6018259929659955E-3</v>
      </c>
      <c r="M82" s="17" t="b">
        <f>J82&gt;=Assumptions!$B$8</f>
        <v>0</v>
      </c>
      <c r="N82" s="17" t="b">
        <f>AND(K82&lt;&gt;"",K82&lt;=Assumptions!$B$9)</f>
        <v>1</v>
      </c>
      <c r="O82" s="17" t="b">
        <f>AND(P82&lt;&gt;"",ABS(L82)&lt;=Assumptions!$B$10)</f>
        <v>0</v>
      </c>
      <c r="P82" s="13">
        <v>43746</v>
      </c>
      <c r="Q82" s="14">
        <v>7671.6689999999999</v>
      </c>
      <c r="R82" s="15">
        <v>2.8600000000000001E-3</v>
      </c>
      <c r="S82" s="17" t="str">
        <f t="shared" si="11"/>
        <v>BASELINE</v>
      </c>
      <c r="T82" s="16">
        <f t="shared" si="12"/>
        <v>-3.7200000000000002E-3</v>
      </c>
      <c r="U82" s="16">
        <f>G82*Assumptions!$B$6</f>
        <v>-4.2036000000000004E-2</v>
      </c>
      <c r="V82" s="16">
        <f>T82*Assumptions!$B$6</f>
        <v>-4.2036000000000004E-2</v>
      </c>
      <c r="W82" s="16">
        <f t="shared" si="13"/>
        <v>0</v>
      </c>
      <c r="X82" s="18">
        <f t="shared" si="17"/>
        <v>125.59908829658606</v>
      </c>
      <c r="Y82" s="18">
        <f t="shared" si="18"/>
        <v>309.63941597683379</v>
      </c>
      <c r="Z82" s="19">
        <f t="shared" si="14"/>
        <v>-0.5943698320824149</v>
      </c>
      <c r="AA82" s="18">
        <f t="shared" si="19"/>
        <v>1228.6372223531605</v>
      </c>
      <c r="AB82" s="18">
        <f t="shared" si="20"/>
        <v>1282.5505158368794</v>
      </c>
      <c r="AC82" s="19">
        <f t="shared" si="15"/>
        <v>-4.2035999999999851E-2</v>
      </c>
      <c r="AD82" s="20">
        <f t="shared" si="16"/>
        <v>1103.0381340565743</v>
      </c>
      <c r="AE82" s="9" t="s">
        <v>91</v>
      </c>
    </row>
    <row r="83" spans="1:31" ht="18" customHeight="1">
      <c r="A83" s="4">
        <v>79</v>
      </c>
      <c r="B83" s="13">
        <v>43752</v>
      </c>
      <c r="C83" s="13">
        <v>43756</v>
      </c>
      <c r="D83" s="4" t="s">
        <v>93</v>
      </c>
      <c r="E83" s="14">
        <v>7828.77</v>
      </c>
      <c r="F83" s="14">
        <v>7866.4589999999998</v>
      </c>
      <c r="G83" s="15">
        <v>4.81E-3</v>
      </c>
      <c r="H83" s="16">
        <f t="shared" si="21"/>
        <v>3.4799999999999996E-3</v>
      </c>
      <c r="I83" s="17" t="b">
        <f>AND(A83&gt;2,H83&lt;=Assumptions!$B$7)</f>
        <v>0</v>
      </c>
      <c r="J83" s="15">
        <v>2.5693904718426808E-4</v>
      </c>
      <c r="K83" s="15">
        <v>-5.5527103156419733E-3</v>
      </c>
      <c r="L83" s="15">
        <v>2.8677526902121109E-3</v>
      </c>
      <c r="M83" s="17" t="b">
        <f>J83&gt;=Assumptions!$B$8</f>
        <v>0</v>
      </c>
      <c r="N83" s="17" t="b">
        <f>AND(K83&lt;&gt;"",K83&lt;=Assumptions!$B$9)</f>
        <v>1</v>
      </c>
      <c r="O83" s="17" t="b">
        <f>AND(P83&lt;&gt;"",ABS(L83)&lt;=Assumptions!$B$10)</f>
        <v>1</v>
      </c>
      <c r="P83" s="13">
        <v>43753</v>
      </c>
      <c r="Q83" s="14">
        <v>7862.8590000000004</v>
      </c>
      <c r="R83" s="15">
        <v>4.4999999999999999E-4</v>
      </c>
      <c r="S83" s="17" t="str">
        <f t="shared" si="11"/>
        <v>BASELINE</v>
      </c>
      <c r="T83" s="16">
        <f t="shared" si="12"/>
        <v>4.81E-3</v>
      </c>
      <c r="U83" s="16">
        <f>G83*Assumptions!$B$6</f>
        <v>5.4353000000000005E-2</v>
      </c>
      <c r="V83" s="16">
        <f>T83*Assumptions!$B$6</f>
        <v>5.4353000000000005E-2</v>
      </c>
      <c r="W83" s="16">
        <f t="shared" si="13"/>
        <v>0</v>
      </c>
      <c r="X83" s="18">
        <f t="shared" si="17"/>
        <v>132.42577554277042</v>
      </c>
      <c r="Y83" s="18">
        <f t="shared" si="18"/>
        <v>309.63941597683379</v>
      </c>
      <c r="Z83" s="19">
        <f t="shared" si="14"/>
        <v>-0.57232261556559039</v>
      </c>
      <c r="AA83" s="18">
        <f t="shared" si="19"/>
        <v>1295.417341299722</v>
      </c>
      <c r="AB83" s="18">
        <f t="shared" si="20"/>
        <v>1295.417341299722</v>
      </c>
      <c r="AC83" s="19">
        <f t="shared" si="15"/>
        <v>0</v>
      </c>
      <c r="AD83" s="20">
        <f t="shared" si="16"/>
        <v>1162.9915657569516</v>
      </c>
      <c r="AE83" s="9" t="s">
        <v>91</v>
      </c>
    </row>
    <row r="84" spans="1:31" ht="18" customHeight="1">
      <c r="A84" s="4">
        <v>80</v>
      </c>
      <c r="B84" s="13">
        <v>43759</v>
      </c>
      <c r="C84" s="13">
        <v>43761</v>
      </c>
      <c r="D84" s="4" t="s">
        <v>95</v>
      </c>
      <c r="E84" s="14">
        <v>7904.46</v>
      </c>
      <c r="F84" s="14">
        <v>7872.8421600000001</v>
      </c>
      <c r="G84" s="15">
        <v>-4.0000000000000001E-3</v>
      </c>
      <c r="H84" s="16">
        <f t="shared" si="21"/>
        <v>1.0899999999999998E-3</v>
      </c>
      <c r="I84" s="17" t="b">
        <f>AND(A84&gt;2,H84&lt;=Assumptions!$B$7)</f>
        <v>0</v>
      </c>
      <c r="J84" s="15">
        <v>4.8307631171788934E-3</v>
      </c>
      <c r="K84" s="15">
        <v>6.6645267641953776E-3</v>
      </c>
      <c r="L84" s="15">
        <v>1.2392317087670301E-2</v>
      </c>
      <c r="M84" s="17" t="b">
        <f>J84&gt;=Assumptions!$B$8</f>
        <v>0</v>
      </c>
      <c r="N84" s="17" t="b">
        <f>AND(K84&lt;&gt;"",K84&lt;=Assumptions!$B$9)</f>
        <v>0</v>
      </c>
      <c r="O84" s="17" t="b">
        <f>AND(P84&lt;&gt;"",ABS(L84)&lt;=Assumptions!$B$10)</f>
        <v>0</v>
      </c>
      <c r="P84" s="13">
        <v>43760</v>
      </c>
      <c r="Q84" s="14">
        <v>7961.8590000000004</v>
      </c>
      <c r="R84" s="15">
        <v>-1.1180000000000001E-2</v>
      </c>
      <c r="S84" s="17" t="str">
        <f t="shared" si="11"/>
        <v>BASELINE</v>
      </c>
      <c r="T84" s="16">
        <f t="shared" si="12"/>
        <v>-4.0000000000000001E-3</v>
      </c>
      <c r="U84" s="16">
        <f>G84*Assumptions!$B$6</f>
        <v>-4.5200000000000004E-2</v>
      </c>
      <c r="V84" s="16">
        <f>T84*Assumptions!$B$6</f>
        <v>-4.5200000000000004E-2</v>
      </c>
      <c r="W84" s="16">
        <f t="shared" si="13"/>
        <v>0</v>
      </c>
      <c r="X84" s="18">
        <f t="shared" si="17"/>
        <v>126.4401304882372</v>
      </c>
      <c r="Y84" s="18">
        <f t="shared" si="18"/>
        <v>309.63941597683379</v>
      </c>
      <c r="Z84" s="19">
        <f t="shared" si="14"/>
        <v>-0.5916536333420257</v>
      </c>
      <c r="AA84" s="18">
        <f t="shared" si="19"/>
        <v>1236.8644774729746</v>
      </c>
      <c r="AB84" s="18">
        <f t="shared" si="20"/>
        <v>1295.417341299722</v>
      </c>
      <c r="AC84" s="19">
        <f t="shared" si="15"/>
        <v>-4.5200000000000018E-2</v>
      </c>
      <c r="AD84" s="20">
        <f t="shared" si="16"/>
        <v>1110.4243469847374</v>
      </c>
      <c r="AE84" s="9" t="s">
        <v>91</v>
      </c>
    </row>
    <row r="85" spans="1:31" ht="18" customHeight="1">
      <c r="A85" s="4">
        <v>81</v>
      </c>
      <c r="B85" s="13">
        <v>43766</v>
      </c>
      <c r="C85" s="13">
        <v>43770</v>
      </c>
      <c r="D85" s="4" t="s">
        <v>93</v>
      </c>
      <c r="E85" s="14">
        <v>8065.4589999999998</v>
      </c>
      <c r="F85" s="14">
        <v>8159.67</v>
      </c>
      <c r="G85" s="15">
        <v>1.1679999999999999E-2</v>
      </c>
      <c r="H85" s="16">
        <f t="shared" si="21"/>
        <v>8.0999999999999996E-4</v>
      </c>
      <c r="I85" s="17" t="b">
        <f>AND(A85&gt;2,H85&lt;=Assumptions!$B$7)</f>
        <v>0</v>
      </c>
      <c r="J85" s="15">
        <v>4.6948280780341189E-3</v>
      </c>
      <c r="K85" s="15">
        <v>4.6031895505935339E-2</v>
      </c>
      <c r="L85" s="15">
        <v>8.2610929002260303E-3</v>
      </c>
      <c r="M85" s="17" t="b">
        <f>J85&gt;=Assumptions!$B$8</f>
        <v>0</v>
      </c>
      <c r="N85" s="17" t="b">
        <f>AND(K85&lt;&gt;"",K85&lt;=Assumptions!$B$9)</f>
        <v>0</v>
      </c>
      <c r="O85" s="17" t="b">
        <f>AND(P85&lt;&gt;"",ABS(L85)&lt;=Assumptions!$B$10)</f>
        <v>0</v>
      </c>
      <c r="P85" s="13">
        <v>43767</v>
      </c>
      <c r="Q85" s="14">
        <v>8093.3590000000004</v>
      </c>
      <c r="R85" s="15">
        <v>8.1899999999999994E-3</v>
      </c>
      <c r="S85" s="17" t="str">
        <f t="shared" si="11"/>
        <v>BASELINE</v>
      </c>
      <c r="T85" s="16">
        <f t="shared" si="12"/>
        <v>1.1679999999999999E-2</v>
      </c>
      <c r="U85" s="16">
        <f>G85*Assumptions!$B$6</f>
        <v>0.13198399999999999</v>
      </c>
      <c r="V85" s="16">
        <f>T85*Assumptions!$B$6</f>
        <v>0.13198399999999999</v>
      </c>
      <c r="W85" s="16">
        <f t="shared" si="13"/>
        <v>0</v>
      </c>
      <c r="X85" s="18">
        <f t="shared" si="17"/>
        <v>143.12820467059672</v>
      </c>
      <c r="Y85" s="18">
        <f t="shared" si="18"/>
        <v>309.63941597683379</v>
      </c>
      <c r="Z85" s="19">
        <f t="shared" si="14"/>
        <v>-0.53775844648503957</v>
      </c>
      <c r="AA85" s="18">
        <f t="shared" si="19"/>
        <v>1400.1107986677678</v>
      </c>
      <c r="AB85" s="18">
        <f t="shared" si="20"/>
        <v>1400.1107986677678</v>
      </c>
      <c r="AC85" s="19">
        <f t="shared" si="15"/>
        <v>0</v>
      </c>
      <c r="AD85" s="20">
        <f t="shared" si="16"/>
        <v>1256.9825939971711</v>
      </c>
      <c r="AE85" s="9" t="s">
        <v>91</v>
      </c>
    </row>
    <row r="86" spans="1:31" ht="18" customHeight="1">
      <c r="A86" s="4">
        <v>82</v>
      </c>
      <c r="B86" s="13">
        <v>43773</v>
      </c>
      <c r="C86" s="13">
        <v>43776</v>
      </c>
      <c r="D86" s="4" t="s">
        <v>92</v>
      </c>
      <c r="E86" s="14">
        <v>8214.3700000000008</v>
      </c>
      <c r="F86" s="14">
        <v>8181.27</v>
      </c>
      <c r="G86" s="15">
        <v>-4.0200000000000001E-3</v>
      </c>
      <c r="H86" s="16">
        <f t="shared" si="21"/>
        <v>7.6799999999999993E-3</v>
      </c>
      <c r="I86" s="17" t="b">
        <f>AND(A86&gt;2,H86&lt;=Assumptions!$B$7)</f>
        <v>0</v>
      </c>
      <c r="J86" s="15">
        <v>6.7037024781639865E-3</v>
      </c>
      <c r="K86" s="15">
        <v>5.3210576274162369E-2</v>
      </c>
      <c r="L86" s="15">
        <v>7.4600817900027927E-3</v>
      </c>
      <c r="M86" s="17" t="b">
        <f>J86&gt;=Assumptions!$B$8</f>
        <v>0</v>
      </c>
      <c r="N86" s="17" t="b">
        <f>AND(K86&lt;&gt;"",K86&lt;=Assumptions!$B$9)</f>
        <v>0</v>
      </c>
      <c r="O86" s="17" t="b">
        <f>AND(P86&lt;&gt;"",ABS(L86)&lt;=Assumptions!$B$10)</f>
        <v>0</v>
      </c>
      <c r="P86" s="13">
        <v>43774</v>
      </c>
      <c r="Q86" s="14">
        <v>8222.5589999999993</v>
      </c>
      <c r="R86" s="15">
        <v>-5.0200000000000002E-3</v>
      </c>
      <c r="S86" s="17" t="str">
        <f t="shared" si="11"/>
        <v>BASELINE</v>
      </c>
      <c r="T86" s="16">
        <f t="shared" si="12"/>
        <v>-4.0200000000000001E-3</v>
      </c>
      <c r="U86" s="16">
        <f>G86*Assumptions!$B$6</f>
        <v>-4.5426000000000001E-2</v>
      </c>
      <c r="V86" s="16">
        <f>T86*Assumptions!$B$6</f>
        <v>-4.5426000000000001E-2</v>
      </c>
      <c r="W86" s="16">
        <f t="shared" si="13"/>
        <v>0</v>
      </c>
      <c r="X86" s="18">
        <f t="shared" si="17"/>
        <v>136.62646284523021</v>
      </c>
      <c r="Y86" s="18">
        <f t="shared" si="18"/>
        <v>309.63941597683379</v>
      </c>
      <c r="Z86" s="19">
        <f t="shared" si="14"/>
        <v>-0.55875623129501006</v>
      </c>
      <c r="AA86" s="18">
        <f t="shared" si="19"/>
        <v>1336.5093655274859</v>
      </c>
      <c r="AB86" s="18">
        <f t="shared" si="20"/>
        <v>1400.1107986677678</v>
      </c>
      <c r="AC86" s="19">
        <f t="shared" si="15"/>
        <v>-4.5425999999999855E-2</v>
      </c>
      <c r="AD86" s="20">
        <f t="shared" si="16"/>
        <v>1199.8829026822557</v>
      </c>
      <c r="AE86" s="9" t="s">
        <v>91</v>
      </c>
    </row>
    <row r="87" spans="1:31" ht="18" customHeight="1">
      <c r="A87" s="4">
        <v>83</v>
      </c>
      <c r="B87" s="13">
        <v>43780</v>
      </c>
      <c r="C87" s="13">
        <v>43784</v>
      </c>
      <c r="D87" s="4" t="s">
        <v>93</v>
      </c>
      <c r="E87" s="14">
        <v>8211.86</v>
      </c>
      <c r="F87" s="14">
        <v>8312.5589999999993</v>
      </c>
      <c r="G87" s="15">
        <v>1.226E-2</v>
      </c>
      <c r="H87" s="16">
        <f t="shared" si="21"/>
        <v>7.6599999999999993E-3</v>
      </c>
      <c r="I87" s="17" t="b">
        <f>AND(A87&gt;2,H87&lt;=Assumptions!$B$7)</f>
        <v>0</v>
      </c>
      <c r="J87" s="15">
        <v>-5.1728983737472367E-3</v>
      </c>
      <c r="K87" s="15">
        <v>5.3029029897270652E-2</v>
      </c>
      <c r="L87" s="15">
        <v>-4.890680422350302E-4</v>
      </c>
      <c r="M87" s="17" t="b">
        <f>J87&gt;=Assumptions!$B$8</f>
        <v>0</v>
      </c>
      <c r="N87" s="17" t="b">
        <f>AND(K87&lt;&gt;"",K87&lt;=Assumptions!$B$9)</f>
        <v>0</v>
      </c>
      <c r="O87" s="17" t="b">
        <f>AND(P87&lt;&gt;"",ABS(L87)&lt;=Assumptions!$B$10)</f>
        <v>1</v>
      </c>
      <c r="P87" s="13">
        <v>43781</v>
      </c>
      <c r="Q87" s="14">
        <v>8247.3590000000004</v>
      </c>
      <c r="R87" s="15">
        <v>7.9000000000000008E-3</v>
      </c>
      <c r="S87" s="17" t="str">
        <f t="shared" si="11"/>
        <v>BASELINE</v>
      </c>
      <c r="T87" s="16">
        <f t="shared" si="12"/>
        <v>1.226E-2</v>
      </c>
      <c r="U87" s="16">
        <f>G87*Assumptions!$B$6</f>
        <v>0.13853800000000002</v>
      </c>
      <c r="V87" s="16">
        <f>T87*Assumptions!$B$6</f>
        <v>0.13853800000000002</v>
      </c>
      <c r="W87" s="16">
        <f t="shared" si="13"/>
        <v>0</v>
      </c>
      <c r="X87" s="18">
        <f t="shared" si="17"/>
        <v>155.55441975488273</v>
      </c>
      <c r="Y87" s="18">
        <f t="shared" si="18"/>
        <v>309.63941597683379</v>
      </c>
      <c r="Z87" s="19">
        <f t="shared" si="14"/>
        <v>-0.49762720206615818</v>
      </c>
      <c r="AA87" s="18">
        <f t="shared" si="19"/>
        <v>1521.6667000089328</v>
      </c>
      <c r="AB87" s="18">
        <f t="shared" si="20"/>
        <v>1521.6667000089328</v>
      </c>
      <c r="AC87" s="19">
        <f t="shared" si="15"/>
        <v>0</v>
      </c>
      <c r="AD87" s="20">
        <f t="shared" si="16"/>
        <v>1366.1122802540501</v>
      </c>
      <c r="AE87" s="9" t="s">
        <v>91</v>
      </c>
    </row>
    <row r="88" spans="1:31" ht="18" customHeight="1">
      <c r="A88" s="4">
        <v>84</v>
      </c>
      <c r="B88" s="13">
        <v>43787</v>
      </c>
      <c r="C88" s="13">
        <v>43790</v>
      </c>
      <c r="D88" s="4" t="s">
        <v>92</v>
      </c>
      <c r="E88" s="14">
        <v>8306.3590000000004</v>
      </c>
      <c r="F88" s="14">
        <v>8234.3590000000004</v>
      </c>
      <c r="G88" s="15">
        <v>-8.6599999999999993E-3</v>
      </c>
      <c r="H88" s="16">
        <f t="shared" si="21"/>
        <v>8.2400000000000008E-3</v>
      </c>
      <c r="I88" s="17" t="b">
        <f>AND(A88&gt;2,H88&lt;=Assumptions!$B$7)</f>
        <v>0</v>
      </c>
      <c r="J88" s="15">
        <v>-7.4585936773485795E-4</v>
      </c>
      <c r="K88" s="15">
        <v>5.8648680782991347E-2</v>
      </c>
      <c r="L88" s="15">
        <v>4.4056236790785963E-3</v>
      </c>
      <c r="M88" s="17" t="b">
        <f>J88&gt;=Assumptions!$B$8</f>
        <v>0</v>
      </c>
      <c r="N88" s="17" t="b">
        <f>AND(K88&lt;&gt;"",K88&lt;=Assumptions!$B$9)</f>
        <v>0</v>
      </c>
      <c r="O88" s="17" t="b">
        <f>AND(P88&lt;&gt;"",ABS(L88)&lt;=Assumptions!$B$10)</f>
        <v>1</v>
      </c>
      <c r="P88" s="13">
        <v>43788</v>
      </c>
      <c r="Q88" s="14">
        <v>8357.06</v>
      </c>
      <c r="R88" s="15">
        <v>-1.468E-2</v>
      </c>
      <c r="S88" s="17" t="str">
        <f t="shared" si="11"/>
        <v>BASELINE</v>
      </c>
      <c r="T88" s="16">
        <f t="shared" si="12"/>
        <v>-8.6599999999999993E-3</v>
      </c>
      <c r="U88" s="16">
        <f>G88*Assumptions!$B$6</f>
        <v>-9.7858000000000001E-2</v>
      </c>
      <c r="V88" s="16">
        <f>T88*Assumptions!$B$6</f>
        <v>-9.7858000000000001E-2</v>
      </c>
      <c r="W88" s="16">
        <f t="shared" si="13"/>
        <v>0</v>
      </c>
      <c r="X88" s="18">
        <f t="shared" si="17"/>
        <v>140.33217534650942</v>
      </c>
      <c r="Y88" s="18">
        <f t="shared" si="18"/>
        <v>309.63941597683379</v>
      </c>
      <c r="Z88" s="19">
        <f t="shared" si="14"/>
        <v>-0.54678839932636802</v>
      </c>
      <c r="AA88" s="18">
        <f t="shared" si="19"/>
        <v>1372.7594400794587</v>
      </c>
      <c r="AB88" s="18">
        <f t="shared" si="20"/>
        <v>1521.6667000089328</v>
      </c>
      <c r="AC88" s="19">
        <f t="shared" si="15"/>
        <v>-9.7858000000000001E-2</v>
      </c>
      <c r="AD88" s="20">
        <f t="shared" si="16"/>
        <v>1232.4272647329494</v>
      </c>
      <c r="AE88" s="9" t="s">
        <v>91</v>
      </c>
    </row>
    <row r="89" spans="1:31" ht="18" customHeight="1">
      <c r="A89" s="4">
        <v>85</v>
      </c>
      <c r="B89" s="13">
        <v>43794</v>
      </c>
      <c r="C89" s="13">
        <v>43794</v>
      </c>
      <c r="D89" s="4" t="s">
        <v>90</v>
      </c>
      <c r="E89" s="14">
        <v>8305.27</v>
      </c>
      <c r="F89" s="14">
        <v>8367.9699999999993</v>
      </c>
      <c r="G89" s="15">
        <v>7.5399999999999998E-3</v>
      </c>
      <c r="H89" s="16">
        <f t="shared" si="21"/>
        <v>3.6000000000000008E-3</v>
      </c>
      <c r="I89" s="17" t="b">
        <f>AND(A89&gt;2,H89&lt;=Assumptions!$B$7)</f>
        <v>0</v>
      </c>
      <c r="J89" s="15">
        <v>3.7841613930935658E-3</v>
      </c>
      <c r="K89" s="15">
        <v>3.1778729804010863E-2</v>
      </c>
      <c r="L89" s="15">
        <v>1.2220408749833211E-2</v>
      </c>
      <c r="M89" s="17" t="b">
        <f>J89&gt;=Assumptions!$B$8</f>
        <v>0</v>
      </c>
      <c r="N89" s="17" t="b">
        <f>AND(K89&lt;&gt;"",K89&lt;=Assumptions!$B$9)</f>
        <v>0</v>
      </c>
      <c r="O89" s="17" t="b">
        <f>AND(P89&lt;&gt;"",ABS(L89)&lt;=Assumptions!$B$10)</f>
        <v>0</v>
      </c>
      <c r="P89" s="13">
        <v>43795</v>
      </c>
      <c r="Q89" s="14">
        <v>8374.0689999999995</v>
      </c>
      <c r="R89" s="15">
        <v>-7.2000000000000005E-4</v>
      </c>
      <c r="S89" s="17" t="str">
        <f t="shared" si="11"/>
        <v>BASELINE</v>
      </c>
      <c r="T89" s="16">
        <f t="shared" si="12"/>
        <v>7.5399999999999998E-3</v>
      </c>
      <c r="U89" s="16">
        <f>G89*Assumptions!$B$6</f>
        <v>8.5202E-2</v>
      </c>
      <c r="V89" s="16">
        <f>T89*Assumptions!$B$6</f>
        <v>8.5202E-2</v>
      </c>
      <c r="W89" s="16">
        <f t="shared" si="13"/>
        <v>0</v>
      </c>
      <c r="X89" s="18">
        <f t="shared" si="17"/>
        <v>152.28875735038272</v>
      </c>
      <c r="Y89" s="18">
        <f t="shared" si="18"/>
        <v>309.63941597683379</v>
      </c>
      <c r="Z89" s="19">
        <f t="shared" si="14"/>
        <v>-0.50817386452577318</v>
      </c>
      <c r="AA89" s="18">
        <f t="shared" si="19"/>
        <v>1489.7212898931089</v>
      </c>
      <c r="AB89" s="18">
        <f t="shared" si="20"/>
        <v>1521.6667000089328</v>
      </c>
      <c r="AC89" s="19">
        <f t="shared" si="15"/>
        <v>-2.0993697315999871E-2</v>
      </c>
      <c r="AD89" s="20">
        <f t="shared" si="16"/>
        <v>1337.4325325427262</v>
      </c>
      <c r="AE89" s="9" t="s">
        <v>91</v>
      </c>
    </row>
    <row r="90" spans="1:31" ht="18" customHeight="1">
      <c r="A90" s="4">
        <v>86</v>
      </c>
      <c r="B90" s="13">
        <v>43801</v>
      </c>
      <c r="C90" s="13">
        <v>43804</v>
      </c>
      <c r="D90" s="4" t="s">
        <v>92</v>
      </c>
      <c r="E90" s="14">
        <v>8405.5589999999993</v>
      </c>
      <c r="F90" s="14">
        <v>8290.8690000000006</v>
      </c>
      <c r="G90" s="15">
        <v>-1.3639999999999999E-2</v>
      </c>
      <c r="H90" s="16">
        <f t="shared" si="21"/>
        <v>-1.1199999999999995E-3</v>
      </c>
      <c r="I90" s="17" t="b">
        <f>AND(A90&gt;2,H90&lt;=Assumptions!$B$7)</f>
        <v>0</v>
      </c>
      <c r="J90" s="15">
        <v>-1.4979504450434167E-3</v>
      </c>
      <c r="K90" s="15">
        <v>4.0659381094307667E-2</v>
      </c>
      <c r="L90" s="15">
        <v>-2.3321244203784341E-2</v>
      </c>
      <c r="M90" s="17" t="b">
        <f>J90&gt;=Assumptions!$B$8</f>
        <v>0</v>
      </c>
      <c r="N90" s="17" t="b">
        <f>AND(K90&lt;&gt;"",K90&lt;=Assumptions!$B$9)</f>
        <v>0</v>
      </c>
      <c r="O90" s="17" t="b">
        <f>AND(P90&lt;&gt;"",ABS(L90)&lt;=Assumptions!$B$10)</f>
        <v>0</v>
      </c>
      <c r="P90" s="13">
        <v>43802</v>
      </c>
      <c r="Q90" s="14">
        <v>8206.5689999999995</v>
      </c>
      <c r="R90" s="15">
        <v>1.027E-2</v>
      </c>
      <c r="S90" s="17" t="str">
        <f t="shared" si="11"/>
        <v>BASELINE</v>
      </c>
      <c r="T90" s="16">
        <f t="shared" si="12"/>
        <v>-1.3639999999999999E-2</v>
      </c>
      <c r="U90" s="16">
        <f>G90*Assumptions!$B$6</f>
        <v>-0.15413199999999999</v>
      </c>
      <c r="V90" s="16">
        <f>T90*Assumptions!$B$6</f>
        <v>-0.15413199999999999</v>
      </c>
      <c r="W90" s="16">
        <f t="shared" si="13"/>
        <v>0</v>
      </c>
      <c r="X90" s="18">
        <f t="shared" si="17"/>
        <v>128.81618660245354</v>
      </c>
      <c r="Y90" s="18">
        <f t="shared" si="18"/>
        <v>309.63941597683379</v>
      </c>
      <c r="Z90" s="19">
        <f t="shared" si="14"/>
        <v>-0.58398001043868675</v>
      </c>
      <c r="AA90" s="18">
        <f t="shared" si="19"/>
        <v>1260.1075680393044</v>
      </c>
      <c r="AB90" s="18">
        <f t="shared" si="20"/>
        <v>1521.6667000089328</v>
      </c>
      <c r="AC90" s="19">
        <f t="shared" si="15"/>
        <v>-0.17188989676129007</v>
      </c>
      <c r="AD90" s="20">
        <f t="shared" si="16"/>
        <v>1131.2913814368508</v>
      </c>
      <c r="AE90" s="9" t="s">
        <v>91</v>
      </c>
    </row>
    <row r="91" spans="1:31" ht="18" customHeight="1">
      <c r="A91" s="4">
        <v>87</v>
      </c>
      <c r="B91" s="13">
        <v>43808</v>
      </c>
      <c r="C91" s="13">
        <v>43812</v>
      </c>
      <c r="D91" s="4" t="s">
        <v>93</v>
      </c>
      <c r="E91" s="14">
        <v>8381.6689999999999</v>
      </c>
      <c r="F91" s="14">
        <v>8488.17</v>
      </c>
      <c r="G91" s="15">
        <v>1.2699999999999999E-2</v>
      </c>
      <c r="H91" s="16">
        <f t="shared" si="21"/>
        <v>-6.0999999999999995E-3</v>
      </c>
      <c r="I91" s="17" t="b">
        <f>AND(A91&gt;2,H91&lt;=Assumptions!$B$7)</f>
        <v>0</v>
      </c>
      <c r="J91" s="15">
        <v>-1.4761629056737613E-3</v>
      </c>
      <c r="K91" s="15">
        <v>2.2805158555811111E-2</v>
      </c>
      <c r="L91" s="15">
        <v>-4.0732374151619677E-3</v>
      </c>
      <c r="M91" s="17" t="b">
        <f>J91&gt;=Assumptions!$B$8</f>
        <v>0</v>
      </c>
      <c r="N91" s="17" t="b">
        <f>AND(K91&lt;&gt;"",K91&lt;=Assumptions!$B$9)</f>
        <v>0</v>
      </c>
      <c r="O91" s="17" t="b">
        <f>AND(P91&lt;&gt;"",ABS(L91)&lt;=Assumptions!$B$10)</f>
        <v>1</v>
      </c>
      <c r="P91" s="13">
        <v>43809</v>
      </c>
      <c r="Q91" s="14">
        <v>8363.07</v>
      </c>
      <c r="R91" s="15">
        <v>1.495E-2</v>
      </c>
      <c r="S91" s="17" t="str">
        <f t="shared" si="11"/>
        <v>BASELINE</v>
      </c>
      <c r="T91" s="16">
        <f t="shared" si="12"/>
        <v>1.2699999999999999E-2</v>
      </c>
      <c r="U91" s="16">
        <f>G91*Assumptions!$B$6</f>
        <v>0.14351</v>
      </c>
      <c r="V91" s="16">
        <f>T91*Assumptions!$B$6</f>
        <v>0.14351</v>
      </c>
      <c r="W91" s="16">
        <f t="shared" si="13"/>
        <v>0</v>
      </c>
      <c r="X91" s="18">
        <f t="shared" si="17"/>
        <v>147.30259754177166</v>
      </c>
      <c r="Y91" s="18">
        <f t="shared" si="18"/>
        <v>309.63941597683379</v>
      </c>
      <c r="Z91" s="19">
        <f t="shared" si="14"/>
        <v>-0.52427698173674253</v>
      </c>
      <c r="AA91" s="18">
        <f t="shared" si="19"/>
        <v>1440.9456051286249</v>
      </c>
      <c r="AB91" s="18">
        <f t="shared" si="20"/>
        <v>1521.6667000089328</v>
      </c>
      <c r="AC91" s="19">
        <f t="shared" si="15"/>
        <v>-5.3047815845502888E-2</v>
      </c>
      <c r="AD91" s="20">
        <f t="shared" si="16"/>
        <v>1293.6430075868534</v>
      </c>
      <c r="AE91" s="9" t="s">
        <v>91</v>
      </c>
    </row>
    <row r="92" spans="1:31" ht="18" customHeight="1">
      <c r="A92" s="4">
        <v>88</v>
      </c>
      <c r="B92" s="13">
        <v>43815</v>
      </c>
      <c r="C92" s="13">
        <v>43819</v>
      </c>
      <c r="D92" s="4" t="s">
        <v>93</v>
      </c>
      <c r="E92" s="14">
        <v>8541.2690000000002</v>
      </c>
      <c r="F92" s="14">
        <v>8682.07</v>
      </c>
      <c r="G92" s="15">
        <v>1.6480000000000002E-2</v>
      </c>
      <c r="H92" s="16">
        <f t="shared" si="21"/>
        <v>-9.3999999999999986E-4</v>
      </c>
      <c r="I92" s="17" t="b">
        <f>AND(A92&gt;2,H92&lt;=Assumptions!$B$7)</f>
        <v>0</v>
      </c>
      <c r="J92" s="15">
        <v>6.2556475659654165E-3</v>
      </c>
      <c r="K92" s="15">
        <v>2.8537779514924644E-2</v>
      </c>
      <c r="L92" s="15">
        <v>1.1185391488702123E-2</v>
      </c>
      <c r="M92" s="17" t="b">
        <f>J92&gt;=Assumptions!$B$8</f>
        <v>0</v>
      </c>
      <c r="N92" s="17" t="b">
        <f>AND(K92&lt;&gt;"",K92&lt;=Assumptions!$B$9)</f>
        <v>0</v>
      </c>
      <c r="O92" s="17" t="b">
        <f>AND(P92&lt;&gt;"",ABS(L92)&lt;=Assumptions!$B$10)</f>
        <v>0</v>
      </c>
      <c r="P92" s="13">
        <v>43816</v>
      </c>
      <c r="Q92" s="14">
        <v>8583.8590000000004</v>
      </c>
      <c r="R92" s="15">
        <v>1.1440000000000001E-2</v>
      </c>
      <c r="S92" s="17" t="str">
        <f t="shared" si="11"/>
        <v>BASELINE</v>
      </c>
      <c r="T92" s="16">
        <f t="shared" si="12"/>
        <v>1.6480000000000002E-2</v>
      </c>
      <c r="U92" s="16">
        <f>G92*Assumptions!$B$6</f>
        <v>0.18622400000000003</v>
      </c>
      <c r="V92" s="16">
        <f>T92*Assumptions!$B$6</f>
        <v>0.18622400000000003</v>
      </c>
      <c r="W92" s="16">
        <f t="shared" si="13"/>
        <v>0</v>
      </c>
      <c r="X92" s="18">
        <f t="shared" si="17"/>
        <v>174.73387646639054</v>
      </c>
      <c r="Y92" s="18">
        <f t="shared" si="18"/>
        <v>309.63941597683379</v>
      </c>
      <c r="Z92" s="19">
        <f t="shared" si="14"/>
        <v>-0.43568593838368574</v>
      </c>
      <c r="AA92" s="18">
        <f t="shared" si="19"/>
        <v>1709.284259498098</v>
      </c>
      <c r="AB92" s="18">
        <f t="shared" si="20"/>
        <v>1709.284259498098</v>
      </c>
      <c r="AC92" s="19">
        <f t="shared" si="15"/>
        <v>0</v>
      </c>
      <c r="AD92" s="20">
        <f t="shared" si="16"/>
        <v>1534.5503830317075</v>
      </c>
      <c r="AE92" s="9" t="s">
        <v>91</v>
      </c>
    </row>
    <row r="93" spans="1:31" ht="18" customHeight="1">
      <c r="A93" s="4">
        <v>89</v>
      </c>
      <c r="B93" s="13">
        <v>43822</v>
      </c>
      <c r="C93" s="13">
        <v>43826</v>
      </c>
      <c r="D93" s="4" t="s">
        <v>93</v>
      </c>
      <c r="E93" s="14">
        <v>8703.06</v>
      </c>
      <c r="F93" s="14">
        <v>8766.69</v>
      </c>
      <c r="G93" s="15">
        <v>7.3099999999999997E-3</v>
      </c>
      <c r="H93" s="16">
        <f t="shared" si="21"/>
        <v>2.9180000000000001E-2</v>
      </c>
      <c r="I93" s="17" t="b">
        <f>AND(A93&gt;2,H93&lt;=Assumptions!$B$7)</f>
        <v>0</v>
      </c>
      <c r="J93" s="15">
        <v>2.4176262112607372E-3</v>
      </c>
      <c r="K93" s="15">
        <v>4.9488729450313462E-2</v>
      </c>
      <c r="L93" s="15">
        <v>3.4059712156282451E-3</v>
      </c>
      <c r="M93" s="17" t="b">
        <f>J93&gt;=Assumptions!$B$8</f>
        <v>0</v>
      </c>
      <c r="N93" s="17" t="b">
        <f>AND(K93&lt;&gt;"",K93&lt;=Assumptions!$B$9)</f>
        <v>0</v>
      </c>
      <c r="O93" s="17" t="b">
        <f>AND(P93&lt;&gt;"",ABS(L93)&lt;=Assumptions!$B$10)</f>
        <v>1</v>
      </c>
      <c r="P93" s="13">
        <v>43823</v>
      </c>
      <c r="Q93" s="14">
        <v>8702.3700000000008</v>
      </c>
      <c r="R93" s="15">
        <v>7.3899999999999999E-3</v>
      </c>
      <c r="S93" s="17" t="str">
        <f t="shared" si="11"/>
        <v>BASELINE</v>
      </c>
      <c r="T93" s="16">
        <f t="shared" si="12"/>
        <v>7.3099999999999997E-3</v>
      </c>
      <c r="U93" s="16">
        <f>G93*Assumptions!$B$6</f>
        <v>8.2602999999999996E-2</v>
      </c>
      <c r="V93" s="16">
        <f>T93*Assumptions!$B$6</f>
        <v>8.2602999999999996E-2</v>
      </c>
      <c r="W93" s="16">
        <f t="shared" si="13"/>
        <v>0</v>
      </c>
      <c r="X93" s="18">
        <f t="shared" si="17"/>
        <v>189.1674188641438</v>
      </c>
      <c r="Y93" s="18">
        <f t="shared" si="18"/>
        <v>309.63941597683379</v>
      </c>
      <c r="Z93" s="19">
        <f t="shared" si="14"/>
        <v>-0.38907190395199331</v>
      </c>
      <c r="AA93" s="18">
        <f t="shared" si="19"/>
        <v>1850.4762671854194</v>
      </c>
      <c r="AB93" s="18">
        <f t="shared" si="20"/>
        <v>1850.4762671854194</v>
      </c>
      <c r="AC93" s="19">
        <f t="shared" si="15"/>
        <v>0</v>
      </c>
      <c r="AD93" s="20">
        <f t="shared" si="16"/>
        <v>1661.3088483212755</v>
      </c>
      <c r="AE93" s="9" t="s">
        <v>91</v>
      </c>
    </row>
    <row r="94" spans="1:31" ht="18" customHeight="1">
      <c r="A94" s="4">
        <v>90</v>
      </c>
      <c r="B94" s="13">
        <v>43829</v>
      </c>
      <c r="C94" s="13">
        <v>43832</v>
      </c>
      <c r="D94" s="4" t="s">
        <v>99</v>
      </c>
      <c r="E94" s="14">
        <v>8762.2000000000007</v>
      </c>
      <c r="F94" s="14">
        <v>8749.99</v>
      </c>
      <c r="G94" s="15">
        <v>-1.39E-3</v>
      </c>
      <c r="H94" s="16">
        <f t="shared" si="21"/>
        <v>2.3790000000000002E-2</v>
      </c>
      <c r="I94" s="17" t="b">
        <f>AND(A94&gt;2,H94&lt;=Assumptions!$B$7)</f>
        <v>0</v>
      </c>
      <c r="J94" s="15">
        <v>-5.1216593720093684E-4</v>
      </c>
      <c r="K94" s="15">
        <v>3.9079431005093479E-2</v>
      </c>
      <c r="L94" s="15">
        <v>-9.3927384115093382E-3</v>
      </c>
      <c r="M94" s="17" t="b">
        <f>J94&gt;=Assumptions!$B$8</f>
        <v>0</v>
      </c>
      <c r="N94" s="17" t="b">
        <f>AND(K94&lt;&gt;"",K94&lt;=Assumptions!$B$9)</f>
        <v>0</v>
      </c>
      <c r="O94" s="17" t="b">
        <f>AND(P94&lt;&gt;"",ABS(L94)&lt;=Assumptions!$B$10)</f>
        <v>0</v>
      </c>
      <c r="P94" s="13">
        <v>43830</v>
      </c>
      <c r="Q94" s="14">
        <v>8686.35</v>
      </c>
      <c r="R94" s="15">
        <v>7.3200000000000001E-3</v>
      </c>
      <c r="S94" s="17" t="str">
        <f t="shared" si="11"/>
        <v>BASELINE</v>
      </c>
      <c r="T94" s="16">
        <f t="shared" si="12"/>
        <v>-1.39E-3</v>
      </c>
      <c r="U94" s="16">
        <f>G94*Assumptions!$B$6</f>
        <v>-1.5707000000000002E-2</v>
      </c>
      <c r="V94" s="16">
        <f>T94*Assumptions!$B$6</f>
        <v>-1.5707000000000002E-2</v>
      </c>
      <c r="W94" s="16">
        <f t="shared" si="13"/>
        <v>0</v>
      </c>
      <c r="X94" s="18">
        <f t="shared" si="17"/>
        <v>186.19616621604467</v>
      </c>
      <c r="Y94" s="18">
        <f t="shared" si="18"/>
        <v>309.63941597683379</v>
      </c>
      <c r="Z94" s="19">
        <f t="shared" si="14"/>
        <v>-0.39866775155661949</v>
      </c>
      <c r="AA94" s="18">
        <f t="shared" si="19"/>
        <v>1821.410836456738</v>
      </c>
      <c r="AB94" s="18">
        <f t="shared" si="20"/>
        <v>1850.4762671854194</v>
      </c>
      <c r="AC94" s="19">
        <f t="shared" si="15"/>
        <v>-1.5707000000000026E-2</v>
      </c>
      <c r="AD94" s="20">
        <f t="shared" si="16"/>
        <v>1635.2146702406933</v>
      </c>
      <c r="AE94" s="9" t="s">
        <v>91</v>
      </c>
    </row>
    <row r="95" spans="1:31" ht="18" customHeight="1">
      <c r="A95" s="4">
        <v>91</v>
      </c>
      <c r="B95" s="13">
        <v>43836</v>
      </c>
      <c r="C95" s="13">
        <v>43836</v>
      </c>
      <c r="D95" s="4" t="s">
        <v>90</v>
      </c>
      <c r="E95" s="14">
        <v>8721.48</v>
      </c>
      <c r="F95" s="14">
        <v>8849.02</v>
      </c>
      <c r="G95" s="15">
        <v>1.4619999999999999E-2</v>
      </c>
      <c r="H95" s="16">
        <f t="shared" si="21"/>
        <v>5.9199999999999999E-3</v>
      </c>
      <c r="I95" s="17" t="b">
        <f>AND(A95&gt;2,H95&lt;=Assumptions!$B$7)</f>
        <v>0</v>
      </c>
      <c r="J95" s="15">
        <v>-8.2442761980354717E-3</v>
      </c>
      <c r="K95" s="15">
        <v>6.0337636950725804E-2</v>
      </c>
      <c r="L95" s="15">
        <v>6.7613219566813321E-3</v>
      </c>
      <c r="M95" s="17" t="b">
        <f>J95&gt;=Assumptions!$B$8</f>
        <v>0</v>
      </c>
      <c r="N95" s="17" t="b">
        <f>AND(K95&lt;&gt;"",K95&lt;=Assumptions!$B$9)</f>
        <v>0</v>
      </c>
      <c r="O95" s="17" t="b">
        <f>AND(P95&lt;&gt;"",ABS(L95)&lt;=Assumptions!$B$10)</f>
        <v>0</v>
      </c>
      <c r="P95" s="13">
        <v>43837</v>
      </c>
      <c r="Q95" s="14">
        <v>8848.2199999999993</v>
      </c>
      <c r="R95" s="15">
        <v>9.0000000000000006E-5</v>
      </c>
      <c r="S95" s="17" t="str">
        <f t="shared" si="11"/>
        <v>BASELINE</v>
      </c>
      <c r="T95" s="16">
        <f t="shared" si="12"/>
        <v>1.4619999999999999E-2</v>
      </c>
      <c r="U95" s="16">
        <f>G95*Assumptions!$B$6</f>
        <v>0.16520599999999999</v>
      </c>
      <c r="V95" s="16">
        <f>T95*Assumptions!$B$6</f>
        <v>0.16520599999999999</v>
      </c>
      <c r="W95" s="16">
        <f t="shared" si="13"/>
        <v>0</v>
      </c>
      <c r="X95" s="18">
        <f t="shared" si="17"/>
        <v>216.95689005193253</v>
      </c>
      <c r="Y95" s="18">
        <f t="shared" si="18"/>
        <v>309.63941597683379</v>
      </c>
      <c r="Z95" s="19">
        <f t="shared" si="14"/>
        <v>-0.29932405612028234</v>
      </c>
      <c r="AA95" s="18">
        <f t="shared" si="19"/>
        <v>2122.31883510441</v>
      </c>
      <c r="AB95" s="18">
        <f t="shared" si="20"/>
        <v>2122.31883510441</v>
      </c>
      <c r="AC95" s="19">
        <f t="shared" si="15"/>
        <v>0</v>
      </c>
      <c r="AD95" s="20">
        <f t="shared" si="16"/>
        <v>1905.3619450524775</v>
      </c>
      <c r="AE95" s="9" t="s">
        <v>91</v>
      </c>
    </row>
    <row r="96" spans="1:31" ht="18" customHeight="1">
      <c r="A96" s="4">
        <v>92</v>
      </c>
      <c r="B96" s="13">
        <v>43843</v>
      </c>
      <c r="C96" s="13">
        <v>43843</v>
      </c>
      <c r="D96" s="4" t="s">
        <v>90</v>
      </c>
      <c r="E96" s="14">
        <v>9000</v>
      </c>
      <c r="F96" s="14">
        <v>9066.8700000000008</v>
      </c>
      <c r="G96" s="15">
        <v>7.43E-3</v>
      </c>
      <c r="H96" s="16">
        <f t="shared" si="21"/>
        <v>1.3229999999999999E-2</v>
      </c>
      <c r="I96" s="17" t="b">
        <f>AND(A96&gt;2,H96&lt;=Assumptions!$B$7)</f>
        <v>0</v>
      </c>
      <c r="J96" s="15">
        <v>3.9511053501670723E-3</v>
      </c>
      <c r="K96" s="15">
        <v>6.7973334276775654E-2</v>
      </c>
      <c r="L96" s="15">
        <v>1.0572345319110665E-2</v>
      </c>
      <c r="M96" s="17" t="b">
        <f>J96&gt;=Assumptions!$B$8</f>
        <v>0</v>
      </c>
      <c r="N96" s="17" t="b">
        <f>AND(K96&lt;&gt;"",K96&lt;=Assumptions!$B$9)</f>
        <v>0</v>
      </c>
      <c r="O96" s="17" t="b">
        <f>AND(P96&lt;&gt;"",ABS(L96)&lt;=Assumptions!$B$10)</f>
        <v>0</v>
      </c>
      <c r="P96" s="13">
        <v>43844</v>
      </c>
      <c r="Q96" s="14">
        <v>9060.08</v>
      </c>
      <c r="R96" s="15">
        <v>7.3999999999999999E-4</v>
      </c>
      <c r="S96" s="17" t="str">
        <f t="shared" si="11"/>
        <v>BASELINE</v>
      </c>
      <c r="T96" s="16">
        <f t="shared" si="12"/>
        <v>7.43E-3</v>
      </c>
      <c r="U96" s="16">
        <f>G96*Assumptions!$B$6</f>
        <v>8.3959000000000006E-2</v>
      </c>
      <c r="V96" s="16">
        <f>T96*Assumptions!$B$6</f>
        <v>8.3959000000000006E-2</v>
      </c>
      <c r="W96" s="16">
        <f t="shared" si="13"/>
        <v>0</v>
      </c>
      <c r="X96" s="18">
        <f t="shared" si="17"/>
        <v>235.17237358380277</v>
      </c>
      <c r="Y96" s="18">
        <f t="shared" si="18"/>
        <v>309.63941597683379</v>
      </c>
      <c r="Z96" s="19">
        <f t="shared" si="14"/>
        <v>-0.24049600454808506</v>
      </c>
      <c r="AA96" s="18">
        <f t="shared" si="19"/>
        <v>2300.5066021809416</v>
      </c>
      <c r="AB96" s="18">
        <f t="shared" si="20"/>
        <v>2300.5066021809416</v>
      </c>
      <c r="AC96" s="19">
        <f t="shared" si="15"/>
        <v>0</v>
      </c>
      <c r="AD96" s="20">
        <f t="shared" si="16"/>
        <v>2065.3342285971389</v>
      </c>
      <c r="AE96" s="9" t="s">
        <v>91</v>
      </c>
    </row>
    <row r="97" spans="1:31" ht="18" customHeight="1">
      <c r="A97" s="4">
        <v>93</v>
      </c>
      <c r="B97" s="13">
        <v>43851</v>
      </c>
      <c r="C97" s="13">
        <v>43854</v>
      </c>
      <c r="D97" s="4" t="s">
        <v>97</v>
      </c>
      <c r="E97" s="14">
        <v>9140.49</v>
      </c>
      <c r="F97" s="14">
        <v>9103.9280399999989</v>
      </c>
      <c r="G97" s="15">
        <v>-4.0000000000000001E-3</v>
      </c>
      <c r="H97" s="16">
        <f t="shared" si="21"/>
        <v>2.205E-2</v>
      </c>
      <c r="I97" s="17" t="b">
        <f>AND(A97&gt;2,H97&lt;=Assumptions!$B$7)</f>
        <v>0</v>
      </c>
      <c r="J97" s="15">
        <v>-3.1583137483710555E-3</v>
      </c>
      <c r="K97" s="15">
        <v>6.8277321310276085E-2</v>
      </c>
      <c r="L97" s="15"/>
      <c r="M97" s="17" t="b">
        <f>J97&gt;=Assumptions!$B$8</f>
        <v>0</v>
      </c>
      <c r="N97" s="17" t="b">
        <f>AND(K97&lt;&gt;"",K97&lt;=Assumptions!$B$9)</f>
        <v>0</v>
      </c>
      <c r="O97" s="17" t="b">
        <f>AND(P97&lt;&gt;"",ABS(L97)&lt;=Assumptions!$B$10)</f>
        <v>0</v>
      </c>
      <c r="P97" s="13"/>
      <c r="Q97" s="14"/>
      <c r="R97" s="15"/>
      <c r="S97" s="17" t="str">
        <f t="shared" si="11"/>
        <v>BASELINE</v>
      </c>
      <c r="T97" s="16">
        <f t="shared" si="12"/>
        <v>-4.0000000000000001E-3</v>
      </c>
      <c r="U97" s="16">
        <f>G97*Assumptions!$B$6</f>
        <v>-4.5200000000000004E-2</v>
      </c>
      <c r="V97" s="16">
        <f>T97*Assumptions!$B$6</f>
        <v>-4.5200000000000004E-2</v>
      </c>
      <c r="W97" s="16">
        <f t="shared" si="13"/>
        <v>0</v>
      </c>
      <c r="X97" s="18">
        <f t="shared" si="17"/>
        <v>224.54258229781487</v>
      </c>
      <c r="Y97" s="18">
        <f t="shared" si="18"/>
        <v>309.63941597683379</v>
      </c>
      <c r="Z97" s="19">
        <f t="shared" si="14"/>
        <v>-0.27482558514251165</v>
      </c>
      <c r="AA97" s="18">
        <f t="shared" si="19"/>
        <v>2196.5237037623629</v>
      </c>
      <c r="AB97" s="18">
        <f t="shared" si="20"/>
        <v>2300.5066021809416</v>
      </c>
      <c r="AC97" s="19">
        <f t="shared" si="15"/>
        <v>-4.5200000000000129E-2</v>
      </c>
      <c r="AD97" s="20">
        <f t="shared" si="16"/>
        <v>1971.9811214645479</v>
      </c>
      <c r="AE97" s="9" t="s">
        <v>91</v>
      </c>
    </row>
    <row r="98" spans="1:31" ht="18" customHeight="1">
      <c r="A98" s="4">
        <v>94</v>
      </c>
      <c r="B98" s="13">
        <v>43857</v>
      </c>
      <c r="C98" s="13">
        <v>43861</v>
      </c>
      <c r="D98" s="4" t="s">
        <v>93</v>
      </c>
      <c r="E98" s="14">
        <v>8935.59</v>
      </c>
      <c r="F98" s="14">
        <v>8994.2999999999993</v>
      </c>
      <c r="G98" s="15">
        <v>6.5700000000000003E-3</v>
      </c>
      <c r="H98" s="16">
        <f t="shared" si="21"/>
        <v>3.4299999999999999E-3</v>
      </c>
      <c r="I98" s="17" t="b">
        <f>AND(A98&gt;2,H98&lt;=Assumptions!$B$7)</f>
        <v>0</v>
      </c>
      <c r="J98" s="15">
        <v>-2.244133941308768E-2</v>
      </c>
      <c r="K98" s="15">
        <v>5.091881186186864E-2</v>
      </c>
      <c r="L98" s="15">
        <v>-1.3920930599588877E-2</v>
      </c>
      <c r="M98" s="17" t="b">
        <f>J98&gt;=Assumptions!$B$8</f>
        <v>0</v>
      </c>
      <c r="N98" s="17" t="b">
        <f>AND(K98&lt;&gt;"",K98&lt;=Assumptions!$B$9)</f>
        <v>0</v>
      </c>
      <c r="O98" s="17" t="b">
        <f>AND(P98&lt;&gt;"",ABS(L98)&lt;=Assumptions!$B$10)</f>
        <v>0</v>
      </c>
      <c r="P98" s="13">
        <v>43858</v>
      </c>
      <c r="Q98" s="14">
        <v>9013.56</v>
      </c>
      <c r="R98" s="15">
        <v>-2.1299999999999999E-3</v>
      </c>
      <c r="S98" s="17" t="str">
        <f t="shared" si="11"/>
        <v>BASELINE</v>
      </c>
      <c r="T98" s="16">
        <f t="shared" si="12"/>
        <v>6.5700000000000003E-3</v>
      </c>
      <c r="U98" s="16">
        <f>G98*Assumptions!$B$6</f>
        <v>7.4241000000000001E-2</v>
      </c>
      <c r="V98" s="16">
        <f>T98*Assumptions!$B$6</f>
        <v>7.4241000000000001E-2</v>
      </c>
      <c r="W98" s="16">
        <f t="shared" si="13"/>
        <v>0</v>
      </c>
      <c r="X98" s="18">
        <f t="shared" si="17"/>
        <v>241.21284815018694</v>
      </c>
      <c r="Y98" s="18">
        <f t="shared" si="18"/>
        <v>309.63941597683379</v>
      </c>
      <c r="Z98" s="19">
        <f t="shared" si="14"/>
        <v>-0.22098791140907692</v>
      </c>
      <c r="AA98" s="18">
        <f t="shared" si="19"/>
        <v>2359.5958200533846</v>
      </c>
      <c r="AB98" s="18">
        <f t="shared" si="20"/>
        <v>2359.5958200533846</v>
      </c>
      <c r="AC98" s="19">
        <f t="shared" si="15"/>
        <v>0</v>
      </c>
      <c r="AD98" s="20">
        <f t="shared" si="16"/>
        <v>2118.3829719031978</v>
      </c>
      <c r="AE98" s="9" t="s">
        <v>91</v>
      </c>
    </row>
    <row r="99" spans="1:31" ht="18" customHeight="1">
      <c r="A99" s="4">
        <v>95</v>
      </c>
      <c r="B99" s="13">
        <v>43864</v>
      </c>
      <c r="C99" s="13">
        <v>43864</v>
      </c>
      <c r="D99" s="4" t="s">
        <v>90</v>
      </c>
      <c r="E99" s="14">
        <v>9033.6299999999992</v>
      </c>
      <c r="F99" s="14">
        <v>9122.08</v>
      </c>
      <c r="G99" s="15">
        <v>9.7900000000000001E-3</v>
      </c>
      <c r="H99" s="16">
        <f t="shared" si="21"/>
        <v>2.5700000000000002E-3</v>
      </c>
      <c r="I99" s="17" t="b">
        <f>AND(A99&gt;2,H99&lt;=Assumptions!$B$7)</f>
        <v>0</v>
      </c>
      <c r="J99" s="15">
        <v>4.372769420633027E-3</v>
      </c>
      <c r="K99" s="15">
        <v>1.3456453024354609E-2</v>
      </c>
      <c r="L99" s="15">
        <v>2.8867613821349281E-2</v>
      </c>
      <c r="M99" s="17" t="b">
        <f>J99&gt;=Assumptions!$B$8</f>
        <v>0</v>
      </c>
      <c r="N99" s="17" t="b">
        <f>AND(K99&lt;&gt;"",K99&lt;=Assumptions!$B$9)</f>
        <v>0</v>
      </c>
      <c r="O99" s="17" t="b">
        <f>AND(P99&lt;&gt;"",ABS(L99)&lt;=Assumptions!$B$10)</f>
        <v>0</v>
      </c>
      <c r="P99" s="13">
        <v>43865</v>
      </c>
      <c r="Q99" s="14">
        <v>9249.4500000000007</v>
      </c>
      <c r="R99" s="15">
        <v>-1.3769999999999999E-2</v>
      </c>
      <c r="S99" s="17" t="str">
        <f t="shared" si="11"/>
        <v>BASELINE</v>
      </c>
      <c r="T99" s="16">
        <f t="shared" si="12"/>
        <v>9.7900000000000001E-3</v>
      </c>
      <c r="U99" s="16">
        <f>G99*Assumptions!$B$6</f>
        <v>0.110627</v>
      </c>
      <c r="V99" s="16">
        <f>T99*Assumptions!$B$6</f>
        <v>0.110627</v>
      </c>
      <c r="W99" s="16">
        <f t="shared" si="13"/>
        <v>0</v>
      </c>
      <c r="X99" s="18">
        <f t="shared" si="17"/>
        <v>267.89750190249771</v>
      </c>
      <c r="Y99" s="18">
        <f t="shared" si="18"/>
        <v>309.63941597683379</v>
      </c>
      <c r="Z99" s="19">
        <f t="shared" si="14"/>
        <v>-0.13480814108452865</v>
      </c>
      <c r="AA99" s="18">
        <f t="shared" si="19"/>
        <v>2620.6308268384305</v>
      </c>
      <c r="AB99" s="18">
        <f t="shared" si="20"/>
        <v>2620.6308268384305</v>
      </c>
      <c r="AC99" s="19">
        <f t="shared" si="15"/>
        <v>0</v>
      </c>
      <c r="AD99" s="20">
        <f t="shared" si="16"/>
        <v>2352.7333249359326</v>
      </c>
      <c r="AE99" s="9" t="s">
        <v>91</v>
      </c>
    </row>
    <row r="100" spans="1:31" ht="18" customHeight="1">
      <c r="A100" s="4">
        <v>96</v>
      </c>
      <c r="B100" s="13">
        <v>43871</v>
      </c>
      <c r="C100" s="13">
        <v>43871</v>
      </c>
      <c r="D100" s="4" t="s">
        <v>90</v>
      </c>
      <c r="E100" s="14">
        <v>9369.98</v>
      </c>
      <c r="F100" s="14">
        <v>9511.6200000000008</v>
      </c>
      <c r="G100" s="15">
        <v>1.511E-2</v>
      </c>
      <c r="H100" s="16">
        <f t="shared" si="21"/>
        <v>1.636E-2</v>
      </c>
      <c r="I100" s="17" t="b">
        <f>AND(A100&gt;2,H100&lt;=Assumptions!$B$7)</f>
        <v>0</v>
      </c>
      <c r="J100" s="15">
        <v>-2.8934242968894353E-3</v>
      </c>
      <c r="K100" s="15">
        <v>4.6555646813371432E-2</v>
      </c>
      <c r="L100" s="15">
        <v>1.7553908811683394E-2</v>
      </c>
      <c r="M100" s="17" t="b">
        <f>J100&gt;=Assumptions!$B$8</f>
        <v>0</v>
      </c>
      <c r="N100" s="17" t="b">
        <f>AND(K100&lt;&gt;"",K100&lt;=Assumptions!$B$9)</f>
        <v>0</v>
      </c>
      <c r="O100" s="17" t="b">
        <f>AND(P100&lt;&gt;"",ABS(L100)&lt;=Assumptions!$B$10)</f>
        <v>0</v>
      </c>
      <c r="P100" s="13">
        <v>43872</v>
      </c>
      <c r="Q100" s="14">
        <v>9566.11</v>
      </c>
      <c r="R100" s="15">
        <v>-5.6899999999999997E-3</v>
      </c>
      <c r="S100" s="17" t="str">
        <f t="shared" si="11"/>
        <v>BASELINE</v>
      </c>
      <c r="T100" s="16">
        <f t="shared" si="12"/>
        <v>1.511E-2</v>
      </c>
      <c r="U100" s="16">
        <f>G100*Assumptions!$B$6</f>
        <v>0.17074300000000001</v>
      </c>
      <c r="V100" s="16">
        <f>T100*Assumptions!$B$6</f>
        <v>0.17074300000000001</v>
      </c>
      <c r="W100" s="16">
        <f t="shared" si="13"/>
        <v>0</v>
      </c>
      <c r="X100" s="18">
        <f t="shared" si="17"/>
        <v>313.63912506983593</v>
      </c>
      <c r="Y100" s="18">
        <f t="shared" si="18"/>
        <v>313.63912506983593</v>
      </c>
      <c r="Z100" s="19">
        <f t="shared" si="14"/>
        <v>0</v>
      </c>
      <c r="AA100" s="18">
        <f t="shared" si="19"/>
        <v>3068.0851961053049</v>
      </c>
      <c r="AB100" s="18">
        <f t="shared" si="20"/>
        <v>3068.0851961053049</v>
      </c>
      <c r="AC100" s="19">
        <f t="shared" si="15"/>
        <v>0</v>
      </c>
      <c r="AD100" s="20">
        <f t="shared" si="16"/>
        <v>2754.4460710354688</v>
      </c>
      <c r="AE100" s="9" t="s">
        <v>91</v>
      </c>
    </row>
    <row r="101" spans="1:31" ht="18" customHeight="1">
      <c r="A101" s="4">
        <v>97</v>
      </c>
      <c r="B101" s="13">
        <v>43879</v>
      </c>
      <c r="C101" s="13">
        <v>43880</v>
      </c>
      <c r="D101" s="4" t="s">
        <v>98</v>
      </c>
      <c r="E101" s="14">
        <v>9573.7900000000009</v>
      </c>
      <c r="F101" s="14">
        <v>9647.7800000000007</v>
      </c>
      <c r="G101" s="15">
        <v>7.7200000000000003E-3</v>
      </c>
      <c r="H101" s="16">
        <f t="shared" si="21"/>
        <v>2.4899999999999999E-2</v>
      </c>
      <c r="I101" s="17" t="b">
        <f>AND(A101&gt;2,H101&lt;=Assumptions!$B$7)</f>
        <v>0</v>
      </c>
      <c r="J101" s="15">
        <v>-4.8242240286064941E-3</v>
      </c>
      <c r="K101" s="15">
        <v>5.5624279177052705E-2</v>
      </c>
      <c r="L101" s="15"/>
      <c r="M101" s="17" t="b">
        <f>J101&gt;=Assumptions!$B$8</f>
        <v>0</v>
      </c>
      <c r="N101" s="17" t="b">
        <f>AND(K101&lt;&gt;"",K101&lt;=Assumptions!$B$9)</f>
        <v>0</v>
      </c>
      <c r="O101" s="17" t="b">
        <f>AND(P101&lt;&gt;"",ABS(L101)&lt;=Assumptions!$B$10)</f>
        <v>0</v>
      </c>
      <c r="P101" s="13"/>
      <c r="Q101" s="14"/>
      <c r="R101" s="15"/>
      <c r="S101" s="17" t="str">
        <f t="shared" si="11"/>
        <v>BASELINE</v>
      </c>
      <c r="T101" s="16">
        <f t="shared" si="12"/>
        <v>7.7200000000000003E-3</v>
      </c>
      <c r="U101" s="16">
        <f>G101*Assumptions!$B$6</f>
        <v>8.7236000000000008E-2</v>
      </c>
      <c r="V101" s="16">
        <f>T101*Assumptions!$B$6</f>
        <v>8.7236000000000008E-2</v>
      </c>
      <c r="W101" s="16">
        <f t="shared" si="13"/>
        <v>0</v>
      </c>
      <c r="X101" s="18">
        <f t="shared" si="17"/>
        <v>340.99974778442817</v>
      </c>
      <c r="Y101" s="18">
        <f t="shared" si="18"/>
        <v>340.99974778442817</v>
      </c>
      <c r="Z101" s="19">
        <f t="shared" si="14"/>
        <v>0</v>
      </c>
      <c r="AA101" s="18">
        <f t="shared" si="19"/>
        <v>3335.7326762727475</v>
      </c>
      <c r="AB101" s="18">
        <f t="shared" si="20"/>
        <v>3335.7326762727475</v>
      </c>
      <c r="AC101" s="19">
        <f t="shared" si="15"/>
        <v>0</v>
      </c>
      <c r="AD101" s="20">
        <f t="shared" si="16"/>
        <v>2994.7329284883194</v>
      </c>
      <c r="AE101" s="9" t="s">
        <v>91</v>
      </c>
    </row>
    <row r="102" spans="1:31" ht="18" customHeight="1">
      <c r="A102" s="4">
        <v>98</v>
      </c>
      <c r="B102" s="13">
        <v>43885</v>
      </c>
      <c r="C102" s="13">
        <v>43886</v>
      </c>
      <c r="D102" s="4" t="s">
        <v>98</v>
      </c>
      <c r="E102" s="14">
        <v>9093.15</v>
      </c>
      <c r="F102" s="14">
        <v>9174.86</v>
      </c>
      <c r="G102" s="15">
        <v>8.9800000000000001E-3</v>
      </c>
      <c r="H102" s="16">
        <f t="shared" si="21"/>
        <v>2.283E-2</v>
      </c>
      <c r="I102" s="17" t="b">
        <f>AND(A102&gt;2,H102&lt;=Assumptions!$B$7)</f>
        <v>0</v>
      </c>
      <c r="J102" s="15">
        <v>-3.7878988271268565E-2</v>
      </c>
      <c r="K102" s="15">
        <v>2.5268564800751125E-2</v>
      </c>
      <c r="L102" s="15">
        <v>-3.0719711253568871E-2</v>
      </c>
      <c r="M102" s="17" t="b">
        <f>J102&gt;=Assumptions!$B$8</f>
        <v>0</v>
      </c>
      <c r="N102" s="17" t="b">
        <f>AND(K102&lt;&gt;"",K102&lt;=Assumptions!$B$9)</f>
        <v>0</v>
      </c>
      <c r="O102" s="17" t="b">
        <f>AND(P102&lt;&gt;"",ABS(L102)&lt;=Assumptions!$B$10)</f>
        <v>0</v>
      </c>
      <c r="P102" s="13">
        <v>43886</v>
      </c>
      <c r="Q102" s="14">
        <v>9150.64</v>
      </c>
      <c r="R102" s="15">
        <v>2.64E-3</v>
      </c>
      <c r="S102" s="17" t="str">
        <f t="shared" si="11"/>
        <v>BASELINE</v>
      </c>
      <c r="T102" s="16">
        <f t="shared" si="12"/>
        <v>8.9800000000000001E-3</v>
      </c>
      <c r="U102" s="16">
        <f>G102*Assumptions!$B$6</f>
        <v>0.10147400000000001</v>
      </c>
      <c r="V102" s="16">
        <f>T102*Assumptions!$B$6</f>
        <v>0.10147400000000001</v>
      </c>
      <c r="W102" s="16">
        <f t="shared" si="13"/>
        <v>0</v>
      </c>
      <c r="X102" s="18">
        <f t="shared" si="17"/>
        <v>375.60235619110523</v>
      </c>
      <c r="Y102" s="18">
        <f t="shared" si="18"/>
        <v>375.60235619110523</v>
      </c>
      <c r="Z102" s="19">
        <f t="shared" si="14"/>
        <v>0</v>
      </c>
      <c r="AA102" s="18">
        <f t="shared" si="19"/>
        <v>3674.2228138648484</v>
      </c>
      <c r="AB102" s="18">
        <f t="shared" si="20"/>
        <v>3674.2228138648484</v>
      </c>
      <c r="AC102" s="19">
        <f t="shared" si="15"/>
        <v>0</v>
      </c>
      <c r="AD102" s="20">
        <f t="shared" si="16"/>
        <v>3298.6204576737432</v>
      </c>
      <c r="AE102" s="9" t="s">
        <v>91</v>
      </c>
    </row>
    <row r="103" spans="1:31" ht="18" customHeight="1">
      <c r="A103" s="4">
        <v>99</v>
      </c>
      <c r="B103" s="13">
        <v>43892</v>
      </c>
      <c r="C103" s="13">
        <v>43892</v>
      </c>
      <c r="D103" s="4" t="s">
        <v>90</v>
      </c>
      <c r="E103" s="14">
        <v>8559.2900000000009</v>
      </c>
      <c r="F103" s="14">
        <v>8870.82</v>
      </c>
      <c r="G103" s="15">
        <v>3.6389999999999999E-2</v>
      </c>
      <c r="H103" s="16">
        <f t="shared" si="21"/>
        <v>1.67E-2</v>
      </c>
      <c r="I103" s="17" t="b">
        <f>AND(A103&gt;2,H103&lt;=Assumptions!$B$7)</f>
        <v>0</v>
      </c>
      <c r="J103" s="15">
        <v>1.0849822023709876E-2</v>
      </c>
      <c r="K103" s="15">
        <v>-7.5440592565073072E-2</v>
      </c>
      <c r="L103" s="15">
        <v>5.4909839770957758E-2</v>
      </c>
      <c r="M103" s="17" t="b">
        <f>J103&gt;=Assumptions!$B$8</f>
        <v>1</v>
      </c>
      <c r="N103" s="17" t="b">
        <f>AND(K103&lt;&gt;"",K103&lt;=Assumptions!$B$9)</f>
        <v>1</v>
      </c>
      <c r="O103" s="17" t="b">
        <f>AND(P103&lt;&gt;"",ABS(L103)&lt;=Assumptions!$B$10)</f>
        <v>0</v>
      </c>
      <c r="P103" s="13">
        <v>43893</v>
      </c>
      <c r="Q103" s="14">
        <v>8900</v>
      </c>
      <c r="R103" s="15">
        <v>-3.2699999999999999E-3</v>
      </c>
      <c r="S103" s="17" t="str">
        <f t="shared" si="11"/>
        <v>GAP/MOM SKIP</v>
      </c>
      <c r="T103" s="16">
        <f t="shared" si="12"/>
        <v>0</v>
      </c>
      <c r="U103" s="16">
        <f>G103*Assumptions!$B$6</f>
        <v>0.41120699999999999</v>
      </c>
      <c r="V103" s="16">
        <f>T103*Assumptions!$B$6</f>
        <v>0</v>
      </c>
      <c r="W103" s="16">
        <f t="shared" si="13"/>
        <v>-0.41120699999999999</v>
      </c>
      <c r="X103" s="18">
        <f t="shared" si="17"/>
        <v>530.05267427338106</v>
      </c>
      <c r="Y103" s="18">
        <f t="shared" si="18"/>
        <v>530.05267427338106</v>
      </c>
      <c r="Z103" s="19">
        <f t="shared" si="14"/>
        <v>0</v>
      </c>
      <c r="AA103" s="18">
        <f t="shared" si="19"/>
        <v>3674.2228138648484</v>
      </c>
      <c r="AB103" s="18">
        <f t="shared" si="20"/>
        <v>3674.2228138648484</v>
      </c>
      <c r="AC103" s="19">
        <f t="shared" si="15"/>
        <v>0</v>
      </c>
      <c r="AD103" s="20">
        <f t="shared" si="16"/>
        <v>3144.1701395914674</v>
      </c>
      <c r="AE103" s="9" t="s">
        <v>102</v>
      </c>
    </row>
    <row r="104" spans="1:31" ht="18" customHeight="1">
      <c r="A104" s="4">
        <v>100</v>
      </c>
      <c r="B104" s="13">
        <v>43913</v>
      </c>
      <c r="C104" s="13">
        <v>43914</v>
      </c>
      <c r="D104" s="4" t="s">
        <v>98</v>
      </c>
      <c r="E104" s="14">
        <v>7011.51</v>
      </c>
      <c r="F104" s="14">
        <v>7083.05</v>
      </c>
      <c r="G104" s="15">
        <v>1.0200000000000001E-2</v>
      </c>
      <c r="H104" s="16">
        <f t="shared" si="21"/>
        <v>8.9800000000000001E-3</v>
      </c>
      <c r="I104" s="17" t="b">
        <f>AND(A104&gt;2,H104&lt;=Assumptions!$B$7)</f>
        <v>0</v>
      </c>
      <c r="J104" s="15">
        <v>-0.17652509706924868</v>
      </c>
      <c r="K104" s="15">
        <v>-9.6291073698013818E-2</v>
      </c>
      <c r="L104" s="15">
        <v>-0.13318127382141454</v>
      </c>
      <c r="M104" s="17" t="b">
        <f>J104&gt;=Assumptions!$B$8</f>
        <v>0</v>
      </c>
      <c r="N104" s="17" t="b">
        <f>AND(K104&lt;&gt;"",K104&lt;=Assumptions!$B$9)</f>
        <v>1</v>
      </c>
      <c r="O104" s="17" t="b">
        <f>AND(P104&lt;&gt;"",ABS(L104)&lt;=Assumptions!$B$10)</f>
        <v>0</v>
      </c>
      <c r="P104" s="13">
        <v>43914</v>
      </c>
      <c r="Q104" s="14">
        <v>7355.34</v>
      </c>
      <c r="R104" s="15">
        <v>-3.7010000000000001E-2</v>
      </c>
      <c r="S104" s="17" t="str">
        <f t="shared" si="11"/>
        <v>BASELINE</v>
      </c>
      <c r="T104" s="16">
        <f t="shared" si="12"/>
        <v>1.0200000000000001E-2</v>
      </c>
      <c r="U104" s="16">
        <f>G104*Assumptions!$B$6</f>
        <v>0.11526000000000002</v>
      </c>
      <c r="V104" s="16">
        <f>T104*Assumptions!$B$6</f>
        <v>0.11526000000000002</v>
      </c>
      <c r="W104" s="16">
        <f t="shared" si="13"/>
        <v>0</v>
      </c>
      <c r="X104" s="18">
        <f t="shared" si="17"/>
        <v>591.14654551013086</v>
      </c>
      <c r="Y104" s="18">
        <f t="shared" si="18"/>
        <v>591.14654551013086</v>
      </c>
      <c r="Z104" s="19">
        <f t="shared" si="14"/>
        <v>0</v>
      </c>
      <c r="AA104" s="18">
        <f t="shared" si="19"/>
        <v>4097.7137353909102</v>
      </c>
      <c r="AB104" s="18">
        <f t="shared" si="20"/>
        <v>4097.7137353909102</v>
      </c>
      <c r="AC104" s="19">
        <f t="shared" si="15"/>
        <v>0</v>
      </c>
      <c r="AD104" s="20">
        <f t="shared" si="16"/>
        <v>3506.5671898807796</v>
      </c>
      <c r="AE104" s="9" t="s">
        <v>91</v>
      </c>
    </row>
    <row r="105" spans="1:31" ht="18" customHeight="1">
      <c r="A105" s="4">
        <v>101</v>
      </c>
      <c r="B105" s="13">
        <v>43920</v>
      </c>
      <c r="C105" s="13">
        <v>43920</v>
      </c>
      <c r="D105" s="4" t="s">
        <v>90</v>
      </c>
      <c r="E105" s="14">
        <v>7678.92</v>
      </c>
      <c r="F105" s="14">
        <v>7874.7</v>
      </c>
      <c r="G105" s="15">
        <v>2.5489999999999999E-2</v>
      </c>
      <c r="H105" s="16">
        <f t="shared" si="21"/>
        <v>1.0200000000000001E-2</v>
      </c>
      <c r="I105" s="17" t="b">
        <f>AND(A105&gt;2,H105&lt;=Assumptions!$B$7)</f>
        <v>0</v>
      </c>
      <c r="J105" s="15">
        <v>1.0775220940732355E-2</v>
      </c>
      <c r="K105" s="15">
        <v>-0.20616315801100082</v>
      </c>
      <c r="L105" s="15">
        <v>3.3559474847090209E-2</v>
      </c>
      <c r="M105" s="17" t="b">
        <f>J105&gt;=Assumptions!$B$8</f>
        <v>1</v>
      </c>
      <c r="N105" s="17" t="b">
        <f>AND(K105&lt;&gt;"",K105&lt;=Assumptions!$B$9)</f>
        <v>1</v>
      </c>
      <c r="O105" s="17" t="b">
        <f>AND(P105&lt;&gt;"",ABS(L105)&lt;=Assumptions!$B$10)</f>
        <v>0</v>
      </c>
      <c r="P105" s="13">
        <v>43921</v>
      </c>
      <c r="Q105" s="14">
        <v>7860.8</v>
      </c>
      <c r="R105" s="15">
        <v>1.7600000000000001E-3</v>
      </c>
      <c r="S105" s="17" t="str">
        <f t="shared" si="11"/>
        <v>GAP/MOM SKIP</v>
      </c>
      <c r="T105" s="16">
        <f t="shared" si="12"/>
        <v>0</v>
      </c>
      <c r="U105" s="16">
        <f>G105*Assumptions!$B$6</f>
        <v>0.28803699999999999</v>
      </c>
      <c r="V105" s="16">
        <f>T105*Assumptions!$B$6</f>
        <v>0</v>
      </c>
      <c r="W105" s="16">
        <f t="shared" si="13"/>
        <v>-0.28803699999999999</v>
      </c>
      <c r="X105" s="18">
        <f t="shared" si="17"/>
        <v>761.41862303923244</v>
      </c>
      <c r="Y105" s="18">
        <f t="shared" si="18"/>
        <v>761.41862303923244</v>
      </c>
      <c r="Z105" s="19">
        <f t="shared" si="14"/>
        <v>0</v>
      </c>
      <c r="AA105" s="18">
        <f t="shared" si="19"/>
        <v>4097.7137353909102</v>
      </c>
      <c r="AB105" s="18">
        <f t="shared" si="20"/>
        <v>4097.7137353909102</v>
      </c>
      <c r="AC105" s="19">
        <f t="shared" si="15"/>
        <v>0</v>
      </c>
      <c r="AD105" s="20">
        <f t="shared" si="16"/>
        <v>3336.2951123516777</v>
      </c>
      <c r="AE105" s="9" t="s">
        <v>102</v>
      </c>
    </row>
    <row r="106" spans="1:31" ht="18" customHeight="1">
      <c r="A106" s="4">
        <v>102</v>
      </c>
      <c r="B106" s="13">
        <v>43927</v>
      </c>
      <c r="C106" s="13">
        <v>43927</v>
      </c>
      <c r="D106" s="4" t="s">
        <v>90</v>
      </c>
      <c r="E106" s="14">
        <v>7813.69</v>
      </c>
      <c r="F106" s="14">
        <v>8031.7</v>
      </c>
      <c r="G106" s="15">
        <v>2.7900000000000001E-2</v>
      </c>
      <c r="H106" s="16">
        <f t="shared" si="21"/>
        <v>1.0200000000000001E-2</v>
      </c>
      <c r="I106" s="17" t="b">
        <f>AND(A106&gt;2,H106&lt;=Assumptions!$B$7)</f>
        <v>0</v>
      </c>
      <c r="J106" s="15">
        <v>3.7634672768246613E-2</v>
      </c>
      <c r="K106" s="15">
        <v>-0.2018755948212394</v>
      </c>
      <c r="L106" s="15">
        <v>0.10245968490384549</v>
      </c>
      <c r="M106" s="17" t="b">
        <f>J106&gt;=Assumptions!$B$8</f>
        <v>1</v>
      </c>
      <c r="N106" s="17" t="b">
        <f>AND(K106&lt;&gt;"",K106&lt;=Assumptions!$B$9)</f>
        <v>1</v>
      </c>
      <c r="O106" s="17" t="b">
        <f>AND(P106&lt;&gt;"",ABS(L106)&lt;=Assumptions!$B$10)</f>
        <v>0</v>
      </c>
      <c r="P106" s="13">
        <v>43928</v>
      </c>
      <c r="Q106" s="14">
        <v>8291.6299999999992</v>
      </c>
      <c r="R106" s="15">
        <v>-3.134E-2</v>
      </c>
      <c r="S106" s="17" t="str">
        <f t="shared" si="11"/>
        <v>GAP/MOM SKIP</v>
      </c>
      <c r="T106" s="16">
        <f t="shared" si="12"/>
        <v>0</v>
      </c>
      <c r="U106" s="16">
        <f>G106*Assumptions!$B$6</f>
        <v>0.31527000000000005</v>
      </c>
      <c r="V106" s="16">
        <f>T106*Assumptions!$B$6</f>
        <v>0</v>
      </c>
      <c r="W106" s="16">
        <f t="shared" si="13"/>
        <v>-0.31527000000000005</v>
      </c>
      <c r="X106" s="18">
        <f t="shared" si="17"/>
        <v>1001.4710723248112</v>
      </c>
      <c r="Y106" s="18">
        <f t="shared" si="18"/>
        <v>1001.4710723248112</v>
      </c>
      <c r="Z106" s="19">
        <f t="shared" si="14"/>
        <v>0</v>
      </c>
      <c r="AA106" s="18">
        <f t="shared" si="19"/>
        <v>4097.7137353909102</v>
      </c>
      <c r="AB106" s="18">
        <f t="shared" si="20"/>
        <v>4097.7137353909102</v>
      </c>
      <c r="AC106" s="19">
        <f t="shared" si="15"/>
        <v>0</v>
      </c>
      <c r="AD106" s="20">
        <f t="shared" si="16"/>
        <v>3096.2426630660989</v>
      </c>
      <c r="AE106" s="9" t="s">
        <v>102</v>
      </c>
    </row>
    <row r="107" spans="1:31" ht="18" customHeight="1">
      <c r="A107" s="4">
        <v>103</v>
      </c>
      <c r="B107" s="13">
        <v>43934</v>
      </c>
      <c r="C107" s="13">
        <v>43934</v>
      </c>
      <c r="D107" s="4" t="s">
        <v>90</v>
      </c>
      <c r="E107" s="14">
        <v>8201.06</v>
      </c>
      <c r="F107" s="14">
        <v>8335.26</v>
      </c>
      <c r="G107" s="15">
        <v>1.636E-2</v>
      </c>
      <c r="H107" s="16">
        <f t="shared" si="21"/>
        <v>0</v>
      </c>
      <c r="I107" s="17" t="b">
        <f>AND(A107&gt;2,H107&lt;=Assumptions!$B$7)</f>
        <v>0</v>
      </c>
      <c r="J107" s="15">
        <v>-3.6156786322626422E-3</v>
      </c>
      <c r="K107" s="15">
        <v>-2.0986648972533883E-2</v>
      </c>
      <c r="L107" s="15">
        <v>3.1351245885983259E-2</v>
      </c>
      <c r="M107" s="17" t="b">
        <f>J107&gt;=Assumptions!$B$8</f>
        <v>0</v>
      </c>
      <c r="N107" s="17" t="b">
        <f>AND(K107&lt;&gt;"",K107&lt;=Assumptions!$B$9)</f>
        <v>1</v>
      </c>
      <c r="O107" s="17" t="b">
        <f>AND(P107&lt;&gt;"",ABS(L107)&lt;=Assumptions!$B$10)</f>
        <v>0</v>
      </c>
      <c r="P107" s="13">
        <v>43935</v>
      </c>
      <c r="Q107" s="14">
        <v>8498.4599999999991</v>
      </c>
      <c r="R107" s="15">
        <v>-1.9199999999999998E-2</v>
      </c>
      <c r="S107" s="17" t="str">
        <f t="shared" si="11"/>
        <v>BASELINE</v>
      </c>
      <c r="T107" s="16">
        <f t="shared" si="12"/>
        <v>1.636E-2</v>
      </c>
      <c r="U107" s="16">
        <f>G107*Assumptions!$B$6</f>
        <v>0.184868</v>
      </c>
      <c r="V107" s="16">
        <f>T107*Assumptions!$B$6</f>
        <v>0.184868</v>
      </c>
      <c r="W107" s="16">
        <f t="shared" si="13"/>
        <v>0</v>
      </c>
      <c r="X107" s="18">
        <f t="shared" si="17"/>
        <v>1186.6110265233544</v>
      </c>
      <c r="Y107" s="18">
        <f t="shared" si="18"/>
        <v>1186.6110265233544</v>
      </c>
      <c r="Z107" s="19">
        <f t="shared" si="14"/>
        <v>0</v>
      </c>
      <c r="AA107" s="18">
        <f t="shared" si="19"/>
        <v>4855.2498782251569</v>
      </c>
      <c r="AB107" s="18">
        <f t="shared" si="20"/>
        <v>4855.2498782251569</v>
      </c>
      <c r="AC107" s="19">
        <f t="shared" si="15"/>
        <v>0</v>
      </c>
      <c r="AD107" s="20">
        <f t="shared" si="16"/>
        <v>3668.6388517018022</v>
      </c>
      <c r="AE107" s="9" t="s">
        <v>91</v>
      </c>
    </row>
    <row r="108" spans="1:31" ht="18" customHeight="1">
      <c r="A108" s="4">
        <v>104</v>
      </c>
      <c r="B108" s="13">
        <v>43941</v>
      </c>
      <c r="C108" s="13">
        <v>43944</v>
      </c>
      <c r="D108" s="4" t="s">
        <v>92</v>
      </c>
      <c r="E108" s="14">
        <v>8747.2099999999991</v>
      </c>
      <c r="F108" s="14">
        <v>8647.3700000000008</v>
      </c>
      <c r="G108" s="15">
        <v>-1.141E-2</v>
      </c>
      <c r="H108" s="16">
        <f t="shared" si="21"/>
        <v>1.636E-2</v>
      </c>
      <c r="I108" s="17" t="b">
        <f>AND(A108&gt;2,H108&lt;=Assumptions!$B$7)</f>
        <v>0</v>
      </c>
      <c r="J108" s="15">
        <v>-7.8129873901016111E-3</v>
      </c>
      <c r="K108" s="15">
        <v>1.9884892367523666E-2</v>
      </c>
      <c r="L108" s="15">
        <v>-2.1748711364899309E-2</v>
      </c>
      <c r="M108" s="17" t="b">
        <f>J108&gt;=Assumptions!$B$8</f>
        <v>0</v>
      </c>
      <c r="N108" s="17" t="b">
        <f>AND(K108&lt;&gt;"",K108&lt;=Assumptions!$B$9)</f>
        <v>0</v>
      </c>
      <c r="O108" s="17" t="b">
        <f>AND(P108&lt;&gt;"",ABS(L108)&lt;=Assumptions!$B$10)</f>
        <v>0</v>
      </c>
      <c r="P108" s="13">
        <v>43942</v>
      </c>
      <c r="Q108" s="14">
        <v>8641.4</v>
      </c>
      <c r="R108" s="15">
        <v>6.8999999999999997E-4</v>
      </c>
      <c r="S108" s="17" t="str">
        <f t="shared" si="11"/>
        <v>BASELINE</v>
      </c>
      <c r="T108" s="16">
        <f t="shared" si="12"/>
        <v>-1.141E-2</v>
      </c>
      <c r="U108" s="16">
        <f>G108*Assumptions!$B$6</f>
        <v>-0.12893300000000002</v>
      </c>
      <c r="V108" s="16">
        <f>T108*Assumptions!$B$6</f>
        <v>-0.12893300000000002</v>
      </c>
      <c r="W108" s="16">
        <f t="shared" si="13"/>
        <v>0</v>
      </c>
      <c r="X108" s="18">
        <f t="shared" si="17"/>
        <v>1033.6177070406188</v>
      </c>
      <c r="Y108" s="18">
        <f t="shared" si="18"/>
        <v>1186.6110265233544</v>
      </c>
      <c r="Z108" s="19">
        <f t="shared" si="14"/>
        <v>-0.12893299999999996</v>
      </c>
      <c r="AA108" s="18">
        <f t="shared" si="19"/>
        <v>4229.2479456759529</v>
      </c>
      <c r="AB108" s="18">
        <f t="shared" si="20"/>
        <v>4855.2498782251569</v>
      </c>
      <c r="AC108" s="19">
        <f t="shared" si="15"/>
        <v>-0.12893299999999996</v>
      </c>
      <c r="AD108" s="20">
        <f t="shared" si="16"/>
        <v>3195.6302386353341</v>
      </c>
      <c r="AE108" s="9" t="s">
        <v>91</v>
      </c>
    </row>
    <row r="109" spans="1:31" ht="18" customHeight="1">
      <c r="A109" s="4">
        <v>105</v>
      </c>
      <c r="B109" s="13">
        <v>43948</v>
      </c>
      <c r="C109" s="13">
        <v>43950</v>
      </c>
      <c r="D109" s="4" t="s">
        <v>99</v>
      </c>
      <c r="E109" s="14">
        <v>8868.41</v>
      </c>
      <c r="F109" s="14">
        <v>8838.6</v>
      </c>
      <c r="G109" s="15">
        <v>-3.3600000000000001E-3</v>
      </c>
      <c r="H109" s="16">
        <f t="shared" si="21"/>
        <v>4.9499999999999995E-3</v>
      </c>
      <c r="I109" s="17" t="b">
        <f>AND(A109&gt;2,H109&lt;=Assumptions!$B$7)</f>
        <v>0</v>
      </c>
      <c r="J109" s="15">
        <v>9.2533372785104095E-3</v>
      </c>
      <c r="K109" s="15">
        <v>0.11433224230502592</v>
      </c>
      <c r="L109" s="15">
        <v>1.6031948142146035E-2</v>
      </c>
      <c r="M109" s="17" t="b">
        <f>J109&gt;=Assumptions!$B$8</f>
        <v>0</v>
      </c>
      <c r="N109" s="17" t="b">
        <f>AND(K109&lt;&gt;"",K109&lt;=Assumptions!$B$9)</f>
        <v>0</v>
      </c>
      <c r="O109" s="17" t="b">
        <f>AND(P109&lt;&gt;"",ABS(L109)&lt;=Assumptions!$B$10)</f>
        <v>0</v>
      </c>
      <c r="P109" s="13">
        <v>43949</v>
      </c>
      <c r="Q109" s="14">
        <v>8914.23</v>
      </c>
      <c r="R109" s="15">
        <v>-8.4799999999999997E-3</v>
      </c>
      <c r="S109" s="17" t="str">
        <f t="shared" si="11"/>
        <v>BASELINE</v>
      </c>
      <c r="T109" s="16">
        <f t="shared" si="12"/>
        <v>-3.3600000000000001E-3</v>
      </c>
      <c r="U109" s="16">
        <f>G109*Assumptions!$B$6</f>
        <v>-3.7968000000000002E-2</v>
      </c>
      <c r="V109" s="16">
        <f>T109*Assumptions!$B$6</f>
        <v>-3.7968000000000002E-2</v>
      </c>
      <c r="W109" s="16">
        <f t="shared" si="13"/>
        <v>0</v>
      </c>
      <c r="X109" s="18">
        <f t="shared" si="17"/>
        <v>994.37330993970056</v>
      </c>
      <c r="Y109" s="18">
        <f t="shared" si="18"/>
        <v>1186.6110265233544</v>
      </c>
      <c r="Z109" s="19">
        <f t="shared" si="14"/>
        <v>-0.16200567185600001</v>
      </c>
      <c r="AA109" s="18">
        <f t="shared" si="19"/>
        <v>4068.6718596745282</v>
      </c>
      <c r="AB109" s="18">
        <f t="shared" si="20"/>
        <v>4855.2498782251569</v>
      </c>
      <c r="AC109" s="19">
        <f t="shared" si="15"/>
        <v>-0.16200567185600001</v>
      </c>
      <c r="AD109" s="20">
        <f t="shared" si="16"/>
        <v>3074.2985497348277</v>
      </c>
      <c r="AE109" s="9" t="s">
        <v>91</v>
      </c>
    </row>
    <row r="110" spans="1:31" ht="18" customHeight="1">
      <c r="A110" s="4">
        <v>106</v>
      </c>
      <c r="B110" s="13">
        <v>43955</v>
      </c>
      <c r="C110" s="13">
        <v>43955</v>
      </c>
      <c r="D110" s="4" t="s">
        <v>90</v>
      </c>
      <c r="E110" s="14">
        <v>8680.6200000000008</v>
      </c>
      <c r="F110" s="14">
        <v>8825.69</v>
      </c>
      <c r="G110" s="15">
        <v>1.6709999999999999E-2</v>
      </c>
      <c r="H110" s="16">
        <f t="shared" si="21"/>
        <v>-1.477E-2</v>
      </c>
      <c r="I110" s="17" t="b">
        <f>AND(A110&gt;2,H110&lt;=Assumptions!$B$7)</f>
        <v>0</v>
      </c>
      <c r="J110" s="15">
        <v>-5.7360807266313429E-3</v>
      </c>
      <c r="K110" s="15">
        <v>0.14365872320606798</v>
      </c>
      <c r="L110" s="15">
        <v>2.1908391025268203E-2</v>
      </c>
      <c r="M110" s="17" t="b">
        <f>J110&gt;=Assumptions!$B$8</f>
        <v>0</v>
      </c>
      <c r="N110" s="17" t="b">
        <f>AND(K110&lt;&gt;"",K110&lt;=Assumptions!$B$9)</f>
        <v>0</v>
      </c>
      <c r="O110" s="17" t="b">
        <f>AND(P110&lt;&gt;"",ABS(L110)&lt;=Assumptions!$B$10)</f>
        <v>0</v>
      </c>
      <c r="P110" s="13">
        <v>43956</v>
      </c>
      <c r="Q110" s="14">
        <v>8916.77</v>
      </c>
      <c r="R110" s="15">
        <v>-1.021E-2</v>
      </c>
      <c r="S110" s="17" t="str">
        <f t="shared" si="11"/>
        <v>BASELINE</v>
      </c>
      <c r="T110" s="16">
        <f t="shared" si="12"/>
        <v>1.6709999999999999E-2</v>
      </c>
      <c r="U110" s="16">
        <f>G110*Assumptions!$B$6</f>
        <v>0.18882299999999999</v>
      </c>
      <c r="V110" s="16">
        <f>T110*Assumptions!$B$6</f>
        <v>0.18882299999999999</v>
      </c>
      <c r="W110" s="16">
        <f t="shared" si="13"/>
        <v>0</v>
      </c>
      <c r="X110" s="18">
        <f t="shared" si="17"/>
        <v>1182.1338614424446</v>
      </c>
      <c r="Y110" s="18">
        <f t="shared" si="18"/>
        <v>1186.6110265233544</v>
      </c>
      <c r="Z110" s="19">
        <f t="shared" si="14"/>
        <v>-3.7730688328655448E-3</v>
      </c>
      <c r="AA110" s="18">
        <f t="shared" si="19"/>
        <v>4836.9306862338517</v>
      </c>
      <c r="AB110" s="18">
        <f t="shared" si="20"/>
        <v>4855.2498782251569</v>
      </c>
      <c r="AC110" s="19">
        <f t="shared" si="15"/>
        <v>-3.7730688328654338E-3</v>
      </c>
      <c r="AD110" s="20">
        <f t="shared" si="16"/>
        <v>3654.7968247914068</v>
      </c>
      <c r="AE110" s="9" t="s">
        <v>91</v>
      </c>
    </row>
    <row r="111" spans="1:31" ht="18" customHeight="1">
      <c r="A111" s="4">
        <v>107</v>
      </c>
      <c r="B111" s="13">
        <v>43962</v>
      </c>
      <c r="C111" s="13">
        <v>43962</v>
      </c>
      <c r="D111" s="4" t="s">
        <v>90</v>
      </c>
      <c r="E111" s="14">
        <v>9163.57</v>
      </c>
      <c r="F111" s="14">
        <v>9302.59</v>
      </c>
      <c r="G111" s="15">
        <v>1.5169999999999999E-2</v>
      </c>
      <c r="H111" s="16">
        <f t="shared" si="21"/>
        <v>1.3349999999999999E-2</v>
      </c>
      <c r="I111" s="17" t="b">
        <f>AND(A111&gt;2,H111&lt;=Assumptions!$B$7)</f>
        <v>0</v>
      </c>
      <c r="J111" s="15">
        <v>-6.5944668487922797E-3</v>
      </c>
      <c r="K111" s="15">
        <v>0.11947977264442056</v>
      </c>
      <c r="L111" s="15">
        <v>1.1544229948952101E-2</v>
      </c>
      <c r="M111" s="17" t="b">
        <f>J111&gt;=Assumptions!$B$8</f>
        <v>0</v>
      </c>
      <c r="N111" s="17" t="b">
        <f>AND(K111&lt;&gt;"",K111&lt;=Assumptions!$B$9)</f>
        <v>0</v>
      </c>
      <c r="O111" s="17" t="b">
        <f>AND(P111&lt;&gt;"",ABS(L111)&lt;=Assumptions!$B$10)</f>
        <v>0</v>
      </c>
      <c r="P111" s="13">
        <v>43963</v>
      </c>
      <c r="Q111" s="14">
        <v>9326.32</v>
      </c>
      <c r="R111" s="15">
        <v>-2.5400000000000002E-3</v>
      </c>
      <c r="S111" s="17" t="str">
        <f t="shared" si="11"/>
        <v>BASELINE</v>
      </c>
      <c r="T111" s="16">
        <f t="shared" si="12"/>
        <v>1.5169999999999999E-2</v>
      </c>
      <c r="U111" s="16">
        <f>G111*Assumptions!$B$6</f>
        <v>0.17142100000000002</v>
      </c>
      <c r="V111" s="16">
        <f>T111*Assumptions!$B$6</f>
        <v>0.17142100000000002</v>
      </c>
      <c r="W111" s="16">
        <f t="shared" si="13"/>
        <v>0</v>
      </c>
      <c r="X111" s="18">
        <f t="shared" si="17"/>
        <v>1384.77643010477</v>
      </c>
      <c r="Y111" s="18">
        <f t="shared" si="18"/>
        <v>1384.77643010477</v>
      </c>
      <c r="Z111" s="19">
        <f t="shared" si="14"/>
        <v>0</v>
      </c>
      <c r="AA111" s="18">
        <f t="shared" si="19"/>
        <v>5666.082181398745</v>
      </c>
      <c r="AB111" s="18">
        <f t="shared" si="20"/>
        <v>5666.082181398745</v>
      </c>
      <c r="AC111" s="19">
        <f t="shared" si="15"/>
        <v>0</v>
      </c>
      <c r="AD111" s="20">
        <f t="shared" si="16"/>
        <v>4281.3057512939749</v>
      </c>
      <c r="AE111" s="9" t="s">
        <v>91</v>
      </c>
    </row>
    <row r="112" spans="1:31" ht="18" customHeight="1">
      <c r="A112" s="4">
        <v>108</v>
      </c>
      <c r="B112" s="13">
        <v>43969</v>
      </c>
      <c r="C112" s="13">
        <v>43970</v>
      </c>
      <c r="D112" s="4" t="s">
        <v>98</v>
      </c>
      <c r="E112" s="14">
        <v>9275.51</v>
      </c>
      <c r="F112" s="14">
        <v>9341.89</v>
      </c>
      <c r="G112" s="15">
        <v>7.1500000000000001E-3</v>
      </c>
      <c r="H112" s="16">
        <f t="shared" si="21"/>
        <v>3.1879999999999999E-2</v>
      </c>
      <c r="I112" s="17" t="b">
        <f>AND(A112&gt;2,H112&lt;=Assumptions!$B$7)</f>
        <v>0</v>
      </c>
      <c r="J112" s="15">
        <v>1.4103740115082086E-2</v>
      </c>
      <c r="K112" s="15">
        <v>3.7006342575737428E-2</v>
      </c>
      <c r="L112" s="15">
        <v>1.9656031006176189E-2</v>
      </c>
      <c r="M112" s="17" t="b">
        <f>J112&gt;=Assumptions!$B$8</f>
        <v>1</v>
      </c>
      <c r="N112" s="17" t="b">
        <f>AND(K112&lt;&gt;"",K112&lt;=Assumptions!$B$9)</f>
        <v>0</v>
      </c>
      <c r="O112" s="17" t="b">
        <f>AND(P112&lt;&gt;"",ABS(L112)&lt;=Assumptions!$B$10)</f>
        <v>0</v>
      </c>
      <c r="P112" s="13">
        <v>43970</v>
      </c>
      <c r="Q112" s="14">
        <v>9333.35</v>
      </c>
      <c r="R112" s="15">
        <v>9.1E-4</v>
      </c>
      <c r="S112" s="17" t="str">
        <f t="shared" si="11"/>
        <v>BASELINE</v>
      </c>
      <c r="T112" s="16">
        <f t="shared" si="12"/>
        <v>7.1500000000000001E-3</v>
      </c>
      <c r="U112" s="16">
        <f>G112*Assumptions!$B$6</f>
        <v>8.0795000000000006E-2</v>
      </c>
      <c r="V112" s="16">
        <f>T112*Assumptions!$B$6</f>
        <v>8.0795000000000006E-2</v>
      </c>
      <c r="W112" s="16">
        <f t="shared" si="13"/>
        <v>0</v>
      </c>
      <c r="X112" s="18">
        <f t="shared" si="17"/>
        <v>1496.6594417750848</v>
      </c>
      <c r="Y112" s="18">
        <f t="shared" si="18"/>
        <v>1496.6594417750848</v>
      </c>
      <c r="Z112" s="19">
        <f t="shared" si="14"/>
        <v>0</v>
      </c>
      <c r="AA112" s="18">
        <f t="shared" si="19"/>
        <v>6123.8732912448559</v>
      </c>
      <c r="AB112" s="18">
        <f t="shared" si="20"/>
        <v>6123.8732912448559</v>
      </c>
      <c r="AC112" s="19">
        <f t="shared" si="15"/>
        <v>0</v>
      </c>
      <c r="AD112" s="20">
        <f t="shared" si="16"/>
        <v>4627.213849469771</v>
      </c>
      <c r="AE112" s="9" t="s">
        <v>91</v>
      </c>
    </row>
    <row r="113" spans="1:31" ht="18" customHeight="1">
      <c r="A113" s="4">
        <v>109</v>
      </c>
      <c r="B113" s="13">
        <v>43977</v>
      </c>
      <c r="C113" s="13">
        <v>43979</v>
      </c>
      <c r="D113" s="4" t="s">
        <v>92</v>
      </c>
      <c r="E113" s="14">
        <v>9562.16</v>
      </c>
      <c r="F113" s="14">
        <v>9433.69</v>
      </c>
      <c r="G113" s="15">
        <v>-1.3429999999999999E-2</v>
      </c>
      <c r="H113" s="16">
        <f t="shared" si="21"/>
        <v>2.232E-2</v>
      </c>
      <c r="I113" s="17" t="b">
        <f>AND(A113&gt;2,H113&lt;=Assumptions!$B$7)</f>
        <v>0</v>
      </c>
      <c r="J113" s="15">
        <v>1.5793292392088487E-2</v>
      </c>
      <c r="K113" s="15">
        <v>7.3952425049195414E-2</v>
      </c>
      <c r="L113" s="15"/>
      <c r="M113" s="17" t="b">
        <f>J113&gt;=Assumptions!$B$8</f>
        <v>1</v>
      </c>
      <c r="N113" s="17" t="b">
        <f>AND(K113&lt;&gt;"",K113&lt;=Assumptions!$B$9)</f>
        <v>0</v>
      </c>
      <c r="O113" s="17" t="b">
        <f>AND(P113&lt;&gt;"",ABS(L113)&lt;=Assumptions!$B$10)</f>
        <v>0</v>
      </c>
      <c r="P113" s="13"/>
      <c r="Q113" s="14"/>
      <c r="R113" s="15"/>
      <c r="S113" s="17" t="str">
        <f t="shared" si="11"/>
        <v>BASELINE</v>
      </c>
      <c r="T113" s="16">
        <f t="shared" si="12"/>
        <v>-1.3429999999999999E-2</v>
      </c>
      <c r="U113" s="16">
        <f>G113*Assumptions!$B$6</f>
        <v>-0.15175900000000001</v>
      </c>
      <c r="V113" s="16">
        <f>T113*Assumptions!$B$6</f>
        <v>-0.15175900000000001</v>
      </c>
      <c r="W113" s="16">
        <f t="shared" si="13"/>
        <v>0</v>
      </c>
      <c r="X113" s="18">
        <f t="shared" si="17"/>
        <v>1269.5279015507397</v>
      </c>
      <c r="Y113" s="18">
        <f t="shared" si="18"/>
        <v>1496.6594417750848</v>
      </c>
      <c r="Z113" s="19">
        <f t="shared" si="14"/>
        <v>-0.15175899999999998</v>
      </c>
      <c r="AA113" s="18">
        <f t="shared" si="19"/>
        <v>5194.5204044388283</v>
      </c>
      <c r="AB113" s="18">
        <f t="shared" si="20"/>
        <v>6123.8732912448559</v>
      </c>
      <c r="AC113" s="19">
        <f t="shared" si="15"/>
        <v>-0.15175899999999987</v>
      </c>
      <c r="AD113" s="20">
        <f t="shared" si="16"/>
        <v>3924.9925028880889</v>
      </c>
      <c r="AE113" s="9" t="s">
        <v>91</v>
      </c>
    </row>
    <row r="114" spans="1:31" ht="18" customHeight="1">
      <c r="A114" s="4">
        <v>110</v>
      </c>
      <c r="B114" s="13">
        <v>43983</v>
      </c>
      <c r="C114" s="13">
        <v>43984</v>
      </c>
      <c r="D114" s="4" t="s">
        <v>98</v>
      </c>
      <c r="E114" s="14">
        <v>9522.7900000000009</v>
      </c>
      <c r="F114" s="14">
        <v>9596.51</v>
      </c>
      <c r="G114" s="15">
        <v>7.7400000000000004E-3</v>
      </c>
      <c r="H114" s="16">
        <f t="shared" si="21"/>
        <v>-6.2799999999999991E-3</v>
      </c>
      <c r="I114" s="17" t="b">
        <f>AND(A114&gt;2,H114&lt;=Assumptions!$B$7)</f>
        <v>0</v>
      </c>
      <c r="J114" s="15">
        <v>-4.538892623097146E-3</v>
      </c>
      <c r="K114" s="15">
        <v>6.6050403539272606E-2</v>
      </c>
      <c r="L114" s="15">
        <v>4.5035489202973622E-3</v>
      </c>
      <c r="M114" s="17" t="b">
        <f>J114&gt;=Assumptions!$B$8</f>
        <v>0</v>
      </c>
      <c r="N114" s="17" t="b">
        <f>AND(K114&lt;&gt;"",K114&lt;=Assumptions!$B$9)</f>
        <v>0</v>
      </c>
      <c r="O114" s="17" t="b">
        <f>AND(P114&lt;&gt;"",ABS(L114)&lt;=Assumptions!$B$10)</f>
        <v>1</v>
      </c>
      <c r="P114" s="13">
        <v>43984</v>
      </c>
      <c r="Q114" s="14">
        <v>9606.92</v>
      </c>
      <c r="R114" s="15">
        <v>-1.08E-3</v>
      </c>
      <c r="S114" s="17" t="str">
        <f t="shared" si="11"/>
        <v>BASELINE</v>
      </c>
      <c r="T114" s="16">
        <f t="shared" si="12"/>
        <v>7.7400000000000004E-3</v>
      </c>
      <c r="U114" s="16">
        <f>G114*Assumptions!$B$6</f>
        <v>8.7462000000000012E-2</v>
      </c>
      <c r="V114" s="16">
        <f>T114*Assumptions!$B$6</f>
        <v>8.7462000000000012E-2</v>
      </c>
      <c r="W114" s="16">
        <f t="shared" si="13"/>
        <v>0</v>
      </c>
      <c r="X114" s="18">
        <f t="shared" si="17"/>
        <v>1380.5633508761703</v>
      </c>
      <c r="Y114" s="18">
        <f t="shared" si="18"/>
        <v>1496.6594417750848</v>
      </c>
      <c r="Z114" s="19">
        <f t="shared" si="14"/>
        <v>-7.7570145658000134E-2</v>
      </c>
      <c r="AA114" s="18">
        <f t="shared" si="19"/>
        <v>5648.8435480518565</v>
      </c>
      <c r="AB114" s="18">
        <f t="shared" si="20"/>
        <v>6123.8732912448559</v>
      </c>
      <c r="AC114" s="19">
        <f t="shared" si="15"/>
        <v>-7.7570145658000023E-2</v>
      </c>
      <c r="AD114" s="20">
        <f t="shared" si="16"/>
        <v>4268.2801971756862</v>
      </c>
      <c r="AE114" s="9" t="s">
        <v>91</v>
      </c>
    </row>
    <row r="115" spans="1:31" ht="18" customHeight="1">
      <c r="A115" s="4">
        <v>111</v>
      </c>
      <c r="B115" s="13">
        <v>43990</v>
      </c>
      <c r="C115" s="13">
        <v>43990</v>
      </c>
      <c r="D115" s="4" t="s">
        <v>90</v>
      </c>
      <c r="E115" s="14">
        <v>9809.81</v>
      </c>
      <c r="F115" s="14">
        <v>9892.7199999999993</v>
      </c>
      <c r="G115" s="15">
        <v>8.4499999999999992E-3</v>
      </c>
      <c r="H115" s="16">
        <f t="shared" si="21"/>
        <v>-5.6899999999999989E-3</v>
      </c>
      <c r="I115" s="17" t="b">
        <f>AND(A115&gt;2,H115&lt;=Assumptions!$B$7)</f>
        <v>0</v>
      </c>
      <c r="J115" s="15">
        <v>-2.588574602415683E-4</v>
      </c>
      <c r="K115" s="15">
        <v>8.0545494278633667E-2</v>
      </c>
      <c r="L115" s="15">
        <v>4.0749761181442246E-3</v>
      </c>
      <c r="M115" s="17" t="b">
        <f>J115&gt;=Assumptions!$B$8</f>
        <v>0</v>
      </c>
      <c r="N115" s="17" t="b">
        <f>AND(K115&lt;&gt;"",K115&lt;=Assumptions!$B$9)</f>
        <v>0</v>
      </c>
      <c r="O115" s="17" t="b">
        <f>AND(P115&lt;&gt;"",ABS(L115)&lt;=Assumptions!$B$10)</f>
        <v>1</v>
      </c>
      <c r="P115" s="13">
        <v>43991</v>
      </c>
      <c r="Q115" s="14">
        <v>9858.85</v>
      </c>
      <c r="R115" s="15">
        <v>3.4299999999999999E-3</v>
      </c>
      <c r="S115" s="17" t="str">
        <f t="shared" si="11"/>
        <v>BASELINE</v>
      </c>
      <c r="T115" s="16">
        <f t="shared" si="12"/>
        <v>8.4499999999999992E-3</v>
      </c>
      <c r="U115" s="16">
        <f>G115*Assumptions!$B$6</f>
        <v>9.5485E-2</v>
      </c>
      <c r="V115" s="16">
        <f>T115*Assumptions!$B$6</f>
        <v>9.5485E-2</v>
      </c>
      <c r="W115" s="16">
        <f t="shared" si="13"/>
        <v>0</v>
      </c>
      <c r="X115" s="18">
        <f t="shared" si="17"/>
        <v>1512.3864424345813</v>
      </c>
      <c r="Y115" s="18">
        <f t="shared" si="18"/>
        <v>1512.3864424345813</v>
      </c>
      <c r="Z115" s="19">
        <f t="shared" si="14"/>
        <v>0</v>
      </c>
      <c r="AA115" s="18">
        <f t="shared" si="19"/>
        <v>6188.2233742375884</v>
      </c>
      <c r="AB115" s="18">
        <f t="shared" si="20"/>
        <v>6188.2233742375884</v>
      </c>
      <c r="AC115" s="19">
        <f t="shared" si="15"/>
        <v>0</v>
      </c>
      <c r="AD115" s="20">
        <f t="shared" si="16"/>
        <v>4675.8369318030072</v>
      </c>
      <c r="AE115" s="9" t="s">
        <v>91</v>
      </c>
    </row>
    <row r="116" spans="1:31" ht="18" customHeight="1">
      <c r="A116" s="4">
        <v>112</v>
      </c>
      <c r="B116" s="13">
        <v>43997</v>
      </c>
      <c r="C116" s="13">
        <v>43997</v>
      </c>
      <c r="D116" s="4" t="s">
        <v>90</v>
      </c>
      <c r="E116" s="14">
        <v>9521.61</v>
      </c>
      <c r="F116" s="14">
        <v>9784.5499999999993</v>
      </c>
      <c r="G116" s="15">
        <v>2.7609999999999999E-2</v>
      </c>
      <c r="H116" s="16">
        <f t="shared" si="21"/>
        <v>1.619E-2</v>
      </c>
      <c r="I116" s="17" t="b">
        <f>AND(A116&gt;2,H116&lt;=Assumptions!$B$7)</f>
        <v>0</v>
      </c>
      <c r="J116" s="15">
        <v>-1.4378122894132872E-2</v>
      </c>
      <c r="K116" s="15">
        <v>6.3352876358209187E-2</v>
      </c>
      <c r="L116" s="15">
        <v>3.3422676175193677E-2</v>
      </c>
      <c r="M116" s="17" t="b">
        <f>J116&gt;=Assumptions!$B$8</f>
        <v>0</v>
      </c>
      <c r="N116" s="17" t="b">
        <f>AND(K116&lt;&gt;"",K116&lt;=Assumptions!$B$9)</f>
        <v>0</v>
      </c>
      <c r="O116" s="17" t="b">
        <f>AND(P116&lt;&gt;"",ABS(L116)&lt;=Assumptions!$B$10)</f>
        <v>0</v>
      </c>
      <c r="P116" s="13">
        <v>43998</v>
      </c>
      <c r="Q116" s="14">
        <v>9988.2800000000007</v>
      </c>
      <c r="R116" s="15">
        <v>-2.0389999999999998E-2</v>
      </c>
      <c r="S116" s="17" t="str">
        <f t="shared" si="11"/>
        <v>BASELINE</v>
      </c>
      <c r="T116" s="16">
        <f t="shared" si="12"/>
        <v>2.7609999999999999E-2</v>
      </c>
      <c r="U116" s="16">
        <f>G116*Assumptions!$B$6</f>
        <v>0.31199300000000002</v>
      </c>
      <c r="V116" s="16">
        <f>T116*Assumptions!$B$6</f>
        <v>0.31199300000000002</v>
      </c>
      <c r="W116" s="16">
        <f t="shared" si="13"/>
        <v>0</v>
      </c>
      <c r="X116" s="18">
        <f t="shared" si="17"/>
        <v>1984.2404257690737</v>
      </c>
      <c r="Y116" s="18">
        <f t="shared" si="18"/>
        <v>1984.2404257690737</v>
      </c>
      <c r="Z116" s="19">
        <f t="shared" si="14"/>
        <v>0</v>
      </c>
      <c r="AA116" s="18">
        <f t="shared" si="19"/>
        <v>8118.9057494360959</v>
      </c>
      <c r="AB116" s="18">
        <f t="shared" si="20"/>
        <v>8118.9057494360959</v>
      </c>
      <c r="AC116" s="19">
        <f t="shared" si="15"/>
        <v>0</v>
      </c>
      <c r="AD116" s="20">
        <f t="shared" si="16"/>
        <v>6134.6653236670227</v>
      </c>
      <c r="AE116" s="9" t="s">
        <v>91</v>
      </c>
    </row>
    <row r="117" spans="1:31" ht="18" customHeight="1">
      <c r="A117" s="4">
        <v>113</v>
      </c>
      <c r="B117" s="13">
        <v>44004</v>
      </c>
      <c r="C117" s="13">
        <v>44004</v>
      </c>
      <c r="D117" s="4" t="s">
        <v>90</v>
      </c>
      <c r="E117" s="14">
        <v>10000.370000000001</v>
      </c>
      <c r="F117" s="14">
        <v>10127.51</v>
      </c>
      <c r="G117" s="15">
        <v>1.2710000000000001E-2</v>
      </c>
      <c r="H117" s="16">
        <f t="shared" si="21"/>
        <v>3.6059999999999995E-2</v>
      </c>
      <c r="I117" s="17" t="b">
        <f>AND(A117&gt;2,H117&lt;=Assumptions!$B$7)</f>
        <v>0</v>
      </c>
      <c r="J117" s="15">
        <v>1.7570167978420148E-3</v>
      </c>
      <c r="K117" s="15">
        <v>6.7155468830975673E-2</v>
      </c>
      <c r="L117" s="15">
        <v>1.879183294271658E-2</v>
      </c>
      <c r="M117" s="17" t="b">
        <f>J117&gt;=Assumptions!$B$8</f>
        <v>0</v>
      </c>
      <c r="N117" s="17" t="b">
        <f>AND(K117&lt;&gt;"",K117&lt;=Assumptions!$B$9)</f>
        <v>0</v>
      </c>
      <c r="O117" s="17" t="b">
        <f>AND(P117&lt;&gt;"",ABS(L117)&lt;=Assumptions!$B$10)</f>
        <v>0</v>
      </c>
      <c r="P117" s="13">
        <v>44005</v>
      </c>
      <c r="Q117" s="14">
        <v>10192.67</v>
      </c>
      <c r="R117" s="15">
        <v>-6.3899999999999998E-3</v>
      </c>
      <c r="S117" s="17" t="str">
        <f t="shared" si="11"/>
        <v>BASELINE</v>
      </c>
      <c r="T117" s="16">
        <f t="shared" si="12"/>
        <v>1.2710000000000001E-2</v>
      </c>
      <c r="U117" s="16">
        <f>G117*Assumptions!$B$6</f>
        <v>0.14362300000000003</v>
      </c>
      <c r="V117" s="16">
        <f>T117*Assumptions!$B$6</f>
        <v>0.14362300000000003</v>
      </c>
      <c r="W117" s="16">
        <f t="shared" si="13"/>
        <v>0</v>
      </c>
      <c r="X117" s="18">
        <f t="shared" si="17"/>
        <v>2269.2229884393055</v>
      </c>
      <c r="Y117" s="18">
        <f t="shared" si="18"/>
        <v>2269.2229884393055</v>
      </c>
      <c r="Z117" s="19">
        <f t="shared" si="14"/>
        <v>0</v>
      </c>
      <c r="AA117" s="18">
        <f t="shared" si="19"/>
        <v>9284.9673498873562</v>
      </c>
      <c r="AB117" s="18">
        <f t="shared" si="20"/>
        <v>9284.9673498873562</v>
      </c>
      <c r="AC117" s="19">
        <f t="shared" si="15"/>
        <v>0</v>
      </c>
      <c r="AD117" s="20">
        <f t="shared" si="16"/>
        <v>7015.7443614480508</v>
      </c>
      <c r="AE117" s="9" t="s">
        <v>91</v>
      </c>
    </row>
    <row r="118" spans="1:31" ht="18" customHeight="1">
      <c r="A118" s="4">
        <v>114</v>
      </c>
      <c r="B118" s="13">
        <v>44011</v>
      </c>
      <c r="C118" s="13">
        <v>44011</v>
      </c>
      <c r="D118" s="4" t="s">
        <v>90</v>
      </c>
      <c r="E118" s="14">
        <v>9846.26</v>
      </c>
      <c r="F118" s="14">
        <v>9970.81</v>
      </c>
      <c r="G118" s="15">
        <v>1.264E-2</v>
      </c>
      <c r="H118" s="16">
        <f t="shared" si="21"/>
        <v>4.0320000000000002E-2</v>
      </c>
      <c r="I118" s="17" t="b">
        <f>AND(A118&gt;2,H118&lt;=Assumptions!$B$7)</f>
        <v>0</v>
      </c>
      <c r="J118" s="15">
        <v>-3.5450836884658443E-3</v>
      </c>
      <c r="K118" s="15">
        <v>3.1180115439350287E-2</v>
      </c>
      <c r="L118" s="15">
        <v>1.0641991076671298E-2</v>
      </c>
      <c r="M118" s="17" t="b">
        <f>J118&gt;=Assumptions!$B$8</f>
        <v>0</v>
      </c>
      <c r="N118" s="17" t="b">
        <f>AND(K118&lt;&gt;"",K118&lt;=Assumptions!$B$9)</f>
        <v>0</v>
      </c>
      <c r="O118" s="17" t="b">
        <f>AND(P118&lt;&gt;"",ABS(L118)&lt;=Assumptions!$B$10)</f>
        <v>0</v>
      </c>
      <c r="P118" s="13">
        <v>44012</v>
      </c>
      <c r="Q118" s="14">
        <v>9958.2199999999993</v>
      </c>
      <c r="R118" s="15">
        <v>1.2600000000000001E-3</v>
      </c>
      <c r="S118" s="17" t="str">
        <f t="shared" si="11"/>
        <v>BASELINE</v>
      </c>
      <c r="T118" s="16">
        <f t="shared" si="12"/>
        <v>1.264E-2</v>
      </c>
      <c r="U118" s="16">
        <f>G118*Assumptions!$B$6</f>
        <v>0.14283200000000001</v>
      </c>
      <c r="V118" s="16">
        <f>T118*Assumptions!$B$6</f>
        <v>0.14283200000000001</v>
      </c>
      <c r="W118" s="16">
        <f t="shared" si="13"/>
        <v>0</v>
      </c>
      <c r="X118" s="18">
        <f t="shared" si="17"/>
        <v>2593.3406463240685</v>
      </c>
      <c r="Y118" s="18">
        <f t="shared" si="18"/>
        <v>2593.3406463240685</v>
      </c>
      <c r="Z118" s="19">
        <f t="shared" si="14"/>
        <v>0</v>
      </c>
      <c r="AA118" s="18">
        <f t="shared" si="19"/>
        <v>10611.157806406467</v>
      </c>
      <c r="AB118" s="18">
        <f t="shared" si="20"/>
        <v>10611.157806406467</v>
      </c>
      <c r="AC118" s="19">
        <f t="shared" si="15"/>
        <v>0</v>
      </c>
      <c r="AD118" s="20">
        <f t="shared" si="16"/>
        <v>8017.8171600823989</v>
      </c>
      <c r="AE118" s="9" t="s">
        <v>91</v>
      </c>
    </row>
    <row r="119" spans="1:31" ht="18" customHeight="1">
      <c r="A119" s="4">
        <v>115</v>
      </c>
      <c r="B119" s="13">
        <v>44018</v>
      </c>
      <c r="C119" s="13">
        <v>44018</v>
      </c>
      <c r="D119" s="4" t="s">
        <v>90</v>
      </c>
      <c r="E119" s="14">
        <v>10478.85</v>
      </c>
      <c r="F119" s="14">
        <v>10601.74</v>
      </c>
      <c r="G119" s="15">
        <v>1.172E-2</v>
      </c>
      <c r="H119" s="16">
        <f t="shared" si="21"/>
        <v>2.5350000000000001E-2</v>
      </c>
      <c r="I119" s="17" t="b">
        <f>AND(A119&gt;2,H119&lt;=Assumptions!$B$7)</f>
        <v>0</v>
      </c>
      <c r="J119" s="15">
        <v>1.2682143333442752E-2</v>
      </c>
      <c r="K119" s="15">
        <v>7.4854201498137263E-2</v>
      </c>
      <c r="L119" s="15">
        <v>2.340155384357856E-2</v>
      </c>
      <c r="M119" s="17" t="b">
        <f>J119&gt;=Assumptions!$B$8</f>
        <v>1</v>
      </c>
      <c r="N119" s="17" t="b">
        <f>AND(K119&lt;&gt;"",K119&lt;=Assumptions!$B$9)</f>
        <v>0</v>
      </c>
      <c r="O119" s="17" t="b">
        <f>AND(P119&lt;&gt;"",ABS(L119)&lt;=Assumptions!$B$10)</f>
        <v>0</v>
      </c>
      <c r="P119" s="13">
        <v>44019</v>
      </c>
      <c r="Q119" s="14">
        <v>10587.54</v>
      </c>
      <c r="R119" s="15">
        <v>1.34E-3</v>
      </c>
      <c r="S119" s="17" t="str">
        <f t="shared" si="11"/>
        <v>BASELINE</v>
      </c>
      <c r="T119" s="16">
        <f t="shared" si="12"/>
        <v>1.172E-2</v>
      </c>
      <c r="U119" s="16">
        <f>G119*Assumptions!$B$6</f>
        <v>0.132436</v>
      </c>
      <c r="V119" s="16">
        <f>T119*Assumptions!$B$6</f>
        <v>0.132436</v>
      </c>
      <c r="W119" s="16">
        <f t="shared" si="13"/>
        <v>0</v>
      </c>
      <c r="X119" s="18">
        <f t="shared" si="17"/>
        <v>2936.7923081606427</v>
      </c>
      <c r="Y119" s="18">
        <f t="shared" si="18"/>
        <v>2936.7923081606427</v>
      </c>
      <c r="Z119" s="19">
        <f t="shared" si="14"/>
        <v>0</v>
      </c>
      <c r="AA119" s="18">
        <f t="shared" si="19"/>
        <v>12016.457101655715</v>
      </c>
      <c r="AB119" s="18">
        <f t="shared" si="20"/>
        <v>12016.457101655715</v>
      </c>
      <c r="AC119" s="19">
        <f t="shared" si="15"/>
        <v>0</v>
      </c>
      <c r="AD119" s="20">
        <f t="shared" si="16"/>
        <v>9079.6647934950724</v>
      </c>
      <c r="AE119" s="9" t="s">
        <v>91</v>
      </c>
    </row>
    <row r="120" spans="1:31" ht="18" customHeight="1">
      <c r="A120" s="4">
        <v>116</v>
      </c>
      <c r="B120" s="13">
        <v>44025</v>
      </c>
      <c r="C120" s="13">
        <v>44028</v>
      </c>
      <c r="D120" s="4" t="s">
        <v>92</v>
      </c>
      <c r="E120" s="14">
        <v>10949.02</v>
      </c>
      <c r="F120" s="14">
        <v>10700.5</v>
      </c>
      <c r="G120" s="15">
        <v>-2.2689999999999998E-2</v>
      </c>
      <c r="H120" s="16">
        <f t="shared" si="21"/>
        <v>2.436E-2</v>
      </c>
      <c r="I120" s="17" t="b">
        <f>AND(A120&gt;2,H120&lt;=Assumptions!$B$7)</f>
        <v>0</v>
      </c>
      <c r="J120" s="15">
        <v>1.048320186646956E-2</v>
      </c>
      <c r="K120" s="15">
        <v>0.1298748804555252</v>
      </c>
      <c r="L120" s="15">
        <v>-2.987065670197997E-2</v>
      </c>
      <c r="M120" s="17" t="b">
        <f>J120&gt;=Assumptions!$B$8</f>
        <v>1</v>
      </c>
      <c r="N120" s="17" t="b">
        <f>AND(K120&lt;&gt;"",K120&lt;=Assumptions!$B$9)</f>
        <v>0</v>
      </c>
      <c r="O120" s="17" t="b">
        <f>AND(P120&lt;&gt;"",ABS(L120)&lt;=Assumptions!$B$10)</f>
        <v>0</v>
      </c>
      <c r="P120" s="13">
        <v>44026</v>
      </c>
      <c r="Q120" s="14">
        <v>10503.6</v>
      </c>
      <c r="R120" s="15">
        <v>1.874E-2</v>
      </c>
      <c r="S120" s="17" t="str">
        <f t="shared" si="11"/>
        <v>BASELINE</v>
      </c>
      <c r="T120" s="16">
        <f t="shared" si="12"/>
        <v>-2.2689999999999998E-2</v>
      </c>
      <c r="U120" s="16">
        <f>G120*Assumptions!$B$6</f>
        <v>-0.25639699999999999</v>
      </c>
      <c r="V120" s="16">
        <f>T120*Assumptions!$B$6</f>
        <v>-0.25639699999999999</v>
      </c>
      <c r="W120" s="16">
        <f t="shared" si="13"/>
        <v>0</v>
      </c>
      <c r="X120" s="18">
        <f t="shared" si="17"/>
        <v>2183.8075707251783</v>
      </c>
      <c r="Y120" s="18">
        <f t="shared" si="18"/>
        <v>2936.7923081606427</v>
      </c>
      <c r="Z120" s="19">
        <f t="shared" si="14"/>
        <v>-0.2563970000000001</v>
      </c>
      <c r="AA120" s="18">
        <f t="shared" si="19"/>
        <v>8935.4735501624946</v>
      </c>
      <c r="AB120" s="18">
        <f t="shared" si="20"/>
        <v>12016.457101655715</v>
      </c>
      <c r="AC120" s="19">
        <f t="shared" si="15"/>
        <v>-0.25639699999999999</v>
      </c>
      <c r="AD120" s="20">
        <f t="shared" si="16"/>
        <v>6751.6659794373163</v>
      </c>
      <c r="AE120" s="9" t="s">
        <v>91</v>
      </c>
    </row>
    <row r="121" spans="1:31" ht="18" customHeight="1">
      <c r="A121" s="4">
        <v>117</v>
      </c>
      <c r="B121" s="13">
        <v>44032</v>
      </c>
      <c r="C121" s="13">
        <v>44032</v>
      </c>
      <c r="D121" s="4" t="s">
        <v>90</v>
      </c>
      <c r="E121" s="14">
        <v>10673.79</v>
      </c>
      <c r="F121" s="14">
        <v>10953.25</v>
      </c>
      <c r="G121" s="15">
        <v>2.6179999999999998E-2</v>
      </c>
      <c r="H121" s="16">
        <f t="shared" si="21"/>
        <v>-1.0969999999999999E-2</v>
      </c>
      <c r="I121" s="17" t="b">
        <f>AND(A121&gt;2,H121&lt;=Assumptions!$B$7)</f>
        <v>0</v>
      </c>
      <c r="J121" s="15">
        <v>2.4389969026525904E-3</v>
      </c>
      <c r="K121" s="15">
        <v>6.3864822414753997E-2</v>
      </c>
      <c r="L121" s="15">
        <v>3.4662856689288368E-2</v>
      </c>
      <c r="M121" s="17" t="b">
        <f>J121&gt;=Assumptions!$B$8</f>
        <v>0</v>
      </c>
      <c r="N121" s="17" t="b">
        <f>AND(K121&lt;&gt;"",K121&lt;=Assumptions!$B$9)</f>
        <v>0</v>
      </c>
      <c r="O121" s="17" t="b">
        <f>AND(P121&lt;&gt;"",ABS(L121)&lt;=Assumptions!$B$10)</f>
        <v>0</v>
      </c>
      <c r="P121" s="13">
        <v>44033</v>
      </c>
      <c r="Q121" s="14">
        <v>11013.8</v>
      </c>
      <c r="R121" s="15">
        <v>-5.4900000000000001E-3</v>
      </c>
      <c r="S121" s="17" t="str">
        <f t="shared" si="11"/>
        <v>BASELINE</v>
      </c>
      <c r="T121" s="16">
        <f t="shared" si="12"/>
        <v>2.6179999999999998E-2</v>
      </c>
      <c r="U121" s="16">
        <f>G121*Assumptions!$B$6</f>
        <v>0.29583399999999999</v>
      </c>
      <c r="V121" s="16">
        <f>T121*Assumptions!$B$6</f>
        <v>0.29583399999999999</v>
      </c>
      <c r="W121" s="16">
        <f t="shared" si="13"/>
        <v>0</v>
      </c>
      <c r="X121" s="18">
        <f t="shared" si="17"/>
        <v>2829.8520996030907</v>
      </c>
      <c r="Y121" s="18">
        <f t="shared" si="18"/>
        <v>2936.7923081606427</v>
      </c>
      <c r="Z121" s="19">
        <f t="shared" si="14"/>
        <v>-3.6413950098000081E-2</v>
      </c>
      <c r="AA121" s="18">
        <f t="shared" si="19"/>
        <v>11578.890432401266</v>
      </c>
      <c r="AB121" s="18">
        <f t="shared" si="20"/>
        <v>12016.457101655715</v>
      </c>
      <c r="AC121" s="19">
        <f t="shared" si="15"/>
        <v>-3.641395009799997E-2</v>
      </c>
      <c r="AD121" s="20">
        <f t="shared" si="16"/>
        <v>8749.0383327981745</v>
      </c>
      <c r="AE121" s="9" t="s">
        <v>91</v>
      </c>
    </row>
    <row r="122" spans="1:31" ht="18" customHeight="1">
      <c r="A122" s="4">
        <v>118</v>
      </c>
      <c r="B122" s="13">
        <v>44039</v>
      </c>
      <c r="C122" s="13">
        <v>44039</v>
      </c>
      <c r="D122" s="4" t="s">
        <v>90</v>
      </c>
      <c r="E122" s="14">
        <v>10558.25</v>
      </c>
      <c r="F122" s="14">
        <v>10673.79</v>
      </c>
      <c r="G122" s="15">
        <v>1.094E-2</v>
      </c>
      <c r="H122" s="16">
        <f t="shared" si="21"/>
        <v>3.49E-3</v>
      </c>
      <c r="I122" s="17" t="b">
        <f>AND(A122&gt;2,H122&lt;=Assumptions!$B$7)</f>
        <v>0</v>
      </c>
      <c r="J122" s="15">
        <v>7.0937477346173505E-3</v>
      </c>
      <c r="K122" s="15">
        <v>3.8769454825466454E-2</v>
      </c>
      <c r="L122" s="15">
        <v>1.4769453900852048E-2</v>
      </c>
      <c r="M122" s="17" t="b">
        <f>J122&gt;=Assumptions!$B$8</f>
        <v>0</v>
      </c>
      <c r="N122" s="17" t="b">
        <f>AND(K122&lt;&gt;"",K122&lt;=Assumptions!$B$9)</f>
        <v>0</v>
      </c>
      <c r="O122" s="17" t="b">
        <f>AND(P122&lt;&gt;"",ABS(L122)&lt;=Assumptions!$B$10)</f>
        <v>0</v>
      </c>
      <c r="P122" s="13">
        <v>44040</v>
      </c>
      <c r="Q122" s="14">
        <v>10641.58</v>
      </c>
      <c r="R122" s="15">
        <v>3.0200000000000001E-3</v>
      </c>
      <c r="S122" s="17" t="str">
        <f t="shared" si="11"/>
        <v>BASELINE</v>
      </c>
      <c r="T122" s="16">
        <f t="shared" si="12"/>
        <v>1.094E-2</v>
      </c>
      <c r="U122" s="16">
        <f>G122*Assumptions!$B$6</f>
        <v>0.12362200000000001</v>
      </c>
      <c r="V122" s="16">
        <f>T122*Assumptions!$B$6</f>
        <v>0.12362200000000001</v>
      </c>
      <c r="W122" s="16">
        <f t="shared" si="13"/>
        <v>0</v>
      </c>
      <c r="X122" s="18">
        <f t="shared" si="17"/>
        <v>3179.6840758602243</v>
      </c>
      <c r="Y122" s="18">
        <f t="shared" si="18"/>
        <v>3179.6840758602243</v>
      </c>
      <c r="Z122" s="19">
        <f t="shared" si="14"/>
        <v>0</v>
      </c>
      <c r="AA122" s="18">
        <f t="shared" si="19"/>
        <v>13010.296025435577</v>
      </c>
      <c r="AB122" s="18">
        <f t="shared" si="20"/>
        <v>13010.296025435577</v>
      </c>
      <c r="AC122" s="19">
        <f t="shared" si="15"/>
        <v>0</v>
      </c>
      <c r="AD122" s="20">
        <f t="shared" si="16"/>
        <v>9830.6119495753519</v>
      </c>
      <c r="AE122" s="9" t="s">
        <v>91</v>
      </c>
    </row>
    <row r="123" spans="1:31" ht="18" customHeight="1">
      <c r="A123" s="4">
        <v>119</v>
      </c>
      <c r="B123" s="13">
        <v>44046</v>
      </c>
      <c r="C123" s="13">
        <v>44050</v>
      </c>
      <c r="D123" s="4" t="s">
        <v>93</v>
      </c>
      <c r="E123" s="14">
        <v>10998.54</v>
      </c>
      <c r="F123" s="14">
        <v>11133.22</v>
      </c>
      <c r="G123" s="15">
        <v>1.2239999999999999E-2</v>
      </c>
      <c r="H123" s="16">
        <f t="shared" si="21"/>
        <v>3.712E-2</v>
      </c>
      <c r="I123" s="17" t="b">
        <f>AND(A123&gt;2,H123&lt;=Assumptions!$B$7)</f>
        <v>0</v>
      </c>
      <c r="J123" s="15">
        <v>8.0896182316128051E-3</v>
      </c>
      <c r="K123" s="15">
        <v>5.3902776587014811E-2</v>
      </c>
      <c r="L123" s="15">
        <v>1.1172059005826185E-2</v>
      </c>
      <c r="M123" s="17" t="b">
        <f>J123&gt;=Assumptions!$B$8</f>
        <v>0</v>
      </c>
      <c r="N123" s="17" t="b">
        <f>AND(K123&lt;&gt;"",K123&lt;=Assumptions!$B$9)</f>
        <v>0</v>
      </c>
      <c r="O123" s="17" t="b">
        <f>AND(P123&lt;&gt;"",ABS(L123)&lt;=Assumptions!$B$10)</f>
        <v>0</v>
      </c>
      <c r="P123" s="13">
        <v>44047</v>
      </c>
      <c r="Q123" s="14">
        <v>11026.31</v>
      </c>
      <c r="R123" s="15">
        <v>9.6900000000000007E-3</v>
      </c>
      <c r="S123" s="17" t="str">
        <f t="shared" si="11"/>
        <v>BASELINE</v>
      </c>
      <c r="T123" s="16">
        <f t="shared" si="12"/>
        <v>1.2239999999999999E-2</v>
      </c>
      <c r="U123" s="16">
        <f>G123*Assumptions!$B$6</f>
        <v>0.13831199999999999</v>
      </c>
      <c r="V123" s="16">
        <f>T123*Assumptions!$B$6</f>
        <v>0.13831199999999999</v>
      </c>
      <c r="W123" s="16">
        <f t="shared" si="13"/>
        <v>0</v>
      </c>
      <c r="X123" s="18">
        <f t="shared" si="17"/>
        <v>3619.4725397606035</v>
      </c>
      <c r="Y123" s="18">
        <f t="shared" si="18"/>
        <v>3619.4725397606035</v>
      </c>
      <c r="Z123" s="19">
        <f t="shared" si="14"/>
        <v>0</v>
      </c>
      <c r="AA123" s="18">
        <f t="shared" si="19"/>
        <v>14809.776089305622</v>
      </c>
      <c r="AB123" s="18">
        <f t="shared" si="20"/>
        <v>14809.776089305622</v>
      </c>
      <c r="AC123" s="19">
        <f t="shared" si="15"/>
        <v>0</v>
      </c>
      <c r="AD123" s="20">
        <f t="shared" si="16"/>
        <v>11190.303549545019</v>
      </c>
      <c r="AE123" s="9" t="s">
        <v>91</v>
      </c>
    </row>
    <row r="124" spans="1:31" ht="18" customHeight="1">
      <c r="A124" s="4">
        <v>120</v>
      </c>
      <c r="B124" s="13">
        <v>44053</v>
      </c>
      <c r="C124" s="13">
        <v>44055</v>
      </c>
      <c r="D124" s="4" t="s">
        <v>95</v>
      </c>
      <c r="E124" s="14">
        <v>11144.85</v>
      </c>
      <c r="F124" s="14">
        <v>11100.2706</v>
      </c>
      <c r="G124" s="15">
        <v>-4.0000000000000001E-3</v>
      </c>
      <c r="H124" s="16">
        <f t="shared" si="21"/>
        <v>2.3179999999999999E-2</v>
      </c>
      <c r="I124" s="17" t="b">
        <f>AND(A124&gt;2,H124&lt;=Assumptions!$B$7)</f>
        <v>0</v>
      </c>
      <c r="J124" s="15">
        <v>1.0446214123138731E-3</v>
      </c>
      <c r="K124" s="15">
        <v>2.8404037882451938E-2</v>
      </c>
      <c r="L124" s="15">
        <v>-8.6628687598139242E-3</v>
      </c>
      <c r="M124" s="17" t="b">
        <f>J124&gt;=Assumptions!$B$8</f>
        <v>0</v>
      </c>
      <c r="N124" s="17" t="b">
        <f>AND(K124&lt;&gt;"",K124&lt;=Assumptions!$B$9)</f>
        <v>0</v>
      </c>
      <c r="O124" s="17" t="b">
        <f>AND(P124&lt;&gt;"",ABS(L124)&lt;=Assumptions!$B$10)</f>
        <v>0</v>
      </c>
      <c r="P124" s="13">
        <v>44054</v>
      </c>
      <c r="Q124" s="14">
        <v>11034.89</v>
      </c>
      <c r="R124" s="15">
        <v>5.9199999999999999E-3</v>
      </c>
      <c r="S124" s="17" t="str">
        <f t="shared" si="11"/>
        <v>BASELINE</v>
      </c>
      <c r="T124" s="16">
        <f t="shared" si="12"/>
        <v>-4.0000000000000001E-3</v>
      </c>
      <c r="U124" s="16">
        <f>G124*Assumptions!$B$6</f>
        <v>-4.5200000000000004E-2</v>
      </c>
      <c r="V124" s="16">
        <f>T124*Assumptions!$B$6</f>
        <v>-4.5200000000000004E-2</v>
      </c>
      <c r="W124" s="16">
        <f t="shared" si="13"/>
        <v>0</v>
      </c>
      <c r="X124" s="18">
        <f t="shared" si="17"/>
        <v>3455.8723809634243</v>
      </c>
      <c r="Y124" s="18">
        <f t="shared" si="18"/>
        <v>3619.4725397606035</v>
      </c>
      <c r="Z124" s="19">
        <f t="shared" si="14"/>
        <v>-4.5199999999999907E-2</v>
      </c>
      <c r="AA124" s="18">
        <f t="shared" si="19"/>
        <v>14140.374210069007</v>
      </c>
      <c r="AB124" s="18">
        <f t="shared" si="20"/>
        <v>14809.776089305622</v>
      </c>
      <c r="AC124" s="19">
        <f t="shared" si="15"/>
        <v>-4.5200000000000018E-2</v>
      </c>
      <c r="AD124" s="20">
        <f t="shared" si="16"/>
        <v>10684.501829105582</v>
      </c>
      <c r="AE124" s="9" t="s">
        <v>91</v>
      </c>
    </row>
    <row r="125" spans="1:31" ht="18" customHeight="1">
      <c r="A125" s="4">
        <v>121</v>
      </c>
      <c r="B125" s="13">
        <v>44060</v>
      </c>
      <c r="C125" s="13">
        <v>44064</v>
      </c>
      <c r="D125" s="4" t="s">
        <v>93</v>
      </c>
      <c r="E125" s="14">
        <v>11233.59</v>
      </c>
      <c r="F125" s="14">
        <v>11561.62</v>
      </c>
      <c r="G125" s="15">
        <v>2.92E-2</v>
      </c>
      <c r="H125" s="16">
        <f t="shared" si="21"/>
        <v>8.2399999999999991E-3</v>
      </c>
      <c r="I125" s="17" t="b">
        <f>AND(A125&gt;2,H125&lt;=Assumptions!$B$7)</f>
        <v>0</v>
      </c>
      <c r="J125" s="15">
        <v>6.5120138053258447E-3</v>
      </c>
      <c r="K125" s="15">
        <v>4.9053458745088596E-2</v>
      </c>
      <c r="L125" s="15">
        <v>1.5666023531192064E-2</v>
      </c>
      <c r="M125" s="17" t="b">
        <f>J125&gt;=Assumptions!$B$8</f>
        <v>0</v>
      </c>
      <c r="N125" s="17" t="b">
        <f>AND(K125&lt;&gt;"",K125&lt;=Assumptions!$B$9)</f>
        <v>0</v>
      </c>
      <c r="O125" s="17" t="b">
        <f>AND(P125&lt;&gt;"",ABS(L125)&lt;=Assumptions!$B$10)</f>
        <v>0</v>
      </c>
      <c r="P125" s="13">
        <v>44061</v>
      </c>
      <c r="Q125" s="14">
        <v>11334</v>
      </c>
      <c r="R125" s="15">
        <v>2.0080000000000001E-2</v>
      </c>
      <c r="S125" s="17" t="str">
        <f t="shared" si="11"/>
        <v>BASELINE</v>
      </c>
      <c r="T125" s="16">
        <f t="shared" si="12"/>
        <v>2.92E-2</v>
      </c>
      <c r="U125" s="16">
        <f>G125*Assumptions!$B$6</f>
        <v>0.32996000000000003</v>
      </c>
      <c r="V125" s="16">
        <f>T125*Assumptions!$B$6</f>
        <v>0.32996000000000003</v>
      </c>
      <c r="W125" s="16">
        <f t="shared" si="13"/>
        <v>0</v>
      </c>
      <c r="X125" s="18">
        <f t="shared" si="17"/>
        <v>4596.1720317861163</v>
      </c>
      <c r="Y125" s="18">
        <f t="shared" si="18"/>
        <v>4596.1720317861163</v>
      </c>
      <c r="Z125" s="19">
        <f t="shared" si="14"/>
        <v>0</v>
      </c>
      <c r="AA125" s="18">
        <f t="shared" si="19"/>
        <v>18806.132084423378</v>
      </c>
      <c r="AB125" s="18">
        <f t="shared" si="20"/>
        <v>18806.132084423378</v>
      </c>
      <c r="AC125" s="19">
        <f t="shared" si="15"/>
        <v>0</v>
      </c>
      <c r="AD125" s="20">
        <f t="shared" si="16"/>
        <v>14209.960052637261</v>
      </c>
      <c r="AE125" s="9" t="s">
        <v>91</v>
      </c>
    </row>
    <row r="126" spans="1:31" ht="18" customHeight="1">
      <c r="A126" s="4">
        <v>122</v>
      </c>
      <c r="B126" s="13">
        <v>44067</v>
      </c>
      <c r="C126" s="13">
        <v>44071</v>
      </c>
      <c r="D126" s="4" t="s">
        <v>93</v>
      </c>
      <c r="E126" s="14">
        <v>11690</v>
      </c>
      <c r="F126" s="14">
        <v>11993.21</v>
      </c>
      <c r="G126" s="15">
        <v>2.5930000000000002E-2</v>
      </c>
      <c r="H126" s="16">
        <f t="shared" si="21"/>
        <v>2.52E-2</v>
      </c>
      <c r="I126" s="17" t="b">
        <f>AND(A126&gt;2,H126&lt;=Assumptions!$B$7)</f>
        <v>0</v>
      </c>
      <c r="J126" s="15">
        <v>1.1103980238063471E-2</v>
      </c>
      <c r="K126" s="15">
        <v>0.10291884052132239</v>
      </c>
      <c r="L126" s="15">
        <v>3.258316560795782E-3</v>
      </c>
      <c r="M126" s="17" t="b">
        <f>J126&gt;=Assumptions!$B$8</f>
        <v>1</v>
      </c>
      <c r="N126" s="17" t="b">
        <f>AND(K126&lt;&gt;"",K126&lt;=Assumptions!$B$9)</f>
        <v>0</v>
      </c>
      <c r="O126" s="17" t="b">
        <f>AND(P126&lt;&gt;"",ABS(L126)&lt;=Assumptions!$B$10)</f>
        <v>1</v>
      </c>
      <c r="P126" s="13">
        <v>44068</v>
      </c>
      <c r="Q126" s="14">
        <v>11593.77</v>
      </c>
      <c r="R126" s="15">
        <v>3.4450000000000001E-2</v>
      </c>
      <c r="S126" s="17" t="str">
        <f t="shared" si="11"/>
        <v>BASELINE</v>
      </c>
      <c r="T126" s="16">
        <f t="shared" si="12"/>
        <v>2.5930000000000002E-2</v>
      </c>
      <c r="U126" s="16">
        <f>G126*Assumptions!$B$6</f>
        <v>0.29300900000000002</v>
      </c>
      <c r="V126" s="16">
        <f>T126*Assumptions!$B$6</f>
        <v>0.29300900000000002</v>
      </c>
      <c r="W126" s="16">
        <f t="shared" si="13"/>
        <v>0</v>
      </c>
      <c r="X126" s="18">
        <f t="shared" si="17"/>
        <v>5942.8918026477349</v>
      </c>
      <c r="Y126" s="18">
        <f t="shared" si="18"/>
        <v>5942.8918026477349</v>
      </c>
      <c r="Z126" s="19">
        <f t="shared" si="14"/>
        <v>0</v>
      </c>
      <c r="AA126" s="18">
        <f t="shared" si="19"/>
        <v>24316.49804034819</v>
      </c>
      <c r="AB126" s="18">
        <f t="shared" si="20"/>
        <v>24316.49804034819</v>
      </c>
      <c r="AC126" s="19">
        <f t="shared" si="15"/>
        <v>0</v>
      </c>
      <c r="AD126" s="20">
        <f t="shared" si="16"/>
        <v>18373.606237700456</v>
      </c>
      <c r="AE126" s="9" t="s">
        <v>91</v>
      </c>
    </row>
    <row r="127" spans="1:31" ht="18" customHeight="1">
      <c r="A127" s="4">
        <v>123</v>
      </c>
      <c r="B127" s="13">
        <v>44074</v>
      </c>
      <c r="C127" s="13">
        <v>44074</v>
      </c>
      <c r="D127" s="4" t="s">
        <v>90</v>
      </c>
      <c r="E127" s="14">
        <v>12018.66</v>
      </c>
      <c r="F127" s="14">
        <v>12105.8</v>
      </c>
      <c r="G127" s="15">
        <v>7.2500000000000004E-3</v>
      </c>
      <c r="H127" s="16">
        <f t="shared" si="21"/>
        <v>5.5129999999999998E-2</v>
      </c>
      <c r="I127" s="17" t="b">
        <f>AND(A127&gt;2,H127&lt;=Assumptions!$B$7)</f>
        <v>0</v>
      </c>
      <c r="J127" s="15">
        <v>2.1220340509338076E-3</v>
      </c>
      <c r="K127" s="15">
        <v>0.10064150241725556</v>
      </c>
      <c r="L127" s="15">
        <v>1.7316382987709433E-2</v>
      </c>
      <c r="M127" s="17" t="b">
        <f>J127&gt;=Assumptions!$B$8</f>
        <v>0</v>
      </c>
      <c r="N127" s="17" t="b">
        <f>AND(K127&lt;&gt;"",K127&lt;=Assumptions!$B$9)</f>
        <v>0</v>
      </c>
      <c r="O127" s="17" t="b">
        <f>AND(P127&lt;&gt;"",ABS(L127)&lt;=Assumptions!$B$10)</f>
        <v>0</v>
      </c>
      <c r="P127" s="13">
        <v>44075</v>
      </c>
      <c r="Q127" s="14">
        <v>12201.1</v>
      </c>
      <c r="R127" s="15">
        <v>-7.8100000000000001E-3</v>
      </c>
      <c r="S127" s="17" t="str">
        <f t="shared" si="11"/>
        <v>BASELINE</v>
      </c>
      <c r="T127" s="16">
        <f t="shared" si="12"/>
        <v>7.2500000000000004E-3</v>
      </c>
      <c r="U127" s="16">
        <f>G127*Assumptions!$B$6</f>
        <v>8.1925000000000012E-2</v>
      </c>
      <c r="V127" s="16">
        <f>T127*Assumptions!$B$6</f>
        <v>8.1925000000000012E-2</v>
      </c>
      <c r="W127" s="16">
        <f t="shared" si="13"/>
        <v>0</v>
      </c>
      <c r="X127" s="18">
        <f t="shared" si="17"/>
        <v>6429.7632135796512</v>
      </c>
      <c r="Y127" s="18">
        <f t="shared" si="18"/>
        <v>6429.7632135796512</v>
      </c>
      <c r="Z127" s="19">
        <f t="shared" si="14"/>
        <v>0</v>
      </c>
      <c r="AA127" s="18">
        <f t="shared" si="19"/>
        <v>26308.627142303714</v>
      </c>
      <c r="AB127" s="18">
        <f t="shared" si="20"/>
        <v>26308.627142303714</v>
      </c>
      <c r="AC127" s="19">
        <f t="shared" si="15"/>
        <v>0</v>
      </c>
      <c r="AD127" s="20">
        <f t="shared" si="16"/>
        <v>19878.863928724062</v>
      </c>
      <c r="AE127" s="9" t="s">
        <v>91</v>
      </c>
    </row>
    <row r="128" spans="1:31" ht="18" customHeight="1">
      <c r="A128" s="4">
        <v>124</v>
      </c>
      <c r="B128" s="13">
        <v>44082</v>
      </c>
      <c r="C128" s="13">
        <v>44084</v>
      </c>
      <c r="D128" s="4" t="s">
        <v>96</v>
      </c>
      <c r="E128" s="14">
        <v>11158.3</v>
      </c>
      <c r="F128" s="14">
        <v>11113.666799999999</v>
      </c>
      <c r="G128" s="15">
        <v>-4.0000000000000001E-3</v>
      </c>
      <c r="H128" s="16">
        <f t="shared" si="21"/>
        <v>3.3180000000000001E-2</v>
      </c>
      <c r="I128" s="17" t="b">
        <f>AND(A128&gt;2,H128&lt;=Assumptions!$B$7)</f>
        <v>0</v>
      </c>
      <c r="J128" s="15">
        <v>-3.8844025238495283E-2</v>
      </c>
      <c r="K128" s="15">
        <v>4.4694941097043861E-2</v>
      </c>
      <c r="L128" s="15"/>
      <c r="M128" s="17" t="b">
        <f>J128&gt;=Assumptions!$B$8</f>
        <v>0</v>
      </c>
      <c r="N128" s="17" t="b">
        <f>AND(K128&lt;&gt;"",K128&lt;=Assumptions!$B$9)</f>
        <v>0</v>
      </c>
      <c r="O128" s="17" t="b">
        <f>AND(P128&lt;&gt;"",ABS(L128)&lt;=Assumptions!$B$10)</f>
        <v>0</v>
      </c>
      <c r="P128" s="13"/>
      <c r="Q128" s="14"/>
      <c r="R128" s="15"/>
      <c r="S128" s="17" t="str">
        <f t="shared" si="11"/>
        <v>BASELINE</v>
      </c>
      <c r="T128" s="16">
        <f t="shared" si="12"/>
        <v>-4.0000000000000001E-3</v>
      </c>
      <c r="U128" s="16">
        <f>G128*Assumptions!$B$6</f>
        <v>-4.5200000000000004E-2</v>
      </c>
      <c r="V128" s="16">
        <f>T128*Assumptions!$B$6</f>
        <v>-4.5200000000000004E-2</v>
      </c>
      <c r="W128" s="16">
        <f t="shared" si="13"/>
        <v>0</v>
      </c>
      <c r="X128" s="18">
        <f t="shared" si="17"/>
        <v>6139.1379163258507</v>
      </c>
      <c r="Y128" s="18">
        <f t="shared" si="18"/>
        <v>6429.7632135796512</v>
      </c>
      <c r="Z128" s="19">
        <f t="shared" si="14"/>
        <v>-4.5200000000000018E-2</v>
      </c>
      <c r="AA128" s="18">
        <f t="shared" si="19"/>
        <v>25119.477195471587</v>
      </c>
      <c r="AB128" s="18">
        <f t="shared" si="20"/>
        <v>26308.627142303714</v>
      </c>
      <c r="AC128" s="19">
        <f t="shared" si="15"/>
        <v>-4.5200000000000018E-2</v>
      </c>
      <c r="AD128" s="20">
        <f t="shared" si="16"/>
        <v>18980.339279145737</v>
      </c>
      <c r="AE128" s="9" t="s">
        <v>91</v>
      </c>
    </row>
    <row r="129" spans="1:31" ht="18" customHeight="1">
      <c r="A129" s="4">
        <v>125</v>
      </c>
      <c r="B129" s="13">
        <v>44088</v>
      </c>
      <c r="C129" s="13">
        <v>44091</v>
      </c>
      <c r="D129" s="4" t="s">
        <v>92</v>
      </c>
      <c r="E129" s="14">
        <v>11243.89</v>
      </c>
      <c r="F129" s="14">
        <v>11198.69</v>
      </c>
      <c r="G129" s="15">
        <v>-4.0099999999999997E-3</v>
      </c>
      <c r="H129" s="16">
        <f t="shared" si="21"/>
        <v>3.2500000000000003E-3</v>
      </c>
      <c r="I129" s="17" t="b">
        <f>AND(A129&gt;2,H129&lt;=Assumptions!$B$7)</f>
        <v>0</v>
      </c>
      <c r="J129" s="15">
        <v>1.3580342623074948E-2</v>
      </c>
      <c r="K129" s="15">
        <v>-7.4514916208504589E-3</v>
      </c>
      <c r="L129" s="15">
        <v>3.1274626627022961E-2</v>
      </c>
      <c r="M129" s="17" t="b">
        <f>J129&gt;=Assumptions!$B$8</f>
        <v>1</v>
      </c>
      <c r="N129" s="17" t="b">
        <f>AND(K129&lt;&gt;"",K129&lt;=Assumptions!$B$9)</f>
        <v>1</v>
      </c>
      <c r="O129" s="17" t="b">
        <f>AND(P129&lt;&gt;"",ABS(L129)&lt;=Assumptions!$B$10)</f>
        <v>0</v>
      </c>
      <c r="P129" s="13">
        <v>44089</v>
      </c>
      <c r="Q129" s="14">
        <v>11430.57</v>
      </c>
      <c r="R129" s="15">
        <v>-2.0279999999999999E-2</v>
      </c>
      <c r="S129" s="17" t="str">
        <f t="shared" si="11"/>
        <v>GAP/MOM SKIP</v>
      </c>
      <c r="T129" s="16">
        <f t="shared" si="12"/>
        <v>0</v>
      </c>
      <c r="U129" s="16">
        <f>G129*Assumptions!$B$6</f>
        <v>-4.5312999999999999E-2</v>
      </c>
      <c r="V129" s="16">
        <f>T129*Assumptions!$B$6</f>
        <v>0</v>
      </c>
      <c r="W129" s="16">
        <f t="shared" si="13"/>
        <v>4.5312999999999999E-2</v>
      </c>
      <c r="X129" s="18">
        <f t="shared" si="17"/>
        <v>5860.9551599233773</v>
      </c>
      <c r="Y129" s="18">
        <f t="shared" si="18"/>
        <v>6429.7632135796512</v>
      </c>
      <c r="Z129" s="19">
        <f t="shared" si="14"/>
        <v>-8.8464852400000016E-2</v>
      </c>
      <c r="AA129" s="18">
        <f t="shared" si="19"/>
        <v>25119.477195471587</v>
      </c>
      <c r="AB129" s="18">
        <f t="shared" si="20"/>
        <v>26308.627142303714</v>
      </c>
      <c r="AC129" s="19">
        <f t="shared" si="15"/>
        <v>-4.5200000000000018E-2</v>
      </c>
      <c r="AD129" s="20">
        <f t="shared" si="16"/>
        <v>19258.522035548209</v>
      </c>
      <c r="AE129" s="9" t="s">
        <v>102</v>
      </c>
    </row>
    <row r="130" spans="1:31" ht="18" customHeight="1">
      <c r="A130" s="4">
        <v>126</v>
      </c>
      <c r="B130" s="13">
        <v>44095</v>
      </c>
      <c r="C130" s="13">
        <v>44095</v>
      </c>
      <c r="D130" s="4" t="s">
        <v>90</v>
      </c>
      <c r="E130" s="14">
        <v>10778.62</v>
      </c>
      <c r="F130" s="14">
        <v>10991.41</v>
      </c>
      <c r="G130" s="15">
        <v>1.9740000000000001E-2</v>
      </c>
      <c r="H130" s="16">
        <f t="shared" si="21"/>
        <v>-4.0000000000000001E-3</v>
      </c>
      <c r="I130" s="17" t="b">
        <f>AND(A130&gt;2,H130&lt;=Assumptions!$B$7)</f>
        <v>0</v>
      </c>
      <c r="J130" s="15">
        <v>-1.3745283122453933E-2</v>
      </c>
      <c r="K130" s="15">
        <v>-4.6616154185670111E-2</v>
      </c>
      <c r="L130" s="15">
        <v>1.3375461987762627E-2</v>
      </c>
      <c r="M130" s="17" t="b">
        <f>J130&gt;=Assumptions!$B$8</f>
        <v>0</v>
      </c>
      <c r="N130" s="17" t="b">
        <f>AND(K130&lt;&gt;"",K130&lt;=Assumptions!$B$9)</f>
        <v>1</v>
      </c>
      <c r="O130" s="17" t="b">
        <f>AND(P130&lt;&gt;"",ABS(L130)&lt;=Assumptions!$B$10)</f>
        <v>0</v>
      </c>
      <c r="P130" s="13">
        <v>44096</v>
      </c>
      <c r="Q130" s="14">
        <v>11084.54</v>
      </c>
      <c r="R130" s="15">
        <v>-8.3999999999999995E-3</v>
      </c>
      <c r="S130" s="17" t="str">
        <f t="shared" si="11"/>
        <v>BASELINE</v>
      </c>
      <c r="T130" s="16">
        <f t="shared" si="12"/>
        <v>1.9740000000000001E-2</v>
      </c>
      <c r="U130" s="16">
        <f>G130*Assumptions!$B$6</f>
        <v>0.22306200000000001</v>
      </c>
      <c r="V130" s="16">
        <f>T130*Assumptions!$B$6</f>
        <v>0.22306200000000001</v>
      </c>
      <c r="W130" s="16">
        <f t="shared" si="13"/>
        <v>0</v>
      </c>
      <c r="X130" s="18">
        <f t="shared" si="17"/>
        <v>7168.3115398062064</v>
      </c>
      <c r="Y130" s="18">
        <f t="shared" si="18"/>
        <v>7168.3115398062064</v>
      </c>
      <c r="Z130" s="19">
        <f t="shared" si="14"/>
        <v>0</v>
      </c>
      <c r="AA130" s="18">
        <f t="shared" si="19"/>
        <v>30722.678017647871</v>
      </c>
      <c r="AB130" s="18">
        <f t="shared" si="20"/>
        <v>30722.678017647871</v>
      </c>
      <c r="AC130" s="19">
        <f t="shared" si="15"/>
        <v>0</v>
      </c>
      <c r="AD130" s="20">
        <f t="shared" si="16"/>
        <v>23554.366477841664</v>
      </c>
      <c r="AE130" s="9" t="s">
        <v>91</v>
      </c>
    </row>
    <row r="131" spans="1:31" ht="18" customHeight="1">
      <c r="A131" s="4">
        <v>127</v>
      </c>
      <c r="B131" s="13">
        <v>44102</v>
      </c>
      <c r="C131" s="13">
        <v>44106</v>
      </c>
      <c r="D131" s="4" t="s">
        <v>97</v>
      </c>
      <c r="E131" s="14">
        <v>11356.1</v>
      </c>
      <c r="F131" s="14">
        <v>11310.6756</v>
      </c>
      <c r="G131" s="15">
        <v>-4.0000000000000001E-3</v>
      </c>
      <c r="H131" s="16">
        <f t="shared" si="21"/>
        <v>1.9740000000000001E-2</v>
      </c>
      <c r="I131" s="17" t="b">
        <f>AND(A131&gt;2,H131&lt;=Assumptions!$B$7)</f>
        <v>0</v>
      </c>
      <c r="J131" s="15">
        <v>1.9048208739724126E-2</v>
      </c>
      <c r="K131" s="15">
        <v>-6.5617438553296381E-2</v>
      </c>
      <c r="L131" s="15">
        <v>1.9039506313059507E-2</v>
      </c>
      <c r="M131" s="17" t="b">
        <f>J131&gt;=Assumptions!$B$8</f>
        <v>1</v>
      </c>
      <c r="N131" s="17" t="b">
        <f>AND(K131&lt;&gt;"",K131&lt;=Assumptions!$B$9)</f>
        <v>1</v>
      </c>
      <c r="O131" s="17" t="b">
        <f>AND(P131&lt;&gt;"",ABS(L131)&lt;=Assumptions!$B$10)</f>
        <v>0</v>
      </c>
      <c r="P131" s="13">
        <v>44103</v>
      </c>
      <c r="Q131" s="14">
        <v>11356.18</v>
      </c>
      <c r="R131" s="15">
        <v>-4.0000000000000001E-3</v>
      </c>
      <c r="S131" s="17" t="str">
        <f t="shared" si="11"/>
        <v>GAP/MOM SKIP</v>
      </c>
      <c r="T131" s="16">
        <f t="shared" si="12"/>
        <v>0</v>
      </c>
      <c r="U131" s="16">
        <f>G131*Assumptions!$B$6</f>
        <v>-4.5200000000000004E-2</v>
      </c>
      <c r="V131" s="16">
        <f>T131*Assumptions!$B$6</f>
        <v>0</v>
      </c>
      <c r="W131" s="16">
        <f t="shared" si="13"/>
        <v>4.5200000000000004E-2</v>
      </c>
      <c r="X131" s="18">
        <f t="shared" si="17"/>
        <v>6844.3038582069657</v>
      </c>
      <c r="Y131" s="18">
        <f t="shared" si="18"/>
        <v>7168.3115398062064</v>
      </c>
      <c r="Z131" s="19">
        <f t="shared" si="14"/>
        <v>-4.5200000000000018E-2</v>
      </c>
      <c r="AA131" s="18">
        <f t="shared" si="19"/>
        <v>30722.678017647871</v>
      </c>
      <c r="AB131" s="18">
        <f t="shared" si="20"/>
        <v>30722.678017647871</v>
      </c>
      <c r="AC131" s="19">
        <f t="shared" si="15"/>
        <v>0</v>
      </c>
      <c r="AD131" s="20">
        <f t="shared" si="16"/>
        <v>23878.374159440908</v>
      </c>
      <c r="AE131" s="9" t="s">
        <v>102</v>
      </c>
    </row>
    <row r="132" spans="1:31" ht="18" customHeight="1">
      <c r="A132" s="4">
        <v>128</v>
      </c>
      <c r="B132" s="13">
        <v>44109</v>
      </c>
      <c r="C132" s="13">
        <v>44109</v>
      </c>
      <c r="D132" s="4" t="s">
        <v>90</v>
      </c>
      <c r="E132" s="14">
        <v>11339.09</v>
      </c>
      <c r="F132" s="14">
        <v>11491.65</v>
      </c>
      <c r="G132" s="15">
        <v>1.345E-2</v>
      </c>
      <c r="H132" s="16">
        <f t="shared" si="21"/>
        <v>1.9740000000000001E-2</v>
      </c>
      <c r="I132" s="17" t="b">
        <f>AND(A132&gt;2,H132&lt;=Assumptions!$B$7)</f>
        <v>0</v>
      </c>
      <c r="J132" s="15">
        <v>7.1518851861294142E-3</v>
      </c>
      <c r="K132" s="15">
        <v>-4.4212313677445825E-2</v>
      </c>
      <c r="L132" s="15">
        <v>1.8143929598104958E-2</v>
      </c>
      <c r="M132" s="17" t="b">
        <f>J132&gt;=Assumptions!$B$8</f>
        <v>0</v>
      </c>
      <c r="N132" s="17" t="b">
        <f>AND(K132&lt;&gt;"",K132&lt;=Assumptions!$B$9)</f>
        <v>1</v>
      </c>
      <c r="O132" s="17" t="b">
        <f>AND(P132&lt;&gt;"",ABS(L132)&lt;=Assumptions!$B$10)</f>
        <v>0</v>
      </c>
      <c r="P132" s="13">
        <v>44110</v>
      </c>
      <c r="Q132" s="14">
        <v>11459.25</v>
      </c>
      <c r="R132" s="15">
        <v>2.82E-3</v>
      </c>
      <c r="S132" s="17" t="str">
        <f t="shared" si="11"/>
        <v>BASELINE</v>
      </c>
      <c r="T132" s="16">
        <f t="shared" si="12"/>
        <v>1.345E-2</v>
      </c>
      <c r="U132" s="16">
        <f>G132*Assumptions!$B$6</f>
        <v>0.15198500000000001</v>
      </c>
      <c r="V132" s="16">
        <f>T132*Assumptions!$B$6</f>
        <v>0.15198500000000001</v>
      </c>
      <c r="W132" s="16">
        <f t="shared" si="13"/>
        <v>0</v>
      </c>
      <c r="X132" s="18">
        <f t="shared" si="17"/>
        <v>7884.5353800965513</v>
      </c>
      <c r="Y132" s="18">
        <f t="shared" si="18"/>
        <v>7884.5353800965513</v>
      </c>
      <c r="Z132" s="19">
        <f t="shared" si="14"/>
        <v>0</v>
      </c>
      <c r="AA132" s="18">
        <f t="shared" si="19"/>
        <v>35392.064236160084</v>
      </c>
      <c r="AB132" s="18">
        <f t="shared" si="20"/>
        <v>35392.064236160084</v>
      </c>
      <c r="AC132" s="19">
        <f t="shared" si="15"/>
        <v>0</v>
      </c>
      <c r="AD132" s="20">
        <f t="shared" si="16"/>
        <v>27507.528856063531</v>
      </c>
      <c r="AE132" s="9" t="s">
        <v>91</v>
      </c>
    </row>
    <row r="133" spans="1:31" ht="18" customHeight="1">
      <c r="A133" s="4">
        <v>129</v>
      </c>
      <c r="B133" s="13">
        <v>44116</v>
      </c>
      <c r="C133" s="13">
        <v>44116</v>
      </c>
      <c r="D133" s="4" t="s">
        <v>90</v>
      </c>
      <c r="E133" s="14">
        <v>11922.83</v>
      </c>
      <c r="F133" s="14">
        <v>12078.96</v>
      </c>
      <c r="G133" s="15">
        <v>1.3089999999999999E-2</v>
      </c>
      <c r="H133" s="16">
        <f t="shared" si="21"/>
        <v>1.345E-2</v>
      </c>
      <c r="I133" s="17" t="b">
        <f>AND(A133&gt;2,H133&lt;=Assumptions!$B$7)</f>
        <v>0</v>
      </c>
      <c r="J133" s="15">
        <v>1.611160256967481E-2</v>
      </c>
      <c r="K133" s="15">
        <v>5.79618004134419E-2</v>
      </c>
      <c r="L133" s="15">
        <v>3.721869175021042E-2</v>
      </c>
      <c r="M133" s="17" t="b">
        <f>J133&gt;=Assumptions!$B$8</f>
        <v>1</v>
      </c>
      <c r="N133" s="17" t="b">
        <f>AND(K133&lt;&gt;"",K133&lt;=Assumptions!$B$9)</f>
        <v>0</v>
      </c>
      <c r="O133" s="17" t="b">
        <f>AND(P133&lt;&gt;"",ABS(L133)&lt;=Assumptions!$B$10)</f>
        <v>0</v>
      </c>
      <c r="P133" s="13">
        <v>44117</v>
      </c>
      <c r="Q133" s="14">
        <v>12158.28</v>
      </c>
      <c r="R133" s="15">
        <v>-6.5199999999999998E-3</v>
      </c>
      <c r="S133" s="17" t="str">
        <f t="shared" ref="S133:S196" si="22">IF(I133,"DAMAGE SKIP",IF(AND(M133,N133),IF(O133,"TUESDAY RE-ENTRY","GAP/MOM SKIP"),"BASELINE"))</f>
        <v>BASELINE</v>
      </c>
      <c r="T133" s="16">
        <f t="shared" ref="T133:T196" si="23">IF(I133,0,IF(AND(M133,N133),IF(O133,R133,0),G133))</f>
        <v>1.3089999999999999E-2</v>
      </c>
      <c r="U133" s="16">
        <f>G133*Assumptions!$B$6</f>
        <v>0.14791699999999999</v>
      </c>
      <c r="V133" s="16">
        <f>T133*Assumptions!$B$6</f>
        <v>0.14791699999999999</v>
      </c>
      <c r="W133" s="16">
        <f t="shared" ref="W133:W196" si="24">V133-U133</f>
        <v>0</v>
      </c>
      <c r="X133" s="18">
        <f t="shared" si="17"/>
        <v>9050.7921999142927</v>
      </c>
      <c r="Y133" s="18">
        <f t="shared" si="18"/>
        <v>9050.7921999142927</v>
      </c>
      <c r="Z133" s="19">
        <f t="shared" ref="Z133:Z196" si="25">X133/Y133-1</f>
        <v>0</v>
      </c>
      <c r="AA133" s="18">
        <f t="shared" si="19"/>
        <v>40627.152201780176</v>
      </c>
      <c r="AB133" s="18">
        <f t="shared" si="20"/>
        <v>40627.152201780176</v>
      </c>
      <c r="AC133" s="19">
        <f t="shared" ref="AC133:AC196" si="26">AA133/AB133-1</f>
        <v>0</v>
      </c>
      <c r="AD133" s="20">
        <f t="shared" ref="AD133:AD196" si="27">AA133-X133</f>
        <v>31576.360001865884</v>
      </c>
      <c r="AE133" s="9" t="s">
        <v>91</v>
      </c>
    </row>
    <row r="134" spans="1:31" ht="18" customHeight="1">
      <c r="A134" s="4">
        <v>130</v>
      </c>
      <c r="B134" s="13">
        <v>44123</v>
      </c>
      <c r="C134" s="13">
        <v>44126</v>
      </c>
      <c r="D134" s="4" t="s">
        <v>92</v>
      </c>
      <c r="E134" s="14">
        <v>11921.02</v>
      </c>
      <c r="F134" s="14">
        <v>11690.359</v>
      </c>
      <c r="G134" s="15">
        <v>-1.934E-2</v>
      </c>
      <c r="H134" s="16">
        <f t="shared" si="21"/>
        <v>2.6540000000000001E-2</v>
      </c>
      <c r="I134" s="17" t="b">
        <f>AND(A134&gt;2,H134&lt;=Assumptions!$B$7)</f>
        <v>0</v>
      </c>
      <c r="J134" s="15">
        <v>7.115098675317677E-3</v>
      </c>
      <c r="K134" s="15">
        <v>8.259068077127818E-2</v>
      </c>
      <c r="L134" s="15">
        <v>-1.3627260222226822E-2</v>
      </c>
      <c r="M134" s="17" t="b">
        <f>J134&gt;=Assumptions!$B$8</f>
        <v>0</v>
      </c>
      <c r="N134" s="17" t="b">
        <f>AND(K134&lt;&gt;"",K134&lt;=Assumptions!$B$9)</f>
        <v>0</v>
      </c>
      <c r="O134" s="17" t="b">
        <f>AND(P134&lt;&gt;"",ABS(L134)&lt;=Assumptions!$B$10)</f>
        <v>0</v>
      </c>
      <c r="P134" s="13">
        <v>44124</v>
      </c>
      <c r="Q134" s="14">
        <v>11677.86</v>
      </c>
      <c r="R134" s="15">
        <v>1.07E-3</v>
      </c>
      <c r="S134" s="17" t="str">
        <f t="shared" si="22"/>
        <v>BASELINE</v>
      </c>
      <c r="T134" s="16">
        <f t="shared" si="23"/>
        <v>-1.934E-2</v>
      </c>
      <c r="U134" s="16">
        <f>G134*Assumptions!$B$6</f>
        <v>-0.21854200000000001</v>
      </c>
      <c r="V134" s="16">
        <f>T134*Assumptions!$B$6</f>
        <v>-0.21854200000000001</v>
      </c>
      <c r="W134" s="16">
        <f t="shared" si="24"/>
        <v>0</v>
      </c>
      <c r="X134" s="18">
        <f t="shared" ref="X134:X197" si="28">X133*(1+U134)</f>
        <v>7072.813970960623</v>
      </c>
      <c r="Y134" s="18">
        <f t="shared" ref="Y134:Y197" si="29">MAX(Y133,X134)</f>
        <v>9050.7921999142927</v>
      </c>
      <c r="Z134" s="19">
        <f t="shared" si="25"/>
        <v>-0.21854200000000001</v>
      </c>
      <c r="AA134" s="18">
        <f t="shared" ref="AA134:AA197" si="30">AA133*(1+V134)</f>
        <v>31748.413105298732</v>
      </c>
      <c r="AB134" s="18">
        <f t="shared" ref="AB134:AB197" si="31">MAX(AB133,AA134)</f>
        <v>40627.152201780176</v>
      </c>
      <c r="AC134" s="19">
        <f t="shared" si="26"/>
        <v>-0.21854200000000001</v>
      </c>
      <c r="AD134" s="20">
        <f t="shared" si="27"/>
        <v>24675.59913433811</v>
      </c>
      <c r="AE134" s="9" t="s">
        <v>91</v>
      </c>
    </row>
    <row r="135" spans="1:31" ht="18" customHeight="1">
      <c r="A135" s="4">
        <v>131</v>
      </c>
      <c r="B135" s="13">
        <v>44130</v>
      </c>
      <c r="C135" s="13">
        <v>44133</v>
      </c>
      <c r="D135" s="4" t="s">
        <v>92</v>
      </c>
      <c r="E135" s="14">
        <v>11587.689</v>
      </c>
      <c r="F135" s="14">
        <v>11198.398999999999</v>
      </c>
      <c r="G135" s="15">
        <v>-3.3590000000000002E-2</v>
      </c>
      <c r="H135" s="16">
        <f t="shared" ref="H135:H198" si="32">SUM(T133:T134)</f>
        <v>-6.2500000000000003E-3</v>
      </c>
      <c r="I135" s="17" t="b">
        <f>AND(A135&gt;2,H135&lt;=Assumptions!$B$7)</f>
        <v>0</v>
      </c>
      <c r="J135" s="15">
        <v>-7.4613704270197756E-3</v>
      </c>
      <c r="K135" s="15">
        <v>4.8581217937796906E-2</v>
      </c>
      <c r="L135" s="15">
        <v>-1.1719807774933422E-2</v>
      </c>
      <c r="M135" s="17" t="b">
        <f>J135&gt;=Assumptions!$B$8</f>
        <v>0</v>
      </c>
      <c r="N135" s="17" t="b">
        <f>AND(K135&lt;&gt;"",K135&lt;=Assumptions!$B$9)</f>
        <v>0</v>
      </c>
      <c r="O135" s="17" t="b">
        <f>AND(P135&lt;&gt;"",ABS(L135)&lt;=Assumptions!$B$10)</f>
        <v>0</v>
      </c>
      <c r="P135" s="13">
        <v>44131</v>
      </c>
      <c r="Q135" s="14">
        <v>11548.459000000001</v>
      </c>
      <c r="R135" s="15">
        <v>-3.031E-2</v>
      </c>
      <c r="S135" s="17" t="str">
        <f t="shared" si="22"/>
        <v>BASELINE</v>
      </c>
      <c r="T135" s="16">
        <f t="shared" si="23"/>
        <v>-3.3590000000000002E-2</v>
      </c>
      <c r="U135" s="16">
        <f>G135*Assumptions!$B$6</f>
        <v>-0.37956700000000004</v>
      </c>
      <c r="V135" s="16">
        <f>T135*Assumptions!$B$6</f>
        <v>-0.37956700000000004</v>
      </c>
      <c r="W135" s="16">
        <f t="shared" si="24"/>
        <v>0</v>
      </c>
      <c r="X135" s="18">
        <f t="shared" si="28"/>
        <v>4388.2071904450122</v>
      </c>
      <c r="Y135" s="18">
        <f t="shared" si="29"/>
        <v>9050.7921999142927</v>
      </c>
      <c r="Z135" s="19">
        <f t="shared" si="25"/>
        <v>-0.51515766868599999</v>
      </c>
      <c r="AA135" s="18">
        <f t="shared" si="30"/>
        <v>19697.76318815981</v>
      </c>
      <c r="AB135" s="18">
        <f t="shared" si="31"/>
        <v>40627.152201780176</v>
      </c>
      <c r="AC135" s="19">
        <f t="shared" si="26"/>
        <v>-0.51515766868599999</v>
      </c>
      <c r="AD135" s="20">
        <f t="shared" si="27"/>
        <v>15309.555997714797</v>
      </c>
      <c r="AE135" s="9" t="s">
        <v>91</v>
      </c>
    </row>
    <row r="136" spans="1:31" ht="18" customHeight="1">
      <c r="A136" s="4">
        <v>132</v>
      </c>
      <c r="B136" s="13">
        <v>44137</v>
      </c>
      <c r="C136" s="13">
        <v>44139</v>
      </c>
      <c r="D136" s="4" t="s">
        <v>90</v>
      </c>
      <c r="E136" s="14">
        <v>11152.799000000001</v>
      </c>
      <c r="F136" s="14">
        <v>11776.629000000001</v>
      </c>
      <c r="G136" s="15">
        <v>5.5930000000000001E-2</v>
      </c>
      <c r="H136" s="16">
        <f t="shared" si="32"/>
        <v>-5.2930000000000005E-2</v>
      </c>
      <c r="I136" s="17" t="b">
        <f>AND(A136&gt;2,H136&lt;=Assumptions!$B$7)</f>
        <v>1</v>
      </c>
      <c r="J136" s="15">
        <v>6.0338765214362766E-3</v>
      </c>
      <c r="K136" s="15">
        <v>-1.7926547256297387E-2</v>
      </c>
      <c r="L136" s="15">
        <v>9.1593264841924871E-3</v>
      </c>
      <c r="M136" s="17" t="b">
        <f>J136&gt;=Assumptions!$B$8</f>
        <v>0</v>
      </c>
      <c r="N136" s="17" t="b">
        <f>AND(K136&lt;&gt;"",K136&lt;=Assumptions!$B$9)</f>
        <v>1</v>
      </c>
      <c r="O136" s="17" t="b">
        <f>AND(P136&lt;&gt;"",ABS(L136)&lt;=Assumptions!$B$10)</f>
        <v>0</v>
      </c>
      <c r="P136" s="13">
        <v>44138</v>
      </c>
      <c r="Q136" s="14">
        <v>11156.708000000001</v>
      </c>
      <c r="R136" s="15">
        <v>5.5559999999999998E-2</v>
      </c>
      <c r="S136" s="17" t="str">
        <f t="shared" si="22"/>
        <v>DAMAGE SKIP</v>
      </c>
      <c r="T136" s="16">
        <f t="shared" si="23"/>
        <v>0</v>
      </c>
      <c r="U136" s="16">
        <f>G136*Assumptions!$B$6</f>
        <v>0.63200900000000004</v>
      </c>
      <c r="V136" s="16">
        <f>T136*Assumptions!$B$6</f>
        <v>0</v>
      </c>
      <c r="W136" s="16">
        <f t="shared" si="24"/>
        <v>-0.63200900000000004</v>
      </c>
      <c r="X136" s="18">
        <f t="shared" si="28"/>
        <v>7161.5936286709739</v>
      </c>
      <c r="Y136" s="18">
        <f t="shared" si="29"/>
        <v>9050.7921999142927</v>
      </c>
      <c r="Z136" s="19">
        <f t="shared" si="25"/>
        <v>-0.20873295171457018</v>
      </c>
      <c r="AA136" s="18">
        <f t="shared" si="30"/>
        <v>19697.76318815981</v>
      </c>
      <c r="AB136" s="18">
        <f t="shared" si="31"/>
        <v>40627.152201780176</v>
      </c>
      <c r="AC136" s="19">
        <f t="shared" si="26"/>
        <v>-0.51515766868599999</v>
      </c>
      <c r="AD136" s="20">
        <f t="shared" si="27"/>
        <v>12536.169559488837</v>
      </c>
      <c r="AE136" s="9" t="s">
        <v>94</v>
      </c>
    </row>
    <row r="137" spans="1:31" ht="18" customHeight="1">
      <c r="A137" s="4">
        <v>133</v>
      </c>
      <c r="B137" s="13">
        <v>44144</v>
      </c>
      <c r="C137" s="13">
        <v>44147</v>
      </c>
      <c r="D137" s="4" t="s">
        <v>92</v>
      </c>
      <c r="E137" s="14">
        <v>12193.679</v>
      </c>
      <c r="F137" s="14">
        <v>11906.049000000001</v>
      </c>
      <c r="G137" s="15">
        <v>-2.358E-2</v>
      </c>
      <c r="H137" s="16">
        <f t="shared" si="32"/>
        <v>-3.3590000000000002E-2</v>
      </c>
      <c r="I137" s="17" t="b">
        <f>AND(A137&gt;2,H137&lt;=Assumptions!$B$7)</f>
        <v>1</v>
      </c>
      <c r="J137" s="15">
        <v>9.1165495746727832E-3</v>
      </c>
      <c r="K137" s="15">
        <v>3.1187701962590575E-2</v>
      </c>
      <c r="L137" s="15">
        <v>-3.1751958543436931E-2</v>
      </c>
      <c r="M137" s="17" t="b">
        <f>J137&gt;=Assumptions!$B$8</f>
        <v>0</v>
      </c>
      <c r="N137" s="17" t="b">
        <f>AND(K137&lt;&gt;"",K137&lt;=Assumptions!$B$9)</f>
        <v>0</v>
      </c>
      <c r="O137" s="17" t="b">
        <f>AND(P137&lt;&gt;"",ABS(L137)&lt;=Assumptions!$B$10)</f>
        <v>0</v>
      </c>
      <c r="P137" s="13">
        <v>44145</v>
      </c>
      <c r="Q137" s="14">
        <v>11699.638999999999</v>
      </c>
      <c r="R137" s="15">
        <v>1.7639999999999999E-2</v>
      </c>
      <c r="S137" s="17" t="str">
        <f t="shared" si="22"/>
        <v>DAMAGE SKIP</v>
      </c>
      <c r="T137" s="16">
        <f t="shared" si="23"/>
        <v>0</v>
      </c>
      <c r="U137" s="16">
        <f>G137*Assumptions!$B$6</f>
        <v>-0.26645400000000002</v>
      </c>
      <c r="V137" s="16">
        <f>T137*Assumptions!$B$6</f>
        <v>0</v>
      </c>
      <c r="W137" s="16">
        <f t="shared" si="24"/>
        <v>0.26645400000000002</v>
      </c>
      <c r="X137" s="18">
        <f t="shared" si="28"/>
        <v>5253.3583599370786</v>
      </c>
      <c r="Y137" s="18">
        <f t="shared" si="29"/>
        <v>9050.7921999142927</v>
      </c>
      <c r="Z137" s="19">
        <f t="shared" si="25"/>
        <v>-0.41956922179841605</v>
      </c>
      <c r="AA137" s="18">
        <f t="shared" si="30"/>
        <v>19697.76318815981</v>
      </c>
      <c r="AB137" s="18">
        <f t="shared" si="31"/>
        <v>40627.152201780176</v>
      </c>
      <c r="AC137" s="19">
        <f t="shared" si="26"/>
        <v>-0.51515766868599999</v>
      </c>
      <c r="AD137" s="20">
        <f t="shared" si="27"/>
        <v>14444.40482822273</v>
      </c>
      <c r="AE137" s="9" t="s">
        <v>94</v>
      </c>
    </row>
    <row r="138" spans="1:31" ht="18" customHeight="1">
      <c r="A138" s="4">
        <v>134</v>
      </c>
      <c r="B138" s="13">
        <v>44151</v>
      </c>
      <c r="C138" s="13">
        <v>44151</v>
      </c>
      <c r="D138" s="4" t="s">
        <v>90</v>
      </c>
      <c r="E138" s="14">
        <v>11917.289000000001</v>
      </c>
      <c r="F138" s="14">
        <v>12018.999</v>
      </c>
      <c r="G138" s="15">
        <v>8.5299999999999994E-3</v>
      </c>
      <c r="H138" s="16">
        <f t="shared" si="32"/>
        <v>0</v>
      </c>
      <c r="I138" s="17" t="b">
        <f>AND(A138&gt;2,H138&lt;=Assumptions!$B$7)</f>
        <v>0</v>
      </c>
      <c r="J138" s="15">
        <v>-1.8543600368158275E-3</v>
      </c>
      <c r="K138" s="15">
        <v>8.4136928307214642E-3</v>
      </c>
      <c r="L138" s="15">
        <v>8.5307889389520941E-3</v>
      </c>
      <c r="M138" s="17" t="b">
        <f>J138&gt;=Assumptions!$B$8</f>
        <v>0</v>
      </c>
      <c r="N138" s="17" t="b">
        <f>AND(K138&lt;&gt;"",K138&lt;=Assumptions!$B$9)</f>
        <v>0</v>
      </c>
      <c r="O138" s="17" t="b">
        <f>AND(P138&lt;&gt;"",ABS(L138)&lt;=Assumptions!$B$10)</f>
        <v>0</v>
      </c>
      <c r="P138" s="13">
        <v>44152</v>
      </c>
      <c r="Q138" s="14">
        <v>12031.879000000001</v>
      </c>
      <c r="R138" s="15">
        <v>-1.07E-3</v>
      </c>
      <c r="S138" s="17" t="str">
        <f t="shared" si="22"/>
        <v>BASELINE</v>
      </c>
      <c r="T138" s="16">
        <f t="shared" si="23"/>
        <v>8.5299999999999994E-3</v>
      </c>
      <c r="U138" s="16">
        <f>G138*Assumptions!$B$6</f>
        <v>9.6389000000000002E-2</v>
      </c>
      <c r="V138" s="16">
        <f>T138*Assumptions!$B$6</f>
        <v>9.6389000000000002E-2</v>
      </c>
      <c r="W138" s="16">
        <f t="shared" si="24"/>
        <v>0</v>
      </c>
      <c r="X138" s="18">
        <f t="shared" si="28"/>
        <v>5759.7243188930543</v>
      </c>
      <c r="Y138" s="18">
        <f t="shared" si="29"/>
        <v>9050.7921999142927</v>
      </c>
      <c r="Z138" s="19">
        <f t="shared" si="25"/>
        <v>-0.36362207951834358</v>
      </c>
      <c r="AA138" s="18">
        <f t="shared" si="30"/>
        <v>21596.410884103349</v>
      </c>
      <c r="AB138" s="18">
        <f t="shared" si="31"/>
        <v>40627.152201780176</v>
      </c>
      <c r="AC138" s="19">
        <f t="shared" si="26"/>
        <v>-0.46842420121297479</v>
      </c>
      <c r="AD138" s="20">
        <f t="shared" si="27"/>
        <v>15836.686565210293</v>
      </c>
      <c r="AE138" s="9" t="s">
        <v>91</v>
      </c>
    </row>
    <row r="139" spans="1:31" ht="18" customHeight="1">
      <c r="A139" s="4">
        <v>135</v>
      </c>
      <c r="B139" s="13">
        <v>44158</v>
      </c>
      <c r="C139" s="13">
        <v>44162</v>
      </c>
      <c r="D139" s="4" t="s">
        <v>93</v>
      </c>
      <c r="E139" s="14">
        <v>11947.808999999999</v>
      </c>
      <c r="F139" s="14">
        <v>12272.029</v>
      </c>
      <c r="G139" s="15">
        <v>2.7130000000000001E-2</v>
      </c>
      <c r="H139" s="16">
        <f t="shared" si="32"/>
        <v>8.5299999999999994E-3</v>
      </c>
      <c r="I139" s="17" t="b">
        <f>AND(A139&gt;2,H139&lt;=Assumptions!$B$7)</f>
        <v>0</v>
      </c>
      <c r="J139" s="15">
        <v>3.5968113872260066E-3</v>
      </c>
      <c r="K139" s="15">
        <v>1.9782140110554902E-2</v>
      </c>
      <c r="L139" s="15">
        <v>3.8166587595505064E-3</v>
      </c>
      <c r="M139" s="17" t="b">
        <f>J139&gt;=Assumptions!$B$8</f>
        <v>0</v>
      </c>
      <c r="N139" s="17" t="b">
        <f>AND(K139&lt;&gt;"",K139&lt;=Assumptions!$B$9)</f>
        <v>0</v>
      </c>
      <c r="O139" s="17" t="b">
        <f>AND(P139&lt;&gt;"",ABS(L139)&lt;=Assumptions!$B$10)</f>
        <v>1</v>
      </c>
      <c r="P139" s="13">
        <v>44159</v>
      </c>
      <c r="Q139" s="14">
        <v>11950.496999999999</v>
      </c>
      <c r="R139" s="15">
        <v>2.69E-2</v>
      </c>
      <c r="S139" s="17" t="str">
        <f t="shared" si="22"/>
        <v>BASELINE</v>
      </c>
      <c r="T139" s="16">
        <f t="shared" si="23"/>
        <v>2.7130000000000001E-2</v>
      </c>
      <c r="U139" s="16">
        <f>G139*Assumptions!$B$6</f>
        <v>0.30656900000000004</v>
      </c>
      <c r="V139" s="16">
        <f>T139*Assumptions!$B$6</f>
        <v>0.30656900000000004</v>
      </c>
      <c r="W139" s="16">
        <f t="shared" si="24"/>
        <v>0</v>
      </c>
      <c r="X139" s="18">
        <f t="shared" si="28"/>
        <v>7525.4772436117792</v>
      </c>
      <c r="Y139" s="18">
        <f t="shared" si="29"/>
        <v>9050.7921999142927</v>
      </c>
      <c r="Z139" s="19">
        <f t="shared" si="25"/>
        <v>-0.16852833681420254</v>
      </c>
      <c r="AA139" s="18">
        <f t="shared" si="30"/>
        <v>28217.200972432031</v>
      </c>
      <c r="AB139" s="18">
        <f t="shared" si="31"/>
        <v>40627.152201780176</v>
      </c>
      <c r="AC139" s="19">
        <f t="shared" si="26"/>
        <v>-0.30545954015463517</v>
      </c>
      <c r="AD139" s="20">
        <f t="shared" si="27"/>
        <v>20691.723728820252</v>
      </c>
      <c r="AE139" s="9" t="s">
        <v>91</v>
      </c>
    </row>
    <row r="140" spans="1:31" ht="18" customHeight="1">
      <c r="A140" s="4">
        <v>136</v>
      </c>
      <c r="B140" s="13">
        <v>44165</v>
      </c>
      <c r="C140" s="13">
        <v>44169</v>
      </c>
      <c r="D140" s="4" t="s">
        <v>93</v>
      </c>
      <c r="E140" s="14">
        <v>12272.047</v>
      </c>
      <c r="F140" s="14">
        <v>12529.558999999999</v>
      </c>
      <c r="G140" s="15">
        <v>2.0979999999999999E-2</v>
      </c>
      <c r="H140" s="16">
        <f t="shared" si="32"/>
        <v>3.5659999999999997E-2</v>
      </c>
      <c r="I140" s="17" t="b">
        <f>AND(A140&gt;2,H140&lt;=Assumptions!$B$7)</f>
        <v>0</v>
      </c>
      <c r="J140" s="15">
        <v>1.4667501193610377E-6</v>
      </c>
      <c r="K140" s="15">
        <v>8.1837084649176495E-2</v>
      </c>
      <c r="L140" s="15">
        <v>9.5344519323339316E-3</v>
      </c>
      <c r="M140" s="17" t="b">
        <f>J140&gt;=Assumptions!$B$8</f>
        <v>0</v>
      </c>
      <c r="N140" s="17" t="b">
        <f>AND(K140&lt;&gt;"",K140&lt;=Assumptions!$B$9)</f>
        <v>0</v>
      </c>
      <c r="O140" s="17" t="b">
        <f>AND(P140&lt;&gt;"",ABS(L140)&lt;=Assumptions!$B$10)</f>
        <v>0</v>
      </c>
      <c r="P140" s="13">
        <v>44166</v>
      </c>
      <c r="Q140" s="14">
        <v>12372.218999999999</v>
      </c>
      <c r="R140" s="15">
        <v>1.2710000000000001E-2</v>
      </c>
      <c r="S140" s="17" t="str">
        <f t="shared" si="22"/>
        <v>BASELINE</v>
      </c>
      <c r="T140" s="16">
        <f t="shared" si="23"/>
        <v>2.0979999999999999E-2</v>
      </c>
      <c r="U140" s="16">
        <f>G140*Assumptions!$B$6</f>
        <v>0.23707400000000001</v>
      </c>
      <c r="V140" s="16">
        <f>T140*Assumptions!$B$6</f>
        <v>0.23707400000000001</v>
      </c>
      <c r="W140" s="16">
        <f t="shared" si="24"/>
        <v>0</v>
      </c>
      <c r="X140" s="18">
        <f t="shared" si="28"/>
        <v>9309.572235663798</v>
      </c>
      <c r="Y140" s="18">
        <f t="shared" si="29"/>
        <v>9309.572235663798</v>
      </c>
      <c r="Z140" s="19">
        <f t="shared" si="25"/>
        <v>0</v>
      </c>
      <c r="AA140" s="18">
        <f t="shared" si="30"/>
        <v>34906.765675770381</v>
      </c>
      <c r="AB140" s="18">
        <f t="shared" si="31"/>
        <v>40627.152201780176</v>
      </c>
      <c r="AC140" s="19">
        <f t="shared" si="26"/>
        <v>-0.14080205517725519</v>
      </c>
      <c r="AD140" s="20">
        <f t="shared" si="27"/>
        <v>25597.193440106581</v>
      </c>
      <c r="AE140" s="9" t="s">
        <v>91</v>
      </c>
    </row>
    <row r="141" spans="1:31" ht="18" customHeight="1">
      <c r="A141" s="4">
        <v>137</v>
      </c>
      <c r="B141" s="13">
        <v>44172</v>
      </c>
      <c r="C141" s="13">
        <v>44175</v>
      </c>
      <c r="D141" s="4" t="s">
        <v>92</v>
      </c>
      <c r="E141" s="14">
        <v>12530.888999999999</v>
      </c>
      <c r="F141" s="14">
        <v>12342.888999999999</v>
      </c>
      <c r="G141" s="15">
        <v>-1.4999999999999999E-2</v>
      </c>
      <c r="H141" s="16">
        <f t="shared" si="32"/>
        <v>4.811E-2</v>
      </c>
      <c r="I141" s="17" t="b">
        <f>AND(A141&gt;2,H141&lt;=Assumptions!$B$7)</f>
        <v>0</v>
      </c>
      <c r="J141" s="15">
        <v>1.061489873666055E-4</v>
      </c>
      <c r="K141" s="15">
        <v>3.7785926313951501E-2</v>
      </c>
      <c r="L141" s="15">
        <v>4.0549180603695056E-3</v>
      </c>
      <c r="M141" s="17" t="b">
        <f>J141&gt;=Assumptions!$B$8</f>
        <v>0</v>
      </c>
      <c r="N141" s="17" t="b">
        <f>AND(K141&lt;&gt;"",K141&lt;=Assumptions!$B$9)</f>
        <v>0</v>
      </c>
      <c r="O141" s="17" t="b">
        <f>AND(P141&lt;&gt;"",ABS(L141)&lt;=Assumptions!$B$10)</f>
        <v>1</v>
      </c>
      <c r="P141" s="13">
        <v>44173</v>
      </c>
      <c r="Q141" s="14">
        <v>12575.507</v>
      </c>
      <c r="R141" s="15">
        <v>-1.8489999999999999E-2</v>
      </c>
      <c r="S141" s="17" t="str">
        <f t="shared" si="22"/>
        <v>BASELINE</v>
      </c>
      <c r="T141" s="16">
        <f t="shared" si="23"/>
        <v>-1.4999999999999999E-2</v>
      </c>
      <c r="U141" s="16">
        <f>G141*Assumptions!$B$6</f>
        <v>-0.16950000000000001</v>
      </c>
      <c r="V141" s="16">
        <f>T141*Assumptions!$B$6</f>
        <v>-0.16950000000000001</v>
      </c>
      <c r="W141" s="16">
        <f t="shared" si="24"/>
        <v>0</v>
      </c>
      <c r="X141" s="18">
        <f t="shared" si="28"/>
        <v>7731.5997417187846</v>
      </c>
      <c r="Y141" s="18">
        <f t="shared" si="29"/>
        <v>9309.572235663798</v>
      </c>
      <c r="Z141" s="19">
        <f t="shared" si="25"/>
        <v>-0.16949999999999998</v>
      </c>
      <c r="AA141" s="18">
        <f t="shared" si="30"/>
        <v>28990.068893727301</v>
      </c>
      <c r="AB141" s="18">
        <f t="shared" si="31"/>
        <v>40627.152201780176</v>
      </c>
      <c r="AC141" s="19">
        <f t="shared" si="26"/>
        <v>-0.28643610682471043</v>
      </c>
      <c r="AD141" s="20">
        <f t="shared" si="27"/>
        <v>21258.469152008518</v>
      </c>
      <c r="AE141" s="9" t="s">
        <v>91</v>
      </c>
    </row>
    <row r="142" spans="1:31" ht="18" customHeight="1">
      <c r="A142" s="4">
        <v>138</v>
      </c>
      <c r="B142" s="13">
        <v>44179</v>
      </c>
      <c r="C142" s="13">
        <v>44183</v>
      </c>
      <c r="D142" s="4" t="s">
        <v>93</v>
      </c>
      <c r="E142" s="14">
        <v>12420.369000000001</v>
      </c>
      <c r="F142" s="14">
        <v>12721.779</v>
      </c>
      <c r="G142" s="15">
        <v>2.426E-2</v>
      </c>
      <c r="H142" s="16">
        <f t="shared" si="32"/>
        <v>5.9799999999999992E-3</v>
      </c>
      <c r="I142" s="17" t="b">
        <f>AND(A142&gt;2,H142&lt;=Assumptions!$B$7)</f>
        <v>0</v>
      </c>
      <c r="J142" s="15">
        <v>4.9420318595996271E-3</v>
      </c>
      <c r="K142" s="15">
        <v>4.6617661737654803E-2</v>
      </c>
      <c r="L142" s="15">
        <v>1.5031012319775883E-2</v>
      </c>
      <c r="M142" s="17" t="b">
        <f>J142&gt;=Assumptions!$B$8</f>
        <v>0</v>
      </c>
      <c r="N142" s="17" t="b">
        <f>AND(K142&lt;&gt;"",K142&lt;=Assumptions!$B$9)</f>
        <v>0</v>
      </c>
      <c r="O142" s="17" t="b">
        <f>AND(P142&lt;&gt;"",ABS(L142)&lt;=Assumptions!$B$10)</f>
        <v>0</v>
      </c>
      <c r="P142" s="13">
        <v>44180</v>
      </c>
      <c r="Q142" s="14">
        <v>12559.799000000001</v>
      </c>
      <c r="R142" s="15">
        <v>1.289E-2</v>
      </c>
      <c r="S142" s="17" t="str">
        <f t="shared" si="22"/>
        <v>BASELINE</v>
      </c>
      <c r="T142" s="16">
        <f t="shared" si="23"/>
        <v>2.426E-2</v>
      </c>
      <c r="U142" s="16">
        <f>G142*Assumptions!$B$6</f>
        <v>0.27413800000000005</v>
      </c>
      <c r="V142" s="16">
        <f>T142*Assumptions!$B$6</f>
        <v>0.27413800000000005</v>
      </c>
      <c r="W142" s="16">
        <f t="shared" si="24"/>
        <v>0</v>
      </c>
      <c r="X142" s="18">
        <f t="shared" si="28"/>
        <v>9851.1250317140893</v>
      </c>
      <c r="Y142" s="18">
        <f t="shared" si="29"/>
        <v>9851.1250317140893</v>
      </c>
      <c r="Z142" s="19">
        <f t="shared" si="25"/>
        <v>0</v>
      </c>
      <c r="AA142" s="18">
        <f t="shared" si="30"/>
        <v>36937.348400115916</v>
      </c>
      <c r="AB142" s="18">
        <f t="shared" si="31"/>
        <v>40627.152201780176</v>
      </c>
      <c r="AC142" s="19">
        <f t="shared" si="26"/>
        <v>-9.0821128277422836E-2</v>
      </c>
      <c r="AD142" s="20">
        <f t="shared" si="27"/>
        <v>27086.223368401828</v>
      </c>
      <c r="AE142" s="9" t="s">
        <v>91</v>
      </c>
    </row>
    <row r="143" spans="1:31" ht="18" customHeight="1">
      <c r="A143" s="4">
        <v>139</v>
      </c>
      <c r="B143" s="13">
        <v>44186</v>
      </c>
      <c r="C143" s="13">
        <v>44186</v>
      </c>
      <c r="D143" s="4" t="s">
        <v>90</v>
      </c>
      <c r="E143" s="14">
        <v>12580.689</v>
      </c>
      <c r="F143" s="14">
        <v>12675.039000000001</v>
      </c>
      <c r="G143" s="15">
        <v>7.4900000000000001E-3</v>
      </c>
      <c r="H143" s="16">
        <f t="shared" si="32"/>
        <v>9.2600000000000009E-3</v>
      </c>
      <c r="I143" s="17" t="b">
        <f>AND(A143&gt;2,H143&lt;=Assumptions!$B$7)</f>
        <v>0</v>
      </c>
      <c r="J143" s="15">
        <v>-1.1090430041270194E-2</v>
      </c>
      <c r="K143" s="15">
        <v>6.0463170035303992E-2</v>
      </c>
      <c r="L143" s="15">
        <v>1.1373320114196339E-3</v>
      </c>
      <c r="M143" s="17" t="b">
        <f>J143&gt;=Assumptions!$B$8</f>
        <v>0</v>
      </c>
      <c r="N143" s="17" t="b">
        <f>AND(K143&lt;&gt;"",K143&lt;=Assumptions!$B$9)</f>
        <v>0</v>
      </c>
      <c r="O143" s="17" t="b">
        <f>AND(P143&lt;&gt;"",ABS(L143)&lt;=Assumptions!$B$10)</f>
        <v>1</v>
      </c>
      <c r="P143" s="13">
        <v>44187</v>
      </c>
      <c r="Q143" s="14">
        <v>12720.699000000001</v>
      </c>
      <c r="R143" s="15">
        <v>-3.5799999999999998E-3</v>
      </c>
      <c r="S143" s="17" t="str">
        <f t="shared" si="22"/>
        <v>BASELINE</v>
      </c>
      <c r="T143" s="16">
        <f t="shared" si="23"/>
        <v>7.4900000000000001E-3</v>
      </c>
      <c r="U143" s="16">
        <f>G143*Assumptions!$B$6</f>
        <v>8.4637000000000004E-2</v>
      </c>
      <c r="V143" s="16">
        <f>T143*Assumptions!$B$6</f>
        <v>8.4637000000000004E-2</v>
      </c>
      <c r="W143" s="16">
        <f t="shared" si="24"/>
        <v>0</v>
      </c>
      <c r="X143" s="18">
        <f t="shared" si="28"/>
        <v>10684.894701023275</v>
      </c>
      <c r="Y143" s="18">
        <f t="shared" si="29"/>
        <v>10684.894701023275</v>
      </c>
      <c r="Z143" s="19">
        <f t="shared" si="25"/>
        <v>0</v>
      </c>
      <c r="AA143" s="18">
        <f t="shared" si="30"/>
        <v>40063.614756656527</v>
      </c>
      <c r="AB143" s="18">
        <f t="shared" si="31"/>
        <v>40627.152201780176</v>
      </c>
      <c r="AC143" s="19">
        <f t="shared" si="26"/>
        <v>-1.387095611143907E-2</v>
      </c>
      <c r="AD143" s="20">
        <f t="shared" si="27"/>
        <v>29378.720055633254</v>
      </c>
      <c r="AE143" s="9" t="s">
        <v>91</v>
      </c>
    </row>
    <row r="144" spans="1:31" ht="18" customHeight="1">
      <c r="A144" s="4">
        <v>140</v>
      </c>
      <c r="B144" s="13">
        <v>44193</v>
      </c>
      <c r="C144" s="13">
        <v>44196</v>
      </c>
      <c r="D144" s="4" t="s">
        <v>93</v>
      </c>
      <c r="E144" s="14">
        <v>12819.939</v>
      </c>
      <c r="F144" s="14">
        <v>12896.159</v>
      </c>
      <c r="G144" s="15">
        <v>5.94E-3</v>
      </c>
      <c r="H144" s="16">
        <f t="shared" si="32"/>
        <v>3.175E-2</v>
      </c>
      <c r="I144" s="17" t="b">
        <f>AND(A144&gt;2,H144&lt;=Assumptions!$B$7)</f>
        <v>0</v>
      </c>
      <c r="J144" s="15">
        <v>8.9062766467227217E-3</v>
      </c>
      <c r="K144" s="15">
        <v>4.6710227253011105E-2</v>
      </c>
      <c r="L144" s="15">
        <v>1.453046989477591E-2</v>
      </c>
      <c r="M144" s="17" t="b">
        <f>J144&gt;=Assumptions!$B$8</f>
        <v>0</v>
      </c>
      <c r="N144" s="17" t="b">
        <f>AND(K144&lt;&gt;"",K144&lt;=Assumptions!$B$9)</f>
        <v>0</v>
      </c>
      <c r="O144" s="17" t="b">
        <f>AND(P144&lt;&gt;"",ABS(L144)&lt;=Assumptions!$B$10)</f>
        <v>0</v>
      </c>
      <c r="P144" s="13">
        <v>44194</v>
      </c>
      <c r="Q144" s="14">
        <v>12896.659</v>
      </c>
      <c r="R144" s="15">
        <v>-3.0000000000000001E-5</v>
      </c>
      <c r="S144" s="17" t="str">
        <f t="shared" si="22"/>
        <v>BASELINE</v>
      </c>
      <c r="T144" s="16">
        <f t="shared" si="23"/>
        <v>5.94E-3</v>
      </c>
      <c r="U144" s="16">
        <f>G144*Assumptions!$B$6</f>
        <v>6.7122000000000001E-2</v>
      </c>
      <c r="V144" s="16">
        <f>T144*Assumptions!$B$6</f>
        <v>6.7122000000000001E-2</v>
      </c>
      <c r="W144" s="16">
        <f t="shared" si="24"/>
        <v>0</v>
      </c>
      <c r="X144" s="18">
        <f t="shared" si="28"/>
        <v>11402.086203145358</v>
      </c>
      <c r="Y144" s="18">
        <f t="shared" si="29"/>
        <v>11402.086203145358</v>
      </c>
      <c r="Z144" s="19">
        <f t="shared" si="25"/>
        <v>0</v>
      </c>
      <c r="AA144" s="18">
        <f t="shared" si="30"/>
        <v>42752.76470635282</v>
      </c>
      <c r="AB144" s="18">
        <f t="shared" si="31"/>
        <v>42752.76470635282</v>
      </c>
      <c r="AC144" s="19">
        <f t="shared" si="26"/>
        <v>0</v>
      </c>
      <c r="AD144" s="20">
        <f t="shared" si="27"/>
        <v>31350.678503207462</v>
      </c>
      <c r="AE144" s="9" t="s">
        <v>91</v>
      </c>
    </row>
    <row r="145" spans="1:31" ht="18" customHeight="1">
      <c r="A145" s="4">
        <v>141</v>
      </c>
      <c r="B145" s="13">
        <v>44200</v>
      </c>
      <c r="C145" s="13">
        <v>44203</v>
      </c>
      <c r="D145" s="4" t="s">
        <v>92</v>
      </c>
      <c r="E145" s="14">
        <v>12936.179</v>
      </c>
      <c r="F145" s="14">
        <v>12668.326999999999</v>
      </c>
      <c r="G145" s="15">
        <v>-2.07E-2</v>
      </c>
      <c r="H145" s="16">
        <f t="shared" si="32"/>
        <v>1.3430000000000001E-2</v>
      </c>
      <c r="I145" s="17" t="b">
        <f>AND(A145&gt;2,H145&lt;=Assumptions!$B$7)</f>
        <v>0</v>
      </c>
      <c r="J145" s="15">
        <v>3.1032495799718784E-3</v>
      </c>
      <c r="K145" s="15">
        <v>3.4399921503080799E-2</v>
      </c>
      <c r="L145" s="15">
        <v>-1.7385189061886908E-2</v>
      </c>
      <c r="M145" s="17" t="b">
        <f>J145&gt;=Assumptions!$B$8</f>
        <v>0</v>
      </c>
      <c r="N145" s="17" t="b">
        <f>AND(K145&lt;&gt;"",K145&lt;=Assumptions!$B$9)</f>
        <v>0</v>
      </c>
      <c r="O145" s="17" t="b">
        <f>AND(P145&lt;&gt;"",ABS(L145)&lt;=Assumptions!$B$10)</f>
        <v>0</v>
      </c>
      <c r="P145" s="13">
        <v>44201</v>
      </c>
      <c r="Q145" s="14">
        <v>12657.299000000001</v>
      </c>
      <c r="R145" s="15">
        <v>8.7000000000000001E-4</v>
      </c>
      <c r="S145" s="17" t="str">
        <f t="shared" si="22"/>
        <v>BASELINE</v>
      </c>
      <c r="T145" s="16">
        <f t="shared" si="23"/>
        <v>-2.07E-2</v>
      </c>
      <c r="U145" s="16">
        <f>G145*Assumptions!$B$6</f>
        <v>-0.23391000000000001</v>
      </c>
      <c r="V145" s="16">
        <f>T145*Assumptions!$B$6</f>
        <v>-0.23391000000000001</v>
      </c>
      <c r="W145" s="16">
        <f t="shared" si="24"/>
        <v>0</v>
      </c>
      <c r="X145" s="18">
        <f t="shared" si="28"/>
        <v>8735.0242193676258</v>
      </c>
      <c r="Y145" s="18">
        <f t="shared" si="29"/>
        <v>11402.086203145358</v>
      </c>
      <c r="Z145" s="19">
        <f t="shared" si="25"/>
        <v>-0.23391000000000017</v>
      </c>
      <c r="AA145" s="18">
        <f t="shared" si="30"/>
        <v>32752.465513889831</v>
      </c>
      <c r="AB145" s="18">
        <f t="shared" si="31"/>
        <v>42752.76470635282</v>
      </c>
      <c r="AC145" s="19">
        <f t="shared" si="26"/>
        <v>-0.23391000000000006</v>
      </c>
      <c r="AD145" s="20">
        <f t="shared" si="27"/>
        <v>24017.441294522207</v>
      </c>
      <c r="AE145" s="9" t="s">
        <v>91</v>
      </c>
    </row>
    <row r="146" spans="1:31" ht="18" customHeight="1">
      <c r="A146" s="4">
        <v>142</v>
      </c>
      <c r="B146" s="13">
        <v>44207</v>
      </c>
      <c r="C146" s="13">
        <v>44209</v>
      </c>
      <c r="D146" s="4" t="s">
        <v>99</v>
      </c>
      <c r="E146" s="14">
        <v>12972.218999999999</v>
      </c>
      <c r="F146" s="14">
        <v>12922.409</v>
      </c>
      <c r="G146" s="15">
        <v>-3.8300000000000001E-3</v>
      </c>
      <c r="H146" s="16">
        <f t="shared" si="32"/>
        <v>-1.4759999999999999E-2</v>
      </c>
      <c r="I146" s="17" t="b">
        <f>AND(A146&gt;2,H146&lt;=Assumptions!$B$7)</f>
        <v>0</v>
      </c>
      <c r="J146" s="15">
        <v>-1.1254676967676458E-2</v>
      </c>
      <c r="K146" s="15">
        <v>6.0713176813394165E-2</v>
      </c>
      <c r="L146" s="15">
        <v>-1.4320776384229128E-2</v>
      </c>
      <c r="M146" s="17" t="b">
        <f>J146&gt;=Assumptions!$B$8</f>
        <v>0</v>
      </c>
      <c r="N146" s="17" t="b">
        <f>AND(K146&lt;&gt;"",K146&lt;=Assumptions!$B$9)</f>
        <v>0</v>
      </c>
      <c r="O146" s="17" t="b">
        <f>AND(P146&lt;&gt;"",ABS(L146)&lt;=Assumptions!$B$10)</f>
        <v>0</v>
      </c>
      <c r="P146" s="13">
        <v>44208</v>
      </c>
      <c r="Q146" s="14">
        <v>12913.147000000001</v>
      </c>
      <c r="R146" s="15">
        <v>7.1000000000000002E-4</v>
      </c>
      <c r="S146" s="17" t="str">
        <f t="shared" si="22"/>
        <v>BASELINE</v>
      </c>
      <c r="T146" s="16">
        <f t="shared" si="23"/>
        <v>-3.8300000000000001E-3</v>
      </c>
      <c r="U146" s="16">
        <f>G146*Assumptions!$B$6</f>
        <v>-4.3279000000000005E-2</v>
      </c>
      <c r="V146" s="16">
        <f>T146*Assumptions!$B$6</f>
        <v>-4.3279000000000005E-2</v>
      </c>
      <c r="W146" s="16">
        <f t="shared" si="24"/>
        <v>0</v>
      </c>
      <c r="X146" s="18">
        <f t="shared" si="28"/>
        <v>8356.9811061776145</v>
      </c>
      <c r="Y146" s="18">
        <f t="shared" si="29"/>
        <v>11402.086203145358</v>
      </c>
      <c r="Z146" s="19">
        <f t="shared" si="25"/>
        <v>-0.2670656091100001</v>
      </c>
      <c r="AA146" s="18">
        <f t="shared" si="30"/>
        <v>31334.971558914192</v>
      </c>
      <c r="AB146" s="18">
        <f t="shared" si="31"/>
        <v>42752.76470635282</v>
      </c>
      <c r="AC146" s="19">
        <f t="shared" si="26"/>
        <v>-0.26706560910999999</v>
      </c>
      <c r="AD146" s="20">
        <f t="shared" si="27"/>
        <v>22977.99045273658</v>
      </c>
      <c r="AE146" s="9" t="s">
        <v>91</v>
      </c>
    </row>
    <row r="147" spans="1:31" ht="18" customHeight="1">
      <c r="A147" s="4">
        <v>143</v>
      </c>
      <c r="B147" s="13">
        <v>44215</v>
      </c>
      <c r="C147" s="13">
        <v>44216</v>
      </c>
      <c r="D147" s="4" t="s">
        <v>98</v>
      </c>
      <c r="E147" s="14">
        <v>12901.659</v>
      </c>
      <c r="F147" s="14">
        <v>13036.009</v>
      </c>
      <c r="G147" s="15">
        <v>1.0410000000000001E-2</v>
      </c>
      <c r="H147" s="16">
        <f t="shared" si="32"/>
        <v>-2.453E-2</v>
      </c>
      <c r="I147" s="17" t="b">
        <f>AND(A147&gt;2,H147&lt;=Assumptions!$B$7)</f>
        <v>1</v>
      </c>
      <c r="J147" s="15">
        <v>8.4913432151212387E-3</v>
      </c>
      <c r="K147" s="15">
        <v>1.1156844672631561E-2</v>
      </c>
      <c r="L147" s="15"/>
      <c r="M147" s="17" t="b">
        <f>J147&gt;=Assumptions!$B$8</f>
        <v>0</v>
      </c>
      <c r="N147" s="17" t="b">
        <f>AND(K147&lt;&gt;"",K147&lt;=Assumptions!$B$9)</f>
        <v>0</v>
      </c>
      <c r="O147" s="17" t="b">
        <f>AND(P147&lt;&gt;"",ABS(L147)&lt;=Assumptions!$B$10)</f>
        <v>0</v>
      </c>
      <c r="P147" s="13"/>
      <c r="Q147" s="14"/>
      <c r="R147" s="15"/>
      <c r="S147" s="17" t="str">
        <f t="shared" si="22"/>
        <v>DAMAGE SKIP</v>
      </c>
      <c r="T147" s="16">
        <f t="shared" si="23"/>
        <v>0</v>
      </c>
      <c r="U147" s="16">
        <f>G147*Assumptions!$B$6</f>
        <v>0.11763300000000002</v>
      </c>
      <c r="V147" s="16">
        <f>T147*Assumptions!$B$6</f>
        <v>0</v>
      </c>
      <c r="W147" s="16">
        <f t="shared" si="24"/>
        <v>-0.11763300000000002</v>
      </c>
      <c r="X147" s="18">
        <f t="shared" si="28"/>
        <v>9340.0378646406061</v>
      </c>
      <c r="Y147" s="18">
        <f t="shared" si="29"/>
        <v>11402.086203145358</v>
      </c>
      <c r="Z147" s="19">
        <f t="shared" si="25"/>
        <v>-0.18084833790643673</v>
      </c>
      <c r="AA147" s="18">
        <f t="shared" si="30"/>
        <v>31334.971558914192</v>
      </c>
      <c r="AB147" s="18">
        <f t="shared" si="31"/>
        <v>42752.76470635282</v>
      </c>
      <c r="AC147" s="19">
        <f t="shared" si="26"/>
        <v>-0.26706560910999999</v>
      </c>
      <c r="AD147" s="20">
        <f t="shared" si="27"/>
        <v>21994.933694273586</v>
      </c>
      <c r="AE147" s="9" t="s">
        <v>94</v>
      </c>
    </row>
    <row r="148" spans="1:31" ht="18" customHeight="1">
      <c r="A148" s="4">
        <v>144</v>
      </c>
      <c r="B148" s="13">
        <v>44221</v>
      </c>
      <c r="C148" s="13">
        <v>44224</v>
      </c>
      <c r="D148" s="4" t="s">
        <v>92</v>
      </c>
      <c r="E148" s="14">
        <v>13506.986999999999</v>
      </c>
      <c r="F148" s="14">
        <v>13047.927</v>
      </c>
      <c r="G148" s="15">
        <v>-3.3980000000000003E-2</v>
      </c>
      <c r="H148" s="16">
        <f t="shared" si="32"/>
        <v>-3.8300000000000001E-3</v>
      </c>
      <c r="I148" s="17" t="b">
        <f>AND(A148&gt;2,H148&lt;=Assumptions!$B$7)</f>
        <v>0</v>
      </c>
      <c r="J148" s="15">
        <v>1.1207971324099564E-2</v>
      </c>
      <c r="K148" s="15">
        <v>5.0537210481153894E-2</v>
      </c>
      <c r="L148" s="15">
        <v>1.0577405224367675E-2</v>
      </c>
      <c r="M148" s="17" t="b">
        <f>J148&gt;=Assumptions!$B$8</f>
        <v>1</v>
      </c>
      <c r="N148" s="17" t="b">
        <f>AND(K148&lt;&gt;"",K148&lt;=Assumptions!$B$9)</f>
        <v>0</v>
      </c>
      <c r="O148" s="17" t="b">
        <f>AND(P148&lt;&gt;"",ABS(L148)&lt;=Assumptions!$B$10)</f>
        <v>0</v>
      </c>
      <c r="P148" s="13">
        <v>44222</v>
      </c>
      <c r="Q148" s="14">
        <v>13503.209000000001</v>
      </c>
      <c r="R148" s="15">
        <v>-3.3709999999999997E-2</v>
      </c>
      <c r="S148" s="17" t="str">
        <f t="shared" si="22"/>
        <v>BASELINE</v>
      </c>
      <c r="T148" s="16">
        <f t="shared" si="23"/>
        <v>-3.3980000000000003E-2</v>
      </c>
      <c r="U148" s="16">
        <f>G148*Assumptions!$B$6</f>
        <v>-0.38397400000000004</v>
      </c>
      <c r="V148" s="16">
        <f>T148*Assumptions!$B$6</f>
        <v>-0.38397400000000004</v>
      </c>
      <c r="W148" s="16">
        <f t="shared" si="24"/>
        <v>0</v>
      </c>
      <c r="X148" s="18">
        <f t="shared" si="28"/>
        <v>5753.7061656030937</v>
      </c>
      <c r="Y148" s="18">
        <f t="shared" si="29"/>
        <v>11402.086203145358</v>
      </c>
      <c r="Z148" s="19">
        <f t="shared" si="25"/>
        <v>-0.49538127820715061</v>
      </c>
      <c r="AA148" s="18">
        <f t="shared" si="30"/>
        <v>19303.157189551672</v>
      </c>
      <c r="AB148" s="18">
        <f t="shared" si="31"/>
        <v>42752.76470635282</v>
      </c>
      <c r="AC148" s="19">
        <f t="shared" si="26"/>
        <v>-0.54849335891759687</v>
      </c>
      <c r="AD148" s="20">
        <f t="shared" si="27"/>
        <v>13549.451023948579</v>
      </c>
      <c r="AE148" s="9" t="s">
        <v>91</v>
      </c>
    </row>
    <row r="149" spans="1:31" ht="18" customHeight="1">
      <c r="A149" s="4">
        <v>145</v>
      </c>
      <c r="B149" s="13">
        <v>44228</v>
      </c>
      <c r="C149" s="13">
        <v>44228</v>
      </c>
      <c r="D149" s="4" t="s">
        <v>90</v>
      </c>
      <c r="E149" s="14">
        <v>13061.439</v>
      </c>
      <c r="F149" s="14">
        <v>13233.968999999999</v>
      </c>
      <c r="G149" s="15">
        <v>1.32E-2</v>
      </c>
      <c r="H149" s="16">
        <f t="shared" si="32"/>
        <v>-3.3980000000000003E-2</v>
      </c>
      <c r="I149" s="17" t="b">
        <f>AND(A149&gt;2,H149&lt;=Assumptions!$B$7)</f>
        <v>1</v>
      </c>
      <c r="J149" s="15">
        <v>1.0049894524825964E-2</v>
      </c>
      <c r="K149" s="15">
        <v>5.0791214988819E-3</v>
      </c>
      <c r="L149" s="15">
        <v>3.4672765175859599E-2</v>
      </c>
      <c r="M149" s="17" t="b">
        <f>J149&gt;=Assumptions!$B$8</f>
        <v>1</v>
      </c>
      <c r="N149" s="17" t="b">
        <f>AND(K149&lt;&gt;"",K149&lt;=Assumptions!$B$9)</f>
        <v>0</v>
      </c>
      <c r="O149" s="17" t="b">
        <f>AND(P149&lt;&gt;"",ABS(L149)&lt;=Assumptions!$B$10)</f>
        <v>0</v>
      </c>
      <c r="P149" s="13">
        <v>44229</v>
      </c>
      <c r="Q149" s="14">
        <v>13361.909</v>
      </c>
      <c r="R149" s="15">
        <v>-9.5700000000000004E-3</v>
      </c>
      <c r="S149" s="17" t="str">
        <f t="shared" si="22"/>
        <v>DAMAGE SKIP</v>
      </c>
      <c r="T149" s="16">
        <f t="shared" si="23"/>
        <v>0</v>
      </c>
      <c r="U149" s="16">
        <f>G149*Assumptions!$B$6</f>
        <v>0.14916000000000001</v>
      </c>
      <c r="V149" s="16">
        <f>T149*Assumptions!$B$6</f>
        <v>0</v>
      </c>
      <c r="W149" s="16">
        <f t="shared" si="24"/>
        <v>-0.14916000000000001</v>
      </c>
      <c r="X149" s="18">
        <f t="shared" si="28"/>
        <v>6611.9289772644506</v>
      </c>
      <c r="Y149" s="18">
        <f t="shared" si="29"/>
        <v>11402.086203145358</v>
      </c>
      <c r="Z149" s="19">
        <f t="shared" si="25"/>
        <v>-0.42011234966452926</v>
      </c>
      <c r="AA149" s="18">
        <f t="shared" si="30"/>
        <v>19303.157189551672</v>
      </c>
      <c r="AB149" s="18">
        <f t="shared" si="31"/>
        <v>42752.76470635282</v>
      </c>
      <c r="AC149" s="19">
        <f t="shared" si="26"/>
        <v>-0.54849335891759687</v>
      </c>
      <c r="AD149" s="20">
        <f t="shared" si="27"/>
        <v>12691.22821228722</v>
      </c>
      <c r="AE149" s="9" t="s">
        <v>94</v>
      </c>
    </row>
    <row r="150" spans="1:31" ht="18" customHeight="1">
      <c r="A150" s="4">
        <v>146</v>
      </c>
      <c r="B150" s="13">
        <v>44235</v>
      </c>
      <c r="C150" s="13">
        <v>44239</v>
      </c>
      <c r="D150" s="4" t="s">
        <v>93</v>
      </c>
      <c r="E150" s="14">
        <v>13671.808999999999</v>
      </c>
      <c r="F150" s="14">
        <v>13815.579</v>
      </c>
      <c r="G150" s="15">
        <v>1.051E-2</v>
      </c>
      <c r="H150" s="16">
        <f t="shared" si="32"/>
        <v>-3.3980000000000003E-2</v>
      </c>
      <c r="I150" s="17" t="b">
        <f>AND(A150&gt;2,H150&lt;=Assumptions!$B$7)</f>
        <v>1</v>
      </c>
      <c r="J150" s="15">
        <v>5.0650930620794732E-3</v>
      </c>
      <c r="K150" s="15">
        <v>5.2004665498120106E-2</v>
      </c>
      <c r="L150" s="15">
        <v>3.8278578861303814E-3</v>
      </c>
      <c r="M150" s="17" t="b">
        <f>J150&gt;=Assumptions!$B$8</f>
        <v>0</v>
      </c>
      <c r="N150" s="17" t="b">
        <f>AND(K150&lt;&gt;"",K150&lt;=Assumptions!$B$9)</f>
        <v>0</v>
      </c>
      <c r="O150" s="17" t="b">
        <f>AND(P150&lt;&gt;"",ABS(L150)&lt;=Assumptions!$B$10)</f>
        <v>1</v>
      </c>
      <c r="P150" s="13">
        <v>44236</v>
      </c>
      <c r="Q150" s="14">
        <v>13651.489</v>
      </c>
      <c r="R150" s="15">
        <v>1.201E-2</v>
      </c>
      <c r="S150" s="17" t="str">
        <f t="shared" si="22"/>
        <v>DAMAGE SKIP</v>
      </c>
      <c r="T150" s="16">
        <f t="shared" si="23"/>
        <v>0</v>
      </c>
      <c r="U150" s="16">
        <f>G150*Assumptions!$B$6</f>
        <v>0.11876300000000001</v>
      </c>
      <c r="V150" s="16">
        <f>T150*Assumptions!$B$6</f>
        <v>0</v>
      </c>
      <c r="W150" s="16">
        <f t="shared" si="24"/>
        <v>-0.11876300000000001</v>
      </c>
      <c r="X150" s="18">
        <f t="shared" si="28"/>
        <v>7397.1814983913082</v>
      </c>
      <c r="Y150" s="18">
        <f t="shared" si="29"/>
        <v>11402.086203145358</v>
      </c>
      <c r="Z150" s="19">
        <f t="shared" si="25"/>
        <v>-0.35124315264773776</v>
      </c>
      <c r="AA150" s="18">
        <f t="shared" si="30"/>
        <v>19303.157189551672</v>
      </c>
      <c r="AB150" s="18">
        <f t="shared" si="31"/>
        <v>42752.76470635282</v>
      </c>
      <c r="AC150" s="19">
        <f t="shared" si="26"/>
        <v>-0.54849335891759687</v>
      </c>
      <c r="AD150" s="20">
        <f t="shared" si="27"/>
        <v>11905.975691160364</v>
      </c>
      <c r="AE150" s="9" t="s">
        <v>94</v>
      </c>
    </row>
    <row r="151" spans="1:31" ht="18" customHeight="1">
      <c r="A151" s="4">
        <v>147</v>
      </c>
      <c r="B151" s="13">
        <v>44243</v>
      </c>
      <c r="C151" s="13">
        <v>44245</v>
      </c>
      <c r="D151" s="4" t="s">
        <v>92</v>
      </c>
      <c r="E151" s="14">
        <v>13840.849</v>
      </c>
      <c r="F151" s="14">
        <v>13703.397000000001</v>
      </c>
      <c r="G151" s="15">
        <v>-9.9299999999999996E-3</v>
      </c>
      <c r="H151" s="16">
        <f t="shared" si="32"/>
        <v>0</v>
      </c>
      <c r="I151" s="17" t="b">
        <f>AND(A151&gt;2,H151&lt;=Assumptions!$B$7)</f>
        <v>0</v>
      </c>
      <c r="J151" s="15">
        <v>1.8290945316152829E-3</v>
      </c>
      <c r="K151" s="15">
        <v>7.0280134631770519E-2</v>
      </c>
      <c r="L151" s="15"/>
      <c r="M151" s="17" t="b">
        <f>J151&gt;=Assumptions!$B$8</f>
        <v>0</v>
      </c>
      <c r="N151" s="17" t="b">
        <f>AND(K151&lt;&gt;"",K151&lt;=Assumptions!$B$9)</f>
        <v>0</v>
      </c>
      <c r="O151" s="17" t="b">
        <f>AND(P151&lt;&gt;"",ABS(L151)&lt;=Assumptions!$B$10)</f>
        <v>0</v>
      </c>
      <c r="P151" s="13"/>
      <c r="Q151" s="14"/>
      <c r="R151" s="15"/>
      <c r="S151" s="17" t="str">
        <f t="shared" si="22"/>
        <v>BASELINE</v>
      </c>
      <c r="T151" s="16">
        <f t="shared" si="23"/>
        <v>-9.9299999999999996E-3</v>
      </c>
      <c r="U151" s="16">
        <f>G151*Assumptions!$B$6</f>
        <v>-0.112209</v>
      </c>
      <c r="V151" s="16">
        <f>T151*Assumptions!$B$6</f>
        <v>-0.112209</v>
      </c>
      <c r="W151" s="16">
        <f t="shared" si="24"/>
        <v>0</v>
      </c>
      <c r="X151" s="18">
        <f t="shared" si="28"/>
        <v>6567.1511596383179</v>
      </c>
      <c r="Y151" s="18">
        <f t="shared" si="29"/>
        <v>11402.086203145358</v>
      </c>
      <c r="Z151" s="19">
        <f t="shared" si="25"/>
        <v>-0.42403950973228777</v>
      </c>
      <c r="AA151" s="18">
        <f t="shared" si="30"/>
        <v>17137.169224469268</v>
      </c>
      <c r="AB151" s="18">
        <f t="shared" si="31"/>
        <v>42752.76470635282</v>
      </c>
      <c r="AC151" s="19">
        <f t="shared" si="26"/>
        <v>-0.59915646760681229</v>
      </c>
      <c r="AD151" s="20">
        <f t="shared" si="27"/>
        <v>10570.018064830951</v>
      </c>
      <c r="AE151" s="9" t="s">
        <v>91</v>
      </c>
    </row>
    <row r="152" spans="1:31" ht="18" customHeight="1">
      <c r="A152" s="4">
        <v>148</v>
      </c>
      <c r="B152" s="13">
        <v>44249</v>
      </c>
      <c r="C152" s="13">
        <v>44252</v>
      </c>
      <c r="D152" s="4" t="s">
        <v>92</v>
      </c>
      <c r="E152" s="14">
        <v>13394.209000000001</v>
      </c>
      <c r="F152" s="14">
        <v>13305.319</v>
      </c>
      <c r="G152" s="15">
        <v>-6.6299999999999996E-3</v>
      </c>
      <c r="H152" s="16">
        <f t="shared" si="32"/>
        <v>-9.9299999999999996E-3</v>
      </c>
      <c r="I152" s="17" t="b">
        <f>AND(A152&gt;2,H152&lt;=Assumptions!$B$7)</f>
        <v>0</v>
      </c>
      <c r="J152" s="15">
        <v>-1.3374554786137804E-2</v>
      </c>
      <c r="K152" s="15">
        <v>1.4298067701209227E-2</v>
      </c>
      <c r="L152" s="15">
        <v>-4.2363948636231274E-2</v>
      </c>
      <c r="M152" s="17" t="b">
        <f>J152&gt;=Assumptions!$B$8</f>
        <v>0</v>
      </c>
      <c r="N152" s="17" t="b">
        <f>AND(K152&lt;&gt;"",K152&lt;=Assumptions!$B$9)</f>
        <v>0</v>
      </c>
      <c r="O152" s="17" t="b">
        <f>AND(P152&lt;&gt;"",ABS(L152)&lt;=Assumptions!$B$10)</f>
        <v>0</v>
      </c>
      <c r="P152" s="13">
        <v>44250</v>
      </c>
      <c r="Q152" s="14">
        <v>13003.558999999999</v>
      </c>
      <c r="R152" s="15">
        <v>2.3199999999999998E-2</v>
      </c>
      <c r="S152" s="17" t="str">
        <f t="shared" si="22"/>
        <v>BASELINE</v>
      </c>
      <c r="T152" s="16">
        <f t="shared" si="23"/>
        <v>-6.6299999999999996E-3</v>
      </c>
      <c r="U152" s="16">
        <f>G152*Assumptions!$B$6</f>
        <v>-7.4918999999999999E-2</v>
      </c>
      <c r="V152" s="16">
        <f>T152*Assumptions!$B$6</f>
        <v>-7.4918999999999999E-2</v>
      </c>
      <c r="W152" s="16">
        <f t="shared" si="24"/>
        <v>0</v>
      </c>
      <c r="X152" s="18">
        <f t="shared" si="28"/>
        <v>6075.1467619093755</v>
      </c>
      <c r="Y152" s="18">
        <f t="shared" si="29"/>
        <v>11402.086203145358</v>
      </c>
      <c r="Z152" s="19">
        <f t="shared" si="25"/>
        <v>-0.4671898937026544</v>
      </c>
      <c r="AA152" s="18">
        <f t="shared" si="30"/>
        <v>15853.269643341255</v>
      </c>
      <c r="AB152" s="18">
        <f t="shared" si="31"/>
        <v>42752.76470635282</v>
      </c>
      <c r="AC152" s="19">
        <f t="shared" si="26"/>
        <v>-0.62918726421017757</v>
      </c>
      <c r="AD152" s="20">
        <f t="shared" si="27"/>
        <v>9778.1228814318783</v>
      </c>
      <c r="AE152" s="9" t="s">
        <v>91</v>
      </c>
    </row>
    <row r="153" spans="1:31" ht="18" customHeight="1">
      <c r="A153" s="4">
        <v>149</v>
      </c>
      <c r="B153" s="13">
        <v>44256</v>
      </c>
      <c r="C153" s="13">
        <v>44256</v>
      </c>
      <c r="D153" s="4" t="s">
        <v>90</v>
      </c>
      <c r="E153" s="14">
        <v>13099.019</v>
      </c>
      <c r="F153" s="14">
        <v>13271.319</v>
      </c>
      <c r="G153" s="15">
        <v>1.315E-2</v>
      </c>
      <c r="H153" s="16">
        <f t="shared" si="32"/>
        <v>-1.6559999999999998E-2</v>
      </c>
      <c r="I153" s="17" t="b">
        <f>AND(A153&gt;2,H153&lt;=Assumptions!$B$7)</f>
        <v>0</v>
      </c>
      <c r="J153" s="15">
        <v>1.5032910838798541E-2</v>
      </c>
      <c r="K153" s="15">
        <v>-2.2349830092746492E-2</v>
      </c>
      <c r="L153" s="15">
        <v>3.2216755849128198E-2</v>
      </c>
      <c r="M153" s="17" t="b">
        <f>J153&gt;=Assumptions!$B$8</f>
        <v>1</v>
      </c>
      <c r="N153" s="17" t="b">
        <f>AND(K153&lt;&gt;"",K153&lt;=Assumptions!$B$9)</f>
        <v>1</v>
      </c>
      <c r="O153" s="17" t="b">
        <f>AND(P153&lt;&gt;"",ABS(L153)&lt;=Assumptions!$B$10)</f>
        <v>0</v>
      </c>
      <c r="P153" s="13">
        <v>44257</v>
      </c>
      <c r="Q153" s="14">
        <v>13299.709000000001</v>
      </c>
      <c r="R153" s="15">
        <v>-2.1299999999999999E-3</v>
      </c>
      <c r="S153" s="17" t="str">
        <f t="shared" si="22"/>
        <v>GAP/MOM SKIP</v>
      </c>
      <c r="T153" s="16">
        <f t="shared" si="23"/>
        <v>0</v>
      </c>
      <c r="U153" s="16">
        <f>G153*Assumptions!$B$6</f>
        <v>0.148595</v>
      </c>
      <c r="V153" s="16">
        <f>T153*Assumptions!$B$6</f>
        <v>0</v>
      </c>
      <c r="W153" s="16">
        <f t="shared" si="24"/>
        <v>-0.148595</v>
      </c>
      <c r="X153" s="18">
        <f t="shared" si="28"/>
        <v>6977.8831949952992</v>
      </c>
      <c r="Y153" s="18">
        <f t="shared" si="29"/>
        <v>11402.086203145358</v>
      </c>
      <c r="Z153" s="19">
        <f t="shared" si="25"/>
        <v>-0.38801697595740037</v>
      </c>
      <c r="AA153" s="18">
        <f t="shared" si="30"/>
        <v>15853.269643341255</v>
      </c>
      <c r="AB153" s="18">
        <f t="shared" si="31"/>
        <v>42752.76470635282</v>
      </c>
      <c r="AC153" s="19">
        <f t="shared" si="26"/>
        <v>-0.62918726421017757</v>
      </c>
      <c r="AD153" s="20">
        <f t="shared" si="27"/>
        <v>8875.3864483459547</v>
      </c>
      <c r="AE153" s="9" t="s">
        <v>102</v>
      </c>
    </row>
    <row r="154" spans="1:31" ht="18" customHeight="1">
      <c r="A154" s="4">
        <v>150</v>
      </c>
      <c r="B154" s="13">
        <v>44263</v>
      </c>
      <c r="C154" s="13">
        <v>44267</v>
      </c>
      <c r="D154" s="4" t="s">
        <v>93</v>
      </c>
      <c r="E154" s="14">
        <v>12638.489</v>
      </c>
      <c r="F154" s="14">
        <v>12934.589</v>
      </c>
      <c r="G154" s="15">
        <v>2.342E-2</v>
      </c>
      <c r="H154" s="16">
        <f t="shared" si="32"/>
        <v>-6.6299999999999996E-3</v>
      </c>
      <c r="I154" s="17" t="b">
        <f>AND(A154&gt;2,H154&lt;=Assumptions!$B$7)</f>
        <v>0</v>
      </c>
      <c r="J154" s="15">
        <v>-1.9993984432329359E-3</v>
      </c>
      <c r="K154" s="15">
        <v>-6.5280488259642722E-2</v>
      </c>
      <c r="L154" s="15">
        <v>-3.9097174431245163E-3</v>
      </c>
      <c r="M154" s="17" t="b">
        <f>J154&gt;=Assumptions!$B$8</f>
        <v>0</v>
      </c>
      <c r="N154" s="17" t="b">
        <f>AND(K154&lt;&gt;"",K154&lt;=Assumptions!$B$9)</f>
        <v>1</v>
      </c>
      <c r="O154" s="17" t="b">
        <f>AND(P154&lt;&gt;"",ABS(L154)&lt;=Assumptions!$B$10)</f>
        <v>1</v>
      </c>
      <c r="P154" s="13">
        <v>44264</v>
      </c>
      <c r="Q154" s="14">
        <v>12613.486999999999</v>
      </c>
      <c r="R154" s="15">
        <v>2.545E-2</v>
      </c>
      <c r="S154" s="17" t="str">
        <f t="shared" si="22"/>
        <v>BASELINE</v>
      </c>
      <c r="T154" s="16">
        <f t="shared" si="23"/>
        <v>2.342E-2</v>
      </c>
      <c r="U154" s="16">
        <f>G154*Assumptions!$B$6</f>
        <v>0.26464599999999999</v>
      </c>
      <c r="V154" s="16">
        <f>T154*Assumptions!$B$6</f>
        <v>0.26464599999999999</v>
      </c>
      <c r="W154" s="16">
        <f t="shared" si="24"/>
        <v>0</v>
      </c>
      <c r="X154" s="18">
        <f t="shared" si="28"/>
        <v>8824.5520710180244</v>
      </c>
      <c r="Y154" s="18">
        <f t="shared" si="29"/>
        <v>11402.086203145358</v>
      </c>
      <c r="Z154" s="19">
        <f t="shared" si="25"/>
        <v>-0.22605811657662256</v>
      </c>
      <c r="AA154" s="18">
        <f t="shared" si="30"/>
        <v>20048.774041372944</v>
      </c>
      <c r="AB154" s="18">
        <f t="shared" si="31"/>
        <v>42752.76470635282</v>
      </c>
      <c r="AC154" s="19">
        <f t="shared" si="26"/>
        <v>-0.53105315693434418</v>
      </c>
      <c r="AD154" s="20">
        <f t="shared" si="27"/>
        <v>11224.22197035492</v>
      </c>
      <c r="AE154" s="9" t="s">
        <v>91</v>
      </c>
    </row>
    <row r="155" spans="1:31" ht="18" customHeight="1">
      <c r="A155" s="4">
        <v>151</v>
      </c>
      <c r="B155" s="13">
        <v>44270</v>
      </c>
      <c r="C155" s="13">
        <v>44270</v>
      </c>
      <c r="D155" s="4" t="s">
        <v>90</v>
      </c>
      <c r="E155" s="14">
        <v>12951.159</v>
      </c>
      <c r="F155" s="14">
        <v>13083.058999999999</v>
      </c>
      <c r="G155" s="15">
        <v>1.018E-2</v>
      </c>
      <c r="H155" s="16">
        <f t="shared" si="32"/>
        <v>2.342E-2</v>
      </c>
      <c r="I155" s="17" t="b">
        <f>AND(A155&gt;2,H155&lt;=Assumptions!$B$7)</f>
        <v>0</v>
      </c>
      <c r="J155" s="15">
        <v>1.2810611918168124E-3</v>
      </c>
      <c r="K155" s="15">
        <v>-5.7134005883020533E-2</v>
      </c>
      <c r="L155" s="15">
        <v>1.7856445757264083E-2</v>
      </c>
      <c r="M155" s="17" t="b">
        <f>J155&gt;=Assumptions!$B$8</f>
        <v>0</v>
      </c>
      <c r="N155" s="17" t="b">
        <f>AND(K155&lt;&gt;"",K155&lt;=Assumptions!$B$9)</f>
        <v>1</v>
      </c>
      <c r="O155" s="17" t="b">
        <f>AND(P155&lt;&gt;"",ABS(L155)&lt;=Assumptions!$B$10)</f>
        <v>0</v>
      </c>
      <c r="P155" s="13">
        <v>44271</v>
      </c>
      <c r="Q155" s="14">
        <v>13168.879000000001</v>
      </c>
      <c r="R155" s="15">
        <v>-6.5100000000000002E-3</v>
      </c>
      <c r="S155" s="17" t="str">
        <f t="shared" si="22"/>
        <v>BASELINE</v>
      </c>
      <c r="T155" s="16">
        <f t="shared" si="23"/>
        <v>1.018E-2</v>
      </c>
      <c r="U155" s="16">
        <f>G155*Assumptions!$B$6</f>
        <v>0.11503400000000001</v>
      </c>
      <c r="V155" s="16">
        <f>T155*Assumptions!$B$6</f>
        <v>0.11503400000000001</v>
      </c>
      <c r="W155" s="16">
        <f t="shared" si="24"/>
        <v>0</v>
      </c>
      <c r="X155" s="18">
        <f t="shared" si="28"/>
        <v>9839.6755939555132</v>
      </c>
      <c r="Y155" s="18">
        <f t="shared" si="29"/>
        <v>11402.086203145358</v>
      </c>
      <c r="Z155" s="19">
        <f t="shared" si="25"/>
        <v>-0.13702848595889772</v>
      </c>
      <c r="AA155" s="18">
        <f t="shared" si="30"/>
        <v>22355.064714448243</v>
      </c>
      <c r="AB155" s="18">
        <f t="shared" si="31"/>
        <v>42752.76470635282</v>
      </c>
      <c r="AC155" s="19">
        <f t="shared" si="26"/>
        <v>-0.47710832578912943</v>
      </c>
      <c r="AD155" s="20">
        <f t="shared" si="27"/>
        <v>12515.389120492729</v>
      </c>
      <c r="AE155" s="9" t="s">
        <v>91</v>
      </c>
    </row>
    <row r="156" spans="1:31" ht="18" customHeight="1">
      <c r="A156" s="4">
        <v>152</v>
      </c>
      <c r="B156" s="13">
        <v>44277</v>
      </c>
      <c r="C156" s="13">
        <v>44277</v>
      </c>
      <c r="D156" s="4" t="s">
        <v>90</v>
      </c>
      <c r="E156" s="14">
        <v>12945.217000000001</v>
      </c>
      <c r="F156" s="14">
        <v>13090.519</v>
      </c>
      <c r="G156" s="15">
        <v>1.1220000000000001E-2</v>
      </c>
      <c r="H156" s="16">
        <f t="shared" si="32"/>
        <v>3.3599999999999998E-2</v>
      </c>
      <c r="I156" s="17" t="b">
        <f>AND(A156&gt;2,H156&lt;=Assumptions!$B$7)</f>
        <v>0</v>
      </c>
      <c r="J156" s="15">
        <v>6.8559949394377817E-3</v>
      </c>
      <c r="K156" s="15">
        <v>-5.4036123287926063E-2</v>
      </c>
      <c r="L156" s="15">
        <v>2.2324764364275218E-2</v>
      </c>
      <c r="M156" s="17" t="b">
        <f>J156&gt;=Assumptions!$B$8</f>
        <v>0</v>
      </c>
      <c r="N156" s="17" t="b">
        <f>AND(K156&lt;&gt;"",K156&lt;=Assumptions!$B$9)</f>
        <v>1</v>
      </c>
      <c r="O156" s="17" t="b">
        <f>AND(P156&lt;&gt;"",ABS(L156)&lt;=Assumptions!$B$10)</f>
        <v>0</v>
      </c>
      <c r="P156" s="13">
        <v>44278</v>
      </c>
      <c r="Q156" s="14">
        <v>13124.707</v>
      </c>
      <c r="R156" s="15">
        <v>-2.5999999999999999E-3</v>
      </c>
      <c r="S156" s="17" t="str">
        <f t="shared" si="22"/>
        <v>BASELINE</v>
      </c>
      <c r="T156" s="16">
        <f t="shared" si="23"/>
        <v>1.1220000000000001E-2</v>
      </c>
      <c r="U156" s="16">
        <f>G156*Assumptions!$B$6</f>
        <v>0.12678600000000001</v>
      </c>
      <c r="V156" s="16">
        <f>T156*Assumptions!$B$6</f>
        <v>0.12678600000000001</v>
      </c>
      <c r="W156" s="16">
        <f t="shared" si="24"/>
        <v>0</v>
      </c>
      <c r="X156" s="18">
        <f t="shared" si="28"/>
        <v>11087.208703810758</v>
      </c>
      <c r="Y156" s="18">
        <f t="shared" si="29"/>
        <v>11402.086203145358</v>
      </c>
      <c r="Z156" s="19">
        <f t="shared" si="25"/>
        <v>-2.761577957968242E-2</v>
      </c>
      <c r="AA156" s="18">
        <f t="shared" si="30"/>
        <v>25189.37394933428</v>
      </c>
      <c r="AB156" s="18">
        <f t="shared" si="31"/>
        <v>42752.76470635282</v>
      </c>
      <c r="AC156" s="19">
        <f t="shared" si="26"/>
        <v>-0.41081298198262994</v>
      </c>
      <c r="AD156" s="20">
        <f t="shared" si="27"/>
        <v>14102.165245523522</v>
      </c>
      <c r="AE156" s="9" t="s">
        <v>91</v>
      </c>
    </row>
    <row r="157" spans="1:31" ht="18" customHeight="1">
      <c r="A157" s="4">
        <v>153</v>
      </c>
      <c r="B157" s="13">
        <v>44284</v>
      </c>
      <c r="C157" s="13">
        <v>44287</v>
      </c>
      <c r="D157" s="4" t="s">
        <v>93</v>
      </c>
      <c r="E157" s="14">
        <v>12954.179</v>
      </c>
      <c r="F157" s="14">
        <v>13329.689</v>
      </c>
      <c r="G157" s="15">
        <v>2.8979999999999999E-2</v>
      </c>
      <c r="H157" s="16">
        <f t="shared" si="32"/>
        <v>2.1400000000000002E-2</v>
      </c>
      <c r="I157" s="17" t="b">
        <f>AND(A157&gt;2,H157&lt;=Assumptions!$B$7)</f>
        <v>0</v>
      </c>
      <c r="J157" s="15">
        <v>-1.302898548378284E-3</v>
      </c>
      <c r="K157" s="15">
        <v>7.1378636717041033E-3</v>
      </c>
      <c r="L157" s="15">
        <v>-6.6493890671067701E-3</v>
      </c>
      <c r="M157" s="17" t="b">
        <f>J157&gt;=Assumptions!$B$8</f>
        <v>0</v>
      </c>
      <c r="N157" s="17" t="b">
        <f>AND(K157&lt;&gt;"",K157&lt;=Assumptions!$B$9)</f>
        <v>0</v>
      </c>
      <c r="O157" s="17" t="b">
        <f>AND(P157&lt;&gt;"",ABS(L157)&lt;=Assumptions!$B$10)</f>
        <v>0</v>
      </c>
      <c r="P157" s="13">
        <v>44285</v>
      </c>
      <c r="Q157" s="14">
        <v>12887.387000000001</v>
      </c>
      <c r="R157" s="15">
        <v>3.4320000000000003E-2</v>
      </c>
      <c r="S157" s="17" t="str">
        <f t="shared" si="22"/>
        <v>BASELINE</v>
      </c>
      <c r="T157" s="16">
        <f t="shared" si="23"/>
        <v>2.8979999999999999E-2</v>
      </c>
      <c r="U157" s="16">
        <f>G157*Assumptions!$B$6</f>
        <v>0.32747399999999999</v>
      </c>
      <c r="V157" s="16">
        <f>T157*Assumptions!$B$6</f>
        <v>0.32747399999999999</v>
      </c>
      <c r="W157" s="16">
        <f t="shared" si="24"/>
        <v>0</v>
      </c>
      <c r="X157" s="18">
        <f t="shared" si="28"/>
        <v>14717.981286882483</v>
      </c>
      <c r="Y157" s="18">
        <f t="shared" si="29"/>
        <v>14717.981286882483</v>
      </c>
      <c r="Z157" s="19">
        <f t="shared" si="25"/>
        <v>0</v>
      </c>
      <c r="AA157" s="18">
        <f t="shared" si="30"/>
        <v>33438.238994018575</v>
      </c>
      <c r="AB157" s="18">
        <f t="shared" si="31"/>
        <v>42752.76470635282</v>
      </c>
      <c r="AC157" s="19">
        <f t="shared" si="26"/>
        <v>-0.21786955244440975</v>
      </c>
      <c r="AD157" s="20">
        <f t="shared" si="27"/>
        <v>18720.257707136094</v>
      </c>
      <c r="AE157" s="9" t="s">
        <v>91</v>
      </c>
    </row>
    <row r="158" spans="1:31" ht="18" customHeight="1">
      <c r="A158" s="4">
        <v>154</v>
      </c>
      <c r="B158" s="13">
        <v>44291</v>
      </c>
      <c r="C158" s="13">
        <v>44291</v>
      </c>
      <c r="D158" s="4" t="s">
        <v>90</v>
      </c>
      <c r="E158" s="14">
        <v>13427.228999999999</v>
      </c>
      <c r="F158" s="14">
        <v>13593.579</v>
      </c>
      <c r="G158" s="15">
        <v>1.238E-2</v>
      </c>
      <c r="H158" s="16">
        <f t="shared" si="32"/>
        <v>4.02E-2</v>
      </c>
      <c r="I158" s="17" t="b">
        <f>AND(A158&gt;2,H158&lt;=Assumptions!$B$7)</f>
        <v>0</v>
      </c>
      <c r="J158" s="15">
        <v>7.3175000557026415E-3</v>
      </c>
      <c r="K158" s="15">
        <v>6.8623513888373289E-2</v>
      </c>
      <c r="L158" s="15">
        <v>1.899817470994325E-2</v>
      </c>
      <c r="M158" s="17" t="b">
        <f>J158&gt;=Assumptions!$B$8</f>
        <v>0</v>
      </c>
      <c r="N158" s="17" t="b">
        <f>AND(K158&lt;&gt;"",K158&lt;=Assumptions!$B$9)</f>
        <v>0</v>
      </c>
      <c r="O158" s="17" t="b">
        <f>AND(P158&lt;&gt;"",ABS(L158)&lt;=Assumptions!$B$10)</f>
        <v>0</v>
      </c>
      <c r="P158" s="13">
        <v>44292</v>
      </c>
      <c r="Q158" s="14">
        <v>13576.199000000001</v>
      </c>
      <c r="R158" s="15">
        <v>1.2800000000000001E-3</v>
      </c>
      <c r="S158" s="17" t="str">
        <f t="shared" si="22"/>
        <v>BASELINE</v>
      </c>
      <c r="T158" s="16">
        <f t="shared" si="23"/>
        <v>1.238E-2</v>
      </c>
      <c r="U158" s="16">
        <f>G158*Assumptions!$B$6</f>
        <v>0.13989400000000002</v>
      </c>
      <c r="V158" s="16">
        <f>T158*Assumptions!$B$6</f>
        <v>0.13989400000000002</v>
      </c>
      <c r="W158" s="16">
        <f t="shared" si="24"/>
        <v>0</v>
      </c>
      <c r="X158" s="18">
        <f t="shared" si="28"/>
        <v>16776.938561029619</v>
      </c>
      <c r="Y158" s="18">
        <f t="shared" si="29"/>
        <v>16776.938561029619</v>
      </c>
      <c r="Z158" s="19">
        <f t="shared" si="25"/>
        <v>0</v>
      </c>
      <c r="AA158" s="18">
        <f t="shared" si="30"/>
        <v>38116.047999847811</v>
      </c>
      <c r="AB158" s="18">
        <f t="shared" si="31"/>
        <v>42752.76470635282</v>
      </c>
      <c r="AC158" s="19">
        <f t="shared" si="26"/>
        <v>-0.10845419561406799</v>
      </c>
      <c r="AD158" s="20">
        <f t="shared" si="27"/>
        <v>21339.109438818192</v>
      </c>
      <c r="AE158" s="9" t="s">
        <v>91</v>
      </c>
    </row>
    <row r="159" spans="1:31" ht="18" customHeight="1">
      <c r="A159" s="4">
        <v>155</v>
      </c>
      <c r="B159" s="13">
        <v>44298</v>
      </c>
      <c r="C159" s="13">
        <v>44302</v>
      </c>
      <c r="D159" s="4" t="s">
        <v>93</v>
      </c>
      <c r="E159" s="14">
        <v>13793.217000000001</v>
      </c>
      <c r="F159" s="14">
        <v>14036.109</v>
      </c>
      <c r="G159" s="15">
        <v>1.7600000000000001E-2</v>
      </c>
      <c r="H159" s="16">
        <f t="shared" si="32"/>
        <v>4.1360000000000001E-2</v>
      </c>
      <c r="I159" s="17" t="b">
        <f>AND(A159&gt;2,H159&lt;=Assumptions!$B$7)</f>
        <v>0</v>
      </c>
      <c r="J159" s="15">
        <v>-3.6048234505533516E-3</v>
      </c>
      <c r="K159" s="15">
        <v>6.1302657265936533E-2</v>
      </c>
      <c r="L159" s="15">
        <v>3.3687743802883752E-3</v>
      </c>
      <c r="M159" s="17" t="b">
        <f>J159&gt;=Assumptions!$B$8</f>
        <v>0</v>
      </c>
      <c r="N159" s="17" t="b">
        <f>AND(K159&lt;&gt;"",K159&lt;=Assumptions!$B$9)</f>
        <v>0</v>
      </c>
      <c r="O159" s="17" t="b">
        <f>AND(P159&lt;&gt;"",ABS(L159)&lt;=Assumptions!$B$10)</f>
        <v>1</v>
      </c>
      <c r="P159" s="13">
        <v>44299</v>
      </c>
      <c r="Q159" s="14">
        <v>13886.308999999999</v>
      </c>
      <c r="R159" s="15">
        <v>1.078E-2</v>
      </c>
      <c r="S159" s="17" t="str">
        <f t="shared" si="22"/>
        <v>BASELINE</v>
      </c>
      <c r="T159" s="16">
        <f t="shared" si="23"/>
        <v>1.7600000000000001E-2</v>
      </c>
      <c r="U159" s="16">
        <f>G159*Assumptions!$B$6</f>
        <v>0.19888000000000003</v>
      </c>
      <c r="V159" s="16">
        <f>T159*Assumptions!$B$6</f>
        <v>0.19888000000000003</v>
      </c>
      <c r="W159" s="16">
        <f t="shared" si="24"/>
        <v>0</v>
      </c>
      <c r="X159" s="18">
        <f t="shared" si="28"/>
        <v>20113.53610204719</v>
      </c>
      <c r="Y159" s="18">
        <f t="shared" si="29"/>
        <v>20113.53610204719</v>
      </c>
      <c r="Z159" s="19">
        <f t="shared" si="25"/>
        <v>0</v>
      </c>
      <c r="AA159" s="18">
        <f t="shared" si="30"/>
        <v>45696.567626057542</v>
      </c>
      <c r="AB159" s="18">
        <f t="shared" si="31"/>
        <v>45696.567626057542</v>
      </c>
      <c r="AC159" s="19">
        <f t="shared" si="26"/>
        <v>0</v>
      </c>
      <c r="AD159" s="20">
        <f t="shared" si="27"/>
        <v>25583.031524010352</v>
      </c>
      <c r="AE159" s="9" t="s">
        <v>91</v>
      </c>
    </row>
    <row r="160" spans="1:31" ht="18" customHeight="1">
      <c r="A160" s="4">
        <v>156</v>
      </c>
      <c r="B160" s="13">
        <v>44305</v>
      </c>
      <c r="C160" s="13">
        <v>44307</v>
      </c>
      <c r="D160" s="4" t="s">
        <v>95</v>
      </c>
      <c r="E160" s="14">
        <v>13971.197</v>
      </c>
      <c r="F160" s="14">
        <v>13915.312212000001</v>
      </c>
      <c r="G160" s="15">
        <v>-4.0000000000000001E-3</v>
      </c>
      <c r="H160" s="16">
        <f t="shared" si="32"/>
        <v>2.998E-2</v>
      </c>
      <c r="I160" s="17" t="b">
        <f>AND(A160&gt;2,H160&lt;=Assumptions!$B$7)</f>
        <v>0</v>
      </c>
      <c r="J160" s="15">
        <v>-4.6246434820362836E-3</v>
      </c>
      <c r="K160" s="15">
        <v>9.7437364747979149E-2</v>
      </c>
      <c r="L160" s="15">
        <v>-1.1136117762347575E-2</v>
      </c>
      <c r="M160" s="17" t="b">
        <f>J160&gt;=Assumptions!$B$8</f>
        <v>0</v>
      </c>
      <c r="N160" s="17" t="b">
        <f>AND(K160&lt;&gt;"",K160&lt;=Assumptions!$B$9)</f>
        <v>0</v>
      </c>
      <c r="O160" s="17" t="b">
        <f>AND(P160&lt;&gt;"",ABS(L160)&lt;=Assumptions!$B$10)</f>
        <v>0</v>
      </c>
      <c r="P160" s="13">
        <v>44306</v>
      </c>
      <c r="Q160" s="14">
        <v>13881.656999999999</v>
      </c>
      <c r="R160" s="15">
        <v>2.4199999999999998E-3</v>
      </c>
      <c r="S160" s="17" t="str">
        <f t="shared" si="22"/>
        <v>BASELINE</v>
      </c>
      <c r="T160" s="16">
        <f t="shared" si="23"/>
        <v>-4.0000000000000001E-3</v>
      </c>
      <c r="U160" s="16">
        <f>G160*Assumptions!$B$6</f>
        <v>-4.5200000000000004E-2</v>
      </c>
      <c r="V160" s="16">
        <f>T160*Assumptions!$B$6</f>
        <v>-4.5200000000000004E-2</v>
      </c>
      <c r="W160" s="16">
        <f t="shared" si="24"/>
        <v>0</v>
      </c>
      <c r="X160" s="18">
        <f t="shared" si="28"/>
        <v>19204.404270234656</v>
      </c>
      <c r="Y160" s="18">
        <f t="shared" si="29"/>
        <v>20113.53610204719</v>
      </c>
      <c r="Z160" s="19">
        <f t="shared" si="25"/>
        <v>-4.5200000000000018E-2</v>
      </c>
      <c r="AA160" s="18">
        <f t="shared" si="30"/>
        <v>43631.082769359738</v>
      </c>
      <c r="AB160" s="18">
        <f t="shared" si="31"/>
        <v>45696.567626057542</v>
      </c>
      <c r="AC160" s="19">
        <f t="shared" si="26"/>
        <v>-4.5200000000000018E-2</v>
      </c>
      <c r="AD160" s="20">
        <f t="shared" si="27"/>
        <v>24426.678499125082</v>
      </c>
      <c r="AE160" s="9" t="s">
        <v>91</v>
      </c>
    </row>
    <row r="161" spans="1:31" ht="18" customHeight="1">
      <c r="A161" s="4">
        <v>157</v>
      </c>
      <c r="B161" s="13">
        <v>44312</v>
      </c>
      <c r="C161" s="13">
        <v>44315</v>
      </c>
      <c r="D161" s="4" t="s">
        <v>96</v>
      </c>
      <c r="E161" s="14">
        <v>13941.349</v>
      </c>
      <c r="F161" s="14">
        <v>13885.583603999999</v>
      </c>
      <c r="G161" s="15">
        <v>-4.0000000000000001E-3</v>
      </c>
      <c r="H161" s="16">
        <f t="shared" si="32"/>
        <v>1.3600000000000001E-2</v>
      </c>
      <c r="I161" s="17" t="b">
        <f>AND(A161&gt;2,H161&lt;=Assumptions!$B$7)</f>
        <v>0</v>
      </c>
      <c r="J161" s="15">
        <v>7.0200276795828742E-4</v>
      </c>
      <c r="K161" s="15">
        <v>9.0228509535771106E-2</v>
      </c>
      <c r="L161" s="15">
        <v>7.4043205962108782E-3</v>
      </c>
      <c r="M161" s="17" t="b">
        <f>J161&gt;=Assumptions!$B$8</f>
        <v>0</v>
      </c>
      <c r="N161" s="17" t="b">
        <f>AND(K161&lt;&gt;"",K161&lt;=Assumptions!$B$9)</f>
        <v>0</v>
      </c>
      <c r="O161" s="17" t="b">
        <f>AND(P161&lt;&gt;"",ABS(L161)&lt;=Assumptions!$B$10)</f>
        <v>0</v>
      </c>
      <c r="P161" s="13">
        <v>44313</v>
      </c>
      <c r="Q161" s="14">
        <v>14033.999</v>
      </c>
      <c r="R161" s="15">
        <v>-1.057E-2</v>
      </c>
      <c r="S161" s="17" t="str">
        <f t="shared" si="22"/>
        <v>BASELINE</v>
      </c>
      <c r="T161" s="16">
        <f t="shared" si="23"/>
        <v>-4.0000000000000001E-3</v>
      </c>
      <c r="U161" s="16">
        <f>G161*Assumptions!$B$6</f>
        <v>-4.5200000000000004E-2</v>
      </c>
      <c r="V161" s="16">
        <f>T161*Assumptions!$B$6</f>
        <v>-4.5200000000000004E-2</v>
      </c>
      <c r="W161" s="16">
        <f t="shared" si="24"/>
        <v>0</v>
      </c>
      <c r="X161" s="18">
        <f t="shared" si="28"/>
        <v>18336.36519722005</v>
      </c>
      <c r="Y161" s="18">
        <f t="shared" si="29"/>
        <v>20113.53610204719</v>
      </c>
      <c r="Z161" s="19">
        <f t="shared" si="25"/>
        <v>-8.835696000000004E-2</v>
      </c>
      <c r="AA161" s="18">
        <f t="shared" si="30"/>
        <v>41658.957828184677</v>
      </c>
      <c r="AB161" s="18">
        <f t="shared" si="31"/>
        <v>45696.567626057542</v>
      </c>
      <c r="AC161" s="19">
        <f t="shared" si="26"/>
        <v>-8.835696000000004E-2</v>
      </c>
      <c r="AD161" s="20">
        <f t="shared" si="27"/>
        <v>23322.592630964627</v>
      </c>
      <c r="AE161" s="9" t="s">
        <v>91</v>
      </c>
    </row>
    <row r="162" spans="1:31" ht="18" customHeight="1">
      <c r="A162" s="4">
        <v>158</v>
      </c>
      <c r="B162" s="13">
        <v>44319</v>
      </c>
      <c r="C162" s="13">
        <v>44322</v>
      </c>
      <c r="D162" s="4" t="s">
        <v>92</v>
      </c>
      <c r="E162" s="14">
        <v>13926.877</v>
      </c>
      <c r="F162" s="14">
        <v>13499.447</v>
      </c>
      <c r="G162" s="15">
        <v>-3.0689999999999999E-2</v>
      </c>
      <c r="H162" s="16">
        <f t="shared" si="32"/>
        <v>-8.0000000000000002E-3</v>
      </c>
      <c r="I162" s="17" t="b">
        <f>AND(A162&gt;2,H162&lt;=Assumptions!$B$7)</f>
        <v>0</v>
      </c>
      <c r="J162" s="15">
        <v>3.2993112423034265E-3</v>
      </c>
      <c r="K162" s="15">
        <v>4.1387978349154642E-2</v>
      </c>
      <c r="L162" s="15">
        <v>-1.313954052546018E-2</v>
      </c>
      <c r="M162" s="17" t="b">
        <f>J162&gt;=Assumptions!$B$8</f>
        <v>0</v>
      </c>
      <c r="N162" s="17" t="b">
        <f>AND(K162&lt;&gt;"",K162&lt;=Assumptions!$B$9)</f>
        <v>0</v>
      </c>
      <c r="O162" s="17" t="b">
        <f>AND(P162&lt;&gt;"",ABS(L162)&lt;=Assumptions!$B$10)</f>
        <v>0</v>
      </c>
      <c r="P162" s="13">
        <v>44320</v>
      </c>
      <c r="Q162" s="14">
        <v>13692.039000000001</v>
      </c>
      <c r="R162" s="15">
        <v>-1.406E-2</v>
      </c>
      <c r="S162" s="17" t="str">
        <f t="shared" si="22"/>
        <v>BASELINE</v>
      </c>
      <c r="T162" s="16">
        <f t="shared" si="23"/>
        <v>-3.0689999999999999E-2</v>
      </c>
      <c r="U162" s="16">
        <f>G162*Assumptions!$B$6</f>
        <v>-0.34679700000000002</v>
      </c>
      <c r="V162" s="16">
        <f>T162*Assumptions!$B$6</f>
        <v>-0.34679700000000002</v>
      </c>
      <c r="W162" s="16">
        <f t="shared" si="24"/>
        <v>0</v>
      </c>
      <c r="X162" s="18">
        <f t="shared" si="28"/>
        <v>11977.368755919728</v>
      </c>
      <c r="Y162" s="18">
        <f t="shared" si="29"/>
        <v>20113.53610204719</v>
      </c>
      <c r="Z162" s="19">
        <f t="shared" si="25"/>
        <v>-0.40451203134288005</v>
      </c>
      <c r="AA162" s="18">
        <f t="shared" si="30"/>
        <v>27211.756230243715</v>
      </c>
      <c r="AB162" s="18">
        <f t="shared" si="31"/>
        <v>45696.567626057542</v>
      </c>
      <c r="AC162" s="19">
        <f t="shared" si="26"/>
        <v>-0.40451203134288005</v>
      </c>
      <c r="AD162" s="20">
        <f t="shared" si="27"/>
        <v>15234.387474323987</v>
      </c>
      <c r="AE162" s="9" t="s">
        <v>91</v>
      </c>
    </row>
    <row r="163" spans="1:31" ht="18" customHeight="1">
      <c r="A163" s="4">
        <v>159</v>
      </c>
      <c r="B163" s="13">
        <v>44326</v>
      </c>
      <c r="C163" s="13">
        <v>44328</v>
      </c>
      <c r="D163" s="4" t="s">
        <v>101</v>
      </c>
      <c r="E163" s="14">
        <v>13656.387000000001</v>
      </c>
      <c r="F163" s="14">
        <v>12968.019</v>
      </c>
      <c r="G163" s="15">
        <v>-5.04E-2</v>
      </c>
      <c r="H163" s="16">
        <f t="shared" si="32"/>
        <v>-3.4689999999999999E-2</v>
      </c>
      <c r="I163" s="17" t="b">
        <f>AND(A163&gt;2,H163&lt;=Assumptions!$B$7)</f>
        <v>1</v>
      </c>
      <c r="J163" s="15">
        <v>-4.494954056513456E-3</v>
      </c>
      <c r="K163" s="15">
        <v>-8.6378050671475082E-3</v>
      </c>
      <c r="L163" s="15">
        <v>-4.3387453919806585E-2</v>
      </c>
      <c r="M163" s="17" t="b">
        <f>J163&gt;=Assumptions!$B$8</f>
        <v>0</v>
      </c>
      <c r="N163" s="17" t="b">
        <f>AND(K163&lt;&gt;"",K163&lt;=Assumptions!$B$9)</f>
        <v>1</v>
      </c>
      <c r="O163" s="17" t="b">
        <f>AND(P163&lt;&gt;"",ABS(L163)&lt;=Assumptions!$B$10)</f>
        <v>0</v>
      </c>
      <c r="P163" s="13">
        <v>44327</v>
      </c>
      <c r="Q163" s="14">
        <v>13117.819</v>
      </c>
      <c r="R163" s="15">
        <v>-1.141E-2</v>
      </c>
      <c r="S163" s="17" t="str">
        <f t="shared" si="22"/>
        <v>DAMAGE SKIP</v>
      </c>
      <c r="T163" s="16">
        <f t="shared" si="23"/>
        <v>0</v>
      </c>
      <c r="U163" s="16">
        <f>G163*Assumptions!$B$6</f>
        <v>-0.56952000000000003</v>
      </c>
      <c r="V163" s="16">
        <f>T163*Assumptions!$B$6</f>
        <v>0</v>
      </c>
      <c r="W163" s="16">
        <f t="shared" si="24"/>
        <v>0.56952000000000003</v>
      </c>
      <c r="X163" s="18">
        <f t="shared" si="28"/>
        <v>5156.0177020483243</v>
      </c>
      <c r="Y163" s="18">
        <f t="shared" si="29"/>
        <v>20113.53610204719</v>
      </c>
      <c r="Z163" s="19">
        <f t="shared" si="25"/>
        <v>-0.74365433925248303</v>
      </c>
      <c r="AA163" s="18">
        <f t="shared" si="30"/>
        <v>27211.756230243715</v>
      </c>
      <c r="AB163" s="18">
        <f t="shared" si="31"/>
        <v>45696.567626057542</v>
      </c>
      <c r="AC163" s="19">
        <f t="shared" si="26"/>
        <v>-0.40451203134288005</v>
      </c>
      <c r="AD163" s="20">
        <f t="shared" si="27"/>
        <v>22055.73852819539</v>
      </c>
      <c r="AE163" s="9" t="s">
        <v>94</v>
      </c>
    </row>
    <row r="164" spans="1:31" ht="18" customHeight="1">
      <c r="A164" s="4">
        <v>160</v>
      </c>
      <c r="B164" s="13">
        <v>44333</v>
      </c>
      <c r="C164" s="13">
        <v>44336</v>
      </c>
      <c r="D164" s="4" t="s">
        <v>92</v>
      </c>
      <c r="E164" s="14">
        <v>13317.099</v>
      </c>
      <c r="F164" s="14">
        <v>13223.388999999999</v>
      </c>
      <c r="G164" s="15">
        <v>-7.0299999999999998E-3</v>
      </c>
      <c r="H164" s="16">
        <f t="shared" si="32"/>
        <v>-3.0689999999999999E-2</v>
      </c>
      <c r="I164" s="17" t="b">
        <f>AND(A164&gt;2,H164&lt;=Assumptions!$B$7)</f>
        <v>1</v>
      </c>
      <c r="J164" s="15">
        <v>-6.1272319337895009E-3</v>
      </c>
      <c r="K164" s="15">
        <v>-4.5686252768296187E-2</v>
      </c>
      <c r="L164" s="15">
        <v>-3.0774641695243687E-3</v>
      </c>
      <c r="M164" s="17" t="b">
        <f>J164&gt;=Assumptions!$B$8</f>
        <v>0</v>
      </c>
      <c r="N164" s="17" t="b">
        <f>AND(K164&lt;&gt;"",K164&lt;=Assumptions!$B$9)</f>
        <v>1</v>
      </c>
      <c r="O164" s="17" t="b">
        <f>AND(P164&lt;&gt;"",ABS(L164)&lt;=Assumptions!$B$10)</f>
        <v>1</v>
      </c>
      <c r="P164" s="13">
        <v>44334</v>
      </c>
      <c r="Q164" s="14">
        <v>13352.398999999999</v>
      </c>
      <c r="R164" s="15">
        <v>-9.6600000000000002E-3</v>
      </c>
      <c r="S164" s="17" t="str">
        <f t="shared" si="22"/>
        <v>DAMAGE SKIP</v>
      </c>
      <c r="T164" s="16">
        <f t="shared" si="23"/>
        <v>0</v>
      </c>
      <c r="U164" s="16">
        <f>G164*Assumptions!$B$6</f>
        <v>-7.9438999999999996E-2</v>
      </c>
      <c r="V164" s="16">
        <f>T164*Assumptions!$B$6</f>
        <v>0</v>
      </c>
      <c r="W164" s="16">
        <f t="shared" si="24"/>
        <v>7.9438999999999996E-2</v>
      </c>
      <c r="X164" s="18">
        <f t="shared" si="28"/>
        <v>4746.4288118153072</v>
      </c>
      <c r="Y164" s="18">
        <f t="shared" si="29"/>
        <v>20113.53610204719</v>
      </c>
      <c r="Z164" s="19">
        <f t="shared" si="25"/>
        <v>-0.764018182196605</v>
      </c>
      <c r="AA164" s="18">
        <f t="shared" si="30"/>
        <v>27211.756230243715</v>
      </c>
      <c r="AB164" s="18">
        <f t="shared" si="31"/>
        <v>45696.567626057542</v>
      </c>
      <c r="AC164" s="19">
        <f t="shared" si="26"/>
        <v>-0.40451203134288005</v>
      </c>
      <c r="AD164" s="20">
        <f t="shared" si="27"/>
        <v>22465.327418428409</v>
      </c>
      <c r="AE164" s="9" t="s">
        <v>94</v>
      </c>
    </row>
    <row r="165" spans="1:31" ht="18" customHeight="1">
      <c r="A165" s="4">
        <v>161</v>
      </c>
      <c r="B165" s="13">
        <v>44340</v>
      </c>
      <c r="C165" s="13">
        <v>44340</v>
      </c>
      <c r="D165" s="4" t="s">
        <v>90</v>
      </c>
      <c r="E165" s="14">
        <v>13512.666999999999</v>
      </c>
      <c r="F165" s="14">
        <v>13639.259</v>
      </c>
      <c r="G165" s="15">
        <v>9.3600000000000003E-3</v>
      </c>
      <c r="H165" s="16">
        <f t="shared" si="32"/>
        <v>0</v>
      </c>
      <c r="I165" s="17" t="b">
        <f>AND(A165&gt;2,H165&lt;=Assumptions!$B$7)</f>
        <v>0</v>
      </c>
      <c r="J165" s="15">
        <v>6.520608706345854E-3</v>
      </c>
      <c r="K165" s="15">
        <v>-3.658676522989035E-2</v>
      </c>
      <c r="L165" s="15">
        <v>2.1602171500931133E-2</v>
      </c>
      <c r="M165" s="17" t="b">
        <f>J165&gt;=Assumptions!$B$8</f>
        <v>0</v>
      </c>
      <c r="N165" s="17" t="b">
        <f>AND(K165&lt;&gt;"",K165&lt;=Assumptions!$B$9)</f>
        <v>1</v>
      </c>
      <c r="O165" s="17" t="b">
        <f>AND(P165&lt;&gt;"",ABS(L165)&lt;=Assumptions!$B$10)</f>
        <v>0</v>
      </c>
      <c r="P165" s="13">
        <v>44341</v>
      </c>
      <c r="Q165" s="14">
        <v>13701.397000000001</v>
      </c>
      <c r="R165" s="15">
        <v>-4.5300000000000002E-3</v>
      </c>
      <c r="S165" s="17" t="str">
        <f t="shared" si="22"/>
        <v>BASELINE</v>
      </c>
      <c r="T165" s="16">
        <f t="shared" si="23"/>
        <v>9.3600000000000003E-3</v>
      </c>
      <c r="U165" s="16">
        <f>G165*Assumptions!$B$6</f>
        <v>0.10576800000000001</v>
      </c>
      <c r="V165" s="16">
        <f>T165*Assumptions!$B$6</f>
        <v>0.10576800000000001</v>
      </c>
      <c r="W165" s="16">
        <f t="shared" si="24"/>
        <v>0</v>
      </c>
      <c r="X165" s="18">
        <f t="shared" si="28"/>
        <v>5248.4490943833889</v>
      </c>
      <c r="Y165" s="18">
        <f t="shared" si="29"/>
        <v>20113.53610204719</v>
      </c>
      <c r="Z165" s="19">
        <f t="shared" si="25"/>
        <v>-0.7390588572911756</v>
      </c>
      <c r="AA165" s="18">
        <f t="shared" si="30"/>
        <v>30089.889263204135</v>
      </c>
      <c r="AB165" s="18">
        <f t="shared" si="31"/>
        <v>45696.567626057542</v>
      </c>
      <c r="AC165" s="19">
        <f t="shared" si="26"/>
        <v>-0.34152845987395375</v>
      </c>
      <c r="AD165" s="20">
        <f t="shared" si="27"/>
        <v>24841.440168820747</v>
      </c>
      <c r="AE165" s="9" t="s">
        <v>91</v>
      </c>
    </row>
    <row r="166" spans="1:31" ht="18" customHeight="1">
      <c r="A166" s="4">
        <v>162</v>
      </c>
      <c r="B166" s="13">
        <v>44348</v>
      </c>
      <c r="C166" s="13">
        <v>44350</v>
      </c>
      <c r="D166" s="4" t="s">
        <v>92</v>
      </c>
      <c r="E166" s="14">
        <v>13755.019</v>
      </c>
      <c r="F166" s="14">
        <v>13684.019</v>
      </c>
      <c r="G166" s="15">
        <v>-5.1599999999999997E-3</v>
      </c>
      <c r="H166" s="16">
        <f t="shared" si="32"/>
        <v>9.3600000000000003E-3</v>
      </c>
      <c r="I166" s="17" t="b">
        <f>AND(A166&gt;2,H166&lt;=Assumptions!$B$7)</f>
        <v>0</v>
      </c>
      <c r="J166" s="15">
        <v>4.0380449234687088E-3</v>
      </c>
      <c r="K166" s="15">
        <v>-1.204786395283941E-2</v>
      </c>
      <c r="L166" s="15"/>
      <c r="M166" s="17" t="b">
        <f>J166&gt;=Assumptions!$B$8</f>
        <v>0</v>
      </c>
      <c r="N166" s="17" t="b">
        <f>AND(K166&lt;&gt;"",K166&lt;=Assumptions!$B$9)</f>
        <v>1</v>
      </c>
      <c r="O166" s="17" t="b">
        <f>AND(P166&lt;&gt;"",ABS(L166)&lt;=Assumptions!$B$10)</f>
        <v>0</v>
      </c>
      <c r="P166" s="13"/>
      <c r="Q166" s="14"/>
      <c r="R166" s="15"/>
      <c r="S166" s="17" t="str">
        <f t="shared" si="22"/>
        <v>BASELINE</v>
      </c>
      <c r="T166" s="16">
        <f t="shared" si="23"/>
        <v>-5.1599999999999997E-3</v>
      </c>
      <c r="U166" s="16">
        <f>G166*Assumptions!$B$6</f>
        <v>-5.8307999999999999E-2</v>
      </c>
      <c r="V166" s="16">
        <f>T166*Assumptions!$B$6</f>
        <v>-5.8307999999999999E-2</v>
      </c>
      <c r="W166" s="16">
        <f t="shared" si="24"/>
        <v>0</v>
      </c>
      <c r="X166" s="18">
        <f t="shared" si="28"/>
        <v>4942.4225245880825</v>
      </c>
      <c r="Y166" s="18">
        <f t="shared" si="29"/>
        <v>20113.53610204719</v>
      </c>
      <c r="Z166" s="19">
        <f t="shared" si="25"/>
        <v>-0.75427381344024169</v>
      </c>
      <c r="AA166" s="18">
        <f t="shared" si="30"/>
        <v>28335.408000045227</v>
      </c>
      <c r="AB166" s="18">
        <f t="shared" si="31"/>
        <v>45696.567626057542</v>
      </c>
      <c r="AC166" s="19">
        <f t="shared" si="26"/>
        <v>-0.37992261843562325</v>
      </c>
      <c r="AD166" s="20">
        <f t="shared" si="27"/>
        <v>23392.985475457142</v>
      </c>
      <c r="AE166" s="9" t="s">
        <v>91</v>
      </c>
    </row>
    <row r="167" spans="1:31" ht="18" customHeight="1">
      <c r="A167" s="4">
        <v>163</v>
      </c>
      <c r="B167" s="13">
        <v>44354</v>
      </c>
      <c r="C167" s="13">
        <v>44358</v>
      </c>
      <c r="D167" s="4" t="s">
        <v>93</v>
      </c>
      <c r="E167" s="14">
        <v>13738.199000000001</v>
      </c>
      <c r="F167" s="14">
        <v>13990.888999999999</v>
      </c>
      <c r="G167" s="15">
        <v>1.839E-2</v>
      </c>
      <c r="H167" s="16">
        <f t="shared" si="32"/>
        <v>4.2000000000000006E-3</v>
      </c>
      <c r="I167" s="17" t="b">
        <f>AND(A167&gt;2,H167&lt;=Assumptions!$B$7)</f>
        <v>0</v>
      </c>
      <c r="J167" s="15">
        <v>-1.8447223322346495E-3</v>
      </c>
      <c r="K167" s="15">
        <v>1.2308158444738426E-2</v>
      </c>
      <c r="L167" s="15">
        <v>8.3469496831336532E-3</v>
      </c>
      <c r="M167" s="17" t="b">
        <f>J167&gt;=Assumptions!$B$8</f>
        <v>0</v>
      </c>
      <c r="N167" s="17" t="b">
        <f>AND(K167&lt;&gt;"",K167&lt;=Assumptions!$B$9)</f>
        <v>0</v>
      </c>
      <c r="O167" s="17" t="b">
        <f>AND(P167&lt;&gt;"",ABS(L167)&lt;=Assumptions!$B$10)</f>
        <v>0</v>
      </c>
      <c r="P167" s="13">
        <v>44355</v>
      </c>
      <c r="Q167" s="14">
        <v>13881.107</v>
      </c>
      <c r="R167" s="15">
        <v>7.9000000000000008E-3</v>
      </c>
      <c r="S167" s="17" t="str">
        <f t="shared" si="22"/>
        <v>BASELINE</v>
      </c>
      <c r="T167" s="16">
        <f t="shared" si="23"/>
        <v>1.839E-2</v>
      </c>
      <c r="U167" s="16">
        <f>G167*Assumptions!$B$6</f>
        <v>0.20780700000000002</v>
      </c>
      <c r="V167" s="16">
        <f>T167*Assumptions!$B$6</f>
        <v>0.20780700000000002</v>
      </c>
      <c r="W167" s="16">
        <f t="shared" si="24"/>
        <v>0</v>
      </c>
      <c r="X167" s="18">
        <f t="shared" si="28"/>
        <v>5969.4925221551584</v>
      </c>
      <c r="Y167" s="18">
        <f t="shared" si="29"/>
        <v>20113.53610204719</v>
      </c>
      <c r="Z167" s="19">
        <f t="shared" si="25"/>
        <v>-0.70321019178981792</v>
      </c>
      <c r="AA167" s="18">
        <f t="shared" si="30"/>
        <v>34223.704130310631</v>
      </c>
      <c r="AB167" s="18">
        <f t="shared" si="31"/>
        <v>45696.567626057542</v>
      </c>
      <c r="AC167" s="19">
        <f t="shared" si="26"/>
        <v>-0.25106619800487473</v>
      </c>
      <c r="AD167" s="20">
        <f t="shared" si="27"/>
        <v>28254.21160815547</v>
      </c>
      <c r="AE167" s="9" t="s">
        <v>91</v>
      </c>
    </row>
    <row r="168" spans="1:31" ht="18" customHeight="1">
      <c r="A168" s="4">
        <v>164</v>
      </c>
      <c r="B168" s="13">
        <v>44361</v>
      </c>
      <c r="C168" s="13">
        <v>44361</v>
      </c>
      <c r="D168" s="4" t="s">
        <v>90</v>
      </c>
      <c r="E168" s="14">
        <v>14013.459000000001</v>
      </c>
      <c r="F168" s="14">
        <v>14128.759</v>
      </c>
      <c r="G168" s="15">
        <v>8.2199999999999999E-3</v>
      </c>
      <c r="H168" s="16">
        <f t="shared" si="32"/>
        <v>1.323E-2</v>
      </c>
      <c r="I168" s="17" t="b">
        <f>AND(A168&gt;2,H168&lt;=Assumptions!$B$7)</f>
        <v>0</v>
      </c>
      <c r="J168" s="15">
        <v>1.6131926999065627E-3</v>
      </c>
      <c r="K168" s="15">
        <v>6.859629865002792E-2</v>
      </c>
      <c r="L168" s="15">
        <v>8.5061904161185531E-3</v>
      </c>
      <c r="M168" s="17" t="b">
        <f>J168&gt;=Assumptions!$B$8</f>
        <v>0</v>
      </c>
      <c r="N168" s="17" t="b">
        <f>AND(K168&lt;&gt;"",K168&lt;=Assumptions!$B$9)</f>
        <v>0</v>
      </c>
      <c r="O168" s="17" t="b">
        <f>AND(P168&lt;&gt;"",ABS(L168)&lt;=Assumptions!$B$10)</f>
        <v>0</v>
      </c>
      <c r="P168" s="13">
        <v>44362</v>
      </c>
      <c r="Q168" s="14">
        <v>14115.869000000001</v>
      </c>
      <c r="R168" s="15">
        <v>9.1E-4</v>
      </c>
      <c r="S168" s="17" t="str">
        <f t="shared" si="22"/>
        <v>BASELINE</v>
      </c>
      <c r="T168" s="16">
        <f t="shared" si="23"/>
        <v>8.2199999999999999E-3</v>
      </c>
      <c r="U168" s="16">
        <f>G168*Assumptions!$B$6</f>
        <v>9.288600000000001E-2</v>
      </c>
      <c r="V168" s="16">
        <f>T168*Assumptions!$B$6</f>
        <v>9.288600000000001E-2</v>
      </c>
      <c r="W168" s="16">
        <f t="shared" si="24"/>
        <v>0</v>
      </c>
      <c r="X168" s="18">
        <f t="shared" si="28"/>
        <v>6523.9748045680626</v>
      </c>
      <c r="Y168" s="18">
        <f t="shared" si="29"/>
        <v>20113.53610204719</v>
      </c>
      <c r="Z168" s="19">
        <f t="shared" si="25"/>
        <v>-0.67564257366440694</v>
      </c>
      <c r="AA168" s="18">
        <f t="shared" si="30"/>
        <v>37402.607112158665</v>
      </c>
      <c r="AB168" s="18">
        <f t="shared" si="31"/>
        <v>45696.567626057542</v>
      </c>
      <c r="AC168" s="19">
        <f t="shared" si="26"/>
        <v>-0.18150073287275548</v>
      </c>
      <c r="AD168" s="20">
        <f t="shared" si="27"/>
        <v>30878.632307590604</v>
      </c>
      <c r="AE168" s="9" t="s">
        <v>91</v>
      </c>
    </row>
    <row r="169" spans="1:31" ht="18" customHeight="1">
      <c r="A169" s="4">
        <v>165</v>
      </c>
      <c r="B169" s="13">
        <v>44368</v>
      </c>
      <c r="C169" s="13">
        <v>44372</v>
      </c>
      <c r="D169" s="4" t="s">
        <v>93</v>
      </c>
      <c r="E169" s="14">
        <v>14060.906999999999</v>
      </c>
      <c r="F169" s="14">
        <v>14350.638999999999</v>
      </c>
      <c r="G169" s="15">
        <v>2.06E-2</v>
      </c>
      <c r="H169" s="16">
        <f t="shared" si="32"/>
        <v>2.6610000000000002E-2</v>
      </c>
      <c r="I169" s="17" t="b">
        <f>AND(A169&gt;2,H169&lt;=Assumptions!$B$7)</f>
        <v>0</v>
      </c>
      <c r="J169" s="15">
        <v>1.2253182014225761E-3</v>
      </c>
      <c r="K169" s="15">
        <v>4.1922905491121432E-2</v>
      </c>
      <c r="L169" s="15">
        <v>5.6270697654938751E-3</v>
      </c>
      <c r="M169" s="17" t="b">
        <f>J169&gt;=Assumptions!$B$8</f>
        <v>0</v>
      </c>
      <c r="N169" s="17" t="b">
        <f>AND(K169&lt;&gt;"",K169&lt;=Assumptions!$B$9)</f>
        <v>0</v>
      </c>
      <c r="O169" s="17" t="b">
        <f>AND(P169&lt;&gt;"",ABS(L169)&lt;=Assumptions!$B$10)</f>
        <v>0</v>
      </c>
      <c r="P169" s="13">
        <v>44369</v>
      </c>
      <c r="Q169" s="14">
        <v>14127.759</v>
      </c>
      <c r="R169" s="15">
        <v>1.5769999999999999E-2</v>
      </c>
      <c r="S169" s="17" t="str">
        <f t="shared" si="22"/>
        <v>BASELINE</v>
      </c>
      <c r="T169" s="16">
        <f t="shared" si="23"/>
        <v>2.06E-2</v>
      </c>
      <c r="U169" s="16">
        <f>G169*Assumptions!$B$6</f>
        <v>0.23278000000000001</v>
      </c>
      <c r="V169" s="16">
        <f>T169*Assumptions!$B$6</f>
        <v>0.23278000000000001</v>
      </c>
      <c r="W169" s="16">
        <f t="shared" si="24"/>
        <v>0</v>
      </c>
      <c r="X169" s="18">
        <f t="shared" si="28"/>
        <v>8042.6256595754157</v>
      </c>
      <c r="Y169" s="18">
        <f t="shared" si="29"/>
        <v>20113.53610204719</v>
      </c>
      <c r="Z169" s="19">
        <f t="shared" si="25"/>
        <v>-0.60013865196200766</v>
      </c>
      <c r="AA169" s="18">
        <f t="shared" si="30"/>
        <v>46109.185995726955</v>
      </c>
      <c r="AB169" s="18">
        <f t="shared" si="31"/>
        <v>46109.185995726955</v>
      </c>
      <c r="AC169" s="19">
        <f t="shared" si="26"/>
        <v>0</v>
      </c>
      <c r="AD169" s="20">
        <f t="shared" si="27"/>
        <v>38066.560336151539</v>
      </c>
      <c r="AE169" s="9" t="s">
        <v>91</v>
      </c>
    </row>
    <row r="170" spans="1:31" ht="18" customHeight="1">
      <c r="A170" s="4">
        <v>166</v>
      </c>
      <c r="B170" s="13">
        <v>44375</v>
      </c>
      <c r="C170" s="13">
        <v>44375</v>
      </c>
      <c r="D170" s="4" t="s">
        <v>90</v>
      </c>
      <c r="E170" s="14">
        <v>14403.347</v>
      </c>
      <c r="F170" s="14">
        <v>14516.049000000001</v>
      </c>
      <c r="G170" s="15">
        <v>7.8200000000000006E-3</v>
      </c>
      <c r="H170" s="16">
        <f t="shared" si="32"/>
        <v>2.8819999999999998E-2</v>
      </c>
      <c r="I170" s="17" t="b">
        <f>AND(A170&gt;2,H170&lt;=Assumptions!$B$7)</f>
        <v>0</v>
      </c>
      <c r="J170" s="15">
        <v>3.6728678074893217E-3</v>
      </c>
      <c r="K170" s="15">
        <v>5.1041018788218429E-2</v>
      </c>
      <c r="L170" s="15">
        <v>1.162719163334347E-2</v>
      </c>
      <c r="M170" s="17" t="b">
        <f>J170&gt;=Assumptions!$B$8</f>
        <v>0</v>
      </c>
      <c r="N170" s="17" t="b">
        <f>AND(K170&lt;&gt;"",K170&lt;=Assumptions!$B$9)</f>
        <v>0</v>
      </c>
      <c r="O170" s="17" t="b">
        <f>AND(P170&lt;&gt;"",ABS(L170)&lt;=Assumptions!$B$10)</f>
        <v>0</v>
      </c>
      <c r="P170" s="13">
        <v>44376</v>
      </c>
      <c r="Q170" s="14">
        <v>14512.447</v>
      </c>
      <c r="R170" s="15">
        <v>2.4000000000000001E-4</v>
      </c>
      <c r="S170" s="17" t="str">
        <f t="shared" si="22"/>
        <v>BASELINE</v>
      </c>
      <c r="T170" s="16">
        <f t="shared" si="23"/>
        <v>7.8200000000000006E-3</v>
      </c>
      <c r="U170" s="16">
        <f>G170*Assumptions!$B$6</f>
        <v>8.8366000000000014E-2</v>
      </c>
      <c r="V170" s="16">
        <f>T170*Assumptions!$B$6</f>
        <v>8.8366000000000014E-2</v>
      </c>
      <c r="W170" s="16">
        <f t="shared" si="24"/>
        <v>0</v>
      </c>
      <c r="X170" s="18">
        <f t="shared" si="28"/>
        <v>8753.3203186094561</v>
      </c>
      <c r="Y170" s="18">
        <f t="shared" si="29"/>
        <v>20113.53610204719</v>
      </c>
      <c r="Z170" s="19">
        <f t="shared" si="25"/>
        <v>-0.56480450408128247</v>
      </c>
      <c r="AA170" s="18">
        <f t="shared" si="30"/>
        <v>50183.670325425359</v>
      </c>
      <c r="AB170" s="18">
        <f t="shared" si="31"/>
        <v>50183.670325425359</v>
      </c>
      <c r="AC170" s="19">
        <f t="shared" si="26"/>
        <v>0</v>
      </c>
      <c r="AD170" s="20">
        <f t="shared" si="27"/>
        <v>41430.350006815905</v>
      </c>
      <c r="AE170" s="9" t="s">
        <v>91</v>
      </c>
    </row>
    <row r="171" spans="1:31" ht="18" customHeight="1">
      <c r="A171" s="4">
        <v>167</v>
      </c>
      <c r="B171" s="13">
        <v>44383</v>
      </c>
      <c r="C171" s="13">
        <v>44385</v>
      </c>
      <c r="D171" s="4" t="s">
        <v>92</v>
      </c>
      <c r="E171" s="14">
        <v>14746.619000000001</v>
      </c>
      <c r="F171" s="14">
        <v>14680.079</v>
      </c>
      <c r="G171" s="15">
        <v>-4.5100000000000001E-3</v>
      </c>
      <c r="H171" s="16">
        <f t="shared" si="32"/>
        <v>2.8420000000000001E-2</v>
      </c>
      <c r="I171" s="17" t="b">
        <f>AND(A171&gt;2,H171&lt;=Assumptions!$B$7)</f>
        <v>0</v>
      </c>
      <c r="J171" s="15">
        <v>1.8628731087879657E-3</v>
      </c>
      <c r="K171" s="15">
        <v>6.9909139497594808E-2</v>
      </c>
      <c r="L171" s="15"/>
      <c r="M171" s="17" t="b">
        <f>J171&gt;=Assumptions!$B$8</f>
        <v>0</v>
      </c>
      <c r="N171" s="17" t="b">
        <f>AND(K171&lt;&gt;"",K171&lt;=Assumptions!$B$9)</f>
        <v>0</v>
      </c>
      <c r="O171" s="17" t="b">
        <f>AND(P171&lt;&gt;"",ABS(L171)&lt;=Assumptions!$B$10)</f>
        <v>0</v>
      </c>
      <c r="P171" s="13"/>
      <c r="Q171" s="14"/>
      <c r="R171" s="15"/>
      <c r="S171" s="17" t="str">
        <f t="shared" si="22"/>
        <v>BASELINE</v>
      </c>
      <c r="T171" s="16">
        <f t="shared" si="23"/>
        <v>-4.5100000000000001E-3</v>
      </c>
      <c r="U171" s="16">
        <f>G171*Assumptions!$B$6</f>
        <v>-5.0963000000000001E-2</v>
      </c>
      <c r="V171" s="16">
        <f>T171*Assumptions!$B$6</f>
        <v>-5.0963000000000001E-2</v>
      </c>
      <c r="W171" s="16">
        <f t="shared" si="24"/>
        <v>0</v>
      </c>
      <c r="X171" s="18">
        <f t="shared" si="28"/>
        <v>8307.2248552121619</v>
      </c>
      <c r="Y171" s="18">
        <f t="shared" si="29"/>
        <v>20113.53610204719</v>
      </c>
      <c r="Z171" s="19">
        <f t="shared" si="25"/>
        <v>-0.58698337213978813</v>
      </c>
      <c r="AA171" s="18">
        <f t="shared" si="30"/>
        <v>47626.159934630705</v>
      </c>
      <c r="AB171" s="18">
        <f t="shared" si="31"/>
        <v>50183.670325425359</v>
      </c>
      <c r="AC171" s="19">
        <f t="shared" si="26"/>
        <v>-5.0962999999999981E-2</v>
      </c>
      <c r="AD171" s="20">
        <f t="shared" si="27"/>
        <v>39318.935079418545</v>
      </c>
      <c r="AE171" s="9" t="s">
        <v>91</v>
      </c>
    </row>
    <row r="172" spans="1:31" ht="18" customHeight="1">
      <c r="A172" s="4">
        <v>168</v>
      </c>
      <c r="B172" s="13">
        <v>44389</v>
      </c>
      <c r="C172" s="13">
        <v>44392</v>
      </c>
      <c r="D172" s="4" t="s">
        <v>96</v>
      </c>
      <c r="E172" s="14">
        <v>14877.499</v>
      </c>
      <c r="F172" s="14">
        <v>14817.989003999999</v>
      </c>
      <c r="G172" s="15">
        <v>-4.0000000000000001E-3</v>
      </c>
      <c r="H172" s="16">
        <f t="shared" si="32"/>
        <v>3.3100000000000004E-3</v>
      </c>
      <c r="I172" s="17" t="b">
        <f>AND(A172&gt;2,H172&lt;=Assumptions!$B$7)</f>
        <v>0</v>
      </c>
      <c r="J172" s="15">
        <v>4.2764527717997769E-3</v>
      </c>
      <c r="K172" s="15">
        <v>6.190863372180555E-2</v>
      </c>
      <c r="L172" s="15">
        <v>2.8386855269577627E-3</v>
      </c>
      <c r="M172" s="17" t="b">
        <f>J172&gt;=Assumptions!$B$8</f>
        <v>0</v>
      </c>
      <c r="N172" s="17" t="b">
        <f>AND(K172&lt;&gt;"",K172&lt;=Assumptions!$B$9)</f>
        <v>0</v>
      </c>
      <c r="O172" s="17" t="b">
        <f>AND(P172&lt;&gt;"",ABS(L172)&lt;=Assumptions!$B$10)</f>
        <v>1</v>
      </c>
      <c r="P172" s="13">
        <v>44390</v>
      </c>
      <c r="Q172" s="14">
        <v>14862.949000000001</v>
      </c>
      <c r="R172" s="15">
        <v>-3.0200000000000001E-3</v>
      </c>
      <c r="S172" s="17" t="str">
        <f t="shared" si="22"/>
        <v>BASELINE</v>
      </c>
      <c r="T172" s="16">
        <f t="shared" si="23"/>
        <v>-4.0000000000000001E-3</v>
      </c>
      <c r="U172" s="16">
        <f>G172*Assumptions!$B$6</f>
        <v>-4.5200000000000004E-2</v>
      </c>
      <c r="V172" s="16">
        <f>T172*Assumptions!$B$6</f>
        <v>-4.5200000000000004E-2</v>
      </c>
      <c r="W172" s="16">
        <f t="shared" si="24"/>
        <v>0</v>
      </c>
      <c r="X172" s="18">
        <f t="shared" si="28"/>
        <v>7931.7382917565719</v>
      </c>
      <c r="Y172" s="18">
        <f t="shared" si="29"/>
        <v>20113.53610204719</v>
      </c>
      <c r="Z172" s="19">
        <f t="shared" si="25"/>
        <v>-0.60565172371906972</v>
      </c>
      <c r="AA172" s="18">
        <f t="shared" si="30"/>
        <v>45473.457505585393</v>
      </c>
      <c r="AB172" s="18">
        <f t="shared" si="31"/>
        <v>50183.670325425359</v>
      </c>
      <c r="AC172" s="19">
        <f t="shared" si="26"/>
        <v>-9.3859472400000143E-2</v>
      </c>
      <c r="AD172" s="20">
        <f t="shared" si="27"/>
        <v>37541.719213828823</v>
      </c>
      <c r="AE172" s="9" t="s">
        <v>91</v>
      </c>
    </row>
    <row r="173" spans="1:31" ht="18" customHeight="1">
      <c r="A173" s="4">
        <v>169</v>
      </c>
      <c r="B173" s="13">
        <v>44396</v>
      </c>
      <c r="C173" s="13">
        <v>44400</v>
      </c>
      <c r="D173" s="4" t="s">
        <v>93</v>
      </c>
      <c r="E173" s="14">
        <v>14533.916999999999</v>
      </c>
      <c r="F173" s="14">
        <v>15107.079</v>
      </c>
      <c r="G173" s="15">
        <v>3.943E-2</v>
      </c>
      <c r="H173" s="16">
        <f t="shared" si="32"/>
        <v>-8.5100000000000002E-3</v>
      </c>
      <c r="I173" s="17" t="b">
        <f>AND(A173&gt;2,H173&lt;=Assumptions!$B$7)</f>
        <v>0</v>
      </c>
      <c r="J173" s="15">
        <v>-1.0408136460690276E-2</v>
      </c>
      <c r="K173" s="15">
        <v>3.6719466481466734E-2</v>
      </c>
      <c r="L173" s="15">
        <v>-5.508080330942966E-3</v>
      </c>
      <c r="M173" s="17" t="b">
        <f>J173&gt;=Assumptions!$B$8</f>
        <v>0</v>
      </c>
      <c r="N173" s="17" t="b">
        <f>AND(K173&lt;&gt;"",K173&lt;=Assumptions!$B$9)</f>
        <v>0</v>
      </c>
      <c r="O173" s="17" t="b">
        <f>AND(P173&lt;&gt;"",ABS(L173)&lt;=Assumptions!$B$10)</f>
        <v>0</v>
      </c>
      <c r="P173" s="13">
        <v>44397</v>
      </c>
      <c r="Q173" s="14">
        <v>14595.687</v>
      </c>
      <c r="R173" s="15">
        <v>3.5029999999999999E-2</v>
      </c>
      <c r="S173" s="17" t="str">
        <f t="shared" si="22"/>
        <v>BASELINE</v>
      </c>
      <c r="T173" s="16">
        <f t="shared" si="23"/>
        <v>3.943E-2</v>
      </c>
      <c r="U173" s="16">
        <f>G173*Assumptions!$B$6</f>
        <v>0.44555900000000004</v>
      </c>
      <c r="V173" s="16">
        <f>T173*Assumptions!$B$6</f>
        <v>0.44555900000000004</v>
      </c>
      <c r="W173" s="16">
        <f t="shared" si="24"/>
        <v>0</v>
      </c>
      <c r="X173" s="18">
        <f t="shared" si="28"/>
        <v>11465.795673293338</v>
      </c>
      <c r="Y173" s="18">
        <f t="shared" si="29"/>
        <v>20113.53610204719</v>
      </c>
      <c r="Z173" s="19">
        <f t="shared" si="25"/>
        <v>-0.42994630008761459</v>
      </c>
      <c r="AA173" s="18">
        <f t="shared" si="30"/>
        <v>65734.565758316516</v>
      </c>
      <c r="AB173" s="18">
        <f t="shared" si="31"/>
        <v>65734.565758316516</v>
      </c>
      <c r="AC173" s="19">
        <f t="shared" si="26"/>
        <v>0</v>
      </c>
      <c r="AD173" s="20">
        <f t="shared" si="27"/>
        <v>54268.770085023178</v>
      </c>
      <c r="AE173" s="9" t="s">
        <v>91</v>
      </c>
    </row>
    <row r="174" spans="1:31" ht="18" customHeight="1">
      <c r="A174" s="4">
        <v>170</v>
      </c>
      <c r="B174" s="13">
        <v>44403</v>
      </c>
      <c r="C174" s="13">
        <v>44405</v>
      </c>
      <c r="D174" s="4" t="s">
        <v>99</v>
      </c>
      <c r="E174" s="14">
        <v>15083.599</v>
      </c>
      <c r="F174" s="14">
        <v>15025.957</v>
      </c>
      <c r="G174" s="15">
        <v>-3.82E-3</v>
      </c>
      <c r="H174" s="16">
        <f t="shared" si="32"/>
        <v>3.5430000000000003E-2</v>
      </c>
      <c r="I174" s="17" t="b">
        <f>AND(A174&gt;2,H174&lt;=Assumptions!$B$7)</f>
        <v>0</v>
      </c>
      <c r="J174" s="15">
        <v>-1.5542382481749106E-3</v>
      </c>
      <c r="K174" s="15">
        <v>5.231204063480166E-2</v>
      </c>
      <c r="L174" s="15">
        <v>5.560884736777183E-5</v>
      </c>
      <c r="M174" s="17" t="b">
        <f>J174&gt;=Assumptions!$B$8</f>
        <v>0</v>
      </c>
      <c r="N174" s="17" t="b">
        <f>AND(K174&lt;&gt;"",K174&lt;=Assumptions!$B$9)</f>
        <v>0</v>
      </c>
      <c r="O174" s="17" t="b">
        <f>AND(P174&lt;&gt;"",ABS(L174)&lt;=Assumptions!$B$10)</f>
        <v>1</v>
      </c>
      <c r="P174" s="13">
        <v>44404</v>
      </c>
      <c r="Q174" s="14">
        <v>15112.888999999999</v>
      </c>
      <c r="R174" s="15">
        <v>-5.7499999999999999E-3</v>
      </c>
      <c r="S174" s="17" t="str">
        <f t="shared" si="22"/>
        <v>BASELINE</v>
      </c>
      <c r="T174" s="16">
        <f t="shared" si="23"/>
        <v>-3.82E-3</v>
      </c>
      <c r="U174" s="16">
        <f>G174*Assumptions!$B$6</f>
        <v>-4.3166000000000003E-2</v>
      </c>
      <c r="V174" s="16">
        <f>T174*Assumptions!$B$6</f>
        <v>-4.3166000000000003E-2</v>
      </c>
      <c r="W174" s="16">
        <f t="shared" si="24"/>
        <v>0</v>
      </c>
      <c r="X174" s="18">
        <f t="shared" si="28"/>
        <v>10970.863137259958</v>
      </c>
      <c r="Y174" s="18">
        <f t="shared" si="29"/>
        <v>20113.53610204719</v>
      </c>
      <c r="Z174" s="19">
        <f t="shared" si="25"/>
        <v>-0.45455323809803272</v>
      </c>
      <c r="AA174" s="18">
        <f t="shared" si="30"/>
        <v>62897.067492793023</v>
      </c>
      <c r="AB174" s="18">
        <f t="shared" si="31"/>
        <v>65734.565758316516</v>
      </c>
      <c r="AC174" s="19">
        <f t="shared" si="26"/>
        <v>-4.3166000000000038E-2</v>
      </c>
      <c r="AD174" s="20">
        <f t="shared" si="27"/>
        <v>51926.204355533067</v>
      </c>
      <c r="AE174" s="9" t="s">
        <v>91</v>
      </c>
    </row>
    <row r="175" spans="1:31" ht="18" customHeight="1">
      <c r="A175" s="4">
        <v>171</v>
      </c>
      <c r="B175" s="13">
        <v>44410</v>
      </c>
      <c r="C175" s="13">
        <v>44414</v>
      </c>
      <c r="D175" s="4" t="s">
        <v>93</v>
      </c>
      <c r="E175" s="14">
        <v>15036.197</v>
      </c>
      <c r="F175" s="14">
        <v>15107.029</v>
      </c>
      <c r="G175" s="15">
        <v>4.7099999999999998E-3</v>
      </c>
      <c r="H175" s="16">
        <f t="shared" si="32"/>
        <v>3.5610000000000003E-2</v>
      </c>
      <c r="I175" s="17" t="b">
        <f>AND(A175&gt;2,H175&lt;=Assumptions!$B$7)</f>
        <v>0</v>
      </c>
      <c r="J175" s="15">
        <v>3.8869062374837782E-3</v>
      </c>
      <c r="K175" s="15">
        <v>2.8217610237220914E-2</v>
      </c>
      <c r="L175" s="15">
        <v>1.9291412653705819E-3</v>
      </c>
      <c r="M175" s="17" t="b">
        <f>J175&gt;=Assumptions!$B$8</f>
        <v>0</v>
      </c>
      <c r="N175" s="17" t="b">
        <f>AND(K175&lt;&gt;"",K175&lt;=Assumptions!$B$9)</f>
        <v>0</v>
      </c>
      <c r="O175" s="17" t="b">
        <f>AND(P175&lt;&gt;"",ABS(L175)&lt;=Assumptions!$B$10)</f>
        <v>1</v>
      </c>
      <c r="P175" s="13">
        <v>44411</v>
      </c>
      <c r="Q175" s="14">
        <v>14998.509</v>
      </c>
      <c r="R175" s="15">
        <v>7.2300000000000003E-3</v>
      </c>
      <c r="S175" s="17" t="str">
        <f t="shared" si="22"/>
        <v>BASELINE</v>
      </c>
      <c r="T175" s="16">
        <f t="shared" si="23"/>
        <v>4.7099999999999998E-3</v>
      </c>
      <c r="U175" s="16">
        <f>G175*Assumptions!$B$6</f>
        <v>5.3222999999999999E-2</v>
      </c>
      <c r="V175" s="16">
        <f>T175*Assumptions!$B$6</f>
        <v>5.3222999999999999E-2</v>
      </c>
      <c r="W175" s="16">
        <f t="shared" si="24"/>
        <v>0</v>
      </c>
      <c r="X175" s="18">
        <f t="shared" si="28"/>
        <v>11554.765386014344</v>
      </c>
      <c r="Y175" s="18">
        <f t="shared" si="29"/>
        <v>20113.53610204719</v>
      </c>
      <c r="Z175" s="19">
        <f t="shared" si="25"/>
        <v>-0.42552292508932432</v>
      </c>
      <c r="AA175" s="18">
        <f t="shared" si="30"/>
        <v>66244.638115961949</v>
      </c>
      <c r="AB175" s="18">
        <f t="shared" si="31"/>
        <v>66244.638115961949</v>
      </c>
      <c r="AC175" s="19">
        <f t="shared" si="26"/>
        <v>0</v>
      </c>
      <c r="AD175" s="20">
        <f t="shared" si="27"/>
        <v>54689.872729947601</v>
      </c>
      <c r="AE175" s="9" t="s">
        <v>91</v>
      </c>
    </row>
    <row r="176" spans="1:31" ht="18" customHeight="1">
      <c r="A176" s="4">
        <v>172</v>
      </c>
      <c r="B176" s="13">
        <v>44417</v>
      </c>
      <c r="C176" s="13">
        <v>44419</v>
      </c>
      <c r="D176" s="4" t="s">
        <v>99</v>
      </c>
      <c r="E176" s="14">
        <v>15123.189</v>
      </c>
      <c r="F176" s="14">
        <v>15079.547</v>
      </c>
      <c r="G176" s="15">
        <v>-2.8800000000000002E-3</v>
      </c>
      <c r="H176" s="16">
        <f t="shared" si="32"/>
        <v>8.8999999999999973E-4</v>
      </c>
      <c r="I176" s="17" t="b">
        <f>AND(A176&gt;2,H176&lt;=Assumptions!$B$7)</f>
        <v>0</v>
      </c>
      <c r="J176" s="15">
        <v>1.0697007333473341E-3</v>
      </c>
      <c r="K176" s="15">
        <v>1.9510645779688529E-2</v>
      </c>
      <c r="L176" s="15">
        <v>3.3017345928325614E-3</v>
      </c>
      <c r="M176" s="17" t="b">
        <f>J176&gt;=Assumptions!$B$8</f>
        <v>0</v>
      </c>
      <c r="N176" s="17" t="b">
        <f>AND(K176&lt;&gt;"",K176&lt;=Assumptions!$B$9)</f>
        <v>0</v>
      </c>
      <c r="O176" s="17" t="b">
        <f>AND(P176&lt;&gt;"",ABS(L176)&lt;=Assumptions!$B$10)</f>
        <v>1</v>
      </c>
      <c r="P176" s="13">
        <v>44418</v>
      </c>
      <c r="Q176" s="14">
        <v>15154.357</v>
      </c>
      <c r="R176" s="15">
        <v>-4.9300000000000004E-3</v>
      </c>
      <c r="S176" s="17" t="str">
        <f t="shared" si="22"/>
        <v>BASELINE</v>
      </c>
      <c r="T176" s="16">
        <f t="shared" si="23"/>
        <v>-2.8800000000000002E-3</v>
      </c>
      <c r="U176" s="16">
        <f>G176*Assumptions!$B$6</f>
        <v>-3.2544000000000003E-2</v>
      </c>
      <c r="V176" s="16">
        <f>T176*Assumptions!$B$6</f>
        <v>-3.2544000000000003E-2</v>
      </c>
      <c r="W176" s="16">
        <f t="shared" si="24"/>
        <v>0</v>
      </c>
      <c r="X176" s="18">
        <f t="shared" si="28"/>
        <v>11178.727101291892</v>
      </c>
      <c r="Y176" s="18">
        <f t="shared" si="29"/>
        <v>20113.53610204719</v>
      </c>
      <c r="Z176" s="19">
        <f t="shared" si="25"/>
        <v>-0.44421870701521737</v>
      </c>
      <c r="AA176" s="18">
        <f t="shared" si="30"/>
        <v>64088.772613116082</v>
      </c>
      <c r="AB176" s="18">
        <f t="shared" si="31"/>
        <v>66244.638115961949</v>
      </c>
      <c r="AC176" s="19">
        <f t="shared" si="26"/>
        <v>-3.2544000000000017E-2</v>
      </c>
      <c r="AD176" s="20">
        <f t="shared" si="27"/>
        <v>52910.045511824188</v>
      </c>
      <c r="AE176" s="9" t="s">
        <v>91</v>
      </c>
    </row>
    <row r="177" spans="1:31" ht="18" customHeight="1">
      <c r="A177" s="4">
        <v>173</v>
      </c>
      <c r="B177" s="13">
        <v>44424</v>
      </c>
      <c r="C177" s="13">
        <v>44426</v>
      </c>
      <c r="D177" s="4" t="s">
        <v>99</v>
      </c>
      <c r="E177" s="14">
        <v>15087.579</v>
      </c>
      <c r="F177" s="14">
        <v>15027.337</v>
      </c>
      <c r="G177" s="15">
        <v>-3.9899999999999996E-3</v>
      </c>
      <c r="H177" s="16">
        <f t="shared" si="32"/>
        <v>1.8299999999999996E-3</v>
      </c>
      <c r="I177" s="17" t="b">
        <f>AND(A177&gt;2,H177&lt;=Assumptions!$B$7)</f>
        <v>0</v>
      </c>
      <c r="J177" s="15">
        <v>-2.9368189400238442E-3</v>
      </c>
      <c r="K177" s="15">
        <v>3.1370865003363724E-2</v>
      </c>
      <c r="L177" s="15">
        <v>-7.2613618384346212E-3</v>
      </c>
      <c r="M177" s="17" t="b">
        <f>J177&gt;=Assumptions!$B$8</f>
        <v>0</v>
      </c>
      <c r="N177" s="17" t="b">
        <f>AND(K177&lt;&gt;"",K177&lt;=Assumptions!$B$9)</f>
        <v>0</v>
      </c>
      <c r="O177" s="17" t="b">
        <f>AND(P177&lt;&gt;"",ABS(L177)&lt;=Assumptions!$B$10)</f>
        <v>0</v>
      </c>
      <c r="P177" s="13">
        <v>44425</v>
      </c>
      <c r="Q177" s="14">
        <v>15022.597</v>
      </c>
      <c r="R177" s="15">
        <v>3.1E-4</v>
      </c>
      <c r="S177" s="17" t="str">
        <f t="shared" si="22"/>
        <v>BASELINE</v>
      </c>
      <c r="T177" s="16">
        <f t="shared" si="23"/>
        <v>-3.9899999999999996E-3</v>
      </c>
      <c r="U177" s="16">
        <f>G177*Assumptions!$B$6</f>
        <v>-4.5086999999999995E-2</v>
      </c>
      <c r="V177" s="16">
        <f>T177*Assumptions!$B$6</f>
        <v>-4.5086999999999995E-2</v>
      </c>
      <c r="W177" s="16">
        <f t="shared" si="24"/>
        <v>0</v>
      </c>
      <c r="X177" s="18">
        <f t="shared" si="28"/>
        <v>10674.711832475945</v>
      </c>
      <c r="Y177" s="18">
        <f t="shared" si="29"/>
        <v>20113.53610204719</v>
      </c>
      <c r="Z177" s="19">
        <f t="shared" si="25"/>
        <v>-0.46927721817202228</v>
      </c>
      <c r="AA177" s="18">
        <f t="shared" si="30"/>
        <v>61199.202122308518</v>
      </c>
      <c r="AB177" s="18">
        <f t="shared" si="31"/>
        <v>66244.638115961949</v>
      </c>
      <c r="AC177" s="19">
        <f t="shared" si="26"/>
        <v>-7.6163688671999963E-2</v>
      </c>
      <c r="AD177" s="20">
        <f t="shared" si="27"/>
        <v>50524.490289832574</v>
      </c>
      <c r="AE177" s="9" t="s">
        <v>91</v>
      </c>
    </row>
    <row r="178" spans="1:31" ht="18" customHeight="1">
      <c r="A178" s="4">
        <v>174</v>
      </c>
      <c r="B178" s="13">
        <v>44431</v>
      </c>
      <c r="C178" s="13">
        <v>44431</v>
      </c>
      <c r="D178" s="4" t="s">
        <v>90</v>
      </c>
      <c r="E178" s="14">
        <v>15125.769</v>
      </c>
      <c r="F178" s="14">
        <v>15314.099</v>
      </c>
      <c r="G178" s="15">
        <v>1.2449999999999999E-2</v>
      </c>
      <c r="H178" s="16">
        <f t="shared" si="32"/>
        <v>-6.8699999999999994E-3</v>
      </c>
      <c r="I178" s="17" t="b">
        <f>AND(A178&gt;2,H178&lt;=Assumptions!$B$7)</f>
        <v>0</v>
      </c>
      <c r="J178" s="15">
        <v>2.6820796312492234E-3</v>
      </c>
      <c r="K178" s="15">
        <v>-1.2706621623500558E-3</v>
      </c>
      <c r="L178" s="15">
        <v>1.6586952043162961E-2</v>
      </c>
      <c r="M178" s="17" t="b">
        <f>J178&gt;=Assumptions!$B$8</f>
        <v>0</v>
      </c>
      <c r="N178" s="17" t="b">
        <f>AND(K178&lt;&gt;"",K178&lt;=Assumptions!$B$9)</f>
        <v>0</v>
      </c>
      <c r="O178" s="17" t="b">
        <f>AND(P178&lt;&gt;"",ABS(L178)&lt;=Assumptions!$B$10)</f>
        <v>0</v>
      </c>
      <c r="P178" s="13">
        <v>44432</v>
      </c>
      <c r="Q178" s="14">
        <v>15335.047</v>
      </c>
      <c r="R178" s="15">
        <v>-1.3600000000000001E-3</v>
      </c>
      <c r="S178" s="17" t="str">
        <f t="shared" si="22"/>
        <v>BASELINE</v>
      </c>
      <c r="T178" s="16">
        <f t="shared" si="23"/>
        <v>1.2449999999999999E-2</v>
      </c>
      <c r="U178" s="16">
        <f>G178*Assumptions!$B$6</f>
        <v>0.140685</v>
      </c>
      <c r="V178" s="16">
        <f>T178*Assumptions!$B$6</f>
        <v>0.140685</v>
      </c>
      <c r="W178" s="16">
        <f t="shared" si="24"/>
        <v>0</v>
      </c>
      <c r="X178" s="18">
        <f t="shared" si="28"/>
        <v>12176.483666627822</v>
      </c>
      <c r="Y178" s="18">
        <f t="shared" si="29"/>
        <v>20113.53610204719</v>
      </c>
      <c r="Z178" s="19">
        <f t="shared" si="25"/>
        <v>-0.39461248361055323</v>
      </c>
      <c r="AA178" s="18">
        <f t="shared" si="30"/>
        <v>69809.011872885487</v>
      </c>
      <c r="AB178" s="18">
        <f t="shared" si="31"/>
        <v>69809.011872885487</v>
      </c>
      <c r="AC178" s="19">
        <f t="shared" si="26"/>
        <v>0</v>
      </c>
      <c r="AD178" s="20">
        <f t="shared" si="27"/>
        <v>57632.528206257666</v>
      </c>
      <c r="AE178" s="9" t="s">
        <v>91</v>
      </c>
    </row>
    <row r="179" spans="1:31" ht="18" customHeight="1">
      <c r="A179" s="4">
        <v>175</v>
      </c>
      <c r="B179" s="13">
        <v>44438</v>
      </c>
      <c r="C179" s="13">
        <v>44438</v>
      </c>
      <c r="D179" s="4" t="s">
        <v>90</v>
      </c>
      <c r="E179" s="14">
        <v>15456.927</v>
      </c>
      <c r="F179" s="14">
        <v>15601.859</v>
      </c>
      <c r="G179" s="15">
        <v>9.3699999999999999E-3</v>
      </c>
      <c r="H179" s="16">
        <f t="shared" si="32"/>
        <v>8.4599999999999988E-3</v>
      </c>
      <c r="I179" s="17" t="b">
        <f>AND(A179&gt;2,H179&lt;=Assumptions!$B$7)</f>
        <v>0</v>
      </c>
      <c r="J179" s="15">
        <v>1.8003585291710422E-3</v>
      </c>
      <c r="K179" s="15">
        <v>3.1439105687175672E-2</v>
      </c>
      <c r="L179" s="15">
        <v>1.1902655228646974E-2</v>
      </c>
      <c r="M179" s="17" t="b">
        <f>J179&gt;=Assumptions!$B$8</f>
        <v>0</v>
      </c>
      <c r="N179" s="17" t="b">
        <f>AND(K179&lt;&gt;"",K179&lt;=Assumptions!$B$9)</f>
        <v>0</v>
      </c>
      <c r="O179" s="17" t="b">
        <f>AND(P179&lt;&gt;"",ABS(L179)&lt;=Assumptions!$B$10)</f>
        <v>0</v>
      </c>
      <c r="P179" s="13">
        <v>44439</v>
      </c>
      <c r="Q179" s="14">
        <v>15609.109</v>
      </c>
      <c r="R179" s="15">
        <v>-4.6000000000000001E-4</v>
      </c>
      <c r="S179" s="17" t="str">
        <f t="shared" si="22"/>
        <v>BASELINE</v>
      </c>
      <c r="T179" s="16">
        <f t="shared" si="23"/>
        <v>9.3699999999999999E-3</v>
      </c>
      <c r="U179" s="16">
        <f>G179*Assumptions!$B$6</f>
        <v>0.105881</v>
      </c>
      <c r="V179" s="16">
        <f>T179*Assumptions!$B$6</f>
        <v>0.105881</v>
      </c>
      <c r="W179" s="16">
        <f t="shared" si="24"/>
        <v>0</v>
      </c>
      <c r="X179" s="18">
        <f t="shared" si="28"/>
        <v>13465.741933734043</v>
      </c>
      <c r="Y179" s="18">
        <f t="shared" si="29"/>
        <v>20113.53610204719</v>
      </c>
      <c r="Z179" s="19">
        <f t="shared" si="25"/>
        <v>-0.3305134479877222</v>
      </c>
      <c r="AA179" s="18">
        <f t="shared" si="30"/>
        <v>77200.459858998482</v>
      </c>
      <c r="AB179" s="18">
        <f t="shared" si="31"/>
        <v>77200.459858998482</v>
      </c>
      <c r="AC179" s="19">
        <f t="shared" si="26"/>
        <v>0</v>
      </c>
      <c r="AD179" s="20">
        <f t="shared" si="27"/>
        <v>63734.717925264442</v>
      </c>
      <c r="AE179" s="9" t="s">
        <v>91</v>
      </c>
    </row>
    <row r="180" spans="1:31" ht="18" customHeight="1">
      <c r="A180" s="4">
        <v>176</v>
      </c>
      <c r="B180" s="13">
        <v>44446</v>
      </c>
      <c r="C180" s="13">
        <v>44448</v>
      </c>
      <c r="D180" s="4" t="s">
        <v>92</v>
      </c>
      <c r="E180" s="14">
        <v>15653.789000000001</v>
      </c>
      <c r="F180" s="14">
        <v>15585.369000000001</v>
      </c>
      <c r="G180" s="15">
        <v>-4.3699999999999998E-3</v>
      </c>
      <c r="H180" s="16">
        <f t="shared" si="32"/>
        <v>2.1819999999999999E-2</v>
      </c>
      <c r="I180" s="17" t="b">
        <f>AND(A180&gt;2,H180&lt;=Assumptions!$B$7)</f>
        <v>0</v>
      </c>
      <c r="J180" s="15">
        <v>4.5888537254312745E-4</v>
      </c>
      <c r="K180" s="15">
        <v>3.6708501618879064E-2</v>
      </c>
      <c r="L180" s="15"/>
      <c r="M180" s="17" t="b">
        <f>J180&gt;=Assumptions!$B$8</f>
        <v>0</v>
      </c>
      <c r="N180" s="17" t="b">
        <f>AND(K180&lt;&gt;"",K180&lt;=Assumptions!$B$9)</f>
        <v>0</v>
      </c>
      <c r="O180" s="17" t="b">
        <f>AND(P180&lt;&gt;"",ABS(L180)&lt;=Assumptions!$B$10)</f>
        <v>0</v>
      </c>
      <c r="P180" s="13"/>
      <c r="Q180" s="14"/>
      <c r="R180" s="15"/>
      <c r="S180" s="17" t="str">
        <f t="shared" si="22"/>
        <v>BASELINE</v>
      </c>
      <c r="T180" s="16">
        <f t="shared" si="23"/>
        <v>-4.3699999999999998E-3</v>
      </c>
      <c r="U180" s="16">
        <f>G180*Assumptions!$B$6</f>
        <v>-4.9381000000000001E-2</v>
      </c>
      <c r="V180" s="16">
        <f>T180*Assumptions!$B$6</f>
        <v>-4.9381000000000001E-2</v>
      </c>
      <c r="W180" s="16">
        <f t="shared" si="24"/>
        <v>0</v>
      </c>
      <c r="X180" s="18">
        <f t="shared" si="28"/>
        <v>12800.790131304322</v>
      </c>
      <c r="Y180" s="18">
        <f t="shared" si="29"/>
        <v>20113.53610204719</v>
      </c>
      <c r="Z180" s="19">
        <f t="shared" si="25"/>
        <v>-0.36357336341264046</v>
      </c>
      <c r="AA180" s="18">
        <f t="shared" si="30"/>
        <v>73388.223950701271</v>
      </c>
      <c r="AB180" s="18">
        <f t="shared" si="31"/>
        <v>77200.459858998482</v>
      </c>
      <c r="AC180" s="19">
        <f t="shared" si="26"/>
        <v>-4.9381000000000119E-2</v>
      </c>
      <c r="AD180" s="20">
        <f t="shared" si="27"/>
        <v>60587.433819396945</v>
      </c>
      <c r="AE180" s="9" t="s">
        <v>91</v>
      </c>
    </row>
    <row r="181" spans="1:31" ht="18" customHeight="1">
      <c r="A181" s="4">
        <v>177</v>
      </c>
      <c r="B181" s="13">
        <v>44452</v>
      </c>
      <c r="C181" s="13">
        <v>44454</v>
      </c>
      <c r="D181" s="4" t="s">
        <v>95</v>
      </c>
      <c r="E181" s="14">
        <v>15545.797</v>
      </c>
      <c r="F181" s="14">
        <v>15483.613812</v>
      </c>
      <c r="G181" s="15">
        <v>-4.0000000000000001E-3</v>
      </c>
      <c r="H181" s="16">
        <f t="shared" si="32"/>
        <v>5.0000000000000001E-3</v>
      </c>
      <c r="I181" s="17" t="b">
        <f>AND(A181&gt;2,H181&lt;=Assumptions!$B$7)</f>
        <v>0</v>
      </c>
      <c r="J181" s="15">
        <v>5.9192514403256791E-3</v>
      </c>
      <c r="K181" s="15">
        <v>2.4665875575908602E-2</v>
      </c>
      <c r="L181" s="15">
        <v>3.3845041361630912E-3</v>
      </c>
      <c r="M181" s="17" t="b">
        <f>J181&gt;=Assumptions!$B$8</f>
        <v>0</v>
      </c>
      <c r="N181" s="17" t="b">
        <f>AND(K181&lt;&gt;"",K181&lt;=Assumptions!$B$9)</f>
        <v>0</v>
      </c>
      <c r="O181" s="17" t="b">
        <f>AND(P181&lt;&gt;"",ABS(L181)&lt;=Assumptions!$B$10)</f>
        <v>1</v>
      </c>
      <c r="P181" s="13">
        <v>44453</v>
      </c>
      <c r="Q181" s="14">
        <v>15496.099</v>
      </c>
      <c r="R181" s="15">
        <v>-8.0000000000000004E-4</v>
      </c>
      <c r="S181" s="17" t="str">
        <f t="shared" si="22"/>
        <v>BASELINE</v>
      </c>
      <c r="T181" s="16">
        <f t="shared" si="23"/>
        <v>-4.0000000000000001E-3</v>
      </c>
      <c r="U181" s="16">
        <f>G181*Assumptions!$B$6</f>
        <v>-4.5200000000000004E-2</v>
      </c>
      <c r="V181" s="16">
        <f>T181*Assumptions!$B$6</f>
        <v>-4.5200000000000004E-2</v>
      </c>
      <c r="W181" s="16">
        <f t="shared" si="24"/>
        <v>0</v>
      </c>
      <c r="X181" s="18">
        <f t="shared" si="28"/>
        <v>12222.194417369366</v>
      </c>
      <c r="Y181" s="18">
        <f t="shared" si="29"/>
        <v>20113.53610204719</v>
      </c>
      <c r="Z181" s="19">
        <f t="shared" si="25"/>
        <v>-0.39233984738638916</v>
      </c>
      <c r="AA181" s="18">
        <f t="shared" si="30"/>
        <v>70071.076228129576</v>
      </c>
      <c r="AB181" s="18">
        <f t="shared" si="31"/>
        <v>77200.459858998482</v>
      </c>
      <c r="AC181" s="19">
        <f t="shared" si="26"/>
        <v>-9.2348978800000037E-2</v>
      </c>
      <c r="AD181" s="20">
        <f t="shared" si="27"/>
        <v>57848.881810760213</v>
      </c>
      <c r="AE181" s="9" t="s">
        <v>91</v>
      </c>
    </row>
    <row r="182" spans="1:31" ht="18" customHeight="1">
      <c r="A182" s="4">
        <v>178</v>
      </c>
      <c r="B182" s="13">
        <v>44459</v>
      </c>
      <c r="C182" s="13">
        <v>44463</v>
      </c>
      <c r="D182" s="4" t="s">
        <v>93</v>
      </c>
      <c r="E182" s="14">
        <v>15086.819</v>
      </c>
      <c r="F182" s="14">
        <v>15334.619000000001</v>
      </c>
      <c r="G182" s="15">
        <v>1.6420000000000001E-2</v>
      </c>
      <c r="H182" s="16">
        <f t="shared" si="32"/>
        <v>-8.369999999999999E-3</v>
      </c>
      <c r="I182" s="17" t="b">
        <f>AND(A182&gt;2,H182&lt;=Assumptions!$B$7)</f>
        <v>0</v>
      </c>
      <c r="J182" s="15">
        <v>-1.5189129103289178E-2</v>
      </c>
      <c r="K182" s="15">
        <v>2.7075832583258519E-2</v>
      </c>
      <c r="L182" s="15">
        <v>-1.5629364692479109E-2</v>
      </c>
      <c r="M182" s="17" t="b">
        <f>J182&gt;=Assumptions!$B$8</f>
        <v>0</v>
      </c>
      <c r="N182" s="17" t="b">
        <f>AND(K182&lt;&gt;"",K182&lt;=Assumptions!$B$9)</f>
        <v>0</v>
      </c>
      <c r="O182" s="17" t="b">
        <f>AND(P182&lt;&gt;"",ABS(L182)&lt;=Assumptions!$B$10)</f>
        <v>0</v>
      </c>
      <c r="P182" s="13">
        <v>44460</v>
      </c>
      <c r="Q182" s="14">
        <v>15090.097</v>
      </c>
      <c r="R182" s="15">
        <v>1.6199999999999999E-2</v>
      </c>
      <c r="S182" s="17" t="str">
        <f t="shared" si="22"/>
        <v>BASELINE</v>
      </c>
      <c r="T182" s="16">
        <f t="shared" si="23"/>
        <v>1.6420000000000001E-2</v>
      </c>
      <c r="U182" s="16">
        <f>G182*Assumptions!$B$6</f>
        <v>0.18554600000000002</v>
      </c>
      <c r="V182" s="16">
        <f>T182*Assumptions!$B$6</f>
        <v>0.18554600000000002</v>
      </c>
      <c r="W182" s="16">
        <f t="shared" si="24"/>
        <v>0</v>
      </c>
      <c r="X182" s="18">
        <f t="shared" si="28"/>
        <v>14489.973702734584</v>
      </c>
      <c r="Y182" s="18">
        <f t="shared" si="29"/>
        <v>20113.53610204719</v>
      </c>
      <c r="Z182" s="19">
        <f t="shared" si="25"/>
        <v>-0.27959093670954416</v>
      </c>
      <c r="AA182" s="18">
        <f t="shared" si="30"/>
        <v>83072.484137954103</v>
      </c>
      <c r="AB182" s="18">
        <f t="shared" si="31"/>
        <v>83072.484137954103</v>
      </c>
      <c r="AC182" s="19">
        <f t="shared" si="26"/>
        <v>0</v>
      </c>
      <c r="AD182" s="20">
        <f t="shared" si="27"/>
        <v>68582.510435219519</v>
      </c>
      <c r="AE182" s="9" t="s">
        <v>91</v>
      </c>
    </row>
    <row r="183" spans="1:31" ht="18" customHeight="1">
      <c r="A183" s="4">
        <v>179</v>
      </c>
      <c r="B183" s="13">
        <v>44466</v>
      </c>
      <c r="C183" s="13">
        <v>44469</v>
      </c>
      <c r="D183" s="4" t="s">
        <v>92</v>
      </c>
      <c r="E183" s="14">
        <v>15198.496999999999</v>
      </c>
      <c r="F183" s="14">
        <v>14784.009</v>
      </c>
      <c r="G183" s="15">
        <v>-2.7269999999999999E-2</v>
      </c>
      <c r="H183" s="16">
        <f t="shared" si="32"/>
        <v>1.242E-2</v>
      </c>
      <c r="I183" s="17" t="b">
        <f>AND(A183&gt;2,H183&lt;=Assumptions!$B$7)</f>
        <v>0</v>
      </c>
      <c r="J183" s="15">
        <v>-8.8767774406394162E-3</v>
      </c>
      <c r="K183" s="15">
        <v>3.5048174058853743E-3</v>
      </c>
      <c r="L183" s="15">
        <v>-2.0522653810332581E-2</v>
      </c>
      <c r="M183" s="17" t="b">
        <f>J183&gt;=Assumptions!$B$8</f>
        <v>0</v>
      </c>
      <c r="N183" s="17" t="b">
        <f>AND(K183&lt;&gt;"",K183&lt;=Assumptions!$B$9)</f>
        <v>0</v>
      </c>
      <c r="O183" s="17" t="b">
        <f>AND(P183&lt;&gt;"",ABS(L183)&lt;=Assumptions!$B$10)</f>
        <v>0</v>
      </c>
      <c r="P183" s="13">
        <v>44467</v>
      </c>
      <c r="Q183" s="14">
        <v>15012.089</v>
      </c>
      <c r="R183" s="15">
        <v>-1.519E-2</v>
      </c>
      <c r="S183" s="17" t="str">
        <f t="shared" si="22"/>
        <v>BASELINE</v>
      </c>
      <c r="T183" s="16">
        <f t="shared" si="23"/>
        <v>-2.7269999999999999E-2</v>
      </c>
      <c r="U183" s="16">
        <f>G183*Assumptions!$B$6</f>
        <v>-0.30815100000000001</v>
      </c>
      <c r="V183" s="16">
        <f>T183*Assumptions!$B$6</f>
        <v>-0.30815100000000001</v>
      </c>
      <c r="W183" s="16">
        <f t="shared" si="24"/>
        <v>0</v>
      </c>
      <c r="X183" s="18">
        <f t="shared" si="28"/>
        <v>10024.873816263218</v>
      </c>
      <c r="Y183" s="18">
        <f t="shared" si="29"/>
        <v>20113.53610204719</v>
      </c>
      <c r="Z183" s="19">
        <f t="shared" si="25"/>
        <v>-0.50158570997156149</v>
      </c>
      <c r="AA183" s="18">
        <f t="shared" si="30"/>
        <v>57473.615078359406</v>
      </c>
      <c r="AB183" s="18">
        <f t="shared" si="31"/>
        <v>83072.484137954103</v>
      </c>
      <c r="AC183" s="19">
        <f t="shared" si="26"/>
        <v>-0.30815100000000006</v>
      </c>
      <c r="AD183" s="20">
        <f t="shared" si="27"/>
        <v>47448.741262096184</v>
      </c>
      <c r="AE183" s="9" t="s">
        <v>91</v>
      </c>
    </row>
    <row r="184" spans="1:31" ht="18" customHeight="1">
      <c r="A184" s="4">
        <v>180</v>
      </c>
      <c r="B184" s="13">
        <v>44473</v>
      </c>
      <c r="C184" s="13">
        <v>44477</v>
      </c>
      <c r="D184" s="4" t="s">
        <v>93</v>
      </c>
      <c r="E184" s="14">
        <v>14714.218999999999</v>
      </c>
      <c r="F184" s="14">
        <v>14820.209000000001</v>
      </c>
      <c r="G184" s="15">
        <v>7.1999999999999998E-3</v>
      </c>
      <c r="H184" s="16">
        <f t="shared" si="32"/>
        <v>-1.0849999999999999E-2</v>
      </c>
      <c r="I184" s="17" t="b">
        <f>AND(A184&gt;2,H184&lt;=Assumptions!$B$7)</f>
        <v>0</v>
      </c>
      <c r="J184" s="15">
        <v>-4.7361247339142709E-3</v>
      </c>
      <c r="K184" s="15">
        <v>-5.2126617434925859E-2</v>
      </c>
      <c r="L184" s="15">
        <v>-1.7955350120809621E-2</v>
      </c>
      <c r="M184" s="17" t="b">
        <f>J184&gt;=Assumptions!$B$8</f>
        <v>0</v>
      </c>
      <c r="N184" s="17" t="b">
        <f>AND(K184&lt;&gt;"",K184&lt;=Assumptions!$B$9)</f>
        <v>1</v>
      </c>
      <c r="O184" s="17" t="b">
        <f>AND(P184&lt;&gt;"",ABS(L184)&lt;=Assumptions!$B$10)</f>
        <v>0</v>
      </c>
      <c r="P184" s="13">
        <v>44474</v>
      </c>
      <c r="Q184" s="14">
        <v>14517.388999999999</v>
      </c>
      <c r="R184" s="15">
        <v>2.085E-2</v>
      </c>
      <c r="S184" s="17" t="str">
        <f t="shared" si="22"/>
        <v>BASELINE</v>
      </c>
      <c r="T184" s="16">
        <f t="shared" si="23"/>
        <v>7.1999999999999998E-3</v>
      </c>
      <c r="U184" s="16">
        <f>G184*Assumptions!$B$6</f>
        <v>8.1360000000000002E-2</v>
      </c>
      <c r="V184" s="16">
        <f>T184*Assumptions!$B$6</f>
        <v>8.1360000000000002E-2</v>
      </c>
      <c r="W184" s="16">
        <f t="shared" si="24"/>
        <v>0</v>
      </c>
      <c r="X184" s="18">
        <f t="shared" si="28"/>
        <v>10840.497549954394</v>
      </c>
      <c r="Y184" s="18">
        <f t="shared" si="29"/>
        <v>20113.53610204719</v>
      </c>
      <c r="Z184" s="19">
        <f t="shared" si="25"/>
        <v>-0.46103472333484763</v>
      </c>
      <c r="AA184" s="18">
        <f t="shared" si="30"/>
        <v>62149.668401134732</v>
      </c>
      <c r="AB184" s="18">
        <f t="shared" si="31"/>
        <v>83072.484137954103</v>
      </c>
      <c r="AC184" s="19">
        <f t="shared" si="26"/>
        <v>-0.25186216535999995</v>
      </c>
      <c r="AD184" s="20">
        <f t="shared" si="27"/>
        <v>51309.170851180337</v>
      </c>
      <c r="AE184" s="9" t="s">
        <v>91</v>
      </c>
    </row>
    <row r="185" spans="1:31" ht="18" customHeight="1">
      <c r="A185" s="4">
        <v>181</v>
      </c>
      <c r="B185" s="13">
        <v>44480</v>
      </c>
      <c r="C185" s="13">
        <v>44482</v>
      </c>
      <c r="D185" s="4" t="s">
        <v>99</v>
      </c>
      <c r="E185" s="14">
        <v>14759.129000000001</v>
      </c>
      <c r="F185" s="14">
        <v>14701.228999999999</v>
      </c>
      <c r="G185" s="15">
        <v>-3.9199999999999999E-3</v>
      </c>
      <c r="H185" s="16">
        <f t="shared" si="32"/>
        <v>-2.0069999999999998E-2</v>
      </c>
      <c r="I185" s="17" t="b">
        <f>AND(A185&gt;2,H185&lt;=Assumptions!$B$7)</f>
        <v>1</v>
      </c>
      <c r="J185" s="15">
        <v>-4.1213993675797145E-3</v>
      </c>
      <c r="K185" s="15">
        <v>-3.9923556420635498E-2</v>
      </c>
      <c r="L185" s="15">
        <v>-3.5563911690502659E-3</v>
      </c>
      <c r="M185" s="17" t="b">
        <f>J185&gt;=Assumptions!$B$8</f>
        <v>0</v>
      </c>
      <c r="N185" s="17" t="b">
        <f>AND(K185&lt;&gt;"",K185&lt;=Assumptions!$B$9)</f>
        <v>1</v>
      </c>
      <c r="O185" s="17" t="b">
        <f>AND(P185&lt;&gt;"",ABS(L185)&lt;=Assumptions!$B$10)</f>
        <v>1</v>
      </c>
      <c r="P185" s="13">
        <v>44481</v>
      </c>
      <c r="Q185" s="14">
        <v>14771.409</v>
      </c>
      <c r="R185" s="15">
        <v>-4.7499999999999999E-3</v>
      </c>
      <c r="S185" s="17" t="str">
        <f t="shared" si="22"/>
        <v>DAMAGE SKIP</v>
      </c>
      <c r="T185" s="16">
        <f t="shared" si="23"/>
        <v>0</v>
      </c>
      <c r="U185" s="16">
        <f>G185*Assumptions!$B$6</f>
        <v>-4.4296000000000002E-2</v>
      </c>
      <c r="V185" s="16">
        <f>T185*Assumptions!$B$6</f>
        <v>0</v>
      </c>
      <c r="W185" s="16">
        <f t="shared" si="24"/>
        <v>4.4296000000000002E-2</v>
      </c>
      <c r="X185" s="18">
        <f t="shared" si="28"/>
        <v>10360.306870481614</v>
      </c>
      <c r="Y185" s="18">
        <f t="shared" si="29"/>
        <v>20113.53610204719</v>
      </c>
      <c r="Z185" s="19">
        <f t="shared" si="25"/>
        <v>-0.48490872923000727</v>
      </c>
      <c r="AA185" s="18">
        <f t="shared" si="30"/>
        <v>62149.668401134732</v>
      </c>
      <c r="AB185" s="18">
        <f t="shared" si="31"/>
        <v>83072.484137954103</v>
      </c>
      <c r="AC185" s="19">
        <f t="shared" si="26"/>
        <v>-0.25186216535999995</v>
      </c>
      <c r="AD185" s="20">
        <f t="shared" si="27"/>
        <v>51789.361530653114</v>
      </c>
      <c r="AE185" s="9" t="s">
        <v>94</v>
      </c>
    </row>
    <row r="186" spans="1:31" ht="18" customHeight="1">
      <c r="A186" s="4">
        <v>182</v>
      </c>
      <c r="B186" s="13">
        <v>44487</v>
      </c>
      <c r="C186" s="13">
        <v>44487</v>
      </c>
      <c r="D186" s="4" t="s">
        <v>90</v>
      </c>
      <c r="E186" s="14">
        <v>15089.808999999999</v>
      </c>
      <c r="F186" s="14">
        <v>15303.509</v>
      </c>
      <c r="G186" s="15">
        <v>1.4160000000000001E-2</v>
      </c>
      <c r="H186" s="16">
        <f t="shared" si="32"/>
        <v>7.1999999999999998E-3</v>
      </c>
      <c r="I186" s="17" t="b">
        <f>AND(A186&gt;2,H186&lt;=Assumptions!$B$7)</f>
        <v>0</v>
      </c>
      <c r="J186" s="15">
        <v>-3.7894769920980842E-3</v>
      </c>
      <c r="K186" s="15">
        <v>-1.1970554244055909E-2</v>
      </c>
      <c r="L186" s="15">
        <v>1.3008107546254699E-2</v>
      </c>
      <c r="M186" s="17" t="b">
        <f>J186&gt;=Assumptions!$B$8</f>
        <v>0</v>
      </c>
      <c r="N186" s="17" t="b">
        <f>AND(K186&lt;&gt;"",K186&lt;=Assumptions!$B$9)</f>
        <v>1</v>
      </c>
      <c r="O186" s="17" t="b">
        <f>AND(P186&lt;&gt;"",ABS(L186)&lt;=Assumptions!$B$10)</f>
        <v>0</v>
      </c>
      <c r="P186" s="13">
        <v>44488</v>
      </c>
      <c r="Q186" s="14">
        <v>15342.669</v>
      </c>
      <c r="R186" s="15">
        <v>-2.5500000000000002E-3</v>
      </c>
      <c r="S186" s="17" t="str">
        <f t="shared" si="22"/>
        <v>BASELINE</v>
      </c>
      <c r="T186" s="16">
        <f t="shared" si="23"/>
        <v>1.4160000000000001E-2</v>
      </c>
      <c r="U186" s="16">
        <f>G186*Assumptions!$B$6</f>
        <v>0.16000800000000001</v>
      </c>
      <c r="V186" s="16">
        <f>T186*Assumptions!$B$6</f>
        <v>0.16000800000000001</v>
      </c>
      <c r="W186" s="16">
        <f t="shared" si="24"/>
        <v>0</v>
      </c>
      <c r="X186" s="18">
        <f t="shared" si="28"/>
        <v>12018.038852213636</v>
      </c>
      <c r="Y186" s="18">
        <f t="shared" si="29"/>
        <v>20113.53610204719</v>
      </c>
      <c r="Z186" s="19">
        <f t="shared" si="25"/>
        <v>-0.40249000517664224</v>
      </c>
      <c r="AA186" s="18">
        <f t="shared" si="30"/>
        <v>72094.112542663497</v>
      </c>
      <c r="AB186" s="18">
        <f t="shared" si="31"/>
        <v>83072.484137954103</v>
      </c>
      <c r="AC186" s="19">
        <f t="shared" si="26"/>
        <v>-0.13215412671492288</v>
      </c>
      <c r="AD186" s="20">
        <f t="shared" si="27"/>
        <v>60076.073690449863</v>
      </c>
      <c r="AE186" s="9" t="s">
        <v>91</v>
      </c>
    </row>
    <row r="187" spans="1:31" ht="18" customHeight="1">
      <c r="A187" s="4">
        <v>183</v>
      </c>
      <c r="B187" s="13">
        <v>44494</v>
      </c>
      <c r="C187" s="13">
        <v>44495</v>
      </c>
      <c r="D187" s="4" t="s">
        <v>98</v>
      </c>
      <c r="E187" s="14">
        <v>15417.968999999999</v>
      </c>
      <c r="F187" s="14">
        <v>15547.289000000001</v>
      </c>
      <c r="G187" s="15">
        <v>8.3800000000000003E-3</v>
      </c>
      <c r="H187" s="16">
        <f t="shared" si="32"/>
        <v>1.4160000000000001E-2</v>
      </c>
      <c r="I187" s="17" t="b">
        <f>AND(A187&gt;2,H187&lt;=Assumptions!$B$7)</f>
        <v>0</v>
      </c>
      <c r="J187" s="15">
        <v>4.791964046388264E-3</v>
      </c>
      <c r="K187" s="15">
        <v>2.0626746288281428E-3</v>
      </c>
      <c r="L187" s="15">
        <v>1.6429159160554763E-2</v>
      </c>
      <c r="M187" s="17" t="b">
        <f>J187&gt;=Assumptions!$B$8</f>
        <v>0</v>
      </c>
      <c r="N187" s="17" t="b">
        <f>AND(K187&lt;&gt;"",K187&lt;=Assumptions!$B$9)</f>
        <v>0</v>
      </c>
      <c r="O187" s="17" t="b">
        <f>AND(P187&lt;&gt;"",ABS(L187)&lt;=Assumptions!$B$10)</f>
        <v>0</v>
      </c>
      <c r="P187" s="13">
        <v>44495</v>
      </c>
      <c r="Q187" s="14">
        <v>15608.888999999999</v>
      </c>
      <c r="R187" s="15">
        <v>-3.9399999999999999E-3</v>
      </c>
      <c r="S187" s="17" t="str">
        <f t="shared" si="22"/>
        <v>BASELINE</v>
      </c>
      <c r="T187" s="16">
        <f t="shared" si="23"/>
        <v>8.3800000000000003E-3</v>
      </c>
      <c r="U187" s="16">
        <f>G187*Assumptions!$B$6</f>
        <v>9.4694000000000014E-2</v>
      </c>
      <c r="V187" s="16">
        <f>T187*Assumptions!$B$6</f>
        <v>9.4694000000000014E-2</v>
      </c>
      <c r="W187" s="16">
        <f t="shared" si="24"/>
        <v>0</v>
      </c>
      <c r="X187" s="18">
        <f t="shared" si="28"/>
        <v>13156.075023285155</v>
      </c>
      <c r="Y187" s="18">
        <f t="shared" si="29"/>
        <v>20113.53610204719</v>
      </c>
      <c r="Z187" s="19">
        <f t="shared" si="25"/>
        <v>-0.34590939372683915</v>
      </c>
      <c r="AA187" s="18">
        <f t="shared" si="30"/>
        <v>78920.992435778477</v>
      </c>
      <c r="AB187" s="18">
        <f t="shared" si="31"/>
        <v>83072.484137954103</v>
      </c>
      <c r="AC187" s="19">
        <f t="shared" si="26"/>
        <v>-4.9974329590065758E-2</v>
      </c>
      <c r="AD187" s="20">
        <f t="shared" si="27"/>
        <v>65764.91741249332</v>
      </c>
      <c r="AE187" s="9" t="s">
        <v>91</v>
      </c>
    </row>
    <row r="188" spans="1:31" ht="18" customHeight="1">
      <c r="A188" s="4">
        <v>184</v>
      </c>
      <c r="B188" s="13">
        <v>44501</v>
      </c>
      <c r="C188" s="13">
        <v>44505</v>
      </c>
      <c r="D188" s="4" t="s">
        <v>93</v>
      </c>
      <c r="E188" s="14">
        <v>15867.699000000001</v>
      </c>
      <c r="F188" s="14">
        <v>16347.659</v>
      </c>
      <c r="G188" s="15">
        <v>3.024E-2</v>
      </c>
      <c r="H188" s="16">
        <f t="shared" si="32"/>
        <v>2.2540000000000001E-2</v>
      </c>
      <c r="I188" s="17" t="b">
        <f>AND(A188&gt;2,H188&lt;=Assumptions!$B$7)</f>
        <v>0</v>
      </c>
      <c r="J188" s="15">
        <v>1.2676991210471833E-3</v>
      </c>
      <c r="K188" s="15">
        <v>7.2003111806409281E-2</v>
      </c>
      <c r="L188" s="15">
        <v>1.7904107085628951E-3</v>
      </c>
      <c r="M188" s="17" t="b">
        <f>J188&gt;=Assumptions!$B$8</f>
        <v>0</v>
      </c>
      <c r="N188" s="17" t="b">
        <f>AND(K188&lt;&gt;"",K188&lt;=Assumptions!$B$9)</f>
        <v>0</v>
      </c>
      <c r="O188" s="17" t="b">
        <f>AND(P188&lt;&gt;"",ABS(L188)&lt;=Assumptions!$B$10)</f>
        <v>1</v>
      </c>
      <c r="P188" s="13">
        <v>44502</v>
      </c>
      <c r="Q188" s="14">
        <v>15878</v>
      </c>
      <c r="R188" s="15">
        <v>2.9569999999999999E-2</v>
      </c>
      <c r="S188" s="17" t="str">
        <f t="shared" si="22"/>
        <v>BASELINE</v>
      </c>
      <c r="T188" s="16">
        <f t="shared" si="23"/>
        <v>3.024E-2</v>
      </c>
      <c r="U188" s="16">
        <f>G188*Assumptions!$B$6</f>
        <v>0.34171200000000002</v>
      </c>
      <c r="V188" s="16">
        <f>T188*Assumptions!$B$6</f>
        <v>0.34171200000000002</v>
      </c>
      <c r="W188" s="16">
        <f t="shared" si="24"/>
        <v>0</v>
      </c>
      <c r="X188" s="18">
        <f t="shared" si="28"/>
        <v>17651.663731641973</v>
      </c>
      <c r="Y188" s="18">
        <f t="shared" si="29"/>
        <v>20113.53610204719</v>
      </c>
      <c r="Z188" s="19">
        <f t="shared" si="25"/>
        <v>-0.12239878447602481</v>
      </c>
      <c r="AA188" s="18">
        <f t="shared" si="30"/>
        <v>105889.24260299321</v>
      </c>
      <c r="AB188" s="18">
        <f t="shared" si="31"/>
        <v>105889.24260299321</v>
      </c>
      <c r="AC188" s="19">
        <f t="shared" si="26"/>
        <v>0</v>
      </c>
      <c r="AD188" s="20">
        <f t="shared" si="27"/>
        <v>88237.57887135123</v>
      </c>
      <c r="AE188" s="9" t="s">
        <v>91</v>
      </c>
    </row>
    <row r="189" spans="1:31" ht="18" customHeight="1">
      <c r="A189" s="4">
        <v>185</v>
      </c>
      <c r="B189" s="13">
        <v>44508</v>
      </c>
      <c r="C189" s="13">
        <v>44511</v>
      </c>
      <c r="D189" s="4" t="s">
        <v>92</v>
      </c>
      <c r="E189" s="14">
        <v>16356.807000000001</v>
      </c>
      <c r="F189" s="14">
        <v>15995.308999999999</v>
      </c>
      <c r="G189" s="15">
        <v>-2.2100000000000002E-2</v>
      </c>
      <c r="H189" s="16">
        <f t="shared" si="32"/>
        <v>3.8620000000000002E-2</v>
      </c>
      <c r="I189" s="17" t="b">
        <f>AND(A189&gt;2,H189&lt;=Assumptions!$B$7)</f>
        <v>0</v>
      </c>
      <c r="J189" s="15">
        <v>5.5959082581802377E-4</v>
      </c>
      <c r="K189" s="15">
        <v>0.10364784931774484</v>
      </c>
      <c r="L189" s="15">
        <v>1.4059501452130529E-3</v>
      </c>
      <c r="M189" s="17" t="b">
        <f>J189&gt;=Assumptions!$B$8</f>
        <v>0</v>
      </c>
      <c r="N189" s="17" t="b">
        <f>AND(K189&lt;&gt;"",K189&lt;=Assumptions!$B$9)</f>
        <v>0</v>
      </c>
      <c r="O189" s="17" t="b">
        <f>AND(P189&lt;&gt;"",ABS(L189)&lt;=Assumptions!$B$10)</f>
        <v>1</v>
      </c>
      <c r="P189" s="13">
        <v>44509</v>
      </c>
      <c r="Q189" s="14">
        <v>16384.237000000001</v>
      </c>
      <c r="R189" s="15">
        <v>-2.3730000000000001E-2</v>
      </c>
      <c r="S189" s="17" t="str">
        <f t="shared" si="22"/>
        <v>BASELINE</v>
      </c>
      <c r="T189" s="16">
        <f t="shared" si="23"/>
        <v>-2.2100000000000002E-2</v>
      </c>
      <c r="U189" s="16">
        <f>G189*Assumptions!$B$6</f>
        <v>-0.24973000000000004</v>
      </c>
      <c r="V189" s="16">
        <f>T189*Assumptions!$B$6</f>
        <v>-0.24973000000000004</v>
      </c>
      <c r="W189" s="16">
        <f t="shared" si="24"/>
        <v>0</v>
      </c>
      <c r="X189" s="18">
        <f t="shared" si="28"/>
        <v>13243.513747939023</v>
      </c>
      <c r="Y189" s="18">
        <f t="shared" si="29"/>
        <v>20113.53610204719</v>
      </c>
      <c r="Z189" s="19">
        <f t="shared" si="25"/>
        <v>-0.34156213602882712</v>
      </c>
      <c r="AA189" s="18">
        <f t="shared" si="30"/>
        <v>79445.522047747712</v>
      </c>
      <c r="AB189" s="18">
        <f t="shared" si="31"/>
        <v>105889.24260299321</v>
      </c>
      <c r="AC189" s="19">
        <f t="shared" si="26"/>
        <v>-0.24973000000000001</v>
      </c>
      <c r="AD189" s="20">
        <f t="shared" si="27"/>
        <v>66202.008299808687</v>
      </c>
      <c r="AE189" s="9" t="s">
        <v>91</v>
      </c>
    </row>
    <row r="190" spans="1:31" ht="18" customHeight="1">
      <c r="A190" s="4">
        <v>186</v>
      </c>
      <c r="B190" s="13">
        <v>44515</v>
      </c>
      <c r="C190" s="13">
        <v>44519</v>
      </c>
      <c r="D190" s="4" t="s">
        <v>93</v>
      </c>
      <c r="E190" s="14">
        <v>16244.249</v>
      </c>
      <c r="F190" s="14">
        <v>16574.589</v>
      </c>
      <c r="G190" s="15">
        <v>2.0330000000000001E-2</v>
      </c>
      <c r="H190" s="16">
        <f t="shared" si="32"/>
        <v>8.1399999999999979E-3</v>
      </c>
      <c r="I190" s="17" t="b">
        <f>AND(A190&gt;2,H190&lt;=Assumptions!$B$7)</f>
        <v>0</v>
      </c>
      <c r="J190" s="15">
        <v>2.8100970144016024E-3</v>
      </c>
      <c r="K190" s="15">
        <v>6.9832998406208935E-2</v>
      </c>
      <c r="L190" s="15">
        <v>-2.1374773621715137E-3</v>
      </c>
      <c r="M190" s="17" t="b">
        <f>J190&gt;=Assumptions!$B$8</f>
        <v>0</v>
      </c>
      <c r="N190" s="17" t="b">
        <f>AND(K190&lt;&gt;"",K190&lt;=Assumptions!$B$9)</f>
        <v>0</v>
      </c>
      <c r="O190" s="17" t="b">
        <f>AND(P190&lt;&gt;"",ABS(L190)&lt;=Assumptions!$B$10)</f>
        <v>1</v>
      </c>
      <c r="P190" s="13">
        <v>44516</v>
      </c>
      <c r="Q190" s="14">
        <v>16161.289000000001</v>
      </c>
      <c r="R190" s="15">
        <v>2.5569999999999999E-2</v>
      </c>
      <c r="S190" s="17" t="str">
        <f t="shared" si="22"/>
        <v>BASELINE</v>
      </c>
      <c r="T190" s="16">
        <f t="shared" si="23"/>
        <v>2.0330000000000001E-2</v>
      </c>
      <c r="U190" s="16">
        <f>G190*Assumptions!$B$6</f>
        <v>0.22972900000000002</v>
      </c>
      <c r="V190" s="16">
        <f>T190*Assumptions!$B$6</f>
        <v>0.22972900000000002</v>
      </c>
      <c r="W190" s="16">
        <f t="shared" si="24"/>
        <v>0</v>
      </c>
      <c r="X190" s="18">
        <f t="shared" si="28"/>
        <v>16285.932917739308</v>
      </c>
      <c r="Y190" s="18">
        <f t="shared" si="29"/>
        <v>20113.53610204719</v>
      </c>
      <c r="Z190" s="19">
        <f t="shared" si="25"/>
        <v>-0.19029986397659349</v>
      </c>
      <c r="AA190" s="18">
        <f t="shared" si="30"/>
        <v>97696.462382254758</v>
      </c>
      <c r="AB190" s="18">
        <f t="shared" si="31"/>
        <v>105889.24260299321</v>
      </c>
      <c r="AC190" s="19">
        <f t="shared" si="26"/>
        <v>-7.7371223169999892E-2</v>
      </c>
      <c r="AD190" s="20">
        <f t="shared" si="27"/>
        <v>81410.52946451545</v>
      </c>
      <c r="AE190" s="9" t="s">
        <v>91</v>
      </c>
    </row>
    <row r="191" spans="1:31" ht="18" customHeight="1">
      <c r="A191" s="4">
        <v>187</v>
      </c>
      <c r="B191" s="13">
        <v>44522</v>
      </c>
      <c r="C191" s="13">
        <v>44526</v>
      </c>
      <c r="D191" s="4" t="s">
        <v>104</v>
      </c>
      <c r="E191" s="14">
        <v>16638.728999999999</v>
      </c>
      <c r="F191" s="14">
        <v>16249.558999999999</v>
      </c>
      <c r="G191" s="15">
        <v>-2.3380000000000001E-2</v>
      </c>
      <c r="H191" s="16">
        <f t="shared" si="32"/>
        <v>-1.7700000000000007E-3</v>
      </c>
      <c r="I191" s="17" t="b">
        <f>AND(A191&gt;2,H191&lt;=Assumptions!$B$7)</f>
        <v>0</v>
      </c>
      <c r="J191" s="15">
        <v>3.8697792144348764E-3</v>
      </c>
      <c r="K191" s="15">
        <v>7.9937017000489385E-2</v>
      </c>
      <c r="L191" s="15">
        <v>-1.4587842199187517E-2</v>
      </c>
      <c r="M191" s="17" t="b">
        <f>J191&gt;=Assumptions!$B$8</f>
        <v>0</v>
      </c>
      <c r="N191" s="17" t="b">
        <f>AND(K191&lt;&gt;"",K191&lt;=Assumptions!$B$9)</f>
        <v>0</v>
      </c>
      <c r="O191" s="17" t="b">
        <f>AND(P191&lt;&gt;"",ABS(L191)&lt;=Assumptions!$B$10)</f>
        <v>0</v>
      </c>
      <c r="P191" s="13">
        <v>44523</v>
      </c>
      <c r="Q191" s="14">
        <v>16329.777</v>
      </c>
      <c r="R191" s="15">
        <v>-4.9100000000000003E-3</v>
      </c>
      <c r="S191" s="17" t="str">
        <f t="shared" si="22"/>
        <v>BASELINE</v>
      </c>
      <c r="T191" s="16">
        <f t="shared" si="23"/>
        <v>-2.3380000000000001E-2</v>
      </c>
      <c r="U191" s="16">
        <f>G191*Assumptions!$B$6</f>
        <v>-0.26419400000000004</v>
      </c>
      <c r="V191" s="16">
        <f>T191*Assumptions!$B$6</f>
        <v>-0.26419400000000004</v>
      </c>
      <c r="W191" s="16">
        <f t="shared" si="24"/>
        <v>0</v>
      </c>
      <c r="X191" s="18">
        <f t="shared" si="28"/>
        <v>11983.287156470089</v>
      </c>
      <c r="Y191" s="18">
        <f t="shared" si="29"/>
        <v>20113.53610204719</v>
      </c>
      <c r="Z191" s="19">
        <f t="shared" si="25"/>
        <v>-0.40421778171316136</v>
      </c>
      <c r="AA191" s="18">
        <f t="shared" si="30"/>
        <v>71885.643199637343</v>
      </c>
      <c r="AB191" s="18">
        <f t="shared" si="31"/>
        <v>105889.24260299321</v>
      </c>
      <c r="AC191" s="19">
        <f t="shared" si="26"/>
        <v>-0.32112421023582494</v>
      </c>
      <c r="AD191" s="20">
        <f t="shared" si="27"/>
        <v>59902.356043167252</v>
      </c>
      <c r="AE191" s="9" t="s">
        <v>91</v>
      </c>
    </row>
    <row r="192" spans="1:31" ht="18" customHeight="1">
      <c r="A192" s="4">
        <v>188</v>
      </c>
      <c r="B192" s="13">
        <v>44529</v>
      </c>
      <c r="C192" s="13">
        <v>44529</v>
      </c>
      <c r="D192" s="4" t="s">
        <v>90</v>
      </c>
      <c r="E192" s="14">
        <v>16238.409</v>
      </c>
      <c r="F192" s="14">
        <v>16394.769</v>
      </c>
      <c r="G192" s="15">
        <v>9.6200000000000001E-3</v>
      </c>
      <c r="H192" s="16">
        <f t="shared" si="32"/>
        <v>-3.0500000000000006E-3</v>
      </c>
      <c r="I192" s="17" t="b">
        <f>AND(A192&gt;2,H192&lt;=Assumptions!$B$7)</f>
        <v>0</v>
      </c>
      <c r="J192" s="15">
        <v>1.2232759797007553E-2</v>
      </c>
      <c r="K192" s="15">
        <v>1.8160089855581596E-2</v>
      </c>
      <c r="L192" s="15">
        <v>1.9375903507373282E-2</v>
      </c>
      <c r="M192" s="17" t="b">
        <f>J192&gt;=Assumptions!$B$8</f>
        <v>1</v>
      </c>
      <c r="N192" s="17" t="b">
        <f>AND(K192&lt;&gt;"",K192&lt;=Assumptions!$B$9)</f>
        <v>0</v>
      </c>
      <c r="O192" s="17" t="b">
        <f>AND(P192&lt;&gt;"",ABS(L192)&lt;=Assumptions!$B$10)</f>
        <v>0</v>
      </c>
      <c r="P192" s="13">
        <v>44530</v>
      </c>
      <c r="Q192" s="14">
        <v>16356.609</v>
      </c>
      <c r="R192" s="15">
        <v>2.33E-3</v>
      </c>
      <c r="S192" s="17" t="str">
        <f t="shared" si="22"/>
        <v>BASELINE</v>
      </c>
      <c r="T192" s="16">
        <f t="shared" si="23"/>
        <v>9.6200000000000001E-3</v>
      </c>
      <c r="U192" s="16">
        <f>G192*Assumptions!$B$6</f>
        <v>0.10870600000000001</v>
      </c>
      <c r="V192" s="16">
        <f>T192*Assumptions!$B$6</f>
        <v>0.10870600000000001</v>
      </c>
      <c r="W192" s="16">
        <f t="shared" si="24"/>
        <v>0</v>
      </c>
      <c r="X192" s="18">
        <f t="shared" si="28"/>
        <v>13285.942370101326</v>
      </c>
      <c r="Y192" s="18">
        <f t="shared" si="29"/>
        <v>20113.53610204719</v>
      </c>
      <c r="Z192" s="19">
        <f t="shared" si="25"/>
        <v>-0.33945267989207228</v>
      </c>
      <c r="AA192" s="18">
        <f t="shared" si="30"/>
        <v>79700.043929297113</v>
      </c>
      <c r="AB192" s="18">
        <f t="shared" si="31"/>
        <v>105889.24260299321</v>
      </c>
      <c r="AC192" s="19">
        <f t="shared" si="26"/>
        <v>-0.24732633863372067</v>
      </c>
      <c r="AD192" s="20">
        <f t="shared" si="27"/>
        <v>66414.101559195784</v>
      </c>
      <c r="AE192" s="9" t="s">
        <v>91</v>
      </c>
    </row>
    <row r="193" spans="1:31" ht="18" customHeight="1">
      <c r="A193" s="4">
        <v>189</v>
      </c>
      <c r="B193" s="13">
        <v>44536</v>
      </c>
      <c r="C193" s="13">
        <v>44537</v>
      </c>
      <c r="D193" s="4" t="s">
        <v>98</v>
      </c>
      <c r="E193" s="14">
        <v>15731.989</v>
      </c>
      <c r="F193" s="14">
        <v>15846.929</v>
      </c>
      <c r="G193" s="15">
        <v>7.3000000000000001E-3</v>
      </c>
      <c r="H193" s="16">
        <f t="shared" si="32"/>
        <v>-1.3760000000000001E-2</v>
      </c>
      <c r="I193" s="17" t="b">
        <f>AND(A193&gt;2,H193&lt;=Assumptions!$B$7)</f>
        <v>0</v>
      </c>
      <c r="J193" s="15">
        <v>7.8309487108474407E-4</v>
      </c>
      <c r="K193" s="15">
        <v>-3.788411856249907E-2</v>
      </c>
      <c r="L193" s="15">
        <v>2.5851070076819083E-2</v>
      </c>
      <c r="M193" s="17" t="b">
        <f>J193&gt;=Assumptions!$B$8</f>
        <v>0</v>
      </c>
      <c r="N193" s="17" t="b">
        <f>AND(K193&lt;&gt;"",K193&lt;=Assumptions!$B$9)</f>
        <v>1</v>
      </c>
      <c r="O193" s="17" t="b">
        <f>AND(P193&lt;&gt;"",ABS(L193)&lt;=Assumptions!$B$10)</f>
        <v>0</v>
      </c>
      <c r="P193" s="13">
        <v>44537</v>
      </c>
      <c r="Q193" s="14">
        <v>16119.609</v>
      </c>
      <c r="R193" s="15">
        <v>-1.6910000000000001E-2</v>
      </c>
      <c r="S193" s="17" t="str">
        <f t="shared" si="22"/>
        <v>BASELINE</v>
      </c>
      <c r="T193" s="16">
        <f t="shared" si="23"/>
        <v>7.3000000000000001E-3</v>
      </c>
      <c r="U193" s="16">
        <f>G193*Assumptions!$B$6</f>
        <v>8.2490000000000008E-2</v>
      </c>
      <c r="V193" s="16">
        <f>T193*Assumptions!$B$6</f>
        <v>8.2490000000000008E-2</v>
      </c>
      <c r="W193" s="16">
        <f t="shared" si="24"/>
        <v>0</v>
      </c>
      <c r="X193" s="18">
        <f t="shared" si="28"/>
        <v>14381.899756210983</v>
      </c>
      <c r="Y193" s="18">
        <f t="shared" si="29"/>
        <v>20113.53610204719</v>
      </c>
      <c r="Z193" s="19">
        <f t="shared" si="25"/>
        <v>-0.28496413145636934</v>
      </c>
      <c r="AA193" s="18">
        <f t="shared" si="30"/>
        <v>86274.500553024831</v>
      </c>
      <c r="AB193" s="18">
        <f t="shared" si="31"/>
        <v>105889.24260299321</v>
      </c>
      <c r="AC193" s="19">
        <f t="shared" si="26"/>
        <v>-0.18523828830761624</v>
      </c>
      <c r="AD193" s="20">
        <f t="shared" si="27"/>
        <v>71892.600796813844</v>
      </c>
      <c r="AE193" s="9" t="s">
        <v>91</v>
      </c>
    </row>
    <row r="194" spans="1:31" ht="18" customHeight="1">
      <c r="A194" s="4">
        <v>190</v>
      </c>
      <c r="B194" s="13">
        <v>44543</v>
      </c>
      <c r="C194" s="13">
        <v>44545</v>
      </c>
      <c r="D194" s="4" t="s">
        <v>95</v>
      </c>
      <c r="E194" s="14">
        <v>16324.289000000001</v>
      </c>
      <c r="F194" s="14">
        <v>16258.991844</v>
      </c>
      <c r="G194" s="15">
        <v>-4.0000000000000001E-3</v>
      </c>
      <c r="H194" s="16">
        <f t="shared" si="32"/>
        <v>1.6920000000000001E-2</v>
      </c>
      <c r="I194" s="17" t="b">
        <f>AND(A194&gt;2,H194&lt;=Assumptions!$B$7)</f>
        <v>0</v>
      </c>
      <c r="J194" s="15">
        <v>6.5847114671013784E-4</v>
      </c>
      <c r="K194" s="15">
        <v>1.8997847818232438E-2</v>
      </c>
      <c r="L194" s="15">
        <v>-2.6876056670966264E-2</v>
      </c>
      <c r="M194" s="17" t="b">
        <f>J194&gt;=Assumptions!$B$8</f>
        <v>0</v>
      </c>
      <c r="N194" s="17" t="b">
        <f>AND(K194&lt;&gt;"",K194&lt;=Assumptions!$B$9)</f>
        <v>0</v>
      </c>
      <c r="O194" s="17" t="b">
        <f>AND(P194&lt;&gt;"",ABS(L194)&lt;=Assumptions!$B$10)</f>
        <v>0</v>
      </c>
      <c r="P194" s="13">
        <v>44544</v>
      </c>
      <c r="Q194" s="14">
        <v>15880.699000000001</v>
      </c>
      <c r="R194" s="15">
        <v>2.3820000000000001E-2</v>
      </c>
      <c r="S194" s="17" t="str">
        <f t="shared" si="22"/>
        <v>BASELINE</v>
      </c>
      <c r="T194" s="16">
        <f t="shared" si="23"/>
        <v>-4.0000000000000001E-3</v>
      </c>
      <c r="U194" s="16">
        <f>G194*Assumptions!$B$6</f>
        <v>-4.5200000000000004E-2</v>
      </c>
      <c r="V194" s="16">
        <f>T194*Assumptions!$B$6</f>
        <v>-4.5200000000000004E-2</v>
      </c>
      <c r="W194" s="16">
        <f t="shared" si="24"/>
        <v>0</v>
      </c>
      <c r="X194" s="18">
        <f t="shared" si="28"/>
        <v>13731.837887230247</v>
      </c>
      <c r="Y194" s="18">
        <f t="shared" si="29"/>
        <v>20113.53610204719</v>
      </c>
      <c r="Z194" s="19">
        <f t="shared" si="25"/>
        <v>-0.31728375271454146</v>
      </c>
      <c r="AA194" s="18">
        <f t="shared" si="30"/>
        <v>82374.89312802811</v>
      </c>
      <c r="AB194" s="18">
        <f t="shared" si="31"/>
        <v>105889.24260299321</v>
      </c>
      <c r="AC194" s="19">
        <f t="shared" si="26"/>
        <v>-0.22206551767611205</v>
      </c>
      <c r="AD194" s="20">
        <f t="shared" si="27"/>
        <v>68643.055240797868</v>
      </c>
      <c r="AE194" s="9" t="s">
        <v>91</v>
      </c>
    </row>
    <row r="195" spans="1:31" ht="18" customHeight="1">
      <c r="A195" s="4">
        <v>191</v>
      </c>
      <c r="B195" s="13">
        <v>44550</v>
      </c>
      <c r="C195" s="13">
        <v>44551</v>
      </c>
      <c r="D195" s="4" t="s">
        <v>98</v>
      </c>
      <c r="E195" s="14">
        <v>15582.619000000001</v>
      </c>
      <c r="F195" s="14">
        <v>15695.388999999999</v>
      </c>
      <c r="G195" s="15">
        <v>7.2300000000000003E-3</v>
      </c>
      <c r="H195" s="16">
        <f t="shared" si="32"/>
        <v>3.3E-3</v>
      </c>
      <c r="I195" s="17" t="b">
        <f>AND(A195&gt;2,H195&lt;=Assumptions!$B$7)</f>
        <v>0</v>
      </c>
      <c r="J195" s="15">
        <v>-1.32936023857817E-2</v>
      </c>
      <c r="K195" s="15">
        <v>-4.1920999445092089E-2</v>
      </c>
      <c r="L195" s="15">
        <v>-9.6177093379457013E-4</v>
      </c>
      <c r="M195" s="17" t="b">
        <f>J195&gt;=Assumptions!$B$8</f>
        <v>0</v>
      </c>
      <c r="N195" s="17" t="b">
        <f>AND(K195&lt;&gt;"",K195&lt;=Assumptions!$B$9)</f>
        <v>1</v>
      </c>
      <c r="O195" s="17" t="b">
        <f>AND(P195&lt;&gt;"",ABS(L195)&lt;=Assumptions!$B$10)</f>
        <v>1</v>
      </c>
      <c r="P195" s="13">
        <v>44551</v>
      </c>
      <c r="Q195" s="14">
        <v>15766.319</v>
      </c>
      <c r="R195" s="15">
        <v>-4.4900000000000001E-3</v>
      </c>
      <c r="S195" s="17" t="str">
        <f t="shared" si="22"/>
        <v>BASELINE</v>
      </c>
      <c r="T195" s="16">
        <f t="shared" si="23"/>
        <v>7.2300000000000003E-3</v>
      </c>
      <c r="U195" s="16">
        <f>G195*Assumptions!$B$6</f>
        <v>8.1699000000000008E-2</v>
      </c>
      <c r="V195" s="16">
        <f>T195*Assumptions!$B$6</f>
        <v>8.1699000000000008E-2</v>
      </c>
      <c r="W195" s="16">
        <f t="shared" si="24"/>
        <v>0</v>
      </c>
      <c r="X195" s="18">
        <f t="shared" si="28"/>
        <v>14853.715310779071</v>
      </c>
      <c r="Y195" s="18">
        <f t="shared" si="29"/>
        <v>20113.53610204719</v>
      </c>
      <c r="Z195" s="19">
        <f t="shared" si="25"/>
        <v>-0.26150651802756675</v>
      </c>
      <c r="AA195" s="18">
        <f t="shared" si="30"/>
        <v>89104.83952169487</v>
      </c>
      <c r="AB195" s="18">
        <f t="shared" si="31"/>
        <v>105889.24260299321</v>
      </c>
      <c r="AC195" s="19">
        <f t="shared" si="26"/>
        <v>-0.15850904840473279</v>
      </c>
      <c r="AD195" s="20">
        <f t="shared" si="27"/>
        <v>74251.124210915805</v>
      </c>
      <c r="AE195" s="9" t="s">
        <v>91</v>
      </c>
    </row>
    <row r="196" spans="1:31" ht="18" customHeight="1">
      <c r="A196" s="4">
        <v>192</v>
      </c>
      <c r="B196" s="13">
        <v>44557</v>
      </c>
      <c r="C196" s="13">
        <v>44557</v>
      </c>
      <c r="D196" s="4" t="s">
        <v>90</v>
      </c>
      <c r="E196" s="14">
        <v>16351.549000000001</v>
      </c>
      <c r="F196" s="14">
        <v>16567.037</v>
      </c>
      <c r="G196" s="15">
        <v>1.3169999999999999E-2</v>
      </c>
      <c r="H196" s="16">
        <f t="shared" si="32"/>
        <v>3.2300000000000002E-3</v>
      </c>
      <c r="I196" s="17" t="b">
        <f>AND(A196&gt;2,H196&lt;=Assumptions!$B$7)</f>
        <v>0</v>
      </c>
      <c r="J196" s="15">
        <v>2.7492965015583071E-3</v>
      </c>
      <c r="K196" s="15">
        <v>-3.3416339897776037E-3</v>
      </c>
      <c r="L196" s="15">
        <v>1.8863894850061458E-2</v>
      </c>
      <c r="M196" s="17" t="b">
        <f>J196&gt;=Assumptions!$B$8</f>
        <v>0</v>
      </c>
      <c r="N196" s="17" t="b">
        <f>AND(K196&lt;&gt;"",K196&lt;=Assumptions!$B$9)</f>
        <v>0</v>
      </c>
      <c r="O196" s="17" t="b">
        <f>AND(P196&lt;&gt;"",ABS(L196)&lt;=Assumptions!$B$10)</f>
        <v>0</v>
      </c>
      <c r="P196" s="13">
        <v>44558</v>
      </c>
      <c r="Q196" s="14">
        <v>16603.519</v>
      </c>
      <c r="R196" s="15">
        <v>-2.1900000000000001E-3</v>
      </c>
      <c r="S196" s="17" t="str">
        <f t="shared" si="22"/>
        <v>BASELINE</v>
      </c>
      <c r="T196" s="16">
        <f t="shared" si="23"/>
        <v>1.3169999999999999E-2</v>
      </c>
      <c r="U196" s="16">
        <f>G196*Assumptions!$B$6</f>
        <v>0.14882100000000001</v>
      </c>
      <c r="V196" s="16">
        <f>T196*Assumptions!$B$6</f>
        <v>0.14882100000000001</v>
      </c>
      <c r="W196" s="16">
        <f t="shared" si="24"/>
        <v>0</v>
      </c>
      <c r="X196" s="18">
        <f t="shared" si="28"/>
        <v>17064.260077044524</v>
      </c>
      <c r="Y196" s="18">
        <f t="shared" si="29"/>
        <v>20113.53610204719</v>
      </c>
      <c r="Z196" s="19">
        <f t="shared" si="25"/>
        <v>-0.15160317954694724</v>
      </c>
      <c r="AA196" s="18">
        <f t="shared" si="30"/>
        <v>102365.51084415303</v>
      </c>
      <c r="AB196" s="18">
        <f t="shared" si="31"/>
        <v>105889.24260299321</v>
      </c>
      <c r="AC196" s="19">
        <f t="shared" si="26"/>
        <v>-3.327752349737334E-2</v>
      </c>
      <c r="AD196" s="20">
        <f t="shared" si="27"/>
        <v>85301.250767108504</v>
      </c>
      <c r="AE196" s="9" t="s">
        <v>91</v>
      </c>
    </row>
    <row r="197" spans="1:31" ht="18" customHeight="1">
      <c r="A197" s="4">
        <v>193</v>
      </c>
      <c r="B197" s="13">
        <v>44564</v>
      </c>
      <c r="C197" s="13">
        <v>44565</v>
      </c>
      <c r="D197" s="4" t="s">
        <v>98</v>
      </c>
      <c r="E197" s="14">
        <v>16384.109</v>
      </c>
      <c r="F197" s="14">
        <v>16501.569</v>
      </c>
      <c r="G197" s="15">
        <v>7.1599999999999997E-3</v>
      </c>
      <c r="H197" s="16">
        <f t="shared" si="32"/>
        <v>2.0400000000000001E-2</v>
      </c>
      <c r="I197" s="17" t="b">
        <f>AND(A197&gt;2,H197&lt;=Assumptions!$B$7)</f>
        <v>0</v>
      </c>
      <c r="J197" s="15">
        <v>1.8680948899258976E-3</v>
      </c>
      <c r="K197" s="15">
        <v>2.1669512396629287E-2</v>
      </c>
      <c r="L197" s="15">
        <v>1.1049071328635307E-2</v>
      </c>
      <c r="M197" s="17" t="b">
        <f>J197&gt;=Assumptions!$B$8</f>
        <v>0</v>
      </c>
      <c r="N197" s="17" t="b">
        <f>AND(K197&lt;&gt;"",K197&lt;=Assumptions!$B$9)</f>
        <v>0</v>
      </c>
      <c r="O197" s="17" t="b">
        <f>AND(P197&lt;&gt;"",ABS(L197)&lt;=Assumptions!$B$10)</f>
        <v>0</v>
      </c>
      <c r="P197" s="13">
        <v>44565</v>
      </c>
      <c r="Q197" s="14">
        <v>16512.798999999999</v>
      </c>
      <c r="R197" s="15">
        <v>-6.8000000000000005E-4</v>
      </c>
      <c r="S197" s="17" t="str">
        <f t="shared" ref="S197:S260" si="33">IF(I197,"DAMAGE SKIP",IF(AND(M197,N197),IF(O197,"TUESDAY RE-ENTRY","GAP/MOM SKIP"),"BASELINE"))</f>
        <v>BASELINE</v>
      </c>
      <c r="T197" s="16">
        <f t="shared" ref="T197:T260" si="34">IF(I197,0,IF(AND(M197,N197),IF(O197,R197,0),G197))</f>
        <v>7.1599999999999997E-3</v>
      </c>
      <c r="U197" s="16">
        <f>G197*Assumptions!$B$6</f>
        <v>8.0908000000000008E-2</v>
      </c>
      <c r="V197" s="16">
        <f>T197*Assumptions!$B$6</f>
        <v>8.0908000000000008E-2</v>
      </c>
      <c r="W197" s="16">
        <f t="shared" ref="W197:W260" si="35">V197-U197</f>
        <v>0</v>
      </c>
      <c r="X197" s="18">
        <f t="shared" si="28"/>
        <v>18444.895231358041</v>
      </c>
      <c r="Y197" s="18">
        <f t="shared" si="29"/>
        <v>20113.53610204719</v>
      </c>
      <c r="Z197" s="19">
        <f t="shared" ref="Z197:Z260" si="36">X197/Y197-1</f>
        <v>-8.2961089597731741E-2</v>
      </c>
      <c r="AA197" s="18">
        <f t="shared" si="30"/>
        <v>110647.69959553177</v>
      </c>
      <c r="AB197" s="18">
        <f t="shared" si="31"/>
        <v>110647.69959553177</v>
      </c>
      <c r="AC197" s="19">
        <f t="shared" ref="AC197:AC260" si="37">AA197/AB197-1</f>
        <v>0</v>
      </c>
      <c r="AD197" s="20">
        <f t="shared" ref="AD197:AD260" si="38">AA197-X197</f>
        <v>92202.804364173731</v>
      </c>
      <c r="AE197" s="9" t="s">
        <v>91</v>
      </c>
    </row>
    <row r="198" spans="1:31" ht="18" customHeight="1">
      <c r="A198" s="4">
        <v>194</v>
      </c>
      <c r="B198" s="13">
        <v>44571</v>
      </c>
      <c r="C198" s="13">
        <v>44571</v>
      </c>
      <c r="D198" s="4" t="s">
        <v>90</v>
      </c>
      <c r="E198" s="14">
        <v>15388.496999999999</v>
      </c>
      <c r="F198" s="14">
        <v>15612.849</v>
      </c>
      <c r="G198" s="15">
        <v>1.457E-2</v>
      </c>
      <c r="H198" s="16">
        <f t="shared" si="32"/>
        <v>2.0330000000000001E-2</v>
      </c>
      <c r="I198" s="17" t="b">
        <f>AND(A198&gt;2,H198&lt;=Assumptions!$B$7)</f>
        <v>0</v>
      </c>
      <c r="J198" s="15">
        <v>-1.3621683059089396E-2</v>
      </c>
      <c r="K198" s="15">
        <v>-3.3983091567861057E-2</v>
      </c>
      <c r="L198" s="15">
        <v>-1.3497127155306377E-3</v>
      </c>
      <c r="M198" s="17" t="b">
        <f>J198&gt;=Assumptions!$B$8</f>
        <v>0</v>
      </c>
      <c r="N198" s="17" t="b">
        <f>AND(K198&lt;&gt;"",K198&lt;=Assumptions!$B$9)</f>
        <v>1</v>
      </c>
      <c r="O198" s="17" t="b">
        <f>AND(P198&lt;&gt;"",ABS(L198)&lt;=Assumptions!$B$10)</f>
        <v>1</v>
      </c>
      <c r="P198" s="13">
        <v>44572</v>
      </c>
      <c r="Q198" s="14">
        <v>15574.409</v>
      </c>
      <c r="R198" s="15">
        <v>2.4599999999999999E-3</v>
      </c>
      <c r="S198" s="17" t="str">
        <f t="shared" si="33"/>
        <v>BASELINE</v>
      </c>
      <c r="T198" s="16">
        <f t="shared" si="34"/>
        <v>1.457E-2</v>
      </c>
      <c r="U198" s="16">
        <f>G198*Assumptions!$B$6</f>
        <v>0.16464100000000001</v>
      </c>
      <c r="V198" s="16">
        <f>T198*Assumptions!$B$6</f>
        <v>0.16464100000000001</v>
      </c>
      <c r="W198" s="16">
        <f t="shared" si="35"/>
        <v>0</v>
      </c>
      <c r="X198" s="18">
        <f t="shared" ref="X198:X261" si="39">X197*(1+U198)</f>
        <v>21481.681227144061</v>
      </c>
      <c r="Y198" s="18">
        <f t="shared" ref="Y198:Y261" si="40">MAX(Y197,X198)</f>
        <v>21481.681227144061</v>
      </c>
      <c r="Z198" s="19">
        <f t="shared" si="36"/>
        <v>0</v>
      </c>
      <c r="AA198" s="18">
        <f t="shared" ref="AA198:AA261" si="41">AA197*(1+V198)</f>
        <v>128864.84750463972</v>
      </c>
      <c r="AB198" s="18">
        <f t="shared" ref="AB198:AB261" si="42">MAX(AB197,AA198)</f>
        <v>128864.84750463972</v>
      </c>
      <c r="AC198" s="19">
        <f t="shared" si="37"/>
        <v>0</v>
      </c>
      <c r="AD198" s="20">
        <f t="shared" si="38"/>
        <v>107383.16627749566</v>
      </c>
      <c r="AE198" s="9" t="s">
        <v>91</v>
      </c>
    </row>
    <row r="199" spans="1:31" ht="18" customHeight="1">
      <c r="A199" s="4">
        <v>195</v>
      </c>
      <c r="B199" s="13">
        <v>44579</v>
      </c>
      <c r="C199" s="13">
        <v>44581</v>
      </c>
      <c r="D199" s="4" t="s">
        <v>92</v>
      </c>
      <c r="E199" s="14">
        <v>15355.849</v>
      </c>
      <c r="F199" s="14">
        <v>15051.898999999999</v>
      </c>
      <c r="G199" s="15">
        <v>-1.9789999999999999E-2</v>
      </c>
      <c r="H199" s="16">
        <f t="shared" ref="H199:H262" si="43">SUM(T197:T198)</f>
        <v>2.1729999999999999E-2</v>
      </c>
      <c r="I199" s="17" t="b">
        <f>AND(A199&gt;2,H199&lt;=Assumptions!$B$7)</f>
        <v>0</v>
      </c>
      <c r="J199" s="15">
        <v>-1.5850626241374455E-2</v>
      </c>
      <c r="K199" s="15">
        <v>-1.6403106677029267E-2</v>
      </c>
      <c r="L199" s="15"/>
      <c r="M199" s="17" t="b">
        <f>J199&gt;=Assumptions!$B$8</f>
        <v>0</v>
      </c>
      <c r="N199" s="17" t="b">
        <f>AND(K199&lt;&gt;"",K199&lt;=Assumptions!$B$9)</f>
        <v>1</v>
      </c>
      <c r="O199" s="17" t="b">
        <f>AND(P199&lt;&gt;"",ABS(L199)&lt;=Assumptions!$B$10)</f>
        <v>0</v>
      </c>
      <c r="P199" s="13"/>
      <c r="Q199" s="14"/>
      <c r="R199" s="15"/>
      <c r="S199" s="17" t="str">
        <f t="shared" si="33"/>
        <v>BASELINE</v>
      </c>
      <c r="T199" s="16">
        <f t="shared" si="34"/>
        <v>-1.9789999999999999E-2</v>
      </c>
      <c r="U199" s="16">
        <f>G199*Assumptions!$B$6</f>
        <v>-0.22362699999999999</v>
      </c>
      <c r="V199" s="16">
        <f>T199*Assumptions!$B$6</f>
        <v>-0.22362699999999999</v>
      </c>
      <c r="W199" s="16">
        <f t="shared" si="35"/>
        <v>0</v>
      </c>
      <c r="X199" s="18">
        <f t="shared" si="39"/>
        <v>16677.797299361515</v>
      </c>
      <c r="Y199" s="18">
        <f t="shared" si="40"/>
        <v>21481.681227144061</v>
      </c>
      <c r="Z199" s="19">
        <f t="shared" si="36"/>
        <v>-0.22362700000000002</v>
      </c>
      <c r="AA199" s="18">
        <f t="shared" si="41"/>
        <v>100047.18825171965</v>
      </c>
      <c r="AB199" s="18">
        <f t="shared" si="42"/>
        <v>128864.84750463972</v>
      </c>
      <c r="AC199" s="19">
        <f t="shared" si="37"/>
        <v>-0.22362700000000002</v>
      </c>
      <c r="AD199" s="20">
        <f t="shared" si="38"/>
        <v>83369.390952358139</v>
      </c>
      <c r="AE199" s="9" t="s">
        <v>91</v>
      </c>
    </row>
    <row r="200" spans="1:31" ht="18" customHeight="1">
      <c r="A200" s="4">
        <v>196</v>
      </c>
      <c r="B200" s="13">
        <v>44585</v>
      </c>
      <c r="C200" s="13">
        <v>44585</v>
      </c>
      <c r="D200" s="4" t="s">
        <v>90</v>
      </c>
      <c r="E200" s="14">
        <v>14198.808999999999</v>
      </c>
      <c r="F200" s="14">
        <v>14508.349</v>
      </c>
      <c r="G200" s="15">
        <v>2.18E-2</v>
      </c>
      <c r="H200" s="16">
        <f t="shared" si="43"/>
        <v>-5.2199999999999989E-3</v>
      </c>
      <c r="I200" s="17" t="b">
        <f>AND(A200&gt;2,H200&lt;=Assumptions!$B$7)</f>
        <v>0</v>
      </c>
      <c r="J200" s="15">
        <v>-1.6677032821987958E-2</v>
      </c>
      <c r="K200" s="15">
        <v>-0.10726896573179645</v>
      </c>
      <c r="L200" s="15">
        <v>-1.4267626166704406E-2</v>
      </c>
      <c r="M200" s="17" t="b">
        <f>J200&gt;=Assumptions!$B$8</f>
        <v>0</v>
      </c>
      <c r="N200" s="17" t="b">
        <f>AND(K200&lt;&gt;"",K200&lt;=Assumptions!$B$9)</f>
        <v>1</v>
      </c>
      <c r="O200" s="17" t="b">
        <f>AND(P200&lt;&gt;"",ABS(L200)&lt;=Assumptions!$B$10)</f>
        <v>0</v>
      </c>
      <c r="P200" s="13">
        <v>44586</v>
      </c>
      <c r="Q200" s="14">
        <v>14230.888999999999</v>
      </c>
      <c r="R200" s="15">
        <v>1.949E-2</v>
      </c>
      <c r="S200" s="17" t="str">
        <f t="shared" si="33"/>
        <v>BASELINE</v>
      </c>
      <c r="T200" s="16">
        <f t="shared" si="34"/>
        <v>2.18E-2</v>
      </c>
      <c r="U200" s="16">
        <f>G200*Assumptions!$B$6</f>
        <v>0.24634</v>
      </c>
      <c r="V200" s="16">
        <f>T200*Assumptions!$B$6</f>
        <v>0.24634</v>
      </c>
      <c r="W200" s="16">
        <f t="shared" si="35"/>
        <v>0</v>
      </c>
      <c r="X200" s="18">
        <f t="shared" si="39"/>
        <v>20786.205886086231</v>
      </c>
      <c r="Y200" s="18">
        <f t="shared" si="40"/>
        <v>21481.681227144061</v>
      </c>
      <c r="Z200" s="19">
        <f t="shared" si="36"/>
        <v>-3.2375275180000052E-2</v>
      </c>
      <c r="AA200" s="18">
        <f t="shared" si="41"/>
        <v>124692.81260564827</v>
      </c>
      <c r="AB200" s="18">
        <f t="shared" si="42"/>
        <v>128864.84750463972</v>
      </c>
      <c r="AC200" s="19">
        <f t="shared" si="37"/>
        <v>-3.2375275180000052E-2</v>
      </c>
      <c r="AD200" s="20">
        <f t="shared" si="38"/>
        <v>103906.60671956204</v>
      </c>
      <c r="AE200" s="9" t="s">
        <v>91</v>
      </c>
    </row>
    <row r="201" spans="1:31" ht="18" customHeight="1">
      <c r="A201" s="4">
        <v>197</v>
      </c>
      <c r="B201" s="13">
        <v>44592</v>
      </c>
      <c r="C201" s="13">
        <v>44592</v>
      </c>
      <c r="D201" s="4" t="s">
        <v>90</v>
      </c>
      <c r="E201" s="14">
        <v>14499.369000000001</v>
      </c>
      <c r="F201" s="14">
        <v>14898.039000000001</v>
      </c>
      <c r="G201" s="15">
        <v>2.7490000000000001E-2</v>
      </c>
      <c r="H201" s="16">
        <f t="shared" si="43"/>
        <v>2.0100000000000014E-3</v>
      </c>
      <c r="I201" s="17" t="b">
        <f>AND(A201&gt;2,H201&lt;=Assumptions!$B$7)</f>
        <v>0</v>
      </c>
      <c r="J201" s="15">
        <v>5.1507552580858373E-3</v>
      </c>
      <c r="K201" s="15">
        <v>-0.12126901843934002</v>
      </c>
      <c r="L201" s="15">
        <v>3.5888890179183175E-2</v>
      </c>
      <c r="M201" s="17" t="b">
        <f>J201&gt;=Assumptions!$B$8</f>
        <v>0</v>
      </c>
      <c r="N201" s="17" t="b">
        <f>AND(K201&lt;&gt;"",K201&lt;=Assumptions!$B$9)</f>
        <v>1</v>
      </c>
      <c r="O201" s="17" t="b">
        <f>AND(P201&lt;&gt;"",ABS(L201)&lt;=Assumptions!$B$10)</f>
        <v>0</v>
      </c>
      <c r="P201" s="13">
        <v>44593</v>
      </c>
      <c r="Q201" s="14">
        <v>14960.058999999999</v>
      </c>
      <c r="R201" s="15">
        <v>-4.1399999999999996E-3</v>
      </c>
      <c r="S201" s="17" t="str">
        <f t="shared" si="33"/>
        <v>BASELINE</v>
      </c>
      <c r="T201" s="16">
        <f t="shared" si="34"/>
        <v>2.7490000000000001E-2</v>
      </c>
      <c r="U201" s="16">
        <f>G201*Assumptions!$B$6</f>
        <v>0.31063700000000005</v>
      </c>
      <c r="V201" s="16">
        <f>T201*Assumptions!$B$6</f>
        <v>0.31063700000000005</v>
      </c>
      <c r="W201" s="16">
        <f t="shared" si="35"/>
        <v>0</v>
      </c>
      <c r="X201" s="18">
        <f t="shared" si="39"/>
        <v>27243.170523922399</v>
      </c>
      <c r="Y201" s="18">
        <f t="shared" si="40"/>
        <v>27243.170523922399</v>
      </c>
      <c r="Z201" s="19">
        <f t="shared" si="36"/>
        <v>0</v>
      </c>
      <c r="AA201" s="18">
        <f t="shared" si="41"/>
        <v>163427.01383502904</v>
      </c>
      <c r="AB201" s="18">
        <f t="shared" si="42"/>
        <v>163427.01383502904</v>
      </c>
      <c r="AC201" s="19">
        <f t="shared" si="37"/>
        <v>0</v>
      </c>
      <c r="AD201" s="20">
        <f t="shared" si="38"/>
        <v>136183.84331110664</v>
      </c>
      <c r="AE201" s="9" t="s">
        <v>91</v>
      </c>
    </row>
    <row r="202" spans="1:31" ht="18" customHeight="1">
      <c r="A202" s="4">
        <v>198</v>
      </c>
      <c r="B202" s="13">
        <v>44599</v>
      </c>
      <c r="C202" s="13">
        <v>44602</v>
      </c>
      <c r="D202" s="4" t="s">
        <v>96</v>
      </c>
      <c r="E202" s="14">
        <v>14721.388999999999</v>
      </c>
      <c r="F202" s="14">
        <v>14662.503444</v>
      </c>
      <c r="G202" s="15">
        <v>-4.0000000000000001E-3</v>
      </c>
      <c r="H202" s="16">
        <f t="shared" si="43"/>
        <v>4.929E-2</v>
      </c>
      <c r="I202" s="17" t="b">
        <f>AND(A202&gt;2,H202&lt;=Assumptions!$B$7)</f>
        <v>0</v>
      </c>
      <c r="J202" s="15">
        <v>1.3284034352389895E-3</v>
      </c>
      <c r="K202" s="15">
        <v>-6.7737062431183159E-2</v>
      </c>
      <c r="L202" s="15">
        <v>-1.1294357956117773E-2</v>
      </c>
      <c r="M202" s="17" t="b">
        <f>J202&gt;=Assumptions!$B$8</f>
        <v>0</v>
      </c>
      <c r="N202" s="17" t="b">
        <f>AND(K202&lt;&gt;"",K202&lt;=Assumptions!$B$9)</f>
        <v>1</v>
      </c>
      <c r="O202" s="17" t="b">
        <f>AND(P202&lt;&gt;"",ABS(L202)&lt;=Assumptions!$B$10)</f>
        <v>0</v>
      </c>
      <c r="P202" s="13">
        <v>44600</v>
      </c>
      <c r="Q202" s="14">
        <v>14527.519</v>
      </c>
      <c r="R202" s="15">
        <v>9.2899999999999996E-3</v>
      </c>
      <c r="S202" s="17" t="str">
        <f t="shared" si="33"/>
        <v>BASELINE</v>
      </c>
      <c r="T202" s="16">
        <f t="shared" si="34"/>
        <v>-4.0000000000000001E-3</v>
      </c>
      <c r="U202" s="16">
        <f>G202*Assumptions!$B$6</f>
        <v>-4.5200000000000004E-2</v>
      </c>
      <c r="V202" s="16">
        <f>T202*Assumptions!$B$6</f>
        <v>-4.5200000000000004E-2</v>
      </c>
      <c r="W202" s="16">
        <f t="shared" si="35"/>
        <v>0</v>
      </c>
      <c r="X202" s="18">
        <f t="shared" si="39"/>
        <v>26011.779216241106</v>
      </c>
      <c r="Y202" s="18">
        <f t="shared" si="40"/>
        <v>27243.170523922399</v>
      </c>
      <c r="Z202" s="19">
        <f t="shared" si="36"/>
        <v>-4.5200000000000018E-2</v>
      </c>
      <c r="AA202" s="18">
        <f t="shared" si="41"/>
        <v>156040.11280968573</v>
      </c>
      <c r="AB202" s="18">
        <f t="shared" si="42"/>
        <v>163427.01383502904</v>
      </c>
      <c r="AC202" s="19">
        <f t="shared" si="37"/>
        <v>-4.5200000000000018E-2</v>
      </c>
      <c r="AD202" s="20">
        <f t="shared" si="38"/>
        <v>130028.33359344462</v>
      </c>
      <c r="AE202" s="9" t="s">
        <v>91</v>
      </c>
    </row>
    <row r="203" spans="1:31" ht="18" customHeight="1">
      <c r="A203" s="4">
        <v>199</v>
      </c>
      <c r="B203" s="13">
        <v>44606</v>
      </c>
      <c r="C203" s="13">
        <v>44607</v>
      </c>
      <c r="D203" s="4" t="s">
        <v>98</v>
      </c>
      <c r="E203" s="14">
        <v>14217.117</v>
      </c>
      <c r="F203" s="14">
        <v>14449.289000000001</v>
      </c>
      <c r="G203" s="15">
        <v>1.6330000000000001E-2</v>
      </c>
      <c r="H203" s="16">
        <f t="shared" si="43"/>
        <v>2.349E-2</v>
      </c>
      <c r="I203" s="17" t="b">
        <f>AND(A203&gt;2,H203&lt;=Assumptions!$B$7)</f>
        <v>0</v>
      </c>
      <c r="J203" s="15">
        <v>-1.9054694245590476E-3</v>
      </c>
      <c r="K203" s="15">
        <v>-8.1017272759233427E-2</v>
      </c>
      <c r="L203" s="15">
        <v>1.6847402262996081E-2</v>
      </c>
      <c r="M203" s="17" t="b">
        <f>J203&gt;=Assumptions!$B$8</f>
        <v>0</v>
      </c>
      <c r="N203" s="17" t="b">
        <f>AND(K203&lt;&gt;"",K203&lt;=Assumptions!$B$9)</f>
        <v>1</v>
      </c>
      <c r="O203" s="17" t="b">
        <f>AND(P203&lt;&gt;"",ABS(L203)&lt;=Assumptions!$B$10)</f>
        <v>0</v>
      </c>
      <c r="P203" s="13">
        <v>44607</v>
      </c>
      <c r="Q203" s="14">
        <v>14480.517</v>
      </c>
      <c r="R203" s="15">
        <v>-2.15E-3</v>
      </c>
      <c r="S203" s="17" t="str">
        <f t="shared" si="33"/>
        <v>BASELINE</v>
      </c>
      <c r="T203" s="16">
        <f t="shared" si="34"/>
        <v>1.6330000000000001E-2</v>
      </c>
      <c r="U203" s="16">
        <f>G203*Assumptions!$B$6</f>
        <v>0.18452900000000003</v>
      </c>
      <c r="V203" s="16">
        <f>T203*Assumptions!$B$6</f>
        <v>0.18452900000000003</v>
      </c>
      <c r="W203" s="16">
        <f t="shared" si="35"/>
        <v>0</v>
      </c>
      <c r="X203" s="18">
        <f t="shared" si="39"/>
        <v>30811.706823234861</v>
      </c>
      <c r="Y203" s="18">
        <f t="shared" si="40"/>
        <v>30811.706823234861</v>
      </c>
      <c r="Z203" s="19">
        <f t="shared" si="36"/>
        <v>0</v>
      </c>
      <c r="AA203" s="18">
        <f t="shared" si="41"/>
        <v>184834.03878634423</v>
      </c>
      <c r="AB203" s="18">
        <f t="shared" si="42"/>
        <v>184834.03878634423</v>
      </c>
      <c r="AC203" s="19">
        <f t="shared" si="37"/>
        <v>0</v>
      </c>
      <c r="AD203" s="20">
        <f t="shared" si="38"/>
        <v>154022.33196310938</v>
      </c>
      <c r="AE203" s="9" t="s">
        <v>91</v>
      </c>
    </row>
    <row r="204" spans="1:31" ht="18" customHeight="1">
      <c r="A204" s="4">
        <v>200</v>
      </c>
      <c r="B204" s="13">
        <v>44614</v>
      </c>
      <c r="C204" s="13">
        <v>44616</v>
      </c>
      <c r="D204" s="4" t="s">
        <v>92</v>
      </c>
      <c r="E204" s="14">
        <v>13890.319</v>
      </c>
      <c r="F204" s="14">
        <v>13490.029</v>
      </c>
      <c r="G204" s="15">
        <v>-2.8809999999999999E-2</v>
      </c>
      <c r="H204" s="16">
        <f t="shared" si="43"/>
        <v>1.2330000000000001E-2</v>
      </c>
      <c r="I204" s="17" t="b">
        <f>AND(A204&gt;2,H204&lt;=Assumptions!$B$7)</f>
        <v>0</v>
      </c>
      <c r="J204" s="15">
        <v>-8.995884751936134E-3</v>
      </c>
      <c r="K204" s="15">
        <v>-2.8956340425037586E-2</v>
      </c>
      <c r="L204" s="15"/>
      <c r="M204" s="17" t="b">
        <f>J204&gt;=Assumptions!$B$8</f>
        <v>0</v>
      </c>
      <c r="N204" s="17" t="b">
        <f>AND(K204&lt;&gt;"",K204&lt;=Assumptions!$B$9)</f>
        <v>1</v>
      </c>
      <c r="O204" s="17" t="b">
        <f>AND(P204&lt;&gt;"",ABS(L204)&lt;=Assumptions!$B$10)</f>
        <v>0</v>
      </c>
      <c r="P204" s="13"/>
      <c r="Q204" s="14"/>
      <c r="R204" s="15"/>
      <c r="S204" s="17" t="str">
        <f t="shared" si="33"/>
        <v>BASELINE</v>
      </c>
      <c r="T204" s="16">
        <f t="shared" si="34"/>
        <v>-2.8809999999999999E-2</v>
      </c>
      <c r="U204" s="16">
        <f>G204*Assumptions!$B$6</f>
        <v>-0.32555299999999998</v>
      </c>
      <c r="V204" s="16">
        <f>T204*Assumptions!$B$6</f>
        <v>-0.32555299999999998</v>
      </c>
      <c r="W204" s="16">
        <f t="shared" si="35"/>
        <v>0</v>
      </c>
      <c r="X204" s="18">
        <f t="shared" si="39"/>
        <v>20780.863231810283</v>
      </c>
      <c r="Y204" s="18">
        <f t="shared" si="40"/>
        <v>30811.706823234861</v>
      </c>
      <c r="Z204" s="19">
        <f t="shared" si="36"/>
        <v>-0.32555299999999998</v>
      </c>
      <c r="AA204" s="18">
        <f t="shared" si="41"/>
        <v>124660.76295733351</v>
      </c>
      <c r="AB204" s="18">
        <f t="shared" si="42"/>
        <v>184834.03878634423</v>
      </c>
      <c r="AC204" s="19">
        <f t="shared" si="37"/>
        <v>-0.32555299999999998</v>
      </c>
      <c r="AD204" s="20">
        <f t="shared" si="38"/>
        <v>103879.89972552322</v>
      </c>
      <c r="AE204" s="9" t="s">
        <v>91</v>
      </c>
    </row>
    <row r="205" spans="1:31" ht="18" customHeight="1">
      <c r="A205" s="4">
        <v>201</v>
      </c>
      <c r="B205" s="13">
        <v>44620</v>
      </c>
      <c r="C205" s="13">
        <v>44620</v>
      </c>
      <c r="D205" s="4" t="s">
        <v>90</v>
      </c>
      <c r="E205" s="14">
        <v>14049.549000000001</v>
      </c>
      <c r="F205" s="14">
        <v>14229.089</v>
      </c>
      <c r="G205" s="15">
        <v>1.277E-2</v>
      </c>
      <c r="H205" s="16">
        <f t="shared" si="43"/>
        <v>-1.2479999999999998E-2</v>
      </c>
      <c r="I205" s="17" t="b">
        <f>AND(A205&gt;2,H205&lt;=Assumptions!$B$7)</f>
        <v>0</v>
      </c>
      <c r="J205" s="15">
        <v>-1.0654292570817403E-2</v>
      </c>
      <c r="K205" s="15">
        <v>1.3710771294513702E-2</v>
      </c>
      <c r="L205" s="15">
        <v>-5.3167922020480596E-5</v>
      </c>
      <c r="M205" s="17" t="b">
        <f>J205&gt;=Assumptions!$B$8</f>
        <v>0</v>
      </c>
      <c r="N205" s="17" t="b">
        <f>AND(K205&lt;&gt;"",K205&lt;=Assumptions!$B$9)</f>
        <v>0</v>
      </c>
      <c r="O205" s="17" t="b">
        <f>AND(P205&lt;&gt;"",ABS(L205)&lt;=Assumptions!$B$10)</f>
        <v>1</v>
      </c>
      <c r="P205" s="13">
        <v>44621</v>
      </c>
      <c r="Q205" s="14">
        <v>14181.169</v>
      </c>
      <c r="R205" s="15">
        <v>3.3700000000000002E-3</v>
      </c>
      <c r="S205" s="17" t="str">
        <f t="shared" si="33"/>
        <v>BASELINE</v>
      </c>
      <c r="T205" s="16">
        <f t="shared" si="34"/>
        <v>1.277E-2</v>
      </c>
      <c r="U205" s="16">
        <f>G205*Assumptions!$B$6</f>
        <v>0.14430100000000001</v>
      </c>
      <c r="V205" s="16">
        <f>T205*Assumptions!$B$6</f>
        <v>0.14430100000000001</v>
      </c>
      <c r="W205" s="16">
        <f t="shared" si="35"/>
        <v>0</v>
      </c>
      <c r="X205" s="18">
        <f t="shared" si="39"/>
        <v>23779.562577023738</v>
      </c>
      <c r="Y205" s="18">
        <f t="shared" si="40"/>
        <v>30811.706823234861</v>
      </c>
      <c r="Z205" s="19">
        <f t="shared" si="36"/>
        <v>-0.22822962345300002</v>
      </c>
      <c r="AA205" s="18">
        <f t="shared" si="41"/>
        <v>142649.43571283971</v>
      </c>
      <c r="AB205" s="18">
        <f t="shared" si="42"/>
        <v>184834.03878634423</v>
      </c>
      <c r="AC205" s="19">
        <f t="shared" si="37"/>
        <v>-0.22822962345299991</v>
      </c>
      <c r="AD205" s="20">
        <f t="shared" si="38"/>
        <v>118869.87313581597</v>
      </c>
      <c r="AE205" s="9" t="s">
        <v>91</v>
      </c>
    </row>
    <row r="206" spans="1:31" ht="18" customHeight="1">
      <c r="A206" s="4">
        <v>202</v>
      </c>
      <c r="B206" s="13">
        <v>44627</v>
      </c>
      <c r="C206" s="13">
        <v>44629</v>
      </c>
      <c r="D206" s="4" t="s">
        <v>95</v>
      </c>
      <c r="E206" s="14">
        <v>13832.308999999999</v>
      </c>
      <c r="F206" s="14">
        <v>13776.979764</v>
      </c>
      <c r="G206" s="15">
        <v>-4.0000000000000001E-3</v>
      </c>
      <c r="H206" s="16">
        <f t="shared" si="43"/>
        <v>-1.6039999999999999E-2</v>
      </c>
      <c r="I206" s="17" t="b">
        <f>AND(A206&gt;2,H206&lt;=Assumptions!$B$7)</f>
        <v>0</v>
      </c>
      <c r="J206" s="15">
        <v>3.695614708372208E-4</v>
      </c>
      <c r="K206" s="15">
        <v>-4.5960342954865951E-2</v>
      </c>
      <c r="L206" s="15">
        <v>-3.9302605841493476E-2</v>
      </c>
      <c r="M206" s="17" t="b">
        <f>J206&gt;=Assumptions!$B$8</f>
        <v>0</v>
      </c>
      <c r="N206" s="17" t="b">
        <f>AND(K206&lt;&gt;"",K206&lt;=Assumptions!$B$9)</f>
        <v>1</v>
      </c>
      <c r="O206" s="17" t="b">
        <f>AND(P206&lt;&gt;"",ABS(L206)&lt;=Assumptions!$B$10)</f>
        <v>0</v>
      </c>
      <c r="P206" s="13">
        <v>44628</v>
      </c>
      <c r="Q206" s="14">
        <v>13286.279</v>
      </c>
      <c r="R206" s="15">
        <v>3.6929999999999998E-2</v>
      </c>
      <c r="S206" s="17" t="str">
        <f t="shared" si="33"/>
        <v>BASELINE</v>
      </c>
      <c r="T206" s="16">
        <f t="shared" si="34"/>
        <v>-4.0000000000000001E-3</v>
      </c>
      <c r="U206" s="16">
        <f>G206*Assumptions!$B$6</f>
        <v>-4.5200000000000004E-2</v>
      </c>
      <c r="V206" s="16">
        <f>T206*Assumptions!$B$6</f>
        <v>-4.5200000000000004E-2</v>
      </c>
      <c r="W206" s="16">
        <f t="shared" si="35"/>
        <v>0</v>
      </c>
      <c r="X206" s="18">
        <f t="shared" si="39"/>
        <v>22704.726348542266</v>
      </c>
      <c r="Y206" s="18">
        <f t="shared" si="40"/>
        <v>30811.706823234861</v>
      </c>
      <c r="Z206" s="19">
        <f t="shared" si="36"/>
        <v>-0.2631136444729244</v>
      </c>
      <c r="AA206" s="18">
        <f t="shared" si="41"/>
        <v>136201.68121861934</v>
      </c>
      <c r="AB206" s="18">
        <f t="shared" si="42"/>
        <v>184834.03878634423</v>
      </c>
      <c r="AC206" s="19">
        <f t="shared" si="37"/>
        <v>-0.2631136444729244</v>
      </c>
      <c r="AD206" s="20">
        <f t="shared" si="38"/>
        <v>113496.95487007708</v>
      </c>
      <c r="AE206" s="9" t="s">
        <v>91</v>
      </c>
    </row>
    <row r="207" spans="1:31" ht="18" customHeight="1">
      <c r="A207" s="4">
        <v>203</v>
      </c>
      <c r="B207" s="13">
        <v>44634</v>
      </c>
      <c r="C207" s="13">
        <v>44636</v>
      </c>
      <c r="D207" s="4" t="s">
        <v>90</v>
      </c>
      <c r="E207" s="14">
        <v>13248.209000000001</v>
      </c>
      <c r="F207" s="14">
        <v>13948.439</v>
      </c>
      <c r="G207" s="15">
        <v>5.2850000000000001E-2</v>
      </c>
      <c r="H207" s="16">
        <f t="shared" si="43"/>
        <v>8.77E-3</v>
      </c>
      <c r="I207" s="17" t="b">
        <f>AND(A207&gt;2,H207&lt;=Assumptions!$B$7)</f>
        <v>0</v>
      </c>
      <c r="J207" s="15">
        <v>-4.9107719939378569E-3</v>
      </c>
      <c r="K207" s="15">
        <v>-9.4947313231246278E-2</v>
      </c>
      <c r="L207" s="15">
        <v>-1.0833666539680875E-2</v>
      </c>
      <c r="M207" s="17" t="b">
        <f>J207&gt;=Assumptions!$B$8</f>
        <v>0</v>
      </c>
      <c r="N207" s="17" t="b">
        <f>AND(K207&lt;&gt;"",K207&lt;=Assumptions!$B$9)</f>
        <v>1</v>
      </c>
      <c r="O207" s="17" t="b">
        <f>AND(P207&lt;&gt;"",ABS(L207)&lt;=Assumptions!$B$10)</f>
        <v>0</v>
      </c>
      <c r="P207" s="13">
        <v>44635</v>
      </c>
      <c r="Q207" s="14">
        <v>13157.707</v>
      </c>
      <c r="R207" s="15">
        <v>6.0089999999999998E-2</v>
      </c>
      <c r="S207" s="17" t="str">
        <f t="shared" si="33"/>
        <v>BASELINE</v>
      </c>
      <c r="T207" s="16">
        <f t="shared" si="34"/>
        <v>5.2850000000000001E-2</v>
      </c>
      <c r="U207" s="16">
        <f>G207*Assumptions!$B$6</f>
        <v>0.5972050000000001</v>
      </c>
      <c r="V207" s="16">
        <f>T207*Assumptions!$B$6</f>
        <v>0.5972050000000001</v>
      </c>
      <c r="W207" s="16">
        <f t="shared" si="35"/>
        <v>0</v>
      </c>
      <c r="X207" s="18">
        <f t="shared" si="39"/>
        <v>36264.102447523452</v>
      </c>
      <c r="Y207" s="18">
        <f t="shared" si="40"/>
        <v>36264.102447523452</v>
      </c>
      <c r="Z207" s="19">
        <f t="shared" si="36"/>
        <v>0</v>
      </c>
      <c r="AA207" s="18">
        <f t="shared" si="41"/>
        <v>217542.00625078494</v>
      </c>
      <c r="AB207" s="18">
        <f t="shared" si="42"/>
        <v>217542.00625078494</v>
      </c>
      <c r="AC207" s="19">
        <f t="shared" si="37"/>
        <v>0</v>
      </c>
      <c r="AD207" s="20">
        <f t="shared" si="38"/>
        <v>181277.90380326149</v>
      </c>
      <c r="AE207" s="9" t="s">
        <v>91</v>
      </c>
    </row>
    <row r="208" spans="1:31" ht="18" customHeight="1">
      <c r="A208" s="4">
        <v>204</v>
      </c>
      <c r="B208" s="13">
        <v>44641</v>
      </c>
      <c r="C208" s="13">
        <v>44645</v>
      </c>
      <c r="D208" s="4" t="s">
        <v>93</v>
      </c>
      <c r="E208" s="14">
        <v>14377.499</v>
      </c>
      <c r="F208" s="14">
        <v>14752.169</v>
      </c>
      <c r="G208" s="15">
        <v>2.605E-2</v>
      </c>
      <c r="H208" s="16">
        <f t="shared" si="43"/>
        <v>4.8850000000000005E-2</v>
      </c>
      <c r="I208" s="17" t="b">
        <f>AND(A208&gt;2,H208&lt;=Assumptions!$B$7)</f>
        <v>0</v>
      </c>
      <c r="J208" s="15">
        <v>-3.0301229502655014E-3</v>
      </c>
      <c r="K208" s="15">
        <v>1.7475963528423843E-2</v>
      </c>
      <c r="L208" s="15">
        <v>-1.3395438577119556E-3</v>
      </c>
      <c r="M208" s="17" t="b">
        <f>J208&gt;=Assumptions!$B$8</f>
        <v>0</v>
      </c>
      <c r="N208" s="17" t="b">
        <f>AND(K208&lt;&gt;"",K208&lt;=Assumptions!$B$9)</f>
        <v>0</v>
      </c>
      <c r="O208" s="17" t="b">
        <f>AND(P208&lt;&gt;"",ABS(L208)&lt;=Assumptions!$B$10)</f>
        <v>1</v>
      </c>
      <c r="P208" s="13">
        <v>44642</v>
      </c>
      <c r="Q208" s="14">
        <v>14392.717000000001</v>
      </c>
      <c r="R208" s="15">
        <v>2.4969999999999999E-2</v>
      </c>
      <c r="S208" s="17" t="str">
        <f t="shared" si="33"/>
        <v>BASELINE</v>
      </c>
      <c r="T208" s="16">
        <f t="shared" si="34"/>
        <v>2.605E-2</v>
      </c>
      <c r="U208" s="16">
        <f>G208*Assumptions!$B$6</f>
        <v>0.29436500000000004</v>
      </c>
      <c r="V208" s="16">
        <f>T208*Assumptions!$B$6</f>
        <v>0.29436500000000004</v>
      </c>
      <c r="W208" s="16">
        <f t="shared" si="35"/>
        <v>0</v>
      </c>
      <c r="X208" s="18">
        <f t="shared" si="39"/>
        <v>46938.984964488693</v>
      </c>
      <c r="Y208" s="18">
        <f t="shared" si="40"/>
        <v>46938.984964488693</v>
      </c>
      <c r="Z208" s="19">
        <f t="shared" si="36"/>
        <v>0</v>
      </c>
      <c r="AA208" s="18">
        <f t="shared" si="41"/>
        <v>281578.75892079726</v>
      </c>
      <c r="AB208" s="18">
        <f t="shared" si="42"/>
        <v>281578.75892079726</v>
      </c>
      <c r="AC208" s="19">
        <f t="shared" si="37"/>
        <v>0</v>
      </c>
      <c r="AD208" s="20">
        <f t="shared" si="38"/>
        <v>234639.77395630858</v>
      </c>
      <c r="AE208" s="9" t="s">
        <v>91</v>
      </c>
    </row>
    <row r="209" spans="1:31" ht="18" customHeight="1">
      <c r="A209" s="4">
        <v>205</v>
      </c>
      <c r="B209" s="13">
        <v>44648</v>
      </c>
      <c r="C209" s="13">
        <v>44648</v>
      </c>
      <c r="D209" s="4" t="s">
        <v>90</v>
      </c>
      <c r="E209" s="14">
        <v>14752.507</v>
      </c>
      <c r="F209" s="14">
        <v>14985.709000000001</v>
      </c>
      <c r="G209" s="15">
        <v>1.5800000000000002E-2</v>
      </c>
      <c r="H209" s="16">
        <f t="shared" si="43"/>
        <v>7.8899999999999998E-2</v>
      </c>
      <c r="I209" s="17" t="b">
        <f>AND(A209&gt;2,H209&lt;=Assumptions!$B$7)</f>
        <v>0</v>
      </c>
      <c r="J209" s="15">
        <v>2.2911885025234113E-5</v>
      </c>
      <c r="K209" s="15">
        <v>4.0543494313986184E-2</v>
      </c>
      <c r="L209" s="15">
        <v>2.6572914419375593E-2</v>
      </c>
      <c r="M209" s="17" t="b">
        <f>J209&gt;=Assumptions!$B$8</f>
        <v>0</v>
      </c>
      <c r="N209" s="17" t="b">
        <f>AND(K209&lt;&gt;"",K209&lt;=Assumptions!$B$9)</f>
        <v>0</v>
      </c>
      <c r="O209" s="17" t="b">
        <f>AND(P209&lt;&gt;"",ABS(L209)&lt;=Assumptions!$B$10)</f>
        <v>0</v>
      </c>
      <c r="P209" s="13">
        <v>44649</v>
      </c>
      <c r="Q209" s="14">
        <v>15147.316999999999</v>
      </c>
      <c r="R209" s="15">
        <v>-1.0659999999999999E-2</v>
      </c>
      <c r="S209" s="17" t="str">
        <f t="shared" si="33"/>
        <v>BASELINE</v>
      </c>
      <c r="T209" s="16">
        <f t="shared" si="34"/>
        <v>1.5800000000000002E-2</v>
      </c>
      <c r="U209" s="16">
        <f>G209*Assumptions!$B$6</f>
        <v>0.17854000000000003</v>
      </c>
      <c r="V209" s="16">
        <f>T209*Assumptions!$B$6</f>
        <v>0.17854000000000003</v>
      </c>
      <c r="W209" s="16">
        <f t="shared" si="35"/>
        <v>0</v>
      </c>
      <c r="X209" s="18">
        <f t="shared" si="39"/>
        <v>55319.471340048498</v>
      </c>
      <c r="Y209" s="18">
        <f t="shared" si="40"/>
        <v>55319.471340048498</v>
      </c>
      <c r="Z209" s="19">
        <f t="shared" si="36"/>
        <v>0</v>
      </c>
      <c r="AA209" s="18">
        <f t="shared" si="41"/>
        <v>331851.8305385164</v>
      </c>
      <c r="AB209" s="18">
        <f t="shared" si="42"/>
        <v>331851.8305385164</v>
      </c>
      <c r="AC209" s="19">
        <f t="shared" si="37"/>
        <v>0</v>
      </c>
      <c r="AD209" s="20">
        <f t="shared" si="38"/>
        <v>276532.35919846792</v>
      </c>
      <c r="AE209" s="9" t="s">
        <v>91</v>
      </c>
    </row>
    <row r="210" spans="1:31" ht="18" customHeight="1">
      <c r="A210" s="4">
        <v>206</v>
      </c>
      <c r="B210" s="13">
        <v>44655</v>
      </c>
      <c r="C210" s="13">
        <v>44655</v>
      </c>
      <c r="D210" s="4" t="s">
        <v>90</v>
      </c>
      <c r="E210" s="14">
        <v>14891.558999999999</v>
      </c>
      <c r="F210" s="14">
        <v>15159.509</v>
      </c>
      <c r="G210" s="15">
        <v>1.7989999999999999E-2</v>
      </c>
      <c r="H210" s="16">
        <f t="shared" si="43"/>
        <v>4.1849999999999998E-2</v>
      </c>
      <c r="I210" s="17" t="b">
        <f>AND(A210&gt;2,H210&lt;=Assumptions!$B$7)</f>
        <v>0</v>
      </c>
      <c r="J210" s="15">
        <v>3.2506228900845979E-3</v>
      </c>
      <c r="K210" s="15">
        <v>7.4084503630495124E-2</v>
      </c>
      <c r="L210" s="15">
        <v>1.6474733948833586E-2</v>
      </c>
      <c r="M210" s="17" t="b">
        <f>J210&gt;=Assumptions!$B$8</f>
        <v>0</v>
      </c>
      <c r="N210" s="17" t="b">
        <f>AND(K210&lt;&gt;"",K210&lt;=Assumptions!$B$9)</f>
        <v>0</v>
      </c>
      <c r="O210" s="17" t="b">
        <f>AND(P210&lt;&gt;"",ABS(L210)&lt;=Assumptions!$B$10)</f>
        <v>0</v>
      </c>
      <c r="P210" s="13">
        <v>44656</v>
      </c>
      <c r="Q210" s="14">
        <v>15096.707</v>
      </c>
      <c r="R210" s="15">
        <v>4.15E-3</v>
      </c>
      <c r="S210" s="17" t="str">
        <f t="shared" si="33"/>
        <v>BASELINE</v>
      </c>
      <c r="T210" s="16">
        <f t="shared" si="34"/>
        <v>1.7989999999999999E-2</v>
      </c>
      <c r="U210" s="16">
        <f>G210*Assumptions!$B$6</f>
        <v>0.203287</v>
      </c>
      <c r="V210" s="16">
        <f>T210*Assumptions!$B$6</f>
        <v>0.203287</v>
      </c>
      <c r="W210" s="16">
        <f t="shared" si="35"/>
        <v>0</v>
      </c>
      <c r="X210" s="18">
        <f t="shared" si="39"/>
        <v>66565.200710352932</v>
      </c>
      <c r="Y210" s="18">
        <f t="shared" si="40"/>
        <v>66565.200710352932</v>
      </c>
      <c r="Z210" s="19">
        <f t="shared" si="36"/>
        <v>0</v>
      </c>
      <c r="AA210" s="18">
        <f t="shared" si="41"/>
        <v>399312.9936131998</v>
      </c>
      <c r="AB210" s="18">
        <f t="shared" si="42"/>
        <v>399312.9936131998</v>
      </c>
      <c r="AC210" s="19">
        <f t="shared" si="37"/>
        <v>0</v>
      </c>
      <c r="AD210" s="20">
        <f t="shared" si="38"/>
        <v>332747.79290284688</v>
      </c>
      <c r="AE210" s="9" t="s">
        <v>91</v>
      </c>
    </row>
    <row r="211" spans="1:31" ht="18" customHeight="1">
      <c r="A211" s="4">
        <v>207</v>
      </c>
      <c r="B211" s="13">
        <v>44662</v>
      </c>
      <c r="C211" s="13">
        <v>44664</v>
      </c>
      <c r="D211" s="4" t="s">
        <v>95</v>
      </c>
      <c r="E211" s="14">
        <v>14153.579</v>
      </c>
      <c r="F211" s="14">
        <v>14096.964684</v>
      </c>
      <c r="G211" s="15">
        <v>-3.9899999999999996E-3</v>
      </c>
      <c r="H211" s="16">
        <f t="shared" si="43"/>
        <v>3.3790000000000001E-2</v>
      </c>
      <c r="I211" s="17" t="b">
        <f>AND(A211&gt;2,H211&lt;=Assumptions!$B$7)</f>
        <v>0</v>
      </c>
      <c r="J211" s="15">
        <v>-1.3143143333682605E-2</v>
      </c>
      <c r="K211" s="15">
        <v>7.76208122258919E-2</v>
      </c>
      <c r="L211" s="15">
        <v>-9.702724417500419E-3</v>
      </c>
      <c r="M211" s="17" t="b">
        <f>J211&gt;=Assumptions!$B$8</f>
        <v>0</v>
      </c>
      <c r="N211" s="17" t="b">
        <f>AND(K211&lt;&gt;"",K211&lt;=Assumptions!$B$9)</f>
        <v>0</v>
      </c>
      <c r="O211" s="17" t="b">
        <f>AND(P211&lt;&gt;"",ABS(L211)&lt;=Assumptions!$B$10)</f>
        <v>0</v>
      </c>
      <c r="P211" s="13">
        <v>44663</v>
      </c>
      <c r="Q211" s="14">
        <v>14193.119000000001</v>
      </c>
      <c r="R211" s="15">
        <v>-6.77E-3</v>
      </c>
      <c r="S211" s="17" t="str">
        <f t="shared" si="33"/>
        <v>BASELINE</v>
      </c>
      <c r="T211" s="16">
        <f t="shared" si="34"/>
        <v>-3.9899999999999996E-3</v>
      </c>
      <c r="U211" s="16">
        <f>G211*Assumptions!$B$6</f>
        <v>-4.5086999999999995E-2</v>
      </c>
      <c r="V211" s="16">
        <f>T211*Assumptions!$B$6</f>
        <v>-4.5086999999999995E-2</v>
      </c>
      <c r="W211" s="16">
        <f t="shared" si="35"/>
        <v>0</v>
      </c>
      <c r="X211" s="18">
        <f t="shared" si="39"/>
        <v>63563.975505925249</v>
      </c>
      <c r="Y211" s="18">
        <f t="shared" si="40"/>
        <v>66565.200710352932</v>
      </c>
      <c r="Z211" s="19">
        <f t="shared" si="36"/>
        <v>-4.5086999999999988E-2</v>
      </c>
      <c r="AA211" s="18">
        <f t="shared" si="41"/>
        <v>381309.16867016145</v>
      </c>
      <c r="AB211" s="18">
        <f t="shared" si="42"/>
        <v>399312.9936131998</v>
      </c>
      <c r="AC211" s="19">
        <f t="shared" si="37"/>
        <v>-4.5086999999999988E-2</v>
      </c>
      <c r="AD211" s="20">
        <f t="shared" si="38"/>
        <v>317745.1931642362</v>
      </c>
      <c r="AE211" s="9" t="s">
        <v>91</v>
      </c>
    </row>
    <row r="212" spans="1:31" ht="18" customHeight="1">
      <c r="A212" s="4">
        <v>208</v>
      </c>
      <c r="B212" s="13">
        <v>44669</v>
      </c>
      <c r="C212" s="13">
        <v>44670</v>
      </c>
      <c r="D212" s="4" t="s">
        <v>98</v>
      </c>
      <c r="E212" s="14">
        <v>13848.736999999999</v>
      </c>
      <c r="F212" s="14">
        <v>13965.259</v>
      </c>
      <c r="G212" s="15">
        <v>8.4100000000000008E-3</v>
      </c>
      <c r="H212" s="16">
        <f t="shared" si="43"/>
        <v>1.3999999999999999E-2</v>
      </c>
      <c r="I212" s="17" t="b">
        <f>AND(A212&gt;2,H212&lt;=Assumptions!$B$7)</f>
        <v>0</v>
      </c>
      <c r="J212" s="15">
        <v>-2.9282743419825064E-3</v>
      </c>
      <c r="K212" s="15">
        <v>-1.6252183118011465E-2</v>
      </c>
      <c r="L212" s="15">
        <v>-1.1815556747828415E-3</v>
      </c>
      <c r="M212" s="17" t="b">
        <f>J212&gt;=Assumptions!$B$8</f>
        <v>0</v>
      </c>
      <c r="N212" s="17" t="b">
        <f>AND(K212&lt;&gt;"",K212&lt;=Assumptions!$B$9)</f>
        <v>1</v>
      </c>
      <c r="O212" s="17" t="b">
        <f>AND(P212&lt;&gt;"",ABS(L212)&lt;=Assumptions!$B$10)</f>
        <v>1</v>
      </c>
      <c r="P212" s="13">
        <v>44670</v>
      </c>
      <c r="Q212" s="14">
        <v>13873.489</v>
      </c>
      <c r="R212" s="15">
        <v>6.6100000000000004E-3</v>
      </c>
      <c r="S212" s="17" t="str">
        <f t="shared" si="33"/>
        <v>BASELINE</v>
      </c>
      <c r="T212" s="16">
        <f t="shared" si="34"/>
        <v>8.4100000000000008E-3</v>
      </c>
      <c r="U212" s="16">
        <f>G212*Assumptions!$B$6</f>
        <v>9.503300000000002E-2</v>
      </c>
      <c r="V212" s="16">
        <f>T212*Assumptions!$B$6</f>
        <v>9.503300000000002E-2</v>
      </c>
      <c r="W212" s="16">
        <f t="shared" si="35"/>
        <v>0</v>
      </c>
      <c r="X212" s="18">
        <f t="shared" si="39"/>
        <v>69604.650790179832</v>
      </c>
      <c r="Y212" s="18">
        <f t="shared" si="40"/>
        <v>69604.650790179832</v>
      </c>
      <c r="Z212" s="19">
        <f t="shared" si="36"/>
        <v>0</v>
      </c>
      <c r="AA212" s="18">
        <f t="shared" si="41"/>
        <v>417546.12289639289</v>
      </c>
      <c r="AB212" s="18">
        <f t="shared" si="42"/>
        <v>417546.12289639289</v>
      </c>
      <c r="AC212" s="19">
        <f t="shared" si="37"/>
        <v>0</v>
      </c>
      <c r="AD212" s="20">
        <f t="shared" si="38"/>
        <v>347941.47210621304</v>
      </c>
      <c r="AE212" s="9" t="s">
        <v>91</v>
      </c>
    </row>
    <row r="213" spans="1:31" ht="18" customHeight="1">
      <c r="A213" s="4">
        <v>209</v>
      </c>
      <c r="B213" s="13">
        <v>44676</v>
      </c>
      <c r="C213" s="13">
        <v>44676</v>
      </c>
      <c r="D213" s="4" t="s">
        <v>90</v>
      </c>
      <c r="E213" s="14">
        <v>13285.509</v>
      </c>
      <c r="F213" s="14">
        <v>13535.909</v>
      </c>
      <c r="G213" s="15">
        <v>1.8839999999999999E-2</v>
      </c>
      <c r="H213" s="16">
        <f t="shared" si="43"/>
        <v>4.4200000000000012E-3</v>
      </c>
      <c r="I213" s="17" t="b">
        <f>AND(A213&gt;2,H213&lt;=Assumptions!$B$7)</f>
        <v>0</v>
      </c>
      <c r="J213" s="15">
        <v>-4.2123539045860747E-3</v>
      </c>
      <c r="K213" s="15">
        <v>-9.5232692700415122E-2</v>
      </c>
      <c r="L213" s="15">
        <v>6.4641119526507307E-3</v>
      </c>
      <c r="M213" s="17" t="b">
        <f>J213&gt;=Assumptions!$B$8</f>
        <v>0</v>
      </c>
      <c r="N213" s="17" t="b">
        <f>AND(K213&lt;&gt;"",K213&lt;=Assumptions!$B$9)</f>
        <v>1</v>
      </c>
      <c r="O213" s="17" t="b">
        <f>AND(P213&lt;&gt;"",ABS(L213)&lt;=Assumptions!$B$10)</f>
        <v>0</v>
      </c>
      <c r="P213" s="13">
        <v>44677</v>
      </c>
      <c r="Q213" s="14">
        <v>13438.799000000001</v>
      </c>
      <c r="R213" s="15">
        <v>7.2199999999999999E-3</v>
      </c>
      <c r="S213" s="17" t="str">
        <f t="shared" si="33"/>
        <v>BASELINE</v>
      </c>
      <c r="T213" s="16">
        <f t="shared" si="34"/>
        <v>1.8839999999999999E-2</v>
      </c>
      <c r="U213" s="16">
        <f>G213*Assumptions!$B$6</f>
        <v>0.212892</v>
      </c>
      <c r="V213" s="16">
        <f>T213*Assumptions!$B$6</f>
        <v>0.212892</v>
      </c>
      <c r="W213" s="16">
        <f t="shared" si="35"/>
        <v>0</v>
      </c>
      <c r="X213" s="18">
        <f t="shared" si="39"/>
        <v>84422.924106202801</v>
      </c>
      <c r="Y213" s="18">
        <f t="shared" si="40"/>
        <v>84422.924106202801</v>
      </c>
      <c r="Z213" s="19">
        <f t="shared" si="36"/>
        <v>0</v>
      </c>
      <c r="AA213" s="18">
        <f t="shared" si="41"/>
        <v>506438.35209205182</v>
      </c>
      <c r="AB213" s="18">
        <f t="shared" si="42"/>
        <v>506438.35209205182</v>
      </c>
      <c r="AC213" s="19">
        <f t="shared" si="37"/>
        <v>0</v>
      </c>
      <c r="AD213" s="20">
        <f t="shared" si="38"/>
        <v>422015.42798584903</v>
      </c>
      <c r="AE213" s="9" t="s">
        <v>91</v>
      </c>
    </row>
    <row r="214" spans="1:31" ht="18" customHeight="1">
      <c r="A214" s="4">
        <v>210</v>
      </c>
      <c r="B214" s="13">
        <v>44683</v>
      </c>
      <c r="C214" s="13">
        <v>44683</v>
      </c>
      <c r="D214" s="4" t="s">
        <v>90</v>
      </c>
      <c r="E214" s="14">
        <v>12841.069</v>
      </c>
      <c r="F214" s="14">
        <v>13077.299000000001</v>
      </c>
      <c r="G214" s="15">
        <v>1.839E-2</v>
      </c>
      <c r="H214" s="16">
        <f t="shared" si="43"/>
        <v>2.725E-2</v>
      </c>
      <c r="I214" s="17" t="b">
        <f>AND(A214&gt;2,H214&lt;=Assumptions!$B$7)</f>
        <v>0</v>
      </c>
      <c r="J214" s="15">
        <v>-2.2788726285797312E-3</v>
      </c>
      <c r="K214" s="15">
        <v>-0.13595871717097818</v>
      </c>
      <c r="L214" s="15">
        <v>1.6764251893631066E-2</v>
      </c>
      <c r="M214" s="17" t="b">
        <f>J214&gt;=Assumptions!$B$8</f>
        <v>0</v>
      </c>
      <c r="N214" s="17" t="b">
        <f>AND(K214&lt;&gt;"",K214&lt;=Assumptions!$B$9)</f>
        <v>1</v>
      </c>
      <c r="O214" s="17" t="b">
        <f>AND(P214&lt;&gt;"",ABS(L214)&lt;=Assumptions!$B$10)</f>
        <v>0</v>
      </c>
      <c r="P214" s="13">
        <v>44684</v>
      </c>
      <c r="Q214" s="14">
        <v>13074.897000000001</v>
      </c>
      <c r="R214" s="15">
        <v>1.8000000000000001E-4</v>
      </c>
      <c r="S214" s="17" t="str">
        <f t="shared" si="33"/>
        <v>BASELINE</v>
      </c>
      <c r="T214" s="16">
        <f t="shared" si="34"/>
        <v>1.839E-2</v>
      </c>
      <c r="U214" s="16">
        <f>G214*Assumptions!$B$6</f>
        <v>0.20780700000000002</v>
      </c>
      <c r="V214" s="16">
        <f>T214*Assumptions!$B$6</f>
        <v>0.20780700000000002</v>
      </c>
      <c r="W214" s="16">
        <f t="shared" si="35"/>
        <v>0</v>
      </c>
      <c r="X214" s="18">
        <f t="shared" si="39"/>
        <v>101966.5986959405</v>
      </c>
      <c r="Y214" s="18">
        <f t="shared" si="40"/>
        <v>101966.5986959405</v>
      </c>
      <c r="Z214" s="19">
        <f t="shared" si="36"/>
        <v>0</v>
      </c>
      <c r="AA214" s="18">
        <f t="shared" si="41"/>
        <v>611679.78672524483</v>
      </c>
      <c r="AB214" s="18">
        <f t="shared" si="42"/>
        <v>611679.78672524483</v>
      </c>
      <c r="AC214" s="19">
        <f t="shared" si="37"/>
        <v>0</v>
      </c>
      <c r="AD214" s="20">
        <f t="shared" si="38"/>
        <v>509713.18802930432</v>
      </c>
      <c r="AE214" s="9" t="s">
        <v>91</v>
      </c>
    </row>
    <row r="215" spans="1:31" ht="18" customHeight="1">
      <c r="A215" s="4">
        <v>211</v>
      </c>
      <c r="B215" s="13">
        <v>44690</v>
      </c>
      <c r="C215" s="13">
        <v>44692</v>
      </c>
      <c r="D215" s="4" t="s">
        <v>99</v>
      </c>
      <c r="E215" s="14">
        <v>12448.927</v>
      </c>
      <c r="F215" s="14">
        <v>12399.209000000001</v>
      </c>
      <c r="G215" s="15">
        <v>-3.9899999999999996E-3</v>
      </c>
      <c r="H215" s="16">
        <f t="shared" si="43"/>
        <v>3.7229999999999999E-2</v>
      </c>
      <c r="I215" s="17" t="b">
        <f>AND(A215&gt;2,H215&lt;=Assumptions!$B$7)</f>
        <v>0</v>
      </c>
      <c r="J215" s="15">
        <v>-1.8756374199596859E-2</v>
      </c>
      <c r="K215" s="15">
        <v>-0.12666148128943056</v>
      </c>
      <c r="L215" s="15">
        <v>-1.5328438260731825E-2</v>
      </c>
      <c r="M215" s="17" t="b">
        <f>J215&gt;=Assumptions!$B$8</f>
        <v>0</v>
      </c>
      <c r="N215" s="17" t="b">
        <f>AND(K215&lt;&gt;"",K215&lt;=Assumptions!$B$9)</f>
        <v>1</v>
      </c>
      <c r="O215" s="17" t="b">
        <f>AND(P215&lt;&gt;"",ABS(L215)&lt;=Assumptions!$B$10)</f>
        <v>0</v>
      </c>
      <c r="P215" s="13">
        <v>44691</v>
      </c>
      <c r="Q215" s="14">
        <v>12496.767</v>
      </c>
      <c r="R215" s="15">
        <v>-7.7999999999999996E-3</v>
      </c>
      <c r="S215" s="17" t="str">
        <f t="shared" si="33"/>
        <v>BASELINE</v>
      </c>
      <c r="T215" s="16">
        <f t="shared" si="34"/>
        <v>-3.9899999999999996E-3</v>
      </c>
      <c r="U215" s="16">
        <f>G215*Assumptions!$B$6</f>
        <v>-4.5086999999999995E-2</v>
      </c>
      <c r="V215" s="16">
        <f>T215*Assumptions!$B$6</f>
        <v>-4.5086999999999995E-2</v>
      </c>
      <c r="W215" s="16">
        <f t="shared" si="35"/>
        <v>0</v>
      </c>
      <c r="X215" s="18">
        <f t="shared" si="39"/>
        <v>97369.230660536632</v>
      </c>
      <c r="Y215" s="18">
        <f t="shared" si="40"/>
        <v>101966.5986959405</v>
      </c>
      <c r="Z215" s="19">
        <f t="shared" si="36"/>
        <v>-4.5086999999999988E-2</v>
      </c>
      <c r="AA215" s="18">
        <f t="shared" si="41"/>
        <v>584100.98018116376</v>
      </c>
      <c r="AB215" s="18">
        <f t="shared" si="42"/>
        <v>611679.78672524483</v>
      </c>
      <c r="AC215" s="19">
        <f t="shared" si="37"/>
        <v>-4.5086999999999988E-2</v>
      </c>
      <c r="AD215" s="20">
        <f t="shared" si="38"/>
        <v>486731.74952062714</v>
      </c>
      <c r="AE215" s="9" t="s">
        <v>91</v>
      </c>
    </row>
    <row r="216" spans="1:31" ht="18" customHeight="1">
      <c r="A216" s="4">
        <v>212</v>
      </c>
      <c r="B216" s="13">
        <v>44697</v>
      </c>
      <c r="C216" s="13">
        <v>44698</v>
      </c>
      <c r="D216" s="4" t="s">
        <v>98</v>
      </c>
      <c r="E216" s="14">
        <v>12308.329</v>
      </c>
      <c r="F216" s="14">
        <v>12505.869000000001</v>
      </c>
      <c r="G216" s="15">
        <v>1.6039999999999999E-2</v>
      </c>
      <c r="H216" s="16">
        <f t="shared" si="43"/>
        <v>1.44E-2</v>
      </c>
      <c r="I216" s="17" t="b">
        <f>AND(A216&gt;2,H216&lt;=Assumptions!$B$7)</f>
        <v>0</v>
      </c>
      <c r="J216" s="15">
        <v>-6.0075658665919018E-3</v>
      </c>
      <c r="K216" s="15">
        <v>-0.10781695532393321</v>
      </c>
      <c r="L216" s="15">
        <v>8.3075446965499289E-3</v>
      </c>
      <c r="M216" s="17" t="b">
        <f>J216&gt;=Assumptions!$B$8</f>
        <v>0</v>
      </c>
      <c r="N216" s="17" t="b">
        <f>AND(K216&lt;&gt;"",K216&lt;=Assumptions!$B$9)</f>
        <v>1</v>
      </c>
      <c r="O216" s="17" t="b">
        <f>AND(P216&lt;&gt;"",ABS(L216)&lt;=Assumptions!$B$10)</f>
        <v>0</v>
      </c>
      <c r="P216" s="13">
        <v>44698</v>
      </c>
      <c r="Q216" s="14">
        <v>12486.607</v>
      </c>
      <c r="R216" s="15">
        <v>1.5399999999999999E-3</v>
      </c>
      <c r="S216" s="17" t="str">
        <f t="shared" si="33"/>
        <v>BASELINE</v>
      </c>
      <c r="T216" s="16">
        <f t="shared" si="34"/>
        <v>1.6039999999999999E-2</v>
      </c>
      <c r="U216" s="16">
        <f>G216*Assumptions!$B$6</f>
        <v>0.181252</v>
      </c>
      <c r="V216" s="16">
        <f>T216*Assumptions!$B$6</f>
        <v>0.181252</v>
      </c>
      <c r="W216" s="16">
        <f t="shared" si="35"/>
        <v>0</v>
      </c>
      <c r="X216" s="18">
        <f t="shared" si="39"/>
        <v>115017.59845622022</v>
      </c>
      <c r="Y216" s="18">
        <f t="shared" si="40"/>
        <v>115017.59845622022</v>
      </c>
      <c r="Z216" s="19">
        <f t="shared" si="36"/>
        <v>0</v>
      </c>
      <c r="AA216" s="18">
        <f t="shared" si="41"/>
        <v>689970.45104096003</v>
      </c>
      <c r="AB216" s="18">
        <f t="shared" si="42"/>
        <v>689970.45104096003</v>
      </c>
      <c r="AC216" s="19">
        <f t="shared" si="37"/>
        <v>0</v>
      </c>
      <c r="AD216" s="20">
        <f t="shared" si="38"/>
        <v>574952.8525847398</v>
      </c>
      <c r="AE216" s="9" t="s">
        <v>91</v>
      </c>
    </row>
    <row r="217" spans="1:31" ht="18" customHeight="1">
      <c r="A217" s="4">
        <v>213</v>
      </c>
      <c r="B217" s="13">
        <v>44704</v>
      </c>
      <c r="C217" s="13">
        <v>44704</v>
      </c>
      <c r="D217" s="4" t="s">
        <v>90</v>
      </c>
      <c r="E217" s="14">
        <v>11881.419</v>
      </c>
      <c r="F217" s="14">
        <v>12039.759</v>
      </c>
      <c r="G217" s="15">
        <v>1.332E-2</v>
      </c>
      <c r="H217" s="16">
        <f t="shared" si="43"/>
        <v>1.2049999999999998E-2</v>
      </c>
      <c r="I217" s="17" t="b">
        <f>AND(A217&gt;2,H217&lt;=Assumptions!$B$7)</f>
        <v>0</v>
      </c>
      <c r="J217" s="15">
        <v>3.9757083795510795E-3</v>
      </c>
      <c r="K217" s="15">
        <v>-0.11284609018407987</v>
      </c>
      <c r="L217" s="15">
        <v>-1.9222954469159115E-3</v>
      </c>
      <c r="M217" s="17" t="b">
        <f>J217&gt;=Assumptions!$B$8</f>
        <v>0</v>
      </c>
      <c r="N217" s="17" t="b">
        <f>AND(K217&lt;&gt;"",K217&lt;=Assumptions!$B$9)</f>
        <v>1</v>
      </c>
      <c r="O217" s="17" t="b">
        <f>AND(P217&lt;&gt;"",ABS(L217)&lt;=Assumptions!$B$10)</f>
        <v>1</v>
      </c>
      <c r="P217" s="13">
        <v>44705</v>
      </c>
      <c r="Q217" s="14">
        <v>11813.079</v>
      </c>
      <c r="R217" s="15">
        <v>1.9179999999999999E-2</v>
      </c>
      <c r="S217" s="17" t="str">
        <f t="shared" si="33"/>
        <v>BASELINE</v>
      </c>
      <c r="T217" s="16">
        <f t="shared" si="34"/>
        <v>1.332E-2</v>
      </c>
      <c r="U217" s="16">
        <f>G217*Assumptions!$B$6</f>
        <v>0.15051600000000001</v>
      </c>
      <c r="V217" s="16">
        <f>T217*Assumptions!$B$6</f>
        <v>0.15051600000000001</v>
      </c>
      <c r="W217" s="16">
        <f t="shared" si="35"/>
        <v>0</v>
      </c>
      <c r="X217" s="18">
        <f t="shared" si="39"/>
        <v>132329.58730545666</v>
      </c>
      <c r="Y217" s="18">
        <f t="shared" si="40"/>
        <v>132329.58730545666</v>
      </c>
      <c r="Z217" s="19">
        <f t="shared" si="36"/>
        <v>0</v>
      </c>
      <c r="AA217" s="18">
        <f t="shared" si="41"/>
        <v>793822.04344984121</v>
      </c>
      <c r="AB217" s="18">
        <f t="shared" si="42"/>
        <v>793822.04344984121</v>
      </c>
      <c r="AC217" s="19">
        <f t="shared" si="37"/>
        <v>0</v>
      </c>
      <c r="AD217" s="20">
        <f t="shared" si="38"/>
        <v>661492.45614438457</v>
      </c>
      <c r="AE217" s="9" t="s">
        <v>91</v>
      </c>
    </row>
    <row r="218" spans="1:31" ht="18" customHeight="1">
      <c r="A218" s="4">
        <v>214</v>
      </c>
      <c r="B218" s="13">
        <v>44712</v>
      </c>
      <c r="C218" s="13">
        <v>44714</v>
      </c>
      <c r="D218" s="4" t="s">
        <v>92</v>
      </c>
      <c r="E218" s="14">
        <v>12673.377</v>
      </c>
      <c r="F218" s="14">
        <v>12547.027</v>
      </c>
      <c r="G218" s="15">
        <v>-9.9600000000000001E-3</v>
      </c>
      <c r="H218" s="16">
        <f t="shared" si="43"/>
        <v>2.9359999999999997E-2</v>
      </c>
      <c r="I218" s="17" t="b">
        <f>AND(A218&gt;2,H218&lt;=Assumptions!$B$7)</f>
        <v>0</v>
      </c>
      <c r="J218" s="15">
        <v>-2.5416911901998684E-4</v>
      </c>
      <c r="K218" s="15">
        <v>-1.3240763053516513E-2</v>
      </c>
      <c r="L218" s="15"/>
      <c r="M218" s="17" t="b">
        <f>J218&gt;=Assumptions!$B$8</f>
        <v>0</v>
      </c>
      <c r="N218" s="17" t="b">
        <f>AND(K218&lt;&gt;"",K218&lt;=Assumptions!$B$9)</f>
        <v>1</v>
      </c>
      <c r="O218" s="17" t="b">
        <f>AND(P218&lt;&gt;"",ABS(L218)&lt;=Assumptions!$B$10)</f>
        <v>0</v>
      </c>
      <c r="P218" s="13"/>
      <c r="Q218" s="14"/>
      <c r="R218" s="15"/>
      <c r="S218" s="17" t="str">
        <f t="shared" si="33"/>
        <v>BASELINE</v>
      </c>
      <c r="T218" s="16">
        <f t="shared" si="34"/>
        <v>-9.9600000000000001E-3</v>
      </c>
      <c r="U218" s="16">
        <f>G218*Assumptions!$B$6</f>
        <v>-0.11254800000000001</v>
      </c>
      <c r="V218" s="16">
        <f>T218*Assumptions!$B$6</f>
        <v>-0.11254800000000001</v>
      </c>
      <c r="W218" s="16">
        <f t="shared" si="35"/>
        <v>0</v>
      </c>
      <c r="X218" s="18">
        <f t="shared" si="39"/>
        <v>117436.15691340213</v>
      </c>
      <c r="Y218" s="18">
        <f t="shared" si="40"/>
        <v>132329.58730545666</v>
      </c>
      <c r="Z218" s="19">
        <f t="shared" si="36"/>
        <v>-0.11254799999999998</v>
      </c>
      <c r="AA218" s="18">
        <f t="shared" si="41"/>
        <v>704478.96010364848</v>
      </c>
      <c r="AB218" s="18">
        <f t="shared" si="42"/>
        <v>793822.04344984121</v>
      </c>
      <c r="AC218" s="19">
        <f t="shared" si="37"/>
        <v>-0.11254799999999998</v>
      </c>
      <c r="AD218" s="20">
        <f t="shared" si="38"/>
        <v>587042.80319024634</v>
      </c>
      <c r="AE218" s="9" t="s">
        <v>91</v>
      </c>
    </row>
    <row r="219" spans="1:31" ht="18" customHeight="1">
      <c r="A219" s="4">
        <v>215</v>
      </c>
      <c r="B219" s="13">
        <v>44718</v>
      </c>
      <c r="C219" s="13">
        <v>44721</v>
      </c>
      <c r="D219" s="4" t="s">
        <v>92</v>
      </c>
      <c r="E219" s="14">
        <v>12738.687</v>
      </c>
      <c r="F219" s="14">
        <v>12614.039000000001</v>
      </c>
      <c r="G219" s="15">
        <v>-9.7800000000000005E-3</v>
      </c>
      <c r="H219" s="16">
        <f t="shared" si="43"/>
        <v>3.3600000000000001E-3</v>
      </c>
      <c r="I219" s="17" t="b">
        <f>AND(A219&gt;2,H219&lt;=Assumptions!$B$7)</f>
        <v>0</v>
      </c>
      <c r="J219" s="15">
        <v>1.5377136307866079E-2</v>
      </c>
      <c r="K219" s="15">
        <v>-2.1728007195956134E-2</v>
      </c>
      <c r="L219" s="15">
        <v>-7.8088562557468988E-3</v>
      </c>
      <c r="M219" s="17" t="b">
        <f>J219&gt;=Assumptions!$B$8</f>
        <v>1</v>
      </c>
      <c r="N219" s="17" t="b">
        <f>AND(K219&lt;&gt;"",K219&lt;=Assumptions!$B$9)</f>
        <v>1</v>
      </c>
      <c r="O219" s="17" t="b">
        <f>AND(P219&lt;&gt;"",ABS(L219)&lt;=Assumptions!$B$10)</f>
        <v>0</v>
      </c>
      <c r="P219" s="13">
        <v>44719</v>
      </c>
      <c r="Q219" s="14">
        <v>12452.789000000001</v>
      </c>
      <c r="R219" s="15">
        <v>1.294E-2</v>
      </c>
      <c r="S219" s="17" t="str">
        <f t="shared" si="33"/>
        <v>GAP/MOM SKIP</v>
      </c>
      <c r="T219" s="16">
        <f t="shared" si="34"/>
        <v>0</v>
      </c>
      <c r="U219" s="16">
        <f>G219*Assumptions!$B$6</f>
        <v>-0.11051400000000002</v>
      </c>
      <c r="V219" s="16">
        <f>T219*Assumptions!$B$6</f>
        <v>0</v>
      </c>
      <c r="W219" s="16">
        <f t="shared" si="35"/>
        <v>0.11051400000000002</v>
      </c>
      <c r="X219" s="18">
        <f t="shared" si="39"/>
        <v>104457.8174682744</v>
      </c>
      <c r="Y219" s="18">
        <f t="shared" si="40"/>
        <v>132329.58730545666</v>
      </c>
      <c r="Z219" s="19">
        <f t="shared" si="36"/>
        <v>-0.21062387032800001</v>
      </c>
      <c r="AA219" s="18">
        <f t="shared" si="41"/>
        <v>704478.96010364848</v>
      </c>
      <c r="AB219" s="18">
        <f t="shared" si="42"/>
        <v>793822.04344984121</v>
      </c>
      <c r="AC219" s="19">
        <f t="shared" si="37"/>
        <v>-0.11254799999999998</v>
      </c>
      <c r="AD219" s="20">
        <f t="shared" si="38"/>
        <v>600021.1426353741</v>
      </c>
      <c r="AE219" s="9" t="s">
        <v>102</v>
      </c>
    </row>
    <row r="220" spans="1:31" ht="18" customHeight="1">
      <c r="A220" s="4">
        <v>216</v>
      </c>
      <c r="B220" s="13">
        <v>44725</v>
      </c>
      <c r="C220" s="13">
        <v>44727</v>
      </c>
      <c r="D220" s="4" t="s">
        <v>99</v>
      </c>
      <c r="E220" s="14">
        <v>11465.199000000001</v>
      </c>
      <c r="F220" s="14">
        <v>11421.638999999999</v>
      </c>
      <c r="G220" s="15">
        <v>-3.79E-3</v>
      </c>
      <c r="H220" s="16">
        <f t="shared" si="43"/>
        <v>-9.9600000000000001E-3</v>
      </c>
      <c r="I220" s="17" t="b">
        <f>AND(A220&gt;2,H220&lt;=Assumptions!$B$7)</f>
        <v>0</v>
      </c>
      <c r="J220" s="15">
        <v>-3.183693866833559E-2</v>
      </c>
      <c r="K220" s="15">
        <v>-7.9322535097767766E-3</v>
      </c>
      <c r="L220" s="15">
        <v>-3.8703457141545439E-2</v>
      </c>
      <c r="M220" s="17" t="b">
        <f>J220&gt;=Assumptions!$B$8</f>
        <v>0</v>
      </c>
      <c r="N220" s="17" t="b">
        <f>AND(K220&lt;&gt;"",K220&lt;=Assumptions!$B$9)</f>
        <v>1</v>
      </c>
      <c r="O220" s="17" t="b">
        <f>AND(P220&lt;&gt;"",ABS(L220)&lt;=Assumptions!$B$10)</f>
        <v>0</v>
      </c>
      <c r="P220" s="13">
        <v>44726</v>
      </c>
      <c r="Q220" s="14">
        <v>11383.019</v>
      </c>
      <c r="R220" s="15">
        <v>3.3899999999999998E-3</v>
      </c>
      <c r="S220" s="17" t="str">
        <f t="shared" si="33"/>
        <v>BASELINE</v>
      </c>
      <c r="T220" s="16">
        <f t="shared" si="34"/>
        <v>-3.79E-3</v>
      </c>
      <c r="U220" s="16">
        <f>G220*Assumptions!$B$6</f>
        <v>-4.2827000000000004E-2</v>
      </c>
      <c r="V220" s="16">
        <f>T220*Assumptions!$B$6</f>
        <v>-4.2827000000000004E-2</v>
      </c>
      <c r="W220" s="16">
        <f t="shared" si="35"/>
        <v>0</v>
      </c>
      <c r="X220" s="18">
        <f t="shared" si="39"/>
        <v>99984.202519560611</v>
      </c>
      <c r="Y220" s="18">
        <f t="shared" si="40"/>
        <v>132329.58730545666</v>
      </c>
      <c r="Z220" s="19">
        <f t="shared" si="36"/>
        <v>-0.24443048183346272</v>
      </c>
      <c r="AA220" s="18">
        <f t="shared" si="41"/>
        <v>674308.23967928952</v>
      </c>
      <c r="AB220" s="18">
        <f t="shared" si="42"/>
        <v>793822.04344984121</v>
      </c>
      <c r="AC220" s="19">
        <f t="shared" si="37"/>
        <v>-0.15055490680399997</v>
      </c>
      <c r="AD220" s="20">
        <f t="shared" si="38"/>
        <v>574324.03715972893</v>
      </c>
      <c r="AE220" s="9" t="s">
        <v>91</v>
      </c>
    </row>
    <row r="221" spans="1:31" ht="18" customHeight="1">
      <c r="A221" s="4">
        <v>217</v>
      </c>
      <c r="B221" s="13">
        <v>44733</v>
      </c>
      <c r="C221" s="13">
        <v>44733</v>
      </c>
      <c r="D221" s="4" t="s">
        <v>90</v>
      </c>
      <c r="E221" s="14">
        <v>11441.879000000001</v>
      </c>
      <c r="F221" s="14">
        <v>11539.808999999999</v>
      </c>
      <c r="G221" s="15">
        <v>8.5500000000000003E-3</v>
      </c>
      <c r="H221" s="16">
        <f t="shared" si="43"/>
        <v>-3.79E-3</v>
      </c>
      <c r="I221" s="17" t="b">
        <f>AND(A221&gt;2,H221&lt;=Assumptions!$B$7)</f>
        <v>0</v>
      </c>
      <c r="J221" s="15">
        <v>1.5812646725976043E-2</v>
      </c>
      <c r="K221" s="15">
        <v>-5.1426659151754262E-2</v>
      </c>
      <c r="L221" s="15"/>
      <c r="M221" s="17" t="b">
        <f>J221&gt;=Assumptions!$B$8</f>
        <v>1</v>
      </c>
      <c r="N221" s="17" t="b">
        <f>AND(K221&lt;&gt;"",K221&lt;=Assumptions!$B$9)</f>
        <v>1</v>
      </c>
      <c r="O221" s="17" t="b">
        <f>AND(P221&lt;&gt;"",ABS(L221)&lt;=Assumptions!$B$10)</f>
        <v>0</v>
      </c>
      <c r="P221" s="13"/>
      <c r="Q221" s="14"/>
      <c r="R221" s="15"/>
      <c r="S221" s="17" t="str">
        <f t="shared" si="33"/>
        <v>GAP/MOM SKIP</v>
      </c>
      <c r="T221" s="16">
        <f t="shared" si="34"/>
        <v>0</v>
      </c>
      <c r="U221" s="16">
        <f>G221*Assumptions!$B$6</f>
        <v>9.6615000000000006E-2</v>
      </c>
      <c r="V221" s="16">
        <f>T221*Assumptions!$B$6</f>
        <v>0</v>
      </c>
      <c r="W221" s="16">
        <f t="shared" si="35"/>
        <v>-9.6615000000000006E-2</v>
      </c>
      <c r="X221" s="18">
        <f t="shared" si="39"/>
        <v>109644.17624598795</v>
      </c>
      <c r="Y221" s="18">
        <f t="shared" si="40"/>
        <v>132329.58730545666</v>
      </c>
      <c r="Z221" s="19">
        <f t="shared" si="36"/>
        <v>-0.1714311328358028</v>
      </c>
      <c r="AA221" s="18">
        <f t="shared" si="41"/>
        <v>674308.23967928952</v>
      </c>
      <c r="AB221" s="18">
        <f t="shared" si="42"/>
        <v>793822.04344984121</v>
      </c>
      <c r="AC221" s="19">
        <f t="shared" si="37"/>
        <v>-0.15055490680399997</v>
      </c>
      <c r="AD221" s="20">
        <f t="shared" si="38"/>
        <v>564664.06343330152</v>
      </c>
      <c r="AE221" s="9" t="s">
        <v>102</v>
      </c>
    </row>
    <row r="222" spans="1:31" ht="18" customHeight="1">
      <c r="A222" s="4">
        <v>218</v>
      </c>
      <c r="B222" s="13">
        <v>44739</v>
      </c>
      <c r="C222" s="13">
        <v>44742</v>
      </c>
      <c r="D222" s="4" t="s">
        <v>92</v>
      </c>
      <c r="E222" s="14">
        <v>12152.728999999999</v>
      </c>
      <c r="F222" s="14">
        <v>11657.109</v>
      </c>
      <c r="G222" s="15">
        <v>-4.0779999999999997E-2</v>
      </c>
      <c r="H222" s="16">
        <f t="shared" si="43"/>
        <v>-3.79E-3</v>
      </c>
      <c r="I222" s="17" t="b">
        <f>AND(A222&gt;2,H222&lt;=Assumptions!$B$7)</f>
        <v>0</v>
      </c>
      <c r="J222" s="15">
        <v>5.1179201725204404E-3</v>
      </c>
      <c r="K222" s="15">
        <v>1.3448909902810779E-2</v>
      </c>
      <c r="L222" s="15">
        <v>-5.4671435729960471E-3</v>
      </c>
      <c r="M222" s="17" t="b">
        <f>J222&gt;=Assumptions!$B$8</f>
        <v>0</v>
      </c>
      <c r="N222" s="17" t="b">
        <f>AND(K222&lt;&gt;"",K222&lt;=Assumptions!$B$9)</f>
        <v>0</v>
      </c>
      <c r="O222" s="17" t="b">
        <f>AND(P222&lt;&gt;"",ABS(L222)&lt;=Assumptions!$B$10)</f>
        <v>0</v>
      </c>
      <c r="P222" s="13">
        <v>44740</v>
      </c>
      <c r="Q222" s="14">
        <v>12029.207</v>
      </c>
      <c r="R222" s="15">
        <v>-3.0929999999999999E-2</v>
      </c>
      <c r="S222" s="17" t="str">
        <f t="shared" si="33"/>
        <v>BASELINE</v>
      </c>
      <c r="T222" s="16">
        <f t="shared" si="34"/>
        <v>-4.0779999999999997E-2</v>
      </c>
      <c r="U222" s="16">
        <f>G222*Assumptions!$B$6</f>
        <v>-0.460814</v>
      </c>
      <c r="V222" s="16">
        <f>T222*Assumptions!$B$6</f>
        <v>-0.460814</v>
      </c>
      <c r="W222" s="16">
        <f t="shared" si="35"/>
        <v>0</v>
      </c>
      <c r="X222" s="18">
        <f t="shared" si="39"/>
        <v>59118.604813369253</v>
      </c>
      <c r="Y222" s="18">
        <f t="shared" si="40"/>
        <v>132329.58730545666</v>
      </c>
      <c r="Z222" s="19">
        <f t="shared" si="36"/>
        <v>-0.55324726678920522</v>
      </c>
      <c r="AA222" s="18">
        <f t="shared" si="41"/>
        <v>363577.56251971738</v>
      </c>
      <c r="AB222" s="18">
        <f t="shared" si="42"/>
        <v>793822.04344984121</v>
      </c>
      <c r="AC222" s="19">
        <f t="shared" si="37"/>
        <v>-0.54199109798002154</v>
      </c>
      <c r="AD222" s="20">
        <f t="shared" si="38"/>
        <v>304458.95770634816</v>
      </c>
      <c r="AE222" s="9" t="s">
        <v>91</v>
      </c>
    </row>
    <row r="223" spans="1:31" ht="18" customHeight="1">
      <c r="A223" s="4">
        <v>219</v>
      </c>
      <c r="B223" s="13">
        <v>44747</v>
      </c>
      <c r="C223" s="13">
        <v>44747</v>
      </c>
      <c r="D223" s="4" t="s">
        <v>90</v>
      </c>
      <c r="E223" s="14">
        <v>11424.259</v>
      </c>
      <c r="F223" s="14">
        <v>11769.829</v>
      </c>
      <c r="G223" s="15">
        <v>3.024E-2</v>
      </c>
      <c r="H223" s="16">
        <f t="shared" si="43"/>
        <v>-4.0779999999999997E-2</v>
      </c>
      <c r="I223" s="17" t="b">
        <f>AND(A223&gt;2,H223&lt;=Assumptions!$B$7)</f>
        <v>1</v>
      </c>
      <c r="J223" s="15">
        <v>-1.4133538901620946E-2</v>
      </c>
      <c r="K223" s="15">
        <v>-0.10085953191365082</v>
      </c>
      <c r="L223" s="15"/>
      <c r="M223" s="17" t="b">
        <f>J223&gt;=Assumptions!$B$8</f>
        <v>0</v>
      </c>
      <c r="N223" s="17" t="b">
        <f>AND(K223&lt;&gt;"",K223&lt;=Assumptions!$B$9)</f>
        <v>1</v>
      </c>
      <c r="O223" s="17" t="b">
        <f>AND(P223&lt;&gt;"",ABS(L223)&lt;=Assumptions!$B$10)</f>
        <v>0</v>
      </c>
      <c r="P223" s="13"/>
      <c r="Q223" s="14"/>
      <c r="R223" s="15"/>
      <c r="S223" s="17" t="str">
        <f t="shared" si="33"/>
        <v>DAMAGE SKIP</v>
      </c>
      <c r="T223" s="16">
        <f t="shared" si="34"/>
        <v>0</v>
      </c>
      <c r="U223" s="16">
        <f>G223*Assumptions!$B$6</f>
        <v>0.34171200000000002</v>
      </c>
      <c r="V223" s="16">
        <f>T223*Assumptions!$B$6</f>
        <v>0</v>
      </c>
      <c r="W223" s="16">
        <f t="shared" si="35"/>
        <v>-0.34171200000000002</v>
      </c>
      <c r="X223" s="18">
        <f t="shared" si="39"/>
        <v>79320.141501355291</v>
      </c>
      <c r="Y223" s="18">
        <f t="shared" si="40"/>
        <v>132329.58730545666</v>
      </c>
      <c r="Z223" s="19">
        <f t="shared" si="36"/>
        <v>-0.40058649681827807</v>
      </c>
      <c r="AA223" s="18">
        <f t="shared" si="41"/>
        <v>363577.56251971738</v>
      </c>
      <c r="AB223" s="18">
        <f t="shared" si="42"/>
        <v>793822.04344984121</v>
      </c>
      <c r="AC223" s="19">
        <f t="shared" si="37"/>
        <v>-0.54199109798002154</v>
      </c>
      <c r="AD223" s="20">
        <f t="shared" si="38"/>
        <v>284257.4210183621</v>
      </c>
      <c r="AE223" s="9" t="s">
        <v>94</v>
      </c>
    </row>
    <row r="224" spans="1:31" ht="18" customHeight="1">
      <c r="A224" s="4">
        <v>220</v>
      </c>
      <c r="B224" s="13">
        <v>44753</v>
      </c>
      <c r="C224" s="13">
        <v>44756</v>
      </c>
      <c r="D224" s="4" t="s">
        <v>92</v>
      </c>
      <c r="E224" s="14">
        <v>12020.789000000001</v>
      </c>
      <c r="F224" s="14">
        <v>11696.679</v>
      </c>
      <c r="G224" s="15">
        <v>-2.6960000000000001E-2</v>
      </c>
      <c r="H224" s="16">
        <f t="shared" si="43"/>
        <v>-4.0779999999999997E-2</v>
      </c>
      <c r="I224" s="17" t="b">
        <f>AND(A224&gt;2,H224&lt;=Assumptions!$B$7)</f>
        <v>1</v>
      </c>
      <c r="J224" s="15">
        <v>-9.0751873792492832E-3</v>
      </c>
      <c r="K224" s="15">
        <v>-3.810559613771336E-2</v>
      </c>
      <c r="L224" s="15">
        <v>-1.7029139132203386E-2</v>
      </c>
      <c r="M224" s="17" t="b">
        <f>J224&gt;=Assumptions!$B$8</f>
        <v>0</v>
      </c>
      <c r="N224" s="17" t="b">
        <f>AND(K224&lt;&gt;"",K224&lt;=Assumptions!$B$9)</f>
        <v>1</v>
      </c>
      <c r="O224" s="17" t="b">
        <f>AND(P224&lt;&gt;"",ABS(L224)&lt;=Assumptions!$B$10)</f>
        <v>0</v>
      </c>
      <c r="P224" s="13">
        <v>44754</v>
      </c>
      <c r="Q224" s="14">
        <v>11916.019</v>
      </c>
      <c r="R224" s="15">
        <v>-1.84E-2</v>
      </c>
      <c r="S224" s="17" t="str">
        <f t="shared" si="33"/>
        <v>DAMAGE SKIP</v>
      </c>
      <c r="T224" s="16">
        <f t="shared" si="34"/>
        <v>0</v>
      </c>
      <c r="U224" s="16">
        <f>G224*Assumptions!$B$6</f>
        <v>-0.30464800000000003</v>
      </c>
      <c r="V224" s="16">
        <f>T224*Assumptions!$B$6</f>
        <v>0</v>
      </c>
      <c r="W224" s="16">
        <f t="shared" si="35"/>
        <v>0.30464800000000003</v>
      </c>
      <c r="X224" s="18">
        <f t="shared" si="39"/>
        <v>55155.4190332504</v>
      </c>
      <c r="Y224" s="18">
        <f t="shared" si="40"/>
        <v>132329.58730545666</v>
      </c>
      <c r="Z224" s="19">
        <f t="shared" si="36"/>
        <v>-0.58319662173558329</v>
      </c>
      <c r="AA224" s="18">
        <f t="shared" si="41"/>
        <v>363577.56251971738</v>
      </c>
      <c r="AB224" s="18">
        <f t="shared" si="42"/>
        <v>793822.04344984121</v>
      </c>
      <c r="AC224" s="19">
        <f t="shared" si="37"/>
        <v>-0.54199109798002154</v>
      </c>
      <c r="AD224" s="20">
        <f t="shared" si="38"/>
        <v>308422.14348646696</v>
      </c>
      <c r="AE224" s="9" t="s">
        <v>94</v>
      </c>
    </row>
    <row r="225" spans="1:31" ht="18" customHeight="1">
      <c r="A225" s="4">
        <v>221</v>
      </c>
      <c r="B225" s="13">
        <v>44760</v>
      </c>
      <c r="C225" s="13">
        <v>44764</v>
      </c>
      <c r="D225" s="4" t="s">
        <v>93</v>
      </c>
      <c r="E225" s="14">
        <v>12093.808999999999</v>
      </c>
      <c r="F225" s="14">
        <v>12386.669</v>
      </c>
      <c r="G225" s="15">
        <v>2.4209999999999999E-2</v>
      </c>
      <c r="H225" s="16">
        <f t="shared" si="43"/>
        <v>0</v>
      </c>
      <c r="I225" s="17" t="b">
        <f>AND(A225&gt;2,H225&lt;=Assumptions!$B$7)</f>
        <v>0</v>
      </c>
      <c r="J225" s="15">
        <v>9.8186247262179727E-3</v>
      </c>
      <c r="K225" s="15">
        <v>3.4058117389045739E-2</v>
      </c>
      <c r="L225" s="15">
        <v>4.2522168037562036E-3</v>
      </c>
      <c r="M225" s="17" t="b">
        <f>J225&gt;=Assumptions!$B$8</f>
        <v>0</v>
      </c>
      <c r="N225" s="17" t="b">
        <f>AND(K225&lt;&gt;"",K225&lt;=Assumptions!$B$9)</f>
        <v>0</v>
      </c>
      <c r="O225" s="17" t="b">
        <f>AND(P225&lt;&gt;"",ABS(L225)&lt;=Assumptions!$B$10)</f>
        <v>1</v>
      </c>
      <c r="P225" s="13">
        <v>44761</v>
      </c>
      <c r="Q225" s="14">
        <v>12030.307000000001</v>
      </c>
      <c r="R225" s="15">
        <v>2.962E-2</v>
      </c>
      <c r="S225" s="17" t="str">
        <f t="shared" si="33"/>
        <v>BASELINE</v>
      </c>
      <c r="T225" s="16">
        <f t="shared" si="34"/>
        <v>2.4209999999999999E-2</v>
      </c>
      <c r="U225" s="16">
        <f>G225*Assumptions!$B$6</f>
        <v>0.27357300000000001</v>
      </c>
      <c r="V225" s="16">
        <f>T225*Assumptions!$B$6</f>
        <v>0.27357300000000001</v>
      </c>
      <c r="W225" s="16">
        <f t="shared" si="35"/>
        <v>0</v>
      </c>
      <c r="X225" s="18">
        <f t="shared" si="39"/>
        <v>70244.452484433816</v>
      </c>
      <c r="Y225" s="18">
        <f t="shared" si="40"/>
        <v>132329.58730545666</v>
      </c>
      <c r="Z225" s="19">
        <f t="shared" si="36"/>
        <v>-0.46917047113365207</v>
      </c>
      <c r="AA225" s="18">
        <f t="shared" si="41"/>
        <v>463042.56703092402</v>
      </c>
      <c r="AB225" s="18">
        <f t="shared" si="42"/>
        <v>793822.04344984121</v>
      </c>
      <c r="AC225" s="19">
        <f t="shared" si="37"/>
        <v>-0.41669222862771005</v>
      </c>
      <c r="AD225" s="20">
        <f t="shared" si="38"/>
        <v>392798.11454649019</v>
      </c>
      <c r="AE225" s="9" t="s">
        <v>91</v>
      </c>
    </row>
    <row r="226" spans="1:31" ht="18" customHeight="1">
      <c r="A226" s="4">
        <v>222</v>
      </c>
      <c r="B226" s="13">
        <v>44767</v>
      </c>
      <c r="C226" s="13">
        <v>44769</v>
      </c>
      <c r="D226" s="4" t="s">
        <v>95</v>
      </c>
      <c r="E226" s="14">
        <v>12396.679</v>
      </c>
      <c r="F226" s="14">
        <v>12347.092284</v>
      </c>
      <c r="G226" s="15">
        <v>-4.0000000000000001E-3</v>
      </c>
      <c r="H226" s="16">
        <f t="shared" si="43"/>
        <v>2.4209999999999999E-2</v>
      </c>
      <c r="I226" s="17" t="b">
        <f>AND(A226&gt;2,H226&lt;=Assumptions!$B$7)</f>
        <v>0</v>
      </c>
      <c r="J226" s="15">
        <v>8.0812686606868134E-4</v>
      </c>
      <c r="K226" s="15">
        <v>6.0172493289346152E-2</v>
      </c>
      <c r="L226" s="15">
        <v>-1.1459337725124197E-2</v>
      </c>
      <c r="M226" s="17" t="b">
        <f>J226&gt;=Assumptions!$B$8</f>
        <v>0</v>
      </c>
      <c r="N226" s="17" t="b">
        <f>AND(K226&lt;&gt;"",K226&lt;=Assumptions!$B$9)</f>
        <v>0</v>
      </c>
      <c r="O226" s="17" t="b">
        <f>AND(P226&lt;&gt;"",ABS(L226)&lt;=Assumptions!$B$10)</f>
        <v>0</v>
      </c>
      <c r="P226" s="13">
        <v>44768</v>
      </c>
      <c r="Q226" s="14">
        <v>12253.499</v>
      </c>
      <c r="R226" s="15">
        <v>7.6299999999999996E-3</v>
      </c>
      <c r="S226" s="17" t="str">
        <f t="shared" si="33"/>
        <v>BASELINE</v>
      </c>
      <c r="T226" s="16">
        <f t="shared" si="34"/>
        <v>-4.0000000000000001E-3</v>
      </c>
      <c r="U226" s="16">
        <f>G226*Assumptions!$B$6</f>
        <v>-4.5200000000000004E-2</v>
      </c>
      <c r="V226" s="16">
        <f>T226*Assumptions!$B$6</f>
        <v>-4.5200000000000004E-2</v>
      </c>
      <c r="W226" s="16">
        <f t="shared" si="35"/>
        <v>0</v>
      </c>
      <c r="X226" s="18">
        <f t="shared" si="39"/>
        <v>67069.403232137411</v>
      </c>
      <c r="Y226" s="18">
        <f t="shared" si="40"/>
        <v>132329.58730545666</v>
      </c>
      <c r="Z226" s="19">
        <f t="shared" si="36"/>
        <v>-0.49316396583841093</v>
      </c>
      <c r="AA226" s="18">
        <f t="shared" si="41"/>
        <v>442113.04300112627</v>
      </c>
      <c r="AB226" s="18">
        <f t="shared" si="42"/>
        <v>793822.04344984121</v>
      </c>
      <c r="AC226" s="19">
        <f t="shared" si="37"/>
        <v>-0.44305773989373753</v>
      </c>
      <c r="AD226" s="20">
        <f t="shared" si="38"/>
        <v>375043.63976898883</v>
      </c>
      <c r="AE226" s="9" t="s">
        <v>91</v>
      </c>
    </row>
    <row r="227" spans="1:31" ht="18" customHeight="1">
      <c r="A227" s="4">
        <v>223</v>
      </c>
      <c r="B227" s="13">
        <v>44774</v>
      </c>
      <c r="C227" s="13">
        <v>44778</v>
      </c>
      <c r="D227" s="4" t="s">
        <v>93</v>
      </c>
      <c r="E227" s="14">
        <v>12874.739</v>
      </c>
      <c r="F227" s="14">
        <v>13205.279</v>
      </c>
      <c r="G227" s="15">
        <v>2.5669999999999998E-2</v>
      </c>
      <c r="H227" s="16">
        <f t="shared" si="43"/>
        <v>2.0209999999999999E-2</v>
      </c>
      <c r="I227" s="17" t="b">
        <f>AND(A227&gt;2,H227&lt;=Assumptions!$B$7)</f>
        <v>0</v>
      </c>
      <c r="J227" s="15">
        <v>-6.1745791826289809E-3</v>
      </c>
      <c r="K227" s="15">
        <v>0.12551536748653236</v>
      </c>
      <c r="L227" s="15">
        <v>-8.0428089155116789E-3</v>
      </c>
      <c r="M227" s="17" t="b">
        <f>J227&gt;=Assumptions!$B$8</f>
        <v>0</v>
      </c>
      <c r="N227" s="17" t="b">
        <f>AND(K227&lt;&gt;"",K227&lt;=Assumptions!$B$9)</f>
        <v>0</v>
      </c>
      <c r="O227" s="17" t="b">
        <f>AND(P227&lt;&gt;"",ABS(L227)&lt;=Assumptions!$B$10)</f>
        <v>0</v>
      </c>
      <c r="P227" s="13">
        <v>44775</v>
      </c>
      <c r="Q227" s="14">
        <v>12839.989</v>
      </c>
      <c r="R227" s="15">
        <v>2.844E-2</v>
      </c>
      <c r="S227" s="17" t="str">
        <f t="shared" si="33"/>
        <v>BASELINE</v>
      </c>
      <c r="T227" s="16">
        <f t="shared" si="34"/>
        <v>2.5669999999999998E-2</v>
      </c>
      <c r="U227" s="16">
        <f>G227*Assumptions!$B$6</f>
        <v>0.29007100000000002</v>
      </c>
      <c r="V227" s="16">
        <f>T227*Assumptions!$B$6</f>
        <v>0.29007100000000002</v>
      </c>
      <c r="W227" s="16">
        <f t="shared" si="35"/>
        <v>0</v>
      </c>
      <c r="X227" s="18">
        <f t="shared" si="39"/>
        <v>86524.292097086742</v>
      </c>
      <c r="Y227" s="18">
        <f t="shared" si="40"/>
        <v>132329.58730545666</v>
      </c>
      <c r="Z227" s="19">
        <f t="shared" si="36"/>
        <v>-0.34614553057312469</v>
      </c>
      <c r="AA227" s="18">
        <f t="shared" si="41"/>
        <v>570357.21549750597</v>
      </c>
      <c r="AB227" s="18">
        <f t="shared" si="42"/>
        <v>793822.04344984121</v>
      </c>
      <c r="AC227" s="19">
        <f t="shared" si="37"/>
        <v>-0.28150494156245387</v>
      </c>
      <c r="AD227" s="20">
        <f t="shared" si="38"/>
        <v>483832.92340041924</v>
      </c>
      <c r="AE227" s="9" t="s">
        <v>91</v>
      </c>
    </row>
    <row r="228" spans="1:31" ht="18" customHeight="1">
      <c r="A228" s="4">
        <v>224</v>
      </c>
      <c r="B228" s="13">
        <v>44781</v>
      </c>
      <c r="C228" s="13">
        <v>44783</v>
      </c>
      <c r="D228" s="4" t="s">
        <v>99</v>
      </c>
      <c r="E228" s="14">
        <v>13242.739</v>
      </c>
      <c r="F228" s="14">
        <v>13240.347</v>
      </c>
      <c r="G228" s="15">
        <v>-1.8000000000000001E-4</v>
      </c>
      <c r="H228" s="16">
        <f t="shared" si="43"/>
        <v>2.1669999999999998E-2</v>
      </c>
      <c r="I228" s="17" t="b">
        <f>AND(A228&gt;2,H228&lt;=Assumptions!$B$7)</f>
        <v>0</v>
      </c>
      <c r="J228" s="15">
        <v>2.8367443050616448E-3</v>
      </c>
      <c r="K228" s="15">
        <v>8.939263886159865E-2</v>
      </c>
      <c r="L228" s="15">
        <v>-9.2651484227413983E-3</v>
      </c>
      <c r="M228" s="17" t="b">
        <f>J228&gt;=Assumptions!$B$8</f>
        <v>0</v>
      </c>
      <c r="N228" s="17" t="b">
        <f>AND(K228&lt;&gt;"",K228&lt;=Assumptions!$B$9)</f>
        <v>0</v>
      </c>
      <c r="O228" s="17" t="b">
        <f>AND(P228&lt;&gt;"",ABS(L228)&lt;=Assumptions!$B$10)</f>
        <v>0</v>
      </c>
      <c r="P228" s="13">
        <v>44782</v>
      </c>
      <c r="Q228" s="14">
        <v>13077.496999999999</v>
      </c>
      <c r="R228" s="15">
        <v>1.2449999999999999E-2</v>
      </c>
      <c r="S228" s="17" t="str">
        <f t="shared" si="33"/>
        <v>BASELINE</v>
      </c>
      <c r="T228" s="16">
        <f t="shared" si="34"/>
        <v>-1.8000000000000001E-4</v>
      </c>
      <c r="U228" s="16">
        <f>G228*Assumptions!$B$6</f>
        <v>-2.0340000000000002E-3</v>
      </c>
      <c r="V228" s="16">
        <f>T228*Assumptions!$B$6</f>
        <v>-2.0340000000000002E-3</v>
      </c>
      <c r="W228" s="16">
        <f t="shared" si="35"/>
        <v>0</v>
      </c>
      <c r="X228" s="18">
        <f t="shared" si="39"/>
        <v>86348.301686961262</v>
      </c>
      <c r="Y228" s="18">
        <f t="shared" si="40"/>
        <v>132329.58730545666</v>
      </c>
      <c r="Z228" s="19">
        <f t="shared" si="36"/>
        <v>-0.34747547056393902</v>
      </c>
      <c r="AA228" s="18">
        <f t="shared" si="41"/>
        <v>569197.10892118409</v>
      </c>
      <c r="AB228" s="18">
        <f t="shared" si="42"/>
        <v>793822.04344984121</v>
      </c>
      <c r="AC228" s="19">
        <f t="shared" si="37"/>
        <v>-0.28296636051131574</v>
      </c>
      <c r="AD228" s="20">
        <f t="shared" si="38"/>
        <v>482848.80723422283</v>
      </c>
      <c r="AE228" s="9" t="s">
        <v>91</v>
      </c>
    </row>
    <row r="229" spans="1:31" ht="18" customHeight="1">
      <c r="A229" s="4">
        <v>225</v>
      </c>
      <c r="B229" s="13">
        <v>44788</v>
      </c>
      <c r="C229" s="13">
        <v>44788</v>
      </c>
      <c r="D229" s="4" t="s">
        <v>90</v>
      </c>
      <c r="E229" s="14">
        <v>13512.439</v>
      </c>
      <c r="F229" s="14">
        <v>13660.228999999999</v>
      </c>
      <c r="G229" s="15">
        <v>1.093E-2</v>
      </c>
      <c r="H229" s="16">
        <f t="shared" si="43"/>
        <v>2.5489999999999999E-2</v>
      </c>
      <c r="I229" s="17" t="b">
        <f>AND(A229&gt;2,H229&lt;=Assumptions!$B$7)</f>
        <v>0</v>
      </c>
      <c r="J229" s="15">
        <v>-2.940462677559541E-3</v>
      </c>
      <c r="K229" s="15">
        <v>0.13197220536218857</v>
      </c>
      <c r="L229" s="15">
        <v>5.0476569072468447E-3</v>
      </c>
      <c r="M229" s="17" t="b">
        <f>J229&gt;=Assumptions!$B$8</f>
        <v>0</v>
      </c>
      <c r="N229" s="17" t="b">
        <f>AND(K229&lt;&gt;"",K229&lt;=Assumptions!$B$9)</f>
        <v>0</v>
      </c>
      <c r="O229" s="17" t="b">
        <f>AND(P229&lt;&gt;"",ABS(L229)&lt;=Assumptions!$B$10)</f>
        <v>0</v>
      </c>
      <c r="P229" s="13">
        <v>44789</v>
      </c>
      <c r="Q229" s="14">
        <v>13621.709000000001</v>
      </c>
      <c r="R229" s="15">
        <v>2.82E-3</v>
      </c>
      <c r="S229" s="17" t="str">
        <f t="shared" si="33"/>
        <v>BASELINE</v>
      </c>
      <c r="T229" s="16">
        <f t="shared" si="34"/>
        <v>1.093E-2</v>
      </c>
      <c r="U229" s="16">
        <f>G229*Assumptions!$B$6</f>
        <v>0.12350900000000001</v>
      </c>
      <c r="V229" s="16">
        <f>T229*Assumptions!$B$6</f>
        <v>0.12350900000000001</v>
      </c>
      <c r="W229" s="16">
        <f t="shared" si="35"/>
        <v>0</v>
      </c>
      <c r="X229" s="18">
        <f t="shared" si="39"/>
        <v>97013.094080016162</v>
      </c>
      <c r="Y229" s="18">
        <f t="shared" si="40"/>
        <v>132329.58730545666</v>
      </c>
      <c r="Z229" s="19">
        <f t="shared" si="36"/>
        <v>-0.26688281845782047</v>
      </c>
      <c r="AA229" s="18">
        <f t="shared" si="41"/>
        <v>639498.07464693068</v>
      </c>
      <c r="AB229" s="18">
        <f t="shared" si="42"/>
        <v>793822.04344984121</v>
      </c>
      <c r="AC229" s="19">
        <f t="shared" si="37"/>
        <v>-0.19440625273170775</v>
      </c>
      <c r="AD229" s="20">
        <f t="shared" si="38"/>
        <v>542484.98056691454</v>
      </c>
      <c r="AE229" s="9" t="s">
        <v>91</v>
      </c>
    </row>
    <row r="230" spans="1:31" ht="18" customHeight="1">
      <c r="A230" s="4">
        <v>226</v>
      </c>
      <c r="B230" s="13">
        <v>44795</v>
      </c>
      <c r="C230" s="13">
        <v>44798</v>
      </c>
      <c r="D230" s="4" t="s">
        <v>92</v>
      </c>
      <c r="E230" s="14">
        <v>13061.199000000001</v>
      </c>
      <c r="F230" s="14">
        <v>12932.319</v>
      </c>
      <c r="G230" s="15">
        <v>-9.8600000000000007E-3</v>
      </c>
      <c r="H230" s="16">
        <f t="shared" si="43"/>
        <v>1.0750000000000001E-2</v>
      </c>
      <c r="I230" s="17" t="b">
        <f>AND(A230&gt;2,H230&lt;=Assumptions!$B$7)</f>
        <v>0</v>
      </c>
      <c r="J230" s="15">
        <v>-1.3768967819728695E-2</v>
      </c>
      <c r="K230" s="15">
        <v>6.9106650394115121E-2</v>
      </c>
      <c r="L230" s="15">
        <v>-2.7072453896415216E-2</v>
      </c>
      <c r="M230" s="17" t="b">
        <f>J230&gt;=Assumptions!$B$8</f>
        <v>0</v>
      </c>
      <c r="N230" s="17" t="b">
        <f>AND(K230&lt;&gt;"",K230&lt;=Assumptions!$B$9)</f>
        <v>0</v>
      </c>
      <c r="O230" s="17" t="b">
        <f>AND(P230&lt;&gt;"",ABS(L230)&lt;=Assumptions!$B$10)</f>
        <v>0</v>
      </c>
      <c r="P230" s="13">
        <v>44796</v>
      </c>
      <c r="Q230" s="14">
        <v>12879.669</v>
      </c>
      <c r="R230" s="15">
        <v>4.0800000000000003E-3</v>
      </c>
      <c r="S230" s="17" t="str">
        <f t="shared" si="33"/>
        <v>BASELINE</v>
      </c>
      <c r="T230" s="16">
        <f t="shared" si="34"/>
        <v>-9.8600000000000007E-3</v>
      </c>
      <c r="U230" s="16">
        <f>G230*Assumptions!$B$6</f>
        <v>-0.11141800000000002</v>
      </c>
      <c r="V230" s="16">
        <f>T230*Assumptions!$B$6</f>
        <v>-0.11141800000000002</v>
      </c>
      <c r="W230" s="16">
        <f t="shared" si="35"/>
        <v>0</v>
      </c>
      <c r="X230" s="18">
        <f t="shared" si="39"/>
        <v>86204.089163808923</v>
      </c>
      <c r="Y230" s="18">
        <f t="shared" si="40"/>
        <v>132329.58730545666</v>
      </c>
      <c r="Z230" s="19">
        <f t="shared" si="36"/>
        <v>-0.3485652685908871</v>
      </c>
      <c r="AA230" s="18">
        <f t="shared" si="41"/>
        <v>568246.47816591896</v>
      </c>
      <c r="AB230" s="18">
        <f t="shared" si="42"/>
        <v>793822.04344984121</v>
      </c>
      <c r="AC230" s="19">
        <f t="shared" si="37"/>
        <v>-0.28416389686484633</v>
      </c>
      <c r="AD230" s="20">
        <f t="shared" si="38"/>
        <v>482042.38900211005</v>
      </c>
      <c r="AE230" s="9" t="s">
        <v>91</v>
      </c>
    </row>
    <row r="231" spans="1:31" ht="18" customHeight="1">
      <c r="A231" s="4">
        <v>227</v>
      </c>
      <c r="B231" s="13">
        <v>44802</v>
      </c>
      <c r="C231" s="13">
        <v>44804</v>
      </c>
      <c r="D231" s="4" t="s">
        <v>99</v>
      </c>
      <c r="E231" s="14">
        <v>12491.648999999999</v>
      </c>
      <c r="F231" s="14">
        <v>12456.666999999999</v>
      </c>
      <c r="G231" s="15">
        <v>-2.8E-3</v>
      </c>
      <c r="H231" s="16">
        <f t="shared" si="43"/>
        <v>1.0699999999999998E-3</v>
      </c>
      <c r="I231" s="17" t="b">
        <f>AND(A231&gt;2,H231&lt;=Assumptions!$B$7)</f>
        <v>0</v>
      </c>
      <c r="J231" s="15">
        <v>-8.7589069982302314E-3</v>
      </c>
      <c r="K231" s="15">
        <v>-2.5419407310822817E-2</v>
      </c>
      <c r="L231" s="15">
        <v>-4.3547949106853556E-3</v>
      </c>
      <c r="M231" s="17" t="b">
        <f>J231&gt;=Assumptions!$B$8</f>
        <v>0</v>
      </c>
      <c r="N231" s="17" t="b">
        <f>AND(K231&lt;&gt;"",K231&lt;=Assumptions!$B$9)</f>
        <v>1</v>
      </c>
      <c r="O231" s="17" t="b">
        <f>AND(P231&lt;&gt;"",ABS(L231)&lt;=Assumptions!$B$10)</f>
        <v>1</v>
      </c>
      <c r="P231" s="13">
        <v>44803</v>
      </c>
      <c r="Q231" s="14">
        <v>12551.547</v>
      </c>
      <c r="R231" s="15">
        <v>-7.5500000000000003E-3</v>
      </c>
      <c r="S231" s="17" t="str">
        <f t="shared" si="33"/>
        <v>BASELINE</v>
      </c>
      <c r="T231" s="16">
        <f t="shared" si="34"/>
        <v>-2.8E-3</v>
      </c>
      <c r="U231" s="16">
        <f>G231*Assumptions!$B$6</f>
        <v>-3.1640000000000001E-2</v>
      </c>
      <c r="V231" s="16">
        <f>T231*Assumptions!$B$6</f>
        <v>-3.1640000000000001E-2</v>
      </c>
      <c r="W231" s="16">
        <f t="shared" si="35"/>
        <v>0</v>
      </c>
      <c r="X231" s="18">
        <f t="shared" si="39"/>
        <v>83476.591782666015</v>
      </c>
      <c r="Y231" s="18">
        <f t="shared" si="40"/>
        <v>132329.58730545666</v>
      </c>
      <c r="Z231" s="19">
        <f t="shared" si="36"/>
        <v>-0.36917666349267131</v>
      </c>
      <c r="AA231" s="18">
        <f t="shared" si="41"/>
        <v>550267.15959674923</v>
      </c>
      <c r="AB231" s="18">
        <f t="shared" si="42"/>
        <v>793822.04344984121</v>
      </c>
      <c r="AC231" s="19">
        <f t="shared" si="37"/>
        <v>-0.30681295116804264</v>
      </c>
      <c r="AD231" s="20">
        <f t="shared" si="38"/>
        <v>466790.56781408319</v>
      </c>
      <c r="AE231" s="9" t="s">
        <v>91</v>
      </c>
    </row>
    <row r="232" spans="1:31" ht="18" customHeight="1">
      <c r="A232" s="4">
        <v>228</v>
      </c>
      <c r="B232" s="13">
        <v>44810</v>
      </c>
      <c r="C232" s="13">
        <v>44813</v>
      </c>
      <c r="D232" s="4" t="s">
        <v>93</v>
      </c>
      <c r="E232" s="14">
        <v>12120.148999999999</v>
      </c>
      <c r="F232" s="14">
        <v>12584.099</v>
      </c>
      <c r="G232" s="15">
        <v>3.8269999999999998E-2</v>
      </c>
      <c r="H232" s="16">
        <f t="shared" si="43"/>
        <v>-1.2660000000000001E-2</v>
      </c>
      <c r="I232" s="17" t="b">
        <f>AND(A232&gt;2,H232&lt;=Assumptions!$B$7)</f>
        <v>0</v>
      </c>
      <c r="J232" s="15">
        <v>1.2831467530116658E-3</v>
      </c>
      <c r="K232" s="15">
        <v>-8.26205687560716E-2</v>
      </c>
      <c r="L232" s="15"/>
      <c r="M232" s="17" t="b">
        <f>J232&gt;=Assumptions!$B$8</f>
        <v>0</v>
      </c>
      <c r="N232" s="17" t="b">
        <f>AND(K232&lt;&gt;"",K232&lt;=Assumptions!$B$9)</f>
        <v>1</v>
      </c>
      <c r="O232" s="17" t="b">
        <f>AND(P232&lt;&gt;"",ABS(L232)&lt;=Assumptions!$B$10)</f>
        <v>0</v>
      </c>
      <c r="P232" s="13"/>
      <c r="Q232" s="14"/>
      <c r="R232" s="15"/>
      <c r="S232" s="17" t="str">
        <f t="shared" si="33"/>
        <v>BASELINE</v>
      </c>
      <c r="T232" s="16">
        <f t="shared" si="34"/>
        <v>3.8269999999999998E-2</v>
      </c>
      <c r="U232" s="16">
        <f>G232*Assumptions!$B$6</f>
        <v>0.43245100000000003</v>
      </c>
      <c r="V232" s="16">
        <f>T232*Assumptions!$B$6</f>
        <v>0.43245100000000003</v>
      </c>
      <c r="W232" s="16">
        <f t="shared" si="35"/>
        <v>0</v>
      </c>
      <c r="X232" s="18">
        <f t="shared" si="39"/>
        <v>119576.12737567171</v>
      </c>
      <c r="Y232" s="18">
        <f t="shared" si="40"/>
        <v>132329.58730545666</v>
      </c>
      <c r="Z232" s="19">
        <f t="shared" si="36"/>
        <v>-9.6376480796740549E-2</v>
      </c>
      <c r="AA232" s="18">
        <f t="shared" si="41"/>
        <v>788230.74303152296</v>
      </c>
      <c r="AB232" s="18">
        <f t="shared" si="42"/>
        <v>793822.04344984121</v>
      </c>
      <c r="AC232" s="19">
        <f t="shared" si="37"/>
        <v>-7.0435187136139721E-3</v>
      </c>
      <c r="AD232" s="20">
        <f t="shared" si="38"/>
        <v>668654.6156558512</v>
      </c>
      <c r="AE232" s="9" t="s">
        <v>91</v>
      </c>
    </row>
    <row r="233" spans="1:31" ht="18" customHeight="1">
      <c r="A233" s="4">
        <v>229</v>
      </c>
      <c r="B233" s="13">
        <v>44816</v>
      </c>
      <c r="C233" s="13">
        <v>44816</v>
      </c>
      <c r="D233" s="4" t="s">
        <v>90</v>
      </c>
      <c r="E233" s="14">
        <v>12645.519</v>
      </c>
      <c r="F233" s="14">
        <v>12747.679</v>
      </c>
      <c r="G233" s="15">
        <v>8.0700000000000008E-3</v>
      </c>
      <c r="H233" s="16">
        <f t="shared" si="43"/>
        <v>3.5470000000000002E-2</v>
      </c>
      <c r="I233" s="17" t="b">
        <f>AND(A233&gt;2,H233&lt;=Assumptions!$B$7)</f>
        <v>0</v>
      </c>
      <c r="J233" s="15">
        <v>4.8807626195566112E-3</v>
      </c>
      <c r="K233" s="15">
        <v>-5.242687945713298E-2</v>
      </c>
      <c r="L233" s="15">
        <v>-1.7230175517701007E-2</v>
      </c>
      <c r="M233" s="17" t="b">
        <f>J233&gt;=Assumptions!$B$8</f>
        <v>0</v>
      </c>
      <c r="N233" s="17" t="b">
        <f>AND(K233&lt;&gt;"",K233&lt;=Assumptions!$B$9)</f>
        <v>1</v>
      </c>
      <c r="O233" s="17" t="b">
        <f>AND(P233&lt;&gt;"",ABS(L233)&lt;=Assumptions!$B$10)</f>
        <v>0</v>
      </c>
      <c r="P233" s="13">
        <v>44817</v>
      </c>
      <c r="Q233" s="14">
        <v>12369.319</v>
      </c>
      <c r="R233" s="15">
        <v>3.058E-2</v>
      </c>
      <c r="S233" s="17" t="str">
        <f t="shared" si="33"/>
        <v>BASELINE</v>
      </c>
      <c r="T233" s="16">
        <f t="shared" si="34"/>
        <v>8.0700000000000008E-3</v>
      </c>
      <c r="U233" s="16">
        <f>G233*Assumptions!$B$6</f>
        <v>9.1191000000000008E-2</v>
      </c>
      <c r="V233" s="16">
        <f>T233*Assumptions!$B$6</f>
        <v>9.1191000000000008E-2</v>
      </c>
      <c r="W233" s="16">
        <f t="shared" si="35"/>
        <v>0</v>
      </c>
      <c r="X233" s="18">
        <f t="shared" si="39"/>
        <v>130480.39400718659</v>
      </c>
      <c r="Y233" s="18">
        <f t="shared" si="40"/>
        <v>132329.58730545666</v>
      </c>
      <c r="Z233" s="19">
        <f t="shared" si="36"/>
        <v>-1.3974148457076119E-2</v>
      </c>
      <c r="AA233" s="18">
        <f t="shared" si="41"/>
        <v>860110.29271931062</v>
      </c>
      <c r="AB233" s="18">
        <f t="shared" si="42"/>
        <v>860110.29271931062</v>
      </c>
      <c r="AC233" s="19">
        <f t="shared" si="37"/>
        <v>0</v>
      </c>
      <c r="AD233" s="20">
        <f t="shared" si="38"/>
        <v>729629.89871212398</v>
      </c>
      <c r="AE233" s="9" t="s">
        <v>91</v>
      </c>
    </row>
    <row r="234" spans="1:31" ht="18" customHeight="1">
      <c r="A234" s="4">
        <v>230</v>
      </c>
      <c r="B234" s="13">
        <v>44823</v>
      </c>
      <c r="C234" s="13">
        <v>44823</v>
      </c>
      <c r="D234" s="4" t="s">
        <v>90</v>
      </c>
      <c r="E234" s="14">
        <v>11745.638999999999</v>
      </c>
      <c r="F234" s="14">
        <v>11964.728999999999</v>
      </c>
      <c r="G234" s="15">
        <v>1.865E-2</v>
      </c>
      <c r="H234" s="16">
        <f t="shared" si="43"/>
        <v>4.6339999999999999E-2</v>
      </c>
      <c r="I234" s="17" t="b">
        <f>AND(A234&gt;2,H234&lt;=Assumptions!$B$7)</f>
        <v>0</v>
      </c>
      <c r="J234" s="15">
        <v>-9.3743761485509669E-3</v>
      </c>
      <c r="K234" s="15">
        <v>-0.12135416505625862</v>
      </c>
      <c r="L234" s="15">
        <v>-1.0697859372414964E-3</v>
      </c>
      <c r="M234" s="17" t="b">
        <f>J234&gt;=Assumptions!$B$8</f>
        <v>0</v>
      </c>
      <c r="N234" s="17" t="b">
        <f>AND(K234&lt;&gt;"",K234&lt;=Assumptions!$B$9)</f>
        <v>1</v>
      </c>
      <c r="O234" s="17" t="b">
        <f>AND(P234&lt;&gt;"",ABS(L234)&lt;=Assumptions!$B$10)</f>
        <v>1</v>
      </c>
      <c r="P234" s="13">
        <v>44824</v>
      </c>
      <c r="Q234" s="14">
        <v>11847.279</v>
      </c>
      <c r="R234" s="15">
        <v>9.9100000000000004E-3</v>
      </c>
      <c r="S234" s="17" t="str">
        <f t="shared" si="33"/>
        <v>BASELINE</v>
      </c>
      <c r="T234" s="16">
        <f t="shared" si="34"/>
        <v>1.865E-2</v>
      </c>
      <c r="U234" s="16">
        <f>G234*Assumptions!$B$6</f>
        <v>0.21074500000000002</v>
      </c>
      <c r="V234" s="16">
        <f>T234*Assumptions!$B$6</f>
        <v>0.21074500000000002</v>
      </c>
      <c r="W234" s="16">
        <f t="shared" si="35"/>
        <v>0</v>
      </c>
      <c r="X234" s="18">
        <f t="shared" si="39"/>
        <v>157978.48464223114</v>
      </c>
      <c r="Y234" s="18">
        <f t="shared" si="40"/>
        <v>157978.48464223114</v>
      </c>
      <c r="Z234" s="19">
        <f t="shared" si="36"/>
        <v>0</v>
      </c>
      <c r="AA234" s="18">
        <f t="shared" si="41"/>
        <v>1041374.2363584416</v>
      </c>
      <c r="AB234" s="18">
        <f t="shared" si="42"/>
        <v>1041374.2363584416</v>
      </c>
      <c r="AC234" s="19">
        <f t="shared" si="37"/>
        <v>0</v>
      </c>
      <c r="AD234" s="20">
        <f t="shared" si="38"/>
        <v>883395.75171621051</v>
      </c>
      <c r="AE234" s="9" t="s">
        <v>91</v>
      </c>
    </row>
    <row r="235" spans="1:31" ht="18" customHeight="1">
      <c r="A235" s="4">
        <v>231</v>
      </c>
      <c r="B235" s="13">
        <v>44830</v>
      </c>
      <c r="C235" s="13">
        <v>44833</v>
      </c>
      <c r="D235" s="4" t="s">
        <v>96</v>
      </c>
      <c r="E235" s="14">
        <v>11289.517</v>
      </c>
      <c r="F235" s="14">
        <v>11244.358931999999</v>
      </c>
      <c r="G235" s="15">
        <v>-4.0000000000000001E-3</v>
      </c>
      <c r="H235" s="16">
        <f t="shared" si="43"/>
        <v>2.6720000000000001E-2</v>
      </c>
      <c r="I235" s="17" t="b">
        <f>AND(A235&gt;2,H235&lt;=Assumptions!$B$7)</f>
        <v>0</v>
      </c>
      <c r="J235" s="15">
        <v>-2.5632306106209146E-3</v>
      </c>
      <c r="K235" s="15">
        <v>-0.13904380192586197</v>
      </c>
      <c r="L235" s="15">
        <v>8.3551279828544267E-3</v>
      </c>
      <c r="M235" s="17" t="b">
        <f>J235&gt;=Assumptions!$B$8</f>
        <v>0</v>
      </c>
      <c r="N235" s="17" t="b">
        <f>AND(K235&lt;&gt;"",K235&lt;=Assumptions!$B$9)</f>
        <v>1</v>
      </c>
      <c r="O235" s="17" t="b">
        <f>AND(P235&lt;&gt;"",ABS(L235)&lt;=Assumptions!$B$10)</f>
        <v>0</v>
      </c>
      <c r="P235" s="13">
        <v>44831</v>
      </c>
      <c r="Q235" s="14">
        <v>11406.329</v>
      </c>
      <c r="R235" s="15">
        <v>-1.4200000000000001E-2</v>
      </c>
      <c r="S235" s="17" t="str">
        <f t="shared" si="33"/>
        <v>BASELINE</v>
      </c>
      <c r="T235" s="16">
        <f t="shared" si="34"/>
        <v>-4.0000000000000001E-3</v>
      </c>
      <c r="U235" s="16">
        <f>G235*Assumptions!$B$6</f>
        <v>-4.5200000000000004E-2</v>
      </c>
      <c r="V235" s="16">
        <f>T235*Assumptions!$B$6</f>
        <v>-4.5200000000000004E-2</v>
      </c>
      <c r="W235" s="16">
        <f t="shared" si="35"/>
        <v>0</v>
      </c>
      <c r="X235" s="18">
        <f t="shared" si="39"/>
        <v>150837.85713640228</v>
      </c>
      <c r="Y235" s="18">
        <f t="shared" si="40"/>
        <v>157978.48464223114</v>
      </c>
      <c r="Z235" s="19">
        <f t="shared" si="36"/>
        <v>-4.5200000000000129E-2</v>
      </c>
      <c r="AA235" s="18">
        <f t="shared" si="41"/>
        <v>994304.12087504007</v>
      </c>
      <c r="AB235" s="18">
        <f t="shared" si="42"/>
        <v>1041374.2363584416</v>
      </c>
      <c r="AC235" s="19">
        <f t="shared" si="37"/>
        <v>-4.5200000000000018E-2</v>
      </c>
      <c r="AD235" s="20">
        <f t="shared" si="38"/>
        <v>843466.26373863779</v>
      </c>
      <c r="AE235" s="9" t="s">
        <v>91</v>
      </c>
    </row>
    <row r="236" spans="1:31" ht="18" customHeight="1">
      <c r="A236" s="4">
        <v>232</v>
      </c>
      <c r="B236" s="13">
        <v>44837</v>
      </c>
      <c r="C236" s="13">
        <v>44837</v>
      </c>
      <c r="D236" s="4" t="s">
        <v>90</v>
      </c>
      <c r="E236" s="14">
        <v>11044.269</v>
      </c>
      <c r="F236" s="14">
        <v>11245.519</v>
      </c>
      <c r="G236" s="15">
        <v>1.822E-2</v>
      </c>
      <c r="H236" s="16">
        <f t="shared" si="43"/>
        <v>1.465E-2</v>
      </c>
      <c r="I236" s="17" t="b">
        <f>AND(A236&gt;2,H236&lt;=Assumptions!$B$7)</f>
        <v>0</v>
      </c>
      <c r="J236" s="15">
        <v>5.0496966041448932E-3</v>
      </c>
      <c r="K236" s="15">
        <v>-0.1057469310028224</v>
      </c>
      <c r="L236" s="15">
        <v>4.3894240093089509E-2</v>
      </c>
      <c r="M236" s="17" t="b">
        <f>J236&gt;=Assumptions!$B$8</f>
        <v>0</v>
      </c>
      <c r="N236" s="17" t="b">
        <f>AND(K236&lt;&gt;"",K236&lt;=Assumptions!$B$9)</f>
        <v>1</v>
      </c>
      <c r="O236" s="17" t="b">
        <f>AND(P236&lt;&gt;"",ABS(L236)&lt;=Assumptions!$B$10)</f>
        <v>0</v>
      </c>
      <c r="P236" s="13">
        <v>44838</v>
      </c>
      <c r="Q236" s="14">
        <v>11453.807000000001</v>
      </c>
      <c r="R236" s="15">
        <v>-1.8180000000000002E-2</v>
      </c>
      <c r="S236" s="17" t="str">
        <f t="shared" si="33"/>
        <v>BASELINE</v>
      </c>
      <c r="T236" s="16">
        <f t="shared" si="34"/>
        <v>1.822E-2</v>
      </c>
      <c r="U236" s="16">
        <f>G236*Assumptions!$B$6</f>
        <v>0.20588600000000001</v>
      </c>
      <c r="V236" s="16">
        <f>T236*Assumptions!$B$6</f>
        <v>0.20588600000000001</v>
      </c>
      <c r="W236" s="16">
        <f t="shared" si="35"/>
        <v>0</v>
      </c>
      <c r="X236" s="18">
        <f t="shared" si="39"/>
        <v>181893.26019078761</v>
      </c>
      <c r="Y236" s="18">
        <f t="shared" si="40"/>
        <v>181893.26019078761</v>
      </c>
      <c r="Z236" s="19">
        <f t="shared" si="36"/>
        <v>0</v>
      </c>
      <c r="AA236" s="18">
        <f t="shared" si="41"/>
        <v>1199017.4191055186</v>
      </c>
      <c r="AB236" s="18">
        <f t="shared" si="42"/>
        <v>1199017.4191055186</v>
      </c>
      <c r="AC236" s="19">
        <f t="shared" si="37"/>
        <v>0</v>
      </c>
      <c r="AD236" s="20">
        <f t="shared" si="38"/>
        <v>1017124.158914731</v>
      </c>
      <c r="AE236" s="9" t="s">
        <v>91</v>
      </c>
    </row>
    <row r="237" spans="1:31" ht="18" customHeight="1">
      <c r="A237" s="4">
        <v>233</v>
      </c>
      <c r="B237" s="13">
        <v>44844</v>
      </c>
      <c r="C237" s="13">
        <v>44847</v>
      </c>
      <c r="D237" s="4" t="s">
        <v>92</v>
      </c>
      <c r="E237" s="14">
        <v>11052.228999999999</v>
      </c>
      <c r="F237" s="14">
        <v>10809.509</v>
      </c>
      <c r="G237" s="15">
        <v>-2.196E-2</v>
      </c>
      <c r="H237" s="16">
        <f t="shared" si="43"/>
        <v>1.422E-2</v>
      </c>
      <c r="I237" s="17" t="b">
        <f>AND(A237&gt;2,H237&lt;=Assumptions!$B$7)</f>
        <v>0</v>
      </c>
      <c r="J237" s="15">
        <v>6.8992935829581548E-4</v>
      </c>
      <c r="K237" s="15">
        <v>-0.12212968550039449</v>
      </c>
      <c r="L237" s="15">
        <v>-1.6349113431652129E-2</v>
      </c>
      <c r="M237" s="17" t="b">
        <f>J237&gt;=Assumptions!$B$8</f>
        <v>0</v>
      </c>
      <c r="N237" s="17" t="b">
        <f>AND(K237&lt;&gt;"",K237&lt;=Assumptions!$B$9)</f>
        <v>1</v>
      </c>
      <c r="O237" s="17" t="b">
        <f>AND(P237&lt;&gt;"",ABS(L237)&lt;=Assumptions!$B$10)</f>
        <v>0</v>
      </c>
      <c r="P237" s="13">
        <v>44845</v>
      </c>
      <c r="Q237" s="14">
        <v>10861.949000000001</v>
      </c>
      <c r="R237" s="15">
        <v>-4.8199999999999996E-3</v>
      </c>
      <c r="S237" s="17" t="str">
        <f t="shared" si="33"/>
        <v>BASELINE</v>
      </c>
      <c r="T237" s="16">
        <f t="shared" si="34"/>
        <v>-2.196E-2</v>
      </c>
      <c r="U237" s="16">
        <f>G237*Assumptions!$B$6</f>
        <v>-0.24814800000000001</v>
      </c>
      <c r="V237" s="16">
        <f>T237*Assumptions!$B$6</f>
        <v>-0.24814800000000001</v>
      </c>
      <c r="W237" s="16">
        <f t="shared" si="35"/>
        <v>0</v>
      </c>
      <c r="X237" s="18">
        <f t="shared" si="39"/>
        <v>136756.81146096403</v>
      </c>
      <c r="Y237" s="18">
        <f t="shared" si="40"/>
        <v>181893.26019078761</v>
      </c>
      <c r="Z237" s="19">
        <f t="shared" si="36"/>
        <v>-0.24814800000000004</v>
      </c>
      <c r="AA237" s="18">
        <f t="shared" si="41"/>
        <v>901483.64458932239</v>
      </c>
      <c r="AB237" s="18">
        <f t="shared" si="42"/>
        <v>1199017.4191055186</v>
      </c>
      <c r="AC237" s="19">
        <f t="shared" si="37"/>
        <v>-0.24814800000000004</v>
      </c>
      <c r="AD237" s="20">
        <f t="shared" si="38"/>
        <v>764726.83312835835</v>
      </c>
      <c r="AE237" s="9" t="s">
        <v>91</v>
      </c>
    </row>
    <row r="238" spans="1:31" ht="18" customHeight="1">
      <c r="A238" s="4">
        <v>234</v>
      </c>
      <c r="B238" s="13">
        <v>44851</v>
      </c>
      <c r="C238" s="13">
        <v>44851</v>
      </c>
      <c r="D238" s="4" t="s">
        <v>90</v>
      </c>
      <c r="E238" s="14">
        <v>10952.478999999999</v>
      </c>
      <c r="F238" s="14">
        <v>11063.189</v>
      </c>
      <c r="G238" s="15">
        <v>1.01E-2</v>
      </c>
      <c r="H238" s="16">
        <f t="shared" si="43"/>
        <v>-3.7400000000000003E-3</v>
      </c>
      <c r="I238" s="17" t="b">
        <f>AND(A238&gt;2,H238&lt;=Assumptions!$B$7)</f>
        <v>0</v>
      </c>
      <c r="J238" s="15">
        <v>2.333899452745003E-2</v>
      </c>
      <c r="K238" s="15">
        <v>-9.7160492523814868E-2</v>
      </c>
      <c r="L238" s="15">
        <v>6.055916962569996E-2</v>
      </c>
      <c r="M238" s="17" t="b">
        <f>J238&gt;=Assumptions!$B$8</f>
        <v>1</v>
      </c>
      <c r="N238" s="17" t="b">
        <f>AND(K238&lt;&gt;"",K238&lt;=Assumptions!$B$9)</f>
        <v>1</v>
      </c>
      <c r="O238" s="17" t="b">
        <f>AND(P238&lt;&gt;"",ABS(L238)&lt;=Assumptions!$B$10)</f>
        <v>0</v>
      </c>
      <c r="P238" s="13">
        <v>44852</v>
      </c>
      <c r="Q238" s="14">
        <v>11349.289000000001</v>
      </c>
      <c r="R238" s="15">
        <v>-2.52E-2</v>
      </c>
      <c r="S238" s="17" t="str">
        <f t="shared" si="33"/>
        <v>GAP/MOM SKIP</v>
      </c>
      <c r="T238" s="16">
        <f t="shared" si="34"/>
        <v>0</v>
      </c>
      <c r="U238" s="16">
        <f>G238*Assumptions!$B$6</f>
        <v>0.11413000000000001</v>
      </c>
      <c r="V238" s="16">
        <f>T238*Assumptions!$B$6</f>
        <v>0</v>
      </c>
      <c r="W238" s="16">
        <f t="shared" si="35"/>
        <v>-0.11413000000000001</v>
      </c>
      <c r="X238" s="18">
        <f t="shared" si="39"/>
        <v>152364.86635300386</v>
      </c>
      <c r="Y238" s="18">
        <f t="shared" si="40"/>
        <v>181893.26019078761</v>
      </c>
      <c r="Z238" s="19">
        <f t="shared" si="36"/>
        <v>-0.1623391312400001</v>
      </c>
      <c r="AA238" s="18">
        <f t="shared" si="41"/>
        <v>901483.64458932239</v>
      </c>
      <c r="AB238" s="18">
        <f t="shared" si="42"/>
        <v>1199017.4191055186</v>
      </c>
      <c r="AC238" s="19">
        <f t="shared" si="37"/>
        <v>-0.24814800000000004</v>
      </c>
      <c r="AD238" s="20">
        <f t="shared" si="38"/>
        <v>749118.7782363185</v>
      </c>
      <c r="AE238" s="9" t="s">
        <v>102</v>
      </c>
    </row>
    <row r="239" spans="1:31" ht="18" customHeight="1">
      <c r="A239" s="4">
        <v>235</v>
      </c>
      <c r="B239" s="13">
        <v>44858</v>
      </c>
      <c r="C239" s="13">
        <v>44858</v>
      </c>
      <c r="D239" s="4" t="s">
        <v>90</v>
      </c>
      <c r="E239" s="14">
        <v>11314.529</v>
      </c>
      <c r="F239" s="14">
        <v>11437.009</v>
      </c>
      <c r="G239" s="15">
        <v>1.082E-2</v>
      </c>
      <c r="H239" s="16">
        <f t="shared" si="43"/>
        <v>-2.196E-2</v>
      </c>
      <c r="I239" s="17" t="b">
        <f>AND(A239&gt;2,H239&lt;=Assumptions!$B$7)</f>
        <v>1</v>
      </c>
      <c r="J239" s="15">
        <v>-6.862563866225635E-4</v>
      </c>
      <c r="K239" s="15">
        <v>-3.2092544569906067E-4</v>
      </c>
      <c r="L239" s="15">
        <v>1.4486871042493688E-2</v>
      </c>
      <c r="M239" s="17" t="b">
        <f>J239&gt;=Assumptions!$B$8</f>
        <v>0</v>
      </c>
      <c r="N239" s="17" t="b">
        <f>AND(K239&lt;&gt;"",K239&lt;=Assumptions!$B$9)</f>
        <v>0</v>
      </c>
      <c r="O239" s="17" t="b">
        <f>AND(P239&lt;&gt;"",ABS(L239)&lt;=Assumptions!$B$10)</f>
        <v>0</v>
      </c>
      <c r="P239" s="13">
        <v>44859</v>
      </c>
      <c r="Q239" s="14">
        <v>11469.109</v>
      </c>
      <c r="R239" s="15">
        <v>-2.7899999999999999E-3</v>
      </c>
      <c r="S239" s="17" t="str">
        <f t="shared" si="33"/>
        <v>DAMAGE SKIP</v>
      </c>
      <c r="T239" s="16">
        <f t="shared" si="34"/>
        <v>0</v>
      </c>
      <c r="U239" s="16">
        <f>G239*Assumptions!$B$6</f>
        <v>0.122266</v>
      </c>
      <c r="V239" s="16">
        <f>T239*Assumptions!$B$6</f>
        <v>0</v>
      </c>
      <c r="W239" s="16">
        <f t="shared" si="35"/>
        <v>-0.122266</v>
      </c>
      <c r="X239" s="18">
        <f t="shared" si="39"/>
        <v>170993.90910252024</v>
      </c>
      <c r="Y239" s="18">
        <f t="shared" si="40"/>
        <v>181893.26019078761</v>
      </c>
      <c r="Z239" s="19">
        <f t="shared" si="36"/>
        <v>-5.9921687460189887E-2</v>
      </c>
      <c r="AA239" s="18">
        <f t="shared" si="41"/>
        <v>901483.64458932239</v>
      </c>
      <c r="AB239" s="18">
        <f t="shared" si="42"/>
        <v>1199017.4191055186</v>
      </c>
      <c r="AC239" s="19">
        <f t="shared" si="37"/>
        <v>-0.24814800000000004</v>
      </c>
      <c r="AD239" s="20">
        <f t="shared" si="38"/>
        <v>730489.73548680218</v>
      </c>
      <c r="AE239" s="9" t="s">
        <v>94</v>
      </c>
    </row>
    <row r="240" spans="1:31" ht="18" customHeight="1">
      <c r="A240" s="4">
        <v>236</v>
      </c>
      <c r="B240" s="13">
        <v>44865</v>
      </c>
      <c r="C240" s="13">
        <v>44867</v>
      </c>
      <c r="D240" s="4" t="s">
        <v>95</v>
      </c>
      <c r="E240" s="14">
        <v>11443.027</v>
      </c>
      <c r="F240" s="14">
        <v>11397.254892000001</v>
      </c>
      <c r="G240" s="15">
        <v>-3.9899999999999996E-3</v>
      </c>
      <c r="H240" s="16">
        <f t="shared" si="43"/>
        <v>0</v>
      </c>
      <c r="I240" s="17" t="b">
        <f>AND(A240&gt;2,H240&lt;=Assumptions!$B$7)</f>
        <v>0</v>
      </c>
      <c r="J240" s="15">
        <v>-9.1389677803370706E-3</v>
      </c>
      <c r="K240" s="15">
        <v>5.2237301928334645E-2</v>
      </c>
      <c r="L240" s="15">
        <v>9.7936467782155923E-4</v>
      </c>
      <c r="M240" s="17" t="b">
        <f>J240&gt;=Assumptions!$B$8</f>
        <v>0</v>
      </c>
      <c r="N240" s="17" t="b">
        <f>AND(K240&lt;&gt;"",K240&lt;=Assumptions!$B$9)</f>
        <v>0</v>
      </c>
      <c r="O240" s="17" t="b">
        <f>AND(P240&lt;&gt;"",ABS(L240)&lt;=Assumptions!$B$10)</f>
        <v>1</v>
      </c>
      <c r="P240" s="13">
        <v>44866</v>
      </c>
      <c r="Q240" s="14">
        <v>11557.069</v>
      </c>
      <c r="R240" s="15">
        <v>-1.3820000000000001E-2</v>
      </c>
      <c r="S240" s="17" t="str">
        <f t="shared" si="33"/>
        <v>BASELINE</v>
      </c>
      <c r="T240" s="16">
        <f t="shared" si="34"/>
        <v>-3.9899999999999996E-3</v>
      </c>
      <c r="U240" s="16">
        <f>G240*Assumptions!$B$6</f>
        <v>-4.5086999999999995E-2</v>
      </c>
      <c r="V240" s="16">
        <f>T240*Assumptions!$B$6</f>
        <v>-4.5086999999999995E-2</v>
      </c>
      <c r="W240" s="16">
        <f t="shared" si="35"/>
        <v>0</v>
      </c>
      <c r="X240" s="18">
        <f t="shared" si="39"/>
        <v>163284.30672281492</v>
      </c>
      <c r="Y240" s="18">
        <f t="shared" si="40"/>
        <v>181893.26019078761</v>
      </c>
      <c r="Z240" s="19">
        <f t="shared" si="36"/>
        <v>-0.10230699833767221</v>
      </c>
      <c r="AA240" s="18">
        <f t="shared" si="41"/>
        <v>860838.45150572364</v>
      </c>
      <c r="AB240" s="18">
        <f t="shared" si="42"/>
        <v>1199017.4191055186</v>
      </c>
      <c r="AC240" s="19">
        <f t="shared" si="37"/>
        <v>-0.28204675112400002</v>
      </c>
      <c r="AD240" s="20">
        <f t="shared" si="38"/>
        <v>697554.14478290873</v>
      </c>
      <c r="AE240" s="9" t="s">
        <v>91</v>
      </c>
    </row>
    <row r="241" spans="1:31" ht="18" customHeight="1">
      <c r="A241" s="4">
        <v>237</v>
      </c>
      <c r="B241" s="13">
        <v>44872</v>
      </c>
      <c r="C241" s="13">
        <v>44872</v>
      </c>
      <c r="D241" s="4" t="s">
        <v>90</v>
      </c>
      <c r="E241" s="14">
        <v>10902.228999999999</v>
      </c>
      <c r="F241" s="14">
        <v>10982.089</v>
      </c>
      <c r="G241" s="15">
        <v>7.3200000000000001E-3</v>
      </c>
      <c r="H241" s="16">
        <f t="shared" si="43"/>
        <v>-3.9899999999999996E-3</v>
      </c>
      <c r="I241" s="17" t="b">
        <f>AND(A241&gt;2,H241&lt;=Assumptions!$B$7)</f>
        <v>0</v>
      </c>
      <c r="J241" s="15">
        <v>3.6094938248749653E-3</v>
      </c>
      <c r="K241" s="15">
        <v>-1.642464641123953E-2</v>
      </c>
      <c r="L241" s="15">
        <v>1.6848669154801987E-2</v>
      </c>
      <c r="M241" s="17" t="b">
        <f>J241&gt;=Assumptions!$B$8</f>
        <v>0</v>
      </c>
      <c r="N241" s="17" t="b">
        <f>AND(K241&lt;&gt;"",K241&lt;=Assumptions!$B$9)</f>
        <v>1</v>
      </c>
      <c r="O241" s="17" t="b">
        <f>AND(P241&lt;&gt;"",ABS(L241)&lt;=Assumptions!$B$10)</f>
        <v>0</v>
      </c>
      <c r="P241" s="13">
        <v>44873</v>
      </c>
      <c r="Q241" s="14">
        <v>11038.439</v>
      </c>
      <c r="R241" s="15">
        <v>-5.1000000000000004E-3</v>
      </c>
      <c r="S241" s="17" t="str">
        <f t="shared" si="33"/>
        <v>BASELINE</v>
      </c>
      <c r="T241" s="16">
        <f t="shared" si="34"/>
        <v>7.3200000000000001E-3</v>
      </c>
      <c r="U241" s="16">
        <f>G241*Assumptions!$B$6</f>
        <v>8.2716000000000012E-2</v>
      </c>
      <c r="V241" s="16">
        <f>T241*Assumptions!$B$6</f>
        <v>8.2716000000000012E-2</v>
      </c>
      <c r="W241" s="16">
        <f t="shared" si="35"/>
        <v>0</v>
      </c>
      <c r="X241" s="18">
        <f t="shared" si="39"/>
        <v>176790.53143769928</v>
      </c>
      <c r="Y241" s="18">
        <f t="shared" si="40"/>
        <v>181893.26019078761</v>
      </c>
      <c r="Z241" s="19">
        <f t="shared" si="36"/>
        <v>-2.8053424012171146E-2</v>
      </c>
      <c r="AA241" s="18">
        <f t="shared" si="41"/>
        <v>932043.56486047106</v>
      </c>
      <c r="AB241" s="18">
        <f t="shared" si="42"/>
        <v>1199017.4191055186</v>
      </c>
      <c r="AC241" s="19">
        <f t="shared" si="37"/>
        <v>-0.22266053018997278</v>
      </c>
      <c r="AD241" s="20">
        <f t="shared" si="38"/>
        <v>755253.03342277184</v>
      </c>
      <c r="AE241" s="9" t="s">
        <v>91</v>
      </c>
    </row>
    <row r="242" spans="1:31" ht="18" customHeight="1">
      <c r="A242" s="4">
        <v>238</v>
      </c>
      <c r="B242" s="13">
        <v>44879</v>
      </c>
      <c r="C242" s="13">
        <v>44880</v>
      </c>
      <c r="D242" s="4" t="s">
        <v>98</v>
      </c>
      <c r="E242" s="14">
        <v>11731.319</v>
      </c>
      <c r="F242" s="14">
        <v>11994.898999999999</v>
      </c>
      <c r="G242" s="15">
        <v>2.2460000000000001E-2</v>
      </c>
      <c r="H242" s="16">
        <f t="shared" si="43"/>
        <v>3.3300000000000005E-3</v>
      </c>
      <c r="I242" s="17" t="b">
        <f>AND(A242&gt;2,H242&lt;=Assumptions!$B$7)</f>
        <v>0</v>
      </c>
      <c r="J242" s="15">
        <v>-6.0502956561995225E-3</v>
      </c>
      <c r="K242" s="15">
        <v>0.10440093701643671</v>
      </c>
      <c r="L242" s="15">
        <v>1.4748856513637332E-2</v>
      </c>
      <c r="M242" s="17" t="b">
        <f>J242&gt;=Assumptions!$B$8</f>
        <v>0</v>
      </c>
      <c r="N242" s="17" t="b">
        <f>AND(K242&lt;&gt;"",K242&lt;=Assumptions!$B$9)</f>
        <v>0</v>
      </c>
      <c r="O242" s="17" t="b">
        <f>AND(P242&lt;&gt;"",ABS(L242)&lt;=Assumptions!$B$10)</f>
        <v>0</v>
      </c>
      <c r="P242" s="13">
        <v>44880</v>
      </c>
      <c r="Q242" s="14">
        <v>11986.849</v>
      </c>
      <c r="R242" s="15">
        <v>6.7000000000000002E-4</v>
      </c>
      <c r="S242" s="17" t="str">
        <f t="shared" si="33"/>
        <v>BASELINE</v>
      </c>
      <c r="T242" s="16">
        <f t="shared" si="34"/>
        <v>2.2460000000000001E-2</v>
      </c>
      <c r="U242" s="16">
        <f>G242*Assumptions!$B$6</f>
        <v>0.25379800000000002</v>
      </c>
      <c r="V242" s="16">
        <f>T242*Assumptions!$B$6</f>
        <v>0.25379800000000002</v>
      </c>
      <c r="W242" s="16">
        <f t="shared" si="35"/>
        <v>0</v>
      </c>
      <c r="X242" s="18">
        <f t="shared" si="39"/>
        <v>221659.61473552446</v>
      </c>
      <c r="Y242" s="18">
        <f t="shared" si="40"/>
        <v>221659.61473552446</v>
      </c>
      <c r="Z242" s="19">
        <f t="shared" si="36"/>
        <v>0</v>
      </c>
      <c r="AA242" s="18">
        <f t="shared" si="41"/>
        <v>1168594.3575349289</v>
      </c>
      <c r="AB242" s="18">
        <f t="shared" si="42"/>
        <v>1199017.4191055186</v>
      </c>
      <c r="AC242" s="19">
        <f t="shared" si="37"/>
        <v>-2.5373327431127413E-2</v>
      </c>
      <c r="AD242" s="20">
        <f t="shared" si="38"/>
        <v>946934.74279940454</v>
      </c>
      <c r="AE242" s="9" t="s">
        <v>91</v>
      </c>
    </row>
    <row r="243" spans="1:31" ht="18" customHeight="1">
      <c r="A243" s="4">
        <v>239</v>
      </c>
      <c r="B243" s="13">
        <v>44886</v>
      </c>
      <c r="C243" s="13">
        <v>44890</v>
      </c>
      <c r="D243" s="4" t="s">
        <v>93</v>
      </c>
      <c r="E243" s="14">
        <v>11616.539000000001</v>
      </c>
      <c r="F243" s="14">
        <v>11764.659</v>
      </c>
      <c r="G243" s="15">
        <v>1.2749999999999999E-2</v>
      </c>
      <c r="H243" s="16">
        <f t="shared" si="43"/>
        <v>2.9780000000000001E-2</v>
      </c>
      <c r="I243" s="17" t="b">
        <f>AND(A243&gt;2,H243&lt;=Assumptions!$B$7)</f>
        <v>0</v>
      </c>
      <c r="J243" s="15">
        <v>-5.4085251610292984E-3</v>
      </c>
      <c r="K243" s="15">
        <v>3.4128647547637447E-2</v>
      </c>
      <c r="L243" s="15">
        <v>-7.6573667364844278E-3</v>
      </c>
      <c r="M243" s="17" t="b">
        <f>J243&gt;=Assumptions!$B$8</f>
        <v>0</v>
      </c>
      <c r="N243" s="17" t="b">
        <f>AND(K243&lt;&gt;"",K243&lt;=Assumptions!$B$9)</f>
        <v>0</v>
      </c>
      <c r="O243" s="17" t="b">
        <f>AND(P243&lt;&gt;"",ABS(L243)&lt;=Assumptions!$B$10)</f>
        <v>0</v>
      </c>
      <c r="P243" s="13">
        <v>44887</v>
      </c>
      <c r="Q243" s="14">
        <v>11585.249</v>
      </c>
      <c r="R243" s="15">
        <v>1.5480000000000001E-2</v>
      </c>
      <c r="S243" s="17" t="str">
        <f t="shared" si="33"/>
        <v>BASELINE</v>
      </c>
      <c r="T243" s="16">
        <f t="shared" si="34"/>
        <v>1.2749999999999999E-2</v>
      </c>
      <c r="U243" s="16">
        <f>G243*Assumptions!$B$6</f>
        <v>0.14407500000000001</v>
      </c>
      <c r="V243" s="16">
        <f>T243*Assumptions!$B$6</f>
        <v>0.14407500000000001</v>
      </c>
      <c r="W243" s="16">
        <f t="shared" si="35"/>
        <v>0</v>
      </c>
      <c r="X243" s="18">
        <f t="shared" si="39"/>
        <v>253595.22372854513</v>
      </c>
      <c r="Y243" s="18">
        <f t="shared" si="40"/>
        <v>253595.22372854513</v>
      </c>
      <c r="Z243" s="19">
        <f t="shared" si="36"/>
        <v>0</v>
      </c>
      <c r="AA243" s="18">
        <f t="shared" si="41"/>
        <v>1336959.5895967737</v>
      </c>
      <c r="AB243" s="18">
        <f t="shared" si="42"/>
        <v>1336959.5895967737</v>
      </c>
      <c r="AC243" s="19">
        <f t="shared" si="37"/>
        <v>0</v>
      </c>
      <c r="AD243" s="20">
        <f t="shared" si="38"/>
        <v>1083364.3658682285</v>
      </c>
      <c r="AE243" s="9" t="s">
        <v>91</v>
      </c>
    </row>
    <row r="244" spans="1:31" ht="18" customHeight="1">
      <c r="A244" s="4">
        <v>240</v>
      </c>
      <c r="B244" s="13">
        <v>44893</v>
      </c>
      <c r="C244" s="13">
        <v>44895</v>
      </c>
      <c r="D244" s="4" t="s">
        <v>95</v>
      </c>
      <c r="E244" s="14">
        <v>11681.179</v>
      </c>
      <c r="F244" s="14">
        <v>11634.454283999999</v>
      </c>
      <c r="G244" s="15">
        <v>-4.0000000000000001E-3</v>
      </c>
      <c r="H244" s="16">
        <f t="shared" si="43"/>
        <v>3.5209999999999998E-2</v>
      </c>
      <c r="I244" s="17" t="b">
        <f>AND(A244&gt;2,H244&lt;=Assumptions!$B$7)</f>
        <v>0</v>
      </c>
      <c r="J244" s="15">
        <v>-7.0958282768756042E-3</v>
      </c>
      <c r="K244" s="15">
        <v>5.1479159916125727E-2</v>
      </c>
      <c r="L244" s="15">
        <v>-1.3867291964054895E-2</v>
      </c>
      <c r="M244" s="17" t="b">
        <f>J244&gt;=Assumptions!$B$8</f>
        <v>0</v>
      </c>
      <c r="N244" s="17" t="b">
        <f>AND(K244&lt;&gt;"",K244&lt;=Assumptions!$B$9)</f>
        <v>0</v>
      </c>
      <c r="O244" s="17" t="b">
        <f>AND(P244&lt;&gt;"",ABS(L244)&lt;=Assumptions!$B$10)</f>
        <v>0</v>
      </c>
      <c r="P244" s="13">
        <v>44894</v>
      </c>
      <c r="Q244" s="14">
        <v>11598.939</v>
      </c>
      <c r="R244" s="15">
        <v>3.0599999999999998E-3</v>
      </c>
      <c r="S244" s="17" t="str">
        <f t="shared" si="33"/>
        <v>BASELINE</v>
      </c>
      <c r="T244" s="16">
        <f t="shared" si="34"/>
        <v>-4.0000000000000001E-3</v>
      </c>
      <c r="U244" s="16">
        <f>G244*Assumptions!$B$6</f>
        <v>-4.5200000000000004E-2</v>
      </c>
      <c r="V244" s="16">
        <f>T244*Assumptions!$B$6</f>
        <v>-4.5200000000000004E-2</v>
      </c>
      <c r="W244" s="16">
        <f t="shared" si="35"/>
        <v>0</v>
      </c>
      <c r="X244" s="18">
        <f t="shared" si="39"/>
        <v>242132.71961601489</v>
      </c>
      <c r="Y244" s="18">
        <f t="shared" si="40"/>
        <v>253595.22372854513</v>
      </c>
      <c r="Z244" s="19">
        <f t="shared" si="36"/>
        <v>-4.5200000000000018E-2</v>
      </c>
      <c r="AA244" s="18">
        <f t="shared" si="41"/>
        <v>1276529.0161469996</v>
      </c>
      <c r="AB244" s="18">
        <f t="shared" si="42"/>
        <v>1336959.5895967737</v>
      </c>
      <c r="AC244" s="19">
        <f t="shared" si="37"/>
        <v>-4.5200000000000018E-2</v>
      </c>
      <c r="AD244" s="20">
        <f t="shared" si="38"/>
        <v>1034396.2965309847</v>
      </c>
      <c r="AE244" s="9" t="s">
        <v>91</v>
      </c>
    </row>
    <row r="245" spans="1:31" ht="18" customHeight="1">
      <c r="A245" s="4">
        <v>241</v>
      </c>
      <c r="B245" s="13">
        <v>44900</v>
      </c>
      <c r="C245" s="13">
        <v>44903</v>
      </c>
      <c r="D245" s="4" t="s">
        <v>92</v>
      </c>
      <c r="E245" s="14">
        <v>11903.789000000001</v>
      </c>
      <c r="F245" s="14">
        <v>11487.419</v>
      </c>
      <c r="G245" s="15">
        <v>-3.4970000000000001E-2</v>
      </c>
      <c r="H245" s="16">
        <f t="shared" si="43"/>
        <v>8.7499999999999991E-3</v>
      </c>
      <c r="I245" s="17" t="b">
        <f>AND(A245&gt;2,H245&lt;=Assumptions!$B$7)</f>
        <v>0</v>
      </c>
      <c r="J245" s="15">
        <v>-6.8356349752566326E-3</v>
      </c>
      <c r="K245" s="15">
        <v>0.12307998423802169</v>
      </c>
      <c r="L245" s="15">
        <v>-1.7338289446258592E-2</v>
      </c>
      <c r="M245" s="17" t="b">
        <f>J245&gt;=Assumptions!$B$8</f>
        <v>0</v>
      </c>
      <c r="N245" s="17" t="b">
        <f>AND(K245&lt;&gt;"",K245&lt;=Assumptions!$B$9)</f>
        <v>0</v>
      </c>
      <c r="O245" s="17" t="b">
        <f>AND(P245&lt;&gt;"",ABS(L245)&lt;=Assumptions!$B$10)</f>
        <v>0</v>
      </c>
      <c r="P245" s="13">
        <v>44901</v>
      </c>
      <c r="Q245" s="14">
        <v>11781.808999999999</v>
      </c>
      <c r="R245" s="15">
        <v>-2.4979999999999999E-2</v>
      </c>
      <c r="S245" s="17" t="str">
        <f t="shared" si="33"/>
        <v>BASELINE</v>
      </c>
      <c r="T245" s="16">
        <f t="shared" si="34"/>
        <v>-3.4970000000000001E-2</v>
      </c>
      <c r="U245" s="16">
        <f>G245*Assumptions!$B$6</f>
        <v>-0.39516100000000004</v>
      </c>
      <c r="V245" s="16">
        <f>T245*Assumptions!$B$6</f>
        <v>-0.39516100000000004</v>
      </c>
      <c r="W245" s="16">
        <f t="shared" si="35"/>
        <v>0</v>
      </c>
      <c r="X245" s="18">
        <f t="shared" si="39"/>
        <v>146451.3119998308</v>
      </c>
      <c r="Y245" s="18">
        <f t="shared" si="40"/>
        <v>253595.22372854513</v>
      </c>
      <c r="Z245" s="19">
        <f t="shared" si="36"/>
        <v>-0.42249972280000014</v>
      </c>
      <c r="AA245" s="18">
        <f t="shared" si="41"/>
        <v>772094.53359733499</v>
      </c>
      <c r="AB245" s="18">
        <f t="shared" si="42"/>
        <v>1336959.5895967737</v>
      </c>
      <c r="AC245" s="19">
        <f t="shared" si="37"/>
        <v>-0.42249972280000003</v>
      </c>
      <c r="AD245" s="20">
        <f t="shared" si="38"/>
        <v>625643.22159750422</v>
      </c>
      <c r="AE245" s="9" t="s">
        <v>91</v>
      </c>
    </row>
    <row r="246" spans="1:31" ht="18" customHeight="1">
      <c r="A246" s="4">
        <v>242</v>
      </c>
      <c r="B246" s="13">
        <v>44907</v>
      </c>
      <c r="C246" s="13">
        <v>44907</v>
      </c>
      <c r="D246" s="4" t="s">
        <v>90</v>
      </c>
      <c r="E246" s="14">
        <v>11568.478999999999</v>
      </c>
      <c r="F246" s="14">
        <v>11687.039000000001</v>
      </c>
      <c r="G246" s="15">
        <v>1.0240000000000001E-2</v>
      </c>
      <c r="H246" s="16">
        <f t="shared" si="43"/>
        <v>-3.8970000000000005E-2</v>
      </c>
      <c r="I246" s="17" t="b">
        <f>AND(A246&gt;2,H246&lt;=Assumptions!$B$7)</f>
        <v>1</v>
      </c>
      <c r="J246" s="15">
        <v>6.738352705448758E-4</v>
      </c>
      <c r="K246" s="15">
        <v>-2.5124363803663563E-3</v>
      </c>
      <c r="L246" s="15">
        <v>5.1798628552485182E-2</v>
      </c>
      <c r="M246" s="17" t="b">
        <f>J246&gt;=Assumptions!$B$8</f>
        <v>0</v>
      </c>
      <c r="N246" s="17" t="b">
        <f>AND(K246&lt;&gt;"",K246&lt;=Assumptions!$B$9)</f>
        <v>0</v>
      </c>
      <c r="O246" s="17" t="b">
        <f>AND(P246&lt;&gt;"",ABS(L246)&lt;=Assumptions!$B$10)</f>
        <v>0</v>
      </c>
      <c r="P246" s="13">
        <v>44908</v>
      </c>
      <c r="Q246" s="14">
        <v>12160.869000000001</v>
      </c>
      <c r="R246" s="15">
        <v>-3.8960000000000002E-2</v>
      </c>
      <c r="S246" s="17" t="str">
        <f t="shared" si="33"/>
        <v>DAMAGE SKIP</v>
      </c>
      <c r="T246" s="16">
        <f t="shared" si="34"/>
        <v>0</v>
      </c>
      <c r="U246" s="16">
        <f>G246*Assumptions!$B$6</f>
        <v>0.11571200000000002</v>
      </c>
      <c r="V246" s="16">
        <f>T246*Assumptions!$B$6</f>
        <v>0</v>
      </c>
      <c r="W246" s="16">
        <f t="shared" si="35"/>
        <v>-0.11571200000000002</v>
      </c>
      <c r="X246" s="18">
        <f t="shared" si="39"/>
        <v>163397.48621395521</v>
      </c>
      <c r="Y246" s="18">
        <f t="shared" si="40"/>
        <v>253595.22372854513</v>
      </c>
      <c r="Z246" s="19">
        <f t="shared" si="36"/>
        <v>-0.35567601072463373</v>
      </c>
      <c r="AA246" s="18">
        <f t="shared" si="41"/>
        <v>772094.53359733499</v>
      </c>
      <c r="AB246" s="18">
        <f t="shared" si="42"/>
        <v>1336959.5895967737</v>
      </c>
      <c r="AC246" s="19">
        <f t="shared" si="37"/>
        <v>-0.42249972280000003</v>
      </c>
      <c r="AD246" s="20">
        <f t="shared" si="38"/>
        <v>608697.04738337977</v>
      </c>
      <c r="AE246" s="9" t="s">
        <v>94</v>
      </c>
    </row>
    <row r="247" spans="1:31" ht="18" customHeight="1">
      <c r="A247" s="4">
        <v>243</v>
      </c>
      <c r="B247" s="13">
        <v>44914</v>
      </c>
      <c r="C247" s="13">
        <v>44916</v>
      </c>
      <c r="D247" s="4" t="s">
        <v>95</v>
      </c>
      <c r="E247" s="14">
        <v>11245.579</v>
      </c>
      <c r="F247" s="14">
        <v>11200.596684</v>
      </c>
      <c r="G247" s="15">
        <v>-4.0000000000000001E-3</v>
      </c>
      <c r="H247" s="16">
        <f t="shared" si="43"/>
        <v>-3.4970000000000001E-2</v>
      </c>
      <c r="I247" s="17" t="b">
        <f>AND(A247&gt;2,H247&lt;=Assumptions!$B$7)</f>
        <v>1</v>
      </c>
      <c r="J247" s="15">
        <v>1.2063715291332766E-3</v>
      </c>
      <c r="K247" s="15">
        <v>-3.7074967082139421E-2</v>
      </c>
      <c r="L247" s="15">
        <v>-1.8406317513609216E-2</v>
      </c>
      <c r="M247" s="17" t="b">
        <f>J247&gt;=Assumptions!$B$8</f>
        <v>0</v>
      </c>
      <c r="N247" s="17" t="b">
        <f>AND(K247&lt;&gt;"",K247&lt;=Assumptions!$B$9)</f>
        <v>1</v>
      </c>
      <c r="O247" s="17" t="b">
        <f>AND(P247&lt;&gt;"",ABS(L247)&lt;=Assumptions!$B$10)</f>
        <v>0</v>
      </c>
      <c r="P247" s="13">
        <v>44915</v>
      </c>
      <c r="Q247" s="14">
        <v>11027.898999999999</v>
      </c>
      <c r="R247" s="15">
        <v>1.566E-2</v>
      </c>
      <c r="S247" s="17" t="str">
        <f t="shared" si="33"/>
        <v>DAMAGE SKIP</v>
      </c>
      <c r="T247" s="16">
        <f t="shared" si="34"/>
        <v>0</v>
      </c>
      <c r="U247" s="16">
        <f>G247*Assumptions!$B$6</f>
        <v>-4.5200000000000004E-2</v>
      </c>
      <c r="V247" s="16">
        <f>T247*Assumptions!$B$6</f>
        <v>0</v>
      </c>
      <c r="W247" s="16">
        <f t="shared" si="35"/>
        <v>4.5200000000000004E-2</v>
      </c>
      <c r="X247" s="18">
        <f t="shared" si="39"/>
        <v>156011.91983708442</v>
      </c>
      <c r="Y247" s="18">
        <f t="shared" si="40"/>
        <v>253595.22372854513</v>
      </c>
      <c r="Z247" s="19">
        <f t="shared" si="36"/>
        <v>-0.38479945503988033</v>
      </c>
      <c r="AA247" s="18">
        <f t="shared" si="41"/>
        <v>772094.53359733499</v>
      </c>
      <c r="AB247" s="18">
        <f t="shared" si="42"/>
        <v>1336959.5895967737</v>
      </c>
      <c r="AC247" s="19">
        <f t="shared" si="37"/>
        <v>-0.42249972280000003</v>
      </c>
      <c r="AD247" s="20">
        <f t="shared" si="38"/>
        <v>616082.61376025062</v>
      </c>
      <c r="AE247" s="9" t="s">
        <v>94</v>
      </c>
    </row>
    <row r="248" spans="1:31" ht="18" customHeight="1">
      <c r="A248" s="4">
        <v>244</v>
      </c>
      <c r="B248" s="13">
        <v>44922</v>
      </c>
      <c r="C248" s="13">
        <v>44924</v>
      </c>
      <c r="D248" s="4" t="s">
        <v>92</v>
      </c>
      <c r="E248" s="14">
        <v>10956.307000000001</v>
      </c>
      <c r="F248" s="14">
        <v>10693.148999999999</v>
      </c>
      <c r="G248" s="15">
        <v>-2.401E-2</v>
      </c>
      <c r="H248" s="16">
        <f t="shared" si="43"/>
        <v>0</v>
      </c>
      <c r="I248" s="17" t="b">
        <f>AND(A248&gt;2,H248&lt;=Assumptions!$B$7)</f>
        <v>0</v>
      </c>
      <c r="J248" s="15">
        <v>-1.9186746842526636E-3</v>
      </c>
      <c r="K248" s="15">
        <v>-6.5943135247716334E-2</v>
      </c>
      <c r="L248" s="15"/>
      <c r="M248" s="17" t="b">
        <f>J248&gt;=Assumptions!$B$8</f>
        <v>0</v>
      </c>
      <c r="N248" s="17" t="b">
        <f>AND(K248&lt;&gt;"",K248&lt;=Assumptions!$B$9)</f>
        <v>1</v>
      </c>
      <c r="O248" s="17" t="b">
        <f>AND(P248&lt;&gt;"",ABS(L248)&lt;=Assumptions!$B$10)</f>
        <v>0</v>
      </c>
      <c r="P248" s="13"/>
      <c r="Q248" s="14"/>
      <c r="R248" s="15"/>
      <c r="S248" s="17" t="str">
        <f t="shared" si="33"/>
        <v>BASELINE</v>
      </c>
      <c r="T248" s="16">
        <f t="shared" si="34"/>
        <v>-2.401E-2</v>
      </c>
      <c r="U248" s="16">
        <f>G248*Assumptions!$B$6</f>
        <v>-0.27131300000000003</v>
      </c>
      <c r="V248" s="16">
        <f>T248*Assumptions!$B$6</f>
        <v>-0.27131300000000003</v>
      </c>
      <c r="W248" s="16">
        <f t="shared" si="35"/>
        <v>0</v>
      </c>
      <c r="X248" s="18">
        <f t="shared" si="39"/>
        <v>113683.85783032553</v>
      </c>
      <c r="Y248" s="18">
        <f t="shared" si="40"/>
        <v>253595.22372854513</v>
      </c>
      <c r="Z248" s="19">
        <f t="shared" si="36"/>
        <v>-0.55171136049464531</v>
      </c>
      <c r="AA248" s="18">
        <f t="shared" si="41"/>
        <v>562615.24940344121</v>
      </c>
      <c r="AB248" s="18">
        <f t="shared" si="42"/>
        <v>1336959.5895967737</v>
      </c>
      <c r="AC248" s="19">
        <f t="shared" si="37"/>
        <v>-0.57918305550796367</v>
      </c>
      <c r="AD248" s="20">
        <f t="shared" si="38"/>
        <v>448931.39157311566</v>
      </c>
      <c r="AE248" s="9" t="s">
        <v>91</v>
      </c>
    </row>
    <row r="249" spans="1:31" ht="18" customHeight="1">
      <c r="A249" s="4">
        <v>245</v>
      </c>
      <c r="B249" s="13">
        <v>44929</v>
      </c>
      <c r="C249" s="13">
        <v>44931</v>
      </c>
      <c r="D249" s="4" t="s">
        <v>92</v>
      </c>
      <c r="E249" s="14">
        <v>11033.619000000001</v>
      </c>
      <c r="F249" s="14">
        <v>10906.709000000001</v>
      </c>
      <c r="G249" s="15">
        <v>-1.15E-2</v>
      </c>
      <c r="H249" s="16">
        <f t="shared" si="43"/>
        <v>-2.401E-2</v>
      </c>
      <c r="I249" s="17" t="b">
        <f>AND(A249&gt;2,H249&lt;=Assumptions!$B$7)</f>
        <v>1</v>
      </c>
      <c r="J249" s="15">
        <v>9.3990611368033328E-3</v>
      </c>
      <c r="K249" s="15">
        <v>-9.1249753467885109E-2</v>
      </c>
      <c r="L249" s="15"/>
      <c r="M249" s="17" t="b">
        <f>J249&gt;=Assumptions!$B$8</f>
        <v>0</v>
      </c>
      <c r="N249" s="17" t="b">
        <f>AND(K249&lt;&gt;"",K249&lt;=Assumptions!$B$9)</f>
        <v>1</v>
      </c>
      <c r="O249" s="17" t="b">
        <f>AND(P249&lt;&gt;"",ABS(L249)&lt;=Assumptions!$B$10)</f>
        <v>0</v>
      </c>
      <c r="P249" s="13"/>
      <c r="Q249" s="14"/>
      <c r="R249" s="15"/>
      <c r="S249" s="17" t="str">
        <f t="shared" si="33"/>
        <v>DAMAGE SKIP</v>
      </c>
      <c r="T249" s="16">
        <f t="shared" si="34"/>
        <v>0</v>
      </c>
      <c r="U249" s="16">
        <f>G249*Assumptions!$B$6</f>
        <v>-0.12995000000000001</v>
      </c>
      <c r="V249" s="16">
        <f>T249*Assumptions!$B$6</f>
        <v>0</v>
      </c>
      <c r="W249" s="16">
        <f t="shared" si="35"/>
        <v>0.12995000000000001</v>
      </c>
      <c r="X249" s="18">
        <f t="shared" si="39"/>
        <v>98910.640505274729</v>
      </c>
      <c r="Y249" s="18">
        <f t="shared" si="40"/>
        <v>253595.22372854513</v>
      </c>
      <c r="Z249" s="19">
        <f t="shared" si="36"/>
        <v>-0.60996646919836617</v>
      </c>
      <c r="AA249" s="18">
        <f t="shared" si="41"/>
        <v>562615.24940344121</v>
      </c>
      <c r="AB249" s="18">
        <f t="shared" si="42"/>
        <v>1336959.5895967737</v>
      </c>
      <c r="AC249" s="19">
        <f t="shared" si="37"/>
        <v>-0.57918305550796367</v>
      </c>
      <c r="AD249" s="20">
        <f t="shared" si="38"/>
        <v>463704.60889816645</v>
      </c>
      <c r="AE249" s="9" t="s">
        <v>94</v>
      </c>
    </row>
    <row r="250" spans="1:31" ht="18" customHeight="1">
      <c r="A250" s="4">
        <v>246</v>
      </c>
      <c r="B250" s="13">
        <v>44935</v>
      </c>
      <c r="C250" s="13">
        <v>44939</v>
      </c>
      <c r="D250" s="4" t="s">
        <v>93</v>
      </c>
      <c r="E250" s="14">
        <v>11120.257</v>
      </c>
      <c r="F250" s="14">
        <v>11533.799000000001</v>
      </c>
      <c r="G250" s="15">
        <v>3.7179999999999998E-2</v>
      </c>
      <c r="H250" s="16">
        <f t="shared" si="43"/>
        <v>-2.401E-2</v>
      </c>
      <c r="I250" s="17" t="b">
        <f>AND(A250&gt;2,H250&lt;=Assumptions!$B$7)</f>
        <v>1</v>
      </c>
      <c r="J250" s="15">
        <v>7.5645326997419993E-3</v>
      </c>
      <c r="K250" s="15">
        <v>-3.9520923374548489E-2</v>
      </c>
      <c r="L250" s="15">
        <v>2.5686287822208609E-3</v>
      </c>
      <c r="M250" s="17" t="b">
        <f>J250&gt;=Assumptions!$B$8</f>
        <v>0</v>
      </c>
      <c r="N250" s="17" t="b">
        <f>AND(K250&lt;&gt;"",K250&lt;=Assumptions!$B$9)</f>
        <v>1</v>
      </c>
      <c r="O250" s="17" t="b">
        <f>AND(P250&lt;&gt;"",ABS(L250)&lt;=Assumptions!$B$10)</f>
        <v>1</v>
      </c>
      <c r="P250" s="13">
        <v>44936</v>
      </c>
      <c r="Q250" s="14">
        <v>11064.679</v>
      </c>
      <c r="R250" s="15">
        <v>4.2389999999999997E-2</v>
      </c>
      <c r="S250" s="17" t="str">
        <f t="shared" si="33"/>
        <v>DAMAGE SKIP</v>
      </c>
      <c r="T250" s="16">
        <f t="shared" si="34"/>
        <v>0</v>
      </c>
      <c r="U250" s="16">
        <f>G250*Assumptions!$B$6</f>
        <v>0.42013400000000001</v>
      </c>
      <c r="V250" s="16">
        <f>T250*Assumptions!$B$6</f>
        <v>0</v>
      </c>
      <c r="W250" s="16">
        <f t="shared" si="35"/>
        <v>-0.42013400000000001</v>
      </c>
      <c r="X250" s="18">
        <f t="shared" si="39"/>
        <v>140466.36354331783</v>
      </c>
      <c r="Y250" s="18">
        <f t="shared" si="40"/>
        <v>253595.22372854513</v>
      </c>
      <c r="Z250" s="19">
        <f t="shared" si="36"/>
        <v>-0.44610012176855252</v>
      </c>
      <c r="AA250" s="18">
        <f t="shared" si="41"/>
        <v>562615.24940344121</v>
      </c>
      <c r="AB250" s="18">
        <f t="shared" si="42"/>
        <v>1336959.5895967737</v>
      </c>
      <c r="AC250" s="19">
        <f t="shared" si="37"/>
        <v>-0.57918305550796367</v>
      </c>
      <c r="AD250" s="20">
        <f t="shared" si="38"/>
        <v>422148.88586012338</v>
      </c>
      <c r="AE250" s="9" t="s">
        <v>94</v>
      </c>
    </row>
    <row r="251" spans="1:31" ht="18" customHeight="1">
      <c r="A251" s="4">
        <v>247</v>
      </c>
      <c r="B251" s="13">
        <v>44943</v>
      </c>
      <c r="C251" s="13">
        <v>44945</v>
      </c>
      <c r="D251" s="4" t="s">
        <v>92</v>
      </c>
      <c r="E251" s="14">
        <v>11529.329</v>
      </c>
      <c r="F251" s="14">
        <v>11399.709000000001</v>
      </c>
      <c r="G251" s="15">
        <v>-1.124E-2</v>
      </c>
      <c r="H251" s="16">
        <f t="shared" si="43"/>
        <v>0</v>
      </c>
      <c r="I251" s="17" t="b">
        <f>AND(A251&gt;2,H251&lt;=Assumptions!$B$7)</f>
        <v>0</v>
      </c>
      <c r="J251" s="15">
        <v>-3.8755660645739543E-4</v>
      </c>
      <c r="K251" s="15">
        <v>-1.6990876715049952E-2</v>
      </c>
      <c r="L251" s="15"/>
      <c r="M251" s="17" t="b">
        <f>J251&gt;=Assumptions!$B$8</f>
        <v>0</v>
      </c>
      <c r="N251" s="17" t="b">
        <f>AND(K251&lt;&gt;"",K251&lt;=Assumptions!$B$9)</f>
        <v>1</v>
      </c>
      <c r="O251" s="17" t="b">
        <f>AND(P251&lt;&gt;"",ABS(L251)&lt;=Assumptions!$B$10)</f>
        <v>0</v>
      </c>
      <c r="P251" s="13"/>
      <c r="Q251" s="14"/>
      <c r="R251" s="15"/>
      <c r="S251" s="17" t="str">
        <f t="shared" si="33"/>
        <v>BASELINE</v>
      </c>
      <c r="T251" s="16">
        <f t="shared" si="34"/>
        <v>-1.124E-2</v>
      </c>
      <c r="U251" s="16">
        <f>G251*Assumptions!$B$6</f>
        <v>-0.12701200000000001</v>
      </c>
      <c r="V251" s="16">
        <f>T251*Assumptions!$B$6</f>
        <v>-0.12701200000000001</v>
      </c>
      <c r="W251" s="16">
        <f t="shared" si="35"/>
        <v>0</v>
      </c>
      <c r="X251" s="18">
        <f t="shared" si="39"/>
        <v>122625.44977695394</v>
      </c>
      <c r="Y251" s="18">
        <f t="shared" si="40"/>
        <v>253595.22372854513</v>
      </c>
      <c r="Z251" s="19">
        <f t="shared" si="36"/>
        <v>-0.5164520531024851</v>
      </c>
      <c r="AA251" s="18">
        <f t="shared" si="41"/>
        <v>491156.36134621134</v>
      </c>
      <c r="AB251" s="18">
        <f t="shared" si="42"/>
        <v>1336959.5895967737</v>
      </c>
      <c r="AC251" s="19">
        <f t="shared" si="37"/>
        <v>-0.63263185726178617</v>
      </c>
      <c r="AD251" s="20">
        <f t="shared" si="38"/>
        <v>368530.91156925738</v>
      </c>
      <c r="AE251" s="9" t="s">
        <v>91</v>
      </c>
    </row>
    <row r="252" spans="1:31" ht="18" customHeight="1">
      <c r="A252" s="4">
        <v>248</v>
      </c>
      <c r="B252" s="13">
        <v>44949</v>
      </c>
      <c r="C252" s="13">
        <v>44949</v>
      </c>
      <c r="D252" s="4" t="s">
        <v>90</v>
      </c>
      <c r="E252" s="14">
        <v>11640.299000000001</v>
      </c>
      <c r="F252" s="14">
        <v>11853.239</v>
      </c>
      <c r="G252" s="15">
        <v>1.8290000000000001E-2</v>
      </c>
      <c r="H252" s="16">
        <f t="shared" si="43"/>
        <v>-1.124E-2</v>
      </c>
      <c r="I252" s="17" t="b">
        <f>AND(A252&gt;2,H252&lt;=Assumptions!$B$7)</f>
        <v>0</v>
      </c>
      <c r="J252" s="15">
        <v>3.3651520063469054E-3</v>
      </c>
      <c r="K252" s="15">
        <v>4.8748744606982086E-2</v>
      </c>
      <c r="L252" s="15">
        <v>1.6387327707101162E-2</v>
      </c>
      <c r="M252" s="17" t="b">
        <f>J252&gt;=Assumptions!$B$8</f>
        <v>0</v>
      </c>
      <c r="N252" s="17" t="b">
        <f>AND(K252&lt;&gt;"",K252&lt;=Assumptions!$B$9)</f>
        <v>0</v>
      </c>
      <c r="O252" s="17" t="b">
        <f>AND(P252&lt;&gt;"",ABS(L252)&lt;=Assumptions!$B$10)</f>
        <v>0</v>
      </c>
      <c r="P252" s="13">
        <v>44950</v>
      </c>
      <c r="Q252" s="14">
        <v>11795.549000000001</v>
      </c>
      <c r="R252" s="15">
        <v>4.8900000000000002E-3</v>
      </c>
      <c r="S252" s="17" t="str">
        <f t="shared" si="33"/>
        <v>BASELINE</v>
      </c>
      <c r="T252" s="16">
        <f t="shared" si="34"/>
        <v>1.8290000000000001E-2</v>
      </c>
      <c r="U252" s="16">
        <f>G252*Assumptions!$B$6</f>
        <v>0.20667700000000003</v>
      </c>
      <c r="V252" s="16">
        <f>T252*Assumptions!$B$6</f>
        <v>0.20667700000000003</v>
      </c>
      <c r="W252" s="16">
        <f t="shared" si="35"/>
        <v>0</v>
      </c>
      <c r="X252" s="18">
        <f t="shared" si="39"/>
        <v>147969.30986050545</v>
      </c>
      <c r="Y252" s="18">
        <f t="shared" si="40"/>
        <v>253595.22372854513</v>
      </c>
      <c r="Z252" s="19">
        <f t="shared" si="36"/>
        <v>-0.41651381408154742</v>
      </c>
      <c r="AA252" s="18">
        <f t="shared" si="41"/>
        <v>592667.0846401623</v>
      </c>
      <c r="AB252" s="18">
        <f t="shared" si="42"/>
        <v>1336959.5895967737</v>
      </c>
      <c r="AC252" s="19">
        <f t="shared" si="37"/>
        <v>-0.55670531162508041</v>
      </c>
      <c r="AD252" s="20">
        <f t="shared" si="38"/>
        <v>444697.77477965684</v>
      </c>
      <c r="AE252" s="9" t="s">
        <v>91</v>
      </c>
    </row>
    <row r="253" spans="1:31" ht="18" customHeight="1">
      <c r="A253" s="4">
        <v>249</v>
      </c>
      <c r="B253" s="13">
        <v>44956</v>
      </c>
      <c r="C253" s="13">
        <v>44959</v>
      </c>
      <c r="D253" s="4" t="s">
        <v>90</v>
      </c>
      <c r="E253" s="14">
        <v>12025.599</v>
      </c>
      <c r="F253" s="14">
        <v>12794.329</v>
      </c>
      <c r="G253" s="15">
        <v>6.3920000000000005E-2</v>
      </c>
      <c r="H253" s="16">
        <f t="shared" si="43"/>
        <v>7.0500000000000007E-3</v>
      </c>
      <c r="I253" s="17" t="b">
        <f>AND(A253&gt;2,H253&lt;=Assumptions!$B$7)</f>
        <v>0</v>
      </c>
      <c r="J253" s="15">
        <v>-1.2004877864827401E-2</v>
      </c>
      <c r="K253" s="15">
        <v>0.13902207046019766</v>
      </c>
      <c r="L253" s="15">
        <v>-2.0081654443596442E-2</v>
      </c>
      <c r="M253" s="17" t="b">
        <f>J253&gt;=Assumptions!$B$8</f>
        <v>0</v>
      </c>
      <c r="N253" s="17" t="b">
        <f>AND(K253&lt;&gt;"",K253&lt;=Assumptions!$B$9)</f>
        <v>0</v>
      </c>
      <c r="O253" s="17" t="b">
        <f>AND(P253&lt;&gt;"",ABS(L253)&lt;=Assumptions!$B$10)</f>
        <v>0</v>
      </c>
      <c r="P253" s="13">
        <v>44957</v>
      </c>
      <c r="Q253" s="14">
        <v>11919.119000000001</v>
      </c>
      <c r="R253" s="15">
        <v>7.3419999999999999E-2</v>
      </c>
      <c r="S253" s="17" t="str">
        <f t="shared" si="33"/>
        <v>BASELINE</v>
      </c>
      <c r="T253" s="16">
        <f t="shared" si="34"/>
        <v>6.3920000000000005E-2</v>
      </c>
      <c r="U253" s="16">
        <f>G253*Assumptions!$B$6</f>
        <v>0.72229600000000005</v>
      </c>
      <c r="V253" s="16">
        <f>T253*Assumptions!$B$6</f>
        <v>0.72229600000000005</v>
      </c>
      <c r="W253" s="16">
        <f t="shared" si="35"/>
        <v>0</v>
      </c>
      <c r="X253" s="18">
        <f t="shared" si="39"/>
        <v>254846.95049550911</v>
      </c>
      <c r="Y253" s="18">
        <f t="shared" si="40"/>
        <v>254846.95049550911</v>
      </c>
      <c r="Z253" s="19">
        <f t="shared" si="36"/>
        <v>0</v>
      </c>
      <c r="AA253" s="18">
        <f t="shared" si="41"/>
        <v>1020748.149207413</v>
      </c>
      <c r="AB253" s="18">
        <f t="shared" si="42"/>
        <v>1336959.5895967737</v>
      </c>
      <c r="AC253" s="19">
        <f t="shared" si="37"/>
        <v>-0.23651533139062941</v>
      </c>
      <c r="AD253" s="20">
        <f t="shared" si="38"/>
        <v>765901.19871190388</v>
      </c>
      <c r="AE253" s="9" t="s">
        <v>91</v>
      </c>
    </row>
    <row r="254" spans="1:31" ht="18" customHeight="1">
      <c r="A254" s="4">
        <v>250</v>
      </c>
      <c r="B254" s="13">
        <v>44963</v>
      </c>
      <c r="C254" s="13">
        <v>44964</v>
      </c>
      <c r="D254" s="4" t="s">
        <v>90</v>
      </c>
      <c r="E254" s="14">
        <v>12457.689</v>
      </c>
      <c r="F254" s="14">
        <v>12710.599</v>
      </c>
      <c r="G254" s="15">
        <v>2.0299999999999999E-2</v>
      </c>
      <c r="H254" s="16">
        <f t="shared" si="43"/>
        <v>8.2210000000000005E-2</v>
      </c>
      <c r="I254" s="17" t="b">
        <f>AND(A254&gt;2,H254&lt;=Assumptions!$B$7)</f>
        <v>0</v>
      </c>
      <c r="J254" s="15">
        <v>-9.2689505901708547E-3</v>
      </c>
      <c r="K254" s="15">
        <v>0.17051162790697671</v>
      </c>
      <c r="L254" s="15">
        <v>-8.8810299610586618E-3</v>
      </c>
      <c r="M254" s="17" t="b">
        <f>J254&gt;=Assumptions!$B$8</f>
        <v>0</v>
      </c>
      <c r="N254" s="17" t="b">
        <f>AND(K254&lt;&gt;"",K254&lt;=Assumptions!$B$9)</f>
        <v>0</v>
      </c>
      <c r="O254" s="17" t="b">
        <f>AND(P254&lt;&gt;"",ABS(L254)&lt;=Assumptions!$B$10)</f>
        <v>0</v>
      </c>
      <c r="P254" s="13">
        <v>44964</v>
      </c>
      <c r="Q254" s="14">
        <v>12455.749</v>
      </c>
      <c r="R254" s="15">
        <v>2.0459999999999999E-2</v>
      </c>
      <c r="S254" s="17" t="str">
        <f t="shared" si="33"/>
        <v>BASELINE</v>
      </c>
      <c r="T254" s="16">
        <f t="shared" si="34"/>
        <v>2.0299999999999999E-2</v>
      </c>
      <c r="U254" s="16">
        <f>G254*Assumptions!$B$6</f>
        <v>0.22939000000000001</v>
      </c>
      <c r="V254" s="16">
        <f>T254*Assumptions!$B$6</f>
        <v>0.22939000000000001</v>
      </c>
      <c r="W254" s="16">
        <f t="shared" si="35"/>
        <v>0</v>
      </c>
      <c r="X254" s="18">
        <f t="shared" si="39"/>
        <v>313306.29246967396</v>
      </c>
      <c r="Y254" s="18">
        <f t="shared" si="40"/>
        <v>313306.29246967396</v>
      </c>
      <c r="Z254" s="19">
        <f t="shared" si="36"/>
        <v>0</v>
      </c>
      <c r="AA254" s="18">
        <f t="shared" si="41"/>
        <v>1254897.5671541013</v>
      </c>
      <c r="AB254" s="18">
        <f t="shared" si="42"/>
        <v>1336959.5895967737</v>
      </c>
      <c r="AC254" s="19">
        <f t="shared" si="37"/>
        <v>-6.1379583258325932E-2</v>
      </c>
      <c r="AD254" s="20">
        <f t="shared" si="38"/>
        <v>941591.27468442731</v>
      </c>
      <c r="AE254" s="9" t="s">
        <v>91</v>
      </c>
    </row>
    <row r="255" spans="1:31" ht="18" customHeight="1">
      <c r="A255" s="4">
        <v>251</v>
      </c>
      <c r="B255" s="13">
        <v>44970</v>
      </c>
      <c r="C255" s="13">
        <v>44970</v>
      </c>
      <c r="D255" s="4" t="s">
        <v>90</v>
      </c>
      <c r="E255" s="14">
        <v>12359.459000000001</v>
      </c>
      <c r="F255" s="14">
        <v>12503.769</v>
      </c>
      <c r="G255" s="15">
        <v>1.167E-2</v>
      </c>
      <c r="H255" s="16">
        <f t="shared" si="43"/>
        <v>8.4220000000000003E-2</v>
      </c>
      <c r="I255" s="17" t="b">
        <f>AND(A255&gt;2,H255&lt;=Assumptions!$B$7)</f>
        <v>0</v>
      </c>
      <c r="J255" s="15">
        <v>4.8970549292155496E-3</v>
      </c>
      <c r="K255" s="15">
        <v>7.3995487459715958E-2</v>
      </c>
      <c r="L255" s="15">
        <v>1.0652945375322576E-2</v>
      </c>
      <c r="M255" s="17" t="b">
        <f>J255&gt;=Assumptions!$B$8</f>
        <v>0</v>
      </c>
      <c r="N255" s="17" t="b">
        <f>AND(K255&lt;&gt;"",K255&lt;=Assumptions!$B$9)</f>
        <v>0</v>
      </c>
      <c r="O255" s="17" t="b">
        <f>AND(P255&lt;&gt;"",ABS(L255)&lt;=Assumptions!$B$10)</f>
        <v>0</v>
      </c>
      <c r="P255" s="13">
        <v>44971</v>
      </c>
      <c r="Q255" s="14">
        <v>12429.879000000001</v>
      </c>
      <c r="R255" s="15">
        <v>5.94E-3</v>
      </c>
      <c r="S255" s="17" t="str">
        <f t="shared" si="33"/>
        <v>BASELINE</v>
      </c>
      <c r="T255" s="16">
        <f t="shared" si="34"/>
        <v>1.167E-2</v>
      </c>
      <c r="U255" s="16">
        <f>G255*Assumptions!$B$6</f>
        <v>0.13187100000000002</v>
      </c>
      <c r="V255" s="16">
        <f>T255*Assumptions!$B$6</f>
        <v>0.13187100000000002</v>
      </c>
      <c r="W255" s="16">
        <f t="shared" si="35"/>
        <v>0</v>
      </c>
      <c r="X255" s="18">
        <f t="shared" si="39"/>
        <v>354622.30656394234</v>
      </c>
      <c r="Y255" s="18">
        <f t="shared" si="40"/>
        <v>354622.30656394234</v>
      </c>
      <c r="Z255" s="19">
        <f t="shared" si="36"/>
        <v>0</v>
      </c>
      <c r="AA255" s="18">
        <f t="shared" si="41"/>
        <v>1420382.1642322799</v>
      </c>
      <c r="AB255" s="18">
        <f t="shared" si="42"/>
        <v>1420382.1642322799</v>
      </c>
      <c r="AC255" s="19">
        <f t="shared" si="37"/>
        <v>0</v>
      </c>
      <c r="AD255" s="20">
        <f t="shared" si="38"/>
        <v>1065759.8576683374</v>
      </c>
      <c r="AE255" s="9" t="s">
        <v>91</v>
      </c>
    </row>
    <row r="256" spans="1:31" ht="18" customHeight="1">
      <c r="A256" s="4">
        <v>252</v>
      </c>
      <c r="B256" s="13">
        <v>44978</v>
      </c>
      <c r="C256" s="13">
        <v>44980</v>
      </c>
      <c r="D256" s="4" t="s">
        <v>92</v>
      </c>
      <c r="E256" s="14">
        <v>12193.246999999999</v>
      </c>
      <c r="F256" s="14">
        <v>12143.439</v>
      </c>
      <c r="G256" s="15">
        <v>-4.0800000000000003E-3</v>
      </c>
      <c r="H256" s="16">
        <f t="shared" si="43"/>
        <v>3.1969999999999998E-2</v>
      </c>
      <c r="I256" s="17" t="b">
        <f>AND(A256&gt;2,H256&lt;=Assumptions!$B$7)</f>
        <v>0</v>
      </c>
      <c r="J256" s="15">
        <v>-1.2797186112014525E-2</v>
      </c>
      <c r="K256" s="15">
        <v>6.5373565794995425E-2</v>
      </c>
      <c r="L256" s="15"/>
      <c r="M256" s="17" t="b">
        <f>J256&gt;=Assumptions!$B$8</f>
        <v>0</v>
      </c>
      <c r="N256" s="17" t="b">
        <f>AND(K256&lt;&gt;"",K256&lt;=Assumptions!$B$9)</f>
        <v>0</v>
      </c>
      <c r="O256" s="17" t="b">
        <f>AND(P256&lt;&gt;"",ABS(L256)&lt;=Assumptions!$B$10)</f>
        <v>0</v>
      </c>
      <c r="P256" s="13"/>
      <c r="Q256" s="14"/>
      <c r="R256" s="15"/>
      <c r="S256" s="17" t="str">
        <f t="shared" si="33"/>
        <v>BASELINE</v>
      </c>
      <c r="T256" s="16">
        <f t="shared" si="34"/>
        <v>-4.0800000000000003E-3</v>
      </c>
      <c r="U256" s="16">
        <f>G256*Assumptions!$B$6</f>
        <v>-4.6104000000000006E-2</v>
      </c>
      <c r="V256" s="16">
        <f>T256*Assumptions!$B$6</f>
        <v>-4.6104000000000006E-2</v>
      </c>
      <c r="W256" s="16">
        <f t="shared" si="35"/>
        <v>0</v>
      </c>
      <c r="X256" s="18">
        <f t="shared" si="39"/>
        <v>338272.79974211834</v>
      </c>
      <c r="Y256" s="18">
        <f t="shared" si="40"/>
        <v>354622.30656394234</v>
      </c>
      <c r="Z256" s="19">
        <f t="shared" si="36"/>
        <v>-4.6104000000000034E-2</v>
      </c>
      <c r="AA256" s="18">
        <f t="shared" si="41"/>
        <v>1354896.8649325147</v>
      </c>
      <c r="AB256" s="18">
        <f t="shared" si="42"/>
        <v>1420382.1642322799</v>
      </c>
      <c r="AC256" s="19">
        <f t="shared" si="37"/>
        <v>-4.6104000000000034E-2</v>
      </c>
      <c r="AD256" s="20">
        <f t="shared" si="38"/>
        <v>1016624.0651903964</v>
      </c>
      <c r="AE256" s="9" t="s">
        <v>91</v>
      </c>
    </row>
    <row r="257" spans="1:31" ht="18" customHeight="1">
      <c r="A257" s="4">
        <v>253</v>
      </c>
      <c r="B257" s="13">
        <v>44984</v>
      </c>
      <c r="C257" s="13">
        <v>44986</v>
      </c>
      <c r="D257" s="4" t="s">
        <v>99</v>
      </c>
      <c r="E257" s="14">
        <v>12105.699000000001</v>
      </c>
      <c r="F257" s="14">
        <v>12058.119000000001</v>
      </c>
      <c r="G257" s="15">
        <v>-3.9300000000000003E-3</v>
      </c>
      <c r="H257" s="16">
        <f t="shared" si="43"/>
        <v>7.5899999999999995E-3</v>
      </c>
      <c r="I257" s="17" t="b">
        <f>AND(A257&gt;2,H257&lt;=Assumptions!$B$7)</f>
        <v>0</v>
      </c>
      <c r="J257" s="15">
        <v>1.1334141295731293E-2</v>
      </c>
      <c r="K257" s="15">
        <v>-5.0772825305535063E-3</v>
      </c>
      <c r="L257" s="15">
        <v>4.9642359627457555E-3</v>
      </c>
      <c r="M257" s="17" t="b">
        <f>J257&gt;=Assumptions!$B$8</f>
        <v>1</v>
      </c>
      <c r="N257" s="17" t="b">
        <f>AND(K257&lt;&gt;"",K257&lt;=Assumptions!$B$9)</f>
        <v>1</v>
      </c>
      <c r="O257" s="17" t="b">
        <f>AND(P257&lt;&gt;"",ABS(L257)&lt;=Assumptions!$B$10)</f>
        <v>1</v>
      </c>
      <c r="P257" s="13">
        <v>44985</v>
      </c>
      <c r="Q257" s="14">
        <v>12028.919</v>
      </c>
      <c r="R257" s="15">
        <v>2.4199999999999998E-3</v>
      </c>
      <c r="S257" s="17" t="str">
        <f t="shared" si="33"/>
        <v>TUESDAY RE-ENTRY</v>
      </c>
      <c r="T257" s="16">
        <f t="shared" si="34"/>
        <v>2.4199999999999998E-3</v>
      </c>
      <c r="U257" s="16">
        <f>G257*Assumptions!$B$6</f>
        <v>-4.4409000000000004E-2</v>
      </c>
      <c r="V257" s="16">
        <f>T257*Assumptions!$B$6</f>
        <v>2.7345999999999999E-2</v>
      </c>
      <c r="W257" s="16">
        <f t="shared" si="35"/>
        <v>7.1754999999999999E-2</v>
      </c>
      <c r="X257" s="18">
        <f t="shared" si="39"/>
        <v>323250.44297837059</v>
      </c>
      <c r="Y257" s="18">
        <f t="shared" si="40"/>
        <v>354622.30656394234</v>
      </c>
      <c r="Z257" s="19">
        <f t="shared" si="36"/>
        <v>-8.8465567464000028E-2</v>
      </c>
      <c r="AA257" s="18">
        <f t="shared" si="41"/>
        <v>1391947.8746009595</v>
      </c>
      <c r="AB257" s="18">
        <f t="shared" si="42"/>
        <v>1420382.1642322799</v>
      </c>
      <c r="AC257" s="19">
        <f t="shared" si="37"/>
        <v>-2.0018759983999934E-2</v>
      </c>
      <c r="AD257" s="20">
        <f t="shared" si="38"/>
        <v>1068697.431622589</v>
      </c>
      <c r="AE257" s="9" t="s">
        <v>105</v>
      </c>
    </row>
    <row r="258" spans="1:31" ht="18" customHeight="1">
      <c r="A258" s="4">
        <v>254</v>
      </c>
      <c r="B258" s="13">
        <v>44991</v>
      </c>
      <c r="C258" s="13">
        <v>44994</v>
      </c>
      <c r="D258" s="4" t="s">
        <v>92</v>
      </c>
      <c r="E258" s="14">
        <v>12340.329</v>
      </c>
      <c r="F258" s="14">
        <v>12219.009</v>
      </c>
      <c r="G258" s="15">
        <v>-9.8300000000000002E-3</v>
      </c>
      <c r="H258" s="16">
        <f t="shared" si="43"/>
        <v>-1.6600000000000005E-3</v>
      </c>
      <c r="I258" s="17" t="b">
        <f>AND(A258&gt;2,H258&lt;=Assumptions!$B$7)</f>
        <v>0</v>
      </c>
      <c r="J258" s="15">
        <v>4.1638325291422085E-3</v>
      </c>
      <c r="K258" s="15">
        <v>-3.8633044620873802E-2</v>
      </c>
      <c r="L258" s="15">
        <v>1.3092946386583648E-3</v>
      </c>
      <c r="M258" s="17" t="b">
        <f>J258&gt;=Assumptions!$B$8</f>
        <v>0</v>
      </c>
      <c r="N258" s="17" t="b">
        <f>AND(K258&lt;&gt;"",K258&lt;=Assumptions!$B$9)</f>
        <v>1</v>
      </c>
      <c r="O258" s="17" t="b">
        <f>AND(P258&lt;&gt;"",ABS(L258)&lt;=Assumptions!$B$10)</f>
        <v>1</v>
      </c>
      <c r="P258" s="13">
        <v>44992</v>
      </c>
      <c r="Q258" s="14">
        <v>12303.648999999999</v>
      </c>
      <c r="R258" s="15">
        <v>-6.8700000000000002E-3</v>
      </c>
      <c r="S258" s="17" t="str">
        <f t="shared" si="33"/>
        <v>BASELINE</v>
      </c>
      <c r="T258" s="16">
        <f t="shared" si="34"/>
        <v>-9.8300000000000002E-3</v>
      </c>
      <c r="U258" s="16">
        <f>G258*Assumptions!$B$6</f>
        <v>-0.11107900000000001</v>
      </c>
      <c r="V258" s="16">
        <f>T258*Assumptions!$B$6</f>
        <v>-0.11107900000000001</v>
      </c>
      <c r="W258" s="16">
        <f t="shared" si="35"/>
        <v>0</v>
      </c>
      <c r="X258" s="18">
        <f t="shared" si="39"/>
        <v>287344.10702277615</v>
      </c>
      <c r="Y258" s="18">
        <f t="shared" si="40"/>
        <v>354622.30656394234</v>
      </c>
      <c r="Z258" s="19">
        <f t="shared" si="36"/>
        <v>-0.18971790069566641</v>
      </c>
      <c r="AA258" s="18">
        <f t="shared" si="41"/>
        <v>1237331.6966381595</v>
      </c>
      <c r="AB258" s="18">
        <f t="shared" si="42"/>
        <v>1420382.1642322799</v>
      </c>
      <c r="AC258" s="19">
        <f t="shared" si="37"/>
        <v>-0.12887409614373724</v>
      </c>
      <c r="AD258" s="20">
        <f t="shared" si="38"/>
        <v>949987.5896153833</v>
      </c>
      <c r="AE258" s="9" t="s">
        <v>91</v>
      </c>
    </row>
    <row r="259" spans="1:31" ht="18" customHeight="1">
      <c r="A259" s="4">
        <v>255</v>
      </c>
      <c r="B259" s="13">
        <v>44998</v>
      </c>
      <c r="C259" s="13">
        <v>44998</v>
      </c>
      <c r="D259" s="4" t="s">
        <v>90</v>
      </c>
      <c r="E259" s="14">
        <v>11758.558999999999</v>
      </c>
      <c r="F259" s="14">
        <v>11916.699000000001</v>
      </c>
      <c r="G259" s="15">
        <v>1.3440000000000001E-2</v>
      </c>
      <c r="H259" s="16">
        <f t="shared" si="43"/>
        <v>-7.4099999999999999E-3</v>
      </c>
      <c r="I259" s="17" t="b">
        <f>AND(A259&gt;2,H259&lt;=Assumptions!$B$7)</f>
        <v>0</v>
      </c>
      <c r="J259" s="15">
        <v>-6.5704493344178605E-3</v>
      </c>
      <c r="K259" s="15">
        <v>-4.3521658326415746E-2</v>
      </c>
      <c r="L259" s="15">
        <v>1.9964652515960912E-2</v>
      </c>
      <c r="M259" s="17" t="b">
        <f>J259&gt;=Assumptions!$B$8</f>
        <v>0</v>
      </c>
      <c r="N259" s="17" t="b">
        <f>AND(K259&lt;&gt;"",K259&lt;=Assumptions!$B$9)</f>
        <v>1</v>
      </c>
      <c r="O259" s="17" t="b">
        <f>AND(P259&lt;&gt;"",ABS(L259)&lt;=Assumptions!$B$10)</f>
        <v>0</v>
      </c>
      <c r="P259" s="13">
        <v>44999</v>
      </c>
      <c r="Q259" s="14">
        <v>12068.569</v>
      </c>
      <c r="R259" s="15">
        <v>-1.2579999999999999E-2</v>
      </c>
      <c r="S259" s="17" t="str">
        <f t="shared" si="33"/>
        <v>BASELINE</v>
      </c>
      <c r="T259" s="16">
        <f t="shared" si="34"/>
        <v>1.3440000000000001E-2</v>
      </c>
      <c r="U259" s="16">
        <f>G259*Assumptions!$B$6</f>
        <v>0.15187200000000001</v>
      </c>
      <c r="V259" s="16">
        <f>T259*Assumptions!$B$6</f>
        <v>0.15187200000000001</v>
      </c>
      <c r="W259" s="16">
        <f t="shared" si="35"/>
        <v>0</v>
      </c>
      <c r="X259" s="18">
        <f t="shared" si="39"/>
        <v>330983.63124453923</v>
      </c>
      <c r="Y259" s="18">
        <f t="shared" si="40"/>
        <v>354622.30656394234</v>
      </c>
      <c r="Z259" s="19">
        <f t="shared" si="36"/>
        <v>-6.6658737710118654E-2</v>
      </c>
      <c r="AA259" s="18">
        <f t="shared" si="41"/>
        <v>1425247.7360699901</v>
      </c>
      <c r="AB259" s="18">
        <f t="shared" si="42"/>
        <v>1425247.7360699901</v>
      </c>
      <c r="AC259" s="19">
        <f t="shared" si="37"/>
        <v>0</v>
      </c>
      <c r="AD259" s="20">
        <f t="shared" si="38"/>
        <v>1094264.1048254508</v>
      </c>
      <c r="AE259" s="9" t="s">
        <v>91</v>
      </c>
    </row>
    <row r="260" spans="1:31" ht="18" customHeight="1">
      <c r="A260" s="4">
        <v>256</v>
      </c>
      <c r="B260" s="13">
        <v>45005</v>
      </c>
      <c r="C260" s="13">
        <v>45006</v>
      </c>
      <c r="D260" s="4" t="s">
        <v>90</v>
      </c>
      <c r="E260" s="14">
        <v>12493.147000000001</v>
      </c>
      <c r="F260" s="14">
        <v>12746.599</v>
      </c>
      <c r="G260" s="15">
        <v>2.0279999999999999E-2</v>
      </c>
      <c r="H260" s="16">
        <f t="shared" si="43"/>
        <v>3.6100000000000004E-3</v>
      </c>
      <c r="I260" s="17" t="b">
        <f>AND(A260&gt;2,H260&lt;=Assumptions!$B$7)</f>
        <v>0</v>
      </c>
      <c r="J260" s="15">
        <v>-2.9060879157836172E-3</v>
      </c>
      <c r="K260" s="15">
        <v>6.792556267570582E-3</v>
      </c>
      <c r="L260" s="15">
        <v>1.0013845402961019E-2</v>
      </c>
      <c r="M260" s="17" t="b">
        <f>J260&gt;=Assumptions!$B$8</f>
        <v>0</v>
      </c>
      <c r="N260" s="17" t="b">
        <f>AND(K260&lt;&gt;"",K260&lt;=Assumptions!$B$9)</f>
        <v>0</v>
      </c>
      <c r="O260" s="17" t="b">
        <f>AND(P260&lt;&gt;"",ABS(L260)&lt;=Assumptions!$B$10)</f>
        <v>0</v>
      </c>
      <c r="P260" s="13">
        <v>45006</v>
      </c>
      <c r="Q260" s="14">
        <v>12645.638999999999</v>
      </c>
      <c r="R260" s="15">
        <v>7.9799999999999992E-3</v>
      </c>
      <c r="S260" s="17" t="str">
        <f t="shared" si="33"/>
        <v>BASELINE</v>
      </c>
      <c r="T260" s="16">
        <f t="shared" si="34"/>
        <v>2.0279999999999999E-2</v>
      </c>
      <c r="U260" s="16">
        <f>G260*Assumptions!$B$6</f>
        <v>0.22916400000000001</v>
      </c>
      <c r="V260" s="16">
        <f>T260*Assumptions!$B$6</f>
        <v>0.22916400000000001</v>
      </c>
      <c r="W260" s="16">
        <f t="shared" si="35"/>
        <v>0</v>
      </c>
      <c r="X260" s="18">
        <f t="shared" si="39"/>
        <v>406833.1641150628</v>
      </c>
      <c r="Y260" s="18">
        <f t="shared" si="40"/>
        <v>406833.1641150628</v>
      </c>
      <c r="Z260" s="19">
        <f t="shared" si="36"/>
        <v>0</v>
      </c>
      <c r="AA260" s="18">
        <f t="shared" si="41"/>
        <v>1751863.2082587332</v>
      </c>
      <c r="AB260" s="18">
        <f t="shared" si="42"/>
        <v>1751863.2082587332</v>
      </c>
      <c r="AC260" s="19">
        <f t="shared" si="37"/>
        <v>0</v>
      </c>
      <c r="AD260" s="20">
        <f t="shared" si="38"/>
        <v>1345030.0441436702</v>
      </c>
      <c r="AE260" s="9" t="s">
        <v>91</v>
      </c>
    </row>
    <row r="261" spans="1:31" ht="18" customHeight="1">
      <c r="A261" s="4">
        <v>257</v>
      </c>
      <c r="B261" s="13">
        <v>45012</v>
      </c>
      <c r="C261" s="13">
        <v>45014</v>
      </c>
      <c r="D261" s="4" t="s">
        <v>99</v>
      </c>
      <c r="E261" s="14">
        <v>12794.267</v>
      </c>
      <c r="F261" s="14">
        <v>12743.166999999999</v>
      </c>
      <c r="G261" s="15">
        <v>-3.9899999999999996E-3</v>
      </c>
      <c r="H261" s="16">
        <f t="shared" si="43"/>
        <v>3.372E-2</v>
      </c>
      <c r="I261" s="17" t="b">
        <f>AND(A261&gt;2,H261&lt;=Assumptions!$B$7)</f>
        <v>0</v>
      </c>
      <c r="J261" s="15">
        <v>1.5404018086218052E-3</v>
      </c>
      <c r="K261" s="15">
        <v>6.6883439461681071E-2</v>
      </c>
      <c r="L261" s="15">
        <v>-8.7459949464691045E-3</v>
      </c>
      <c r="M261" s="17" t="b">
        <f>J261&gt;=Assumptions!$B$8</f>
        <v>0</v>
      </c>
      <c r="N261" s="17" t="b">
        <f>AND(K261&lt;&gt;"",K261&lt;=Assumptions!$B$9)</f>
        <v>0</v>
      </c>
      <c r="O261" s="17" t="b">
        <f>AND(P261&lt;&gt;"",ABS(L261)&lt;=Assumptions!$B$10)</f>
        <v>0</v>
      </c>
      <c r="P261" s="13">
        <v>45013</v>
      </c>
      <c r="Q261" s="14">
        <v>12654.478999999999</v>
      </c>
      <c r="R261" s="15">
        <v>7.0000000000000001E-3</v>
      </c>
      <c r="S261" s="17" t="str">
        <f t="shared" ref="S261:S324" si="44">IF(I261,"DAMAGE SKIP",IF(AND(M261,N261),IF(O261,"TUESDAY RE-ENTRY","GAP/MOM SKIP"),"BASELINE"))</f>
        <v>BASELINE</v>
      </c>
      <c r="T261" s="16">
        <f t="shared" ref="T261:T324" si="45">IF(I261,0,IF(AND(M261,N261),IF(O261,R261,0),G261))</f>
        <v>-3.9899999999999996E-3</v>
      </c>
      <c r="U261" s="16">
        <f>G261*Assumptions!$B$6</f>
        <v>-4.5086999999999995E-2</v>
      </c>
      <c r="V261" s="16">
        <f>T261*Assumptions!$B$6</f>
        <v>-4.5086999999999995E-2</v>
      </c>
      <c r="W261" s="16">
        <f t="shared" ref="W261:W324" si="46">V261-U261</f>
        <v>0</v>
      </c>
      <c r="X261" s="18">
        <f t="shared" si="39"/>
        <v>388490.27724460699</v>
      </c>
      <c r="Y261" s="18">
        <f t="shared" si="40"/>
        <v>406833.1641150628</v>
      </c>
      <c r="Z261" s="19">
        <f t="shared" ref="Z261:Z324" si="47">X261/Y261-1</f>
        <v>-4.5086999999999988E-2</v>
      </c>
      <c r="AA261" s="18">
        <f t="shared" si="41"/>
        <v>1672876.9517879717</v>
      </c>
      <c r="AB261" s="18">
        <f t="shared" si="42"/>
        <v>1751863.2082587332</v>
      </c>
      <c r="AC261" s="19">
        <f t="shared" ref="AC261:AC324" si="48">AA261/AB261-1</f>
        <v>-4.5086999999999988E-2</v>
      </c>
      <c r="AD261" s="20">
        <f t="shared" ref="AD261:AD324" si="49">AA261-X261</f>
        <v>1284386.6745433647</v>
      </c>
      <c r="AE261" s="9" t="s">
        <v>91</v>
      </c>
    </row>
    <row r="262" spans="1:31" ht="18" customHeight="1">
      <c r="A262" s="4">
        <v>258</v>
      </c>
      <c r="B262" s="13">
        <v>45019</v>
      </c>
      <c r="C262" s="13">
        <v>45022</v>
      </c>
      <c r="D262" s="4" t="s">
        <v>92</v>
      </c>
      <c r="E262" s="14">
        <v>13086.549000000001</v>
      </c>
      <c r="F262" s="14">
        <v>12952.269</v>
      </c>
      <c r="G262" s="15">
        <v>-1.026E-2</v>
      </c>
      <c r="H262" s="16">
        <f t="shared" si="43"/>
        <v>1.6289999999999999E-2</v>
      </c>
      <c r="I262" s="17" t="b">
        <f>AND(A262&gt;2,H262&lt;=Assumptions!$B$7)</f>
        <v>0</v>
      </c>
      <c r="J262" s="15">
        <v>-6.4344450763740291E-3</v>
      </c>
      <c r="K262" s="15">
        <v>7.2569431522537142E-2</v>
      </c>
      <c r="L262" s="15">
        <v>-1.0188342391389549E-3</v>
      </c>
      <c r="M262" s="17" t="b">
        <f>J262&gt;=Assumptions!$B$8</f>
        <v>0</v>
      </c>
      <c r="N262" s="17" t="b">
        <f>AND(K262&lt;&gt;"",K262&lt;=Assumptions!$B$9)</f>
        <v>0</v>
      </c>
      <c r="O262" s="17" t="b">
        <f>AND(P262&lt;&gt;"",ABS(L262)&lt;=Assumptions!$B$10)</f>
        <v>1</v>
      </c>
      <c r="P262" s="13">
        <v>45020</v>
      </c>
      <c r="Q262" s="14">
        <v>13161.179</v>
      </c>
      <c r="R262" s="15">
        <v>-1.5869999999999999E-2</v>
      </c>
      <c r="S262" s="17" t="str">
        <f t="shared" si="44"/>
        <v>BASELINE</v>
      </c>
      <c r="T262" s="16">
        <f t="shared" si="45"/>
        <v>-1.026E-2</v>
      </c>
      <c r="U262" s="16">
        <f>G262*Assumptions!$B$6</f>
        <v>-0.11593800000000001</v>
      </c>
      <c r="V262" s="16">
        <f>T262*Assumptions!$B$6</f>
        <v>-0.11593800000000001</v>
      </c>
      <c r="W262" s="16">
        <f t="shared" si="46"/>
        <v>0</v>
      </c>
      <c r="X262" s="18">
        <f t="shared" ref="X262:X325" si="50">X261*(1+U262)</f>
        <v>343449.49148142175</v>
      </c>
      <c r="Y262" s="18">
        <f t="shared" ref="Y262:Y325" si="51">MAX(Y261,X262)</f>
        <v>406833.1641150628</v>
      </c>
      <c r="Z262" s="19">
        <f t="shared" si="47"/>
        <v>-0.1557977033939999</v>
      </c>
      <c r="AA262" s="18">
        <f t="shared" ref="AA262:AA325" si="52">AA261*(1+V262)</f>
        <v>1478926.9437515778</v>
      </c>
      <c r="AB262" s="18">
        <f t="shared" ref="AB262:AB325" si="53">MAX(AB261,AA262)</f>
        <v>1751863.2082587332</v>
      </c>
      <c r="AC262" s="19">
        <f t="shared" si="48"/>
        <v>-0.15579770339400001</v>
      </c>
      <c r="AD262" s="20">
        <f t="shared" si="49"/>
        <v>1135477.452270156</v>
      </c>
      <c r="AE262" s="9" t="s">
        <v>91</v>
      </c>
    </row>
    <row r="263" spans="1:31" ht="18" customHeight="1">
      <c r="A263" s="4">
        <v>259</v>
      </c>
      <c r="B263" s="13">
        <v>45026</v>
      </c>
      <c r="C263" s="13">
        <v>45026</v>
      </c>
      <c r="D263" s="4" t="s">
        <v>90</v>
      </c>
      <c r="E263" s="14">
        <v>12930.019</v>
      </c>
      <c r="F263" s="14">
        <v>13050.718999999999</v>
      </c>
      <c r="G263" s="15">
        <v>9.3299999999999998E-3</v>
      </c>
      <c r="H263" s="16">
        <f t="shared" ref="H263:H326" si="54">SUM(T261:T262)</f>
        <v>-1.4249999999999999E-2</v>
      </c>
      <c r="I263" s="17" t="b">
        <f>AND(A263&gt;2,H263&lt;=Assumptions!$B$7)</f>
        <v>0</v>
      </c>
      <c r="J263" s="15">
        <v>-9.4656032648210431E-3</v>
      </c>
      <c r="K263" s="15">
        <v>8.8440605978722164E-2</v>
      </c>
      <c r="L263" s="15">
        <v>-6.9067367737574159E-4</v>
      </c>
      <c r="M263" s="17" t="b">
        <f>J263&gt;=Assumptions!$B$8</f>
        <v>0</v>
      </c>
      <c r="N263" s="17" t="b">
        <f>AND(K263&lt;&gt;"",K263&lt;=Assumptions!$B$9)</f>
        <v>0</v>
      </c>
      <c r="O263" s="17" t="b">
        <f>AND(P263&lt;&gt;"",ABS(L263)&lt;=Assumptions!$B$10)</f>
        <v>1</v>
      </c>
      <c r="P263" s="13">
        <v>45027</v>
      </c>
      <c r="Q263" s="14">
        <v>13047.718999999999</v>
      </c>
      <c r="R263" s="15">
        <v>2.2000000000000001E-4</v>
      </c>
      <c r="S263" s="17" t="str">
        <f t="shared" si="44"/>
        <v>BASELINE</v>
      </c>
      <c r="T263" s="16">
        <f t="shared" si="45"/>
        <v>9.3299999999999998E-3</v>
      </c>
      <c r="U263" s="16">
        <f>G263*Assumptions!$B$6</f>
        <v>0.10542900000000001</v>
      </c>
      <c r="V263" s="16">
        <f>T263*Assumptions!$B$6</f>
        <v>0.10542900000000001</v>
      </c>
      <c r="W263" s="16">
        <f t="shared" si="46"/>
        <v>0</v>
      </c>
      <c r="X263" s="18">
        <f t="shared" si="50"/>
        <v>379659.02791881654</v>
      </c>
      <c r="Y263" s="18">
        <f t="shared" si="51"/>
        <v>406833.1641150628</v>
      </c>
      <c r="Z263" s="19">
        <f t="shared" si="47"/>
        <v>-6.6794299465125939E-2</v>
      </c>
      <c r="AA263" s="18">
        <f t="shared" si="52"/>
        <v>1634848.7325043629</v>
      </c>
      <c r="AB263" s="18">
        <f t="shared" si="53"/>
        <v>1751863.2082587332</v>
      </c>
      <c r="AC263" s="19">
        <f t="shared" si="48"/>
        <v>-6.679429946512605E-2</v>
      </c>
      <c r="AD263" s="20">
        <f t="shared" si="49"/>
        <v>1255189.7045855464</v>
      </c>
      <c r="AE263" s="9" t="s">
        <v>91</v>
      </c>
    </row>
    <row r="264" spans="1:31" ht="18" customHeight="1">
      <c r="A264" s="4">
        <v>260</v>
      </c>
      <c r="B264" s="13">
        <v>45033</v>
      </c>
      <c r="C264" s="13">
        <v>45036</v>
      </c>
      <c r="D264" s="4" t="s">
        <v>92</v>
      </c>
      <c r="E264" s="14">
        <v>13061.519</v>
      </c>
      <c r="F264" s="14">
        <v>13006.999</v>
      </c>
      <c r="G264" s="15">
        <v>-4.1700000000000001E-3</v>
      </c>
      <c r="H264" s="16">
        <f t="shared" si="54"/>
        <v>-9.3000000000000027E-4</v>
      </c>
      <c r="I264" s="17" t="b">
        <f>AND(A264&gt;2,H264&lt;=Assumptions!$B$7)</f>
        <v>0</v>
      </c>
      <c r="J264" s="15">
        <v>-1.6692960882599417E-3</v>
      </c>
      <c r="K264" s="15">
        <v>3.9938667741743705E-2</v>
      </c>
      <c r="L264" s="15">
        <v>7.5913568477916638E-3</v>
      </c>
      <c r="M264" s="17" t="b">
        <f>J264&gt;=Assumptions!$B$8</f>
        <v>0</v>
      </c>
      <c r="N264" s="17" t="b">
        <f>AND(K264&lt;&gt;"",K264&lt;=Assumptions!$B$9)</f>
        <v>0</v>
      </c>
      <c r="O264" s="17" t="b">
        <f>AND(P264&lt;&gt;"",ABS(L264)&lt;=Assumptions!$B$10)</f>
        <v>0</v>
      </c>
      <c r="P264" s="13">
        <v>45034</v>
      </c>
      <c r="Q264" s="14">
        <v>13179.349</v>
      </c>
      <c r="R264" s="15">
        <v>-1.307E-2</v>
      </c>
      <c r="S264" s="17" t="str">
        <f t="shared" si="44"/>
        <v>BASELINE</v>
      </c>
      <c r="T264" s="16">
        <f t="shared" si="45"/>
        <v>-4.1700000000000001E-3</v>
      </c>
      <c r="U264" s="16">
        <f>G264*Assumptions!$B$6</f>
        <v>-4.7121000000000003E-2</v>
      </c>
      <c r="V264" s="16">
        <f>T264*Assumptions!$B$6</f>
        <v>-4.7121000000000003E-2</v>
      </c>
      <c r="W264" s="16">
        <f t="shared" si="46"/>
        <v>0</v>
      </c>
      <c r="X264" s="18">
        <f t="shared" si="50"/>
        <v>361769.11486425402</v>
      </c>
      <c r="Y264" s="18">
        <f t="shared" si="51"/>
        <v>406833.1641150628</v>
      </c>
      <c r="Z264" s="19">
        <f t="shared" si="47"/>
        <v>-0.11076788528002968</v>
      </c>
      <c r="AA264" s="18">
        <f t="shared" si="52"/>
        <v>1557813.0253800249</v>
      </c>
      <c r="AB264" s="18">
        <f t="shared" si="53"/>
        <v>1751863.2082587332</v>
      </c>
      <c r="AC264" s="19">
        <f t="shared" si="48"/>
        <v>-0.11076788528002979</v>
      </c>
      <c r="AD264" s="20">
        <f t="shared" si="49"/>
        <v>1196043.9105157708</v>
      </c>
      <c r="AE264" s="9" t="s">
        <v>91</v>
      </c>
    </row>
    <row r="265" spans="1:31" ht="18" customHeight="1">
      <c r="A265" s="4">
        <v>261</v>
      </c>
      <c r="B265" s="13">
        <v>45040</v>
      </c>
      <c r="C265" s="13">
        <v>45043</v>
      </c>
      <c r="D265" s="4" t="s">
        <v>92</v>
      </c>
      <c r="E265" s="14">
        <v>12988.359</v>
      </c>
      <c r="F265" s="14">
        <v>12882.349</v>
      </c>
      <c r="G265" s="15">
        <v>-8.1600000000000006E-3</v>
      </c>
      <c r="H265" s="16">
        <f t="shared" si="54"/>
        <v>5.1599999999999997E-3</v>
      </c>
      <c r="I265" s="17" t="b">
        <f>AND(A265&gt;2,H265&lt;=Assumptions!$B$7)</f>
        <v>0</v>
      </c>
      <c r="J265" s="15">
        <v>-1.26107681041987E-3</v>
      </c>
      <c r="K265" s="15">
        <v>2.2141463526228256E-2</v>
      </c>
      <c r="L265" s="15">
        <v>-7.3218613514429709E-3</v>
      </c>
      <c r="M265" s="17" t="b">
        <f>J265&gt;=Assumptions!$B$8</f>
        <v>0</v>
      </c>
      <c r="N265" s="17" t="b">
        <f>AND(K265&lt;&gt;"",K265&lt;=Assumptions!$B$9)</f>
        <v>0</v>
      </c>
      <c r="O265" s="17" t="b">
        <f>AND(P265&lt;&gt;"",ABS(L265)&lt;=Assumptions!$B$10)</f>
        <v>0</v>
      </c>
      <c r="P265" s="13">
        <v>45041</v>
      </c>
      <c r="Q265" s="14">
        <v>12899.727000000001</v>
      </c>
      <c r="R265" s="15">
        <v>-1.34E-3</v>
      </c>
      <c r="S265" s="17" t="str">
        <f t="shared" si="44"/>
        <v>BASELINE</v>
      </c>
      <c r="T265" s="16">
        <f t="shared" si="45"/>
        <v>-8.1600000000000006E-3</v>
      </c>
      <c r="U265" s="16">
        <f>G265*Assumptions!$B$6</f>
        <v>-9.2208000000000012E-2</v>
      </c>
      <c r="V265" s="16">
        <f>T265*Assumptions!$B$6</f>
        <v>-9.2208000000000012E-2</v>
      </c>
      <c r="W265" s="16">
        <f t="shared" si="46"/>
        <v>0</v>
      </c>
      <c r="X265" s="18">
        <f t="shared" si="50"/>
        <v>328411.10832085088</v>
      </c>
      <c r="Y265" s="18">
        <f t="shared" si="51"/>
        <v>406833.1641150628</v>
      </c>
      <c r="Z265" s="19">
        <f t="shared" si="47"/>
        <v>-0.1927622001141287</v>
      </c>
      <c r="AA265" s="18">
        <f t="shared" si="52"/>
        <v>1414170.2019357835</v>
      </c>
      <c r="AB265" s="18">
        <f t="shared" si="53"/>
        <v>1751863.2082587332</v>
      </c>
      <c r="AC265" s="19">
        <f t="shared" si="48"/>
        <v>-0.19276220011412881</v>
      </c>
      <c r="AD265" s="20">
        <f t="shared" si="49"/>
        <v>1085759.0936149326</v>
      </c>
      <c r="AE265" s="9" t="s">
        <v>91</v>
      </c>
    </row>
    <row r="266" spans="1:31" ht="18" customHeight="1">
      <c r="A266" s="4">
        <v>262</v>
      </c>
      <c r="B266" s="13">
        <v>45047</v>
      </c>
      <c r="C266" s="13">
        <v>45049</v>
      </c>
      <c r="D266" s="4" t="s">
        <v>95</v>
      </c>
      <c r="E266" s="14">
        <v>13223.718999999999</v>
      </c>
      <c r="F266" s="14">
        <v>13170.824123999999</v>
      </c>
      <c r="G266" s="15">
        <v>-4.0000000000000001E-3</v>
      </c>
      <c r="H266" s="16">
        <f t="shared" si="54"/>
        <v>-1.2330000000000001E-2</v>
      </c>
      <c r="I266" s="17" t="b">
        <f>AND(A266&gt;2,H266&lt;=Assumptions!$B$7)</f>
        <v>0</v>
      </c>
      <c r="J266" s="15">
        <v>-2.3959903674548588E-3</v>
      </c>
      <c r="K266" s="15">
        <v>2.1796084593307397E-2</v>
      </c>
      <c r="L266" s="15">
        <v>-1.3714450700159642E-3</v>
      </c>
      <c r="M266" s="17" t="b">
        <f>J266&gt;=Assumptions!$B$8</f>
        <v>0</v>
      </c>
      <c r="N266" s="17" t="b">
        <f>AND(K266&lt;&gt;"",K266&lt;=Assumptions!$B$9)</f>
        <v>0</v>
      </c>
      <c r="O266" s="17" t="b">
        <f>AND(P266&lt;&gt;"",ABS(L266)&lt;=Assumptions!$B$10)</f>
        <v>1</v>
      </c>
      <c r="P266" s="13">
        <v>45048</v>
      </c>
      <c r="Q266" s="14">
        <v>13223.539000000001</v>
      </c>
      <c r="R266" s="15">
        <v>-3.98E-3</v>
      </c>
      <c r="S266" s="17" t="str">
        <f t="shared" si="44"/>
        <v>BASELINE</v>
      </c>
      <c r="T266" s="16">
        <f t="shared" si="45"/>
        <v>-4.0000000000000001E-3</v>
      </c>
      <c r="U266" s="16">
        <f>G266*Assumptions!$B$6</f>
        <v>-4.5200000000000004E-2</v>
      </c>
      <c r="V266" s="16">
        <f>T266*Assumptions!$B$6</f>
        <v>-4.5200000000000004E-2</v>
      </c>
      <c r="W266" s="16">
        <f t="shared" si="46"/>
        <v>0</v>
      </c>
      <c r="X266" s="18">
        <f t="shared" si="50"/>
        <v>313566.92622474843</v>
      </c>
      <c r="Y266" s="18">
        <f t="shared" si="51"/>
        <v>406833.1641150628</v>
      </c>
      <c r="Z266" s="19">
        <f t="shared" si="47"/>
        <v>-0.22924934866897007</v>
      </c>
      <c r="AA266" s="18">
        <f t="shared" si="52"/>
        <v>1350249.7088082861</v>
      </c>
      <c r="AB266" s="18">
        <f t="shared" si="53"/>
        <v>1751863.2082587332</v>
      </c>
      <c r="AC266" s="19">
        <f t="shared" si="48"/>
        <v>-0.22924934866897018</v>
      </c>
      <c r="AD266" s="20">
        <f t="shared" si="49"/>
        <v>1036682.7825835377</v>
      </c>
      <c r="AE266" s="9" t="s">
        <v>91</v>
      </c>
    </row>
    <row r="267" spans="1:31" ht="18" customHeight="1">
      <c r="A267" s="4">
        <v>263</v>
      </c>
      <c r="B267" s="13">
        <v>45054</v>
      </c>
      <c r="C267" s="13">
        <v>45058</v>
      </c>
      <c r="D267" s="4" t="s">
        <v>93</v>
      </c>
      <c r="E267" s="14">
        <v>13232.109</v>
      </c>
      <c r="F267" s="14">
        <v>13334.869000000001</v>
      </c>
      <c r="G267" s="15">
        <v>7.7600000000000004E-3</v>
      </c>
      <c r="H267" s="16">
        <f t="shared" si="54"/>
        <v>-1.2160000000000001E-2</v>
      </c>
      <c r="I267" s="17" t="b">
        <f>AND(A267&gt;2,H267&lt;=Assumptions!$B$7)</f>
        <v>0</v>
      </c>
      <c r="J267" s="15">
        <v>-1.47980801585057E-3</v>
      </c>
      <c r="K267" s="15">
        <v>1.5213917870306126E-2</v>
      </c>
      <c r="L267" s="15">
        <v>-2.7495093520939484E-3</v>
      </c>
      <c r="M267" s="17" t="b">
        <f>J267&gt;=Assumptions!$B$8</f>
        <v>0</v>
      </c>
      <c r="N267" s="17" t="b">
        <f>AND(K267&lt;&gt;"",K267&lt;=Assumptions!$B$9)</f>
        <v>0</v>
      </c>
      <c r="O267" s="17" t="b">
        <f>AND(P267&lt;&gt;"",ABS(L267)&lt;=Assumptions!$B$10)</f>
        <v>1</v>
      </c>
      <c r="P267" s="13">
        <v>45055</v>
      </c>
      <c r="Q267" s="14">
        <v>13215.619000000001</v>
      </c>
      <c r="R267" s="15">
        <v>9.0200000000000002E-3</v>
      </c>
      <c r="S267" s="17" t="str">
        <f t="shared" si="44"/>
        <v>BASELINE</v>
      </c>
      <c r="T267" s="16">
        <f t="shared" si="45"/>
        <v>7.7600000000000004E-3</v>
      </c>
      <c r="U267" s="16">
        <f>G267*Assumptions!$B$6</f>
        <v>8.7688000000000016E-2</v>
      </c>
      <c r="V267" s="16">
        <f>T267*Assumptions!$B$6</f>
        <v>8.7688000000000016E-2</v>
      </c>
      <c r="W267" s="16">
        <f t="shared" si="46"/>
        <v>0</v>
      </c>
      <c r="X267" s="18">
        <f t="shared" si="50"/>
        <v>341062.98285154416</v>
      </c>
      <c r="Y267" s="18">
        <f t="shared" si="51"/>
        <v>406833.1641150628</v>
      </c>
      <c r="Z267" s="19">
        <f t="shared" si="47"/>
        <v>-0.16166376555505479</v>
      </c>
      <c r="AA267" s="18">
        <f t="shared" si="52"/>
        <v>1468650.4052742671</v>
      </c>
      <c r="AB267" s="18">
        <f t="shared" si="53"/>
        <v>1751863.2082587332</v>
      </c>
      <c r="AC267" s="19">
        <f t="shared" si="48"/>
        <v>-0.16166376555505491</v>
      </c>
      <c r="AD267" s="20">
        <f t="shared" si="49"/>
        <v>1127587.4224227229</v>
      </c>
      <c r="AE267" s="9" t="s">
        <v>91</v>
      </c>
    </row>
    <row r="268" spans="1:31" ht="18" customHeight="1">
      <c r="A268" s="4">
        <v>264</v>
      </c>
      <c r="B268" s="13">
        <v>45061</v>
      </c>
      <c r="C268" s="13">
        <v>45065</v>
      </c>
      <c r="D268" s="4" t="s">
        <v>93</v>
      </c>
      <c r="E268" s="14">
        <v>13358.379000000001</v>
      </c>
      <c r="F268" s="14">
        <v>13802.986999999999</v>
      </c>
      <c r="G268" s="15">
        <v>3.3279999999999997E-2</v>
      </c>
      <c r="H268" s="16">
        <f t="shared" si="54"/>
        <v>3.7600000000000003E-3</v>
      </c>
      <c r="I268" s="17" t="b">
        <f>AND(A268&gt;2,H268&lt;=Assumptions!$B$7)</f>
        <v>0</v>
      </c>
      <c r="J268" s="15">
        <v>1.7630469410685468E-3</v>
      </c>
      <c r="K268" s="15">
        <v>2.0276453765491143E-2</v>
      </c>
      <c r="L268" s="15">
        <v>3.1674250422790706E-3</v>
      </c>
      <c r="M268" s="17" t="b">
        <f>J268&gt;=Assumptions!$B$8</f>
        <v>0</v>
      </c>
      <c r="N268" s="17" t="b">
        <f>AND(K268&lt;&gt;"",K268&lt;=Assumptions!$B$9)</f>
        <v>0</v>
      </c>
      <c r="O268" s="17" t="b">
        <f>AND(P268&lt;&gt;"",ABS(L268)&lt;=Assumptions!$B$10)</f>
        <v>1</v>
      </c>
      <c r="P268" s="13">
        <v>45062</v>
      </c>
      <c r="Q268" s="14">
        <v>13378.307000000001</v>
      </c>
      <c r="R268" s="15">
        <v>3.1739999999999997E-2</v>
      </c>
      <c r="S268" s="17" t="str">
        <f t="shared" si="44"/>
        <v>BASELINE</v>
      </c>
      <c r="T268" s="16">
        <f t="shared" si="45"/>
        <v>3.3279999999999997E-2</v>
      </c>
      <c r="U268" s="16">
        <f>G268*Assumptions!$B$6</f>
        <v>0.37606400000000001</v>
      </c>
      <c r="V268" s="16">
        <f>T268*Assumptions!$B$6</f>
        <v>0.37606400000000001</v>
      </c>
      <c r="W268" s="16">
        <f t="shared" si="46"/>
        <v>0</v>
      </c>
      <c r="X268" s="18">
        <f t="shared" si="50"/>
        <v>469324.49243462726</v>
      </c>
      <c r="Y268" s="18">
        <f t="shared" si="51"/>
        <v>469324.49243462726</v>
      </c>
      <c r="Z268" s="19">
        <f t="shared" si="47"/>
        <v>0</v>
      </c>
      <c r="AA268" s="18">
        <f t="shared" si="52"/>
        <v>2020956.9512833289</v>
      </c>
      <c r="AB268" s="18">
        <f t="shared" si="53"/>
        <v>2020956.9512833289</v>
      </c>
      <c r="AC268" s="19">
        <f t="shared" si="48"/>
        <v>0</v>
      </c>
      <c r="AD268" s="20">
        <f t="shared" si="49"/>
        <v>1551632.4588487018</v>
      </c>
      <c r="AE268" s="9" t="s">
        <v>91</v>
      </c>
    </row>
    <row r="269" spans="1:31" ht="18" customHeight="1">
      <c r="A269" s="4">
        <v>265</v>
      </c>
      <c r="B269" s="13">
        <v>45068</v>
      </c>
      <c r="C269" s="13">
        <v>45071</v>
      </c>
      <c r="D269" s="4" t="s">
        <v>99</v>
      </c>
      <c r="E269" s="14">
        <v>13792.909</v>
      </c>
      <c r="F269" s="14">
        <v>13830.129000000001</v>
      </c>
      <c r="G269" s="15">
        <v>2.6900000000000001E-3</v>
      </c>
      <c r="H269" s="16">
        <f t="shared" si="54"/>
        <v>4.104E-2</v>
      </c>
      <c r="I269" s="17" t="b">
        <f>AND(A269&gt;2,H269&lt;=Assumptions!$B$7)</f>
        <v>0</v>
      </c>
      <c r="J269" s="15">
        <v>-7.3013181856940168E-4</v>
      </c>
      <c r="K269" s="15">
        <v>6.2856101444548784E-2</v>
      </c>
      <c r="L269" s="15">
        <v>-1.8440471570688732E-3</v>
      </c>
      <c r="M269" s="17" t="b">
        <f>J269&gt;=Assumptions!$B$8</f>
        <v>0</v>
      </c>
      <c r="N269" s="17" t="b">
        <f>AND(K269&lt;&gt;"",K269&lt;=Assumptions!$B$9)</f>
        <v>0</v>
      </c>
      <c r="O269" s="17" t="b">
        <f>AND(P269&lt;&gt;"",ABS(L269)&lt;=Assumptions!$B$10)</f>
        <v>1</v>
      </c>
      <c r="P269" s="13">
        <v>45069</v>
      </c>
      <c r="Q269" s="14">
        <v>13777.058999999999</v>
      </c>
      <c r="R269" s="15">
        <v>3.8500000000000001E-3</v>
      </c>
      <c r="S269" s="17" t="str">
        <f t="shared" si="44"/>
        <v>BASELINE</v>
      </c>
      <c r="T269" s="16">
        <f t="shared" si="45"/>
        <v>2.6900000000000001E-3</v>
      </c>
      <c r="U269" s="16">
        <f>G269*Assumptions!$B$6</f>
        <v>3.0397000000000004E-2</v>
      </c>
      <c r="V269" s="16">
        <f>T269*Assumptions!$B$6</f>
        <v>3.0397000000000004E-2</v>
      </c>
      <c r="W269" s="16">
        <f t="shared" si="46"/>
        <v>0</v>
      </c>
      <c r="X269" s="18">
        <f t="shared" si="50"/>
        <v>483590.54903116263</v>
      </c>
      <c r="Y269" s="18">
        <f t="shared" si="51"/>
        <v>483590.54903116263</v>
      </c>
      <c r="Z269" s="19">
        <f t="shared" si="47"/>
        <v>0</v>
      </c>
      <c r="AA269" s="18">
        <f t="shared" si="52"/>
        <v>2082387.9797314883</v>
      </c>
      <c r="AB269" s="18">
        <f t="shared" si="53"/>
        <v>2082387.9797314883</v>
      </c>
      <c r="AC269" s="19">
        <f t="shared" si="48"/>
        <v>0</v>
      </c>
      <c r="AD269" s="20">
        <f t="shared" si="49"/>
        <v>1598797.4307003256</v>
      </c>
      <c r="AE269" s="9" t="s">
        <v>91</v>
      </c>
    </row>
    <row r="270" spans="1:31" ht="18" customHeight="1">
      <c r="A270" s="4">
        <v>266</v>
      </c>
      <c r="B270" s="13">
        <v>45076</v>
      </c>
      <c r="C270" s="13">
        <v>45078</v>
      </c>
      <c r="D270" s="4" t="s">
        <v>92</v>
      </c>
      <c r="E270" s="14">
        <v>14470.009</v>
      </c>
      <c r="F270" s="14">
        <v>14251.869000000001</v>
      </c>
      <c r="G270" s="15">
        <v>-1.507E-2</v>
      </c>
      <c r="H270" s="16">
        <f t="shared" si="54"/>
        <v>3.5969999999999995E-2</v>
      </c>
      <c r="I270" s="17" t="b">
        <f>AND(A270&gt;2,H270&lt;=Assumptions!$B$7)</f>
        <v>0</v>
      </c>
      <c r="J270" s="15">
        <v>1.1619282667994391E-2</v>
      </c>
      <c r="K270" s="15">
        <v>8.0105573025526899E-2</v>
      </c>
      <c r="L270" s="15"/>
      <c r="M270" s="17" t="b">
        <f>J270&gt;=Assumptions!$B$8</f>
        <v>1</v>
      </c>
      <c r="N270" s="17" t="b">
        <f>AND(K270&lt;&gt;"",K270&lt;=Assumptions!$B$9)</f>
        <v>0</v>
      </c>
      <c r="O270" s="17" t="b">
        <f>AND(P270&lt;&gt;"",ABS(L270)&lt;=Assumptions!$B$10)</f>
        <v>0</v>
      </c>
      <c r="P270" s="13"/>
      <c r="Q270" s="14"/>
      <c r="R270" s="15"/>
      <c r="S270" s="17" t="str">
        <f t="shared" si="44"/>
        <v>BASELINE</v>
      </c>
      <c r="T270" s="16">
        <f t="shared" si="45"/>
        <v>-1.507E-2</v>
      </c>
      <c r="U270" s="16">
        <f>G270*Assumptions!$B$6</f>
        <v>-0.170291</v>
      </c>
      <c r="V270" s="16">
        <f>T270*Assumptions!$B$6</f>
        <v>-0.170291</v>
      </c>
      <c r="W270" s="16">
        <f t="shared" si="46"/>
        <v>0</v>
      </c>
      <c r="X270" s="18">
        <f t="shared" si="50"/>
        <v>401239.43084609695</v>
      </c>
      <c r="Y270" s="18">
        <f t="shared" si="51"/>
        <v>483590.54903116263</v>
      </c>
      <c r="Z270" s="19">
        <f t="shared" si="47"/>
        <v>-0.17029099999999997</v>
      </c>
      <c r="AA270" s="18">
        <f t="shared" si="52"/>
        <v>1727776.0482750335</v>
      </c>
      <c r="AB270" s="18">
        <f t="shared" si="53"/>
        <v>2082387.9797314883</v>
      </c>
      <c r="AC270" s="19">
        <f t="shared" si="48"/>
        <v>-0.17029099999999997</v>
      </c>
      <c r="AD270" s="20">
        <f t="shared" si="49"/>
        <v>1326536.6174289365</v>
      </c>
      <c r="AE270" s="9" t="s">
        <v>91</v>
      </c>
    </row>
    <row r="271" spans="1:31" ht="18" customHeight="1">
      <c r="A271" s="4">
        <v>267</v>
      </c>
      <c r="B271" s="13">
        <v>45082</v>
      </c>
      <c r="C271" s="13">
        <v>45085</v>
      </c>
      <c r="D271" s="4" t="s">
        <v>92</v>
      </c>
      <c r="E271" s="14">
        <v>14538.039000000001</v>
      </c>
      <c r="F271" s="14">
        <v>14298.289000000001</v>
      </c>
      <c r="G271" s="15">
        <v>-1.6490000000000001E-2</v>
      </c>
      <c r="H271" s="16">
        <f t="shared" si="54"/>
        <v>-1.238E-2</v>
      </c>
      <c r="I271" s="17" t="b">
        <f>AND(A271&gt;2,H271&lt;=Assumptions!$B$7)</f>
        <v>0</v>
      </c>
      <c r="J271" s="15">
        <v>-9.3528918956187201E-4</v>
      </c>
      <c r="K271" s="15">
        <v>0.12170538664480923</v>
      </c>
      <c r="L271" s="15">
        <v>-1.0389906947535499E-3</v>
      </c>
      <c r="M271" s="17" t="b">
        <f>J271&gt;=Assumptions!$B$8</f>
        <v>0</v>
      </c>
      <c r="N271" s="17" t="b">
        <f>AND(K271&lt;&gt;"",K271&lt;=Assumptions!$B$9)</f>
        <v>0</v>
      </c>
      <c r="O271" s="17" t="b">
        <f>AND(P271&lt;&gt;"",ABS(L271)&lt;=Assumptions!$B$10)</f>
        <v>1</v>
      </c>
      <c r="P271" s="13">
        <v>45083</v>
      </c>
      <c r="Q271" s="14">
        <v>14529.677</v>
      </c>
      <c r="R271" s="15">
        <v>-1.592E-2</v>
      </c>
      <c r="S271" s="17" t="str">
        <f t="shared" si="44"/>
        <v>BASELINE</v>
      </c>
      <c r="T271" s="16">
        <f t="shared" si="45"/>
        <v>-1.6490000000000001E-2</v>
      </c>
      <c r="U271" s="16">
        <f>G271*Assumptions!$B$6</f>
        <v>-0.18633700000000003</v>
      </c>
      <c r="V271" s="16">
        <f>T271*Assumptions!$B$6</f>
        <v>-0.18633700000000003</v>
      </c>
      <c r="W271" s="16">
        <f t="shared" si="46"/>
        <v>0</v>
      </c>
      <c r="X271" s="18">
        <f t="shared" si="50"/>
        <v>326473.67902052781</v>
      </c>
      <c r="Y271" s="18">
        <f t="shared" si="51"/>
        <v>483590.54903116263</v>
      </c>
      <c r="Z271" s="19">
        <f t="shared" si="47"/>
        <v>-0.32489648593299991</v>
      </c>
      <c r="AA271" s="18">
        <f t="shared" si="52"/>
        <v>1405827.4427676087</v>
      </c>
      <c r="AB271" s="18">
        <f t="shared" si="53"/>
        <v>2082387.9797314883</v>
      </c>
      <c r="AC271" s="19">
        <f t="shared" si="48"/>
        <v>-0.32489648593299991</v>
      </c>
      <c r="AD271" s="20">
        <f t="shared" si="49"/>
        <v>1079353.7637470809</v>
      </c>
      <c r="AE271" s="9" t="s">
        <v>91</v>
      </c>
    </row>
    <row r="272" spans="1:31" ht="18" customHeight="1">
      <c r="A272" s="4">
        <v>268</v>
      </c>
      <c r="B272" s="13">
        <v>45089</v>
      </c>
      <c r="C272" s="13">
        <v>45089</v>
      </c>
      <c r="D272" s="4" t="s">
        <v>90</v>
      </c>
      <c r="E272" s="14">
        <v>14608.269</v>
      </c>
      <c r="F272" s="14">
        <v>14796.398999999999</v>
      </c>
      <c r="G272" s="15">
        <v>1.2869999999999999E-2</v>
      </c>
      <c r="H272" s="16">
        <f t="shared" si="54"/>
        <v>-3.1560000000000005E-2</v>
      </c>
      <c r="I272" s="17" t="b">
        <f>AND(A272&gt;2,H272&lt;=Assumptions!$B$7)</f>
        <v>1</v>
      </c>
      <c r="J272" s="15">
        <v>4.0206823902153577E-3</v>
      </c>
      <c r="K272" s="15">
        <v>8.675291788342121E-2</v>
      </c>
      <c r="L272" s="15">
        <v>2.4794969616667384E-2</v>
      </c>
      <c r="M272" s="17" t="b">
        <f>J272&gt;=Assumptions!$B$8</f>
        <v>0</v>
      </c>
      <c r="N272" s="17" t="b">
        <f>AND(K272&lt;&gt;"",K272&lt;=Assumptions!$B$9)</f>
        <v>0</v>
      </c>
      <c r="O272" s="17" t="b">
        <f>AND(P272&lt;&gt;"",ABS(L272)&lt;=Assumptions!$B$10)</f>
        <v>0</v>
      </c>
      <c r="P272" s="13">
        <v>45090</v>
      </c>
      <c r="Q272" s="14">
        <v>14901.499</v>
      </c>
      <c r="R272" s="15">
        <v>-7.0499999999999998E-3</v>
      </c>
      <c r="S272" s="17" t="str">
        <f t="shared" si="44"/>
        <v>DAMAGE SKIP</v>
      </c>
      <c r="T272" s="16">
        <f t="shared" si="45"/>
        <v>0</v>
      </c>
      <c r="U272" s="16">
        <f>G272*Assumptions!$B$6</f>
        <v>0.145431</v>
      </c>
      <c r="V272" s="16">
        <f>T272*Assumptions!$B$6</f>
        <v>0</v>
      </c>
      <c r="W272" s="16">
        <f t="shared" si="46"/>
        <v>-0.145431</v>
      </c>
      <c r="X272" s="18">
        <f t="shared" si="50"/>
        <v>373953.07263416221</v>
      </c>
      <c r="Y272" s="18">
        <f t="shared" si="51"/>
        <v>483590.54903116263</v>
      </c>
      <c r="Z272" s="19">
        <f t="shared" si="47"/>
        <v>-0.22671550677872199</v>
      </c>
      <c r="AA272" s="18">
        <f t="shared" si="52"/>
        <v>1405827.4427676087</v>
      </c>
      <c r="AB272" s="18">
        <f t="shared" si="53"/>
        <v>2082387.9797314883</v>
      </c>
      <c r="AC272" s="19">
        <f t="shared" si="48"/>
        <v>-0.32489648593299991</v>
      </c>
      <c r="AD272" s="20">
        <f t="shared" si="49"/>
        <v>1031874.3701334465</v>
      </c>
      <c r="AE272" s="9" t="s">
        <v>94</v>
      </c>
    </row>
    <row r="273" spans="1:31" ht="18" customHeight="1">
      <c r="A273" s="4">
        <v>269</v>
      </c>
      <c r="B273" s="13">
        <v>45097</v>
      </c>
      <c r="C273" s="13">
        <v>45099</v>
      </c>
      <c r="D273" s="4" t="s">
        <v>92</v>
      </c>
      <c r="E273" s="14">
        <v>15027.388999999999</v>
      </c>
      <c r="F273" s="14">
        <v>14858.859</v>
      </c>
      <c r="G273" s="15">
        <v>-1.1209999999999999E-2</v>
      </c>
      <c r="H273" s="16">
        <f t="shared" si="54"/>
        <v>-1.6490000000000001E-2</v>
      </c>
      <c r="I273" s="17" t="b">
        <f>AND(A273&gt;2,H273&lt;=Assumptions!$B$7)</f>
        <v>0</v>
      </c>
      <c r="J273" s="15">
        <v>-5.3039814148174713E-3</v>
      </c>
      <c r="K273" s="15">
        <v>9.0908545187141643E-2</v>
      </c>
      <c r="L273" s="15"/>
      <c r="M273" s="17" t="b">
        <f>J273&gt;=Assumptions!$B$8</f>
        <v>0</v>
      </c>
      <c r="N273" s="17" t="b">
        <f>AND(K273&lt;&gt;"",K273&lt;=Assumptions!$B$9)</f>
        <v>0</v>
      </c>
      <c r="O273" s="17" t="b">
        <f>AND(P273&lt;&gt;"",ABS(L273)&lt;=Assumptions!$B$10)</f>
        <v>0</v>
      </c>
      <c r="P273" s="13"/>
      <c r="Q273" s="14"/>
      <c r="R273" s="15"/>
      <c r="S273" s="17" t="str">
        <f t="shared" si="44"/>
        <v>BASELINE</v>
      </c>
      <c r="T273" s="16">
        <f t="shared" si="45"/>
        <v>-1.1209999999999999E-2</v>
      </c>
      <c r="U273" s="16">
        <f>G273*Assumptions!$B$6</f>
        <v>-0.12667300000000001</v>
      </c>
      <c r="V273" s="16">
        <f>T273*Assumptions!$B$6</f>
        <v>-0.12667300000000001</v>
      </c>
      <c r="W273" s="16">
        <f t="shared" si="46"/>
        <v>0</v>
      </c>
      <c r="X273" s="18">
        <f t="shared" si="50"/>
        <v>326583.31506437494</v>
      </c>
      <c r="Y273" s="18">
        <f t="shared" si="51"/>
        <v>483590.54903116263</v>
      </c>
      <c r="Z273" s="19">
        <f t="shared" si="47"/>
        <v>-0.32466977338854097</v>
      </c>
      <c r="AA273" s="18">
        <f t="shared" si="52"/>
        <v>1227747.0631099073</v>
      </c>
      <c r="AB273" s="18">
        <f t="shared" si="53"/>
        <v>2082387.9797314883</v>
      </c>
      <c r="AC273" s="19">
        <f t="shared" si="48"/>
        <v>-0.41041387337040902</v>
      </c>
      <c r="AD273" s="20">
        <f t="shared" si="49"/>
        <v>901163.74804553238</v>
      </c>
      <c r="AE273" s="9" t="s">
        <v>91</v>
      </c>
    </row>
    <row r="274" spans="1:31" ht="18" customHeight="1">
      <c r="A274" s="4">
        <v>270</v>
      </c>
      <c r="B274" s="13">
        <v>45103</v>
      </c>
      <c r="C274" s="13">
        <v>45107</v>
      </c>
      <c r="D274" s="4" t="s">
        <v>93</v>
      </c>
      <c r="E274" s="14">
        <v>14869.027</v>
      </c>
      <c r="F274" s="14">
        <v>15155.209000000001</v>
      </c>
      <c r="G274" s="15">
        <v>1.924E-2</v>
      </c>
      <c r="H274" s="16">
        <f t="shared" si="54"/>
        <v>-1.1209999999999999E-2</v>
      </c>
      <c r="I274" s="17" t="b">
        <f>AND(A274&gt;2,H274&lt;=Assumptions!$B$7)</f>
        <v>0</v>
      </c>
      <c r="J274" s="15">
        <v>-1.5834700286565528E-3</v>
      </c>
      <c r="K274" s="15">
        <v>9.4636790681915883E-2</v>
      </c>
      <c r="L274" s="15">
        <v>-9.0763079085175447E-3</v>
      </c>
      <c r="M274" s="17" t="b">
        <f>J274&gt;=Assumptions!$B$8</f>
        <v>0</v>
      </c>
      <c r="N274" s="17" t="b">
        <f>AND(K274&lt;&gt;"",K274&lt;=Assumptions!$B$9)</f>
        <v>0</v>
      </c>
      <c r="O274" s="17" t="b">
        <f>AND(P274&lt;&gt;"",ABS(L274)&lt;=Assumptions!$B$10)</f>
        <v>0</v>
      </c>
      <c r="P274" s="13">
        <v>45104</v>
      </c>
      <c r="Q274" s="14">
        <v>14752.058999999999</v>
      </c>
      <c r="R274" s="15">
        <v>2.7320000000000001E-2</v>
      </c>
      <c r="S274" s="17" t="str">
        <f t="shared" si="44"/>
        <v>BASELINE</v>
      </c>
      <c r="T274" s="16">
        <f t="shared" si="45"/>
        <v>1.924E-2</v>
      </c>
      <c r="U274" s="16">
        <f>G274*Assumptions!$B$6</f>
        <v>0.21741200000000002</v>
      </c>
      <c r="V274" s="16">
        <f>T274*Assumptions!$B$6</f>
        <v>0.21741200000000002</v>
      </c>
      <c r="W274" s="16">
        <f t="shared" si="46"/>
        <v>0</v>
      </c>
      <c r="X274" s="18">
        <f t="shared" si="50"/>
        <v>397586.44675915083</v>
      </c>
      <c r="Y274" s="18">
        <f t="shared" si="51"/>
        <v>483590.54903116263</v>
      </c>
      <c r="Z274" s="19">
        <f t="shared" si="47"/>
        <v>-0.17784487816049044</v>
      </c>
      <c r="AA274" s="18">
        <f t="shared" si="52"/>
        <v>1494674.0075947584</v>
      </c>
      <c r="AB274" s="18">
        <f t="shared" si="53"/>
        <v>2082387.9797314883</v>
      </c>
      <c r="AC274" s="19">
        <f t="shared" si="48"/>
        <v>-0.28223077440761646</v>
      </c>
      <c r="AD274" s="20">
        <f t="shared" si="49"/>
        <v>1097087.5608356076</v>
      </c>
      <c r="AE274" s="9" t="s">
        <v>91</v>
      </c>
    </row>
    <row r="275" spans="1:31" ht="18" customHeight="1">
      <c r="A275" s="4">
        <v>271</v>
      </c>
      <c r="B275" s="13">
        <v>45110</v>
      </c>
      <c r="C275" s="13">
        <v>45113</v>
      </c>
      <c r="D275" s="4" t="s">
        <v>92</v>
      </c>
      <c r="E275" s="14">
        <v>15192.519</v>
      </c>
      <c r="F275" s="14">
        <v>15129.227000000001</v>
      </c>
      <c r="G275" s="15">
        <v>-4.1599999999999996E-3</v>
      </c>
      <c r="H275" s="16">
        <f t="shared" si="54"/>
        <v>8.0300000000000007E-3</v>
      </c>
      <c r="I275" s="17" t="b">
        <f>AND(A275&gt;2,H275&lt;=Assumptions!$B$7)</f>
        <v>0</v>
      </c>
      <c r="J275" s="15">
        <v>2.4618598133485659E-3</v>
      </c>
      <c r="K275" s="15">
        <v>5.0892495104002178E-2</v>
      </c>
      <c r="L275" s="15"/>
      <c r="M275" s="17" t="b">
        <f>J275&gt;=Assumptions!$B$8</f>
        <v>0</v>
      </c>
      <c r="N275" s="17" t="b">
        <f>AND(K275&lt;&gt;"",K275&lt;=Assumptions!$B$9)</f>
        <v>0</v>
      </c>
      <c r="O275" s="17" t="b">
        <f>AND(P275&lt;&gt;"",ABS(L275)&lt;=Assumptions!$B$10)</f>
        <v>0</v>
      </c>
      <c r="P275" s="13"/>
      <c r="Q275" s="14"/>
      <c r="R275" s="15"/>
      <c r="S275" s="17" t="str">
        <f t="shared" si="44"/>
        <v>BASELINE</v>
      </c>
      <c r="T275" s="16">
        <f t="shared" si="45"/>
        <v>-4.1599999999999996E-3</v>
      </c>
      <c r="U275" s="16">
        <f>G275*Assumptions!$B$6</f>
        <v>-4.7008000000000001E-2</v>
      </c>
      <c r="V275" s="16">
        <f>T275*Assumptions!$B$6</f>
        <v>-4.7008000000000001E-2</v>
      </c>
      <c r="W275" s="16">
        <f t="shared" si="46"/>
        <v>0</v>
      </c>
      <c r="X275" s="18">
        <f t="shared" si="50"/>
        <v>378896.70306989667</v>
      </c>
      <c r="Y275" s="18">
        <f t="shared" si="51"/>
        <v>483590.54903116263</v>
      </c>
      <c r="Z275" s="19">
        <f t="shared" si="47"/>
        <v>-0.21649274612792213</v>
      </c>
      <c r="AA275" s="18">
        <f t="shared" si="52"/>
        <v>1424412.3718457439</v>
      </c>
      <c r="AB275" s="18">
        <f t="shared" si="53"/>
        <v>2082387.9797314883</v>
      </c>
      <c r="AC275" s="19">
        <f t="shared" si="48"/>
        <v>-0.31597167016426331</v>
      </c>
      <c r="AD275" s="20">
        <f t="shared" si="49"/>
        <v>1045515.6687758472</v>
      </c>
      <c r="AE275" s="9" t="s">
        <v>91</v>
      </c>
    </row>
    <row r="276" spans="1:31" ht="18" customHeight="1">
      <c r="A276" s="4">
        <v>272</v>
      </c>
      <c r="B276" s="13">
        <v>45117</v>
      </c>
      <c r="C276" s="13">
        <v>45121</v>
      </c>
      <c r="D276" s="4" t="s">
        <v>93</v>
      </c>
      <c r="E276" s="14">
        <v>15025.999</v>
      </c>
      <c r="F276" s="14">
        <v>15565.919</v>
      </c>
      <c r="G276" s="15">
        <v>3.5929999999999997E-2</v>
      </c>
      <c r="H276" s="16">
        <f t="shared" si="54"/>
        <v>1.508E-2</v>
      </c>
      <c r="I276" s="17" t="b">
        <f>AND(A276&gt;2,H276&lt;=Assumptions!$B$7)</f>
        <v>0</v>
      </c>
      <c r="J276" s="15">
        <v>-1.6039718968707817E-3</v>
      </c>
      <c r="K276" s="15">
        <v>5.1384293923036894E-2</v>
      </c>
      <c r="L276" s="15">
        <v>1.5015761028578378E-3</v>
      </c>
      <c r="M276" s="17" t="b">
        <f>J276&gt;=Assumptions!$B$8</f>
        <v>0</v>
      </c>
      <c r="N276" s="17" t="b">
        <f>AND(K276&lt;&gt;"",K276&lt;=Assumptions!$B$9)</f>
        <v>0</v>
      </c>
      <c r="O276" s="17" t="b">
        <f>AND(P276&lt;&gt;"",ABS(L276)&lt;=Assumptions!$B$10)</f>
        <v>1</v>
      </c>
      <c r="P276" s="13">
        <v>45118</v>
      </c>
      <c r="Q276" s="14">
        <v>15058.666999999999</v>
      </c>
      <c r="R276" s="15">
        <v>3.3680000000000002E-2</v>
      </c>
      <c r="S276" s="17" t="str">
        <f t="shared" si="44"/>
        <v>BASELINE</v>
      </c>
      <c r="T276" s="16">
        <f t="shared" si="45"/>
        <v>3.5929999999999997E-2</v>
      </c>
      <c r="U276" s="16">
        <f>G276*Assumptions!$B$6</f>
        <v>0.40600900000000001</v>
      </c>
      <c r="V276" s="16">
        <f>T276*Assumptions!$B$6</f>
        <v>0.40600900000000001</v>
      </c>
      <c r="W276" s="16">
        <f t="shared" si="46"/>
        <v>0</v>
      </c>
      <c r="X276" s="18">
        <f t="shared" si="50"/>
        <v>532732.17458660237</v>
      </c>
      <c r="Y276" s="18">
        <f t="shared" si="51"/>
        <v>532732.17458660237</v>
      </c>
      <c r="Z276" s="19">
        <f t="shared" si="47"/>
        <v>0</v>
      </c>
      <c r="AA276" s="18">
        <f t="shared" si="52"/>
        <v>2002736.6145264625</v>
      </c>
      <c r="AB276" s="18">
        <f t="shared" si="53"/>
        <v>2082387.9797314883</v>
      </c>
      <c r="AC276" s="19">
        <f t="shared" si="48"/>
        <v>-3.8250011995985655E-2</v>
      </c>
      <c r="AD276" s="20">
        <f t="shared" si="49"/>
        <v>1470004.4399398603</v>
      </c>
      <c r="AE276" s="9" t="s">
        <v>91</v>
      </c>
    </row>
    <row r="277" spans="1:31" ht="18" customHeight="1">
      <c r="A277" s="4">
        <v>273</v>
      </c>
      <c r="B277" s="13">
        <v>45124</v>
      </c>
      <c r="C277" s="13">
        <v>45127</v>
      </c>
      <c r="D277" s="4" t="s">
        <v>96</v>
      </c>
      <c r="E277" s="14">
        <v>15594.638999999999</v>
      </c>
      <c r="F277" s="14">
        <v>15532.260444</v>
      </c>
      <c r="G277" s="15">
        <v>-4.0000000000000001E-3</v>
      </c>
      <c r="H277" s="16">
        <f t="shared" si="54"/>
        <v>3.177E-2</v>
      </c>
      <c r="I277" s="17" t="b">
        <f>AND(A277&gt;2,H277&lt;=Assumptions!$B$7)</f>
        <v>0</v>
      </c>
      <c r="J277" s="15">
        <v>1.8450564981096207E-3</v>
      </c>
      <c r="K277" s="15">
        <v>3.7418316023615672E-2</v>
      </c>
      <c r="L277" s="15">
        <v>7.6190933358935009E-3</v>
      </c>
      <c r="M277" s="17" t="b">
        <f>J277&gt;=Assumptions!$B$8</f>
        <v>0</v>
      </c>
      <c r="N277" s="17" t="b">
        <f>AND(K277&lt;&gt;"",K277&lt;=Assumptions!$B$9)</f>
        <v>0</v>
      </c>
      <c r="O277" s="17" t="b">
        <f>AND(P277&lt;&gt;"",ABS(L277)&lt;=Assumptions!$B$10)</f>
        <v>0</v>
      </c>
      <c r="P277" s="13">
        <v>45125</v>
      </c>
      <c r="Q277" s="14">
        <v>15679.799000000001</v>
      </c>
      <c r="R277" s="15">
        <v>-9.4000000000000004E-3</v>
      </c>
      <c r="S277" s="17" t="str">
        <f t="shared" si="44"/>
        <v>BASELINE</v>
      </c>
      <c r="T277" s="16">
        <f t="shared" si="45"/>
        <v>-4.0000000000000001E-3</v>
      </c>
      <c r="U277" s="16">
        <f>G277*Assumptions!$B$6</f>
        <v>-4.5200000000000004E-2</v>
      </c>
      <c r="V277" s="16">
        <f>T277*Assumptions!$B$6</f>
        <v>-4.5200000000000004E-2</v>
      </c>
      <c r="W277" s="16">
        <f t="shared" si="46"/>
        <v>0</v>
      </c>
      <c r="X277" s="18">
        <f t="shared" si="50"/>
        <v>508652.68029528792</v>
      </c>
      <c r="Y277" s="18">
        <f t="shared" si="51"/>
        <v>532732.17458660237</v>
      </c>
      <c r="Z277" s="19">
        <f t="shared" si="47"/>
        <v>-4.5200000000000018E-2</v>
      </c>
      <c r="AA277" s="18">
        <f t="shared" si="52"/>
        <v>1912212.9195498663</v>
      </c>
      <c r="AB277" s="18">
        <f t="shared" si="53"/>
        <v>2082387.9797314883</v>
      </c>
      <c r="AC277" s="19">
        <f t="shared" si="48"/>
        <v>-8.1721111453767148E-2</v>
      </c>
      <c r="AD277" s="20">
        <f t="shared" si="49"/>
        <v>1403560.2392545785</v>
      </c>
      <c r="AE277" s="9" t="s">
        <v>91</v>
      </c>
    </row>
    <row r="278" spans="1:31" ht="18" customHeight="1">
      <c r="A278" s="4">
        <v>274</v>
      </c>
      <c r="B278" s="13">
        <v>45131</v>
      </c>
      <c r="C278" s="13">
        <v>45135</v>
      </c>
      <c r="D278" s="4" t="s">
        <v>93</v>
      </c>
      <c r="E278" s="14">
        <v>15461.709000000001</v>
      </c>
      <c r="F278" s="14">
        <v>15729.718999999999</v>
      </c>
      <c r="G278" s="15">
        <v>1.7330000000000002E-2</v>
      </c>
      <c r="H278" s="16">
        <f t="shared" si="54"/>
        <v>3.193E-2</v>
      </c>
      <c r="I278" s="17" t="b">
        <f>AND(A278&gt;2,H278&lt;=Assumptions!$B$7)</f>
        <v>0</v>
      </c>
      <c r="J278" s="15">
        <v>2.120033840173452E-3</v>
      </c>
      <c r="K278" s="15">
        <v>2.5829820245874657E-2</v>
      </c>
      <c r="L278" s="15">
        <v>3.5174783959006639E-3</v>
      </c>
      <c r="M278" s="17" t="b">
        <f>J278&gt;=Assumptions!$B$8</f>
        <v>0</v>
      </c>
      <c r="N278" s="17" t="b">
        <f>AND(K278&lt;&gt;"",K278&lt;=Assumptions!$B$9)</f>
        <v>0</v>
      </c>
      <c r="O278" s="17" t="b">
        <f>AND(P278&lt;&gt;"",ABS(L278)&lt;=Assumptions!$B$10)</f>
        <v>1</v>
      </c>
      <c r="P278" s="13">
        <v>45132</v>
      </c>
      <c r="Q278" s="14">
        <v>15473.909</v>
      </c>
      <c r="R278" s="15">
        <v>1.653E-2</v>
      </c>
      <c r="S278" s="17" t="str">
        <f t="shared" si="44"/>
        <v>BASELINE</v>
      </c>
      <c r="T278" s="16">
        <f t="shared" si="45"/>
        <v>1.7330000000000002E-2</v>
      </c>
      <c r="U278" s="16">
        <f>G278*Assumptions!$B$6</f>
        <v>0.19582900000000003</v>
      </c>
      <c r="V278" s="16">
        <f>T278*Assumptions!$B$6</f>
        <v>0.19582900000000003</v>
      </c>
      <c r="W278" s="16">
        <f t="shared" si="46"/>
        <v>0</v>
      </c>
      <c r="X278" s="18">
        <f t="shared" si="50"/>
        <v>608261.62602483388</v>
      </c>
      <c r="Y278" s="18">
        <f t="shared" si="51"/>
        <v>608261.62602483388</v>
      </c>
      <c r="Z278" s="19">
        <f t="shared" si="47"/>
        <v>0</v>
      </c>
      <c r="AA278" s="18">
        <f t="shared" si="52"/>
        <v>2286679.663372397</v>
      </c>
      <c r="AB278" s="18">
        <f t="shared" si="53"/>
        <v>2286679.663372397</v>
      </c>
      <c r="AC278" s="19">
        <f t="shared" si="48"/>
        <v>0</v>
      </c>
      <c r="AD278" s="20">
        <f t="shared" si="49"/>
        <v>1678418.0373475631</v>
      </c>
      <c r="AE278" s="9" t="s">
        <v>91</v>
      </c>
    </row>
    <row r="279" spans="1:31" ht="18" customHeight="1">
      <c r="A279" s="4">
        <v>275</v>
      </c>
      <c r="B279" s="13">
        <v>45138</v>
      </c>
      <c r="C279" s="13">
        <v>45141</v>
      </c>
      <c r="D279" s="4" t="s">
        <v>92</v>
      </c>
      <c r="E279" s="14">
        <v>15755.189</v>
      </c>
      <c r="F279" s="14">
        <v>15364.739</v>
      </c>
      <c r="G279" s="15">
        <v>-2.478E-2</v>
      </c>
      <c r="H279" s="16">
        <f t="shared" si="54"/>
        <v>1.3330000000000002E-2</v>
      </c>
      <c r="I279" s="17" t="b">
        <f>AND(A279&gt;2,H279&lt;=Assumptions!$B$7)</f>
        <v>0</v>
      </c>
      <c r="J279" s="15">
        <v>1.6192279086486572E-3</v>
      </c>
      <c r="K279" s="15">
        <v>5.4061864378521785E-2</v>
      </c>
      <c r="L279" s="15">
        <v>-3.0500342700479077E-3</v>
      </c>
      <c r="M279" s="17" t="b">
        <f>J279&gt;=Assumptions!$B$8</f>
        <v>0</v>
      </c>
      <c r="N279" s="17" t="b">
        <f>AND(K279&lt;&gt;"",K279&lt;=Assumptions!$B$9)</f>
        <v>0</v>
      </c>
      <c r="O279" s="17" t="b">
        <f>AND(P279&lt;&gt;"",ABS(L279)&lt;=Assumptions!$B$10)</f>
        <v>1</v>
      </c>
      <c r="P279" s="13">
        <v>45139</v>
      </c>
      <c r="Q279" s="14">
        <v>15695.409</v>
      </c>
      <c r="R279" s="15">
        <v>-2.1059999999999999E-2</v>
      </c>
      <c r="S279" s="17" t="str">
        <f t="shared" si="44"/>
        <v>BASELINE</v>
      </c>
      <c r="T279" s="16">
        <f t="shared" si="45"/>
        <v>-2.478E-2</v>
      </c>
      <c r="U279" s="16">
        <f>G279*Assumptions!$B$6</f>
        <v>-0.28001400000000004</v>
      </c>
      <c r="V279" s="16">
        <f>T279*Assumptions!$B$6</f>
        <v>-0.28001400000000004</v>
      </c>
      <c r="W279" s="16">
        <f t="shared" si="46"/>
        <v>0</v>
      </c>
      <c r="X279" s="18">
        <f t="shared" si="50"/>
        <v>437939.85507511604</v>
      </c>
      <c r="Y279" s="18">
        <f t="shared" si="51"/>
        <v>608261.62602483388</v>
      </c>
      <c r="Z279" s="19">
        <f t="shared" si="47"/>
        <v>-0.28001399999999999</v>
      </c>
      <c r="AA279" s="18">
        <f t="shared" si="52"/>
        <v>1646377.3441128386</v>
      </c>
      <c r="AB279" s="18">
        <f t="shared" si="53"/>
        <v>2286679.663372397</v>
      </c>
      <c r="AC279" s="19">
        <f t="shared" si="48"/>
        <v>-0.28001399999999999</v>
      </c>
      <c r="AD279" s="20">
        <f t="shared" si="49"/>
        <v>1208437.4890377226</v>
      </c>
      <c r="AE279" s="9" t="s">
        <v>91</v>
      </c>
    </row>
    <row r="280" spans="1:31" ht="18" customHeight="1">
      <c r="A280" s="4">
        <v>276</v>
      </c>
      <c r="B280" s="13">
        <v>45145</v>
      </c>
      <c r="C280" s="13">
        <v>45147</v>
      </c>
      <c r="D280" s="4" t="s">
        <v>99</v>
      </c>
      <c r="E280" s="14">
        <v>15351.619000000001</v>
      </c>
      <c r="F280" s="14">
        <v>15292.549000000001</v>
      </c>
      <c r="G280" s="15">
        <v>-3.8400000000000001E-3</v>
      </c>
      <c r="H280" s="16">
        <f t="shared" si="54"/>
        <v>-7.4499999999999983E-3</v>
      </c>
      <c r="I280" s="17" t="b">
        <f>AND(A280&gt;2,H280&lt;=Assumptions!$B$7)</f>
        <v>0</v>
      </c>
      <c r="J280" s="15">
        <v>4.673365397030782E-3</v>
      </c>
      <c r="K280" s="15">
        <v>1.5835555334735574E-2</v>
      </c>
      <c r="L280" s="15">
        <v>1.6140295579352149E-3</v>
      </c>
      <c r="M280" s="17" t="b">
        <f>J280&gt;=Assumptions!$B$8</f>
        <v>0</v>
      </c>
      <c r="N280" s="17" t="b">
        <f>AND(K280&lt;&gt;"",K280&lt;=Assumptions!$B$9)</f>
        <v>0</v>
      </c>
      <c r="O280" s="17" t="b">
        <f>AND(P280&lt;&gt;"",ABS(L280)&lt;=Assumptions!$B$10)</f>
        <v>1</v>
      </c>
      <c r="P280" s="13">
        <v>45146</v>
      </c>
      <c r="Q280" s="14">
        <v>15298.169</v>
      </c>
      <c r="R280" s="15">
        <v>-3.6000000000000002E-4</v>
      </c>
      <c r="S280" s="17" t="str">
        <f t="shared" si="44"/>
        <v>BASELINE</v>
      </c>
      <c r="T280" s="16">
        <f t="shared" si="45"/>
        <v>-3.8400000000000001E-3</v>
      </c>
      <c r="U280" s="16">
        <f>G280*Assumptions!$B$6</f>
        <v>-4.3392000000000007E-2</v>
      </c>
      <c r="V280" s="16">
        <f>T280*Assumptions!$B$6</f>
        <v>-4.3392000000000007E-2</v>
      </c>
      <c r="W280" s="16">
        <f t="shared" si="46"/>
        <v>0</v>
      </c>
      <c r="X280" s="18">
        <f t="shared" si="50"/>
        <v>418936.76888369658</v>
      </c>
      <c r="Y280" s="18">
        <f t="shared" si="51"/>
        <v>608261.62602483388</v>
      </c>
      <c r="Z280" s="19">
        <f t="shared" si="47"/>
        <v>-0.31125563251200006</v>
      </c>
      <c r="AA280" s="18">
        <f t="shared" si="52"/>
        <v>1574937.7383970944</v>
      </c>
      <c r="AB280" s="18">
        <f t="shared" si="53"/>
        <v>2286679.663372397</v>
      </c>
      <c r="AC280" s="19">
        <f t="shared" si="48"/>
        <v>-0.31125563251199995</v>
      </c>
      <c r="AD280" s="20">
        <f t="shared" si="49"/>
        <v>1156000.9695133979</v>
      </c>
      <c r="AE280" s="9" t="s">
        <v>91</v>
      </c>
    </row>
    <row r="281" spans="1:31" ht="18" customHeight="1">
      <c r="A281" s="4">
        <v>277</v>
      </c>
      <c r="B281" s="13">
        <v>45152</v>
      </c>
      <c r="C281" s="13">
        <v>45152</v>
      </c>
      <c r="D281" s="4" t="s">
        <v>90</v>
      </c>
      <c r="E281" s="14">
        <v>14997.939</v>
      </c>
      <c r="F281" s="14">
        <v>15200.989</v>
      </c>
      <c r="G281" s="15">
        <v>1.353E-2</v>
      </c>
      <c r="H281" s="16">
        <f t="shared" si="54"/>
        <v>-2.862E-2</v>
      </c>
      <c r="I281" s="17" t="b">
        <f>AND(A281&gt;2,H281&lt;=Assumptions!$B$7)</f>
        <v>1</v>
      </c>
      <c r="J281" s="15">
        <v>-2.6705503135735498E-3</v>
      </c>
      <c r="K281" s="15">
        <v>-3.384989559415319E-2</v>
      </c>
      <c r="L281" s="15">
        <v>8.5208923336810294E-3</v>
      </c>
      <c r="M281" s="17" t="b">
        <f>J281&gt;=Assumptions!$B$8</f>
        <v>0</v>
      </c>
      <c r="N281" s="17" t="b">
        <f>AND(K281&lt;&gt;"",K281&lt;=Assumptions!$B$9)</f>
        <v>1</v>
      </c>
      <c r="O281" s="17" t="b">
        <f>AND(P281&lt;&gt;"",ABS(L281)&lt;=Assumptions!$B$10)</f>
        <v>0</v>
      </c>
      <c r="P281" s="13">
        <v>45153</v>
      </c>
      <c r="Q281" s="14">
        <v>15155.499</v>
      </c>
      <c r="R281" s="15">
        <v>3.0000000000000001E-3</v>
      </c>
      <c r="S281" s="17" t="str">
        <f t="shared" si="44"/>
        <v>DAMAGE SKIP</v>
      </c>
      <c r="T281" s="16">
        <f t="shared" si="45"/>
        <v>0</v>
      </c>
      <c r="U281" s="16">
        <f>G281*Assumptions!$B$6</f>
        <v>0.15288900000000002</v>
      </c>
      <c r="V281" s="16">
        <f>T281*Assumptions!$B$6</f>
        <v>0</v>
      </c>
      <c r="W281" s="16">
        <f t="shared" si="46"/>
        <v>-0.15288900000000002</v>
      </c>
      <c r="X281" s="18">
        <f t="shared" si="50"/>
        <v>482987.59254155611</v>
      </c>
      <c r="Y281" s="18">
        <f t="shared" si="51"/>
        <v>608261.62602483388</v>
      </c>
      <c r="Z281" s="19">
        <f t="shared" si="47"/>
        <v>-0.20595419491112721</v>
      </c>
      <c r="AA281" s="18">
        <f t="shared" si="52"/>
        <v>1574937.7383970944</v>
      </c>
      <c r="AB281" s="18">
        <f t="shared" si="53"/>
        <v>2286679.663372397</v>
      </c>
      <c r="AC281" s="19">
        <f t="shared" si="48"/>
        <v>-0.31125563251199995</v>
      </c>
      <c r="AD281" s="20">
        <f t="shared" si="49"/>
        <v>1091950.1458555383</v>
      </c>
      <c r="AE281" s="9" t="s">
        <v>94</v>
      </c>
    </row>
    <row r="282" spans="1:31" ht="18" customHeight="1">
      <c r="A282" s="4">
        <v>278</v>
      </c>
      <c r="B282" s="13">
        <v>45159</v>
      </c>
      <c r="C282" s="13">
        <v>45159</v>
      </c>
      <c r="D282" s="4" t="s">
        <v>90</v>
      </c>
      <c r="E282" s="14">
        <v>14750.308999999999</v>
      </c>
      <c r="F282" s="14">
        <v>14921.718999999999</v>
      </c>
      <c r="G282" s="15">
        <v>1.162E-2</v>
      </c>
      <c r="H282" s="16">
        <f t="shared" si="54"/>
        <v>-3.8400000000000001E-3</v>
      </c>
      <c r="I282" s="17" t="b">
        <f>AND(A282&gt;2,H282&lt;=Assumptions!$B$7)</f>
        <v>0</v>
      </c>
      <c r="J282" s="15">
        <v>2.7239530234688392E-3</v>
      </c>
      <c r="K282" s="15">
        <v>-4.6583040210133597E-2</v>
      </c>
      <c r="L282" s="15">
        <v>2.3507892419212695E-2</v>
      </c>
      <c r="M282" s="17" t="b">
        <f>J282&gt;=Assumptions!$B$8</f>
        <v>0</v>
      </c>
      <c r="N282" s="17" t="b">
        <f>AND(K282&lt;&gt;"",K282&lt;=Assumptions!$B$9)</f>
        <v>1</v>
      </c>
      <c r="O282" s="17" t="b">
        <f>AND(P282&lt;&gt;"",ABS(L282)&lt;=Assumptions!$B$10)</f>
        <v>0</v>
      </c>
      <c r="P282" s="13">
        <v>45160</v>
      </c>
      <c r="Q282" s="14">
        <v>15037.478999999999</v>
      </c>
      <c r="R282" s="15">
        <v>-7.6899999999999998E-3</v>
      </c>
      <c r="S282" s="17" t="str">
        <f t="shared" si="44"/>
        <v>BASELINE</v>
      </c>
      <c r="T282" s="16">
        <f t="shared" si="45"/>
        <v>1.162E-2</v>
      </c>
      <c r="U282" s="16">
        <f>G282*Assumptions!$B$6</f>
        <v>0.13130600000000001</v>
      </c>
      <c r="V282" s="16">
        <f>T282*Assumptions!$B$6</f>
        <v>0.13130600000000001</v>
      </c>
      <c r="W282" s="16">
        <f t="shared" si="46"/>
        <v>0</v>
      </c>
      <c r="X282" s="18">
        <f t="shared" si="50"/>
        <v>546406.76136781764</v>
      </c>
      <c r="Y282" s="18">
        <f t="shared" si="51"/>
        <v>608261.62602483388</v>
      </c>
      <c r="Z282" s="19">
        <f t="shared" si="47"/>
        <v>-0.10169121642812773</v>
      </c>
      <c r="AA282" s="18">
        <f t="shared" si="52"/>
        <v>1781736.5130750632</v>
      </c>
      <c r="AB282" s="18">
        <f t="shared" si="53"/>
        <v>2286679.663372397</v>
      </c>
      <c r="AC282" s="19">
        <f t="shared" si="48"/>
        <v>-0.22081936459462059</v>
      </c>
      <c r="AD282" s="20">
        <f t="shared" si="49"/>
        <v>1235329.7517072456</v>
      </c>
      <c r="AE282" s="9" t="s">
        <v>91</v>
      </c>
    </row>
    <row r="283" spans="1:31" ht="18" customHeight="1">
      <c r="A283" s="4">
        <v>279</v>
      </c>
      <c r="B283" s="13">
        <v>45166</v>
      </c>
      <c r="C283" s="13">
        <v>45167</v>
      </c>
      <c r="D283" s="4" t="s">
        <v>90</v>
      </c>
      <c r="E283" s="14">
        <v>15058.319</v>
      </c>
      <c r="F283" s="14">
        <v>15378.269</v>
      </c>
      <c r="G283" s="15">
        <v>2.1239999999999998E-2</v>
      </c>
      <c r="H283" s="16">
        <f t="shared" si="54"/>
        <v>1.162E-2</v>
      </c>
      <c r="I283" s="17" t="b">
        <f>AND(A283&gt;2,H283&lt;=Assumptions!$B$7)</f>
        <v>0</v>
      </c>
      <c r="J283" s="15">
        <v>7.3391443979837767E-3</v>
      </c>
      <c r="K283" s="15">
        <v>-5.0746032582907108E-2</v>
      </c>
      <c r="L283" s="15">
        <v>6.9760337693354213E-3</v>
      </c>
      <c r="M283" s="17" t="b">
        <f>J283&gt;=Assumptions!$B$8</f>
        <v>0</v>
      </c>
      <c r="N283" s="17" t="b">
        <f>AND(K283&lt;&gt;"",K283&lt;=Assumptions!$B$9)</f>
        <v>1</v>
      </c>
      <c r="O283" s="17" t="b">
        <f>AND(P283&lt;&gt;"",ABS(L283)&lt;=Assumptions!$B$10)</f>
        <v>0</v>
      </c>
      <c r="P283" s="13">
        <v>45167</v>
      </c>
      <c r="Q283" s="14">
        <v>15036.377</v>
      </c>
      <c r="R283" s="15">
        <v>2.273E-2</v>
      </c>
      <c r="S283" s="17" t="str">
        <f t="shared" si="44"/>
        <v>BASELINE</v>
      </c>
      <c r="T283" s="16">
        <f t="shared" si="45"/>
        <v>2.1239999999999998E-2</v>
      </c>
      <c r="U283" s="16">
        <f>G283*Assumptions!$B$6</f>
        <v>0.240012</v>
      </c>
      <c r="V283" s="16">
        <f>T283*Assumptions!$B$6</f>
        <v>0.240012</v>
      </c>
      <c r="W283" s="16">
        <f t="shared" si="46"/>
        <v>0</v>
      </c>
      <c r="X283" s="18">
        <f t="shared" si="50"/>
        <v>677550.94097723032</v>
      </c>
      <c r="Y283" s="18">
        <f t="shared" si="51"/>
        <v>677550.94097723032</v>
      </c>
      <c r="Z283" s="19">
        <f t="shared" si="47"/>
        <v>0</v>
      </c>
      <c r="AA283" s="18">
        <f t="shared" si="52"/>
        <v>2209374.6570512354</v>
      </c>
      <c r="AB283" s="18">
        <f t="shared" si="53"/>
        <v>2286679.663372397</v>
      </c>
      <c r="AC283" s="19">
        <f t="shared" si="48"/>
        <v>-3.3806661929704718E-2</v>
      </c>
      <c r="AD283" s="20">
        <f t="shared" si="49"/>
        <v>1531823.7160740052</v>
      </c>
      <c r="AE283" s="9" t="s">
        <v>91</v>
      </c>
    </row>
    <row r="284" spans="1:31" ht="18" customHeight="1">
      <c r="A284" s="4">
        <v>280</v>
      </c>
      <c r="B284" s="13">
        <v>45174</v>
      </c>
      <c r="C284" s="13">
        <v>45176</v>
      </c>
      <c r="D284" s="4" t="s">
        <v>92</v>
      </c>
      <c r="E284" s="14">
        <v>15455.519</v>
      </c>
      <c r="F284" s="14">
        <v>15367.189</v>
      </c>
      <c r="G284" s="15">
        <v>-5.7099999999999998E-3</v>
      </c>
      <c r="H284" s="16">
        <f t="shared" si="54"/>
        <v>3.286E-2</v>
      </c>
      <c r="I284" s="17" t="b">
        <f>AND(A284&gt;2,H284&lt;=Assumptions!$B$7)</f>
        <v>0</v>
      </c>
      <c r="J284" s="15">
        <v>-2.0790666462892071E-3</v>
      </c>
      <c r="K284" s="15">
        <v>1.4920263135727918E-2</v>
      </c>
      <c r="L284" s="15"/>
      <c r="M284" s="17" t="b">
        <f>J284&gt;=Assumptions!$B$8</f>
        <v>0</v>
      </c>
      <c r="N284" s="17" t="b">
        <f>AND(K284&lt;&gt;"",K284&lt;=Assumptions!$B$9)</f>
        <v>0</v>
      </c>
      <c r="O284" s="17" t="b">
        <f>AND(P284&lt;&gt;"",ABS(L284)&lt;=Assumptions!$B$10)</f>
        <v>0</v>
      </c>
      <c r="P284" s="13"/>
      <c r="Q284" s="14"/>
      <c r="R284" s="15"/>
      <c r="S284" s="17" t="str">
        <f t="shared" si="44"/>
        <v>BASELINE</v>
      </c>
      <c r="T284" s="16">
        <f t="shared" si="45"/>
        <v>-5.7099999999999998E-3</v>
      </c>
      <c r="U284" s="16">
        <f>G284*Assumptions!$B$6</f>
        <v>-6.4522999999999997E-2</v>
      </c>
      <c r="V284" s="16">
        <f>T284*Assumptions!$B$6</f>
        <v>-6.4522999999999997E-2</v>
      </c>
      <c r="W284" s="16">
        <f t="shared" si="46"/>
        <v>0</v>
      </c>
      <c r="X284" s="18">
        <f t="shared" si="50"/>
        <v>633833.32161255646</v>
      </c>
      <c r="Y284" s="18">
        <f t="shared" si="51"/>
        <v>677550.94097723032</v>
      </c>
      <c r="Z284" s="19">
        <f t="shared" si="47"/>
        <v>-6.4522999999999997E-2</v>
      </c>
      <c r="AA284" s="18">
        <f t="shared" si="52"/>
        <v>2066819.1760543187</v>
      </c>
      <c r="AB284" s="18">
        <f t="shared" si="53"/>
        <v>2286679.663372397</v>
      </c>
      <c r="AC284" s="19">
        <f t="shared" si="48"/>
        <v>-9.6148354682014325E-2</v>
      </c>
      <c r="AD284" s="20">
        <f t="shared" si="49"/>
        <v>1432985.8544417622</v>
      </c>
      <c r="AE284" s="9" t="s">
        <v>91</v>
      </c>
    </row>
    <row r="285" spans="1:31" ht="18" customHeight="1">
      <c r="A285" s="4">
        <v>281</v>
      </c>
      <c r="B285" s="13">
        <v>45180</v>
      </c>
      <c r="C285" s="13">
        <v>45182</v>
      </c>
      <c r="D285" s="4" t="s">
        <v>95</v>
      </c>
      <c r="E285" s="14">
        <v>15406.199000000001</v>
      </c>
      <c r="F285" s="14">
        <v>15344.574204</v>
      </c>
      <c r="G285" s="15">
        <v>-4.0000000000000001E-3</v>
      </c>
      <c r="H285" s="16">
        <f t="shared" si="54"/>
        <v>1.5529999999999999E-2</v>
      </c>
      <c r="I285" s="17" t="b">
        <f>AND(A285&gt;2,H285&lt;=Assumptions!$B$7)</f>
        <v>0</v>
      </c>
      <c r="J285" s="15">
        <v>7.9801212086001438E-3</v>
      </c>
      <c r="K285" s="15">
        <v>1.0828008008556989E-2</v>
      </c>
      <c r="L285" s="15">
        <v>7.2227437743856981E-3</v>
      </c>
      <c r="M285" s="17" t="b">
        <f>J285&gt;=Assumptions!$B$8</f>
        <v>0</v>
      </c>
      <c r="N285" s="17" t="b">
        <f>AND(K285&lt;&gt;"",K285&lt;=Assumptions!$B$9)</f>
        <v>0</v>
      </c>
      <c r="O285" s="17" t="b">
        <f>AND(P285&lt;&gt;"",ABS(L285)&lt;=Assumptions!$B$10)</f>
        <v>0</v>
      </c>
      <c r="P285" s="13">
        <v>45181</v>
      </c>
      <c r="Q285" s="14">
        <v>15387.789000000001</v>
      </c>
      <c r="R285" s="15">
        <v>-2.8E-3</v>
      </c>
      <c r="S285" s="17" t="str">
        <f t="shared" si="44"/>
        <v>BASELINE</v>
      </c>
      <c r="T285" s="16">
        <f t="shared" si="45"/>
        <v>-4.0000000000000001E-3</v>
      </c>
      <c r="U285" s="16">
        <f>G285*Assumptions!$B$6</f>
        <v>-4.5200000000000004E-2</v>
      </c>
      <c r="V285" s="16">
        <f>T285*Assumptions!$B$6</f>
        <v>-4.5200000000000004E-2</v>
      </c>
      <c r="W285" s="16">
        <f t="shared" si="46"/>
        <v>0</v>
      </c>
      <c r="X285" s="18">
        <f t="shared" si="50"/>
        <v>605184.05547566887</v>
      </c>
      <c r="Y285" s="18">
        <f t="shared" si="51"/>
        <v>677550.94097723032</v>
      </c>
      <c r="Z285" s="19">
        <f t="shared" si="47"/>
        <v>-0.10680656040000014</v>
      </c>
      <c r="AA285" s="18">
        <f t="shared" si="52"/>
        <v>1973398.9492966635</v>
      </c>
      <c r="AB285" s="18">
        <f t="shared" si="53"/>
        <v>2286679.663372397</v>
      </c>
      <c r="AC285" s="19">
        <f t="shared" si="48"/>
        <v>-0.13700244905038728</v>
      </c>
      <c r="AD285" s="20">
        <f t="shared" si="49"/>
        <v>1368214.8938209945</v>
      </c>
      <c r="AE285" s="9" t="s">
        <v>91</v>
      </c>
    </row>
    <row r="286" spans="1:31" ht="18" customHeight="1">
      <c r="A286" s="4">
        <v>282</v>
      </c>
      <c r="B286" s="13">
        <v>45187</v>
      </c>
      <c r="C286" s="13">
        <v>45190</v>
      </c>
      <c r="D286" s="4" t="s">
        <v>92</v>
      </c>
      <c r="E286" s="14">
        <v>15168.648999999999</v>
      </c>
      <c r="F286" s="14">
        <v>14966.319</v>
      </c>
      <c r="G286" s="15">
        <v>-1.333E-2</v>
      </c>
      <c r="H286" s="16">
        <f t="shared" si="54"/>
        <v>-9.7099999999999999E-3</v>
      </c>
      <c r="I286" s="17" t="b">
        <f>AND(A286&gt;2,H286&lt;=Assumptions!$B$7)</f>
        <v>0</v>
      </c>
      <c r="J286" s="15">
        <v>-2.8431690218295724E-3</v>
      </c>
      <c r="K286" s="15">
        <v>3.4109746608477876E-2</v>
      </c>
      <c r="L286" s="15">
        <v>-2.5790129414107188E-3</v>
      </c>
      <c r="M286" s="17" t="b">
        <f>J286&gt;=Assumptions!$B$8</f>
        <v>0</v>
      </c>
      <c r="N286" s="17" t="b">
        <f>AND(K286&lt;&gt;"",K286&lt;=Assumptions!$B$9)</f>
        <v>0</v>
      </c>
      <c r="O286" s="17" t="b">
        <f>AND(P286&lt;&gt;"",ABS(L286)&lt;=Assumptions!$B$10)</f>
        <v>1</v>
      </c>
      <c r="P286" s="13">
        <v>45188</v>
      </c>
      <c r="Q286" s="14">
        <v>15165.289000000001</v>
      </c>
      <c r="R286" s="15">
        <v>-1.312E-2</v>
      </c>
      <c r="S286" s="17" t="str">
        <f t="shared" si="44"/>
        <v>BASELINE</v>
      </c>
      <c r="T286" s="16">
        <f t="shared" si="45"/>
        <v>-1.333E-2</v>
      </c>
      <c r="U286" s="16">
        <f>G286*Assumptions!$B$6</f>
        <v>-0.15062900000000001</v>
      </c>
      <c r="V286" s="16">
        <f>T286*Assumptions!$B$6</f>
        <v>-0.15062900000000001</v>
      </c>
      <c r="W286" s="16">
        <f t="shared" si="46"/>
        <v>0</v>
      </c>
      <c r="X286" s="18">
        <f t="shared" si="50"/>
        <v>514025.7863834243</v>
      </c>
      <c r="Y286" s="18">
        <f t="shared" si="51"/>
        <v>677550.94097723032</v>
      </c>
      <c r="Z286" s="19">
        <f t="shared" si="47"/>
        <v>-0.24134739501350855</v>
      </c>
      <c r="AA286" s="18">
        <f t="shared" si="52"/>
        <v>1676147.8389630564</v>
      </c>
      <c r="AB286" s="18">
        <f t="shared" si="53"/>
        <v>2286679.663372397</v>
      </c>
      <c r="AC286" s="19">
        <f t="shared" si="48"/>
        <v>-0.26699490715237639</v>
      </c>
      <c r="AD286" s="20">
        <f t="shared" si="49"/>
        <v>1162122.052579632</v>
      </c>
      <c r="AE286" s="9" t="s">
        <v>91</v>
      </c>
    </row>
    <row r="287" spans="1:31" ht="18" customHeight="1">
      <c r="A287" s="4">
        <v>283</v>
      </c>
      <c r="B287" s="13">
        <v>45194</v>
      </c>
      <c r="C287" s="13">
        <v>45194</v>
      </c>
      <c r="D287" s="4" t="s">
        <v>90</v>
      </c>
      <c r="E287" s="14">
        <v>14656.589</v>
      </c>
      <c r="F287" s="14">
        <v>14777.129000000001</v>
      </c>
      <c r="G287" s="15">
        <v>8.2199999999999999E-3</v>
      </c>
      <c r="H287" s="16">
        <f t="shared" si="54"/>
        <v>-1.7329999999999998E-2</v>
      </c>
      <c r="I287" s="17" t="b">
        <f>AND(A287&gt;2,H287&lt;=Assumptions!$B$7)</f>
        <v>0</v>
      </c>
      <c r="J287" s="15">
        <v>-4.047254482133833E-3</v>
      </c>
      <c r="K287" s="15">
        <v>-7.7297876687217881E-3</v>
      </c>
      <c r="L287" s="15">
        <v>-2.5665830881917984E-3</v>
      </c>
      <c r="M287" s="17" t="b">
        <f>J287&gt;=Assumptions!$B$8</f>
        <v>0</v>
      </c>
      <c r="N287" s="17" t="b">
        <f>AND(K287&lt;&gt;"",K287&lt;=Assumptions!$B$9)</f>
        <v>1</v>
      </c>
      <c r="O287" s="17" t="b">
        <f>AND(P287&lt;&gt;"",ABS(L287)&lt;=Assumptions!$B$10)</f>
        <v>1</v>
      </c>
      <c r="P287" s="13">
        <v>45195</v>
      </c>
      <c r="Q287" s="14">
        <v>14659.519</v>
      </c>
      <c r="R287" s="15">
        <v>8.0199999999999994E-3</v>
      </c>
      <c r="S287" s="17" t="str">
        <f t="shared" si="44"/>
        <v>BASELINE</v>
      </c>
      <c r="T287" s="16">
        <f t="shared" si="45"/>
        <v>8.2199999999999999E-3</v>
      </c>
      <c r="U287" s="16">
        <f>G287*Assumptions!$B$6</f>
        <v>9.288600000000001E-2</v>
      </c>
      <c r="V287" s="16">
        <f>T287*Assumptions!$B$6</f>
        <v>9.288600000000001E-2</v>
      </c>
      <c r="W287" s="16">
        <f t="shared" si="46"/>
        <v>0</v>
      </c>
      <c r="X287" s="18">
        <f t="shared" si="50"/>
        <v>561771.58557743509</v>
      </c>
      <c r="Y287" s="18">
        <f t="shared" si="51"/>
        <v>677550.94097723032</v>
      </c>
      <c r="Z287" s="19">
        <f t="shared" si="47"/>
        <v>-0.17087918914673328</v>
      </c>
      <c r="AA287" s="18">
        <f t="shared" si="52"/>
        <v>1831838.5071329789</v>
      </c>
      <c r="AB287" s="18">
        <f t="shared" si="53"/>
        <v>2286679.663372397</v>
      </c>
      <c r="AC287" s="19">
        <f t="shared" si="48"/>
        <v>-0.19890899609813206</v>
      </c>
      <c r="AD287" s="20">
        <f t="shared" si="49"/>
        <v>1270066.9215555438</v>
      </c>
      <c r="AE287" s="9" t="s">
        <v>91</v>
      </c>
    </row>
    <row r="288" spans="1:31" ht="18" customHeight="1">
      <c r="A288" s="4">
        <v>284</v>
      </c>
      <c r="B288" s="13">
        <v>45201</v>
      </c>
      <c r="C288" s="13">
        <v>45201</v>
      </c>
      <c r="D288" s="4" t="s">
        <v>90</v>
      </c>
      <c r="E288" s="14">
        <v>14723.259</v>
      </c>
      <c r="F288" s="14">
        <v>14844.718999999999</v>
      </c>
      <c r="G288" s="15">
        <v>8.2400000000000008E-3</v>
      </c>
      <c r="H288" s="16">
        <f t="shared" si="54"/>
        <v>-5.11E-3</v>
      </c>
      <c r="I288" s="17" t="b">
        <f>AND(A288&gt;2,H288&lt;=Assumptions!$B$7)</f>
        <v>0</v>
      </c>
      <c r="J288" s="15">
        <v>4.5594928539283153E-4</v>
      </c>
      <c r="K288" s="15">
        <v>-5.0795917712378458E-2</v>
      </c>
      <c r="L288" s="15">
        <v>1.4228758998633406E-3</v>
      </c>
      <c r="M288" s="17" t="b">
        <f>J288&gt;=Assumptions!$B$8</f>
        <v>0</v>
      </c>
      <c r="N288" s="17" t="b">
        <f>AND(K288&lt;&gt;"",K288&lt;=Assumptions!$B$9)</f>
        <v>1</v>
      </c>
      <c r="O288" s="17" t="b">
        <f>AND(P288&lt;&gt;"",ABS(L288)&lt;=Assumptions!$B$10)</f>
        <v>1</v>
      </c>
      <c r="P288" s="13">
        <v>45202</v>
      </c>
      <c r="Q288" s="14">
        <v>14725.638999999999</v>
      </c>
      <c r="R288" s="15">
        <v>8.0800000000000004E-3</v>
      </c>
      <c r="S288" s="17" t="str">
        <f t="shared" si="44"/>
        <v>BASELINE</v>
      </c>
      <c r="T288" s="16">
        <f t="shared" si="45"/>
        <v>8.2400000000000008E-3</v>
      </c>
      <c r="U288" s="16">
        <f>G288*Assumptions!$B$6</f>
        <v>9.3112000000000014E-2</v>
      </c>
      <c r="V288" s="16">
        <f>T288*Assumptions!$B$6</f>
        <v>9.3112000000000014E-2</v>
      </c>
      <c r="W288" s="16">
        <f t="shared" si="46"/>
        <v>0</v>
      </c>
      <c r="X288" s="18">
        <f t="shared" si="50"/>
        <v>614079.26145372132</v>
      </c>
      <c r="Y288" s="18">
        <f t="shared" si="51"/>
        <v>677550.94097723032</v>
      </c>
      <c r="Z288" s="19">
        <f t="shared" si="47"/>
        <v>-9.3678092206563757E-2</v>
      </c>
      <c r="AA288" s="18">
        <f t="shared" si="52"/>
        <v>2002404.6542091449</v>
      </c>
      <c r="AB288" s="18">
        <f t="shared" si="53"/>
        <v>2286679.663372397</v>
      </c>
      <c r="AC288" s="19">
        <f t="shared" si="48"/>
        <v>-0.12431781054282132</v>
      </c>
      <c r="AD288" s="20">
        <f t="shared" si="49"/>
        <v>1388325.3927554237</v>
      </c>
      <c r="AE288" s="9" t="s">
        <v>91</v>
      </c>
    </row>
    <row r="289" spans="1:31" ht="18" customHeight="1">
      <c r="A289" s="4">
        <v>285</v>
      </c>
      <c r="B289" s="13">
        <v>45208</v>
      </c>
      <c r="C289" s="13">
        <v>45208</v>
      </c>
      <c r="D289" s="4" t="s">
        <v>90</v>
      </c>
      <c r="E289" s="14">
        <v>14874.218999999999</v>
      </c>
      <c r="F289" s="14">
        <v>15048.898999999999</v>
      </c>
      <c r="G289" s="15">
        <v>1.174E-2</v>
      </c>
      <c r="H289" s="16">
        <f t="shared" si="54"/>
        <v>1.6460000000000002E-2</v>
      </c>
      <c r="I289" s="17" t="b">
        <f>AND(A289&gt;2,H289&lt;=Assumptions!$B$7)</f>
        <v>0</v>
      </c>
      <c r="J289" s="15">
        <v>-6.9699349452710946E-3</v>
      </c>
      <c r="K289" s="15">
        <v>-1.9733664714915888E-2</v>
      </c>
      <c r="L289" s="15">
        <v>6.0284816695959087E-3</v>
      </c>
      <c r="M289" s="17" t="b">
        <f>J289&gt;=Assumptions!$B$8</f>
        <v>0</v>
      </c>
      <c r="N289" s="17" t="b">
        <f>AND(K289&lt;&gt;"",K289&lt;=Assumptions!$B$9)</f>
        <v>1</v>
      </c>
      <c r="O289" s="17" t="b">
        <f>AND(P289&lt;&gt;"",ABS(L289)&lt;=Assumptions!$B$10)</f>
        <v>0</v>
      </c>
      <c r="P289" s="13">
        <v>45209</v>
      </c>
      <c r="Q289" s="14">
        <v>15060.308999999999</v>
      </c>
      <c r="R289" s="15">
        <v>-7.5000000000000002E-4</v>
      </c>
      <c r="S289" s="17" t="str">
        <f t="shared" si="44"/>
        <v>BASELINE</v>
      </c>
      <c r="T289" s="16">
        <f t="shared" si="45"/>
        <v>1.174E-2</v>
      </c>
      <c r="U289" s="16">
        <f>G289*Assumptions!$B$6</f>
        <v>0.132662</v>
      </c>
      <c r="V289" s="16">
        <f>T289*Assumptions!$B$6</f>
        <v>0.132662</v>
      </c>
      <c r="W289" s="16">
        <f t="shared" si="46"/>
        <v>0</v>
      </c>
      <c r="X289" s="18">
        <f t="shared" si="50"/>
        <v>695544.24443669489</v>
      </c>
      <c r="Y289" s="18">
        <f t="shared" si="51"/>
        <v>695544.24443669489</v>
      </c>
      <c r="Z289" s="19">
        <f t="shared" si="47"/>
        <v>0</v>
      </c>
      <c r="AA289" s="18">
        <f t="shared" si="52"/>
        <v>2268047.6604458387</v>
      </c>
      <c r="AB289" s="18">
        <f t="shared" si="53"/>
        <v>2286679.663372397</v>
      </c>
      <c r="AC289" s="19">
        <f t="shared" si="48"/>
        <v>-8.1480599250529639E-3</v>
      </c>
      <c r="AD289" s="20">
        <f t="shared" si="49"/>
        <v>1572503.4160091439</v>
      </c>
      <c r="AE289" s="9" t="s">
        <v>91</v>
      </c>
    </row>
    <row r="290" spans="1:31" ht="18" customHeight="1">
      <c r="A290" s="4">
        <v>286</v>
      </c>
      <c r="B290" s="13">
        <v>45215</v>
      </c>
      <c r="C290" s="13">
        <v>45215</v>
      </c>
      <c r="D290" s="4" t="s">
        <v>90</v>
      </c>
      <c r="E290" s="14">
        <v>15053.019</v>
      </c>
      <c r="F290" s="14">
        <v>15163.769</v>
      </c>
      <c r="G290" s="15">
        <v>7.3499999999999998E-3</v>
      </c>
      <c r="H290" s="16">
        <f t="shared" si="54"/>
        <v>1.9980000000000001E-2</v>
      </c>
      <c r="I290" s="17" t="b">
        <f>AND(A290&gt;2,H290&lt;=Assumptions!$B$7)</f>
        <v>0</v>
      </c>
      <c r="J290" s="15">
        <v>4.1498761007494611E-3</v>
      </c>
      <c r="K290" s="15">
        <v>-1.3486656470569014E-2</v>
      </c>
      <c r="L290" s="15">
        <v>1.4508373404078512E-3</v>
      </c>
      <c r="M290" s="17" t="b">
        <f>J290&gt;=Assumptions!$B$8</f>
        <v>0</v>
      </c>
      <c r="N290" s="17" t="b">
        <f>AND(K290&lt;&gt;"",K290&lt;=Assumptions!$B$9)</f>
        <v>1</v>
      </c>
      <c r="O290" s="17" t="b">
        <f>AND(P290&lt;&gt;"",ABS(L290)&lt;=Assumptions!$B$10)</f>
        <v>1</v>
      </c>
      <c r="P290" s="13">
        <v>45216</v>
      </c>
      <c r="Q290" s="14">
        <v>15015.789000000001</v>
      </c>
      <c r="R290" s="15">
        <v>9.8499999999999994E-3</v>
      </c>
      <c r="S290" s="17" t="str">
        <f t="shared" si="44"/>
        <v>BASELINE</v>
      </c>
      <c r="T290" s="16">
        <f t="shared" si="45"/>
        <v>7.3499999999999998E-3</v>
      </c>
      <c r="U290" s="16">
        <f>G290*Assumptions!$B$6</f>
        <v>8.3055000000000004E-2</v>
      </c>
      <c r="V290" s="16">
        <f>T290*Assumptions!$B$6</f>
        <v>8.3055000000000004E-2</v>
      </c>
      <c r="W290" s="16">
        <f t="shared" si="46"/>
        <v>0</v>
      </c>
      <c r="X290" s="18">
        <f t="shared" si="50"/>
        <v>753312.67165838461</v>
      </c>
      <c r="Y290" s="18">
        <f t="shared" si="51"/>
        <v>753312.67165838461</v>
      </c>
      <c r="Z290" s="19">
        <f t="shared" si="47"/>
        <v>0</v>
      </c>
      <c r="AA290" s="18">
        <f t="shared" si="52"/>
        <v>2456420.3588841679</v>
      </c>
      <c r="AB290" s="18">
        <f t="shared" si="53"/>
        <v>2456420.3588841679</v>
      </c>
      <c r="AC290" s="19">
        <f t="shared" si="48"/>
        <v>0</v>
      </c>
      <c r="AD290" s="20">
        <f t="shared" si="49"/>
        <v>1703107.6872257832</v>
      </c>
      <c r="AE290" s="9" t="s">
        <v>91</v>
      </c>
    </row>
    <row r="291" spans="1:31" ht="18" customHeight="1">
      <c r="A291" s="4">
        <v>287</v>
      </c>
      <c r="B291" s="13">
        <v>45222</v>
      </c>
      <c r="C291" s="13">
        <v>45222</v>
      </c>
      <c r="D291" s="4" t="s">
        <v>90</v>
      </c>
      <c r="E291" s="14">
        <v>14501.897000000001</v>
      </c>
      <c r="F291" s="14">
        <v>14618.308999999999</v>
      </c>
      <c r="G291" s="15">
        <v>8.0199999999999994E-3</v>
      </c>
      <c r="H291" s="16">
        <f t="shared" si="54"/>
        <v>1.9089999999999999E-2</v>
      </c>
      <c r="I291" s="17" t="b">
        <f>AND(A291&gt;2,H291&lt;=Assumptions!$B$7)</f>
        <v>0</v>
      </c>
      <c r="J291" s="15">
        <v>-3.4614533307485429E-3</v>
      </c>
      <c r="K291" s="15">
        <v>-9.2453399594424335E-3</v>
      </c>
      <c r="L291" s="15">
        <v>8.2043048403122043E-3</v>
      </c>
      <c r="M291" s="17" t="b">
        <f>J291&gt;=Assumptions!$B$8</f>
        <v>0</v>
      </c>
      <c r="N291" s="17" t="b">
        <f>AND(K291&lt;&gt;"",K291&lt;=Assumptions!$B$9)</f>
        <v>1</v>
      </c>
      <c r="O291" s="17" t="b">
        <f>AND(P291&lt;&gt;"",ABS(L291)&lt;=Assumptions!$B$10)</f>
        <v>0</v>
      </c>
      <c r="P291" s="13">
        <v>45223</v>
      </c>
      <c r="Q291" s="14">
        <v>14676.888999999999</v>
      </c>
      <c r="R291" s="15">
        <v>-3.9899999999999996E-3</v>
      </c>
      <c r="S291" s="17" t="str">
        <f t="shared" si="44"/>
        <v>BASELINE</v>
      </c>
      <c r="T291" s="16">
        <f t="shared" si="45"/>
        <v>8.0199999999999994E-3</v>
      </c>
      <c r="U291" s="16">
        <f>G291*Assumptions!$B$6</f>
        <v>9.0625999999999998E-2</v>
      </c>
      <c r="V291" s="16">
        <f>T291*Assumptions!$B$6</f>
        <v>9.0625999999999998E-2</v>
      </c>
      <c r="W291" s="16">
        <f t="shared" si="46"/>
        <v>0</v>
      </c>
      <c r="X291" s="18">
        <f t="shared" si="50"/>
        <v>821582.38584009744</v>
      </c>
      <c r="Y291" s="18">
        <f t="shared" si="51"/>
        <v>821582.38584009744</v>
      </c>
      <c r="Z291" s="19">
        <f t="shared" si="47"/>
        <v>0</v>
      </c>
      <c r="AA291" s="18">
        <f t="shared" si="52"/>
        <v>2679035.9103284045</v>
      </c>
      <c r="AB291" s="18">
        <f t="shared" si="53"/>
        <v>2679035.9103284045</v>
      </c>
      <c r="AC291" s="19">
        <f t="shared" si="48"/>
        <v>0</v>
      </c>
      <c r="AD291" s="20">
        <f t="shared" si="49"/>
        <v>1857453.5244883071</v>
      </c>
      <c r="AE291" s="9" t="s">
        <v>91</v>
      </c>
    </row>
    <row r="292" spans="1:31" ht="18" customHeight="1">
      <c r="A292" s="4">
        <v>288</v>
      </c>
      <c r="B292" s="13">
        <v>45229</v>
      </c>
      <c r="C292" s="13">
        <v>45233</v>
      </c>
      <c r="D292" s="4" t="s">
        <v>90</v>
      </c>
      <c r="E292" s="14">
        <v>14282.398999999999</v>
      </c>
      <c r="F292" s="14">
        <v>15104.009</v>
      </c>
      <c r="G292" s="15">
        <v>5.7520000000000002E-2</v>
      </c>
      <c r="H292" s="16">
        <f t="shared" si="54"/>
        <v>1.5369999999999998E-2</v>
      </c>
      <c r="I292" s="17" t="b">
        <f>AND(A292&gt;2,H292&lt;=Assumptions!$B$7)</f>
        <v>0</v>
      </c>
      <c r="J292" s="15">
        <v>5.853109969097714E-3</v>
      </c>
      <c r="K292" s="15">
        <v>-3.6174858769001061E-2</v>
      </c>
      <c r="L292" s="15">
        <v>1.1351278663221054E-2</v>
      </c>
      <c r="M292" s="17" t="b">
        <f>J292&gt;=Assumptions!$B$8</f>
        <v>0</v>
      </c>
      <c r="N292" s="17" t="b">
        <f>AND(K292&lt;&gt;"",K292&lt;=Assumptions!$B$9)</f>
        <v>1</v>
      </c>
      <c r="O292" s="17" t="b">
        <f>AND(P292&lt;&gt;"",ABS(L292)&lt;=Assumptions!$B$10)</f>
        <v>0</v>
      </c>
      <c r="P292" s="13">
        <v>45230</v>
      </c>
      <c r="Q292" s="14">
        <v>14336.189</v>
      </c>
      <c r="R292" s="15">
        <v>5.355E-2</v>
      </c>
      <c r="S292" s="17" t="str">
        <f t="shared" si="44"/>
        <v>BASELINE</v>
      </c>
      <c r="T292" s="16">
        <f t="shared" si="45"/>
        <v>5.7520000000000002E-2</v>
      </c>
      <c r="U292" s="16">
        <f>G292*Assumptions!$B$6</f>
        <v>0.64997600000000011</v>
      </c>
      <c r="V292" s="16">
        <f>T292*Assumptions!$B$6</f>
        <v>0.64997600000000011</v>
      </c>
      <c r="W292" s="16">
        <f t="shared" si="46"/>
        <v>0</v>
      </c>
      <c r="X292" s="18">
        <f t="shared" si="50"/>
        <v>1355591.2186589008</v>
      </c>
      <c r="Y292" s="18">
        <f t="shared" si="51"/>
        <v>1355591.2186589008</v>
      </c>
      <c r="Z292" s="19">
        <f t="shared" si="47"/>
        <v>0</v>
      </c>
      <c r="AA292" s="18">
        <f t="shared" si="52"/>
        <v>4420344.9551800201</v>
      </c>
      <c r="AB292" s="18">
        <f t="shared" si="53"/>
        <v>4420344.9551800201</v>
      </c>
      <c r="AC292" s="19">
        <f t="shared" si="48"/>
        <v>0</v>
      </c>
      <c r="AD292" s="20">
        <f t="shared" si="49"/>
        <v>3064753.7365211193</v>
      </c>
      <c r="AE292" s="9" t="s">
        <v>91</v>
      </c>
    </row>
    <row r="293" spans="1:31" ht="18" customHeight="1">
      <c r="A293" s="4">
        <v>289</v>
      </c>
      <c r="B293" s="13">
        <v>45236</v>
      </c>
      <c r="C293" s="13">
        <v>45240</v>
      </c>
      <c r="D293" s="4" t="s">
        <v>93</v>
      </c>
      <c r="E293" s="14">
        <v>15125.746999999999</v>
      </c>
      <c r="F293" s="14">
        <v>15530.019</v>
      </c>
      <c r="G293" s="15">
        <v>2.6720000000000001E-2</v>
      </c>
      <c r="H293" s="16">
        <f t="shared" si="54"/>
        <v>6.5540000000000001E-2</v>
      </c>
      <c r="I293" s="17" t="b">
        <f>AND(A293&gt;2,H293&lt;=Assumptions!$B$7)</f>
        <v>0</v>
      </c>
      <c r="J293" s="15">
        <v>1.4392205407185443E-3</v>
      </c>
      <c r="K293" s="15">
        <v>8.2538715972153565E-3</v>
      </c>
      <c r="L293" s="15">
        <v>6.9619262793501058E-3</v>
      </c>
      <c r="M293" s="17" t="b">
        <f>J293&gt;=Assumptions!$B$8</f>
        <v>0</v>
      </c>
      <c r="N293" s="17" t="b">
        <f>AND(K293&lt;&gt;"",K293&lt;=Assumptions!$B$9)</f>
        <v>0</v>
      </c>
      <c r="O293" s="17" t="b">
        <f>AND(P293&lt;&gt;"",ABS(L293)&lt;=Assumptions!$B$10)</f>
        <v>0</v>
      </c>
      <c r="P293" s="13">
        <v>45237</v>
      </c>
      <c r="Q293" s="14">
        <v>15199.769</v>
      </c>
      <c r="R293" s="15">
        <v>2.172E-2</v>
      </c>
      <c r="S293" s="17" t="str">
        <f t="shared" si="44"/>
        <v>BASELINE</v>
      </c>
      <c r="T293" s="16">
        <f t="shared" si="45"/>
        <v>2.6720000000000001E-2</v>
      </c>
      <c r="U293" s="16">
        <f>G293*Assumptions!$B$6</f>
        <v>0.30193600000000004</v>
      </c>
      <c r="V293" s="16">
        <f>T293*Assumptions!$B$6</f>
        <v>0.30193600000000004</v>
      </c>
      <c r="W293" s="16">
        <f t="shared" si="46"/>
        <v>0</v>
      </c>
      <c r="X293" s="18">
        <f t="shared" si="50"/>
        <v>1764893.0088558947</v>
      </c>
      <c r="Y293" s="18">
        <f t="shared" si="51"/>
        <v>1764893.0088558947</v>
      </c>
      <c r="Z293" s="19">
        <f t="shared" si="47"/>
        <v>0</v>
      </c>
      <c r="AA293" s="18">
        <f t="shared" si="52"/>
        <v>5755006.2295672549</v>
      </c>
      <c r="AB293" s="18">
        <f t="shared" si="53"/>
        <v>5755006.2295672549</v>
      </c>
      <c r="AC293" s="19">
        <f t="shared" si="48"/>
        <v>0</v>
      </c>
      <c r="AD293" s="20">
        <f t="shared" si="49"/>
        <v>3990113.2207113602</v>
      </c>
      <c r="AE293" s="9" t="s">
        <v>91</v>
      </c>
    </row>
    <row r="294" spans="1:31" ht="18" customHeight="1">
      <c r="A294" s="4">
        <v>290</v>
      </c>
      <c r="B294" s="13">
        <v>45243</v>
      </c>
      <c r="C294" s="13">
        <v>45244</v>
      </c>
      <c r="D294" s="4" t="s">
        <v>98</v>
      </c>
      <c r="E294" s="14">
        <v>15460.529</v>
      </c>
      <c r="F294" s="14">
        <v>15774.249</v>
      </c>
      <c r="G294" s="15">
        <v>2.0289999999999999E-2</v>
      </c>
      <c r="H294" s="16">
        <f t="shared" si="54"/>
        <v>8.4240000000000009E-2</v>
      </c>
      <c r="I294" s="17" t="b">
        <f>AND(A294&gt;2,H294&lt;=Assumptions!$B$7)</f>
        <v>0</v>
      </c>
      <c r="J294" s="15">
        <v>-4.4745598830239208E-3</v>
      </c>
      <c r="K294" s="15">
        <v>3.5886807052451175E-2</v>
      </c>
      <c r="L294" s="15">
        <v>1.4059106939916521E-2</v>
      </c>
      <c r="M294" s="17" t="b">
        <f>J294&gt;=Assumptions!$B$8</f>
        <v>0</v>
      </c>
      <c r="N294" s="17" t="b">
        <f>AND(K294&lt;&gt;"",K294&lt;=Assumptions!$B$9)</f>
        <v>0</v>
      </c>
      <c r="O294" s="17" t="b">
        <f>AND(P294&lt;&gt;"",ABS(L294)&lt;=Assumptions!$B$10)</f>
        <v>0</v>
      </c>
      <c r="P294" s="13">
        <v>45244</v>
      </c>
      <c r="Q294" s="14">
        <v>15747.329</v>
      </c>
      <c r="R294" s="15">
        <v>1.6999999999999999E-3</v>
      </c>
      <c r="S294" s="17" t="str">
        <f t="shared" si="44"/>
        <v>BASELINE</v>
      </c>
      <c r="T294" s="16">
        <f t="shared" si="45"/>
        <v>2.0289999999999999E-2</v>
      </c>
      <c r="U294" s="16">
        <f>G294*Assumptions!$B$6</f>
        <v>0.22927700000000001</v>
      </c>
      <c r="V294" s="16">
        <f>T294*Assumptions!$B$6</f>
        <v>0.22927700000000001</v>
      </c>
      <c r="W294" s="16">
        <f t="shared" si="46"/>
        <v>0</v>
      </c>
      <c r="X294" s="18">
        <f t="shared" si="50"/>
        <v>2169542.3832473475</v>
      </c>
      <c r="Y294" s="18">
        <f t="shared" si="51"/>
        <v>2169542.3832473475</v>
      </c>
      <c r="Z294" s="19">
        <f t="shared" si="47"/>
        <v>0</v>
      </c>
      <c r="AA294" s="18">
        <f t="shared" si="52"/>
        <v>7074496.7928637462</v>
      </c>
      <c r="AB294" s="18">
        <f t="shared" si="53"/>
        <v>7074496.7928637462</v>
      </c>
      <c r="AC294" s="19">
        <f t="shared" si="48"/>
        <v>0</v>
      </c>
      <c r="AD294" s="20">
        <f t="shared" si="49"/>
        <v>4904954.4096163986</v>
      </c>
      <c r="AE294" s="9" t="s">
        <v>91</v>
      </c>
    </row>
    <row r="295" spans="1:31" ht="18" customHeight="1">
      <c r="A295" s="4">
        <v>291</v>
      </c>
      <c r="B295" s="13">
        <v>45250</v>
      </c>
      <c r="C295" s="13">
        <v>45250</v>
      </c>
      <c r="D295" s="4" t="s">
        <v>90</v>
      </c>
      <c r="E295" s="14">
        <v>15835.539000000001</v>
      </c>
      <c r="F295" s="14">
        <v>16026.627</v>
      </c>
      <c r="G295" s="15">
        <v>1.206E-2</v>
      </c>
      <c r="H295" s="16">
        <f t="shared" si="54"/>
        <v>4.7009999999999996E-2</v>
      </c>
      <c r="I295" s="17" t="b">
        <f>AND(A295&gt;2,H295&lt;=Assumptions!$B$7)</f>
        <v>0</v>
      </c>
      <c r="J295" s="15">
        <v>1.7811217391039413E-4</v>
      </c>
      <c r="K295" s="15">
        <v>8.8664565772505588E-2</v>
      </c>
      <c r="L295" s="15">
        <v>7.6930117016409394E-3</v>
      </c>
      <c r="M295" s="17" t="b">
        <f>J295&gt;=Assumptions!$B$8</f>
        <v>0</v>
      </c>
      <c r="N295" s="17" t="b">
        <f>AND(K295&lt;&gt;"",K295&lt;=Assumptions!$B$9)</f>
        <v>0</v>
      </c>
      <c r="O295" s="17" t="b">
        <f>AND(P295&lt;&gt;"",ABS(L295)&lt;=Assumptions!$B$10)</f>
        <v>0</v>
      </c>
      <c r="P295" s="13">
        <v>45251</v>
      </c>
      <c r="Q295" s="14">
        <v>15955.269</v>
      </c>
      <c r="R295" s="15">
        <v>4.47E-3</v>
      </c>
      <c r="S295" s="17" t="str">
        <f t="shared" si="44"/>
        <v>BASELINE</v>
      </c>
      <c r="T295" s="16">
        <f t="shared" si="45"/>
        <v>1.206E-2</v>
      </c>
      <c r="U295" s="16">
        <f>G295*Assumptions!$B$6</f>
        <v>0.13627800000000001</v>
      </c>
      <c r="V295" s="16">
        <f>T295*Assumptions!$B$6</f>
        <v>0.13627800000000001</v>
      </c>
      <c r="W295" s="16">
        <f t="shared" si="46"/>
        <v>0</v>
      </c>
      <c r="X295" s="18">
        <f t="shared" si="50"/>
        <v>2465203.2801515292</v>
      </c>
      <c r="Y295" s="18">
        <f t="shared" si="51"/>
        <v>2465203.2801515292</v>
      </c>
      <c r="Z295" s="19">
        <f t="shared" si="47"/>
        <v>0</v>
      </c>
      <c r="AA295" s="18">
        <f t="shared" si="52"/>
        <v>8038595.0668016309</v>
      </c>
      <c r="AB295" s="18">
        <f t="shared" si="53"/>
        <v>8038595.0668016309</v>
      </c>
      <c r="AC295" s="19">
        <f t="shared" si="48"/>
        <v>0</v>
      </c>
      <c r="AD295" s="20">
        <f t="shared" si="49"/>
        <v>5573391.7866501017</v>
      </c>
      <c r="AE295" s="9" t="s">
        <v>91</v>
      </c>
    </row>
    <row r="296" spans="1:31" ht="18" customHeight="1">
      <c r="A296" s="4">
        <v>292</v>
      </c>
      <c r="B296" s="13">
        <v>45257</v>
      </c>
      <c r="C296" s="13">
        <v>45260</v>
      </c>
      <c r="D296" s="4" t="s">
        <v>96</v>
      </c>
      <c r="E296" s="14">
        <v>15956.398999999999</v>
      </c>
      <c r="F296" s="14">
        <v>15892.573403999999</v>
      </c>
      <c r="G296" s="15">
        <v>-4.0000000000000001E-3</v>
      </c>
      <c r="H296" s="16">
        <f t="shared" si="54"/>
        <v>3.2349999999999997E-2</v>
      </c>
      <c r="I296" s="17" t="b">
        <f>AND(A296&gt;2,H296&lt;=Assumptions!$B$7)</f>
        <v>0</v>
      </c>
      <c r="J296" s="15">
        <v>-1.1030411319781219E-3</v>
      </c>
      <c r="K296" s="15">
        <v>0.13341185870133532</v>
      </c>
      <c r="L296" s="15">
        <v>-2.82225982931672E-3</v>
      </c>
      <c r="M296" s="17" t="b">
        <f>J296&gt;=Assumptions!$B$8</f>
        <v>0</v>
      </c>
      <c r="N296" s="17" t="b">
        <f>AND(K296&lt;&gt;"",K296&lt;=Assumptions!$B$9)</f>
        <v>0</v>
      </c>
      <c r="O296" s="17" t="b">
        <f>AND(P296&lt;&gt;"",ABS(L296)&lt;=Assumptions!$B$10)</f>
        <v>1</v>
      </c>
      <c r="P296" s="13">
        <v>45258</v>
      </c>
      <c r="Q296" s="14">
        <v>15934.398999999999</v>
      </c>
      <c r="R296" s="15">
        <v>-2.6199999999999999E-3</v>
      </c>
      <c r="S296" s="17" t="str">
        <f t="shared" si="44"/>
        <v>BASELINE</v>
      </c>
      <c r="T296" s="16">
        <f t="shared" si="45"/>
        <v>-4.0000000000000001E-3</v>
      </c>
      <c r="U296" s="16">
        <f>G296*Assumptions!$B$6</f>
        <v>-4.5200000000000004E-2</v>
      </c>
      <c r="V296" s="16">
        <f>T296*Assumptions!$B$6</f>
        <v>-4.5200000000000004E-2</v>
      </c>
      <c r="W296" s="16">
        <f t="shared" si="46"/>
        <v>0</v>
      </c>
      <c r="X296" s="18">
        <f t="shared" si="50"/>
        <v>2353776.0918886801</v>
      </c>
      <c r="Y296" s="18">
        <f t="shared" si="51"/>
        <v>2465203.2801515292</v>
      </c>
      <c r="Z296" s="19">
        <f t="shared" si="47"/>
        <v>-4.5200000000000018E-2</v>
      </c>
      <c r="AA296" s="18">
        <f t="shared" si="52"/>
        <v>7675250.5697821975</v>
      </c>
      <c r="AB296" s="18">
        <f t="shared" si="53"/>
        <v>8038595.0668016309</v>
      </c>
      <c r="AC296" s="19">
        <f t="shared" si="48"/>
        <v>-4.5200000000000018E-2</v>
      </c>
      <c r="AD296" s="20">
        <f t="shared" si="49"/>
        <v>5321474.4778935174</v>
      </c>
      <c r="AE296" s="9" t="s">
        <v>91</v>
      </c>
    </row>
    <row r="297" spans="1:31" ht="18" customHeight="1">
      <c r="A297" s="4">
        <v>293</v>
      </c>
      <c r="B297" s="13">
        <v>45264</v>
      </c>
      <c r="C297" s="13">
        <v>45268</v>
      </c>
      <c r="D297" s="4" t="s">
        <v>93</v>
      </c>
      <c r="E297" s="14">
        <v>15830.129000000001</v>
      </c>
      <c r="F297" s="14">
        <v>16079.829</v>
      </c>
      <c r="G297" s="15">
        <v>1.5769999999999999E-2</v>
      </c>
      <c r="H297" s="16">
        <f t="shared" si="54"/>
        <v>8.0599999999999995E-3</v>
      </c>
      <c r="I297" s="17" t="b">
        <f>AND(A297&gt;2,H297&lt;=Assumptions!$B$7)</f>
        <v>0</v>
      </c>
      <c r="J297" s="15">
        <v>-9.7144779251641111E-3</v>
      </c>
      <c r="K297" s="15">
        <v>7.2911950716176399E-2</v>
      </c>
      <c r="L297" s="15">
        <v>-1.4235492689392393E-2</v>
      </c>
      <c r="M297" s="17" t="b">
        <f>J297&gt;=Assumptions!$B$8</f>
        <v>0</v>
      </c>
      <c r="N297" s="17" t="b">
        <f>AND(K297&lt;&gt;"",K297&lt;=Assumptions!$B$9)</f>
        <v>0</v>
      </c>
      <c r="O297" s="17" t="b">
        <f>AND(P297&lt;&gt;"",ABS(L297)&lt;=Assumptions!$B$10)</f>
        <v>0</v>
      </c>
      <c r="P297" s="13">
        <v>45265</v>
      </c>
      <c r="Q297" s="14">
        <v>15761.169</v>
      </c>
      <c r="R297" s="15">
        <v>2.0209999999999999E-2</v>
      </c>
      <c r="S297" s="17" t="str">
        <f t="shared" si="44"/>
        <v>BASELINE</v>
      </c>
      <c r="T297" s="16">
        <f t="shared" si="45"/>
        <v>1.5769999999999999E-2</v>
      </c>
      <c r="U297" s="16">
        <f>G297*Assumptions!$B$6</f>
        <v>0.178201</v>
      </c>
      <c r="V297" s="16">
        <f>T297*Assumptions!$B$6</f>
        <v>0.178201</v>
      </c>
      <c r="W297" s="16">
        <f t="shared" si="46"/>
        <v>0</v>
      </c>
      <c r="X297" s="18">
        <f t="shared" si="50"/>
        <v>2773221.3452393347</v>
      </c>
      <c r="Y297" s="18">
        <f t="shared" si="51"/>
        <v>2773221.3452393347</v>
      </c>
      <c r="Z297" s="19">
        <f t="shared" si="47"/>
        <v>0</v>
      </c>
      <c r="AA297" s="18">
        <f t="shared" si="52"/>
        <v>9042987.8965679556</v>
      </c>
      <c r="AB297" s="18">
        <f t="shared" si="53"/>
        <v>9042987.8965679556</v>
      </c>
      <c r="AC297" s="19">
        <f t="shared" si="48"/>
        <v>0</v>
      </c>
      <c r="AD297" s="20">
        <f t="shared" si="49"/>
        <v>6269766.5513286209</v>
      </c>
      <c r="AE297" s="9" t="s">
        <v>91</v>
      </c>
    </row>
    <row r="298" spans="1:31" ht="18" customHeight="1">
      <c r="A298" s="4">
        <v>294</v>
      </c>
      <c r="B298" s="13">
        <v>45271</v>
      </c>
      <c r="C298" s="13">
        <v>45271</v>
      </c>
      <c r="D298" s="4" t="s">
        <v>90</v>
      </c>
      <c r="E298" s="14">
        <v>16060.959000000001</v>
      </c>
      <c r="F298" s="14">
        <v>16223.199000000001</v>
      </c>
      <c r="G298" s="15">
        <v>1.01E-2</v>
      </c>
      <c r="H298" s="16">
        <f t="shared" si="54"/>
        <v>1.1769999999999999E-2</v>
      </c>
      <c r="I298" s="17" t="b">
        <f>AND(A298&gt;2,H298&lt;=Assumptions!$B$7)</f>
        <v>0</v>
      </c>
      <c r="J298" s="15">
        <v>-1.1735199422828746E-3</v>
      </c>
      <c r="K298" s="15">
        <v>5.9718388233625408E-2</v>
      </c>
      <c r="L298" s="15">
        <v>8.6435673891946951E-3</v>
      </c>
      <c r="M298" s="17" t="b">
        <f>J298&gt;=Assumptions!$B$8</f>
        <v>0</v>
      </c>
      <c r="N298" s="17" t="b">
        <f>AND(K298&lt;&gt;"",K298&lt;=Assumptions!$B$9)</f>
        <v>0</v>
      </c>
      <c r="O298" s="17" t="b">
        <f>AND(P298&lt;&gt;"",ABS(L298)&lt;=Assumptions!$B$10)</f>
        <v>0</v>
      </c>
      <c r="P298" s="13">
        <v>45272</v>
      </c>
      <c r="Q298" s="14">
        <v>16217.039000000001</v>
      </c>
      <c r="R298" s="15">
        <v>3.6999999999999999E-4</v>
      </c>
      <c r="S298" s="17" t="str">
        <f t="shared" si="44"/>
        <v>BASELINE</v>
      </c>
      <c r="T298" s="16">
        <f t="shared" si="45"/>
        <v>1.01E-2</v>
      </c>
      <c r="U298" s="16">
        <f>G298*Assumptions!$B$6</f>
        <v>0.11413000000000001</v>
      </c>
      <c r="V298" s="16">
        <f>T298*Assumptions!$B$6</f>
        <v>0.11413000000000001</v>
      </c>
      <c r="W298" s="16">
        <f t="shared" si="46"/>
        <v>0</v>
      </c>
      <c r="X298" s="18">
        <f t="shared" si="50"/>
        <v>3089729.0973715</v>
      </c>
      <c r="Y298" s="18">
        <f t="shared" si="51"/>
        <v>3089729.0973715</v>
      </c>
      <c r="Z298" s="19">
        <f t="shared" si="47"/>
        <v>0</v>
      </c>
      <c r="AA298" s="18">
        <f t="shared" si="52"/>
        <v>10075064.105203258</v>
      </c>
      <c r="AB298" s="18">
        <f t="shared" si="53"/>
        <v>10075064.105203258</v>
      </c>
      <c r="AC298" s="19">
        <f t="shared" si="48"/>
        <v>0</v>
      </c>
      <c r="AD298" s="20">
        <f t="shared" si="49"/>
        <v>6985335.0078317579</v>
      </c>
      <c r="AE298" s="9" t="s">
        <v>91</v>
      </c>
    </row>
    <row r="299" spans="1:31" ht="18" customHeight="1">
      <c r="A299" s="4">
        <v>295</v>
      </c>
      <c r="B299" s="13">
        <v>45278</v>
      </c>
      <c r="C299" s="13">
        <v>45281</v>
      </c>
      <c r="D299" s="4" t="s">
        <v>99</v>
      </c>
      <c r="E299" s="14">
        <v>16632.888999999999</v>
      </c>
      <c r="F299" s="14">
        <v>16588.019</v>
      </c>
      <c r="G299" s="15">
        <v>-2.6900000000000001E-3</v>
      </c>
      <c r="H299" s="16">
        <f t="shared" si="54"/>
        <v>2.5869999999999997E-2</v>
      </c>
      <c r="I299" s="17" t="b">
        <f>AND(A299&gt;2,H299&lt;=Assumptions!$B$7)</f>
        <v>0</v>
      </c>
      <c r="J299" s="15">
        <v>1.1496474404484314E-3</v>
      </c>
      <c r="K299" s="15">
        <v>5.0238665045052144E-2</v>
      </c>
      <c r="L299" s="15">
        <v>7.4388048104436777E-3</v>
      </c>
      <c r="M299" s="17" t="b">
        <f>J299&gt;=Assumptions!$B$8</f>
        <v>0</v>
      </c>
      <c r="N299" s="17" t="b">
        <f>AND(K299&lt;&gt;"",K299&lt;=Assumptions!$B$9)</f>
        <v>0</v>
      </c>
      <c r="O299" s="17" t="b">
        <f>AND(P299&lt;&gt;"",ABS(L299)&lt;=Assumptions!$B$10)</f>
        <v>0</v>
      </c>
      <c r="P299" s="13">
        <v>45279</v>
      </c>
      <c r="Q299" s="14">
        <v>16742.708999999999</v>
      </c>
      <c r="R299" s="15">
        <v>-9.2300000000000004E-3</v>
      </c>
      <c r="S299" s="17" t="str">
        <f t="shared" si="44"/>
        <v>BASELINE</v>
      </c>
      <c r="T299" s="16">
        <f t="shared" si="45"/>
        <v>-2.6900000000000001E-3</v>
      </c>
      <c r="U299" s="16">
        <f>G299*Assumptions!$B$6</f>
        <v>-3.0397000000000004E-2</v>
      </c>
      <c r="V299" s="16">
        <f>T299*Assumptions!$B$6</f>
        <v>-3.0397000000000004E-2</v>
      </c>
      <c r="W299" s="16">
        <f t="shared" si="46"/>
        <v>0</v>
      </c>
      <c r="X299" s="18">
        <f t="shared" si="50"/>
        <v>2995810.6019986984</v>
      </c>
      <c r="Y299" s="18">
        <f t="shared" si="51"/>
        <v>3089729.0973715</v>
      </c>
      <c r="Z299" s="19">
        <f t="shared" si="47"/>
        <v>-3.0397000000000007E-2</v>
      </c>
      <c r="AA299" s="18">
        <f t="shared" si="52"/>
        <v>9768812.3815973941</v>
      </c>
      <c r="AB299" s="18">
        <f t="shared" si="53"/>
        <v>10075064.105203258</v>
      </c>
      <c r="AC299" s="19">
        <f t="shared" si="48"/>
        <v>-3.0397000000000007E-2</v>
      </c>
      <c r="AD299" s="20">
        <f t="shared" si="49"/>
        <v>6773001.7795986962</v>
      </c>
      <c r="AE299" s="9" t="s">
        <v>91</v>
      </c>
    </row>
    <row r="300" spans="1:31" ht="18" customHeight="1">
      <c r="A300" s="4">
        <v>296</v>
      </c>
      <c r="B300" s="13">
        <v>45286</v>
      </c>
      <c r="C300" s="13">
        <v>45289</v>
      </c>
      <c r="D300" s="4" t="s">
        <v>93</v>
      </c>
      <c r="E300" s="14">
        <v>16811.008999999998</v>
      </c>
      <c r="F300" s="14">
        <v>16822.679</v>
      </c>
      <c r="G300" s="15">
        <v>6.8999999999999997E-4</v>
      </c>
      <c r="H300" s="16">
        <f t="shared" si="54"/>
        <v>7.4099999999999999E-3</v>
      </c>
      <c r="I300" s="17" t="b">
        <f>AND(A300&gt;2,H300&lt;=Assumptions!$B$7)</f>
        <v>0</v>
      </c>
      <c r="J300" s="15">
        <v>1.529907456684132E-3</v>
      </c>
      <c r="K300" s="15">
        <v>5.054410785230945E-2</v>
      </c>
      <c r="L300" s="15"/>
      <c r="M300" s="17" t="b">
        <f>J300&gt;=Assumptions!$B$8</f>
        <v>0</v>
      </c>
      <c r="N300" s="17" t="b">
        <f>AND(K300&lt;&gt;"",K300&lt;=Assumptions!$B$9)</f>
        <v>0</v>
      </c>
      <c r="O300" s="17" t="b">
        <f>AND(P300&lt;&gt;"",ABS(L300)&lt;=Assumptions!$B$10)</f>
        <v>0</v>
      </c>
      <c r="P300" s="13"/>
      <c r="Q300" s="14"/>
      <c r="R300" s="15"/>
      <c r="S300" s="17" t="str">
        <f t="shared" si="44"/>
        <v>BASELINE</v>
      </c>
      <c r="T300" s="16">
        <f t="shared" si="45"/>
        <v>6.8999999999999997E-4</v>
      </c>
      <c r="U300" s="16">
        <f>G300*Assumptions!$B$6</f>
        <v>7.7970000000000001E-3</v>
      </c>
      <c r="V300" s="16">
        <f>T300*Assumptions!$B$6</f>
        <v>7.7970000000000001E-3</v>
      </c>
      <c r="W300" s="16">
        <f t="shared" si="46"/>
        <v>0</v>
      </c>
      <c r="X300" s="18">
        <f t="shared" si="50"/>
        <v>3019168.9372624825</v>
      </c>
      <c r="Y300" s="18">
        <f t="shared" si="51"/>
        <v>3089729.0973715</v>
      </c>
      <c r="Z300" s="19">
        <f t="shared" si="47"/>
        <v>-2.2837005408999911E-2</v>
      </c>
      <c r="AA300" s="18">
        <f t="shared" si="52"/>
        <v>9844979.8117367104</v>
      </c>
      <c r="AB300" s="18">
        <f t="shared" si="53"/>
        <v>10075064.105203258</v>
      </c>
      <c r="AC300" s="19">
        <f t="shared" si="48"/>
        <v>-2.2837005408999911E-2</v>
      </c>
      <c r="AD300" s="20">
        <f t="shared" si="49"/>
        <v>6825810.8744742274</v>
      </c>
      <c r="AE300" s="9" t="s">
        <v>91</v>
      </c>
    </row>
    <row r="301" spans="1:31" ht="18" customHeight="1">
      <c r="A301" s="4">
        <v>297</v>
      </c>
      <c r="B301" s="13">
        <v>45293</v>
      </c>
      <c r="C301" s="13">
        <v>45295</v>
      </c>
      <c r="D301" s="4" t="s">
        <v>92</v>
      </c>
      <c r="E301" s="14">
        <v>16674.228999999999</v>
      </c>
      <c r="F301" s="14">
        <v>16383.159</v>
      </c>
      <c r="G301" s="15">
        <v>-1.745E-2</v>
      </c>
      <c r="H301" s="16">
        <f t="shared" si="54"/>
        <v>-2E-3</v>
      </c>
      <c r="I301" s="17" t="b">
        <f>AND(A301&gt;2,H301&lt;=Assumptions!$B$7)</f>
        <v>0</v>
      </c>
      <c r="J301" s="15">
        <v>-8.8243971129687848E-3</v>
      </c>
      <c r="K301" s="15">
        <v>5.5315845768819427E-2</v>
      </c>
      <c r="L301" s="15"/>
      <c r="M301" s="17" t="b">
        <f>J301&gt;=Assumptions!$B$8</f>
        <v>0</v>
      </c>
      <c r="N301" s="17" t="b">
        <f>AND(K301&lt;&gt;"",K301&lt;=Assumptions!$B$9)</f>
        <v>0</v>
      </c>
      <c r="O301" s="17" t="b">
        <f>AND(P301&lt;&gt;"",ABS(L301)&lt;=Assumptions!$B$10)</f>
        <v>0</v>
      </c>
      <c r="P301" s="13"/>
      <c r="Q301" s="14"/>
      <c r="R301" s="15"/>
      <c r="S301" s="17" t="str">
        <f t="shared" si="44"/>
        <v>BASELINE</v>
      </c>
      <c r="T301" s="16">
        <f t="shared" si="45"/>
        <v>-1.745E-2</v>
      </c>
      <c r="U301" s="16">
        <f>G301*Assumptions!$B$6</f>
        <v>-0.19718500000000003</v>
      </c>
      <c r="V301" s="16">
        <f>T301*Assumptions!$B$6</f>
        <v>-0.19718500000000003</v>
      </c>
      <c r="W301" s="16">
        <f t="shared" si="46"/>
        <v>0</v>
      </c>
      <c r="X301" s="18">
        <f t="shared" si="50"/>
        <v>2423834.1103683799</v>
      </c>
      <c r="Y301" s="18">
        <f t="shared" si="51"/>
        <v>3089729.0973715</v>
      </c>
      <c r="Z301" s="19">
        <f t="shared" si="47"/>
        <v>-0.21551889049742634</v>
      </c>
      <c r="AA301" s="18">
        <f t="shared" si="52"/>
        <v>7903697.4675594065</v>
      </c>
      <c r="AB301" s="18">
        <f t="shared" si="53"/>
        <v>10075064.105203258</v>
      </c>
      <c r="AC301" s="19">
        <f t="shared" si="48"/>
        <v>-0.21551889049742634</v>
      </c>
      <c r="AD301" s="20">
        <f t="shared" si="49"/>
        <v>5479863.3571910262</v>
      </c>
      <c r="AE301" s="9" t="s">
        <v>91</v>
      </c>
    </row>
    <row r="302" spans="1:31" ht="18" customHeight="1">
      <c r="A302" s="4">
        <v>298</v>
      </c>
      <c r="B302" s="13">
        <v>45299</v>
      </c>
      <c r="C302" s="13">
        <v>45299</v>
      </c>
      <c r="D302" s="4" t="s">
        <v>90</v>
      </c>
      <c r="E302" s="14">
        <v>16352.689</v>
      </c>
      <c r="F302" s="14">
        <v>16644.019</v>
      </c>
      <c r="G302" s="15">
        <v>1.7809999999999999E-2</v>
      </c>
      <c r="H302" s="16">
        <f t="shared" si="54"/>
        <v>-1.6760000000000001E-2</v>
      </c>
      <c r="I302" s="17" t="b">
        <f>AND(A302&gt;2,H302&lt;=Assumptions!$B$7)</f>
        <v>0</v>
      </c>
      <c r="J302" s="15">
        <v>3.1783562101159735E-3</v>
      </c>
      <c r="K302" s="15">
        <v>3.2450542939686633E-2</v>
      </c>
      <c r="L302" s="15">
        <v>1.3003402569701894E-2</v>
      </c>
      <c r="M302" s="17" t="b">
        <f>J302&gt;=Assumptions!$B$8</f>
        <v>0</v>
      </c>
      <c r="N302" s="17" t="b">
        <f>AND(K302&lt;&gt;"",K302&lt;=Assumptions!$B$9)</f>
        <v>0</v>
      </c>
      <c r="O302" s="17" t="b">
        <f>AND(P302&lt;&gt;"",ABS(L302)&lt;=Assumptions!$B$10)</f>
        <v>0</v>
      </c>
      <c r="P302" s="13">
        <v>45300</v>
      </c>
      <c r="Q302" s="14">
        <v>16512.419000000002</v>
      </c>
      <c r="R302" s="15">
        <v>7.9600000000000001E-3</v>
      </c>
      <c r="S302" s="17" t="str">
        <f t="shared" si="44"/>
        <v>BASELINE</v>
      </c>
      <c r="T302" s="16">
        <f t="shared" si="45"/>
        <v>1.7809999999999999E-2</v>
      </c>
      <c r="U302" s="16">
        <f>G302*Assumptions!$B$6</f>
        <v>0.20125300000000002</v>
      </c>
      <c r="V302" s="16">
        <f>T302*Assumptions!$B$6</f>
        <v>0.20125300000000002</v>
      </c>
      <c r="W302" s="16">
        <f t="shared" si="46"/>
        <v>0</v>
      </c>
      <c r="X302" s="18">
        <f t="shared" si="50"/>
        <v>2911637.996582347</v>
      </c>
      <c r="Y302" s="18">
        <f t="shared" si="51"/>
        <v>3089729.0973715</v>
      </c>
      <c r="Z302" s="19">
        <f t="shared" si="47"/>
        <v>-5.7639713766704959E-2</v>
      </c>
      <c r="AA302" s="18">
        <f t="shared" si="52"/>
        <v>9494340.293998139</v>
      </c>
      <c r="AB302" s="18">
        <f t="shared" si="53"/>
        <v>10075064.105203258</v>
      </c>
      <c r="AC302" s="19">
        <f t="shared" si="48"/>
        <v>-5.7639713766704959E-2</v>
      </c>
      <c r="AD302" s="20">
        <f t="shared" si="49"/>
        <v>6582702.297415792</v>
      </c>
      <c r="AE302" s="9" t="s">
        <v>91</v>
      </c>
    </row>
    <row r="303" spans="1:31" ht="18" customHeight="1">
      <c r="A303" s="4">
        <v>299</v>
      </c>
      <c r="B303" s="13">
        <v>45307</v>
      </c>
      <c r="C303" s="13">
        <v>45310</v>
      </c>
      <c r="D303" s="4" t="s">
        <v>93</v>
      </c>
      <c r="E303" s="14">
        <v>16778.62</v>
      </c>
      <c r="F303" s="14">
        <v>17318.297999999999</v>
      </c>
      <c r="G303" s="15">
        <v>3.2160000000000001E-2</v>
      </c>
      <c r="H303" s="16">
        <f t="shared" si="54"/>
        <v>3.5999999999999921E-4</v>
      </c>
      <c r="I303" s="17" t="b">
        <f>AND(A303&gt;2,H303&lt;=Assumptions!$B$7)</f>
        <v>0</v>
      </c>
      <c r="J303" s="15">
        <v>-2.9076724126609887E-3</v>
      </c>
      <c r="K303" s="15">
        <v>1.6444226643797633E-2</v>
      </c>
      <c r="L303" s="15"/>
      <c r="M303" s="17" t="b">
        <f>J303&gt;=Assumptions!$B$8</f>
        <v>0</v>
      </c>
      <c r="N303" s="17" t="b">
        <f>AND(K303&lt;&gt;"",K303&lt;=Assumptions!$B$9)</f>
        <v>0</v>
      </c>
      <c r="O303" s="17" t="b">
        <f>AND(P303&lt;&gt;"",ABS(L303)&lt;=Assumptions!$B$10)</f>
        <v>0</v>
      </c>
      <c r="P303" s="13"/>
      <c r="Q303" s="14"/>
      <c r="R303" s="15"/>
      <c r="S303" s="17" t="str">
        <f t="shared" si="44"/>
        <v>BASELINE</v>
      </c>
      <c r="T303" s="16">
        <f t="shared" si="45"/>
        <v>3.2160000000000001E-2</v>
      </c>
      <c r="U303" s="16">
        <f>G303*Assumptions!$B$6</f>
        <v>0.36340800000000001</v>
      </c>
      <c r="V303" s="16">
        <f>T303*Assumptions!$B$6</f>
        <v>0.36340800000000001</v>
      </c>
      <c r="W303" s="16">
        <f t="shared" si="46"/>
        <v>0</v>
      </c>
      <c r="X303" s="18">
        <f t="shared" si="50"/>
        <v>3969750.5376443444</v>
      </c>
      <c r="Y303" s="18">
        <f t="shared" si="51"/>
        <v>3969750.5376443444</v>
      </c>
      <c r="Z303" s="19">
        <f t="shared" si="47"/>
        <v>0</v>
      </c>
      <c r="AA303" s="18">
        <f t="shared" si="52"/>
        <v>12944659.511559414</v>
      </c>
      <c r="AB303" s="18">
        <f t="shared" si="53"/>
        <v>12944659.511559414</v>
      </c>
      <c r="AC303" s="19">
        <f t="shared" si="48"/>
        <v>0</v>
      </c>
      <c r="AD303" s="20">
        <f t="shared" si="49"/>
        <v>8974908.9739150703</v>
      </c>
      <c r="AE303" s="9" t="s">
        <v>91</v>
      </c>
    </row>
    <row r="304" spans="1:31" ht="18" customHeight="1">
      <c r="A304" s="4">
        <v>300</v>
      </c>
      <c r="B304" s="13">
        <v>45313</v>
      </c>
      <c r="C304" s="13">
        <v>45317</v>
      </c>
      <c r="D304" s="4" t="s">
        <v>93</v>
      </c>
      <c r="E304" s="14">
        <v>17397.886999999999</v>
      </c>
      <c r="F304" s="14">
        <v>17410.899000000001</v>
      </c>
      <c r="G304" s="15">
        <v>7.3999999999999999E-4</v>
      </c>
      <c r="H304" s="16">
        <f t="shared" si="54"/>
        <v>4.9970000000000001E-2</v>
      </c>
      <c r="I304" s="17" t="b">
        <f>AND(A304&gt;2,H304&lt;=Assumptions!$B$7)</f>
        <v>0</v>
      </c>
      <c r="J304" s="15">
        <v>4.5956594579905641E-3</v>
      </c>
      <c r="K304" s="15">
        <v>2.9376714318778419E-2</v>
      </c>
      <c r="L304" s="15">
        <v>2.9684095209163708E-3</v>
      </c>
      <c r="M304" s="17" t="b">
        <f>J304&gt;=Assumptions!$B$8</f>
        <v>0</v>
      </c>
      <c r="N304" s="17" t="b">
        <f>AND(K304&lt;&gt;"",K304&lt;=Assumptions!$B$9)</f>
        <v>0</v>
      </c>
      <c r="O304" s="17" t="b">
        <f>AND(P304&lt;&gt;"",ABS(L304)&lt;=Assumptions!$B$10)</f>
        <v>1</v>
      </c>
      <c r="P304" s="13">
        <v>45314</v>
      </c>
      <c r="Q304" s="14">
        <v>17359.642</v>
      </c>
      <c r="R304" s="15">
        <v>2.9499999999999999E-3</v>
      </c>
      <c r="S304" s="17" t="str">
        <f t="shared" si="44"/>
        <v>BASELINE</v>
      </c>
      <c r="T304" s="16">
        <f t="shared" si="45"/>
        <v>7.3999999999999999E-4</v>
      </c>
      <c r="U304" s="16">
        <f>G304*Assumptions!$B$6</f>
        <v>8.3619999999999996E-3</v>
      </c>
      <c r="V304" s="16">
        <f>T304*Assumptions!$B$6</f>
        <v>8.3619999999999996E-3</v>
      </c>
      <c r="W304" s="16">
        <f t="shared" si="46"/>
        <v>0</v>
      </c>
      <c r="X304" s="18">
        <f t="shared" si="50"/>
        <v>4002945.5916401264</v>
      </c>
      <c r="Y304" s="18">
        <f t="shared" si="51"/>
        <v>4002945.5916401264</v>
      </c>
      <c r="Z304" s="19">
        <f t="shared" si="47"/>
        <v>0</v>
      </c>
      <c r="AA304" s="18">
        <f t="shared" si="52"/>
        <v>13052902.754395073</v>
      </c>
      <c r="AB304" s="18">
        <f t="shared" si="53"/>
        <v>13052902.754395073</v>
      </c>
      <c r="AC304" s="19">
        <f t="shared" si="48"/>
        <v>0</v>
      </c>
      <c r="AD304" s="20">
        <f t="shared" si="49"/>
        <v>9049957.1627549473</v>
      </c>
      <c r="AE304" s="9" t="s">
        <v>91</v>
      </c>
    </row>
    <row r="305" spans="1:31" ht="18" customHeight="1">
      <c r="A305" s="4">
        <v>301</v>
      </c>
      <c r="B305" s="13">
        <v>45320</v>
      </c>
      <c r="C305" s="13">
        <v>45320</v>
      </c>
      <c r="D305" s="4" t="s">
        <v>90</v>
      </c>
      <c r="E305" s="14">
        <v>17435.564999999999</v>
      </c>
      <c r="F305" s="14">
        <v>17591.885999999999</v>
      </c>
      <c r="G305" s="15">
        <v>8.9599999999999992E-3</v>
      </c>
      <c r="H305" s="16">
        <f t="shared" si="54"/>
        <v>3.2899999999999999E-2</v>
      </c>
      <c r="I305" s="17" t="b">
        <f>AND(A305&gt;2,H305&lt;=Assumptions!$B$7)</f>
        <v>0</v>
      </c>
      <c r="J305" s="15">
        <v>1.4166988160690952E-3</v>
      </c>
      <c r="K305" s="15">
        <v>2.9917250159134268E-2</v>
      </c>
      <c r="L305" s="15">
        <v>7.7659979081488029E-3</v>
      </c>
      <c r="M305" s="17" t="b">
        <f>J305&gt;=Assumptions!$B$8</f>
        <v>0</v>
      </c>
      <c r="N305" s="17" t="b">
        <f>AND(K305&lt;&gt;"",K305&lt;=Assumptions!$B$9)</f>
        <v>0</v>
      </c>
      <c r="O305" s="17" t="b">
        <f>AND(P305&lt;&gt;"",ABS(L305)&lt;=Assumptions!$B$10)</f>
        <v>0</v>
      </c>
      <c r="P305" s="13">
        <v>45321</v>
      </c>
      <c r="Q305" s="14">
        <v>17549.152999999998</v>
      </c>
      <c r="R305" s="15">
        <v>2.4299999999999999E-3</v>
      </c>
      <c r="S305" s="17" t="str">
        <f t="shared" si="44"/>
        <v>BASELINE</v>
      </c>
      <c r="T305" s="16">
        <f t="shared" si="45"/>
        <v>8.9599999999999992E-3</v>
      </c>
      <c r="U305" s="16">
        <f>G305*Assumptions!$B$6</f>
        <v>0.10124799999999999</v>
      </c>
      <c r="V305" s="16">
        <f>T305*Assumptions!$B$6</f>
        <v>0.10124799999999999</v>
      </c>
      <c r="W305" s="16">
        <f t="shared" si="46"/>
        <v>0</v>
      </c>
      <c r="X305" s="18">
        <f t="shared" si="50"/>
        <v>4408235.8269025059</v>
      </c>
      <c r="Y305" s="18">
        <f t="shared" si="51"/>
        <v>4408235.8269025059</v>
      </c>
      <c r="Z305" s="19">
        <f t="shared" si="47"/>
        <v>0</v>
      </c>
      <c r="AA305" s="18">
        <f t="shared" si="52"/>
        <v>14374483.052472066</v>
      </c>
      <c r="AB305" s="18">
        <f t="shared" si="53"/>
        <v>14374483.052472066</v>
      </c>
      <c r="AC305" s="19">
        <f t="shared" si="48"/>
        <v>0</v>
      </c>
      <c r="AD305" s="20">
        <f t="shared" si="49"/>
        <v>9966247.2255695611</v>
      </c>
      <c r="AE305" s="9" t="s">
        <v>91</v>
      </c>
    </row>
    <row r="306" spans="1:31" ht="18" customHeight="1">
      <c r="A306" s="4">
        <v>302</v>
      </c>
      <c r="B306" s="13">
        <v>45327</v>
      </c>
      <c r="C306" s="13">
        <v>45331</v>
      </c>
      <c r="D306" s="4" t="s">
        <v>93</v>
      </c>
      <c r="E306" s="14">
        <v>17631.931</v>
      </c>
      <c r="F306" s="14">
        <v>17952.118999999999</v>
      </c>
      <c r="G306" s="15">
        <v>1.8149999999999999E-2</v>
      </c>
      <c r="H306" s="16">
        <f t="shared" si="54"/>
        <v>9.6999999999999986E-3</v>
      </c>
      <c r="I306" s="17" t="b">
        <f>AND(A306&gt;2,H306&lt;=Assumptions!$B$7)</f>
        <v>0</v>
      </c>
      <c r="J306" s="15">
        <v>6.9933447444836538E-4</v>
      </c>
      <c r="K306" s="15">
        <v>8.2595022791233319E-2</v>
      </c>
      <c r="L306" s="15">
        <v>1.3972318371602288E-3</v>
      </c>
      <c r="M306" s="17" t="b">
        <f>J306&gt;=Assumptions!$B$8</f>
        <v>0</v>
      </c>
      <c r="N306" s="17" t="b">
        <f>AND(K306&lt;&gt;"",K306&lt;=Assumptions!$B$9)</f>
        <v>0</v>
      </c>
      <c r="O306" s="17" t="b">
        <f>AND(P306&lt;&gt;"",ABS(L306)&lt;=Assumptions!$B$10)</f>
        <v>1</v>
      </c>
      <c r="P306" s="13">
        <v>45328</v>
      </c>
      <c r="Q306" s="14">
        <v>17651.764999999999</v>
      </c>
      <c r="R306" s="15">
        <v>1.7010000000000001E-2</v>
      </c>
      <c r="S306" s="17" t="str">
        <f t="shared" si="44"/>
        <v>BASELINE</v>
      </c>
      <c r="T306" s="16">
        <f t="shared" si="45"/>
        <v>1.8149999999999999E-2</v>
      </c>
      <c r="U306" s="16">
        <f>G306*Assumptions!$B$6</f>
        <v>0.205095</v>
      </c>
      <c r="V306" s="16">
        <f>T306*Assumptions!$B$6</f>
        <v>0.205095</v>
      </c>
      <c r="W306" s="16">
        <f t="shared" si="46"/>
        <v>0</v>
      </c>
      <c r="X306" s="18">
        <f t="shared" si="50"/>
        <v>5312342.9538210751</v>
      </c>
      <c r="Y306" s="18">
        <f t="shared" si="51"/>
        <v>5312342.9538210751</v>
      </c>
      <c r="Z306" s="19">
        <f t="shared" si="47"/>
        <v>0</v>
      </c>
      <c r="AA306" s="18">
        <f t="shared" si="52"/>
        <v>17322617.654118825</v>
      </c>
      <c r="AB306" s="18">
        <f t="shared" si="53"/>
        <v>17322617.654118825</v>
      </c>
      <c r="AC306" s="19">
        <f t="shared" si="48"/>
        <v>0</v>
      </c>
      <c r="AD306" s="20">
        <f t="shared" si="49"/>
        <v>12010274.700297751</v>
      </c>
      <c r="AE306" s="9" t="s">
        <v>91</v>
      </c>
    </row>
    <row r="307" spans="1:31" ht="18" customHeight="1">
      <c r="A307" s="4">
        <v>303</v>
      </c>
      <c r="B307" s="13">
        <v>45334</v>
      </c>
      <c r="C307" s="13">
        <v>45337</v>
      </c>
      <c r="D307" s="4" t="s">
        <v>92</v>
      </c>
      <c r="E307" s="14">
        <v>17947.464</v>
      </c>
      <c r="F307" s="14">
        <v>17799.465</v>
      </c>
      <c r="G307" s="15">
        <v>-8.2400000000000008E-3</v>
      </c>
      <c r="H307" s="16">
        <f t="shared" si="54"/>
        <v>2.7109999999999999E-2</v>
      </c>
      <c r="I307" s="17" t="b">
        <f>AND(A307&gt;2,H307&lt;=Assumptions!$B$7)</f>
        <v>0</v>
      </c>
      <c r="J307" s="15">
        <v>-2.5930086581971157E-4</v>
      </c>
      <c r="K307" s="15">
        <v>6.7669802080103203E-2</v>
      </c>
      <c r="L307" s="15">
        <v>-2.2357095767388535E-2</v>
      </c>
      <c r="M307" s="17" t="b">
        <f>J307&gt;=Assumptions!$B$8</f>
        <v>0</v>
      </c>
      <c r="N307" s="17" t="b">
        <f>AND(K307&lt;&gt;"",K307&lt;=Assumptions!$B$9)</f>
        <v>0</v>
      </c>
      <c r="O307" s="17" t="b">
        <f>AND(P307&lt;&gt;"",ABS(L307)&lt;=Assumptions!$B$10)</f>
        <v>0</v>
      </c>
      <c r="P307" s="13">
        <v>45335</v>
      </c>
      <c r="Q307" s="14">
        <v>17549.776000000002</v>
      </c>
      <c r="R307" s="15">
        <v>1.422E-2</v>
      </c>
      <c r="S307" s="17" t="str">
        <f t="shared" si="44"/>
        <v>BASELINE</v>
      </c>
      <c r="T307" s="16">
        <f t="shared" si="45"/>
        <v>-8.2400000000000008E-3</v>
      </c>
      <c r="U307" s="16">
        <f>G307*Assumptions!$B$6</f>
        <v>-9.3112000000000014E-2</v>
      </c>
      <c r="V307" s="16">
        <f>T307*Assumptions!$B$6</f>
        <v>-9.3112000000000014E-2</v>
      </c>
      <c r="W307" s="16">
        <f t="shared" si="46"/>
        <v>0</v>
      </c>
      <c r="X307" s="18">
        <f t="shared" si="50"/>
        <v>4817700.0767048877</v>
      </c>
      <c r="Y307" s="18">
        <f t="shared" si="51"/>
        <v>5312342.9538210751</v>
      </c>
      <c r="Z307" s="19">
        <f t="shared" si="47"/>
        <v>-9.3111999999999862E-2</v>
      </c>
      <c r="AA307" s="18">
        <f t="shared" si="52"/>
        <v>15709674.079108514</v>
      </c>
      <c r="AB307" s="18">
        <f t="shared" si="53"/>
        <v>17322617.654118825</v>
      </c>
      <c r="AC307" s="19">
        <f t="shared" si="48"/>
        <v>-9.3111999999999973E-2</v>
      </c>
      <c r="AD307" s="20">
        <f t="shared" si="49"/>
        <v>10891974.002403626</v>
      </c>
      <c r="AE307" s="9" t="s">
        <v>91</v>
      </c>
    </row>
    <row r="308" spans="1:31" ht="18" customHeight="1">
      <c r="A308" s="4">
        <v>304</v>
      </c>
      <c r="B308" s="13">
        <v>45342</v>
      </c>
      <c r="C308" s="13">
        <v>45344</v>
      </c>
      <c r="D308" s="4" t="s">
        <v>99</v>
      </c>
      <c r="E308" s="14">
        <v>17602.674999999999</v>
      </c>
      <c r="F308" s="14">
        <v>17647.175999999999</v>
      </c>
      <c r="G308" s="15">
        <v>2.5200000000000001E-3</v>
      </c>
      <c r="H308" s="16">
        <f t="shared" si="54"/>
        <v>9.9099999999999987E-3</v>
      </c>
      <c r="I308" s="17" t="b">
        <f>AND(A308&gt;2,H308&lt;=Assumptions!$B$7)</f>
        <v>0</v>
      </c>
      <c r="J308" s="15">
        <v>-4.4485901854000032E-3</v>
      </c>
      <c r="K308" s="15">
        <v>2.2295362727205337E-2</v>
      </c>
      <c r="L308" s="15"/>
      <c r="M308" s="17" t="b">
        <f>J308&gt;=Assumptions!$B$8</f>
        <v>0</v>
      </c>
      <c r="N308" s="17" t="b">
        <f>AND(K308&lt;&gt;"",K308&lt;=Assumptions!$B$9)</f>
        <v>0</v>
      </c>
      <c r="O308" s="17" t="b">
        <f>AND(P308&lt;&gt;"",ABS(L308)&lt;=Assumptions!$B$10)</f>
        <v>0</v>
      </c>
      <c r="P308" s="13"/>
      <c r="Q308" s="14"/>
      <c r="R308" s="15"/>
      <c r="S308" s="17" t="str">
        <f t="shared" si="44"/>
        <v>BASELINE</v>
      </c>
      <c r="T308" s="16">
        <f t="shared" si="45"/>
        <v>2.5200000000000001E-3</v>
      </c>
      <c r="U308" s="16">
        <f>G308*Assumptions!$B$6</f>
        <v>2.8476000000000001E-2</v>
      </c>
      <c r="V308" s="16">
        <f>T308*Assumptions!$B$6</f>
        <v>2.8476000000000001E-2</v>
      </c>
      <c r="W308" s="16">
        <f t="shared" si="46"/>
        <v>0</v>
      </c>
      <c r="X308" s="18">
        <f t="shared" si="50"/>
        <v>4954888.904089136</v>
      </c>
      <c r="Y308" s="18">
        <f t="shared" si="51"/>
        <v>5312342.9538210751</v>
      </c>
      <c r="Z308" s="19">
        <f t="shared" si="47"/>
        <v>-6.7287457311999921E-2</v>
      </c>
      <c r="AA308" s="18">
        <f t="shared" si="52"/>
        <v>16157022.758185208</v>
      </c>
      <c r="AB308" s="18">
        <f t="shared" si="53"/>
        <v>17322617.654118825</v>
      </c>
      <c r="AC308" s="19">
        <f t="shared" si="48"/>
        <v>-6.7287457311999921E-2</v>
      </c>
      <c r="AD308" s="20">
        <f t="shared" si="49"/>
        <v>11202133.854096072</v>
      </c>
      <c r="AE308" s="9" t="s">
        <v>91</v>
      </c>
    </row>
    <row r="309" spans="1:31" ht="18" customHeight="1">
      <c r="A309" s="4">
        <v>305</v>
      </c>
      <c r="B309" s="13">
        <v>45348</v>
      </c>
      <c r="C309" s="13">
        <v>45351</v>
      </c>
      <c r="D309" s="4" t="s">
        <v>92</v>
      </c>
      <c r="E309" s="14">
        <v>17970.842000000001</v>
      </c>
      <c r="F309" s="14">
        <v>17824.819</v>
      </c>
      <c r="G309" s="15">
        <v>-8.1200000000000005E-3</v>
      </c>
      <c r="H309" s="16">
        <f t="shared" si="54"/>
        <v>-5.7200000000000011E-3</v>
      </c>
      <c r="I309" s="17" t="b">
        <f>AND(A309&gt;2,H309&lt;=Assumptions!$B$7)</f>
        <v>0</v>
      </c>
      <c r="J309" s="15">
        <v>2.4052694706704347E-3</v>
      </c>
      <c r="K309" s="15">
        <v>2.4461132036238009E-2</v>
      </c>
      <c r="L309" s="15">
        <v>2.0389616979661351E-3</v>
      </c>
      <c r="M309" s="17" t="b">
        <f>J309&gt;=Assumptions!$B$8</f>
        <v>0</v>
      </c>
      <c r="N309" s="17" t="b">
        <f>AND(K309&lt;&gt;"",K309&lt;=Assumptions!$B$9)</f>
        <v>0</v>
      </c>
      <c r="O309" s="17" t="b">
        <f>AND(P309&lt;&gt;"",ABS(L309)&lt;=Assumptions!$B$10)</f>
        <v>1</v>
      </c>
      <c r="P309" s="13">
        <v>45349</v>
      </c>
      <c r="Q309" s="14">
        <v>17974.083999999999</v>
      </c>
      <c r="R309" s="15">
        <v>-8.3000000000000001E-3</v>
      </c>
      <c r="S309" s="17" t="str">
        <f t="shared" si="44"/>
        <v>BASELINE</v>
      </c>
      <c r="T309" s="16">
        <f t="shared" si="45"/>
        <v>-8.1200000000000005E-3</v>
      </c>
      <c r="U309" s="16">
        <f>G309*Assumptions!$B$6</f>
        <v>-9.1756000000000018E-2</v>
      </c>
      <c r="V309" s="16">
        <f>T309*Assumptions!$B$6</f>
        <v>-9.1756000000000018E-2</v>
      </c>
      <c r="W309" s="16">
        <f t="shared" si="46"/>
        <v>0</v>
      </c>
      <c r="X309" s="18">
        <f t="shared" si="50"/>
        <v>4500248.1178055331</v>
      </c>
      <c r="Y309" s="18">
        <f t="shared" si="51"/>
        <v>5312342.9538210751</v>
      </c>
      <c r="Z309" s="19">
        <f t="shared" si="47"/>
        <v>-0.15286942937888004</v>
      </c>
      <c r="AA309" s="18">
        <f t="shared" si="52"/>
        <v>14674518.977985164</v>
      </c>
      <c r="AB309" s="18">
        <f t="shared" si="53"/>
        <v>17322617.654118825</v>
      </c>
      <c r="AC309" s="19">
        <f t="shared" si="48"/>
        <v>-0.15286942937888015</v>
      </c>
      <c r="AD309" s="20">
        <f t="shared" si="49"/>
        <v>10174270.860179631</v>
      </c>
      <c r="AE309" s="9" t="s">
        <v>91</v>
      </c>
    </row>
    <row r="310" spans="1:31" ht="18" customHeight="1">
      <c r="A310" s="4">
        <v>306</v>
      </c>
      <c r="B310" s="13">
        <v>45355</v>
      </c>
      <c r="C310" s="13">
        <v>45358</v>
      </c>
      <c r="D310" s="4" t="s">
        <v>92</v>
      </c>
      <c r="E310" s="14">
        <v>18291.741999999998</v>
      </c>
      <c r="F310" s="14">
        <v>18021.675999999999</v>
      </c>
      <c r="G310" s="15">
        <v>-1.4760000000000001E-2</v>
      </c>
      <c r="H310" s="16">
        <f t="shared" si="54"/>
        <v>-5.6000000000000008E-3</v>
      </c>
      <c r="I310" s="17" t="b">
        <f>AND(A310&gt;2,H310&lt;=Assumptions!$B$7)</f>
        <v>0</v>
      </c>
      <c r="J310" s="15">
        <v>2.1806942503688198E-4</v>
      </c>
      <c r="K310" s="15">
        <v>5.6248865709564333E-2</v>
      </c>
      <c r="L310" s="15">
        <v>-1.0481123352150901E-2</v>
      </c>
      <c r="M310" s="17" t="b">
        <f>J310&gt;=Assumptions!$B$8</f>
        <v>0</v>
      </c>
      <c r="N310" s="17" t="b">
        <f>AND(K310&lt;&gt;"",K310&lt;=Assumptions!$B$9)</f>
        <v>0</v>
      </c>
      <c r="O310" s="17" t="b">
        <f>AND(P310&lt;&gt;"",ABS(L310)&lt;=Assumptions!$B$10)</f>
        <v>0</v>
      </c>
      <c r="P310" s="13">
        <v>45356</v>
      </c>
      <c r="Q310" s="14">
        <v>18100.108</v>
      </c>
      <c r="R310" s="15">
        <v>-4.3299999999999996E-3</v>
      </c>
      <c r="S310" s="17" t="str">
        <f t="shared" si="44"/>
        <v>BASELINE</v>
      </c>
      <c r="T310" s="16">
        <f t="shared" si="45"/>
        <v>-1.4760000000000001E-2</v>
      </c>
      <c r="U310" s="16">
        <f>G310*Assumptions!$B$6</f>
        <v>-0.16678800000000002</v>
      </c>
      <c r="V310" s="16">
        <f>T310*Assumptions!$B$6</f>
        <v>-0.16678800000000002</v>
      </c>
      <c r="W310" s="16">
        <f t="shared" si="46"/>
        <v>0</v>
      </c>
      <c r="X310" s="18">
        <f t="shared" si="50"/>
        <v>3749660.7347329836</v>
      </c>
      <c r="Y310" s="18">
        <f t="shared" si="51"/>
        <v>5312342.9538210751</v>
      </c>
      <c r="Z310" s="19">
        <f t="shared" si="47"/>
        <v>-0.29416064299163547</v>
      </c>
      <c r="AA310" s="18">
        <f t="shared" si="52"/>
        <v>12226985.306684975</v>
      </c>
      <c r="AB310" s="18">
        <f t="shared" si="53"/>
        <v>17322617.654118825</v>
      </c>
      <c r="AC310" s="19">
        <f t="shared" si="48"/>
        <v>-0.29416064299163547</v>
      </c>
      <c r="AD310" s="20">
        <f t="shared" si="49"/>
        <v>8477324.5719519909</v>
      </c>
      <c r="AE310" s="9" t="s">
        <v>91</v>
      </c>
    </row>
    <row r="311" spans="1:31" ht="18" customHeight="1">
      <c r="A311" s="4">
        <v>307</v>
      </c>
      <c r="B311" s="13">
        <v>45362</v>
      </c>
      <c r="C311" s="13">
        <v>45366</v>
      </c>
      <c r="D311" s="4" t="s">
        <v>97</v>
      </c>
      <c r="E311" s="14">
        <v>17958.763999999999</v>
      </c>
      <c r="F311" s="14">
        <v>17886.928943999999</v>
      </c>
      <c r="G311" s="15">
        <v>-4.0000000000000001E-3</v>
      </c>
      <c r="H311" s="16">
        <f t="shared" si="54"/>
        <v>-2.2880000000000001E-2</v>
      </c>
      <c r="I311" s="17" t="b">
        <f>AND(A311&gt;2,H311&lt;=Assumptions!$B$7)</f>
        <v>1</v>
      </c>
      <c r="J311" s="15">
        <v>-4.90379040280009E-3</v>
      </c>
      <c r="K311" s="15">
        <v>1.4392625612495547E-2</v>
      </c>
      <c r="L311" s="15">
        <v>1.6155014709324789E-3</v>
      </c>
      <c r="M311" s="17" t="b">
        <f>J311&gt;=Assumptions!$B$8</f>
        <v>0</v>
      </c>
      <c r="N311" s="17" t="b">
        <f>AND(K311&lt;&gt;"",K311&lt;=Assumptions!$B$9)</f>
        <v>0</v>
      </c>
      <c r="O311" s="17" t="b">
        <f>AND(P311&lt;&gt;"",ABS(L311)&lt;=Assumptions!$B$10)</f>
        <v>1</v>
      </c>
      <c r="P311" s="13">
        <v>45363</v>
      </c>
      <c r="Q311" s="14">
        <v>18049.296999999999</v>
      </c>
      <c r="R311" s="15">
        <v>-8.9899999999999997E-3</v>
      </c>
      <c r="S311" s="17" t="str">
        <f t="shared" si="44"/>
        <v>DAMAGE SKIP</v>
      </c>
      <c r="T311" s="16">
        <f t="shared" si="45"/>
        <v>0</v>
      </c>
      <c r="U311" s="16">
        <f>G311*Assumptions!$B$6</f>
        <v>-4.5200000000000004E-2</v>
      </c>
      <c r="V311" s="16">
        <f>T311*Assumptions!$B$6</f>
        <v>0</v>
      </c>
      <c r="W311" s="16">
        <f t="shared" si="46"/>
        <v>4.5200000000000004E-2</v>
      </c>
      <c r="X311" s="18">
        <f t="shared" si="50"/>
        <v>3580176.0695230528</v>
      </c>
      <c r="Y311" s="18">
        <f t="shared" si="51"/>
        <v>5312342.9538210751</v>
      </c>
      <c r="Z311" s="19">
        <f t="shared" si="47"/>
        <v>-0.32606458192841359</v>
      </c>
      <c r="AA311" s="18">
        <f t="shared" si="52"/>
        <v>12226985.306684975</v>
      </c>
      <c r="AB311" s="18">
        <f t="shared" si="53"/>
        <v>17322617.654118825</v>
      </c>
      <c r="AC311" s="19">
        <f t="shared" si="48"/>
        <v>-0.29416064299163547</v>
      </c>
      <c r="AD311" s="20">
        <f t="shared" si="49"/>
        <v>8646809.2371619213</v>
      </c>
      <c r="AE311" s="9" t="s">
        <v>94</v>
      </c>
    </row>
    <row r="312" spans="1:31" ht="18" customHeight="1">
      <c r="A312" s="4">
        <v>308</v>
      </c>
      <c r="B312" s="13">
        <v>45369</v>
      </c>
      <c r="C312" s="13">
        <v>45373</v>
      </c>
      <c r="D312" s="4" t="s">
        <v>93</v>
      </c>
      <c r="E312" s="14">
        <v>18038.208999999999</v>
      </c>
      <c r="F312" s="14">
        <v>18331.319</v>
      </c>
      <c r="G312" s="15">
        <v>1.6240000000000001E-2</v>
      </c>
      <c r="H312" s="16">
        <f t="shared" si="54"/>
        <v>-1.4760000000000001E-2</v>
      </c>
      <c r="I312" s="17" t="b">
        <f>AND(A312&gt;2,H312&lt;=Assumptions!$B$7)</f>
        <v>0</v>
      </c>
      <c r="J312" s="15">
        <v>1.1920416786554089E-2</v>
      </c>
      <c r="K312" s="15">
        <v>-1.3563613346595504E-3</v>
      </c>
      <c r="L312" s="15">
        <v>4.8500636150039522E-3</v>
      </c>
      <c r="M312" s="17" t="b">
        <f>J312&gt;=Assumptions!$B$8</f>
        <v>1</v>
      </c>
      <c r="N312" s="17" t="b">
        <f>AND(K312&lt;&gt;"",K312&lt;=Assumptions!$B$9)</f>
        <v>0</v>
      </c>
      <c r="O312" s="17" t="b">
        <f>AND(P312&lt;&gt;"",ABS(L312)&lt;=Assumptions!$B$10)</f>
        <v>1</v>
      </c>
      <c r="P312" s="13">
        <v>45370</v>
      </c>
      <c r="Q312" s="14">
        <v>17894.186000000002</v>
      </c>
      <c r="R312" s="15">
        <v>2.4420000000000001E-2</v>
      </c>
      <c r="S312" s="17" t="str">
        <f t="shared" si="44"/>
        <v>BASELINE</v>
      </c>
      <c r="T312" s="16">
        <f t="shared" si="45"/>
        <v>1.6240000000000001E-2</v>
      </c>
      <c r="U312" s="16">
        <f>G312*Assumptions!$B$6</f>
        <v>0.18351200000000004</v>
      </c>
      <c r="V312" s="16">
        <f>T312*Assumptions!$B$6</f>
        <v>0.18351200000000004</v>
      </c>
      <c r="W312" s="16">
        <f t="shared" si="46"/>
        <v>0</v>
      </c>
      <c r="X312" s="18">
        <f t="shared" si="50"/>
        <v>4237181.3403933672</v>
      </c>
      <c r="Y312" s="18">
        <f t="shared" si="51"/>
        <v>5312342.9538210751</v>
      </c>
      <c r="Z312" s="19">
        <f t="shared" si="47"/>
        <v>-0.20238934548726062</v>
      </c>
      <c r="AA312" s="18">
        <f t="shared" si="52"/>
        <v>14470783.834285349</v>
      </c>
      <c r="AB312" s="18">
        <f t="shared" si="53"/>
        <v>17322617.654118825</v>
      </c>
      <c r="AC312" s="19">
        <f t="shared" si="48"/>
        <v>-0.16463065090831641</v>
      </c>
      <c r="AD312" s="20">
        <f t="shared" si="49"/>
        <v>10233602.49389198</v>
      </c>
      <c r="AE312" s="9" t="s">
        <v>91</v>
      </c>
    </row>
    <row r="313" spans="1:31" ht="18" customHeight="1">
      <c r="A313" s="4">
        <v>309</v>
      </c>
      <c r="B313" s="13">
        <v>45376</v>
      </c>
      <c r="C313" s="13">
        <v>45379</v>
      </c>
      <c r="D313" s="4" t="s">
        <v>93</v>
      </c>
      <c r="E313" s="14">
        <v>18222.589</v>
      </c>
      <c r="F313" s="14">
        <v>18234.165000000001</v>
      </c>
      <c r="G313" s="15">
        <v>6.3000000000000003E-4</v>
      </c>
      <c r="H313" s="16">
        <f t="shared" si="54"/>
        <v>1.6240000000000001E-2</v>
      </c>
      <c r="I313" s="17" t="b">
        <f>AND(A313&gt;2,H313&lt;=Assumptions!$B$7)</f>
        <v>0</v>
      </c>
      <c r="J313" s="15">
        <v>-5.9313789695111252E-3</v>
      </c>
      <c r="K313" s="15">
        <v>2.3332733638716352E-2</v>
      </c>
      <c r="L313" s="15">
        <v>-1.8031419748920641E-4</v>
      </c>
      <c r="M313" s="17" t="b">
        <f>J313&gt;=Assumptions!$B$8</f>
        <v>0</v>
      </c>
      <c r="N313" s="17" t="b">
        <f>AND(K313&lt;&gt;"",K313&lt;=Assumptions!$B$9)</f>
        <v>0</v>
      </c>
      <c r="O313" s="17" t="b">
        <f>AND(P313&lt;&gt;"",ABS(L313)&lt;=Assumptions!$B$10)</f>
        <v>1</v>
      </c>
      <c r="P313" s="13">
        <v>45377</v>
      </c>
      <c r="Q313" s="14">
        <v>18337.797999999999</v>
      </c>
      <c r="R313" s="15">
        <v>-5.6499999999999996E-3</v>
      </c>
      <c r="S313" s="17" t="str">
        <f t="shared" si="44"/>
        <v>BASELINE</v>
      </c>
      <c r="T313" s="16">
        <f t="shared" si="45"/>
        <v>6.3000000000000003E-4</v>
      </c>
      <c r="U313" s="16">
        <f>G313*Assumptions!$B$6</f>
        <v>7.1190000000000003E-3</v>
      </c>
      <c r="V313" s="16">
        <f>T313*Assumptions!$B$6</f>
        <v>7.1190000000000003E-3</v>
      </c>
      <c r="W313" s="16">
        <f t="shared" si="46"/>
        <v>0</v>
      </c>
      <c r="X313" s="18">
        <f t="shared" si="50"/>
        <v>4267345.8343556281</v>
      </c>
      <c r="Y313" s="18">
        <f t="shared" si="51"/>
        <v>5312342.9538210751</v>
      </c>
      <c r="Z313" s="19">
        <f t="shared" si="47"/>
        <v>-0.19671115523778426</v>
      </c>
      <c r="AA313" s="18">
        <f t="shared" si="52"/>
        <v>14573801.344401628</v>
      </c>
      <c r="AB313" s="18">
        <f t="shared" si="53"/>
        <v>17322617.654118825</v>
      </c>
      <c r="AC313" s="19">
        <f t="shared" si="48"/>
        <v>-0.15868365651213268</v>
      </c>
      <c r="AD313" s="20">
        <f t="shared" si="49"/>
        <v>10306455.510046</v>
      </c>
      <c r="AE313" s="9" t="s">
        <v>91</v>
      </c>
    </row>
    <row r="314" spans="1:31" ht="18" customHeight="1">
      <c r="A314" s="4">
        <v>310</v>
      </c>
      <c r="B314" s="13">
        <v>45383</v>
      </c>
      <c r="C314" s="13">
        <v>45385</v>
      </c>
      <c r="D314" s="4" t="s">
        <v>95</v>
      </c>
      <c r="E314" s="14">
        <v>18281.310000000001</v>
      </c>
      <c r="F314" s="14">
        <v>18208.18476</v>
      </c>
      <c r="G314" s="15">
        <v>-4.0000000000000001E-3</v>
      </c>
      <c r="H314" s="16">
        <f t="shared" si="54"/>
        <v>1.687E-2</v>
      </c>
      <c r="I314" s="17" t="b">
        <f>AND(A314&gt;2,H314&lt;=Assumptions!$B$7)</f>
        <v>0</v>
      </c>
      <c r="J314" s="15">
        <v>2.5855310621571981E-3</v>
      </c>
      <c r="K314" s="15">
        <v>1.2750196209822873E-2</v>
      </c>
      <c r="L314" s="15">
        <v>-8.8508408978641429E-3</v>
      </c>
      <c r="M314" s="17" t="b">
        <f>J314&gt;=Assumptions!$B$8</f>
        <v>0</v>
      </c>
      <c r="N314" s="17" t="b">
        <f>AND(K314&lt;&gt;"",K314&lt;=Assumptions!$B$9)</f>
        <v>0</v>
      </c>
      <c r="O314" s="17" t="b">
        <f>AND(P314&lt;&gt;"",ABS(L314)&lt;=Assumptions!$B$10)</f>
        <v>0</v>
      </c>
      <c r="P314" s="13">
        <v>45384</v>
      </c>
      <c r="Q314" s="14">
        <v>18078.964</v>
      </c>
      <c r="R314" s="15">
        <v>7.1399999999999996E-3</v>
      </c>
      <c r="S314" s="17" t="str">
        <f t="shared" si="44"/>
        <v>BASELINE</v>
      </c>
      <c r="T314" s="16">
        <f t="shared" si="45"/>
        <v>-4.0000000000000001E-3</v>
      </c>
      <c r="U314" s="16">
        <f>G314*Assumptions!$B$6</f>
        <v>-4.5200000000000004E-2</v>
      </c>
      <c r="V314" s="16">
        <f>T314*Assumptions!$B$6</f>
        <v>-4.5200000000000004E-2</v>
      </c>
      <c r="W314" s="16">
        <f t="shared" si="46"/>
        <v>0</v>
      </c>
      <c r="X314" s="18">
        <f t="shared" si="50"/>
        <v>4074461.8026427538</v>
      </c>
      <c r="Y314" s="18">
        <f t="shared" si="51"/>
        <v>5312342.9538210751</v>
      </c>
      <c r="Z314" s="19">
        <f t="shared" si="47"/>
        <v>-0.23301981102103642</v>
      </c>
      <c r="AA314" s="18">
        <f t="shared" si="52"/>
        <v>13915065.523634674</v>
      </c>
      <c r="AB314" s="18">
        <f t="shared" si="53"/>
        <v>17322617.654118825</v>
      </c>
      <c r="AC314" s="19">
        <f t="shared" si="48"/>
        <v>-0.19671115523778426</v>
      </c>
      <c r="AD314" s="20">
        <f t="shared" si="49"/>
        <v>9840603.7209919207</v>
      </c>
      <c r="AE314" s="9" t="s">
        <v>91</v>
      </c>
    </row>
    <row r="315" spans="1:31" ht="18" customHeight="1">
      <c r="A315" s="4">
        <v>311</v>
      </c>
      <c r="B315" s="13">
        <v>45390</v>
      </c>
      <c r="C315" s="13">
        <v>45393</v>
      </c>
      <c r="D315" s="4" t="s">
        <v>92</v>
      </c>
      <c r="E315" s="14">
        <v>18132.028999999999</v>
      </c>
      <c r="F315" s="14">
        <v>17984.321</v>
      </c>
      <c r="G315" s="15">
        <v>-8.1399999999999997E-3</v>
      </c>
      <c r="H315" s="16">
        <f t="shared" si="54"/>
        <v>-3.3700000000000002E-3</v>
      </c>
      <c r="I315" s="17" t="b">
        <f>AND(A315&gt;2,H315&lt;=Assumptions!$B$7)</f>
        <v>0</v>
      </c>
      <c r="J315" s="15">
        <v>2.4490634010423395E-3</v>
      </c>
      <c r="K315" s="15">
        <v>-9.8742536638322109E-3</v>
      </c>
      <c r="L315" s="15">
        <v>5.6579121687370115E-3</v>
      </c>
      <c r="M315" s="17" t="b">
        <f>J315&gt;=Assumptions!$B$8</f>
        <v>0</v>
      </c>
      <c r="N315" s="17" t="b">
        <f>AND(K315&lt;&gt;"",K315&lt;=Assumptions!$B$9)</f>
        <v>1</v>
      </c>
      <c r="O315" s="17" t="b">
        <f>AND(P315&lt;&gt;"",ABS(L315)&lt;=Assumptions!$B$10)</f>
        <v>0</v>
      </c>
      <c r="P315" s="13">
        <v>45391</v>
      </c>
      <c r="Q315" s="14">
        <v>18198.285</v>
      </c>
      <c r="R315" s="15">
        <v>-1.175E-2</v>
      </c>
      <c r="S315" s="17" t="str">
        <f t="shared" si="44"/>
        <v>BASELINE</v>
      </c>
      <c r="T315" s="16">
        <f t="shared" si="45"/>
        <v>-8.1399999999999997E-3</v>
      </c>
      <c r="U315" s="16">
        <f>G315*Assumptions!$B$6</f>
        <v>-9.1982000000000008E-2</v>
      </c>
      <c r="V315" s="16">
        <f>T315*Assumptions!$B$6</f>
        <v>-9.1982000000000008E-2</v>
      </c>
      <c r="W315" s="16">
        <f t="shared" si="46"/>
        <v>0</v>
      </c>
      <c r="X315" s="18">
        <f t="shared" si="50"/>
        <v>3699684.657112068</v>
      </c>
      <c r="Y315" s="18">
        <f t="shared" si="51"/>
        <v>5312342.9538210751</v>
      </c>
      <c r="Z315" s="19">
        <f t="shared" si="47"/>
        <v>-0.30356818276369946</v>
      </c>
      <c r="AA315" s="18">
        <f t="shared" si="52"/>
        <v>12635129.966639709</v>
      </c>
      <c r="AB315" s="18">
        <f t="shared" si="53"/>
        <v>17322617.654118825</v>
      </c>
      <c r="AC315" s="19">
        <f t="shared" si="48"/>
        <v>-0.27059926975670245</v>
      </c>
      <c r="AD315" s="20">
        <f t="shared" si="49"/>
        <v>8935445.3095276412</v>
      </c>
      <c r="AE315" s="9" t="s">
        <v>91</v>
      </c>
    </row>
    <row r="316" spans="1:31" ht="18" customHeight="1">
      <c r="A316" s="4">
        <v>312</v>
      </c>
      <c r="B316" s="13">
        <v>45397</v>
      </c>
      <c r="C316" s="13">
        <v>45400</v>
      </c>
      <c r="D316" s="4" t="s">
        <v>92</v>
      </c>
      <c r="E316" s="14">
        <v>18163.598999999998</v>
      </c>
      <c r="F316" s="14">
        <v>17523.419000000002</v>
      </c>
      <c r="G316" s="15">
        <v>-3.524E-2</v>
      </c>
      <c r="H316" s="16">
        <f t="shared" si="54"/>
        <v>-1.214E-2</v>
      </c>
      <c r="I316" s="17" t="b">
        <f>AND(A316&gt;2,H316&lt;=Assumptions!$B$7)</f>
        <v>0</v>
      </c>
      <c r="J316" s="15">
        <v>8.1125323520021553E-3</v>
      </c>
      <c r="K316" s="15">
        <v>-6.6070654305949716E-4</v>
      </c>
      <c r="L316" s="15">
        <v>-1.6815538705582278E-2</v>
      </c>
      <c r="M316" s="17" t="b">
        <f>J316&gt;=Assumptions!$B$8</f>
        <v>0</v>
      </c>
      <c r="N316" s="17" t="b">
        <f>AND(K316&lt;&gt;"",K316&lt;=Assumptions!$B$9)</f>
        <v>0</v>
      </c>
      <c r="O316" s="17" t="b">
        <f>AND(P316&lt;&gt;"",ABS(L316)&lt;=Assumptions!$B$10)</f>
        <v>0</v>
      </c>
      <c r="P316" s="13">
        <v>45398</v>
      </c>
      <c r="Q316" s="14">
        <v>17696.498</v>
      </c>
      <c r="R316" s="15">
        <v>-9.7800000000000005E-3</v>
      </c>
      <c r="S316" s="17" t="str">
        <f t="shared" si="44"/>
        <v>BASELINE</v>
      </c>
      <c r="T316" s="16">
        <f t="shared" si="45"/>
        <v>-3.524E-2</v>
      </c>
      <c r="U316" s="16">
        <f>G316*Assumptions!$B$6</f>
        <v>-0.39821200000000001</v>
      </c>
      <c r="V316" s="16">
        <f>T316*Assumptions!$B$6</f>
        <v>-0.39821200000000001</v>
      </c>
      <c r="W316" s="16">
        <f t="shared" si="46"/>
        <v>0</v>
      </c>
      <c r="X316" s="18">
        <f t="shared" si="50"/>
        <v>2226425.830434157</v>
      </c>
      <c r="Y316" s="18">
        <f t="shared" si="51"/>
        <v>5312342.9538210751</v>
      </c>
      <c r="Z316" s="19">
        <f t="shared" si="47"/>
        <v>-0.58089568956900117</v>
      </c>
      <c r="AA316" s="18">
        <f t="shared" si="52"/>
        <v>7603669.5923641771</v>
      </c>
      <c r="AB316" s="18">
        <f t="shared" si="53"/>
        <v>17322617.654118825</v>
      </c>
      <c r="AC316" s="19">
        <f t="shared" si="48"/>
        <v>-0.56105539334834642</v>
      </c>
      <c r="AD316" s="20">
        <f t="shared" si="49"/>
        <v>5377243.7619300205</v>
      </c>
      <c r="AE316" s="9" t="s">
        <v>91</v>
      </c>
    </row>
    <row r="317" spans="1:31" ht="18" customHeight="1">
      <c r="A317" s="4">
        <v>313</v>
      </c>
      <c r="B317" s="13">
        <v>45404</v>
      </c>
      <c r="C317" s="13">
        <v>45408</v>
      </c>
      <c r="D317" s="4" t="s">
        <v>93</v>
      </c>
      <c r="E317" s="14">
        <v>17144.253000000001</v>
      </c>
      <c r="F317" s="14">
        <v>17716.009999999998</v>
      </c>
      <c r="G317" s="15">
        <v>3.3340000000000002E-2</v>
      </c>
      <c r="H317" s="16">
        <f t="shared" si="54"/>
        <v>-4.3380000000000002E-2</v>
      </c>
      <c r="I317" s="17" t="b">
        <f>AND(A317&gt;2,H317&lt;=Assumptions!$B$7)</f>
        <v>1</v>
      </c>
      <c r="J317" s="15">
        <v>6.6663061417071567E-3</v>
      </c>
      <c r="K317" s="15">
        <v>-7.0019541386671214E-2</v>
      </c>
      <c r="L317" s="15">
        <v>1.4762260634942237E-2</v>
      </c>
      <c r="M317" s="17" t="b">
        <f>J317&gt;=Assumptions!$B$8</f>
        <v>0</v>
      </c>
      <c r="N317" s="17" t="b">
        <f>AND(K317&lt;&gt;"",K317&lt;=Assumptions!$B$9)</f>
        <v>1</v>
      </c>
      <c r="O317" s="17" t="b">
        <f>AND(P317&lt;&gt;"",ABS(L317)&lt;=Assumptions!$B$10)</f>
        <v>0</v>
      </c>
      <c r="P317" s="13">
        <v>45405</v>
      </c>
      <c r="Q317" s="14">
        <v>17286.521000000001</v>
      </c>
      <c r="R317" s="15">
        <v>2.4840000000000001E-2</v>
      </c>
      <c r="S317" s="17" t="str">
        <f t="shared" si="44"/>
        <v>DAMAGE SKIP</v>
      </c>
      <c r="T317" s="16">
        <f t="shared" si="45"/>
        <v>0</v>
      </c>
      <c r="U317" s="16">
        <f>G317*Assumptions!$B$6</f>
        <v>0.37674200000000002</v>
      </c>
      <c r="V317" s="16">
        <f>T317*Assumptions!$B$6</f>
        <v>0</v>
      </c>
      <c r="W317" s="16">
        <f t="shared" si="46"/>
        <v>-0.37674200000000002</v>
      </c>
      <c r="X317" s="18">
        <f t="shared" si="50"/>
        <v>3065213.9506435827</v>
      </c>
      <c r="Y317" s="18">
        <f t="shared" si="51"/>
        <v>5312342.9538210751</v>
      </c>
      <c r="Z317" s="19">
        <f t="shared" si="47"/>
        <v>-0.42300149344860571</v>
      </c>
      <c r="AA317" s="18">
        <f t="shared" si="52"/>
        <v>7603669.5923641771</v>
      </c>
      <c r="AB317" s="18">
        <f t="shared" si="53"/>
        <v>17322617.654118825</v>
      </c>
      <c r="AC317" s="19">
        <f t="shared" si="48"/>
        <v>-0.56105539334834642</v>
      </c>
      <c r="AD317" s="20">
        <f t="shared" si="49"/>
        <v>4538455.6417205948</v>
      </c>
      <c r="AE317" s="9" t="s">
        <v>94</v>
      </c>
    </row>
    <row r="318" spans="1:31" ht="18" customHeight="1">
      <c r="A318" s="4">
        <v>314</v>
      </c>
      <c r="B318" s="13">
        <v>45411</v>
      </c>
      <c r="C318" s="13">
        <v>45414</v>
      </c>
      <c r="D318" s="4" t="s">
        <v>92</v>
      </c>
      <c r="E318" s="14">
        <v>17793.753000000001</v>
      </c>
      <c r="F318" s="14">
        <v>17394.108</v>
      </c>
      <c r="G318" s="15">
        <v>-2.2450000000000001E-2</v>
      </c>
      <c r="H318" s="16">
        <f t="shared" si="54"/>
        <v>-3.524E-2</v>
      </c>
      <c r="I318" s="17" t="b">
        <f>AND(A318&gt;2,H318&lt;=Assumptions!$B$7)</f>
        <v>1</v>
      </c>
      <c r="J318" s="15">
        <v>4.3882905913916748E-3</v>
      </c>
      <c r="K318" s="15">
        <v>-2.930566444753635E-2</v>
      </c>
      <c r="L318" s="15">
        <v>3.5015558579876149E-4</v>
      </c>
      <c r="M318" s="17" t="b">
        <f>J318&gt;=Assumptions!$B$8</f>
        <v>0</v>
      </c>
      <c r="N318" s="17" t="b">
        <f>AND(K318&lt;&gt;"",K318&lt;=Assumptions!$B$9)</f>
        <v>1</v>
      </c>
      <c r="O318" s="17" t="b">
        <f>AND(P318&lt;&gt;"",ABS(L318)&lt;=Assumptions!$B$10)</f>
        <v>1</v>
      </c>
      <c r="P318" s="13">
        <v>45412</v>
      </c>
      <c r="Q318" s="14">
        <v>17710.776000000002</v>
      </c>
      <c r="R318" s="15">
        <v>-1.787E-2</v>
      </c>
      <c r="S318" s="17" t="str">
        <f t="shared" si="44"/>
        <v>DAMAGE SKIP</v>
      </c>
      <c r="T318" s="16">
        <f t="shared" si="45"/>
        <v>0</v>
      </c>
      <c r="U318" s="16">
        <f>G318*Assumptions!$B$6</f>
        <v>-0.25368500000000005</v>
      </c>
      <c r="V318" s="16">
        <f>T318*Assumptions!$B$6</f>
        <v>0</v>
      </c>
      <c r="W318" s="16">
        <f t="shared" si="46"/>
        <v>0.25368500000000005</v>
      </c>
      <c r="X318" s="18">
        <f t="shared" si="50"/>
        <v>2287615.1495745652</v>
      </c>
      <c r="Y318" s="18">
        <f t="shared" si="51"/>
        <v>5312342.9538210751</v>
      </c>
      <c r="Z318" s="19">
        <f t="shared" si="47"/>
        <v>-0.56937735958309621</v>
      </c>
      <c r="AA318" s="18">
        <f t="shared" si="52"/>
        <v>7603669.5923641771</v>
      </c>
      <c r="AB318" s="18">
        <f t="shared" si="53"/>
        <v>17322617.654118825</v>
      </c>
      <c r="AC318" s="19">
        <f t="shared" si="48"/>
        <v>-0.56105539334834642</v>
      </c>
      <c r="AD318" s="20">
        <f t="shared" si="49"/>
        <v>5316054.4427896123</v>
      </c>
      <c r="AE318" s="9" t="s">
        <v>94</v>
      </c>
    </row>
    <row r="319" spans="1:31" ht="18" customHeight="1">
      <c r="A319" s="4">
        <v>315</v>
      </c>
      <c r="B319" s="13">
        <v>45418</v>
      </c>
      <c r="C319" s="13">
        <v>45422</v>
      </c>
      <c r="D319" s="4" t="s">
        <v>93</v>
      </c>
      <c r="E319" s="14">
        <v>17963.496999999999</v>
      </c>
      <c r="F319" s="14">
        <v>18158.386999999999</v>
      </c>
      <c r="G319" s="15">
        <v>1.0840000000000001E-2</v>
      </c>
      <c r="H319" s="16">
        <f t="shared" si="54"/>
        <v>0</v>
      </c>
      <c r="I319" s="17" t="b">
        <f>AND(A319&gt;2,H319&lt;=Assumptions!$B$7)</f>
        <v>0</v>
      </c>
      <c r="J319" s="15">
        <v>3.4459647874671706E-3</v>
      </c>
      <c r="K319" s="15">
        <v>-1.1327245234059813E-2</v>
      </c>
      <c r="L319" s="15">
        <v>1.1988402046969382E-2</v>
      </c>
      <c r="M319" s="17" t="b">
        <f>J319&gt;=Assumptions!$B$8</f>
        <v>0</v>
      </c>
      <c r="N319" s="17" t="b">
        <f>AND(K319&lt;&gt;"",K319&lt;=Assumptions!$B$9)</f>
        <v>1</v>
      </c>
      <c r="O319" s="17" t="b">
        <f>AND(P319&lt;&gt;"",ABS(L319)&lt;=Assumptions!$B$10)</f>
        <v>0</v>
      </c>
      <c r="P319" s="13">
        <v>45419</v>
      </c>
      <c r="Q319" s="14">
        <v>18103.554</v>
      </c>
      <c r="R319" s="15">
        <v>3.0200000000000001E-3</v>
      </c>
      <c r="S319" s="17" t="str">
        <f t="shared" si="44"/>
        <v>BASELINE</v>
      </c>
      <c r="T319" s="16">
        <f t="shared" si="45"/>
        <v>1.0840000000000001E-2</v>
      </c>
      <c r="U319" s="16">
        <f>G319*Assumptions!$B$6</f>
        <v>0.12249200000000002</v>
      </c>
      <c r="V319" s="16">
        <f>T319*Assumptions!$B$6</f>
        <v>0.12249200000000002</v>
      </c>
      <c r="W319" s="16">
        <f t="shared" si="46"/>
        <v>0</v>
      </c>
      <c r="X319" s="18">
        <f t="shared" si="50"/>
        <v>2567829.7044762531</v>
      </c>
      <c r="Y319" s="18">
        <f t="shared" si="51"/>
        <v>5312342.9538210751</v>
      </c>
      <c r="Z319" s="19">
        <f t="shared" si="47"/>
        <v>-0.5166295311131488</v>
      </c>
      <c r="AA319" s="18">
        <f t="shared" si="52"/>
        <v>8535058.2880720496</v>
      </c>
      <c r="AB319" s="18">
        <f t="shared" si="53"/>
        <v>17322617.654118825</v>
      </c>
      <c r="AC319" s="19">
        <f t="shared" si="48"/>
        <v>-0.50728819059037211</v>
      </c>
      <c r="AD319" s="20">
        <f t="shared" si="49"/>
        <v>5967228.5835957965</v>
      </c>
      <c r="AE319" s="9" t="s">
        <v>91</v>
      </c>
    </row>
    <row r="320" spans="1:31" ht="18" customHeight="1">
      <c r="A320" s="4">
        <v>316</v>
      </c>
      <c r="B320" s="13">
        <v>45425</v>
      </c>
      <c r="C320" s="13">
        <v>45429</v>
      </c>
      <c r="D320" s="4" t="s">
        <v>93</v>
      </c>
      <c r="E320" s="14">
        <v>18237.085999999999</v>
      </c>
      <c r="F320" s="14">
        <v>18534.231</v>
      </c>
      <c r="G320" s="15">
        <v>1.6289999999999999E-2</v>
      </c>
      <c r="H320" s="16">
        <f t="shared" si="54"/>
        <v>1.0840000000000001E-2</v>
      </c>
      <c r="I320" s="17" t="b">
        <f>AND(A320&gt;2,H320&lt;=Assumptions!$B$7)</f>
        <v>0</v>
      </c>
      <c r="J320" s="15">
        <v>4.3340303298966543E-3</v>
      </c>
      <c r="K320" s="15">
        <v>8.6476633862018204E-3</v>
      </c>
      <c r="L320" s="15">
        <v>1.3337096245584767E-3</v>
      </c>
      <c r="M320" s="17" t="b">
        <f>J320&gt;=Assumptions!$B$8</f>
        <v>0</v>
      </c>
      <c r="N320" s="17" t="b">
        <f>AND(K320&lt;&gt;"",K320&lt;=Assumptions!$B$9)</f>
        <v>0</v>
      </c>
      <c r="O320" s="17" t="b">
        <f>AND(P320&lt;&gt;"",ABS(L320)&lt;=Assumptions!$B$10)</f>
        <v>1</v>
      </c>
      <c r="P320" s="13">
        <v>45426</v>
      </c>
      <c r="Q320" s="14">
        <v>18177.863000000001</v>
      </c>
      <c r="R320" s="15">
        <v>1.9599999999999999E-2</v>
      </c>
      <c r="S320" s="17" t="str">
        <f t="shared" si="44"/>
        <v>BASELINE</v>
      </c>
      <c r="T320" s="16">
        <f t="shared" si="45"/>
        <v>1.6289999999999999E-2</v>
      </c>
      <c r="U320" s="16">
        <f>G320*Assumptions!$B$6</f>
        <v>0.18407699999999999</v>
      </c>
      <c r="V320" s="16">
        <f>T320*Assumptions!$B$6</f>
        <v>0.18407699999999999</v>
      </c>
      <c r="W320" s="16">
        <f t="shared" si="46"/>
        <v>0</v>
      </c>
      <c r="X320" s="18">
        <f t="shared" si="50"/>
        <v>3040508.0929871285</v>
      </c>
      <c r="Y320" s="18">
        <f t="shared" si="51"/>
        <v>5312342.9538210751</v>
      </c>
      <c r="Z320" s="19">
        <f t="shared" si="47"/>
        <v>-0.42765214531186391</v>
      </c>
      <c r="AA320" s="18">
        <f t="shared" si="52"/>
        <v>10106166.212565489</v>
      </c>
      <c r="AB320" s="18">
        <f t="shared" si="53"/>
        <v>17322617.654118825</v>
      </c>
      <c r="AC320" s="19">
        <f t="shared" si="48"/>
        <v>-0.41659127884967595</v>
      </c>
      <c r="AD320" s="20">
        <f t="shared" si="49"/>
        <v>7065658.1195783606</v>
      </c>
      <c r="AE320" s="9" t="s">
        <v>91</v>
      </c>
    </row>
    <row r="321" spans="1:31" ht="18" customHeight="1">
      <c r="A321" s="4">
        <v>317</v>
      </c>
      <c r="B321" s="13">
        <v>45432</v>
      </c>
      <c r="C321" s="13">
        <v>45436</v>
      </c>
      <c r="D321" s="4" t="s">
        <v>93</v>
      </c>
      <c r="E321" s="14">
        <v>18554.71</v>
      </c>
      <c r="F321" s="14">
        <v>18802.843000000001</v>
      </c>
      <c r="G321" s="15">
        <v>1.337E-2</v>
      </c>
      <c r="H321" s="16">
        <f t="shared" si="54"/>
        <v>2.7130000000000001E-2</v>
      </c>
      <c r="I321" s="17" t="b">
        <f>AND(A321&gt;2,H321&lt;=Assumptions!$B$7)</f>
        <v>0</v>
      </c>
      <c r="J321" s="15">
        <v>1.1049284968984718E-3</v>
      </c>
      <c r="K321" s="15">
        <v>8.9498024904642204E-2</v>
      </c>
      <c r="L321" s="15">
        <v>2.8328548807727838E-3</v>
      </c>
      <c r="M321" s="17" t="b">
        <f>J321&gt;=Assumptions!$B$8</f>
        <v>0</v>
      </c>
      <c r="N321" s="17" t="b">
        <f>AND(K321&lt;&gt;"",K321&lt;=Assumptions!$B$9)</f>
        <v>0</v>
      </c>
      <c r="O321" s="17" t="b">
        <f>AND(P321&lt;&gt;"",ABS(L321)&lt;=Assumptions!$B$10)</f>
        <v>1</v>
      </c>
      <c r="P321" s="13">
        <v>45433</v>
      </c>
      <c r="Q321" s="14">
        <v>18597.987000000001</v>
      </c>
      <c r="R321" s="15">
        <v>1.1010000000000001E-2</v>
      </c>
      <c r="S321" s="17" t="str">
        <f t="shared" si="44"/>
        <v>BASELINE</v>
      </c>
      <c r="T321" s="16">
        <f t="shared" si="45"/>
        <v>1.337E-2</v>
      </c>
      <c r="U321" s="16">
        <f>G321*Assumptions!$B$6</f>
        <v>0.15108100000000002</v>
      </c>
      <c r="V321" s="16">
        <f>T321*Assumptions!$B$6</f>
        <v>0.15108100000000002</v>
      </c>
      <c r="W321" s="16">
        <f t="shared" si="46"/>
        <v>0</v>
      </c>
      <c r="X321" s="18">
        <f t="shared" si="50"/>
        <v>3499871.0961837168</v>
      </c>
      <c r="Y321" s="18">
        <f t="shared" si="51"/>
        <v>5312342.9538210751</v>
      </c>
      <c r="Z321" s="19">
        <f t="shared" si="47"/>
        <v>-0.34118125907772556</v>
      </c>
      <c r="AA321" s="18">
        <f t="shared" si="52"/>
        <v>11633015.910126096</v>
      </c>
      <c r="AB321" s="18">
        <f t="shared" si="53"/>
        <v>17322617.654118825</v>
      </c>
      <c r="AC321" s="19">
        <f t="shared" si="48"/>
        <v>-0.32844930584956389</v>
      </c>
      <c r="AD321" s="20">
        <f t="shared" si="49"/>
        <v>8133144.8139423784</v>
      </c>
      <c r="AE321" s="9" t="s">
        <v>91</v>
      </c>
    </row>
    <row r="322" spans="1:31" ht="18" customHeight="1">
      <c r="A322" s="4">
        <v>318</v>
      </c>
      <c r="B322" s="13">
        <v>45440</v>
      </c>
      <c r="C322" s="13">
        <v>45442</v>
      </c>
      <c r="D322" s="4" t="s">
        <v>92</v>
      </c>
      <c r="E322" s="14">
        <v>18851.298999999999</v>
      </c>
      <c r="F322" s="14">
        <v>18683.153999999999</v>
      </c>
      <c r="G322" s="15">
        <v>-8.9099999999999995E-3</v>
      </c>
      <c r="H322" s="16">
        <f t="shared" si="54"/>
        <v>2.9659999999999999E-2</v>
      </c>
      <c r="I322" s="17" t="b">
        <f>AND(A322&gt;2,H322&lt;=Assumptions!$B$7)</f>
        <v>0</v>
      </c>
      <c r="J322" s="15">
        <v>2.5770570971632711E-3</v>
      </c>
      <c r="K322" s="15">
        <v>6.2533118882490246E-2</v>
      </c>
      <c r="L322" s="15"/>
      <c r="M322" s="17" t="b">
        <f>J322&gt;=Assumptions!$B$8</f>
        <v>0</v>
      </c>
      <c r="N322" s="17" t="b">
        <f>AND(K322&lt;&gt;"",K322&lt;=Assumptions!$B$9)</f>
        <v>0</v>
      </c>
      <c r="O322" s="17" t="b">
        <f>AND(P322&lt;&gt;"",ABS(L322)&lt;=Assumptions!$B$10)</f>
        <v>0</v>
      </c>
      <c r="P322" s="13"/>
      <c r="Q322" s="14"/>
      <c r="R322" s="15"/>
      <c r="S322" s="17" t="str">
        <f t="shared" si="44"/>
        <v>BASELINE</v>
      </c>
      <c r="T322" s="16">
        <f t="shared" si="45"/>
        <v>-8.9099999999999995E-3</v>
      </c>
      <c r="U322" s="16">
        <f>G322*Assumptions!$B$6</f>
        <v>-0.10068299999999999</v>
      </c>
      <c r="V322" s="16">
        <f>T322*Assumptions!$B$6</f>
        <v>-0.10068299999999999</v>
      </c>
      <c r="W322" s="16">
        <f t="shared" si="46"/>
        <v>0</v>
      </c>
      <c r="X322" s="18">
        <f t="shared" si="50"/>
        <v>3147493.5746066519</v>
      </c>
      <c r="Y322" s="18">
        <f t="shared" si="51"/>
        <v>5312342.9538210751</v>
      </c>
      <c r="Z322" s="19">
        <f t="shared" si="47"/>
        <v>-0.40751310637000293</v>
      </c>
      <c r="AA322" s="18">
        <f t="shared" si="52"/>
        <v>10461768.96924687</v>
      </c>
      <c r="AB322" s="18">
        <f t="shared" si="53"/>
        <v>17322617.654118825</v>
      </c>
      <c r="AC322" s="19">
        <f t="shared" si="48"/>
        <v>-0.39606304438871232</v>
      </c>
      <c r="AD322" s="20">
        <f t="shared" si="49"/>
        <v>7314275.3946402185</v>
      </c>
      <c r="AE322" s="9" t="s">
        <v>91</v>
      </c>
    </row>
    <row r="323" spans="1:31" ht="18" customHeight="1">
      <c r="A323" s="4">
        <v>319</v>
      </c>
      <c r="B323" s="13">
        <v>45446</v>
      </c>
      <c r="C323" s="13">
        <v>45450</v>
      </c>
      <c r="D323" s="4" t="s">
        <v>93</v>
      </c>
      <c r="E323" s="14">
        <v>18661.353999999999</v>
      </c>
      <c r="F323" s="14">
        <v>19002.398000000001</v>
      </c>
      <c r="G323" s="15">
        <v>1.8270000000000002E-2</v>
      </c>
      <c r="H323" s="16">
        <f t="shared" si="54"/>
        <v>4.4600000000000004E-3</v>
      </c>
      <c r="I323" s="17" t="b">
        <f>AND(A323&gt;2,H323&lt;=Assumptions!$B$7)</f>
        <v>0</v>
      </c>
      <c r="J323" s="15">
        <v>6.3809413692432759E-3</v>
      </c>
      <c r="K323" s="15">
        <v>5.5775653005960324E-2</v>
      </c>
      <c r="L323" s="15">
        <v>4.7926995600180433E-3</v>
      </c>
      <c r="M323" s="17" t="b">
        <f>J323&gt;=Assumptions!$B$8</f>
        <v>0</v>
      </c>
      <c r="N323" s="17" t="b">
        <f>AND(K323&lt;&gt;"",K323&lt;=Assumptions!$B$9)</f>
        <v>0</v>
      </c>
      <c r="O323" s="17" t="b">
        <f>AND(P323&lt;&gt;"",ABS(L323)&lt;=Assumptions!$B$10)</f>
        <v>1</v>
      </c>
      <c r="P323" s="13">
        <v>45447</v>
      </c>
      <c r="Q323" s="14">
        <v>18592.431</v>
      </c>
      <c r="R323" s="15">
        <v>2.205E-2</v>
      </c>
      <c r="S323" s="17" t="str">
        <f t="shared" si="44"/>
        <v>BASELINE</v>
      </c>
      <c r="T323" s="16">
        <f t="shared" si="45"/>
        <v>1.8270000000000002E-2</v>
      </c>
      <c r="U323" s="16">
        <f>G323*Assumptions!$B$6</f>
        <v>0.20645100000000002</v>
      </c>
      <c r="V323" s="16">
        <f>T323*Assumptions!$B$6</f>
        <v>0.20645100000000002</v>
      </c>
      <c r="W323" s="16">
        <f t="shared" si="46"/>
        <v>0</v>
      </c>
      <c r="X323" s="18">
        <f t="shared" si="50"/>
        <v>3797296.7705777697</v>
      </c>
      <c r="Y323" s="18">
        <f t="shared" si="51"/>
        <v>5312342.9538210751</v>
      </c>
      <c r="Z323" s="19">
        <f t="shared" si="47"/>
        <v>-0.28519359469319638</v>
      </c>
      <c r="AA323" s="18">
        <f t="shared" si="52"/>
        <v>12621611.634716855</v>
      </c>
      <c r="AB323" s="18">
        <f t="shared" si="53"/>
        <v>17322617.654118825</v>
      </c>
      <c r="AC323" s="19">
        <f t="shared" si="48"/>
        <v>-0.27137965596580627</v>
      </c>
      <c r="AD323" s="20">
        <f t="shared" si="49"/>
        <v>8824314.8641390856</v>
      </c>
      <c r="AE323" s="9" t="s">
        <v>91</v>
      </c>
    </row>
    <row r="324" spans="1:31" ht="18" customHeight="1">
      <c r="A324" s="4">
        <v>320</v>
      </c>
      <c r="B324" s="13">
        <v>45453</v>
      </c>
      <c r="C324" s="13">
        <v>45457</v>
      </c>
      <c r="D324" s="4" t="s">
        <v>93</v>
      </c>
      <c r="E324" s="14">
        <v>18951.996999999999</v>
      </c>
      <c r="F324" s="14">
        <v>19662.009999999998</v>
      </c>
      <c r="G324" s="15">
        <v>3.746E-2</v>
      </c>
      <c r="H324" s="16">
        <f t="shared" si="54"/>
        <v>9.360000000000002E-3</v>
      </c>
      <c r="I324" s="17" t="b">
        <f>AND(A324&gt;2,H324&lt;=Assumptions!$B$7)</f>
        <v>0</v>
      </c>
      <c r="J324" s="15">
        <v>-2.652349456105596E-3</v>
      </c>
      <c r="K324" s="15">
        <v>4.9748826258948498E-2</v>
      </c>
      <c r="L324" s="15">
        <v>1.2517684489155023E-3</v>
      </c>
      <c r="M324" s="17" t="b">
        <f>J324&gt;=Assumptions!$B$8</f>
        <v>0</v>
      </c>
      <c r="N324" s="17" t="b">
        <f>AND(K324&lt;&gt;"",K324&lt;=Assumptions!$B$9)</f>
        <v>0</v>
      </c>
      <c r="O324" s="17" t="b">
        <f>AND(P324&lt;&gt;"",ABS(L324)&lt;=Assumptions!$B$10)</f>
        <v>1</v>
      </c>
      <c r="P324" s="13">
        <v>45454</v>
      </c>
      <c r="Q324" s="14">
        <v>19023.008000000002</v>
      </c>
      <c r="R324" s="15">
        <v>3.3590000000000002E-2</v>
      </c>
      <c r="S324" s="17" t="str">
        <f t="shared" si="44"/>
        <v>BASELINE</v>
      </c>
      <c r="T324" s="16">
        <f t="shared" si="45"/>
        <v>3.746E-2</v>
      </c>
      <c r="U324" s="16">
        <f>G324*Assumptions!$B$6</f>
        <v>0.42329800000000001</v>
      </c>
      <c r="V324" s="16">
        <f>T324*Assumptions!$B$6</f>
        <v>0.42329800000000001</v>
      </c>
      <c r="W324" s="16">
        <f t="shared" si="46"/>
        <v>0</v>
      </c>
      <c r="X324" s="18">
        <f t="shared" si="50"/>
        <v>5404684.8989697983</v>
      </c>
      <c r="Y324" s="18">
        <f t="shared" si="51"/>
        <v>5404684.8989697983</v>
      </c>
      <c r="Z324" s="19">
        <f t="shared" si="47"/>
        <v>0</v>
      </c>
      <c r="AA324" s="18">
        <f t="shared" si="52"/>
        <v>17964314.596469231</v>
      </c>
      <c r="AB324" s="18">
        <f t="shared" si="53"/>
        <v>17964314.596469231</v>
      </c>
      <c r="AC324" s="19">
        <f t="shared" si="48"/>
        <v>0</v>
      </c>
      <c r="AD324" s="20">
        <f t="shared" si="49"/>
        <v>12559629.697499432</v>
      </c>
      <c r="AE324" s="9" t="s">
        <v>91</v>
      </c>
    </row>
    <row r="325" spans="1:31" ht="18" customHeight="1">
      <c r="A325" s="4">
        <v>321</v>
      </c>
      <c r="B325" s="13">
        <v>45460</v>
      </c>
      <c r="C325" s="13">
        <v>45460</v>
      </c>
      <c r="D325" s="4" t="s">
        <v>90</v>
      </c>
      <c r="E325" s="14">
        <v>19674.207999999999</v>
      </c>
      <c r="F325" s="14">
        <v>19895.875</v>
      </c>
      <c r="G325" s="15">
        <v>1.1259999999999999E-2</v>
      </c>
      <c r="H325" s="16">
        <f t="shared" si="54"/>
        <v>5.5730000000000002E-2</v>
      </c>
      <c r="I325" s="17" t="b">
        <f>AND(A325&gt;2,H325&lt;=Assumptions!$B$7)</f>
        <v>0</v>
      </c>
      <c r="J325" s="15">
        <v>6.2038418249210636E-4</v>
      </c>
      <c r="K325" s="15">
        <v>6.0202343984774087E-2</v>
      </c>
      <c r="L325" s="15">
        <v>1.2146216511295993E-2</v>
      </c>
      <c r="M325" s="17" t="b">
        <f>J325&gt;=Assumptions!$B$8</f>
        <v>0</v>
      </c>
      <c r="N325" s="17" t="b">
        <f>AND(K325&lt;&gt;"",K325&lt;=Assumptions!$B$9)</f>
        <v>0</v>
      </c>
      <c r="O325" s="17" t="b">
        <f>AND(P325&lt;&gt;"",ABS(L325)&lt;=Assumptions!$B$10)</f>
        <v>0</v>
      </c>
      <c r="P325" s="13">
        <v>45461</v>
      </c>
      <c r="Q325" s="14">
        <v>19904.330000000002</v>
      </c>
      <c r="R325" s="15">
        <v>-4.2000000000000002E-4</v>
      </c>
      <c r="S325" s="17" t="str">
        <f t="shared" ref="S325:S388" si="55">IF(I325,"DAMAGE SKIP",IF(AND(M325,N325),IF(O325,"TUESDAY RE-ENTRY","GAP/MOM SKIP"),"BASELINE"))</f>
        <v>BASELINE</v>
      </c>
      <c r="T325" s="16">
        <f t="shared" ref="T325:T388" si="56">IF(I325,0,IF(AND(M325,N325),IF(O325,R325,0),G325))</f>
        <v>1.1259999999999999E-2</v>
      </c>
      <c r="U325" s="16">
        <f>G325*Assumptions!$B$6</f>
        <v>0.12723799999999999</v>
      </c>
      <c r="V325" s="16">
        <f>T325*Assumptions!$B$6</f>
        <v>0.12723799999999999</v>
      </c>
      <c r="W325" s="16">
        <f t="shared" ref="W325:W388" si="57">V325-U325</f>
        <v>0</v>
      </c>
      <c r="X325" s="18">
        <f t="shared" si="50"/>
        <v>6092366.196144917</v>
      </c>
      <c r="Y325" s="18">
        <f t="shared" si="51"/>
        <v>6092366.196144917</v>
      </c>
      <c r="Z325" s="19">
        <f t="shared" ref="Z325:Z388" si="58">X325/Y325-1</f>
        <v>0</v>
      </c>
      <c r="AA325" s="18">
        <f t="shared" si="52"/>
        <v>20250058.057094783</v>
      </c>
      <c r="AB325" s="18">
        <f t="shared" si="53"/>
        <v>20250058.057094783</v>
      </c>
      <c r="AC325" s="19">
        <f t="shared" ref="AC325:AC388" si="59">AA325/AB325-1</f>
        <v>0</v>
      </c>
      <c r="AD325" s="20">
        <f t="shared" ref="AD325:AD388" si="60">AA325-X325</f>
        <v>14157691.860949866</v>
      </c>
      <c r="AE325" s="9" t="s">
        <v>91</v>
      </c>
    </row>
    <row r="326" spans="1:31" ht="18" customHeight="1">
      <c r="A326" s="4">
        <v>322</v>
      </c>
      <c r="B326" s="13">
        <v>45467</v>
      </c>
      <c r="C326" s="13">
        <v>45471</v>
      </c>
      <c r="D326" s="4" t="s">
        <v>93</v>
      </c>
      <c r="E326" s="14">
        <v>19647.798999999999</v>
      </c>
      <c r="F326" s="14">
        <v>19698.631000000001</v>
      </c>
      <c r="G326" s="15">
        <v>2.5799999999999998E-3</v>
      </c>
      <c r="H326" s="16">
        <f t="shared" si="54"/>
        <v>4.8719999999999999E-2</v>
      </c>
      <c r="I326" s="17" t="b">
        <f>AND(A326&gt;2,H326&lt;=Assumptions!$B$7)</f>
        <v>0</v>
      </c>
      <c r="J326" s="15">
        <v>-3.4495160710880102E-3</v>
      </c>
      <c r="K326" s="15">
        <v>5.3695498109033624E-2</v>
      </c>
      <c r="L326" s="15">
        <v>-6.9835562707433185E-3</v>
      </c>
      <c r="M326" s="17" t="b">
        <f>J326&gt;=Assumptions!$B$8</f>
        <v>0</v>
      </c>
      <c r="N326" s="17" t="b">
        <f>AND(K326&lt;&gt;"",K326&lt;=Assumptions!$B$9)</f>
        <v>0</v>
      </c>
      <c r="O326" s="17" t="b">
        <f>AND(P326&lt;&gt;"",ABS(L326)&lt;=Assumptions!$B$10)</f>
        <v>0</v>
      </c>
      <c r="P326" s="13">
        <v>45468</v>
      </c>
      <c r="Q326" s="14">
        <v>19561.898000000001</v>
      </c>
      <c r="R326" s="15">
        <v>6.9800000000000001E-3</v>
      </c>
      <c r="S326" s="17" t="str">
        <f t="shared" si="55"/>
        <v>BASELINE</v>
      </c>
      <c r="T326" s="16">
        <f t="shared" si="56"/>
        <v>2.5799999999999998E-3</v>
      </c>
      <c r="U326" s="16">
        <f>G326*Assumptions!$B$6</f>
        <v>2.9153999999999999E-2</v>
      </c>
      <c r="V326" s="16">
        <f>T326*Assumptions!$B$6</f>
        <v>2.9153999999999999E-2</v>
      </c>
      <c r="W326" s="16">
        <f t="shared" si="57"/>
        <v>0</v>
      </c>
      <c r="X326" s="18">
        <f t="shared" ref="X326:X389" si="61">X325*(1+U326)</f>
        <v>6269983.0402273256</v>
      </c>
      <c r="Y326" s="18">
        <f t="shared" ref="Y326:Y389" si="62">MAX(Y325,X326)</f>
        <v>6269983.0402273256</v>
      </c>
      <c r="Z326" s="19">
        <f t="shared" si="58"/>
        <v>0</v>
      </c>
      <c r="AA326" s="18">
        <f t="shared" ref="AA326:AA389" si="63">AA325*(1+V326)</f>
        <v>20840428.249691322</v>
      </c>
      <c r="AB326" s="18">
        <f t="shared" ref="AB326:AB389" si="64">MAX(AB325,AA326)</f>
        <v>20840428.249691322</v>
      </c>
      <c r="AC326" s="19">
        <f t="shared" si="59"/>
        <v>0</v>
      </c>
      <c r="AD326" s="20">
        <f t="shared" si="60"/>
        <v>14570445.209463997</v>
      </c>
      <c r="AE326" s="9" t="s">
        <v>91</v>
      </c>
    </row>
    <row r="327" spans="1:31" ht="18" customHeight="1">
      <c r="A327" s="4">
        <v>323</v>
      </c>
      <c r="B327" s="13">
        <v>45474</v>
      </c>
      <c r="C327" s="13">
        <v>45478</v>
      </c>
      <c r="D327" s="4" t="s">
        <v>93</v>
      </c>
      <c r="E327" s="14">
        <v>19727.310000000001</v>
      </c>
      <c r="F327" s="14">
        <v>20378.597000000002</v>
      </c>
      <c r="G327" s="15">
        <v>3.3009999999999998E-2</v>
      </c>
      <c r="H327" s="16">
        <f t="shared" ref="H327:H390" si="65">SUM(T325:T326)</f>
        <v>1.3839999999999998E-2</v>
      </c>
      <c r="I327" s="17" t="b">
        <f>AND(A327&gt;2,H327&lt;=Assumptions!$B$7)</f>
        <v>0</v>
      </c>
      <c r="J327" s="15">
        <v>1.4558879751593867E-3</v>
      </c>
      <c r="K327" s="15">
        <v>6.2719470241172193E-2</v>
      </c>
      <c r="L327" s="15">
        <v>2.7130328310518426E-3</v>
      </c>
      <c r="M327" s="17" t="b">
        <f>J327&gt;=Assumptions!$B$8</f>
        <v>0</v>
      </c>
      <c r="N327" s="17" t="b">
        <f>AND(K327&lt;&gt;"",K327&lt;=Assumptions!$B$9)</f>
        <v>0</v>
      </c>
      <c r="O327" s="17" t="b">
        <f>AND(P327&lt;&gt;"",ABS(L327)&lt;=Assumptions!$B$10)</f>
        <v>1</v>
      </c>
      <c r="P327" s="13">
        <v>45475</v>
      </c>
      <c r="Q327" s="14">
        <v>19740.587</v>
      </c>
      <c r="R327" s="15">
        <v>3.2309999999999998E-2</v>
      </c>
      <c r="S327" s="17" t="str">
        <f t="shared" si="55"/>
        <v>BASELINE</v>
      </c>
      <c r="T327" s="16">
        <f t="shared" si="56"/>
        <v>3.3009999999999998E-2</v>
      </c>
      <c r="U327" s="16">
        <f>G327*Assumptions!$B$6</f>
        <v>0.37301299999999998</v>
      </c>
      <c r="V327" s="16">
        <f>T327*Assumptions!$B$6</f>
        <v>0.37301299999999998</v>
      </c>
      <c r="W327" s="16">
        <f t="shared" si="57"/>
        <v>0</v>
      </c>
      <c r="X327" s="18">
        <f t="shared" si="61"/>
        <v>8608768.224011641</v>
      </c>
      <c r="Y327" s="18">
        <f t="shared" si="62"/>
        <v>8608768.224011641</v>
      </c>
      <c r="Z327" s="19">
        <f t="shared" si="58"/>
        <v>0</v>
      </c>
      <c r="AA327" s="18">
        <f t="shared" si="63"/>
        <v>28614178.912393432</v>
      </c>
      <c r="AB327" s="18">
        <f t="shared" si="64"/>
        <v>28614178.912393432</v>
      </c>
      <c r="AC327" s="19">
        <f t="shared" si="59"/>
        <v>0</v>
      </c>
      <c r="AD327" s="20">
        <f t="shared" si="60"/>
        <v>20005410.688381791</v>
      </c>
      <c r="AE327" s="9" t="s">
        <v>91</v>
      </c>
    </row>
    <row r="328" spans="1:31" ht="18" customHeight="1">
      <c r="A328" s="4">
        <v>324</v>
      </c>
      <c r="B328" s="13">
        <v>45481</v>
      </c>
      <c r="C328" s="13">
        <v>45484</v>
      </c>
      <c r="D328" s="4" t="s">
        <v>96</v>
      </c>
      <c r="E328" s="14">
        <v>20399.643</v>
      </c>
      <c r="F328" s="14">
        <v>20318.044428000001</v>
      </c>
      <c r="G328" s="15">
        <v>-4.0000000000000001E-3</v>
      </c>
      <c r="H328" s="16">
        <f t="shared" si="65"/>
        <v>3.5589999999999997E-2</v>
      </c>
      <c r="I328" s="17" t="b">
        <f>AND(A328&gt;2,H328&lt;=Assumptions!$B$7)</f>
        <v>0</v>
      </c>
      <c r="J328" s="15">
        <v>1.0327501937448247E-3</v>
      </c>
      <c r="K328" s="15">
        <v>7.209663240832187E-2</v>
      </c>
      <c r="L328" s="15">
        <v>5.4602768402873814E-3</v>
      </c>
      <c r="M328" s="17" t="b">
        <f>J328&gt;=Assumptions!$B$8</f>
        <v>0</v>
      </c>
      <c r="N328" s="17" t="b">
        <f>AND(K328&lt;&gt;"",K328&lt;=Assumptions!$B$9)</f>
        <v>0</v>
      </c>
      <c r="O328" s="17" t="b">
        <f>AND(P328&lt;&gt;"",ABS(L328)&lt;=Assumptions!$B$10)</f>
        <v>0</v>
      </c>
      <c r="P328" s="13">
        <v>45482</v>
      </c>
      <c r="Q328" s="14">
        <v>20496.898000000001</v>
      </c>
      <c r="R328" s="15">
        <v>-8.7200000000000003E-3</v>
      </c>
      <c r="S328" s="17" t="str">
        <f t="shared" si="55"/>
        <v>BASELINE</v>
      </c>
      <c r="T328" s="16">
        <f t="shared" si="56"/>
        <v>-4.0000000000000001E-3</v>
      </c>
      <c r="U328" s="16">
        <f>G328*Assumptions!$B$6</f>
        <v>-4.5200000000000004E-2</v>
      </c>
      <c r="V328" s="16">
        <f>T328*Assumptions!$B$6</f>
        <v>-4.5200000000000004E-2</v>
      </c>
      <c r="W328" s="16">
        <f t="shared" si="57"/>
        <v>0</v>
      </c>
      <c r="X328" s="18">
        <f t="shared" si="61"/>
        <v>8219651.900286315</v>
      </c>
      <c r="Y328" s="18">
        <f t="shared" si="62"/>
        <v>8608768.224011641</v>
      </c>
      <c r="Z328" s="19">
        <f t="shared" si="58"/>
        <v>-4.5200000000000018E-2</v>
      </c>
      <c r="AA328" s="18">
        <f t="shared" si="63"/>
        <v>27320818.025553249</v>
      </c>
      <c r="AB328" s="18">
        <f t="shared" si="64"/>
        <v>28614178.912393432</v>
      </c>
      <c r="AC328" s="19">
        <f t="shared" si="59"/>
        <v>-4.5200000000000018E-2</v>
      </c>
      <c r="AD328" s="20">
        <f t="shared" si="60"/>
        <v>19101166.125266932</v>
      </c>
      <c r="AE328" s="9" t="s">
        <v>91</v>
      </c>
    </row>
    <row r="329" spans="1:31" ht="18" customHeight="1">
      <c r="A329" s="4">
        <v>325</v>
      </c>
      <c r="B329" s="13">
        <v>45488</v>
      </c>
      <c r="C329" s="13">
        <v>45491</v>
      </c>
      <c r="D329" s="4" t="s">
        <v>92</v>
      </c>
      <c r="E329" s="14">
        <v>20400.732</v>
      </c>
      <c r="F329" s="14">
        <v>19839.030999999999</v>
      </c>
      <c r="G329" s="15">
        <v>-2.7529999999999999E-2</v>
      </c>
      <c r="H329" s="16">
        <f t="shared" si="65"/>
        <v>2.9009999999999998E-2</v>
      </c>
      <c r="I329" s="17" t="b">
        <f>AND(A329&gt;2,H329&lt;=Assumptions!$B$7)</f>
        <v>0</v>
      </c>
      <c r="J329" s="15">
        <v>3.2276708589096259E-3</v>
      </c>
      <c r="K329" s="15">
        <v>4.525431281431036E-2</v>
      </c>
      <c r="L329" s="15">
        <v>5.6577689267292008E-3</v>
      </c>
      <c r="M329" s="17" t="b">
        <f>J329&gt;=Assumptions!$B$8</f>
        <v>0</v>
      </c>
      <c r="N329" s="17" t="b">
        <f>AND(K329&lt;&gt;"",K329&lt;=Assumptions!$B$9)</f>
        <v>0</v>
      </c>
      <c r="O329" s="17" t="b">
        <f>AND(P329&lt;&gt;"",ABS(L329)&lt;=Assumptions!$B$10)</f>
        <v>0</v>
      </c>
      <c r="P329" s="13">
        <v>45489</v>
      </c>
      <c r="Q329" s="14">
        <v>20446.298999999999</v>
      </c>
      <c r="R329" s="15">
        <v>-2.9700000000000001E-2</v>
      </c>
      <c r="S329" s="17" t="str">
        <f t="shared" si="55"/>
        <v>BASELINE</v>
      </c>
      <c r="T329" s="16">
        <f t="shared" si="56"/>
        <v>-2.7529999999999999E-2</v>
      </c>
      <c r="U329" s="16">
        <f>G329*Assumptions!$B$6</f>
        <v>-0.311089</v>
      </c>
      <c r="V329" s="16">
        <f>T329*Assumptions!$B$6</f>
        <v>-0.311089</v>
      </c>
      <c r="W329" s="16">
        <f t="shared" si="57"/>
        <v>0</v>
      </c>
      <c r="X329" s="18">
        <f t="shared" si="61"/>
        <v>5662608.6102781463</v>
      </c>
      <c r="Y329" s="18">
        <f t="shared" si="62"/>
        <v>8608768.224011641</v>
      </c>
      <c r="Z329" s="19">
        <f t="shared" si="58"/>
        <v>-0.34222777719999986</v>
      </c>
      <c r="AA329" s="18">
        <f t="shared" si="63"/>
        <v>18821612.066801917</v>
      </c>
      <c r="AB329" s="18">
        <f t="shared" si="64"/>
        <v>28614178.912393432</v>
      </c>
      <c r="AC329" s="19">
        <f t="shared" si="59"/>
        <v>-0.34222777719999986</v>
      </c>
      <c r="AD329" s="20">
        <f t="shared" si="60"/>
        <v>13159003.45652377</v>
      </c>
      <c r="AE329" s="9" t="s">
        <v>91</v>
      </c>
    </row>
    <row r="330" spans="1:31" ht="18" customHeight="1">
      <c r="A330" s="4">
        <v>326</v>
      </c>
      <c r="B330" s="13">
        <v>45495</v>
      </c>
      <c r="C330" s="13">
        <v>45498</v>
      </c>
      <c r="D330" s="4" t="s">
        <v>92</v>
      </c>
      <c r="E330" s="14">
        <v>19776.118999999999</v>
      </c>
      <c r="F330" s="14">
        <v>19096.165000000001</v>
      </c>
      <c r="G330" s="15">
        <v>-3.4380000000000001E-2</v>
      </c>
      <c r="H330" s="16">
        <f t="shared" si="65"/>
        <v>-3.1530000000000002E-2</v>
      </c>
      <c r="I330" s="17" t="b">
        <f>AND(A330&gt;2,H330&lt;=Assumptions!$B$7)</f>
        <v>1</v>
      </c>
      <c r="J330" s="15">
        <v>1.1833509978467438E-2</v>
      </c>
      <c r="K330" s="15">
        <v>-1.1374013419789608E-2</v>
      </c>
      <c r="L330" s="15">
        <v>1.2984460076431503E-2</v>
      </c>
      <c r="M330" s="17" t="b">
        <f>J330&gt;=Assumptions!$B$8</f>
        <v>1</v>
      </c>
      <c r="N330" s="17" t="b">
        <f>AND(K330&lt;&gt;"",K330&lt;=Assumptions!$B$9)</f>
        <v>1</v>
      </c>
      <c r="O330" s="17" t="b">
        <f>AND(P330&lt;&gt;"",ABS(L330)&lt;=Assumptions!$B$10)</f>
        <v>0</v>
      </c>
      <c r="P330" s="13">
        <v>45496</v>
      </c>
      <c r="Q330" s="14">
        <v>19779.842000000001</v>
      </c>
      <c r="R330" s="15">
        <v>-3.456E-2</v>
      </c>
      <c r="S330" s="17" t="str">
        <f t="shared" si="55"/>
        <v>DAMAGE SKIP</v>
      </c>
      <c r="T330" s="16">
        <f t="shared" si="56"/>
        <v>0</v>
      </c>
      <c r="U330" s="16">
        <f>G330*Assumptions!$B$6</f>
        <v>-0.38849400000000006</v>
      </c>
      <c r="V330" s="16">
        <f>T330*Assumptions!$B$6</f>
        <v>0</v>
      </c>
      <c r="W330" s="16">
        <f t="shared" si="57"/>
        <v>0.38849400000000006</v>
      </c>
      <c r="X330" s="18">
        <f t="shared" si="61"/>
        <v>3462719.1408367474</v>
      </c>
      <c r="Y330" s="18">
        <f t="shared" si="62"/>
        <v>8608768.224011641</v>
      </c>
      <c r="Z330" s="19">
        <f t="shared" si="58"/>
        <v>-0.59776833912446325</v>
      </c>
      <c r="AA330" s="18">
        <f t="shared" si="63"/>
        <v>18821612.066801917</v>
      </c>
      <c r="AB330" s="18">
        <f t="shared" si="64"/>
        <v>28614178.912393432</v>
      </c>
      <c r="AC330" s="19">
        <f t="shared" si="59"/>
        <v>-0.34222777719999986</v>
      </c>
      <c r="AD330" s="20">
        <f t="shared" si="60"/>
        <v>15358892.925965169</v>
      </c>
      <c r="AE330" s="9" t="s">
        <v>94</v>
      </c>
    </row>
    <row r="331" spans="1:31" ht="18" customHeight="1">
      <c r="A331" s="4">
        <v>327</v>
      </c>
      <c r="B331" s="13">
        <v>45502</v>
      </c>
      <c r="C331" s="13">
        <v>45504</v>
      </c>
      <c r="D331" s="4" t="s">
        <v>99</v>
      </c>
      <c r="E331" s="14">
        <v>19133.91</v>
      </c>
      <c r="F331" s="14">
        <v>19061.653999999999</v>
      </c>
      <c r="G331" s="15">
        <v>-3.7699999999999999E-3</v>
      </c>
      <c r="H331" s="16">
        <f t="shared" si="65"/>
        <v>-2.7529999999999999E-2</v>
      </c>
      <c r="I331" s="17" t="b">
        <f>AND(A331&gt;2,H331&lt;=Assumptions!$B$7)</f>
        <v>1</v>
      </c>
      <c r="J331" s="15">
        <v>5.8697565493552872E-3</v>
      </c>
      <c r="K331" s="15">
        <v>-3.8703083773946934E-2</v>
      </c>
      <c r="L331" s="15">
        <v>6.2205867356346367E-3</v>
      </c>
      <c r="M331" s="17" t="b">
        <f>J331&gt;=Assumptions!$B$8</f>
        <v>0</v>
      </c>
      <c r="N331" s="17" t="b">
        <f>AND(K331&lt;&gt;"",K331&lt;=Assumptions!$B$9)</f>
        <v>1</v>
      </c>
      <c r="O331" s="17" t="b">
        <f>AND(P331&lt;&gt;"",ABS(L331)&lt;=Assumptions!$B$10)</f>
        <v>0</v>
      </c>
      <c r="P331" s="13">
        <v>45503</v>
      </c>
      <c r="Q331" s="14">
        <v>19140.319</v>
      </c>
      <c r="R331" s="15">
        <v>-4.1000000000000003E-3</v>
      </c>
      <c r="S331" s="17" t="str">
        <f t="shared" si="55"/>
        <v>DAMAGE SKIP</v>
      </c>
      <c r="T331" s="16">
        <f t="shared" si="56"/>
        <v>0</v>
      </c>
      <c r="U331" s="16">
        <f>G331*Assumptions!$B$6</f>
        <v>-4.2601E-2</v>
      </c>
      <c r="V331" s="16">
        <f>T331*Assumptions!$B$6</f>
        <v>0</v>
      </c>
      <c r="W331" s="16">
        <f t="shared" si="57"/>
        <v>4.2601E-2</v>
      </c>
      <c r="X331" s="18">
        <f t="shared" si="61"/>
        <v>3315203.8427179609</v>
      </c>
      <c r="Y331" s="18">
        <f t="shared" si="62"/>
        <v>8608768.224011641</v>
      </c>
      <c r="Z331" s="19">
        <f t="shared" si="58"/>
        <v>-0.61490381010942197</v>
      </c>
      <c r="AA331" s="18">
        <f t="shared" si="63"/>
        <v>18821612.066801917</v>
      </c>
      <c r="AB331" s="18">
        <f t="shared" si="64"/>
        <v>28614178.912393432</v>
      </c>
      <c r="AC331" s="19">
        <f t="shared" si="59"/>
        <v>-0.34222777719999986</v>
      </c>
      <c r="AD331" s="20">
        <f t="shared" si="60"/>
        <v>15506408.224083956</v>
      </c>
      <c r="AE331" s="9" t="s">
        <v>94</v>
      </c>
    </row>
    <row r="332" spans="1:31" ht="18" customHeight="1">
      <c r="A332" s="4">
        <v>328</v>
      </c>
      <c r="B332" s="13">
        <v>45509</v>
      </c>
      <c r="C332" s="13">
        <v>45509</v>
      </c>
      <c r="D332" s="4" t="s">
        <v>90</v>
      </c>
      <c r="E332" s="14">
        <v>17444.386999999999</v>
      </c>
      <c r="F332" s="14">
        <v>17936.553</v>
      </c>
      <c r="G332" s="15">
        <v>2.8209999999999999E-2</v>
      </c>
      <c r="H332" s="16">
        <f t="shared" si="65"/>
        <v>0</v>
      </c>
      <c r="I332" s="17" t="b">
        <f>AND(A332&gt;2,H332&lt;=Assumptions!$B$7)</f>
        <v>0</v>
      </c>
      <c r="J332" s="15">
        <v>-5.3395831843331298E-2</v>
      </c>
      <c r="K332" s="15">
        <v>-9.5555856992170951E-2</v>
      </c>
      <c r="L332" s="15">
        <v>-2.5670814558136579E-2</v>
      </c>
      <c r="M332" s="17" t="b">
        <f>J332&gt;=Assumptions!$B$8</f>
        <v>0</v>
      </c>
      <c r="N332" s="17" t="b">
        <f>AND(K332&lt;&gt;"",K332&lt;=Assumptions!$B$9)</f>
        <v>1</v>
      </c>
      <c r="O332" s="17" t="b">
        <f>AND(P332&lt;&gt;"",ABS(L332)&lt;=Assumptions!$B$10)</f>
        <v>0</v>
      </c>
      <c r="P332" s="13">
        <v>45510</v>
      </c>
      <c r="Q332" s="14">
        <v>17963.152999999998</v>
      </c>
      <c r="R332" s="15">
        <v>-1.48E-3</v>
      </c>
      <c r="S332" s="17" t="str">
        <f t="shared" si="55"/>
        <v>BASELINE</v>
      </c>
      <c r="T332" s="16">
        <f t="shared" si="56"/>
        <v>2.8209999999999999E-2</v>
      </c>
      <c r="U332" s="16">
        <f>G332*Assumptions!$B$6</f>
        <v>0.31877300000000003</v>
      </c>
      <c r="V332" s="16">
        <f>T332*Assumptions!$B$6</f>
        <v>0.31877300000000003</v>
      </c>
      <c r="W332" s="16">
        <f t="shared" si="57"/>
        <v>0</v>
      </c>
      <c r="X332" s="18">
        <f t="shared" si="61"/>
        <v>4372001.3172726939</v>
      </c>
      <c r="Y332" s="18">
        <f t="shared" si="62"/>
        <v>8608768.224011641</v>
      </c>
      <c r="Z332" s="19">
        <f t="shared" si="58"/>
        <v>-0.49214554236943275</v>
      </c>
      <c r="AA332" s="18">
        <f t="shared" si="63"/>
        <v>24821433.810172565</v>
      </c>
      <c r="AB332" s="18">
        <f t="shared" si="64"/>
        <v>28614178.912393432</v>
      </c>
      <c r="AC332" s="19">
        <f t="shared" si="59"/>
        <v>-0.1325477524213754</v>
      </c>
      <c r="AD332" s="20">
        <f t="shared" si="60"/>
        <v>20449432.492899872</v>
      </c>
      <c r="AE332" s="9" t="s">
        <v>91</v>
      </c>
    </row>
    <row r="333" spans="1:31" ht="18" customHeight="1">
      <c r="A333" s="4">
        <v>329</v>
      </c>
      <c r="B333" s="13">
        <v>45516</v>
      </c>
      <c r="C333" s="13">
        <v>45517</v>
      </c>
      <c r="D333" s="4" t="s">
        <v>90</v>
      </c>
      <c r="E333" s="14">
        <v>18541.109</v>
      </c>
      <c r="F333" s="14">
        <v>18987.898000000001</v>
      </c>
      <c r="G333" s="15">
        <v>2.409E-2</v>
      </c>
      <c r="H333" s="16">
        <f t="shared" si="65"/>
        <v>2.8209999999999999E-2</v>
      </c>
      <c r="I333" s="17" t="b">
        <f>AND(A333&gt;2,H333&lt;=Assumptions!$B$7)</f>
        <v>0</v>
      </c>
      <c r="J333" s="15">
        <v>1.935229680453121E-3</v>
      </c>
      <c r="K333" s="15">
        <v>-8.9750851101407347E-2</v>
      </c>
      <c r="L333" s="15">
        <v>1.2009741606562097E-2</v>
      </c>
      <c r="M333" s="17" t="b">
        <f>J333&gt;=Assumptions!$B$8</f>
        <v>0</v>
      </c>
      <c r="N333" s="17" t="b">
        <f>AND(K333&lt;&gt;"",K333&lt;=Assumptions!$B$9)</f>
        <v>1</v>
      </c>
      <c r="O333" s="17" t="b">
        <f>AND(P333&lt;&gt;"",ABS(L333)&lt;=Assumptions!$B$10)</f>
        <v>0</v>
      </c>
      <c r="P333" s="13">
        <v>45517</v>
      </c>
      <c r="Q333" s="14">
        <v>18725.898000000001</v>
      </c>
      <c r="R333" s="15">
        <v>1.3990000000000001E-2</v>
      </c>
      <c r="S333" s="17" t="str">
        <f t="shared" si="55"/>
        <v>BASELINE</v>
      </c>
      <c r="T333" s="16">
        <f t="shared" si="56"/>
        <v>2.409E-2</v>
      </c>
      <c r="U333" s="16">
        <f>G333*Assumptions!$B$6</f>
        <v>0.27221700000000004</v>
      </c>
      <c r="V333" s="16">
        <f>T333*Assumptions!$B$6</f>
        <v>0.27221700000000004</v>
      </c>
      <c r="W333" s="16">
        <f t="shared" si="57"/>
        <v>0</v>
      </c>
      <c r="X333" s="18">
        <f t="shared" si="61"/>
        <v>5562134.3998567145</v>
      </c>
      <c r="Y333" s="18">
        <f t="shared" si="62"/>
        <v>8608768.224011641</v>
      </c>
      <c r="Z333" s="19">
        <f t="shared" si="58"/>
        <v>-0.35389892547661261</v>
      </c>
      <c r="AA333" s="18">
        <f t="shared" si="63"/>
        <v>31578250.057676308</v>
      </c>
      <c r="AB333" s="18">
        <f t="shared" si="64"/>
        <v>31578250.057676308</v>
      </c>
      <c r="AC333" s="19">
        <f t="shared" si="59"/>
        <v>0</v>
      </c>
      <c r="AD333" s="20">
        <f t="shared" si="60"/>
        <v>26016115.657819591</v>
      </c>
      <c r="AE333" s="9" t="s">
        <v>91</v>
      </c>
    </row>
    <row r="334" spans="1:31" ht="18" customHeight="1">
      <c r="A334" s="4">
        <v>330</v>
      </c>
      <c r="B334" s="13">
        <v>45523</v>
      </c>
      <c r="C334" s="13">
        <v>45523</v>
      </c>
      <c r="D334" s="4" t="s">
        <v>90</v>
      </c>
      <c r="E334" s="14">
        <v>19510.489000000001</v>
      </c>
      <c r="F334" s="14">
        <v>19751.763999999999</v>
      </c>
      <c r="G334" s="15">
        <v>1.2359999999999999E-2</v>
      </c>
      <c r="H334" s="16">
        <f t="shared" si="65"/>
        <v>5.2299999999999999E-2</v>
      </c>
      <c r="I334" s="17" t="b">
        <f>AND(A334&gt;2,H334&lt;=Assumptions!$B$7)</f>
        <v>0</v>
      </c>
      <c r="J334" s="15">
        <v>7.355559116306587E-5</v>
      </c>
      <c r="K334" s="15">
        <v>-4.3964963306153404E-4</v>
      </c>
      <c r="L334" s="15">
        <v>1.1196965083231758E-2</v>
      </c>
      <c r="M334" s="17" t="b">
        <f>J334&gt;=Assumptions!$B$8</f>
        <v>0</v>
      </c>
      <c r="N334" s="17" t="b">
        <f>AND(K334&lt;&gt;"",K334&lt;=Assumptions!$B$9)</f>
        <v>0</v>
      </c>
      <c r="O334" s="17" t="b">
        <f>AND(P334&lt;&gt;"",ABS(L334)&lt;=Assumptions!$B$10)</f>
        <v>0</v>
      </c>
      <c r="P334" s="13">
        <v>45524</v>
      </c>
      <c r="Q334" s="14">
        <v>19726.796999999999</v>
      </c>
      <c r="R334" s="15">
        <v>1.2600000000000001E-3</v>
      </c>
      <c r="S334" s="17" t="str">
        <f t="shared" si="55"/>
        <v>BASELINE</v>
      </c>
      <c r="T334" s="16">
        <f t="shared" si="56"/>
        <v>1.2359999999999999E-2</v>
      </c>
      <c r="U334" s="16">
        <f>G334*Assumptions!$B$6</f>
        <v>0.13966800000000001</v>
      </c>
      <c r="V334" s="16">
        <f>T334*Assumptions!$B$6</f>
        <v>0.13966800000000001</v>
      </c>
      <c r="W334" s="16">
        <f t="shared" si="57"/>
        <v>0</v>
      </c>
      <c r="X334" s="18">
        <f t="shared" si="61"/>
        <v>6338986.5872159014</v>
      </c>
      <c r="Y334" s="18">
        <f t="shared" si="62"/>
        <v>8608768.224011641</v>
      </c>
      <c r="Z334" s="19">
        <f t="shared" si="58"/>
        <v>-0.26365928060008026</v>
      </c>
      <c r="AA334" s="18">
        <f t="shared" si="63"/>
        <v>35988721.086731836</v>
      </c>
      <c r="AB334" s="18">
        <f t="shared" si="64"/>
        <v>35988721.086731836</v>
      </c>
      <c r="AC334" s="19">
        <f t="shared" si="59"/>
        <v>0</v>
      </c>
      <c r="AD334" s="20">
        <f t="shared" si="60"/>
        <v>29649734.499515936</v>
      </c>
      <c r="AE334" s="9" t="s">
        <v>91</v>
      </c>
    </row>
    <row r="335" spans="1:31" ht="18" customHeight="1">
      <c r="A335" s="4">
        <v>331</v>
      </c>
      <c r="B335" s="13">
        <v>45530</v>
      </c>
      <c r="C335" s="13">
        <v>45532</v>
      </c>
      <c r="D335" s="4" t="s">
        <v>99</v>
      </c>
      <c r="E335" s="14">
        <v>19689.174999999999</v>
      </c>
      <c r="F335" s="14">
        <v>19612.398000000001</v>
      </c>
      <c r="G335" s="15">
        <v>-3.8899999999999998E-3</v>
      </c>
      <c r="H335" s="16">
        <f t="shared" si="65"/>
        <v>3.6449999999999996E-2</v>
      </c>
      <c r="I335" s="17" t="b">
        <f>AND(A335&gt;2,H335&lt;=Assumptions!$B$7)</f>
        <v>0</v>
      </c>
      <c r="J335" s="15">
        <v>-9.6634805172668425E-4</v>
      </c>
      <c r="K335" s="15">
        <v>3.6787599617261302E-2</v>
      </c>
      <c r="L335" s="15">
        <v>-1.3148642653250886E-2</v>
      </c>
      <c r="M335" s="17" t="b">
        <f>J335&gt;=Assumptions!$B$8</f>
        <v>0</v>
      </c>
      <c r="N335" s="17" t="b">
        <f>AND(K335&lt;&gt;"",K335&lt;=Assumptions!$B$9)</f>
        <v>0</v>
      </c>
      <c r="O335" s="17" t="b">
        <f>AND(P335&lt;&gt;"",ABS(L335)&lt;=Assumptions!$B$10)</f>
        <v>0</v>
      </c>
      <c r="P335" s="13">
        <v>45531</v>
      </c>
      <c r="Q335" s="14">
        <v>19451.707999999999</v>
      </c>
      <c r="R335" s="15">
        <v>8.26E-3</v>
      </c>
      <c r="S335" s="17" t="str">
        <f t="shared" si="55"/>
        <v>BASELINE</v>
      </c>
      <c r="T335" s="16">
        <f t="shared" si="56"/>
        <v>-3.8899999999999998E-3</v>
      </c>
      <c r="U335" s="16">
        <f>G335*Assumptions!$B$6</f>
        <v>-4.3957000000000003E-2</v>
      </c>
      <c r="V335" s="16">
        <f>T335*Assumptions!$B$6</f>
        <v>-4.3957000000000003E-2</v>
      </c>
      <c r="W335" s="16">
        <f t="shared" si="57"/>
        <v>0</v>
      </c>
      <c r="X335" s="18">
        <f t="shared" si="61"/>
        <v>6060343.7538016522</v>
      </c>
      <c r="Y335" s="18">
        <f t="shared" si="62"/>
        <v>8608768.224011641</v>
      </c>
      <c r="Z335" s="19">
        <f t="shared" si="58"/>
        <v>-0.29602660960274252</v>
      </c>
      <c r="AA335" s="18">
        <f t="shared" si="63"/>
        <v>34406764.873922363</v>
      </c>
      <c r="AB335" s="18">
        <f t="shared" si="64"/>
        <v>35988721.086731836</v>
      </c>
      <c r="AC335" s="19">
        <f t="shared" si="59"/>
        <v>-4.3957000000000024E-2</v>
      </c>
      <c r="AD335" s="20">
        <f t="shared" si="60"/>
        <v>28346421.120120712</v>
      </c>
      <c r="AE335" s="9" t="s">
        <v>91</v>
      </c>
    </row>
    <row r="336" spans="1:31" ht="18" customHeight="1">
      <c r="A336" s="4">
        <v>332</v>
      </c>
      <c r="B336" s="13">
        <v>45538</v>
      </c>
      <c r="C336" s="13">
        <v>45540</v>
      </c>
      <c r="D336" s="4" t="s">
        <v>92</v>
      </c>
      <c r="E336" s="14">
        <v>19428.754000000001</v>
      </c>
      <c r="F336" s="14">
        <v>18930.932000000001</v>
      </c>
      <c r="G336" s="15">
        <v>-2.562E-2</v>
      </c>
      <c r="H336" s="16">
        <f t="shared" si="65"/>
        <v>8.4700000000000001E-3</v>
      </c>
      <c r="I336" s="17" t="b">
        <f>AND(A336&gt;2,H336&lt;=Assumptions!$B$7)</f>
        <v>0</v>
      </c>
      <c r="J336" s="15">
        <v>-6.0424014818950544E-3</v>
      </c>
      <c r="K336" s="15">
        <v>6.1327459578764065E-2</v>
      </c>
      <c r="L336" s="15"/>
      <c r="M336" s="17" t="b">
        <f>J336&gt;=Assumptions!$B$8</f>
        <v>0</v>
      </c>
      <c r="N336" s="17" t="b">
        <f>AND(K336&lt;&gt;"",K336&lt;=Assumptions!$B$9)</f>
        <v>0</v>
      </c>
      <c r="O336" s="17" t="b">
        <f>AND(P336&lt;&gt;"",ABS(L336)&lt;=Assumptions!$B$10)</f>
        <v>0</v>
      </c>
      <c r="P336" s="13"/>
      <c r="Q336" s="14"/>
      <c r="R336" s="15"/>
      <c r="S336" s="17" t="str">
        <f t="shared" si="55"/>
        <v>BASELINE</v>
      </c>
      <c r="T336" s="16">
        <f t="shared" si="56"/>
        <v>-2.562E-2</v>
      </c>
      <c r="U336" s="16">
        <f>G336*Assumptions!$B$6</f>
        <v>-0.28950600000000004</v>
      </c>
      <c r="V336" s="16">
        <f>T336*Assumptions!$B$6</f>
        <v>-0.28950600000000004</v>
      </c>
      <c r="W336" s="16">
        <f t="shared" si="57"/>
        <v>0</v>
      </c>
      <c r="X336" s="18">
        <f t="shared" si="61"/>
        <v>4305837.8750135507</v>
      </c>
      <c r="Y336" s="18">
        <f t="shared" si="62"/>
        <v>8608768.224011641</v>
      </c>
      <c r="Z336" s="19">
        <f t="shared" si="58"/>
        <v>-0.49983112996309098</v>
      </c>
      <c r="AA336" s="18">
        <f t="shared" si="63"/>
        <v>24445800.002332594</v>
      </c>
      <c r="AB336" s="18">
        <f t="shared" si="64"/>
        <v>35988721.086731836</v>
      </c>
      <c r="AC336" s="19">
        <f t="shared" si="59"/>
        <v>-0.32073718475800006</v>
      </c>
      <c r="AD336" s="20">
        <f t="shared" si="60"/>
        <v>20139962.127319045</v>
      </c>
      <c r="AE336" s="9" t="s">
        <v>91</v>
      </c>
    </row>
    <row r="337" spans="1:31" ht="18" customHeight="1">
      <c r="A337" s="4">
        <v>333</v>
      </c>
      <c r="B337" s="13">
        <v>45544</v>
      </c>
      <c r="C337" s="13">
        <v>45548</v>
      </c>
      <c r="D337" s="4" t="s">
        <v>93</v>
      </c>
      <c r="E337" s="14">
        <v>18599.399000000001</v>
      </c>
      <c r="F337" s="14">
        <v>19502.687000000002</v>
      </c>
      <c r="G337" s="15">
        <v>4.8559999999999999E-2</v>
      </c>
      <c r="H337" s="16">
        <f t="shared" si="65"/>
        <v>-2.9510000000000002E-2</v>
      </c>
      <c r="I337" s="17" t="b">
        <f>AND(A337&gt;2,H337&lt;=Assumptions!$B$7)</f>
        <v>1</v>
      </c>
      <c r="J337" s="15">
        <v>1.0943270987643139E-2</v>
      </c>
      <c r="K337" s="15">
        <v>1.3832343920943124E-3</v>
      </c>
      <c r="L337" s="15">
        <v>1.6828865859364717E-2</v>
      </c>
      <c r="M337" s="17" t="b">
        <f>J337&gt;=Assumptions!$B$8</f>
        <v>1</v>
      </c>
      <c r="N337" s="17" t="b">
        <f>AND(K337&lt;&gt;"",K337&lt;=Assumptions!$B$9)</f>
        <v>0</v>
      </c>
      <c r="O337" s="17" t="b">
        <f>AND(P337&lt;&gt;"",ABS(L337)&lt;=Assumptions!$B$10)</f>
        <v>0</v>
      </c>
      <c r="P337" s="13">
        <v>45545</v>
      </c>
      <c r="Q337" s="14">
        <v>18729.575000000001</v>
      </c>
      <c r="R337" s="15">
        <v>4.1270000000000001E-2</v>
      </c>
      <c r="S337" s="17" t="str">
        <f t="shared" si="55"/>
        <v>DAMAGE SKIP</v>
      </c>
      <c r="T337" s="16">
        <f t="shared" si="56"/>
        <v>0</v>
      </c>
      <c r="U337" s="16">
        <f>G337*Assumptions!$B$6</f>
        <v>0.54872799999999999</v>
      </c>
      <c r="V337" s="16">
        <f>T337*Assumptions!$B$6</f>
        <v>0</v>
      </c>
      <c r="W337" s="16">
        <f t="shared" si="57"/>
        <v>-0.54872799999999999</v>
      </c>
      <c r="X337" s="18">
        <f t="shared" si="61"/>
        <v>6668571.6804939872</v>
      </c>
      <c r="Y337" s="18">
        <f t="shared" si="62"/>
        <v>8608768.224011641</v>
      </c>
      <c r="Z337" s="19">
        <f t="shared" si="58"/>
        <v>-0.22537446624547786</v>
      </c>
      <c r="AA337" s="18">
        <f t="shared" si="63"/>
        <v>24445800.002332594</v>
      </c>
      <c r="AB337" s="18">
        <f t="shared" si="64"/>
        <v>35988721.086731836</v>
      </c>
      <c r="AC337" s="19">
        <f t="shared" si="59"/>
        <v>-0.32073718475800006</v>
      </c>
      <c r="AD337" s="20">
        <f t="shared" si="60"/>
        <v>17777228.321838606</v>
      </c>
      <c r="AE337" s="9" t="s">
        <v>94</v>
      </c>
    </row>
    <row r="338" spans="1:31" ht="18" customHeight="1">
      <c r="A338" s="4">
        <v>334</v>
      </c>
      <c r="B338" s="13">
        <v>45551</v>
      </c>
      <c r="C338" s="13">
        <v>45555</v>
      </c>
      <c r="D338" s="4" t="s">
        <v>93</v>
      </c>
      <c r="E338" s="14">
        <v>19417.999</v>
      </c>
      <c r="F338" s="14">
        <v>19800.152999999998</v>
      </c>
      <c r="G338" s="15">
        <v>1.968E-2</v>
      </c>
      <c r="H338" s="16">
        <f t="shared" si="65"/>
        <v>-2.562E-2</v>
      </c>
      <c r="I338" s="17" t="b">
        <f>AND(A338&gt;2,H338&lt;=Assumptions!$B$7)</f>
        <v>1</v>
      </c>
      <c r="J338" s="15">
        <v>-4.3423760018299618E-3</v>
      </c>
      <c r="K338" s="15">
        <v>1.9394945457009705E-3</v>
      </c>
      <c r="L338" s="15">
        <v>1.9991377925798748E-3</v>
      </c>
      <c r="M338" s="17" t="b">
        <f>J338&gt;=Assumptions!$B$8</f>
        <v>0</v>
      </c>
      <c r="N338" s="17" t="b">
        <f>AND(K338&lt;&gt;"",K338&lt;=Assumptions!$B$9)</f>
        <v>0</v>
      </c>
      <c r="O338" s="17" t="b">
        <f>AND(P338&lt;&gt;"",ABS(L338)&lt;=Assumptions!$B$10)</f>
        <v>1</v>
      </c>
      <c r="P338" s="13">
        <v>45552</v>
      </c>
      <c r="Q338" s="14">
        <v>19546.241999999998</v>
      </c>
      <c r="R338" s="15">
        <v>1.299E-2</v>
      </c>
      <c r="S338" s="17" t="str">
        <f t="shared" si="55"/>
        <v>DAMAGE SKIP</v>
      </c>
      <c r="T338" s="16">
        <f t="shared" si="56"/>
        <v>0</v>
      </c>
      <c r="U338" s="16">
        <f>G338*Assumptions!$B$6</f>
        <v>0.222384</v>
      </c>
      <c r="V338" s="16">
        <f>T338*Assumptions!$B$6</f>
        <v>0</v>
      </c>
      <c r="W338" s="16">
        <f t="shared" si="57"/>
        <v>-0.222384</v>
      </c>
      <c r="X338" s="18">
        <f t="shared" si="61"/>
        <v>8151555.325088961</v>
      </c>
      <c r="Y338" s="18">
        <f t="shared" si="62"/>
        <v>8608768.224011641</v>
      </c>
      <c r="Z338" s="19">
        <f t="shared" si="58"/>
        <v>-5.3110141547012324E-2</v>
      </c>
      <c r="AA338" s="18">
        <f t="shared" si="63"/>
        <v>24445800.002332594</v>
      </c>
      <c r="AB338" s="18">
        <f t="shared" si="64"/>
        <v>35988721.086731836</v>
      </c>
      <c r="AC338" s="19">
        <f t="shared" si="59"/>
        <v>-0.32073718475800006</v>
      </c>
      <c r="AD338" s="20">
        <f t="shared" si="60"/>
        <v>16294244.677243633</v>
      </c>
      <c r="AE338" s="9" t="s">
        <v>94</v>
      </c>
    </row>
    <row r="339" spans="1:31" ht="18" customHeight="1">
      <c r="A339" s="4">
        <v>335</v>
      </c>
      <c r="B339" s="13">
        <v>45558</v>
      </c>
      <c r="C339" s="13">
        <v>45562</v>
      </c>
      <c r="D339" s="4" t="s">
        <v>93</v>
      </c>
      <c r="E339" s="14">
        <v>19843.764999999999</v>
      </c>
      <c r="F339" s="14">
        <v>19997.653999999999</v>
      </c>
      <c r="G339" s="15">
        <v>7.7499999999999999E-3</v>
      </c>
      <c r="H339" s="16">
        <f t="shared" si="65"/>
        <v>0</v>
      </c>
      <c r="I339" s="17" t="b">
        <f>AND(A339&gt;2,H339&lt;=Assumptions!$B$7)</f>
        <v>0</v>
      </c>
      <c r="J339" s="15">
        <v>2.2026092424640709E-3</v>
      </c>
      <c r="K339" s="15">
        <v>1.598422731618987E-2</v>
      </c>
      <c r="L339" s="15">
        <v>5.5968284638705512E-3</v>
      </c>
      <c r="M339" s="17" t="b">
        <f>J339&gt;=Assumptions!$B$8</f>
        <v>0</v>
      </c>
      <c r="N339" s="17" t="b">
        <f>AND(K339&lt;&gt;"",K339&lt;=Assumptions!$B$9)</f>
        <v>0</v>
      </c>
      <c r="O339" s="17" t="b">
        <f>AND(P339&lt;&gt;"",ABS(L339)&lt;=Assumptions!$B$10)</f>
        <v>0</v>
      </c>
      <c r="P339" s="13">
        <v>45559</v>
      </c>
      <c r="Q339" s="14">
        <v>19909.098999999998</v>
      </c>
      <c r="R339" s="15">
        <v>4.4400000000000004E-3</v>
      </c>
      <c r="S339" s="17" t="str">
        <f t="shared" si="55"/>
        <v>BASELINE</v>
      </c>
      <c r="T339" s="16">
        <f t="shared" si="56"/>
        <v>7.7499999999999999E-3</v>
      </c>
      <c r="U339" s="16">
        <f>G339*Assumptions!$B$6</f>
        <v>8.7575E-2</v>
      </c>
      <c r="V339" s="16">
        <f>T339*Assumptions!$B$6</f>
        <v>8.7575E-2</v>
      </c>
      <c r="W339" s="16">
        <f t="shared" si="57"/>
        <v>0</v>
      </c>
      <c r="X339" s="18">
        <f t="shared" si="61"/>
        <v>8865427.7826836258</v>
      </c>
      <c r="Y339" s="18">
        <f t="shared" si="62"/>
        <v>8865427.7826836258</v>
      </c>
      <c r="Z339" s="19">
        <f t="shared" si="58"/>
        <v>0</v>
      </c>
      <c r="AA339" s="18">
        <f t="shared" si="63"/>
        <v>26586640.937536869</v>
      </c>
      <c r="AB339" s="18">
        <f t="shared" si="64"/>
        <v>35988721.086731836</v>
      </c>
      <c r="AC339" s="19">
        <f t="shared" si="59"/>
        <v>-0.26125074371318202</v>
      </c>
      <c r="AD339" s="20">
        <f t="shared" si="60"/>
        <v>17721213.154853243</v>
      </c>
      <c r="AE339" s="9" t="s">
        <v>91</v>
      </c>
    </row>
    <row r="340" spans="1:31" ht="18" customHeight="1">
      <c r="A340" s="4">
        <v>336</v>
      </c>
      <c r="B340" s="13">
        <v>45565</v>
      </c>
      <c r="C340" s="13">
        <v>45567</v>
      </c>
      <c r="D340" s="4" t="s">
        <v>95</v>
      </c>
      <c r="E340" s="14">
        <v>19961.076000000001</v>
      </c>
      <c r="F340" s="14">
        <v>19881.231696000003</v>
      </c>
      <c r="G340" s="15">
        <v>-3.9899999999999996E-3</v>
      </c>
      <c r="H340" s="16">
        <f t="shared" si="65"/>
        <v>7.7499999999999999E-3</v>
      </c>
      <c r="I340" s="17" t="b">
        <f>AND(A340&gt;2,H340&lt;=Assumptions!$B$7)</f>
        <v>0</v>
      </c>
      <c r="J340" s="15">
        <v>-1.8291145551372345E-3</v>
      </c>
      <c r="K340" s="15">
        <v>3.5637909618265962E-2</v>
      </c>
      <c r="L340" s="15">
        <v>1.9495346670952429E-3</v>
      </c>
      <c r="M340" s="17" t="b">
        <f>J340&gt;=Assumptions!$B$8</f>
        <v>0</v>
      </c>
      <c r="N340" s="17" t="b">
        <f>AND(K340&lt;&gt;"",K340&lt;=Assumptions!$B$9)</f>
        <v>0</v>
      </c>
      <c r="O340" s="17" t="b">
        <f>AND(P340&lt;&gt;"",ABS(L340)&lt;=Assumptions!$B$10)</f>
        <v>1</v>
      </c>
      <c r="P340" s="13">
        <v>45566</v>
      </c>
      <c r="Q340" s="14">
        <v>20040.199000000001</v>
      </c>
      <c r="R340" s="15">
        <v>-7.9299999999999995E-3</v>
      </c>
      <c r="S340" s="17" t="str">
        <f t="shared" si="55"/>
        <v>BASELINE</v>
      </c>
      <c r="T340" s="16">
        <f t="shared" si="56"/>
        <v>-3.9899999999999996E-3</v>
      </c>
      <c r="U340" s="16">
        <f>G340*Assumptions!$B$6</f>
        <v>-4.5086999999999995E-2</v>
      </c>
      <c r="V340" s="16">
        <f>T340*Assumptions!$B$6</f>
        <v>-4.5086999999999995E-2</v>
      </c>
      <c r="W340" s="16">
        <f t="shared" si="57"/>
        <v>0</v>
      </c>
      <c r="X340" s="18">
        <f t="shared" si="61"/>
        <v>8465712.2402457688</v>
      </c>
      <c r="Y340" s="18">
        <f t="shared" si="62"/>
        <v>8865427.7826836258</v>
      </c>
      <c r="Z340" s="19">
        <f t="shared" si="58"/>
        <v>-4.5086999999999988E-2</v>
      </c>
      <c r="AA340" s="18">
        <f t="shared" si="63"/>
        <v>25387929.057586145</v>
      </c>
      <c r="AB340" s="18">
        <f t="shared" si="64"/>
        <v>35988721.086731836</v>
      </c>
      <c r="AC340" s="19">
        <f t="shared" si="59"/>
        <v>-0.29455873143138578</v>
      </c>
      <c r="AD340" s="20">
        <f t="shared" si="60"/>
        <v>16922216.817340374</v>
      </c>
      <c r="AE340" s="9" t="s">
        <v>91</v>
      </c>
    </row>
    <row r="341" spans="1:31" ht="18" customHeight="1">
      <c r="A341" s="4">
        <v>337</v>
      </c>
      <c r="B341" s="13">
        <v>45572</v>
      </c>
      <c r="C341" s="13">
        <v>45576</v>
      </c>
      <c r="D341" s="4" t="s">
        <v>93</v>
      </c>
      <c r="E341" s="14">
        <v>19939.91</v>
      </c>
      <c r="F341" s="14">
        <v>20270.188999999998</v>
      </c>
      <c r="G341" s="15">
        <v>1.6559999999999998E-2</v>
      </c>
      <c r="H341" s="16">
        <f t="shared" si="65"/>
        <v>3.7600000000000003E-3</v>
      </c>
      <c r="I341" s="17" t="b">
        <f>AND(A341&gt;2,H341&lt;=Assumptions!$B$7)</f>
        <v>0</v>
      </c>
      <c r="J341" s="15">
        <v>-4.2766858922697049E-3</v>
      </c>
      <c r="K341" s="15">
        <v>8.7623384444548869E-2</v>
      </c>
      <c r="L341" s="15">
        <v>-5.4589017974030485E-3</v>
      </c>
      <c r="M341" s="17" t="b">
        <f>J341&gt;=Assumptions!$B$8</f>
        <v>0</v>
      </c>
      <c r="N341" s="17" t="b">
        <f>AND(K341&lt;&gt;"",K341&lt;=Assumptions!$B$9)</f>
        <v>0</v>
      </c>
      <c r="O341" s="17" t="b">
        <f>AND(P341&lt;&gt;"",ABS(L341)&lt;=Assumptions!$B$10)</f>
        <v>0</v>
      </c>
      <c r="P341" s="13">
        <v>45573</v>
      </c>
      <c r="Q341" s="14">
        <v>19911.953000000001</v>
      </c>
      <c r="R341" s="15">
        <v>1.7989999999999999E-2</v>
      </c>
      <c r="S341" s="17" t="str">
        <f t="shared" si="55"/>
        <v>BASELINE</v>
      </c>
      <c r="T341" s="16">
        <f t="shared" si="56"/>
        <v>1.6559999999999998E-2</v>
      </c>
      <c r="U341" s="16">
        <f>G341*Assumptions!$B$6</f>
        <v>0.18712799999999999</v>
      </c>
      <c r="V341" s="16">
        <f>T341*Assumptions!$B$6</f>
        <v>0.18712799999999999</v>
      </c>
      <c r="W341" s="16">
        <f t="shared" si="57"/>
        <v>0</v>
      </c>
      <c r="X341" s="18">
        <f t="shared" si="61"/>
        <v>10049884.040338479</v>
      </c>
      <c r="Y341" s="18">
        <f t="shared" si="62"/>
        <v>10049884.040338479</v>
      </c>
      <c r="Z341" s="19">
        <f t="shared" si="58"/>
        <v>0</v>
      </c>
      <c r="AA341" s="18">
        <f t="shared" si="63"/>
        <v>30138721.446274124</v>
      </c>
      <c r="AB341" s="18">
        <f t="shared" si="64"/>
        <v>35988721.086731836</v>
      </c>
      <c r="AC341" s="19">
        <f t="shared" si="59"/>
        <v>-0.16255091772667807</v>
      </c>
      <c r="AD341" s="20">
        <f t="shared" si="60"/>
        <v>20088837.405935645</v>
      </c>
      <c r="AE341" s="9" t="s">
        <v>91</v>
      </c>
    </row>
    <row r="342" spans="1:31" ht="18" customHeight="1">
      <c r="A342" s="4">
        <v>338</v>
      </c>
      <c r="B342" s="13">
        <v>45579</v>
      </c>
      <c r="C342" s="13">
        <v>45582</v>
      </c>
      <c r="D342" s="4" t="s">
        <v>92</v>
      </c>
      <c r="E342" s="14">
        <v>20373.407999999999</v>
      </c>
      <c r="F342" s="14">
        <v>20153.108</v>
      </c>
      <c r="G342" s="15">
        <v>-1.081E-2</v>
      </c>
      <c r="H342" s="16">
        <f t="shared" si="65"/>
        <v>1.2569999999999998E-2</v>
      </c>
      <c r="I342" s="17" t="b">
        <f>AND(A342&gt;2,H342&lt;=Assumptions!$B$7)</f>
        <v>0</v>
      </c>
      <c r="J342" s="15">
        <v>5.0921577494911219E-3</v>
      </c>
      <c r="K342" s="15">
        <v>3.9367799088765087E-2</v>
      </c>
      <c r="L342" s="15">
        <v>9.0599858081910067E-3</v>
      </c>
      <c r="M342" s="17" t="b">
        <f>J342&gt;=Assumptions!$B$8</f>
        <v>0</v>
      </c>
      <c r="N342" s="17" t="b">
        <f>AND(K342&lt;&gt;"",K342&lt;=Assumptions!$B$9)</f>
        <v>0</v>
      </c>
      <c r="O342" s="17" t="b">
        <f>AND(P342&lt;&gt;"",ABS(L342)&lt;=Assumptions!$B$10)</f>
        <v>0</v>
      </c>
      <c r="P342" s="13">
        <v>45580</v>
      </c>
      <c r="Q342" s="14">
        <v>20454.764999999999</v>
      </c>
      <c r="R342" s="15">
        <v>-1.474E-2</v>
      </c>
      <c r="S342" s="17" t="str">
        <f t="shared" si="55"/>
        <v>BASELINE</v>
      </c>
      <c r="T342" s="16">
        <f t="shared" si="56"/>
        <v>-1.081E-2</v>
      </c>
      <c r="U342" s="16">
        <f>G342*Assumptions!$B$6</f>
        <v>-0.12215300000000001</v>
      </c>
      <c r="V342" s="16">
        <f>T342*Assumptions!$B$6</f>
        <v>-0.12215300000000001</v>
      </c>
      <c r="W342" s="16">
        <f t="shared" si="57"/>
        <v>0</v>
      </c>
      <c r="X342" s="18">
        <f t="shared" si="61"/>
        <v>8822260.5551590137</v>
      </c>
      <c r="Y342" s="18">
        <f t="shared" si="62"/>
        <v>10049884.040338479</v>
      </c>
      <c r="Z342" s="19">
        <f t="shared" si="58"/>
        <v>-0.12215299999999996</v>
      </c>
      <c r="AA342" s="18">
        <f t="shared" si="63"/>
        <v>26457186.205447402</v>
      </c>
      <c r="AB342" s="18">
        <f t="shared" si="64"/>
        <v>35988721.086731836</v>
      </c>
      <c r="AC342" s="19">
        <f t="shared" si="59"/>
        <v>-0.26484783547361113</v>
      </c>
      <c r="AD342" s="20">
        <f t="shared" si="60"/>
        <v>17634925.650288388</v>
      </c>
      <c r="AE342" s="9" t="s">
        <v>91</v>
      </c>
    </row>
    <row r="343" spans="1:31" ht="18" customHeight="1">
      <c r="A343" s="4">
        <v>339</v>
      </c>
      <c r="B343" s="13">
        <v>45586</v>
      </c>
      <c r="C343" s="13">
        <v>45589</v>
      </c>
      <c r="D343" s="4" t="s">
        <v>92</v>
      </c>
      <c r="E343" s="14">
        <v>20266.864000000001</v>
      </c>
      <c r="F343" s="14">
        <v>20140.620999999999</v>
      </c>
      <c r="G343" s="15">
        <v>-6.2199999999999998E-3</v>
      </c>
      <c r="H343" s="16">
        <f t="shared" si="65"/>
        <v>5.7499999999999982E-3</v>
      </c>
      <c r="I343" s="17" t="b">
        <f>AND(A343&gt;2,H343&lt;=Assumptions!$B$7)</f>
        <v>0</v>
      </c>
      <c r="J343" s="15">
        <v>-2.6781276205586346E-3</v>
      </c>
      <c r="K343" s="15">
        <v>2.6374637705300463E-2</v>
      </c>
      <c r="L343" s="15">
        <v>-3.5176766293598671E-3</v>
      </c>
      <c r="M343" s="17" t="b">
        <f>J343&gt;=Assumptions!$B$8</f>
        <v>0</v>
      </c>
      <c r="N343" s="17" t="b">
        <f>AND(K343&lt;&gt;"",K343&lt;=Assumptions!$B$9)</f>
        <v>0</v>
      </c>
      <c r="O343" s="17" t="b">
        <f>AND(P343&lt;&gt;"",ABS(L343)&lt;=Assumptions!$B$10)</f>
        <v>1</v>
      </c>
      <c r="P343" s="13">
        <v>45587</v>
      </c>
      <c r="Q343" s="14">
        <v>20242.919999999998</v>
      </c>
      <c r="R343" s="15">
        <v>-5.0499999999999998E-3</v>
      </c>
      <c r="S343" s="17" t="str">
        <f t="shared" si="55"/>
        <v>BASELINE</v>
      </c>
      <c r="T343" s="16">
        <f t="shared" si="56"/>
        <v>-6.2199999999999998E-3</v>
      </c>
      <c r="U343" s="16">
        <f>G343*Assumptions!$B$6</f>
        <v>-7.0286000000000001E-2</v>
      </c>
      <c r="V343" s="16">
        <f>T343*Assumptions!$B$6</f>
        <v>-7.0286000000000001E-2</v>
      </c>
      <c r="W343" s="16">
        <f t="shared" si="57"/>
        <v>0</v>
      </c>
      <c r="X343" s="18">
        <f t="shared" si="61"/>
        <v>8202179.1497791074</v>
      </c>
      <c r="Y343" s="18">
        <f t="shared" si="62"/>
        <v>10049884.040338479</v>
      </c>
      <c r="Z343" s="19">
        <f t="shared" si="58"/>
        <v>-0.18385335424199989</v>
      </c>
      <c r="AA343" s="18">
        <f t="shared" si="63"/>
        <v>24597616.415811326</v>
      </c>
      <c r="AB343" s="18">
        <f t="shared" si="64"/>
        <v>35988721.086731836</v>
      </c>
      <c r="AC343" s="19">
        <f t="shared" si="59"/>
        <v>-0.3165187405095129</v>
      </c>
      <c r="AD343" s="20">
        <f t="shared" si="60"/>
        <v>16395437.266032219</v>
      </c>
      <c r="AE343" s="9" t="s">
        <v>91</v>
      </c>
    </row>
    <row r="344" spans="1:31" ht="18" customHeight="1">
      <c r="A344" s="4">
        <v>340</v>
      </c>
      <c r="B344" s="13">
        <v>45593</v>
      </c>
      <c r="C344" s="13">
        <v>45596</v>
      </c>
      <c r="D344" s="4" t="s">
        <v>92</v>
      </c>
      <c r="E344" s="14">
        <v>20481.02</v>
      </c>
      <c r="F344" s="14">
        <v>20311.954000000002</v>
      </c>
      <c r="G344" s="15">
        <v>-8.2500000000000004E-3</v>
      </c>
      <c r="H344" s="16">
        <f t="shared" si="65"/>
        <v>-1.703E-2</v>
      </c>
      <c r="I344" s="17" t="b">
        <f>AND(A344&gt;2,H344&lt;=Assumptions!$B$7)</f>
        <v>0</v>
      </c>
      <c r="J344" s="15">
        <v>6.3834850474242533E-3</v>
      </c>
      <c r="K344" s="15">
        <v>1.7605575751580504E-2</v>
      </c>
      <c r="L344" s="15">
        <v>8.06015549214667E-4</v>
      </c>
      <c r="M344" s="17" t="b">
        <f>J344&gt;=Assumptions!$B$8</f>
        <v>0</v>
      </c>
      <c r="N344" s="17" t="b">
        <f>AND(K344&lt;&gt;"",K344&lt;=Assumptions!$B$9)</f>
        <v>0</v>
      </c>
      <c r="O344" s="17" t="b">
        <f>AND(P344&lt;&gt;"",ABS(L344)&lt;=Assumptions!$B$10)</f>
        <v>1</v>
      </c>
      <c r="P344" s="13">
        <v>45594</v>
      </c>
      <c r="Q344" s="14">
        <v>20369.188999999998</v>
      </c>
      <c r="R344" s="15">
        <v>-2.8E-3</v>
      </c>
      <c r="S344" s="17" t="str">
        <f t="shared" si="55"/>
        <v>BASELINE</v>
      </c>
      <c r="T344" s="16">
        <f t="shared" si="56"/>
        <v>-8.2500000000000004E-3</v>
      </c>
      <c r="U344" s="16">
        <f>G344*Assumptions!$B$6</f>
        <v>-9.3225000000000016E-2</v>
      </c>
      <c r="V344" s="16">
        <f>T344*Assumptions!$B$6</f>
        <v>-9.3225000000000016E-2</v>
      </c>
      <c r="W344" s="16">
        <f t="shared" si="57"/>
        <v>0</v>
      </c>
      <c r="X344" s="18">
        <f t="shared" si="61"/>
        <v>7437530.99854095</v>
      </c>
      <c r="Y344" s="18">
        <f t="shared" si="62"/>
        <v>10049884.040338479</v>
      </c>
      <c r="Z344" s="19">
        <f t="shared" si="58"/>
        <v>-0.25993862529278944</v>
      </c>
      <c r="AA344" s="18">
        <f t="shared" si="63"/>
        <v>22304503.625447314</v>
      </c>
      <c r="AB344" s="18">
        <f t="shared" si="64"/>
        <v>35988721.086731836</v>
      </c>
      <c r="AC344" s="19">
        <f t="shared" si="59"/>
        <v>-0.38023628092551365</v>
      </c>
      <c r="AD344" s="20">
        <f t="shared" si="60"/>
        <v>14866972.626906365</v>
      </c>
      <c r="AE344" s="9" t="s">
        <v>91</v>
      </c>
    </row>
    <row r="345" spans="1:31" ht="18" customHeight="1">
      <c r="A345" s="4">
        <v>341</v>
      </c>
      <c r="B345" s="13">
        <v>45600</v>
      </c>
      <c r="C345" s="13">
        <v>45603</v>
      </c>
      <c r="D345" s="4" t="s">
        <v>90</v>
      </c>
      <c r="E345" s="14">
        <v>20001.207999999999</v>
      </c>
      <c r="F345" s="14">
        <v>21101.876</v>
      </c>
      <c r="G345" s="15">
        <v>5.5030000000000003E-2</v>
      </c>
      <c r="H345" s="16">
        <f t="shared" si="65"/>
        <v>-1.447E-2</v>
      </c>
      <c r="I345" s="17" t="b">
        <f>AND(A345&gt;2,H345&lt;=Assumptions!$B$7)</f>
        <v>0</v>
      </c>
      <c r="J345" s="15">
        <v>-2.0496163935783684E-3</v>
      </c>
      <c r="K345" s="15">
        <v>2.264250368455567E-4</v>
      </c>
      <c r="L345" s="15">
        <v>3.6631393515840216E-4</v>
      </c>
      <c r="M345" s="17" t="b">
        <f>J345&gt;=Assumptions!$B$8</f>
        <v>0</v>
      </c>
      <c r="N345" s="17" t="b">
        <f>AND(K345&lt;&gt;"",K345&lt;=Assumptions!$B$9)</f>
        <v>0</v>
      </c>
      <c r="O345" s="17" t="b">
        <f>AND(P345&lt;&gt;"",ABS(L345)&lt;=Assumptions!$B$10)</f>
        <v>1</v>
      </c>
      <c r="P345" s="13">
        <v>45601</v>
      </c>
      <c r="Q345" s="14">
        <v>20034.842000000001</v>
      </c>
      <c r="R345" s="15">
        <v>5.3249999999999999E-2</v>
      </c>
      <c r="S345" s="17" t="str">
        <f t="shared" si="55"/>
        <v>BASELINE</v>
      </c>
      <c r="T345" s="16">
        <f t="shared" si="56"/>
        <v>5.5030000000000003E-2</v>
      </c>
      <c r="U345" s="16">
        <f>G345*Assumptions!$B$6</f>
        <v>0.62183900000000003</v>
      </c>
      <c r="V345" s="16">
        <f>T345*Assumptions!$B$6</f>
        <v>0.62183900000000003</v>
      </c>
      <c r="W345" s="16">
        <f t="shared" si="57"/>
        <v>0</v>
      </c>
      <c r="X345" s="18">
        <f t="shared" si="61"/>
        <v>12062477.837142656</v>
      </c>
      <c r="Y345" s="18">
        <f t="shared" si="62"/>
        <v>12062477.837142656</v>
      </c>
      <c r="Z345" s="19">
        <f t="shared" si="58"/>
        <v>0</v>
      </c>
      <c r="AA345" s="18">
        <f t="shared" si="63"/>
        <v>36174313.855391845</v>
      </c>
      <c r="AB345" s="18">
        <f t="shared" si="64"/>
        <v>36174313.855391845</v>
      </c>
      <c r="AC345" s="19">
        <f t="shared" si="59"/>
        <v>0</v>
      </c>
      <c r="AD345" s="20">
        <f t="shared" si="60"/>
        <v>24111836.018249191</v>
      </c>
      <c r="AE345" s="9" t="s">
        <v>91</v>
      </c>
    </row>
    <row r="346" spans="1:31" ht="18" customHeight="1">
      <c r="A346" s="4">
        <v>342</v>
      </c>
      <c r="B346" s="13">
        <v>45607</v>
      </c>
      <c r="C346" s="13">
        <v>45609</v>
      </c>
      <c r="D346" s="4" t="s">
        <v>99</v>
      </c>
      <c r="E346" s="14">
        <v>21173.707999999999</v>
      </c>
      <c r="F346" s="14">
        <v>21094.388999999999</v>
      </c>
      <c r="G346" s="15">
        <v>-3.7399999999999998E-3</v>
      </c>
      <c r="H346" s="16">
        <f t="shared" si="65"/>
        <v>4.6780000000000002E-2</v>
      </c>
      <c r="I346" s="17" t="b">
        <f>AND(A346&gt;2,H346&lt;=Assumptions!$B$7)</f>
        <v>0</v>
      </c>
      <c r="J346" s="15">
        <v>2.1023900192367329E-3</v>
      </c>
      <c r="K346" s="15">
        <v>4.2119987882065502E-2</v>
      </c>
      <c r="L346" s="15">
        <v>-7.1993116755675324E-4</v>
      </c>
      <c r="M346" s="17" t="b">
        <f>J346&gt;=Assumptions!$B$8</f>
        <v>0</v>
      </c>
      <c r="N346" s="17" t="b">
        <f>AND(K346&lt;&gt;"",K346&lt;=Assumptions!$B$9)</f>
        <v>0</v>
      </c>
      <c r="O346" s="17" t="b">
        <f>AND(P346&lt;&gt;"",ABS(L346)&lt;=Assumptions!$B$10)</f>
        <v>1</v>
      </c>
      <c r="P346" s="13">
        <v>45608</v>
      </c>
      <c r="Q346" s="14">
        <v>21105.653999999999</v>
      </c>
      <c r="R346" s="15">
        <v>-5.2999999999999998E-4</v>
      </c>
      <c r="S346" s="17" t="str">
        <f t="shared" si="55"/>
        <v>BASELINE</v>
      </c>
      <c r="T346" s="16">
        <f t="shared" si="56"/>
        <v>-3.7399999999999998E-3</v>
      </c>
      <c r="U346" s="16">
        <f>G346*Assumptions!$B$6</f>
        <v>-4.2262000000000001E-2</v>
      </c>
      <c r="V346" s="16">
        <f>T346*Assumptions!$B$6</f>
        <v>-4.2262000000000001E-2</v>
      </c>
      <c r="W346" s="16">
        <f t="shared" si="57"/>
        <v>0</v>
      </c>
      <c r="X346" s="18">
        <f t="shared" si="61"/>
        <v>11552693.398789333</v>
      </c>
      <c r="Y346" s="18">
        <f t="shared" si="62"/>
        <v>12062477.837142656</v>
      </c>
      <c r="Z346" s="19">
        <f t="shared" si="58"/>
        <v>-4.2261999999999911E-2</v>
      </c>
      <c r="AA346" s="18">
        <f t="shared" si="63"/>
        <v>34645515.003235273</v>
      </c>
      <c r="AB346" s="18">
        <f t="shared" si="64"/>
        <v>36174313.855391845</v>
      </c>
      <c r="AC346" s="19">
        <f t="shared" si="59"/>
        <v>-4.2262000000000022E-2</v>
      </c>
      <c r="AD346" s="20">
        <f t="shared" si="60"/>
        <v>23092821.604445942</v>
      </c>
      <c r="AE346" s="9" t="s">
        <v>91</v>
      </c>
    </row>
    <row r="347" spans="1:31" ht="18" customHeight="1">
      <c r="A347" s="4">
        <v>343</v>
      </c>
      <c r="B347" s="13">
        <v>45614</v>
      </c>
      <c r="C347" s="13">
        <v>45618</v>
      </c>
      <c r="D347" s="4" t="s">
        <v>93</v>
      </c>
      <c r="E347" s="14">
        <v>20462.665000000001</v>
      </c>
      <c r="F347" s="14">
        <v>20779.021000000001</v>
      </c>
      <c r="G347" s="15">
        <v>1.546E-2</v>
      </c>
      <c r="H347" s="16">
        <f t="shared" si="65"/>
        <v>5.1290000000000002E-2</v>
      </c>
      <c r="I347" s="17" t="b">
        <f>AND(A347&gt;2,H347&lt;=Assumptions!$B$7)</f>
        <v>0</v>
      </c>
      <c r="J347" s="15">
        <v>2.1341796525966572E-3</v>
      </c>
      <c r="K347" s="15">
        <v>4.2479901164240719E-3</v>
      </c>
      <c r="L347" s="15">
        <v>1.7130171119903448E-3</v>
      </c>
      <c r="M347" s="17" t="b">
        <f>J347&gt;=Assumptions!$B$8</f>
        <v>0</v>
      </c>
      <c r="N347" s="17" t="b">
        <f>AND(K347&lt;&gt;"",K347&lt;=Assumptions!$B$9)</f>
        <v>0</v>
      </c>
      <c r="O347" s="17" t="b">
        <f>AND(P347&lt;&gt;"",ABS(L347)&lt;=Assumptions!$B$10)</f>
        <v>1</v>
      </c>
      <c r="P347" s="13">
        <v>45615</v>
      </c>
      <c r="Q347" s="14">
        <v>20425.019</v>
      </c>
      <c r="R347" s="15">
        <v>1.7330000000000002E-2</v>
      </c>
      <c r="S347" s="17" t="str">
        <f t="shared" si="55"/>
        <v>BASELINE</v>
      </c>
      <c r="T347" s="16">
        <f t="shared" si="56"/>
        <v>1.546E-2</v>
      </c>
      <c r="U347" s="16">
        <f>G347*Assumptions!$B$6</f>
        <v>0.17469800000000002</v>
      </c>
      <c r="V347" s="16">
        <f>T347*Assumptions!$B$6</f>
        <v>0.17469800000000002</v>
      </c>
      <c r="W347" s="16">
        <f t="shared" si="57"/>
        <v>0</v>
      </c>
      <c r="X347" s="18">
        <f t="shared" si="61"/>
        <v>13570925.830171032</v>
      </c>
      <c r="Y347" s="18">
        <f t="shared" si="62"/>
        <v>13570925.830171032</v>
      </c>
      <c r="Z347" s="19">
        <f t="shared" si="58"/>
        <v>0</v>
      </c>
      <c r="AA347" s="18">
        <f t="shared" si="63"/>
        <v>40698017.183270469</v>
      </c>
      <c r="AB347" s="18">
        <f t="shared" si="64"/>
        <v>40698017.183270469</v>
      </c>
      <c r="AC347" s="19">
        <f t="shared" si="59"/>
        <v>0</v>
      </c>
      <c r="AD347" s="20">
        <f t="shared" si="60"/>
        <v>27127091.353099436</v>
      </c>
      <c r="AE347" s="9" t="s">
        <v>91</v>
      </c>
    </row>
    <row r="348" spans="1:31" ht="18" customHeight="1">
      <c r="A348" s="4">
        <v>344</v>
      </c>
      <c r="B348" s="13">
        <v>45621</v>
      </c>
      <c r="C348" s="13">
        <v>45625</v>
      </c>
      <c r="D348" s="4" t="s">
        <v>99</v>
      </c>
      <c r="E348" s="14">
        <v>20939.618999999999</v>
      </c>
      <c r="F348" s="14">
        <v>20857.120999999999</v>
      </c>
      <c r="G348" s="15">
        <v>-3.9300000000000003E-3</v>
      </c>
      <c r="H348" s="16">
        <f t="shared" si="65"/>
        <v>1.172E-2</v>
      </c>
      <c r="I348" s="17" t="b">
        <f>AND(A348&gt;2,H348&lt;=Assumptions!$B$7)</f>
        <v>0</v>
      </c>
      <c r="J348" s="15">
        <v>7.7288530580914561E-3</v>
      </c>
      <c r="K348" s="15">
        <v>2.11366439375682E-2</v>
      </c>
      <c r="L348" s="15">
        <v>4.5277495716189442E-3</v>
      </c>
      <c r="M348" s="17" t="b">
        <f>J348&gt;=Assumptions!$B$8</f>
        <v>0</v>
      </c>
      <c r="N348" s="17" t="b">
        <f>AND(K348&lt;&gt;"",K348&lt;=Assumptions!$B$9)</f>
        <v>0</v>
      </c>
      <c r="O348" s="17" t="b">
        <f>AND(P348&lt;&gt;"",ABS(L348)&lt;=Assumptions!$B$10)</f>
        <v>1</v>
      </c>
      <c r="P348" s="13">
        <v>45622</v>
      </c>
      <c r="Q348" s="14">
        <v>20866.753000000001</v>
      </c>
      <c r="R348" s="15">
        <v>-4.6000000000000001E-4</v>
      </c>
      <c r="S348" s="17" t="str">
        <f t="shared" si="55"/>
        <v>BASELINE</v>
      </c>
      <c r="T348" s="16">
        <f t="shared" si="56"/>
        <v>-3.9300000000000003E-3</v>
      </c>
      <c r="U348" s="16">
        <f>G348*Assumptions!$B$6</f>
        <v>-4.4409000000000004E-2</v>
      </c>
      <c r="V348" s="16">
        <f>T348*Assumptions!$B$6</f>
        <v>-4.4409000000000004E-2</v>
      </c>
      <c r="W348" s="16">
        <f t="shared" si="57"/>
        <v>0</v>
      </c>
      <c r="X348" s="18">
        <f t="shared" si="61"/>
        <v>12968254.584978966</v>
      </c>
      <c r="Y348" s="18">
        <f t="shared" si="62"/>
        <v>13570925.830171032</v>
      </c>
      <c r="Z348" s="19">
        <f t="shared" si="58"/>
        <v>-4.4409000000000032E-2</v>
      </c>
      <c r="AA348" s="18">
        <f t="shared" si="63"/>
        <v>38890658.938178606</v>
      </c>
      <c r="AB348" s="18">
        <f t="shared" si="64"/>
        <v>40698017.183270469</v>
      </c>
      <c r="AC348" s="19">
        <f t="shared" si="59"/>
        <v>-4.4409000000000143E-2</v>
      </c>
      <c r="AD348" s="20">
        <f t="shared" si="60"/>
        <v>25922404.353199638</v>
      </c>
      <c r="AE348" s="9" t="s">
        <v>91</v>
      </c>
    </row>
    <row r="349" spans="1:31" ht="18" customHeight="1">
      <c r="A349" s="4">
        <v>345</v>
      </c>
      <c r="B349" s="13">
        <v>45628</v>
      </c>
      <c r="C349" s="13">
        <v>45628</v>
      </c>
      <c r="D349" s="4" t="s">
        <v>90</v>
      </c>
      <c r="E349" s="14">
        <v>20985.296999999999</v>
      </c>
      <c r="F349" s="14">
        <v>21163.01</v>
      </c>
      <c r="G349" s="15">
        <v>8.4600000000000005E-3</v>
      </c>
      <c r="H349" s="16">
        <f t="shared" si="65"/>
        <v>1.1529999999999999E-2</v>
      </c>
      <c r="I349" s="17" t="b">
        <f>AND(A349&gt;2,H349&lt;=Assumptions!$B$7)</f>
        <v>0</v>
      </c>
      <c r="J349" s="15">
        <v>2.7230581660016018E-3</v>
      </c>
      <c r="K349" s="15">
        <v>5.3508640992470324E-2</v>
      </c>
      <c r="L349" s="15">
        <v>8.2591771915256906E-3</v>
      </c>
      <c r="M349" s="17" t="b">
        <f>J349&gt;=Assumptions!$B$8</f>
        <v>0</v>
      </c>
      <c r="N349" s="17" t="b">
        <f>AND(K349&lt;&gt;"",K349&lt;=Assumptions!$B$9)</f>
        <v>0</v>
      </c>
      <c r="O349" s="17" t="b">
        <f>AND(P349&lt;&gt;"",ABS(L349)&lt;=Assumptions!$B$10)</f>
        <v>0</v>
      </c>
      <c r="P349" s="13">
        <v>45629</v>
      </c>
      <c r="Q349" s="14">
        <v>21101.386999999999</v>
      </c>
      <c r="R349" s="15">
        <v>2.9199999999999999E-3</v>
      </c>
      <c r="S349" s="17" t="str">
        <f t="shared" si="55"/>
        <v>BASELINE</v>
      </c>
      <c r="T349" s="16">
        <f t="shared" si="56"/>
        <v>8.4600000000000005E-3</v>
      </c>
      <c r="U349" s="16">
        <f>G349*Assumptions!$B$6</f>
        <v>9.5598000000000016E-2</v>
      </c>
      <c r="V349" s="16">
        <f>T349*Assumptions!$B$6</f>
        <v>9.5598000000000016E-2</v>
      </c>
      <c r="W349" s="16">
        <f t="shared" si="57"/>
        <v>0</v>
      </c>
      <c r="X349" s="18">
        <f t="shared" si="61"/>
        <v>14207993.786793787</v>
      </c>
      <c r="Y349" s="18">
        <f t="shared" si="62"/>
        <v>14207993.786793787</v>
      </c>
      <c r="Z349" s="19">
        <f t="shared" si="58"/>
        <v>0</v>
      </c>
      <c r="AA349" s="18">
        <f t="shared" si="63"/>
        <v>42608528.15135061</v>
      </c>
      <c r="AB349" s="18">
        <f t="shared" si="64"/>
        <v>42608528.15135061</v>
      </c>
      <c r="AC349" s="19">
        <f t="shared" si="59"/>
        <v>0</v>
      </c>
      <c r="AD349" s="20">
        <f t="shared" si="60"/>
        <v>28400534.364556823</v>
      </c>
      <c r="AE349" s="9" t="s">
        <v>91</v>
      </c>
    </row>
    <row r="350" spans="1:31" ht="18" customHeight="1">
      <c r="A350" s="4">
        <v>346</v>
      </c>
      <c r="B350" s="13">
        <v>45635</v>
      </c>
      <c r="C350" s="13">
        <v>45637</v>
      </c>
      <c r="D350" s="4" t="s">
        <v>99</v>
      </c>
      <c r="E350" s="14">
        <v>21570.521000000001</v>
      </c>
      <c r="F350" s="14">
        <v>21485.385999999999</v>
      </c>
      <c r="G350" s="15">
        <v>-3.9399999999999999E-3</v>
      </c>
      <c r="H350" s="16">
        <f t="shared" si="65"/>
        <v>4.5300000000000002E-3</v>
      </c>
      <c r="I350" s="17" t="b">
        <f>AND(A350&gt;2,H350&lt;=Assumptions!$B$7)</f>
        <v>0</v>
      </c>
      <c r="J350" s="15">
        <v>-1.7128749363878315E-3</v>
      </c>
      <c r="K350" s="15">
        <v>2.5197724000929789E-2</v>
      </c>
      <c r="L350" s="15">
        <v>-5.4339231515229125E-3</v>
      </c>
      <c r="M350" s="17" t="b">
        <f>J350&gt;=Assumptions!$B$8</f>
        <v>0</v>
      </c>
      <c r="N350" s="17" t="b">
        <f>AND(K350&lt;&gt;"",K350&lt;=Assumptions!$B$9)</f>
        <v>0</v>
      </c>
      <c r="O350" s="17" t="b">
        <f>AND(P350&lt;&gt;"",ABS(L350)&lt;=Assumptions!$B$10)</f>
        <v>0</v>
      </c>
      <c r="P350" s="13">
        <v>45636</v>
      </c>
      <c r="Q350" s="14">
        <v>21493.197</v>
      </c>
      <c r="R350" s="15">
        <v>-3.6000000000000002E-4</v>
      </c>
      <c r="S350" s="17" t="str">
        <f t="shared" si="55"/>
        <v>BASELINE</v>
      </c>
      <c r="T350" s="16">
        <f t="shared" si="56"/>
        <v>-3.9399999999999999E-3</v>
      </c>
      <c r="U350" s="16">
        <f>G350*Assumptions!$B$6</f>
        <v>-4.4521999999999999E-2</v>
      </c>
      <c r="V350" s="16">
        <f>T350*Assumptions!$B$6</f>
        <v>-4.4521999999999999E-2</v>
      </c>
      <c r="W350" s="16">
        <f t="shared" si="57"/>
        <v>0</v>
      </c>
      <c r="X350" s="18">
        <f t="shared" si="61"/>
        <v>13575425.487418154</v>
      </c>
      <c r="Y350" s="18">
        <f t="shared" si="62"/>
        <v>14207993.786793787</v>
      </c>
      <c r="Z350" s="19">
        <f t="shared" si="58"/>
        <v>-4.4521999999999951E-2</v>
      </c>
      <c r="AA350" s="18">
        <f t="shared" si="63"/>
        <v>40711511.260996178</v>
      </c>
      <c r="AB350" s="18">
        <f t="shared" si="64"/>
        <v>42608528.15135061</v>
      </c>
      <c r="AC350" s="19">
        <f t="shared" si="59"/>
        <v>-4.4522000000000062E-2</v>
      </c>
      <c r="AD350" s="20">
        <f t="shared" si="60"/>
        <v>27136085.773578025</v>
      </c>
      <c r="AE350" s="9" t="s">
        <v>91</v>
      </c>
    </row>
    <row r="351" spans="1:31" ht="18" customHeight="1">
      <c r="A351" s="4">
        <v>347</v>
      </c>
      <c r="B351" s="13">
        <v>45642</v>
      </c>
      <c r="C351" s="13">
        <v>45642</v>
      </c>
      <c r="D351" s="4" t="s">
        <v>90</v>
      </c>
      <c r="E351" s="14">
        <v>21879.197</v>
      </c>
      <c r="F351" s="14">
        <v>22095.732</v>
      </c>
      <c r="G351" s="15">
        <v>9.8899999999999995E-3</v>
      </c>
      <c r="H351" s="16">
        <f t="shared" si="65"/>
        <v>4.5200000000000006E-3</v>
      </c>
      <c r="I351" s="17" t="b">
        <f>AND(A351&gt;2,H351&lt;=Assumptions!$B$7)</f>
        <v>0</v>
      </c>
      <c r="J351" s="15">
        <v>5.0329746057706792E-3</v>
      </c>
      <c r="K351" s="15">
        <v>4.293503445963931E-2</v>
      </c>
      <c r="L351" s="15">
        <v>1.0989094099317809E-2</v>
      </c>
      <c r="M351" s="17" t="b">
        <f>J351&gt;=Assumptions!$B$8</f>
        <v>0</v>
      </c>
      <c r="N351" s="17" t="b">
        <f>AND(K351&lt;&gt;"",K351&lt;=Assumptions!$B$9)</f>
        <v>0</v>
      </c>
      <c r="O351" s="17" t="b">
        <f>AND(P351&lt;&gt;"",ABS(L351)&lt;=Assumptions!$B$10)</f>
        <v>0</v>
      </c>
      <c r="P351" s="13">
        <v>45643</v>
      </c>
      <c r="Q351" s="14">
        <v>22013.207999999999</v>
      </c>
      <c r="R351" s="15">
        <v>3.7399999999999998E-3</v>
      </c>
      <c r="S351" s="17" t="str">
        <f t="shared" si="55"/>
        <v>BASELINE</v>
      </c>
      <c r="T351" s="16">
        <f t="shared" si="56"/>
        <v>9.8899999999999995E-3</v>
      </c>
      <c r="U351" s="16">
        <f>G351*Assumptions!$B$6</f>
        <v>0.111757</v>
      </c>
      <c r="V351" s="16">
        <f>T351*Assumptions!$B$6</f>
        <v>0.111757</v>
      </c>
      <c r="W351" s="16">
        <f t="shared" si="57"/>
        <v>0</v>
      </c>
      <c r="X351" s="18">
        <f t="shared" si="61"/>
        <v>15092574.313615544</v>
      </c>
      <c r="Y351" s="18">
        <f t="shared" si="62"/>
        <v>15092574.313615544</v>
      </c>
      <c r="Z351" s="19">
        <f t="shared" si="58"/>
        <v>0</v>
      </c>
      <c r="AA351" s="18">
        <f t="shared" si="63"/>
        <v>45261307.62499132</v>
      </c>
      <c r="AB351" s="18">
        <f t="shared" si="64"/>
        <v>45261307.62499132</v>
      </c>
      <c r="AC351" s="19">
        <f t="shared" si="59"/>
        <v>0</v>
      </c>
      <c r="AD351" s="20">
        <f t="shared" si="60"/>
        <v>30168733.311375774</v>
      </c>
      <c r="AE351" s="9" t="s">
        <v>91</v>
      </c>
    </row>
    <row r="352" spans="1:31" ht="18" customHeight="1">
      <c r="A352" s="4">
        <v>348</v>
      </c>
      <c r="B352" s="13">
        <v>45649</v>
      </c>
      <c r="C352" s="13">
        <v>45649</v>
      </c>
      <c r="D352" s="4" t="s">
        <v>90</v>
      </c>
      <c r="E352" s="14">
        <v>21349.631000000001</v>
      </c>
      <c r="F352" s="14">
        <v>21500.021000000001</v>
      </c>
      <c r="G352" s="15">
        <v>7.0400000000000003E-3</v>
      </c>
      <c r="H352" s="16">
        <f t="shared" si="65"/>
        <v>5.9499999999999996E-3</v>
      </c>
      <c r="I352" s="17" t="b">
        <f>AND(A352&gt;2,H352&lt;=Assumptions!$B$7)</f>
        <v>0</v>
      </c>
      <c r="J352" s="15">
        <v>6.853993211533016E-4</v>
      </c>
      <c r="K352" s="15">
        <v>2.7088874630773363E-2</v>
      </c>
      <c r="L352" s="15">
        <v>1.3528567615761711E-2</v>
      </c>
      <c r="M352" s="17" t="b">
        <f>J352&gt;=Assumptions!$B$8</f>
        <v>0</v>
      </c>
      <c r="N352" s="17" t="b">
        <f>AND(K352&lt;&gt;"",K352&lt;=Assumptions!$B$9)</f>
        <v>0</v>
      </c>
      <c r="O352" s="17" t="b">
        <f>AND(P352&lt;&gt;"",ABS(L352)&lt;=Assumptions!$B$10)</f>
        <v>0</v>
      </c>
      <c r="P352" s="13">
        <v>45650</v>
      </c>
      <c r="Q352" s="14">
        <v>21565.576000000001</v>
      </c>
      <c r="R352" s="15">
        <v>-3.0300000000000001E-3</v>
      </c>
      <c r="S352" s="17" t="str">
        <f t="shared" si="55"/>
        <v>BASELINE</v>
      </c>
      <c r="T352" s="16">
        <f t="shared" si="56"/>
        <v>7.0400000000000003E-3</v>
      </c>
      <c r="U352" s="16">
        <f>G352*Assumptions!$B$6</f>
        <v>7.9552000000000012E-2</v>
      </c>
      <c r="V352" s="16">
        <f>T352*Assumptions!$B$6</f>
        <v>7.9552000000000012E-2</v>
      </c>
      <c r="W352" s="16">
        <f t="shared" si="57"/>
        <v>0</v>
      </c>
      <c r="X352" s="18">
        <f t="shared" si="61"/>
        <v>16293218.785412289</v>
      </c>
      <c r="Y352" s="18">
        <f t="shared" si="62"/>
        <v>16293218.785412289</v>
      </c>
      <c r="Z352" s="19">
        <f t="shared" si="58"/>
        <v>0</v>
      </c>
      <c r="AA352" s="18">
        <f t="shared" si="63"/>
        <v>48861935.169174634</v>
      </c>
      <c r="AB352" s="18">
        <f t="shared" si="64"/>
        <v>48861935.169174634</v>
      </c>
      <c r="AC352" s="19">
        <f t="shared" si="59"/>
        <v>0</v>
      </c>
      <c r="AD352" s="20">
        <f t="shared" si="60"/>
        <v>32568716.383762345</v>
      </c>
      <c r="AE352" s="9" t="s">
        <v>91</v>
      </c>
    </row>
    <row r="353" spans="1:31" ht="18" customHeight="1">
      <c r="A353" s="4">
        <v>349</v>
      </c>
      <c r="B353" s="13">
        <v>45656</v>
      </c>
      <c r="C353" s="13">
        <v>45659</v>
      </c>
      <c r="D353" s="4" t="s">
        <v>92</v>
      </c>
      <c r="E353" s="14">
        <v>21188.186000000002</v>
      </c>
      <c r="F353" s="14">
        <v>21070.241999999998</v>
      </c>
      <c r="G353" s="15">
        <v>-5.5599999999999998E-3</v>
      </c>
      <c r="H353" s="16">
        <f t="shared" si="65"/>
        <v>1.6930000000000001E-2</v>
      </c>
      <c r="I353" s="17" t="b">
        <f>AND(A353&gt;2,H353&lt;=Assumptions!$B$7)</f>
        <v>0</v>
      </c>
      <c r="J353" s="15">
        <v>-1.4472860868352977E-2</v>
      </c>
      <c r="K353" s="15">
        <v>3.5824320675909682E-2</v>
      </c>
      <c r="L353" s="15">
        <v>-1.0830193452438075E-2</v>
      </c>
      <c r="M353" s="17" t="b">
        <f>J353&gt;=Assumptions!$B$8</f>
        <v>0</v>
      </c>
      <c r="N353" s="17" t="b">
        <f>AND(K353&lt;&gt;"",K353&lt;=Assumptions!$B$9)</f>
        <v>0</v>
      </c>
      <c r="O353" s="17" t="b">
        <f>AND(P353&lt;&gt;"",ABS(L353)&lt;=Assumptions!$B$10)</f>
        <v>0</v>
      </c>
      <c r="P353" s="13">
        <v>45657</v>
      </c>
      <c r="Q353" s="14">
        <v>21241.909</v>
      </c>
      <c r="R353" s="15">
        <v>-8.0800000000000004E-3</v>
      </c>
      <c r="S353" s="17" t="str">
        <f t="shared" si="55"/>
        <v>BASELINE</v>
      </c>
      <c r="T353" s="16">
        <f t="shared" si="56"/>
        <v>-5.5599999999999998E-3</v>
      </c>
      <c r="U353" s="16">
        <f>G353*Assumptions!$B$6</f>
        <v>-6.2828000000000009E-2</v>
      </c>
      <c r="V353" s="16">
        <f>T353*Assumptions!$B$6</f>
        <v>-6.2828000000000009E-2</v>
      </c>
      <c r="W353" s="16">
        <f t="shared" si="57"/>
        <v>0</v>
      </c>
      <c r="X353" s="18">
        <f t="shared" si="61"/>
        <v>15269548.435562406</v>
      </c>
      <c r="Y353" s="18">
        <f t="shared" si="62"/>
        <v>16293218.785412289</v>
      </c>
      <c r="Z353" s="19">
        <f t="shared" si="58"/>
        <v>-6.2827999999999995E-2</v>
      </c>
      <c r="AA353" s="18">
        <f t="shared" si="63"/>
        <v>45792037.506365731</v>
      </c>
      <c r="AB353" s="18">
        <f t="shared" si="64"/>
        <v>48861935.169174634</v>
      </c>
      <c r="AC353" s="19">
        <f t="shared" si="59"/>
        <v>-6.2827999999999995E-2</v>
      </c>
      <c r="AD353" s="20">
        <f t="shared" si="60"/>
        <v>30522489.070803326</v>
      </c>
      <c r="AE353" s="9" t="s">
        <v>91</v>
      </c>
    </row>
    <row r="354" spans="1:31" ht="18" customHeight="1">
      <c r="A354" s="4">
        <v>350</v>
      </c>
      <c r="B354" s="13">
        <v>45663</v>
      </c>
      <c r="C354" s="13">
        <v>45667</v>
      </c>
      <c r="D354" s="4" t="s">
        <v>104</v>
      </c>
      <c r="E354" s="14">
        <v>21536.499</v>
      </c>
      <c r="F354" s="14">
        <v>21018.431</v>
      </c>
      <c r="G354" s="15">
        <v>-2.4049999999999998E-2</v>
      </c>
      <c r="H354" s="16">
        <f t="shared" si="65"/>
        <v>1.4800000000000004E-3</v>
      </c>
      <c r="I354" s="17" t="b">
        <f>AND(A354&gt;2,H354&lt;=Assumptions!$B$7)</f>
        <v>0</v>
      </c>
      <c r="J354" s="15">
        <v>1.073211568653587E-2</v>
      </c>
      <c r="K354" s="15">
        <v>-7.3460624185262002E-3</v>
      </c>
      <c r="L354" s="15">
        <v>1.3518524240645258E-2</v>
      </c>
      <c r="M354" s="17" t="b">
        <f>J354&gt;=Assumptions!$B$8</f>
        <v>1</v>
      </c>
      <c r="N354" s="17" t="b">
        <f>AND(K354&lt;&gt;"",K354&lt;=Assumptions!$B$9)</f>
        <v>1</v>
      </c>
      <c r="O354" s="17" t="b">
        <f>AND(P354&lt;&gt;"",ABS(L354)&lt;=Assumptions!$B$10)</f>
        <v>0</v>
      </c>
      <c r="P354" s="13">
        <v>45664</v>
      </c>
      <c r="Q354" s="14">
        <v>21605.132000000001</v>
      </c>
      <c r="R354" s="15">
        <v>-2.7150000000000001E-2</v>
      </c>
      <c r="S354" s="17" t="str">
        <f t="shared" si="55"/>
        <v>GAP/MOM SKIP</v>
      </c>
      <c r="T354" s="16">
        <f t="shared" si="56"/>
        <v>0</v>
      </c>
      <c r="U354" s="16">
        <f>G354*Assumptions!$B$6</f>
        <v>-0.27176499999999998</v>
      </c>
      <c r="V354" s="16">
        <f>T354*Assumptions!$B$6</f>
        <v>0</v>
      </c>
      <c r="W354" s="16">
        <f t="shared" si="57"/>
        <v>0.27176499999999998</v>
      </c>
      <c r="X354" s="18">
        <f t="shared" si="61"/>
        <v>11119819.604971789</v>
      </c>
      <c r="Y354" s="18">
        <f t="shared" si="62"/>
        <v>16293218.785412289</v>
      </c>
      <c r="Z354" s="19">
        <f t="shared" si="58"/>
        <v>-0.31751854857999995</v>
      </c>
      <c r="AA354" s="18">
        <f t="shared" si="63"/>
        <v>45792037.506365731</v>
      </c>
      <c r="AB354" s="18">
        <f t="shared" si="64"/>
        <v>48861935.169174634</v>
      </c>
      <c r="AC354" s="19">
        <f t="shared" si="59"/>
        <v>-6.2827999999999995E-2</v>
      </c>
      <c r="AD354" s="20">
        <f t="shared" si="60"/>
        <v>34672217.901393943</v>
      </c>
      <c r="AE354" s="9" t="s">
        <v>102</v>
      </c>
    </row>
    <row r="355" spans="1:31" ht="18" customHeight="1">
      <c r="A355" s="4">
        <v>351</v>
      </c>
      <c r="B355" s="13">
        <v>45670</v>
      </c>
      <c r="C355" s="13">
        <v>45670</v>
      </c>
      <c r="D355" s="4" t="s">
        <v>90</v>
      </c>
      <c r="E355" s="14">
        <v>20599.742999999999</v>
      </c>
      <c r="F355" s="14">
        <v>20791.289000000001</v>
      </c>
      <c r="G355" s="15">
        <v>9.2899999999999996E-3</v>
      </c>
      <c r="H355" s="16">
        <f t="shared" si="65"/>
        <v>-5.5599999999999998E-3</v>
      </c>
      <c r="I355" s="17" t="b">
        <f>AND(A355&gt;2,H355&lt;=Assumptions!$B$7)</f>
        <v>0</v>
      </c>
      <c r="J355" s="15">
        <v>-1.2557217270992349E-2</v>
      </c>
      <c r="K355" s="15">
        <v>-2.4187457128103218E-2</v>
      </c>
      <c r="L355" s="15">
        <v>3.0566607758153452E-3</v>
      </c>
      <c r="M355" s="17" t="b">
        <f>J355&gt;=Assumptions!$B$8</f>
        <v>0</v>
      </c>
      <c r="N355" s="17" t="b">
        <f>AND(K355&lt;&gt;"",K355&lt;=Assumptions!$B$9)</f>
        <v>1</v>
      </c>
      <c r="O355" s="17" t="b">
        <f>AND(P355&lt;&gt;"",ABS(L355)&lt;=Assumptions!$B$10)</f>
        <v>1</v>
      </c>
      <c r="P355" s="13">
        <v>45671</v>
      </c>
      <c r="Q355" s="14">
        <v>20911.864000000001</v>
      </c>
      <c r="R355" s="15">
        <v>-5.7600000000000004E-3</v>
      </c>
      <c r="S355" s="17" t="str">
        <f t="shared" si="55"/>
        <v>BASELINE</v>
      </c>
      <c r="T355" s="16">
        <f t="shared" si="56"/>
        <v>9.2899999999999996E-3</v>
      </c>
      <c r="U355" s="16">
        <f>G355*Assumptions!$B$6</f>
        <v>0.104977</v>
      </c>
      <c r="V355" s="16">
        <f>T355*Assumptions!$B$6</f>
        <v>0.104977</v>
      </c>
      <c r="W355" s="16">
        <f t="shared" si="57"/>
        <v>0</v>
      </c>
      <c r="X355" s="18">
        <f t="shared" si="61"/>
        <v>12287144.907642914</v>
      </c>
      <c r="Y355" s="18">
        <f t="shared" si="62"/>
        <v>16293218.785412289</v>
      </c>
      <c r="Z355" s="19">
        <f t="shared" si="58"/>
        <v>-0.24587369325428254</v>
      </c>
      <c r="AA355" s="18">
        <f t="shared" si="63"/>
        <v>50599148.227671489</v>
      </c>
      <c r="AB355" s="18">
        <f t="shared" si="64"/>
        <v>50599148.227671489</v>
      </c>
      <c r="AC355" s="19">
        <f t="shared" si="59"/>
        <v>0</v>
      </c>
      <c r="AD355" s="20">
        <f t="shared" si="60"/>
        <v>38312003.320028573</v>
      </c>
      <c r="AE355" s="9" t="s">
        <v>91</v>
      </c>
    </row>
    <row r="356" spans="1:31" ht="18" customHeight="1">
      <c r="A356" s="4">
        <v>352</v>
      </c>
      <c r="B356" s="13">
        <v>45678</v>
      </c>
      <c r="C356" s="13">
        <v>45681</v>
      </c>
      <c r="D356" s="4" t="s">
        <v>93</v>
      </c>
      <c r="E356" s="14">
        <v>21557.940999999999</v>
      </c>
      <c r="F356" s="14">
        <v>21771.975999999999</v>
      </c>
      <c r="G356" s="15">
        <v>9.92E-3</v>
      </c>
      <c r="H356" s="16">
        <f t="shared" si="65"/>
        <v>9.2899999999999996E-3</v>
      </c>
      <c r="I356" s="17" t="b">
        <f>AND(A356&gt;2,H356&lt;=Assumptions!$B$7)</f>
        <v>0</v>
      </c>
      <c r="J356" s="15">
        <v>5.8028610732745456E-3</v>
      </c>
      <c r="K356" s="15">
        <v>-2.4673214238910446E-2</v>
      </c>
      <c r="L356" s="15"/>
      <c r="M356" s="17" t="b">
        <f>J356&gt;=Assumptions!$B$8</f>
        <v>0</v>
      </c>
      <c r="N356" s="17" t="b">
        <f>AND(K356&lt;&gt;"",K356&lt;=Assumptions!$B$9)</f>
        <v>1</v>
      </c>
      <c r="O356" s="17" t="b">
        <f>AND(P356&lt;&gt;"",ABS(L356)&lt;=Assumptions!$B$10)</f>
        <v>0</v>
      </c>
      <c r="P356" s="13"/>
      <c r="Q356" s="14"/>
      <c r="R356" s="15"/>
      <c r="S356" s="17" t="str">
        <f t="shared" si="55"/>
        <v>BASELINE</v>
      </c>
      <c r="T356" s="16">
        <f t="shared" si="56"/>
        <v>9.92E-3</v>
      </c>
      <c r="U356" s="16">
        <f>G356*Assumptions!$B$6</f>
        <v>0.112096</v>
      </c>
      <c r="V356" s="16">
        <f>T356*Assumptions!$B$6</f>
        <v>0.112096</v>
      </c>
      <c r="W356" s="16">
        <f t="shared" si="57"/>
        <v>0</v>
      </c>
      <c r="X356" s="18">
        <f t="shared" si="61"/>
        <v>13664484.703210054</v>
      </c>
      <c r="Y356" s="18">
        <f t="shared" si="62"/>
        <v>16293218.785412289</v>
      </c>
      <c r="Z356" s="19">
        <f t="shared" si="58"/>
        <v>-0.16133915077331462</v>
      </c>
      <c r="AA356" s="18">
        <f t="shared" si="63"/>
        <v>56271110.347400554</v>
      </c>
      <c r="AB356" s="18">
        <f t="shared" si="64"/>
        <v>56271110.347400554</v>
      </c>
      <c r="AC356" s="19">
        <f t="shared" si="59"/>
        <v>0</v>
      </c>
      <c r="AD356" s="20">
        <f t="shared" si="60"/>
        <v>42606625.644190498</v>
      </c>
      <c r="AE356" s="9" t="s">
        <v>91</v>
      </c>
    </row>
    <row r="357" spans="1:31" ht="18" customHeight="1">
      <c r="A357" s="4">
        <v>353</v>
      </c>
      <c r="B357" s="13">
        <v>45684</v>
      </c>
      <c r="C357" s="13">
        <v>45685</v>
      </c>
      <c r="D357" s="4" t="s">
        <v>98</v>
      </c>
      <c r="E357" s="14">
        <v>20991.487000000001</v>
      </c>
      <c r="F357" s="14">
        <v>21218.087</v>
      </c>
      <c r="G357" s="15">
        <v>1.0789999999999999E-2</v>
      </c>
      <c r="H357" s="16">
        <f t="shared" si="65"/>
        <v>1.9209999999999998E-2</v>
      </c>
      <c r="I357" s="17" t="b">
        <f>AND(A357&gt;2,H357&lt;=Assumptions!$B$7)</f>
        <v>0</v>
      </c>
      <c r="J357" s="15">
        <v>-3.5848330900236092E-2</v>
      </c>
      <c r="K357" s="15">
        <v>1.2928755851459028E-2</v>
      </c>
      <c r="L357" s="15">
        <v>-2.7208504619527174E-2</v>
      </c>
      <c r="M357" s="17" t="b">
        <f>J357&gt;=Assumptions!$B$8</f>
        <v>0</v>
      </c>
      <c r="N357" s="17" t="b">
        <f>AND(K357&lt;&gt;"",K357&lt;=Assumptions!$B$9)</f>
        <v>0</v>
      </c>
      <c r="O357" s="17" t="b">
        <f>AND(P357&lt;&gt;"",ABS(L357)&lt;=Assumptions!$B$10)</f>
        <v>0</v>
      </c>
      <c r="P357" s="13">
        <v>45685</v>
      </c>
      <c r="Q357" s="14">
        <v>21174.530999999999</v>
      </c>
      <c r="R357" s="15">
        <v>2.0500000000000002E-3</v>
      </c>
      <c r="S357" s="17" t="str">
        <f t="shared" si="55"/>
        <v>BASELINE</v>
      </c>
      <c r="T357" s="16">
        <f t="shared" si="56"/>
        <v>1.0789999999999999E-2</v>
      </c>
      <c r="U357" s="16">
        <f>G357*Assumptions!$B$6</f>
        <v>0.12192699999999999</v>
      </c>
      <c r="V357" s="16">
        <f>T357*Assumptions!$B$6</f>
        <v>0.12192699999999999</v>
      </c>
      <c r="W357" s="16">
        <f t="shared" si="57"/>
        <v>0</v>
      </c>
      <c r="X357" s="18">
        <f t="shared" si="61"/>
        <v>15330554.329618344</v>
      </c>
      <c r="Y357" s="18">
        <f t="shared" si="62"/>
        <v>16293218.785412289</v>
      </c>
      <c r="Z357" s="19">
        <f t="shared" si="58"/>
        <v>-5.9083749409652664E-2</v>
      </c>
      <c r="AA357" s="18">
        <f t="shared" si="63"/>
        <v>63132078.018728055</v>
      </c>
      <c r="AB357" s="18">
        <f t="shared" si="64"/>
        <v>63132078.018728055</v>
      </c>
      <c r="AC357" s="19">
        <f t="shared" si="59"/>
        <v>0</v>
      </c>
      <c r="AD357" s="20">
        <f t="shared" si="60"/>
        <v>47801523.689109713</v>
      </c>
      <c r="AE357" s="9" t="s">
        <v>91</v>
      </c>
    </row>
    <row r="358" spans="1:31" ht="18" customHeight="1">
      <c r="A358" s="4">
        <v>354</v>
      </c>
      <c r="B358" s="13">
        <v>45691</v>
      </c>
      <c r="C358" s="13">
        <v>45691</v>
      </c>
      <c r="D358" s="4" t="s">
        <v>90</v>
      </c>
      <c r="E358" s="14">
        <v>21103.664000000001</v>
      </c>
      <c r="F358" s="14">
        <v>21283.098000000002</v>
      </c>
      <c r="G358" s="15">
        <v>8.5000000000000006E-3</v>
      </c>
      <c r="H358" s="16">
        <f t="shared" si="65"/>
        <v>2.0709999999999999E-2</v>
      </c>
      <c r="I358" s="17" t="b">
        <f>AND(A358&gt;2,H358&lt;=Assumptions!$B$7)</f>
        <v>0</v>
      </c>
      <c r="J358" s="15">
        <v>-1.712055703846771E-2</v>
      </c>
      <c r="K358" s="15">
        <v>2.1635006239360433E-2</v>
      </c>
      <c r="L358" s="15">
        <v>-7.0084542475452594E-3</v>
      </c>
      <c r="M358" s="17" t="b">
        <f>J358&gt;=Assumptions!$B$8</f>
        <v>0</v>
      </c>
      <c r="N358" s="17" t="b">
        <f>AND(K358&lt;&gt;"",K358&lt;=Assumptions!$B$9)</f>
        <v>0</v>
      </c>
      <c r="O358" s="17" t="b">
        <f>AND(P358&lt;&gt;"",ABS(L358)&lt;=Assumptions!$B$10)</f>
        <v>0</v>
      </c>
      <c r="P358" s="13">
        <v>45692</v>
      </c>
      <c r="Q358" s="14">
        <v>21317.187000000002</v>
      </c>
      <c r="R358" s="15">
        <v>-1.5900000000000001E-3</v>
      </c>
      <c r="S358" s="17" t="str">
        <f t="shared" si="55"/>
        <v>BASELINE</v>
      </c>
      <c r="T358" s="16">
        <f t="shared" si="56"/>
        <v>8.5000000000000006E-3</v>
      </c>
      <c r="U358" s="16">
        <f>G358*Assumptions!$B$6</f>
        <v>9.605000000000001E-2</v>
      </c>
      <c r="V358" s="16">
        <f>T358*Assumptions!$B$6</f>
        <v>9.605000000000001E-2</v>
      </c>
      <c r="W358" s="16">
        <f t="shared" si="57"/>
        <v>0</v>
      </c>
      <c r="X358" s="18">
        <f t="shared" si="61"/>
        <v>16803054.072978187</v>
      </c>
      <c r="Y358" s="18">
        <f t="shared" si="62"/>
        <v>16803054.072978187</v>
      </c>
      <c r="Z358" s="19">
        <f t="shared" si="58"/>
        <v>0</v>
      </c>
      <c r="AA358" s="18">
        <f t="shared" si="63"/>
        <v>69195914.112426877</v>
      </c>
      <c r="AB358" s="18">
        <f t="shared" si="64"/>
        <v>69195914.112426877</v>
      </c>
      <c r="AC358" s="19">
        <f t="shared" si="59"/>
        <v>0</v>
      </c>
      <c r="AD358" s="20">
        <f t="shared" si="60"/>
        <v>52392860.039448693</v>
      </c>
      <c r="AE358" s="9" t="s">
        <v>91</v>
      </c>
    </row>
    <row r="359" spans="1:31" ht="18" customHeight="1">
      <c r="A359" s="4">
        <v>355</v>
      </c>
      <c r="B359" s="13">
        <v>45698</v>
      </c>
      <c r="C359" s="13">
        <v>45702</v>
      </c>
      <c r="D359" s="4" t="s">
        <v>93</v>
      </c>
      <c r="E359" s="14">
        <v>21671.330999999998</v>
      </c>
      <c r="F359" s="14">
        <v>22106.907999999999</v>
      </c>
      <c r="G359" s="15">
        <v>2.009E-2</v>
      </c>
      <c r="H359" s="16">
        <f t="shared" si="65"/>
        <v>1.9290000000000002E-2</v>
      </c>
      <c r="I359" s="17" t="b">
        <f>AND(A359&gt;2,H359&lt;=Assumptions!$B$7)</f>
        <v>0</v>
      </c>
      <c r="J359" s="15">
        <v>7.6503256156645882E-3</v>
      </c>
      <c r="K359" s="15">
        <v>1.4847338110759223E-2</v>
      </c>
      <c r="L359" s="15">
        <v>5.8125950411955785E-3</v>
      </c>
      <c r="M359" s="17" t="b">
        <f>J359&gt;=Assumptions!$B$8</f>
        <v>0</v>
      </c>
      <c r="N359" s="17" t="b">
        <f>AND(K359&lt;&gt;"",K359&lt;=Assumptions!$B$9)</f>
        <v>0</v>
      </c>
      <c r="O359" s="17" t="b">
        <f>AND(P359&lt;&gt;"",ABS(L359)&lt;=Assumptions!$B$10)</f>
        <v>0</v>
      </c>
      <c r="P359" s="13">
        <v>45699</v>
      </c>
      <c r="Q359" s="14">
        <v>21610.741999999998</v>
      </c>
      <c r="R359" s="15">
        <v>2.2950000000000002E-2</v>
      </c>
      <c r="S359" s="17" t="str">
        <f t="shared" si="55"/>
        <v>BASELINE</v>
      </c>
      <c r="T359" s="16">
        <f t="shared" si="56"/>
        <v>2.009E-2</v>
      </c>
      <c r="U359" s="16">
        <f>G359*Assumptions!$B$6</f>
        <v>0.22701700000000002</v>
      </c>
      <c r="V359" s="16">
        <f>T359*Assumptions!$B$6</f>
        <v>0.22701700000000002</v>
      </c>
      <c r="W359" s="16">
        <f t="shared" si="57"/>
        <v>0</v>
      </c>
      <c r="X359" s="18">
        <f t="shared" si="61"/>
        <v>20617632.999463476</v>
      </c>
      <c r="Y359" s="18">
        <f t="shared" si="62"/>
        <v>20617632.999463476</v>
      </c>
      <c r="Z359" s="19">
        <f t="shared" si="58"/>
        <v>0</v>
      </c>
      <c r="AA359" s="18">
        <f t="shared" si="63"/>
        <v>84904562.946487695</v>
      </c>
      <c r="AB359" s="18">
        <f t="shared" si="64"/>
        <v>84904562.946487695</v>
      </c>
      <c r="AC359" s="19">
        <f t="shared" si="59"/>
        <v>0</v>
      </c>
      <c r="AD359" s="20">
        <f t="shared" si="60"/>
        <v>64286929.947024219</v>
      </c>
      <c r="AE359" s="9" t="s">
        <v>91</v>
      </c>
    </row>
    <row r="360" spans="1:31" ht="18" customHeight="1">
      <c r="A360" s="4">
        <v>356</v>
      </c>
      <c r="B360" s="13">
        <v>45706</v>
      </c>
      <c r="C360" s="13">
        <v>45708</v>
      </c>
      <c r="D360" s="4" t="s">
        <v>92</v>
      </c>
      <c r="E360" s="14">
        <v>22182.964</v>
      </c>
      <c r="F360" s="14">
        <v>22090.008999999998</v>
      </c>
      <c r="G360" s="15">
        <v>-4.1900000000000001E-3</v>
      </c>
      <c r="H360" s="16">
        <f t="shared" si="65"/>
        <v>2.8590000000000001E-2</v>
      </c>
      <c r="I360" s="17" t="b">
        <f>AND(A360&gt;2,H360&lt;=Assumptions!$B$7)</f>
        <v>0</v>
      </c>
      <c r="J360" s="15">
        <v>3.4403725749436731E-3</v>
      </c>
      <c r="K360" s="15">
        <v>4.8862420849631993E-2</v>
      </c>
      <c r="L360" s="15"/>
      <c r="M360" s="17" t="b">
        <f>J360&gt;=Assumptions!$B$8</f>
        <v>0</v>
      </c>
      <c r="N360" s="17" t="b">
        <f>AND(K360&lt;&gt;"",K360&lt;=Assumptions!$B$9)</f>
        <v>0</v>
      </c>
      <c r="O360" s="17" t="b">
        <f>AND(P360&lt;&gt;"",ABS(L360)&lt;=Assumptions!$B$10)</f>
        <v>0</v>
      </c>
      <c r="P360" s="13"/>
      <c r="Q360" s="14"/>
      <c r="R360" s="15"/>
      <c r="S360" s="17" t="str">
        <f t="shared" si="55"/>
        <v>BASELINE</v>
      </c>
      <c r="T360" s="16">
        <f t="shared" si="56"/>
        <v>-4.1900000000000001E-3</v>
      </c>
      <c r="U360" s="16">
        <f>G360*Assumptions!$B$6</f>
        <v>-4.7347000000000007E-2</v>
      </c>
      <c r="V360" s="16">
        <f>T360*Assumptions!$B$6</f>
        <v>-4.7347000000000007E-2</v>
      </c>
      <c r="W360" s="16">
        <f t="shared" si="57"/>
        <v>0</v>
      </c>
      <c r="X360" s="18">
        <f t="shared" si="61"/>
        <v>19641449.929837879</v>
      </c>
      <c r="Y360" s="18">
        <f t="shared" si="62"/>
        <v>20617632.999463476</v>
      </c>
      <c r="Z360" s="19">
        <f t="shared" si="58"/>
        <v>-4.7347000000000028E-2</v>
      </c>
      <c r="AA360" s="18">
        <f t="shared" si="63"/>
        <v>80884586.604660347</v>
      </c>
      <c r="AB360" s="18">
        <f t="shared" si="64"/>
        <v>84904562.946487695</v>
      </c>
      <c r="AC360" s="19">
        <f t="shared" si="59"/>
        <v>-4.7346999999999917E-2</v>
      </c>
      <c r="AD360" s="20">
        <f t="shared" si="60"/>
        <v>61243136.674822465</v>
      </c>
      <c r="AE360" s="9" t="s">
        <v>91</v>
      </c>
    </row>
    <row r="361" spans="1:31" ht="18" customHeight="1">
      <c r="A361" s="4">
        <v>357</v>
      </c>
      <c r="B361" s="13">
        <v>45712</v>
      </c>
      <c r="C361" s="13">
        <v>45715</v>
      </c>
      <c r="D361" s="4" t="s">
        <v>92</v>
      </c>
      <c r="E361" s="14">
        <v>21686.289000000001</v>
      </c>
      <c r="F361" s="14">
        <v>21177.865000000002</v>
      </c>
      <c r="G361" s="15">
        <v>-2.3439999999999999E-2</v>
      </c>
      <c r="H361" s="16">
        <f t="shared" si="65"/>
        <v>1.5900000000000001E-2</v>
      </c>
      <c r="I361" s="17" t="b">
        <f>AND(A361&gt;2,H361&lt;=Assumptions!$B$7)</f>
        <v>0</v>
      </c>
      <c r="J361" s="15">
        <v>2.7801508034364097E-3</v>
      </c>
      <c r="K361" s="15">
        <v>-1.2315571959604865E-2</v>
      </c>
      <c r="L361" s="15">
        <v>-1.3002168297172934E-2</v>
      </c>
      <c r="M361" s="17" t="b">
        <f>J361&gt;=Assumptions!$B$8</f>
        <v>0</v>
      </c>
      <c r="N361" s="17" t="b">
        <f>AND(K361&lt;&gt;"",K361&lt;=Assumptions!$B$9)</f>
        <v>1</v>
      </c>
      <c r="O361" s="17" t="b">
        <f>AND(P361&lt;&gt;"",ABS(L361)&lt;=Assumptions!$B$10)</f>
        <v>0</v>
      </c>
      <c r="P361" s="13">
        <v>45713</v>
      </c>
      <c r="Q361" s="14">
        <v>21327.331999999999</v>
      </c>
      <c r="R361" s="15">
        <v>-7.0000000000000001E-3</v>
      </c>
      <c r="S361" s="17" t="str">
        <f t="shared" si="55"/>
        <v>BASELINE</v>
      </c>
      <c r="T361" s="16">
        <f t="shared" si="56"/>
        <v>-2.3439999999999999E-2</v>
      </c>
      <c r="U361" s="16">
        <f>G361*Assumptions!$B$6</f>
        <v>-0.264872</v>
      </c>
      <c r="V361" s="16">
        <f>T361*Assumptions!$B$6</f>
        <v>-0.264872</v>
      </c>
      <c r="W361" s="16">
        <f t="shared" si="57"/>
        <v>0</v>
      </c>
      <c r="X361" s="18">
        <f t="shared" si="61"/>
        <v>14438979.80402186</v>
      </c>
      <c r="Y361" s="18">
        <f t="shared" si="62"/>
        <v>20617632.999463476</v>
      </c>
      <c r="Z361" s="19">
        <f t="shared" si="58"/>
        <v>-0.29967810541600004</v>
      </c>
      <c r="AA361" s="18">
        <f t="shared" si="63"/>
        <v>59460524.381510749</v>
      </c>
      <c r="AB361" s="18">
        <f t="shared" si="64"/>
        <v>84904562.946487695</v>
      </c>
      <c r="AC361" s="19">
        <f t="shared" si="59"/>
        <v>-0.29967810541599993</v>
      </c>
      <c r="AD361" s="20">
        <f t="shared" si="60"/>
        <v>45021544.577488892</v>
      </c>
      <c r="AE361" s="9" t="s">
        <v>91</v>
      </c>
    </row>
    <row r="362" spans="1:31" ht="18" customHeight="1">
      <c r="A362" s="4">
        <v>358</v>
      </c>
      <c r="B362" s="13">
        <v>45719</v>
      </c>
      <c r="C362" s="13">
        <v>45722</v>
      </c>
      <c r="D362" s="4" t="s">
        <v>92</v>
      </c>
      <c r="E362" s="14">
        <v>21008.789000000001</v>
      </c>
      <c r="F362" s="14">
        <v>20573.498</v>
      </c>
      <c r="G362" s="15">
        <v>-2.0709999999999999E-2</v>
      </c>
      <c r="H362" s="16">
        <f t="shared" si="65"/>
        <v>-2.7629999999999998E-2</v>
      </c>
      <c r="I362" s="17" t="b">
        <f>AND(A362&gt;2,H362&lt;=Assumptions!$B$7)</f>
        <v>1</v>
      </c>
      <c r="J362" s="15">
        <v>6.6689794394816371E-3</v>
      </c>
      <c r="K362" s="15">
        <v>-2.8446917404948757E-2</v>
      </c>
      <c r="L362" s="15">
        <v>-2.7531759076414808E-2</v>
      </c>
      <c r="M362" s="17" t="b">
        <f>J362&gt;=Assumptions!$B$8</f>
        <v>0</v>
      </c>
      <c r="N362" s="17" t="b">
        <f>AND(K362&lt;&gt;"",K362&lt;=Assumptions!$B$9)</f>
        <v>1</v>
      </c>
      <c r="O362" s="17" t="b">
        <f>AND(P362&lt;&gt;"",ABS(L362)&lt;=Assumptions!$B$10)</f>
        <v>0</v>
      </c>
      <c r="P362" s="13">
        <v>45720</v>
      </c>
      <c r="Q362" s="14">
        <v>20301.02</v>
      </c>
      <c r="R362" s="15">
        <v>1.342E-2</v>
      </c>
      <c r="S362" s="17" t="str">
        <f t="shared" si="55"/>
        <v>DAMAGE SKIP</v>
      </c>
      <c r="T362" s="16">
        <f t="shared" si="56"/>
        <v>0</v>
      </c>
      <c r="U362" s="16">
        <f>G362*Assumptions!$B$6</f>
        <v>-0.23402300000000001</v>
      </c>
      <c r="V362" s="16">
        <f>T362*Assumptions!$B$6</f>
        <v>0</v>
      </c>
      <c r="W362" s="16">
        <f t="shared" si="57"/>
        <v>0.23402300000000001</v>
      </c>
      <c r="X362" s="18">
        <f t="shared" si="61"/>
        <v>11059926.433345253</v>
      </c>
      <c r="Y362" s="18">
        <f t="shared" si="62"/>
        <v>20617632.999463476</v>
      </c>
      <c r="Z362" s="19">
        <f t="shared" si="58"/>
        <v>-0.4635695361522314</v>
      </c>
      <c r="AA362" s="18">
        <f t="shared" si="63"/>
        <v>59460524.381510749</v>
      </c>
      <c r="AB362" s="18">
        <f t="shared" si="64"/>
        <v>84904562.946487695</v>
      </c>
      <c r="AC362" s="19">
        <f t="shared" si="59"/>
        <v>-0.29967810541599993</v>
      </c>
      <c r="AD362" s="20">
        <f t="shared" si="60"/>
        <v>48400597.948165499</v>
      </c>
      <c r="AE362" s="9" t="s">
        <v>94</v>
      </c>
    </row>
    <row r="363" spans="1:31" ht="18" customHeight="1">
      <c r="A363" s="4">
        <v>359</v>
      </c>
      <c r="B363" s="13">
        <v>45726</v>
      </c>
      <c r="C363" s="13">
        <v>45729</v>
      </c>
      <c r="D363" s="4" t="s">
        <v>92</v>
      </c>
      <c r="E363" s="14">
        <v>19853.82</v>
      </c>
      <c r="F363" s="14">
        <v>19565.298999999999</v>
      </c>
      <c r="G363" s="15">
        <v>-1.453E-2</v>
      </c>
      <c r="H363" s="16">
        <f t="shared" si="65"/>
        <v>-2.3439999999999999E-2</v>
      </c>
      <c r="I363" s="17" t="b">
        <f>AND(A363&gt;2,H363&lt;=Assumptions!$B$7)</f>
        <v>1</v>
      </c>
      <c r="J363" s="15">
        <v>-1.6159091698579986E-2</v>
      </c>
      <c r="K363" s="15">
        <v>-7.1393992572029386E-2</v>
      </c>
      <c r="L363" s="15">
        <v>-3.9528935482162963E-2</v>
      </c>
      <c r="M363" s="17" t="b">
        <f>J363&gt;=Assumptions!$B$8</f>
        <v>0</v>
      </c>
      <c r="N363" s="17" t="b">
        <f>AND(K363&lt;&gt;"",K363&lt;=Assumptions!$B$9)</f>
        <v>1</v>
      </c>
      <c r="O363" s="17" t="b">
        <f>AND(P363&lt;&gt;"",ABS(L363)&lt;=Assumptions!$B$10)</f>
        <v>0</v>
      </c>
      <c r="P363" s="13">
        <v>45727</v>
      </c>
      <c r="Q363" s="14">
        <v>19389.808000000001</v>
      </c>
      <c r="R363" s="15">
        <v>9.0500000000000008E-3</v>
      </c>
      <c r="S363" s="17" t="str">
        <f t="shared" si="55"/>
        <v>DAMAGE SKIP</v>
      </c>
      <c r="T363" s="16">
        <f t="shared" si="56"/>
        <v>0</v>
      </c>
      <c r="U363" s="16">
        <f>G363*Assumptions!$B$6</f>
        <v>-0.164189</v>
      </c>
      <c r="V363" s="16">
        <f>T363*Assumptions!$B$6</f>
        <v>0</v>
      </c>
      <c r="W363" s="16">
        <f t="shared" si="57"/>
        <v>0.164189</v>
      </c>
      <c r="X363" s="18">
        <f t="shared" si="61"/>
        <v>9244008.172180729</v>
      </c>
      <c r="Y363" s="18">
        <f t="shared" si="62"/>
        <v>20617632.999463476</v>
      </c>
      <c r="Z363" s="19">
        <f t="shared" si="58"/>
        <v>-0.55164551758093272</v>
      </c>
      <c r="AA363" s="18">
        <f t="shared" si="63"/>
        <v>59460524.381510749</v>
      </c>
      <c r="AB363" s="18">
        <f t="shared" si="64"/>
        <v>84904562.946487695</v>
      </c>
      <c r="AC363" s="19">
        <f t="shared" si="59"/>
        <v>-0.29967810541599993</v>
      </c>
      <c r="AD363" s="20">
        <f t="shared" si="60"/>
        <v>50216516.209330022</v>
      </c>
      <c r="AE363" s="9" t="s">
        <v>94</v>
      </c>
    </row>
    <row r="364" spans="1:31" ht="18" customHeight="1">
      <c r="A364" s="4">
        <v>360</v>
      </c>
      <c r="B364" s="13">
        <v>45733</v>
      </c>
      <c r="C364" s="13">
        <v>45734</v>
      </c>
      <c r="D364" s="4" t="s">
        <v>98</v>
      </c>
      <c r="E364" s="14">
        <v>19686.831999999999</v>
      </c>
      <c r="F364" s="14">
        <v>19835.542000000001</v>
      </c>
      <c r="G364" s="15">
        <v>7.5500000000000003E-3</v>
      </c>
      <c r="H364" s="16">
        <f t="shared" si="65"/>
        <v>0</v>
      </c>
      <c r="I364" s="17" t="b">
        <f>AND(A364&gt;2,H364&lt;=Assumptions!$B$7)</f>
        <v>0</v>
      </c>
      <c r="J364" s="15">
        <v>1.3360246768086004E-3</v>
      </c>
      <c r="K364" s="15">
        <v>-0.10494447787524608</v>
      </c>
      <c r="L364" s="15">
        <v>-5.2197951334809201E-4</v>
      </c>
      <c r="M364" s="17" t="b">
        <f>J364&gt;=Assumptions!$B$8</f>
        <v>0</v>
      </c>
      <c r="N364" s="17" t="b">
        <f>AND(K364&lt;&gt;"",K364&lt;=Assumptions!$B$9)</f>
        <v>1</v>
      </c>
      <c r="O364" s="17" t="b">
        <f>AND(P364&lt;&gt;"",ABS(L364)&lt;=Assumptions!$B$10)</f>
        <v>1</v>
      </c>
      <c r="P364" s="13">
        <v>45734</v>
      </c>
      <c r="Q364" s="14">
        <v>19679.187000000002</v>
      </c>
      <c r="R364" s="15">
        <v>7.9399999999999991E-3</v>
      </c>
      <c r="S364" s="17" t="str">
        <f t="shared" si="55"/>
        <v>BASELINE</v>
      </c>
      <c r="T364" s="16">
        <f t="shared" si="56"/>
        <v>7.5500000000000003E-3</v>
      </c>
      <c r="U364" s="16">
        <f>G364*Assumptions!$B$6</f>
        <v>8.5315000000000002E-2</v>
      </c>
      <c r="V364" s="16">
        <f>T364*Assumptions!$B$6</f>
        <v>8.5315000000000002E-2</v>
      </c>
      <c r="W364" s="16">
        <f t="shared" si="57"/>
        <v>0</v>
      </c>
      <c r="X364" s="18">
        <f t="shared" si="61"/>
        <v>10032660.729390329</v>
      </c>
      <c r="Y364" s="18">
        <f t="shared" si="62"/>
        <v>20617632.999463476</v>
      </c>
      <c r="Z364" s="19">
        <f t="shared" si="58"/>
        <v>-0.51339415491334994</v>
      </c>
      <c r="AA364" s="18">
        <f t="shared" si="63"/>
        <v>64533399.019119337</v>
      </c>
      <c r="AB364" s="18">
        <f t="shared" si="64"/>
        <v>84904562.946487695</v>
      </c>
      <c r="AC364" s="19">
        <f t="shared" si="59"/>
        <v>-0.23993014297956605</v>
      </c>
      <c r="AD364" s="20">
        <f t="shared" si="60"/>
        <v>54500738.289729007</v>
      </c>
      <c r="AE364" s="9" t="s">
        <v>91</v>
      </c>
    </row>
    <row r="365" spans="1:31" ht="18" customHeight="1">
      <c r="A365" s="4">
        <v>361</v>
      </c>
      <c r="B365" s="13">
        <v>45740</v>
      </c>
      <c r="C365" s="13">
        <v>45743</v>
      </c>
      <c r="D365" s="4" t="s">
        <v>92</v>
      </c>
      <c r="E365" s="14">
        <v>20052.674999999999</v>
      </c>
      <c r="F365" s="14">
        <v>19822.442999999999</v>
      </c>
      <c r="G365" s="15">
        <v>-1.1480000000000001E-2</v>
      </c>
      <c r="H365" s="16">
        <f t="shared" si="65"/>
        <v>7.5500000000000003E-3</v>
      </c>
      <c r="I365" s="17" t="b">
        <f>AND(A365&gt;2,H365&lt;=Assumptions!$B$7)</f>
        <v>0</v>
      </c>
      <c r="J365" s="15">
        <v>1.5708868695834433E-2</v>
      </c>
      <c r="K365" s="15">
        <v>-8.5995160832824102E-2</v>
      </c>
      <c r="L365" s="15">
        <v>2.3464771600669732E-2</v>
      </c>
      <c r="M365" s="17" t="b">
        <f>J365&gt;=Assumptions!$B$8</f>
        <v>1</v>
      </c>
      <c r="N365" s="17" t="b">
        <f>AND(K365&lt;&gt;"",K365&lt;=Assumptions!$B$9)</f>
        <v>1</v>
      </c>
      <c r="O365" s="17" t="b">
        <f>AND(P365&lt;&gt;"",ABS(L365)&lt;=Assumptions!$B$10)</f>
        <v>0</v>
      </c>
      <c r="P365" s="13">
        <v>45741</v>
      </c>
      <c r="Q365" s="14">
        <v>20196.263999999999</v>
      </c>
      <c r="R365" s="15">
        <v>-1.8499999999999999E-2</v>
      </c>
      <c r="S365" s="17" t="str">
        <f t="shared" si="55"/>
        <v>GAP/MOM SKIP</v>
      </c>
      <c r="T365" s="16">
        <f t="shared" si="56"/>
        <v>0</v>
      </c>
      <c r="U365" s="16">
        <f>G365*Assumptions!$B$6</f>
        <v>-0.12972400000000001</v>
      </c>
      <c r="V365" s="16">
        <f>T365*Assumptions!$B$6</f>
        <v>0</v>
      </c>
      <c r="W365" s="16">
        <f t="shared" si="57"/>
        <v>0.12972400000000001</v>
      </c>
      <c r="X365" s="18">
        <f t="shared" si="61"/>
        <v>8731183.8489308991</v>
      </c>
      <c r="Y365" s="18">
        <f t="shared" si="62"/>
        <v>20617632.999463476</v>
      </c>
      <c r="Z365" s="19">
        <f t="shared" si="58"/>
        <v>-0.57651861156137052</v>
      </c>
      <c r="AA365" s="18">
        <f t="shared" si="63"/>
        <v>64533399.019119337</v>
      </c>
      <c r="AB365" s="18">
        <f t="shared" si="64"/>
        <v>84904562.946487695</v>
      </c>
      <c r="AC365" s="19">
        <f t="shared" si="59"/>
        <v>-0.23993014297956605</v>
      </c>
      <c r="AD365" s="20">
        <f t="shared" si="60"/>
        <v>55802215.170188442</v>
      </c>
      <c r="AE365" s="9" t="s">
        <v>102</v>
      </c>
    </row>
    <row r="366" spans="1:31" ht="18" customHeight="1">
      <c r="A366" s="4">
        <v>362</v>
      </c>
      <c r="B366" s="13">
        <v>45747</v>
      </c>
      <c r="C366" s="13">
        <v>45747</v>
      </c>
      <c r="D366" s="4" t="s">
        <v>90</v>
      </c>
      <c r="E366" s="14">
        <v>18987.652999999998</v>
      </c>
      <c r="F366" s="14">
        <v>19231.075000000001</v>
      </c>
      <c r="G366" s="15">
        <v>1.282E-2</v>
      </c>
      <c r="H366" s="16">
        <f t="shared" si="65"/>
        <v>7.5500000000000003E-3</v>
      </c>
      <c r="I366" s="17" t="b">
        <f>AND(A366&gt;2,H366&lt;=Assumptions!$B$7)</f>
        <v>0</v>
      </c>
      <c r="J366" s="15">
        <v>-1.4581021390802085E-2</v>
      </c>
      <c r="K366" s="15">
        <v>-7.5823686378381328E-2</v>
      </c>
      <c r="L366" s="15">
        <v>-3.4972491150253582E-3</v>
      </c>
      <c r="M366" s="17" t="b">
        <f>J366&gt;=Assumptions!$B$8</f>
        <v>0</v>
      </c>
      <c r="N366" s="17" t="b">
        <f>AND(K366&lt;&gt;"",K366&lt;=Assumptions!$B$9)</f>
        <v>1</v>
      </c>
      <c r="O366" s="17" t="b">
        <f>AND(P366&lt;&gt;"",ABS(L366)&lt;=Assumptions!$B$10)</f>
        <v>1</v>
      </c>
      <c r="P366" s="13">
        <v>45748</v>
      </c>
      <c r="Q366" s="14">
        <v>19206.341</v>
      </c>
      <c r="R366" s="15">
        <v>1.2800000000000001E-3</v>
      </c>
      <c r="S366" s="17" t="str">
        <f t="shared" si="55"/>
        <v>BASELINE</v>
      </c>
      <c r="T366" s="16">
        <f t="shared" si="56"/>
        <v>1.282E-2</v>
      </c>
      <c r="U366" s="16">
        <f>G366*Assumptions!$B$6</f>
        <v>0.14486599999999999</v>
      </c>
      <c r="V366" s="16">
        <f>T366*Assumptions!$B$6</f>
        <v>0.14486599999999999</v>
      </c>
      <c r="W366" s="16">
        <f t="shared" si="57"/>
        <v>0</v>
      </c>
      <c r="X366" s="18">
        <f t="shared" si="61"/>
        <v>9996035.5283901226</v>
      </c>
      <c r="Y366" s="18">
        <f t="shared" si="62"/>
        <v>20617632.999463476</v>
      </c>
      <c r="Z366" s="19">
        <f t="shared" si="58"/>
        <v>-0.51517055674381995</v>
      </c>
      <c r="AA366" s="18">
        <f t="shared" si="63"/>
        <v>73882094.401423082</v>
      </c>
      <c r="AB366" s="18">
        <f t="shared" si="64"/>
        <v>84904562.946487695</v>
      </c>
      <c r="AC366" s="19">
        <f t="shared" si="59"/>
        <v>-0.12982186307244381</v>
      </c>
      <c r="AD366" s="20">
        <f t="shared" si="60"/>
        <v>63886058.873032957</v>
      </c>
      <c r="AE366" s="9" t="s">
        <v>91</v>
      </c>
    </row>
    <row r="367" spans="1:31" ht="18" customHeight="1">
      <c r="A367" s="4">
        <v>363</v>
      </c>
      <c r="B367" s="13">
        <v>45754</v>
      </c>
      <c r="C367" s="13">
        <v>45754</v>
      </c>
      <c r="D367" s="4" t="s">
        <v>90</v>
      </c>
      <c r="E367" s="14">
        <v>16783.953000000001</v>
      </c>
      <c r="F367" s="14">
        <v>17451.608</v>
      </c>
      <c r="G367" s="15">
        <v>3.977E-2</v>
      </c>
      <c r="H367" s="16">
        <f t="shared" si="65"/>
        <v>1.282E-2</v>
      </c>
      <c r="I367" s="17" t="b">
        <f>AND(A367&gt;2,H367&lt;=Assumptions!$B$7)</f>
        <v>0</v>
      </c>
      <c r="J367" s="15">
        <v>-3.5661658095480386E-2</v>
      </c>
      <c r="K367" s="15">
        <v>-0.13926664467333794</v>
      </c>
      <c r="L367" s="15">
        <v>3.66479759623346E-2</v>
      </c>
      <c r="M367" s="17" t="b">
        <f>J367&gt;=Assumptions!$B$8</f>
        <v>0</v>
      </c>
      <c r="N367" s="17" t="b">
        <f>AND(K367&lt;&gt;"",K367&lt;=Assumptions!$B$9)</f>
        <v>1</v>
      </c>
      <c r="O367" s="17" t="b">
        <f>AND(P367&lt;&gt;"",ABS(L367)&lt;=Assumptions!$B$10)</f>
        <v>0</v>
      </c>
      <c r="P367" s="13">
        <v>45755</v>
      </c>
      <c r="Q367" s="14">
        <v>18019.308000000001</v>
      </c>
      <c r="R367" s="15">
        <v>-3.15E-2</v>
      </c>
      <c r="S367" s="17" t="str">
        <f t="shared" si="55"/>
        <v>BASELINE</v>
      </c>
      <c r="T367" s="16">
        <f t="shared" si="56"/>
        <v>3.977E-2</v>
      </c>
      <c r="U367" s="16">
        <f>G367*Assumptions!$B$6</f>
        <v>0.44940100000000005</v>
      </c>
      <c r="V367" s="16">
        <f>T367*Assumptions!$B$6</f>
        <v>0.44940100000000005</v>
      </c>
      <c r="W367" s="16">
        <f t="shared" si="57"/>
        <v>0</v>
      </c>
      <c r="X367" s="18">
        <f t="shared" si="61"/>
        <v>14488263.890884172</v>
      </c>
      <c r="Y367" s="18">
        <f t="shared" si="62"/>
        <v>20617632.999463476</v>
      </c>
      <c r="Z367" s="19">
        <f t="shared" si="58"/>
        <v>-0.29728772011504934</v>
      </c>
      <c r="AA367" s="18">
        <f t="shared" si="63"/>
        <v>107084781.50751701</v>
      </c>
      <c r="AB367" s="18">
        <f t="shared" si="64"/>
        <v>107084781.50751701</v>
      </c>
      <c r="AC367" s="19">
        <f t="shared" si="59"/>
        <v>0</v>
      </c>
      <c r="AD367" s="20">
        <f t="shared" si="60"/>
        <v>92596517.616632834</v>
      </c>
      <c r="AE367" s="9" t="s">
        <v>91</v>
      </c>
    </row>
    <row r="368" spans="1:31" ht="18" customHeight="1">
      <c r="A368" s="4">
        <v>364</v>
      </c>
      <c r="B368" s="13">
        <v>45761</v>
      </c>
      <c r="C368" s="13">
        <v>45764</v>
      </c>
      <c r="D368" s="4" t="s">
        <v>92</v>
      </c>
      <c r="E368" s="14">
        <v>19091.399000000001</v>
      </c>
      <c r="F368" s="14">
        <v>18297.819</v>
      </c>
      <c r="G368" s="15">
        <v>-4.156E-2</v>
      </c>
      <c r="H368" s="16">
        <f t="shared" si="65"/>
        <v>5.2589999999999998E-2</v>
      </c>
      <c r="I368" s="17" t="b">
        <f>AND(A368&gt;2,H368&lt;=Assumptions!$B$7)</f>
        <v>0</v>
      </c>
      <c r="J368" s="15">
        <v>2.1724039661823014E-2</v>
      </c>
      <c r="K368" s="15">
        <v>-5.1250036538566079E-2</v>
      </c>
      <c r="L368" s="15">
        <v>9.1109154929578384E-3</v>
      </c>
      <c r="M368" s="17" t="b">
        <f>J368&gt;=Assumptions!$B$8</f>
        <v>1</v>
      </c>
      <c r="N368" s="17" t="b">
        <f>AND(K368&lt;&gt;"",K368&lt;=Assumptions!$B$9)</f>
        <v>1</v>
      </c>
      <c r="O368" s="17" t="b">
        <f>AND(P368&lt;&gt;"",ABS(L368)&lt;=Assumptions!$B$10)</f>
        <v>0</v>
      </c>
      <c r="P368" s="13">
        <v>45762</v>
      </c>
      <c r="Q368" s="14">
        <v>18847.843000000001</v>
      </c>
      <c r="R368" s="15">
        <v>-2.9180000000000001E-2</v>
      </c>
      <c r="S368" s="17" t="str">
        <f t="shared" si="55"/>
        <v>GAP/MOM SKIP</v>
      </c>
      <c r="T368" s="16">
        <f t="shared" si="56"/>
        <v>0</v>
      </c>
      <c r="U368" s="16">
        <f>G368*Assumptions!$B$6</f>
        <v>-0.46962800000000005</v>
      </c>
      <c r="V368" s="16">
        <f>T368*Assumptions!$B$6</f>
        <v>0</v>
      </c>
      <c r="W368" s="16">
        <f t="shared" si="57"/>
        <v>0.46962800000000005</v>
      </c>
      <c r="X368" s="18">
        <f t="shared" si="61"/>
        <v>7684169.4963360196</v>
      </c>
      <c r="Y368" s="18">
        <f t="shared" si="62"/>
        <v>20617632.999463476</v>
      </c>
      <c r="Z368" s="19">
        <f t="shared" si="58"/>
        <v>-0.627301082692859</v>
      </c>
      <c r="AA368" s="18">
        <f t="shared" si="63"/>
        <v>107084781.50751701</v>
      </c>
      <c r="AB368" s="18">
        <f t="shared" si="64"/>
        <v>107084781.50751701</v>
      </c>
      <c r="AC368" s="19">
        <f t="shared" si="59"/>
        <v>0</v>
      </c>
      <c r="AD368" s="20">
        <f t="shared" si="60"/>
        <v>99400612.011180997</v>
      </c>
      <c r="AE368" s="9" t="s">
        <v>102</v>
      </c>
    </row>
    <row r="369" spans="1:31" ht="18" customHeight="1">
      <c r="A369" s="4">
        <v>365</v>
      </c>
      <c r="B369" s="13">
        <v>45768</v>
      </c>
      <c r="C369" s="13">
        <v>45771</v>
      </c>
      <c r="D369" s="4" t="s">
        <v>90</v>
      </c>
      <c r="E369" s="14">
        <v>18006.686000000002</v>
      </c>
      <c r="F369" s="14">
        <v>19203.52</v>
      </c>
      <c r="G369" s="15">
        <v>6.6460000000000005E-2</v>
      </c>
      <c r="H369" s="16">
        <f t="shared" si="65"/>
        <v>3.977E-2</v>
      </c>
      <c r="I369" s="17" t="b">
        <f>AND(A369&gt;2,H369&lt;=Assumptions!$B$7)</f>
        <v>0</v>
      </c>
      <c r="J369" s="15">
        <v>-1.3619864586330688E-2</v>
      </c>
      <c r="K369" s="15">
        <v>-7.1982480299740637E-2</v>
      </c>
      <c r="L369" s="15">
        <v>-1.1889214140959337E-2</v>
      </c>
      <c r="M369" s="17" t="b">
        <f>J369&gt;=Assumptions!$B$8</f>
        <v>0</v>
      </c>
      <c r="N369" s="17" t="b">
        <f>AND(K369&lt;&gt;"",K369&lt;=Assumptions!$B$9)</f>
        <v>1</v>
      </c>
      <c r="O369" s="17" t="b">
        <f>AND(P369&lt;&gt;"",ABS(L369)&lt;=Assumptions!$B$10)</f>
        <v>0</v>
      </c>
      <c r="P369" s="13">
        <v>45769</v>
      </c>
      <c r="Q369" s="14">
        <v>18042.876</v>
      </c>
      <c r="R369" s="15">
        <v>6.4320000000000002E-2</v>
      </c>
      <c r="S369" s="17" t="str">
        <f t="shared" si="55"/>
        <v>BASELINE</v>
      </c>
      <c r="T369" s="16">
        <f t="shared" si="56"/>
        <v>6.6460000000000005E-2</v>
      </c>
      <c r="U369" s="16">
        <f>G369*Assumptions!$B$6</f>
        <v>0.75099800000000005</v>
      </c>
      <c r="V369" s="16">
        <f>T369*Assumptions!$B$6</f>
        <v>0.75099800000000005</v>
      </c>
      <c r="W369" s="16">
        <f t="shared" si="57"/>
        <v>0</v>
      </c>
      <c r="X369" s="18">
        <f t="shared" si="61"/>
        <v>13454965.419745378</v>
      </c>
      <c r="Y369" s="18">
        <f t="shared" si="62"/>
        <v>20617632.999463476</v>
      </c>
      <c r="Z369" s="19">
        <f t="shared" si="58"/>
        <v>-0.34740494119303067</v>
      </c>
      <c r="AA369" s="18">
        <f t="shared" si="63"/>
        <v>187505238.25009927</v>
      </c>
      <c r="AB369" s="18">
        <f t="shared" si="64"/>
        <v>187505238.25009927</v>
      </c>
      <c r="AC369" s="19">
        <f t="shared" si="59"/>
        <v>0</v>
      </c>
      <c r="AD369" s="20">
        <f t="shared" si="60"/>
        <v>174050272.83035389</v>
      </c>
      <c r="AE369" s="9" t="s">
        <v>91</v>
      </c>
    </row>
    <row r="370" spans="1:31" ht="18" customHeight="1">
      <c r="A370" s="4">
        <v>366</v>
      </c>
      <c r="B370" s="13">
        <v>45775</v>
      </c>
      <c r="C370" s="13">
        <v>45779</v>
      </c>
      <c r="D370" s="4" t="s">
        <v>93</v>
      </c>
      <c r="E370" s="14">
        <v>19440.932000000001</v>
      </c>
      <c r="F370" s="14">
        <v>20090.589</v>
      </c>
      <c r="G370" s="15">
        <v>3.3410000000000002E-2</v>
      </c>
      <c r="H370" s="16">
        <f t="shared" si="65"/>
        <v>6.6460000000000005E-2</v>
      </c>
      <c r="I370" s="17" t="b">
        <f>AND(A370&gt;2,H370&lt;=Assumptions!$B$7)</f>
        <v>0</v>
      </c>
      <c r="J370" s="15">
        <v>1.8752617070472155E-4</v>
      </c>
      <c r="K370" s="15">
        <v>-1.8811511149869231E-2</v>
      </c>
      <c r="L370" s="15">
        <v>-5.0575588285085571E-3</v>
      </c>
      <c r="M370" s="17" t="b">
        <f>J370&gt;=Assumptions!$B$8</f>
        <v>0</v>
      </c>
      <c r="N370" s="17" t="b">
        <f>AND(K370&lt;&gt;"",K370&lt;=Assumptions!$B$9)</f>
        <v>1</v>
      </c>
      <c r="O370" s="17" t="b">
        <f>AND(P370&lt;&gt;"",ABS(L370)&lt;=Assumptions!$B$10)</f>
        <v>0</v>
      </c>
      <c r="P370" s="13">
        <v>45776</v>
      </c>
      <c r="Q370" s="14">
        <v>19324.886999999999</v>
      </c>
      <c r="R370" s="15">
        <v>3.9620000000000002E-2</v>
      </c>
      <c r="S370" s="17" t="str">
        <f t="shared" si="55"/>
        <v>BASELINE</v>
      </c>
      <c r="T370" s="16">
        <f t="shared" si="56"/>
        <v>3.3410000000000002E-2</v>
      </c>
      <c r="U370" s="16">
        <f>G370*Assumptions!$B$6</f>
        <v>0.37753300000000006</v>
      </c>
      <c r="V370" s="16">
        <f>T370*Assumptions!$B$6</f>
        <v>0.37753300000000006</v>
      </c>
      <c r="W370" s="16">
        <f t="shared" si="57"/>
        <v>0</v>
      </c>
      <c r="X370" s="18">
        <f t="shared" si="61"/>
        <v>18534658.879558112</v>
      </c>
      <c r="Y370" s="18">
        <f t="shared" si="62"/>
        <v>20617632.999463476</v>
      </c>
      <c r="Z370" s="19">
        <f t="shared" si="58"/>
        <v>-0.101028770856459</v>
      </c>
      <c r="AA370" s="18">
        <f t="shared" si="63"/>
        <v>258294653.36237401</v>
      </c>
      <c r="AB370" s="18">
        <f t="shared" si="64"/>
        <v>258294653.36237401</v>
      </c>
      <c r="AC370" s="19">
        <f t="shared" si="59"/>
        <v>0</v>
      </c>
      <c r="AD370" s="20">
        <f t="shared" si="60"/>
        <v>239759994.48281589</v>
      </c>
      <c r="AE370" s="9" t="s">
        <v>91</v>
      </c>
    </row>
    <row r="371" spans="1:31" ht="18" customHeight="1">
      <c r="A371" s="4">
        <v>367</v>
      </c>
      <c r="B371" s="13">
        <v>45782</v>
      </c>
      <c r="C371" s="13">
        <v>45784</v>
      </c>
      <c r="D371" s="4" t="s">
        <v>99</v>
      </c>
      <c r="E371" s="14">
        <v>19914.888999999999</v>
      </c>
      <c r="F371" s="14">
        <v>20011.32</v>
      </c>
      <c r="G371" s="15">
        <v>4.8399999999999997E-3</v>
      </c>
      <c r="H371" s="16">
        <f t="shared" si="65"/>
        <v>9.9870000000000014E-2</v>
      </c>
      <c r="I371" s="17" t="b">
        <f>AND(A371&gt;2,H371&lt;=Assumptions!$B$7)</f>
        <v>0</v>
      </c>
      <c r="J371" s="15">
        <v>-8.7453882014111306E-3</v>
      </c>
      <c r="K371" s="15">
        <v>8.4697998491101822E-2</v>
      </c>
      <c r="L371" s="15">
        <v>-1.8963647893950775E-2</v>
      </c>
      <c r="M371" s="17" t="b">
        <f>J371&gt;=Assumptions!$B$8</f>
        <v>0</v>
      </c>
      <c r="N371" s="17" t="b">
        <f>AND(K371&lt;&gt;"",K371&lt;=Assumptions!$B$9)</f>
        <v>0</v>
      </c>
      <c r="O371" s="17" t="b">
        <f>AND(P371&lt;&gt;"",ABS(L371)&lt;=Assumptions!$B$10)</f>
        <v>0</v>
      </c>
      <c r="P371" s="13">
        <v>45783</v>
      </c>
      <c r="Q371" s="14">
        <v>19706.486000000001</v>
      </c>
      <c r="R371" s="15">
        <v>1.546E-2</v>
      </c>
      <c r="S371" s="17" t="str">
        <f t="shared" si="55"/>
        <v>BASELINE</v>
      </c>
      <c r="T371" s="16">
        <f t="shared" si="56"/>
        <v>4.8399999999999997E-3</v>
      </c>
      <c r="U371" s="16">
        <f>G371*Assumptions!$B$6</f>
        <v>5.4691999999999998E-2</v>
      </c>
      <c r="V371" s="16">
        <f>T371*Assumptions!$B$6</f>
        <v>5.4691999999999998E-2</v>
      </c>
      <c r="W371" s="16">
        <f t="shared" si="57"/>
        <v>0</v>
      </c>
      <c r="X371" s="18">
        <f t="shared" si="61"/>
        <v>19548356.442998905</v>
      </c>
      <c r="Y371" s="18">
        <f t="shared" si="62"/>
        <v>20617632.999463476</v>
      </c>
      <c r="Z371" s="19">
        <f t="shared" si="58"/>
        <v>-5.1862236392140493E-2</v>
      </c>
      <c r="AA371" s="18">
        <f t="shared" si="63"/>
        <v>272421304.54406893</v>
      </c>
      <c r="AB371" s="18">
        <f t="shared" si="64"/>
        <v>272421304.54406893</v>
      </c>
      <c r="AC371" s="19">
        <f t="shared" si="59"/>
        <v>0</v>
      </c>
      <c r="AD371" s="20">
        <f t="shared" si="60"/>
        <v>252872948.10107002</v>
      </c>
      <c r="AE371" s="9" t="s">
        <v>91</v>
      </c>
    </row>
    <row r="372" spans="1:31" ht="18" customHeight="1">
      <c r="A372" s="4">
        <v>368</v>
      </c>
      <c r="B372" s="13">
        <v>45789</v>
      </c>
      <c r="C372" s="13">
        <v>45793</v>
      </c>
      <c r="D372" s="4" t="s">
        <v>93</v>
      </c>
      <c r="E372" s="14">
        <v>20841.598999999998</v>
      </c>
      <c r="F372" s="14">
        <v>21412.486000000001</v>
      </c>
      <c r="G372" s="15">
        <v>2.7390000000000001E-2</v>
      </c>
      <c r="H372" s="16">
        <f t="shared" si="65"/>
        <v>3.8249999999999999E-2</v>
      </c>
      <c r="I372" s="17" t="b">
        <f>AND(A372&gt;2,H372&lt;=Assumptions!$B$7)</f>
        <v>0</v>
      </c>
      <c r="J372" s="15">
        <v>3.8848145362185393E-2</v>
      </c>
      <c r="K372" s="15">
        <v>9.3661750862880533E-2</v>
      </c>
      <c r="L372" s="15">
        <v>4.3424800704961353E-2</v>
      </c>
      <c r="M372" s="17" t="b">
        <f>J372&gt;=Assumptions!$B$8</f>
        <v>1</v>
      </c>
      <c r="N372" s="17" t="b">
        <f>AND(K372&lt;&gt;"",K372&lt;=Assumptions!$B$9)</f>
        <v>0</v>
      </c>
      <c r="O372" s="17" t="b">
        <f>AND(P372&lt;&gt;"",ABS(L372)&lt;=Assumptions!$B$10)</f>
        <v>0</v>
      </c>
      <c r="P372" s="13">
        <v>45790</v>
      </c>
      <c r="Q372" s="14">
        <v>20921.932000000001</v>
      </c>
      <c r="R372" s="15">
        <v>2.3439999999999999E-2</v>
      </c>
      <c r="S372" s="17" t="str">
        <f t="shared" si="55"/>
        <v>BASELINE</v>
      </c>
      <c r="T372" s="16">
        <f t="shared" si="56"/>
        <v>2.7390000000000001E-2</v>
      </c>
      <c r="U372" s="16">
        <f>G372*Assumptions!$B$6</f>
        <v>0.30950700000000003</v>
      </c>
      <c r="V372" s="16">
        <f>T372*Assumptions!$B$6</f>
        <v>0.30950700000000003</v>
      </c>
      <c r="W372" s="16">
        <f t="shared" si="57"/>
        <v>0</v>
      </c>
      <c r="X372" s="18">
        <f t="shared" si="61"/>
        <v>25598709.600602165</v>
      </c>
      <c r="Y372" s="18">
        <f t="shared" si="62"/>
        <v>25598709.600602165</v>
      </c>
      <c r="Z372" s="19">
        <f t="shared" si="58"/>
        <v>0</v>
      </c>
      <c r="AA372" s="18">
        <f t="shared" si="63"/>
        <v>356737605.2495901</v>
      </c>
      <c r="AB372" s="18">
        <f t="shared" si="64"/>
        <v>356737605.2495901</v>
      </c>
      <c r="AC372" s="19">
        <f t="shared" si="59"/>
        <v>0</v>
      </c>
      <c r="AD372" s="20">
        <f t="shared" si="60"/>
        <v>331138895.64898795</v>
      </c>
      <c r="AE372" s="9" t="s">
        <v>91</v>
      </c>
    </row>
    <row r="373" spans="1:31" ht="18" customHeight="1">
      <c r="A373" s="4">
        <v>369</v>
      </c>
      <c r="B373" s="13">
        <v>45796</v>
      </c>
      <c r="C373" s="13">
        <v>45796</v>
      </c>
      <c r="D373" s="4" t="s">
        <v>90</v>
      </c>
      <c r="E373" s="14">
        <v>21123.297999999999</v>
      </c>
      <c r="F373" s="14">
        <v>21424.031999999999</v>
      </c>
      <c r="G373" s="15">
        <v>1.423E-2</v>
      </c>
      <c r="H373" s="16">
        <f t="shared" si="65"/>
        <v>3.2230000000000002E-2</v>
      </c>
      <c r="I373" s="17" t="b">
        <f>AND(A373&gt;2,H373&lt;=Assumptions!$B$7)</f>
        <v>0</v>
      </c>
      <c r="J373" s="15">
        <v>-1.3505578007149799E-2</v>
      </c>
      <c r="K373" s="15">
        <v>0.17430758838099525</v>
      </c>
      <c r="L373" s="15">
        <v>-3.9117178961093346E-3</v>
      </c>
      <c r="M373" s="17" t="b">
        <f>J373&gt;=Assumptions!$B$8</f>
        <v>0</v>
      </c>
      <c r="N373" s="17" t="b">
        <f>AND(K373&lt;&gt;"",K373&lt;=Assumptions!$B$9)</f>
        <v>0</v>
      </c>
      <c r="O373" s="17" t="b">
        <f>AND(P373&lt;&gt;"",ABS(L373)&lt;=Assumptions!$B$10)</f>
        <v>1</v>
      </c>
      <c r="P373" s="13">
        <v>45797</v>
      </c>
      <c r="Q373" s="14">
        <v>21336.941999999999</v>
      </c>
      <c r="R373" s="15">
        <v>4.0800000000000003E-3</v>
      </c>
      <c r="S373" s="17" t="str">
        <f t="shared" si="55"/>
        <v>BASELINE</v>
      </c>
      <c r="T373" s="16">
        <f t="shared" si="56"/>
        <v>1.423E-2</v>
      </c>
      <c r="U373" s="16">
        <f>G373*Assumptions!$B$6</f>
        <v>0.160799</v>
      </c>
      <c r="V373" s="16">
        <f>T373*Assumptions!$B$6</f>
        <v>0.160799</v>
      </c>
      <c r="W373" s="16">
        <f t="shared" si="57"/>
        <v>0</v>
      </c>
      <c r="X373" s="18">
        <f t="shared" si="61"/>
        <v>29714956.505669389</v>
      </c>
      <c r="Y373" s="18">
        <f t="shared" si="62"/>
        <v>29714956.505669389</v>
      </c>
      <c r="Z373" s="19">
        <f t="shared" si="58"/>
        <v>0</v>
      </c>
      <c r="AA373" s="18">
        <f t="shared" si="63"/>
        <v>414100655.4361189</v>
      </c>
      <c r="AB373" s="18">
        <f t="shared" si="64"/>
        <v>414100655.4361189</v>
      </c>
      <c r="AC373" s="19">
        <f t="shared" si="59"/>
        <v>0</v>
      </c>
      <c r="AD373" s="20">
        <f t="shared" si="60"/>
        <v>384385698.93044949</v>
      </c>
      <c r="AE373" s="9" t="s">
        <v>91</v>
      </c>
    </row>
    <row r="374" spans="1:31" ht="18" customHeight="1">
      <c r="A374" s="4">
        <v>370</v>
      </c>
      <c r="B374" s="13">
        <v>45804</v>
      </c>
      <c r="C374" s="13">
        <v>45804</v>
      </c>
      <c r="D374" s="4" t="s">
        <v>90</v>
      </c>
      <c r="E374" s="14">
        <v>21205.321</v>
      </c>
      <c r="F374" s="14">
        <v>21396.12</v>
      </c>
      <c r="G374" s="15">
        <v>8.9899999999999997E-3</v>
      </c>
      <c r="H374" s="16">
        <f t="shared" si="65"/>
        <v>4.1620000000000004E-2</v>
      </c>
      <c r="I374" s="17" t="b">
        <f>AND(A374&gt;2,H374&lt;=Assumptions!$B$7)</f>
        <v>0</v>
      </c>
      <c r="J374" s="15">
        <v>1.4037887956271922E-2</v>
      </c>
      <c r="K374" s="15">
        <v>7.7619773150499505E-2</v>
      </c>
      <c r="L374" s="15"/>
      <c r="M374" s="17" t="b">
        <f>J374&gt;=Assumptions!$B$8</f>
        <v>1</v>
      </c>
      <c r="N374" s="17" t="b">
        <f>AND(K374&lt;&gt;"",K374&lt;=Assumptions!$B$9)</f>
        <v>0</v>
      </c>
      <c r="O374" s="17" t="b">
        <f>AND(P374&lt;&gt;"",ABS(L374)&lt;=Assumptions!$B$10)</f>
        <v>0</v>
      </c>
      <c r="P374" s="13"/>
      <c r="Q374" s="14"/>
      <c r="R374" s="15"/>
      <c r="S374" s="17" t="str">
        <f t="shared" si="55"/>
        <v>BASELINE</v>
      </c>
      <c r="T374" s="16">
        <f t="shared" si="56"/>
        <v>8.9899999999999997E-3</v>
      </c>
      <c r="U374" s="16">
        <f>G374*Assumptions!$B$6</f>
        <v>0.101587</v>
      </c>
      <c r="V374" s="16">
        <f>T374*Assumptions!$B$6</f>
        <v>0.101587</v>
      </c>
      <c r="W374" s="16">
        <f t="shared" si="57"/>
        <v>0</v>
      </c>
      <c r="X374" s="18">
        <f t="shared" si="61"/>
        <v>32733609.792210829</v>
      </c>
      <c r="Y374" s="18">
        <f t="shared" si="62"/>
        <v>32733609.792210829</v>
      </c>
      <c r="Z374" s="19">
        <f t="shared" si="58"/>
        <v>0</v>
      </c>
      <c r="AA374" s="18">
        <f t="shared" si="63"/>
        <v>456167898.71990794</v>
      </c>
      <c r="AB374" s="18">
        <f t="shared" si="64"/>
        <v>456167898.71990794</v>
      </c>
      <c r="AC374" s="19">
        <f t="shared" si="59"/>
        <v>0</v>
      </c>
      <c r="AD374" s="20">
        <f t="shared" si="60"/>
        <v>423434288.92769712</v>
      </c>
      <c r="AE374" s="9" t="s">
        <v>91</v>
      </c>
    </row>
    <row r="375" spans="1:31" ht="18" customHeight="1">
      <c r="A375" s="4">
        <v>371</v>
      </c>
      <c r="B375" s="13">
        <v>45810</v>
      </c>
      <c r="C375" s="13">
        <v>45810</v>
      </c>
      <c r="D375" s="4" t="s">
        <v>90</v>
      </c>
      <c r="E375" s="14">
        <v>21246.618999999999</v>
      </c>
      <c r="F375" s="14">
        <v>21493.876</v>
      </c>
      <c r="G375" s="15">
        <v>1.163E-2</v>
      </c>
      <c r="H375" s="16">
        <f t="shared" si="65"/>
        <v>2.3219999999999998E-2</v>
      </c>
      <c r="I375" s="17" t="b">
        <f>AND(A375&gt;2,H375&lt;=Assumptions!$B$7)</f>
        <v>0</v>
      </c>
      <c r="J375" s="15">
        <v>-5.2401985116775629E-3</v>
      </c>
      <c r="K375" s="15">
        <v>7.7707191496429129E-2</v>
      </c>
      <c r="L375" s="15">
        <v>8.5723642387931509E-3</v>
      </c>
      <c r="M375" s="17" t="b">
        <f>J375&gt;=Assumptions!$B$8</f>
        <v>0</v>
      </c>
      <c r="N375" s="17" t="b">
        <f>AND(K375&lt;&gt;"",K375&lt;=Assumptions!$B$9)</f>
        <v>0</v>
      </c>
      <c r="O375" s="17" t="b">
        <f>AND(P375&lt;&gt;"",ABS(L375)&lt;=Assumptions!$B$10)</f>
        <v>0</v>
      </c>
      <c r="P375" s="13">
        <v>45811</v>
      </c>
      <c r="Q375" s="14">
        <v>21506.198</v>
      </c>
      <c r="R375" s="15">
        <v>-5.6999999999999998E-4</v>
      </c>
      <c r="S375" s="17" t="str">
        <f t="shared" si="55"/>
        <v>BASELINE</v>
      </c>
      <c r="T375" s="16">
        <f t="shared" si="56"/>
        <v>1.163E-2</v>
      </c>
      <c r="U375" s="16">
        <f>G375*Assumptions!$B$6</f>
        <v>0.13141900000000001</v>
      </c>
      <c r="V375" s="16">
        <f>T375*Assumptions!$B$6</f>
        <v>0.13141900000000001</v>
      </c>
      <c r="W375" s="16">
        <f t="shared" si="57"/>
        <v>0</v>
      </c>
      <c r="X375" s="18">
        <f t="shared" si="61"/>
        <v>37035428.057493381</v>
      </c>
      <c r="Y375" s="18">
        <f t="shared" si="62"/>
        <v>37035428.057493381</v>
      </c>
      <c r="Z375" s="19">
        <f t="shared" si="58"/>
        <v>0</v>
      </c>
      <c r="AA375" s="18">
        <f t="shared" si="63"/>
        <v>516117027.80177951</v>
      </c>
      <c r="AB375" s="18">
        <f t="shared" si="64"/>
        <v>516117027.80177951</v>
      </c>
      <c r="AC375" s="19">
        <f t="shared" si="59"/>
        <v>0</v>
      </c>
      <c r="AD375" s="20">
        <f t="shared" si="60"/>
        <v>479081599.74428612</v>
      </c>
      <c r="AE375" s="9" t="s">
        <v>91</v>
      </c>
    </row>
    <row r="376" spans="1:31" ht="18" customHeight="1">
      <c r="A376" s="4">
        <v>372</v>
      </c>
      <c r="B376" s="13">
        <v>45817</v>
      </c>
      <c r="C376" s="13">
        <v>45821</v>
      </c>
      <c r="D376" s="4" t="s">
        <v>104</v>
      </c>
      <c r="E376" s="14">
        <v>21767.431</v>
      </c>
      <c r="F376" s="14">
        <v>21662.174999999999</v>
      </c>
      <c r="G376" s="15">
        <v>-4.8300000000000001E-3</v>
      </c>
      <c r="H376" s="16">
        <f t="shared" si="65"/>
        <v>2.0619999999999999E-2</v>
      </c>
      <c r="I376" s="17" t="b">
        <f>AND(A376&gt;2,H376&lt;=Assumptions!$B$7)</f>
        <v>0</v>
      </c>
      <c r="J376" s="15">
        <v>7.600605381874459E-4</v>
      </c>
      <c r="K376" s="15">
        <v>8.5256712199717199E-2</v>
      </c>
      <c r="L376" s="15">
        <v>2.3588466183575019E-3</v>
      </c>
      <c r="M376" s="17" t="b">
        <f>J376&gt;=Assumptions!$B$8</f>
        <v>0</v>
      </c>
      <c r="N376" s="17" t="b">
        <f>AND(K376&lt;&gt;"",K376&lt;=Assumptions!$B$9)</f>
        <v>0</v>
      </c>
      <c r="O376" s="17" t="b">
        <f>AND(P376&lt;&gt;"",ABS(L376)&lt;=Assumptions!$B$10)</f>
        <v>1</v>
      </c>
      <c r="P376" s="13">
        <v>45818</v>
      </c>
      <c r="Q376" s="14">
        <v>21808.954000000002</v>
      </c>
      <c r="R376" s="15">
        <v>-6.7299999999999999E-3</v>
      </c>
      <c r="S376" s="17" t="str">
        <f t="shared" si="55"/>
        <v>BASELINE</v>
      </c>
      <c r="T376" s="16">
        <f t="shared" si="56"/>
        <v>-4.8300000000000001E-3</v>
      </c>
      <c r="U376" s="16">
        <f>G376*Assumptions!$B$6</f>
        <v>-5.4579000000000003E-2</v>
      </c>
      <c r="V376" s="16">
        <f>T376*Assumptions!$B$6</f>
        <v>-5.4579000000000003E-2</v>
      </c>
      <c r="W376" s="16">
        <f t="shared" si="57"/>
        <v>0</v>
      </c>
      <c r="X376" s="18">
        <f t="shared" si="61"/>
        <v>35014071.42954345</v>
      </c>
      <c r="Y376" s="18">
        <f t="shared" si="62"/>
        <v>37035428.057493381</v>
      </c>
      <c r="Z376" s="19">
        <f t="shared" si="58"/>
        <v>-5.4578999999999933E-2</v>
      </c>
      <c r="AA376" s="18">
        <f t="shared" si="63"/>
        <v>487947876.54138619</v>
      </c>
      <c r="AB376" s="18">
        <f t="shared" si="64"/>
        <v>516117027.80177951</v>
      </c>
      <c r="AC376" s="19">
        <f t="shared" si="59"/>
        <v>-5.4579000000000044E-2</v>
      </c>
      <c r="AD376" s="20">
        <f t="shared" si="60"/>
        <v>452933805.11184275</v>
      </c>
      <c r="AE376" s="9" t="s">
        <v>91</v>
      </c>
    </row>
    <row r="377" spans="1:31" ht="18" customHeight="1">
      <c r="A377" s="4">
        <v>373</v>
      </c>
      <c r="B377" s="13">
        <v>45824</v>
      </c>
      <c r="C377" s="13">
        <v>45824</v>
      </c>
      <c r="D377" s="4" t="s">
        <v>90</v>
      </c>
      <c r="E377" s="14">
        <v>21778.721000000001</v>
      </c>
      <c r="F377" s="14">
        <v>21934.331999999999</v>
      </c>
      <c r="G377" s="15">
        <v>7.1399999999999996E-3</v>
      </c>
      <c r="H377" s="16">
        <f t="shared" si="65"/>
        <v>6.7999999999999996E-3</v>
      </c>
      <c r="I377" s="17" t="b">
        <f>AND(A377&gt;2,H377&lt;=Assumptions!$B$7)</f>
        <v>0</v>
      </c>
      <c r="J377" s="15">
        <v>6.0003732305040636E-3</v>
      </c>
      <c r="K377" s="15">
        <v>1.4848338950409268E-2</v>
      </c>
      <c r="L377" s="15">
        <v>9.0139669045088411E-3</v>
      </c>
      <c r="M377" s="17" t="b">
        <f>J377&gt;=Assumptions!$B$8</f>
        <v>0</v>
      </c>
      <c r="N377" s="17" t="b">
        <f>AND(K377&lt;&gt;"",K377&lt;=Assumptions!$B$9)</f>
        <v>0</v>
      </c>
      <c r="O377" s="17" t="b">
        <f>AND(P377&lt;&gt;"",ABS(L377)&lt;=Assumptions!$B$10)</f>
        <v>0</v>
      </c>
      <c r="P377" s="13">
        <v>45825</v>
      </c>
      <c r="Q377" s="14">
        <v>21825.853999999999</v>
      </c>
      <c r="R377" s="15">
        <v>4.9699999999999996E-3</v>
      </c>
      <c r="S377" s="17" t="str">
        <f t="shared" si="55"/>
        <v>BASELINE</v>
      </c>
      <c r="T377" s="16">
        <f t="shared" si="56"/>
        <v>7.1399999999999996E-3</v>
      </c>
      <c r="U377" s="16">
        <f>G377*Assumptions!$B$6</f>
        <v>8.0682000000000004E-2</v>
      </c>
      <c r="V377" s="16">
        <f>T377*Assumptions!$B$6</f>
        <v>8.0682000000000004E-2</v>
      </c>
      <c r="W377" s="16">
        <f t="shared" si="57"/>
        <v>0</v>
      </c>
      <c r="X377" s="18">
        <f t="shared" si="61"/>
        <v>37839076.740621872</v>
      </c>
      <c r="Y377" s="18">
        <f t="shared" si="62"/>
        <v>37839076.740621872</v>
      </c>
      <c r="Z377" s="19">
        <f t="shared" si="58"/>
        <v>0</v>
      </c>
      <c r="AA377" s="18">
        <f t="shared" si="63"/>
        <v>527316487.11649829</v>
      </c>
      <c r="AB377" s="18">
        <f t="shared" si="64"/>
        <v>527316487.11649829</v>
      </c>
      <c r="AC377" s="19">
        <f t="shared" si="59"/>
        <v>0</v>
      </c>
      <c r="AD377" s="20">
        <f t="shared" si="60"/>
        <v>489477410.37587643</v>
      </c>
      <c r="AE377" s="9" t="s">
        <v>91</v>
      </c>
    </row>
    <row r="378" spans="1:31" ht="18" customHeight="1">
      <c r="A378" s="4">
        <v>374</v>
      </c>
      <c r="B378" s="13">
        <v>45831</v>
      </c>
      <c r="C378" s="13">
        <v>45831</v>
      </c>
      <c r="D378" s="4" t="s">
        <v>90</v>
      </c>
      <c r="E378" s="14">
        <v>21650.232</v>
      </c>
      <c r="F378" s="14">
        <v>21837.618999999999</v>
      </c>
      <c r="G378" s="15">
        <v>8.6499999999999997E-3</v>
      </c>
      <c r="H378" s="16">
        <f t="shared" si="65"/>
        <v>2.3099999999999996E-3</v>
      </c>
      <c r="I378" s="17" t="b">
        <f>AND(A378&gt;2,H378&lt;=Assumptions!$B$7)</f>
        <v>0</v>
      </c>
      <c r="J378" s="15">
        <v>-6.0618470889384213E-4</v>
      </c>
      <c r="K378" s="15">
        <v>2.6878995789802129E-2</v>
      </c>
      <c r="L378" s="15">
        <v>1.909534384905931E-2</v>
      </c>
      <c r="M378" s="17" t="b">
        <f>J378&gt;=Assumptions!$B$8</f>
        <v>0</v>
      </c>
      <c r="N378" s="17" t="b">
        <f>AND(K378&lt;&gt;"",K378&lt;=Assumptions!$B$9)</f>
        <v>0</v>
      </c>
      <c r="O378" s="17" t="b">
        <f>AND(P378&lt;&gt;"",ABS(L378)&lt;=Assumptions!$B$10)</f>
        <v>0</v>
      </c>
      <c r="P378" s="13">
        <v>45832</v>
      </c>
      <c r="Q378" s="14">
        <v>22068.308000000001</v>
      </c>
      <c r="R378" s="15">
        <v>-1.0449999999999999E-2</v>
      </c>
      <c r="S378" s="17" t="str">
        <f t="shared" si="55"/>
        <v>BASELINE</v>
      </c>
      <c r="T378" s="16">
        <f t="shared" si="56"/>
        <v>8.6499999999999997E-3</v>
      </c>
      <c r="U378" s="16">
        <f>G378*Assumptions!$B$6</f>
        <v>9.7744999999999999E-2</v>
      </c>
      <c r="V378" s="16">
        <f>T378*Assumptions!$B$6</f>
        <v>9.7744999999999999E-2</v>
      </c>
      <c r="W378" s="16">
        <f t="shared" si="57"/>
        <v>0</v>
      </c>
      <c r="X378" s="18">
        <f t="shared" si="61"/>
        <v>41537657.296633959</v>
      </c>
      <c r="Y378" s="18">
        <f t="shared" si="62"/>
        <v>41537657.296633959</v>
      </c>
      <c r="Z378" s="19">
        <f t="shared" si="58"/>
        <v>0</v>
      </c>
      <c r="AA378" s="18">
        <f t="shared" si="63"/>
        <v>578859037.1497004</v>
      </c>
      <c r="AB378" s="18">
        <f t="shared" si="64"/>
        <v>578859037.1497004</v>
      </c>
      <c r="AC378" s="19">
        <f t="shared" si="59"/>
        <v>0</v>
      </c>
      <c r="AD378" s="20">
        <f t="shared" si="60"/>
        <v>537321379.85306644</v>
      </c>
      <c r="AE378" s="9" t="s">
        <v>91</v>
      </c>
    </row>
    <row r="379" spans="1:31" ht="18" customHeight="1">
      <c r="A379" s="4">
        <v>375</v>
      </c>
      <c r="B379" s="13">
        <v>45838</v>
      </c>
      <c r="C379" s="13">
        <v>45840</v>
      </c>
      <c r="D379" s="4" t="s">
        <v>99</v>
      </c>
      <c r="E379" s="14">
        <v>22652.764999999999</v>
      </c>
      <c r="F379" s="14">
        <v>22564.487000000001</v>
      </c>
      <c r="G379" s="15">
        <v>-3.8899999999999998E-3</v>
      </c>
      <c r="H379" s="16">
        <f t="shared" si="65"/>
        <v>1.5789999999999998E-2</v>
      </c>
      <c r="I379" s="17" t="b">
        <f>AND(A379&gt;2,H379&lt;=Assumptions!$B$7)</f>
        <v>0</v>
      </c>
      <c r="J379" s="15">
        <v>6.0608545001872294E-3</v>
      </c>
      <c r="K379" s="15">
        <v>5.4161137076145005E-2</v>
      </c>
      <c r="L379" s="15">
        <v>2.9922093086902635E-3</v>
      </c>
      <c r="M379" s="17" t="b">
        <f>J379&gt;=Assumptions!$B$8</f>
        <v>0</v>
      </c>
      <c r="N379" s="17" t="b">
        <f>AND(K379&lt;&gt;"",K379&lt;=Assumptions!$B$9)</f>
        <v>0</v>
      </c>
      <c r="O379" s="17" t="b">
        <f>AND(P379&lt;&gt;"",ABS(L379)&lt;=Assumptions!$B$10)</f>
        <v>1</v>
      </c>
      <c r="P379" s="13">
        <v>45839</v>
      </c>
      <c r="Q379" s="14">
        <v>22587.876</v>
      </c>
      <c r="R379" s="15">
        <v>-1.0300000000000001E-3</v>
      </c>
      <c r="S379" s="17" t="str">
        <f t="shared" si="55"/>
        <v>BASELINE</v>
      </c>
      <c r="T379" s="16">
        <f t="shared" si="56"/>
        <v>-3.8899999999999998E-3</v>
      </c>
      <c r="U379" s="16">
        <f>G379*Assumptions!$B$6</f>
        <v>-4.3957000000000003E-2</v>
      </c>
      <c r="V379" s="16">
        <f>T379*Assumptions!$B$6</f>
        <v>-4.3957000000000003E-2</v>
      </c>
      <c r="W379" s="16">
        <f t="shared" si="57"/>
        <v>0</v>
      </c>
      <c r="X379" s="18">
        <f t="shared" si="61"/>
        <v>39711786.494845822</v>
      </c>
      <c r="Y379" s="18">
        <f t="shared" si="62"/>
        <v>41537657.296633959</v>
      </c>
      <c r="Z379" s="19">
        <f t="shared" si="58"/>
        <v>-4.3956999999999913E-2</v>
      </c>
      <c r="AA379" s="18">
        <f t="shared" si="63"/>
        <v>553414130.45371103</v>
      </c>
      <c r="AB379" s="18">
        <f t="shared" si="64"/>
        <v>578859037.1497004</v>
      </c>
      <c r="AC379" s="19">
        <f t="shared" si="59"/>
        <v>-4.3957000000000024E-2</v>
      </c>
      <c r="AD379" s="20">
        <f t="shared" si="60"/>
        <v>513702343.95886523</v>
      </c>
      <c r="AE379" s="9" t="s">
        <v>91</v>
      </c>
    </row>
    <row r="380" spans="1:31" ht="18" customHeight="1">
      <c r="A380" s="4">
        <v>376</v>
      </c>
      <c r="B380" s="13">
        <v>45845</v>
      </c>
      <c r="C380" s="13">
        <v>45849</v>
      </c>
      <c r="D380" s="4" t="s">
        <v>93</v>
      </c>
      <c r="E380" s="14">
        <v>22749.999</v>
      </c>
      <c r="F380" s="14">
        <v>22769.809000000001</v>
      </c>
      <c r="G380" s="15">
        <v>8.7000000000000001E-4</v>
      </c>
      <c r="H380" s="16">
        <f t="shared" si="65"/>
        <v>4.7600000000000003E-3</v>
      </c>
      <c r="I380" s="17" t="b">
        <f>AND(A380&gt;2,H380&lt;=Assumptions!$B$7)</f>
        <v>0</v>
      </c>
      <c r="J380" s="15">
        <v>-5.0898729689946576E-3</v>
      </c>
      <c r="K380" s="15">
        <v>5.1912930007375735E-2</v>
      </c>
      <c r="L380" s="15">
        <v>-5.1058933515516491E-3</v>
      </c>
      <c r="M380" s="17" t="b">
        <f>J380&gt;=Assumptions!$B$8</f>
        <v>0</v>
      </c>
      <c r="N380" s="17" t="b">
        <f>AND(K380&lt;&gt;"",K380&lt;=Assumptions!$B$9)</f>
        <v>0</v>
      </c>
      <c r="O380" s="17" t="b">
        <f>AND(P380&lt;&gt;"",ABS(L380)&lt;=Assumptions!$B$10)</f>
        <v>0</v>
      </c>
      <c r="P380" s="13">
        <v>45846</v>
      </c>
      <c r="Q380" s="14">
        <v>22738.686000000002</v>
      </c>
      <c r="R380" s="15">
        <v>1.3600000000000001E-3</v>
      </c>
      <c r="S380" s="17" t="str">
        <f t="shared" si="55"/>
        <v>BASELINE</v>
      </c>
      <c r="T380" s="16">
        <f t="shared" si="56"/>
        <v>8.7000000000000001E-4</v>
      </c>
      <c r="U380" s="16">
        <f>G380*Assumptions!$B$6</f>
        <v>9.8310000000000012E-3</v>
      </c>
      <c r="V380" s="16">
        <f>T380*Assumptions!$B$6</f>
        <v>9.8310000000000012E-3</v>
      </c>
      <c r="W380" s="16">
        <f t="shared" si="57"/>
        <v>0</v>
      </c>
      <c r="X380" s="18">
        <f t="shared" si="61"/>
        <v>40102193.067876652</v>
      </c>
      <c r="Y380" s="18">
        <f t="shared" si="62"/>
        <v>41537657.296633959</v>
      </c>
      <c r="Z380" s="19">
        <f t="shared" si="58"/>
        <v>-3.4558141266999964E-2</v>
      </c>
      <c r="AA380" s="18">
        <f t="shared" si="63"/>
        <v>558854744.77020144</v>
      </c>
      <c r="AB380" s="18">
        <f t="shared" si="64"/>
        <v>578859037.1497004</v>
      </c>
      <c r="AC380" s="19">
        <f t="shared" si="59"/>
        <v>-3.4558141266999964E-2</v>
      </c>
      <c r="AD380" s="20">
        <f t="shared" si="60"/>
        <v>518752551.70232481</v>
      </c>
      <c r="AE380" s="9" t="s">
        <v>91</v>
      </c>
    </row>
    <row r="381" spans="1:31" ht="18" customHeight="1">
      <c r="A381" s="4">
        <v>377</v>
      </c>
      <c r="B381" s="13">
        <v>45852</v>
      </c>
      <c r="C381" s="13">
        <v>45856</v>
      </c>
      <c r="D381" s="4" t="s">
        <v>93</v>
      </c>
      <c r="E381" s="14">
        <v>22763.598999999998</v>
      </c>
      <c r="F381" s="14">
        <v>23064.618999999999</v>
      </c>
      <c r="G381" s="15">
        <v>1.3220000000000001E-2</v>
      </c>
      <c r="H381" s="16">
        <f t="shared" si="65"/>
        <v>-3.0199999999999997E-3</v>
      </c>
      <c r="I381" s="17" t="b">
        <f>AND(A381&gt;2,H381&lt;=Assumptions!$B$7)</f>
        <v>0</v>
      </c>
      <c r="J381" s="15">
        <v>-2.7272956044566143E-4</v>
      </c>
      <c r="K381" s="15">
        <v>4.0927105050619028E-2</v>
      </c>
      <c r="L381" s="15">
        <v>1.0916636593287565E-2</v>
      </c>
      <c r="M381" s="17" t="b">
        <f>J381&gt;=Assumptions!$B$8</f>
        <v>0</v>
      </c>
      <c r="N381" s="17" t="b">
        <f>AND(K381&lt;&gt;"",K381&lt;=Assumptions!$B$9)</f>
        <v>0</v>
      </c>
      <c r="O381" s="17" t="b">
        <f>AND(P381&lt;&gt;"",ABS(L381)&lt;=Assumptions!$B$10)</f>
        <v>0</v>
      </c>
      <c r="P381" s="13">
        <v>45853</v>
      </c>
      <c r="Q381" s="14">
        <v>23022.275000000001</v>
      </c>
      <c r="R381" s="15">
        <v>1.83E-3</v>
      </c>
      <c r="S381" s="17" t="str">
        <f t="shared" si="55"/>
        <v>BASELINE</v>
      </c>
      <c r="T381" s="16">
        <f t="shared" si="56"/>
        <v>1.3220000000000001E-2</v>
      </c>
      <c r="U381" s="16">
        <f>G381*Assumptions!$B$6</f>
        <v>0.14938600000000002</v>
      </c>
      <c r="V381" s="16">
        <f>T381*Assumptions!$B$6</f>
        <v>0.14938600000000002</v>
      </c>
      <c r="W381" s="16">
        <f t="shared" si="57"/>
        <v>0</v>
      </c>
      <c r="X381" s="18">
        <f t="shared" si="61"/>
        <v>46092899.281514473</v>
      </c>
      <c r="Y381" s="18">
        <f t="shared" si="62"/>
        <v>46092899.281514473</v>
      </c>
      <c r="Z381" s="19">
        <f t="shared" si="58"/>
        <v>0</v>
      </c>
      <c r="AA381" s="18">
        <f t="shared" si="63"/>
        <v>642339819.67244279</v>
      </c>
      <c r="AB381" s="18">
        <f t="shared" si="64"/>
        <v>642339819.67244279</v>
      </c>
      <c r="AC381" s="19">
        <f t="shared" si="59"/>
        <v>0</v>
      </c>
      <c r="AD381" s="20">
        <f t="shared" si="60"/>
        <v>596246920.39092827</v>
      </c>
      <c r="AE381" s="9" t="s">
        <v>91</v>
      </c>
    </row>
    <row r="382" spans="1:31" ht="18" customHeight="1">
      <c r="A382" s="4">
        <v>378</v>
      </c>
      <c r="B382" s="13">
        <v>45859</v>
      </c>
      <c r="C382" s="13">
        <v>45863</v>
      </c>
      <c r="D382" s="4" t="s">
        <v>93</v>
      </c>
      <c r="E382" s="14">
        <v>23097.054</v>
      </c>
      <c r="F382" s="14">
        <v>23273.576000000001</v>
      </c>
      <c r="G382" s="15">
        <v>7.6400000000000001E-3</v>
      </c>
      <c r="H382" s="16">
        <f t="shared" si="65"/>
        <v>1.409E-2</v>
      </c>
      <c r="I382" s="17" t="b">
        <f>AND(A382&gt;2,H382&lt;=Assumptions!$B$7)</f>
        <v>0</v>
      </c>
      <c r="J382" s="15">
        <v>1.4062664551277582E-3</v>
      </c>
      <c r="K382" s="15">
        <v>6.1003043535794665E-2</v>
      </c>
      <c r="L382" s="15">
        <v>5.4163845633039553E-3</v>
      </c>
      <c r="M382" s="17" t="b">
        <f>J382&gt;=Assumptions!$B$8</f>
        <v>0</v>
      </c>
      <c r="N382" s="17" t="b">
        <f>AND(K382&lt;&gt;"",K382&lt;=Assumptions!$B$9)</f>
        <v>0</v>
      </c>
      <c r="O382" s="17" t="b">
        <f>AND(P382&lt;&gt;"",ABS(L382)&lt;=Assumptions!$B$10)</f>
        <v>0</v>
      </c>
      <c r="P382" s="13">
        <v>45860</v>
      </c>
      <c r="Q382" s="14">
        <v>23185.22</v>
      </c>
      <c r="R382" s="15">
        <v>3.81E-3</v>
      </c>
      <c r="S382" s="17" t="str">
        <f t="shared" si="55"/>
        <v>BASELINE</v>
      </c>
      <c r="T382" s="16">
        <f t="shared" si="56"/>
        <v>7.6400000000000001E-3</v>
      </c>
      <c r="U382" s="16">
        <f>G382*Assumptions!$B$6</f>
        <v>8.6332000000000006E-2</v>
      </c>
      <c r="V382" s="16">
        <f>T382*Assumptions!$B$6</f>
        <v>8.6332000000000006E-2</v>
      </c>
      <c r="W382" s="16">
        <f t="shared" si="57"/>
        <v>0</v>
      </c>
      <c r="X382" s="18">
        <f t="shared" si="61"/>
        <v>50072191.462286182</v>
      </c>
      <c r="Y382" s="18">
        <f t="shared" si="62"/>
        <v>50072191.462286182</v>
      </c>
      <c r="Z382" s="19">
        <f t="shared" si="58"/>
        <v>0</v>
      </c>
      <c r="AA382" s="18">
        <f t="shared" si="63"/>
        <v>697794300.98440421</v>
      </c>
      <c r="AB382" s="18">
        <f t="shared" si="64"/>
        <v>697794300.98440421</v>
      </c>
      <c r="AC382" s="19">
        <f t="shared" si="59"/>
        <v>0</v>
      </c>
      <c r="AD382" s="20">
        <f t="shared" si="60"/>
        <v>647722109.52211797</v>
      </c>
      <c r="AE382" s="9" t="s">
        <v>91</v>
      </c>
    </row>
    <row r="383" spans="1:31" ht="18" customHeight="1">
      <c r="A383" s="4">
        <v>379</v>
      </c>
      <c r="B383" s="13">
        <v>45866</v>
      </c>
      <c r="C383" s="13">
        <v>45869</v>
      </c>
      <c r="D383" s="4" t="s">
        <v>96</v>
      </c>
      <c r="E383" s="14">
        <v>23327.989000000001</v>
      </c>
      <c r="F383" s="14">
        <v>23234.677044</v>
      </c>
      <c r="G383" s="15">
        <v>-4.0000000000000001E-3</v>
      </c>
      <c r="H383" s="16">
        <f t="shared" si="65"/>
        <v>2.086E-2</v>
      </c>
      <c r="I383" s="17" t="b">
        <f>AND(A383&gt;2,H383&lt;=Assumptions!$B$7)</f>
        <v>0</v>
      </c>
      <c r="J383" s="15">
        <v>2.3379733307851147E-3</v>
      </c>
      <c r="K383" s="15">
        <v>3.6889897843359831E-2</v>
      </c>
      <c r="L383" s="15">
        <v>7.7511167611279408E-3</v>
      </c>
      <c r="M383" s="17" t="b">
        <f>J383&gt;=Assumptions!$B$8</f>
        <v>0</v>
      </c>
      <c r="N383" s="17" t="b">
        <f>AND(K383&lt;&gt;"",K383&lt;=Assumptions!$B$9)</f>
        <v>0</v>
      </c>
      <c r="O383" s="17" t="b">
        <f>AND(P383&lt;&gt;"",ABS(L383)&lt;=Assumptions!$B$10)</f>
        <v>0</v>
      </c>
      <c r="P383" s="13">
        <v>45867</v>
      </c>
      <c r="Q383" s="14">
        <v>23455.707999999999</v>
      </c>
      <c r="R383" s="15">
        <v>-9.4199999999999996E-3</v>
      </c>
      <c r="S383" s="17" t="str">
        <f t="shared" si="55"/>
        <v>BASELINE</v>
      </c>
      <c r="T383" s="16">
        <f t="shared" si="56"/>
        <v>-4.0000000000000001E-3</v>
      </c>
      <c r="U383" s="16">
        <f>G383*Assumptions!$B$6</f>
        <v>-4.5200000000000004E-2</v>
      </c>
      <c r="V383" s="16">
        <f>T383*Assumptions!$B$6</f>
        <v>-4.5200000000000004E-2</v>
      </c>
      <c r="W383" s="16">
        <f t="shared" si="57"/>
        <v>0</v>
      </c>
      <c r="X383" s="18">
        <f t="shared" si="61"/>
        <v>47808928.408190846</v>
      </c>
      <c r="Y383" s="18">
        <f t="shared" si="62"/>
        <v>50072191.462286182</v>
      </c>
      <c r="Z383" s="19">
        <f t="shared" si="58"/>
        <v>-4.5200000000000018E-2</v>
      </c>
      <c r="AA383" s="18">
        <f t="shared" si="63"/>
        <v>666253998.57990909</v>
      </c>
      <c r="AB383" s="18">
        <f t="shared" si="64"/>
        <v>697794300.98440421</v>
      </c>
      <c r="AC383" s="19">
        <f t="shared" si="59"/>
        <v>-4.5200000000000018E-2</v>
      </c>
      <c r="AD383" s="20">
        <f t="shared" si="60"/>
        <v>618445070.17171824</v>
      </c>
      <c r="AE383" s="9" t="s">
        <v>91</v>
      </c>
    </row>
    <row r="384" spans="1:31" ht="18" customHeight="1">
      <c r="A384" s="4">
        <v>380</v>
      </c>
      <c r="B384" s="13">
        <v>45873</v>
      </c>
      <c r="C384" s="13">
        <v>45873</v>
      </c>
      <c r="D384" s="4" t="s">
        <v>90</v>
      </c>
      <c r="E384" s="14">
        <v>22976.085999999999</v>
      </c>
      <c r="F384" s="14">
        <v>23177.964</v>
      </c>
      <c r="G384" s="15">
        <v>8.7799999999999996E-3</v>
      </c>
      <c r="H384" s="16">
        <f t="shared" si="65"/>
        <v>3.64E-3</v>
      </c>
      <c r="I384" s="17" t="b">
        <f>AND(A384&gt;2,H384&lt;=Assumptions!$B$7)</f>
        <v>0</v>
      </c>
      <c r="J384" s="15">
        <v>9.3246647827709417E-3</v>
      </c>
      <c r="K384" s="15">
        <v>-4.2069684657151107E-3</v>
      </c>
      <c r="L384" s="15">
        <v>2.0780674514335296E-2</v>
      </c>
      <c r="M384" s="17" t="b">
        <f>J384&gt;=Assumptions!$B$8</f>
        <v>0</v>
      </c>
      <c r="N384" s="17" t="b">
        <f>AND(K384&lt;&gt;"",K384&lt;=Assumptions!$B$9)</f>
        <v>0</v>
      </c>
      <c r="O384" s="17" t="b">
        <f>AND(P384&lt;&gt;"",ABS(L384)&lt;=Assumptions!$B$10)</f>
        <v>0</v>
      </c>
      <c r="P384" s="13">
        <v>45874</v>
      </c>
      <c r="Q384" s="14">
        <v>23231.188999999998</v>
      </c>
      <c r="R384" s="15">
        <v>-2.2899999999999999E-3</v>
      </c>
      <c r="S384" s="17" t="str">
        <f t="shared" si="55"/>
        <v>BASELINE</v>
      </c>
      <c r="T384" s="16">
        <f t="shared" si="56"/>
        <v>8.7799999999999996E-3</v>
      </c>
      <c r="U384" s="16">
        <f>G384*Assumptions!$B$6</f>
        <v>9.9213999999999997E-2</v>
      </c>
      <c r="V384" s="16">
        <f>T384*Assumptions!$B$6</f>
        <v>9.9213999999999997E-2</v>
      </c>
      <c r="W384" s="16">
        <f t="shared" si="57"/>
        <v>0</v>
      </c>
      <c r="X384" s="18">
        <f t="shared" si="61"/>
        <v>52552243.43128109</v>
      </c>
      <c r="Y384" s="18">
        <f t="shared" si="62"/>
        <v>52552243.43128109</v>
      </c>
      <c r="Z384" s="19">
        <f t="shared" si="58"/>
        <v>0</v>
      </c>
      <c r="AA384" s="18">
        <f t="shared" si="63"/>
        <v>732355722.79501617</v>
      </c>
      <c r="AB384" s="18">
        <f t="shared" si="64"/>
        <v>732355722.79501617</v>
      </c>
      <c r="AC384" s="19">
        <f t="shared" si="59"/>
        <v>0</v>
      </c>
      <c r="AD384" s="20">
        <f t="shared" si="60"/>
        <v>679803479.36373508</v>
      </c>
      <c r="AE384" s="9" t="s">
        <v>91</v>
      </c>
    </row>
    <row r="385" spans="1:31" ht="18" customHeight="1">
      <c r="A385" s="4">
        <v>381</v>
      </c>
      <c r="B385" s="13">
        <v>45880</v>
      </c>
      <c r="C385" s="13">
        <v>45884</v>
      </c>
      <c r="D385" s="4" t="s">
        <v>93</v>
      </c>
      <c r="E385" s="14">
        <v>23610.353999999999</v>
      </c>
      <c r="F385" s="14">
        <v>23707.241999999998</v>
      </c>
      <c r="G385" s="15">
        <v>4.1000000000000003E-3</v>
      </c>
      <c r="H385" s="16">
        <f t="shared" si="65"/>
        <v>4.7799999999999995E-3</v>
      </c>
      <c r="I385" s="17" t="b">
        <f>AND(A385&gt;2,H385&lt;=Assumptions!$B$7)</f>
        <v>0</v>
      </c>
      <c r="J385" s="15">
        <v>-3.4578795175199684E-4</v>
      </c>
      <c r="K385" s="15">
        <v>3.6719595813785366E-2</v>
      </c>
      <c r="L385" s="15">
        <v>1.0617004612305525E-3</v>
      </c>
      <c r="M385" s="17" t="b">
        <f>J385&gt;=Assumptions!$B$8</f>
        <v>0</v>
      </c>
      <c r="N385" s="17" t="b">
        <f>AND(K385&lt;&gt;"",K385&lt;=Assumptions!$B$9)</f>
        <v>0</v>
      </c>
      <c r="O385" s="17" t="b">
        <f>AND(P385&lt;&gt;"",ABS(L385)&lt;=Assumptions!$B$10)</f>
        <v>1</v>
      </c>
      <c r="P385" s="13">
        <v>45881</v>
      </c>
      <c r="Q385" s="14">
        <v>23624.82</v>
      </c>
      <c r="R385" s="15">
        <v>3.48E-3</v>
      </c>
      <c r="S385" s="17" t="str">
        <f t="shared" si="55"/>
        <v>BASELINE</v>
      </c>
      <c r="T385" s="16">
        <f t="shared" si="56"/>
        <v>4.1000000000000003E-3</v>
      </c>
      <c r="U385" s="16">
        <f>G385*Assumptions!$B$6</f>
        <v>4.633000000000001E-2</v>
      </c>
      <c r="V385" s="16">
        <f>T385*Assumptions!$B$6</f>
        <v>4.633000000000001E-2</v>
      </c>
      <c r="W385" s="16">
        <f t="shared" si="57"/>
        <v>0</v>
      </c>
      <c r="X385" s="18">
        <f t="shared" si="61"/>
        <v>54986988.869452342</v>
      </c>
      <c r="Y385" s="18">
        <f t="shared" si="62"/>
        <v>54986988.869452342</v>
      </c>
      <c r="Z385" s="19">
        <f t="shared" si="58"/>
        <v>0</v>
      </c>
      <c r="AA385" s="18">
        <f t="shared" si="63"/>
        <v>766285763.43210924</v>
      </c>
      <c r="AB385" s="18">
        <f t="shared" si="64"/>
        <v>766285763.43210924</v>
      </c>
      <c r="AC385" s="19">
        <f t="shared" si="59"/>
        <v>0</v>
      </c>
      <c r="AD385" s="20">
        <f t="shared" si="60"/>
        <v>711298774.56265688</v>
      </c>
      <c r="AE385" s="9" t="s">
        <v>91</v>
      </c>
    </row>
    <row r="386" spans="1:31" ht="18" customHeight="1">
      <c r="A386" s="4">
        <v>382</v>
      </c>
      <c r="B386" s="13">
        <v>45887</v>
      </c>
      <c r="C386" s="13">
        <v>45890</v>
      </c>
      <c r="D386" s="4" t="s">
        <v>92</v>
      </c>
      <c r="E386" s="14">
        <v>23679.620999999999</v>
      </c>
      <c r="F386" s="14">
        <v>23241.296999999999</v>
      </c>
      <c r="G386" s="15">
        <v>-1.8509999999999999E-2</v>
      </c>
      <c r="H386" s="16">
        <f t="shared" si="65"/>
        <v>1.2879999999999999E-2</v>
      </c>
      <c r="I386" s="17" t="b">
        <f>AND(A386&gt;2,H386&lt;=Assumptions!$B$7)</f>
        <v>0</v>
      </c>
      <c r="J386" s="15">
        <v>-1.1650870227755128E-3</v>
      </c>
      <c r="K386" s="15">
        <v>2.8649823611160752E-2</v>
      </c>
      <c r="L386" s="15">
        <v>-1.6454775349015183E-3</v>
      </c>
      <c r="M386" s="17" t="b">
        <f>J386&gt;=Assumptions!$B$8</f>
        <v>0</v>
      </c>
      <c r="N386" s="17" t="b">
        <f>AND(K386&lt;&gt;"",K386&lt;=Assumptions!$B$9)</f>
        <v>0</v>
      </c>
      <c r="O386" s="17" t="b">
        <f>AND(P386&lt;&gt;"",ABS(L386)&lt;=Assumptions!$B$10)</f>
        <v>1</v>
      </c>
      <c r="P386" s="13">
        <v>45888</v>
      </c>
      <c r="Q386" s="14">
        <v>23676.789000000001</v>
      </c>
      <c r="R386" s="15">
        <v>-1.839E-2</v>
      </c>
      <c r="S386" s="17" t="str">
        <f t="shared" si="55"/>
        <v>BASELINE</v>
      </c>
      <c r="T386" s="16">
        <f t="shared" si="56"/>
        <v>-1.8509999999999999E-2</v>
      </c>
      <c r="U386" s="16">
        <f>G386*Assumptions!$B$6</f>
        <v>-0.20916299999999999</v>
      </c>
      <c r="V386" s="16">
        <f>T386*Assumptions!$B$6</f>
        <v>-0.20916299999999999</v>
      </c>
      <c r="W386" s="16">
        <f t="shared" si="57"/>
        <v>0</v>
      </c>
      <c r="X386" s="18">
        <f t="shared" si="61"/>
        <v>43485745.316551082</v>
      </c>
      <c r="Y386" s="18">
        <f t="shared" si="62"/>
        <v>54986988.869452342</v>
      </c>
      <c r="Z386" s="19">
        <f t="shared" si="58"/>
        <v>-0.20916299999999999</v>
      </c>
      <c r="AA386" s="18">
        <f t="shared" si="63"/>
        <v>606007134.29535902</v>
      </c>
      <c r="AB386" s="18">
        <f t="shared" si="64"/>
        <v>766285763.43210924</v>
      </c>
      <c r="AC386" s="19">
        <f t="shared" si="59"/>
        <v>-0.20916299999999999</v>
      </c>
      <c r="AD386" s="20">
        <f t="shared" si="60"/>
        <v>562521388.97880793</v>
      </c>
      <c r="AE386" s="9" t="s">
        <v>91</v>
      </c>
    </row>
    <row r="387" spans="1:31" ht="18" customHeight="1">
      <c r="A387" s="4">
        <v>383</v>
      </c>
      <c r="B387" s="13">
        <v>45894</v>
      </c>
      <c r="C387" s="13">
        <v>45898</v>
      </c>
      <c r="D387" s="4" t="s">
        <v>93</v>
      </c>
      <c r="E387" s="14">
        <v>23424.489000000001</v>
      </c>
      <c r="F387" s="14">
        <v>23415.861000000001</v>
      </c>
      <c r="G387" s="15">
        <v>-3.6000000000000002E-4</v>
      </c>
      <c r="H387" s="16">
        <f t="shared" si="65"/>
        <v>-1.4409999999999999E-2</v>
      </c>
      <c r="I387" s="17" t="b">
        <f>AND(A387&gt;2,H387&lt;=Assumptions!$B$7)</f>
        <v>0</v>
      </c>
      <c r="J387" s="15">
        <v>-2.8944572790441381E-3</v>
      </c>
      <c r="K387" s="15">
        <v>9.8875293536027087E-3</v>
      </c>
      <c r="L387" s="15">
        <v>-3.7414549714145373E-3</v>
      </c>
      <c r="M387" s="17" t="b">
        <f>J387&gt;=Assumptions!$B$8</f>
        <v>0</v>
      </c>
      <c r="N387" s="17" t="b">
        <f>AND(K387&lt;&gt;"",K387&lt;=Assumptions!$B$9)</f>
        <v>0</v>
      </c>
      <c r="O387" s="17" t="b">
        <f>AND(P387&lt;&gt;"",ABS(L387)&lt;=Assumptions!$B$10)</f>
        <v>1</v>
      </c>
      <c r="P387" s="13">
        <v>45895</v>
      </c>
      <c r="Q387" s="14">
        <v>23403.42</v>
      </c>
      <c r="R387" s="15">
        <v>5.2999999999999998E-4</v>
      </c>
      <c r="S387" s="17" t="str">
        <f t="shared" si="55"/>
        <v>BASELINE</v>
      </c>
      <c r="T387" s="16">
        <f t="shared" si="56"/>
        <v>-3.6000000000000002E-4</v>
      </c>
      <c r="U387" s="16">
        <f>G387*Assumptions!$B$6</f>
        <v>-4.0680000000000004E-3</v>
      </c>
      <c r="V387" s="16">
        <f>T387*Assumptions!$B$6</f>
        <v>-4.0680000000000004E-3</v>
      </c>
      <c r="W387" s="16">
        <f t="shared" si="57"/>
        <v>0</v>
      </c>
      <c r="X387" s="18">
        <f t="shared" si="61"/>
        <v>43308845.304603353</v>
      </c>
      <c r="Y387" s="18">
        <f t="shared" si="62"/>
        <v>54986988.869452342</v>
      </c>
      <c r="Z387" s="19">
        <f t="shared" si="58"/>
        <v>-0.212380124916</v>
      </c>
      <c r="AA387" s="18">
        <f t="shared" si="63"/>
        <v>603541897.27304554</v>
      </c>
      <c r="AB387" s="18">
        <f t="shared" si="64"/>
        <v>766285763.43210924</v>
      </c>
      <c r="AC387" s="19">
        <f t="shared" si="59"/>
        <v>-0.21238012491599989</v>
      </c>
      <c r="AD387" s="20">
        <f t="shared" si="60"/>
        <v>560233051.9684422</v>
      </c>
      <c r="AE387" s="9" t="s">
        <v>91</v>
      </c>
    </row>
    <row r="388" spans="1:31" ht="18" customHeight="1">
      <c r="A388" s="4">
        <v>384</v>
      </c>
      <c r="B388" s="13">
        <v>45902</v>
      </c>
      <c r="C388" s="13">
        <v>45902</v>
      </c>
      <c r="D388" s="4" t="s">
        <v>90</v>
      </c>
      <c r="E388" s="14">
        <v>23055.319</v>
      </c>
      <c r="F388" s="14">
        <v>23228.663</v>
      </c>
      <c r="G388" s="15">
        <v>7.5100000000000002E-3</v>
      </c>
      <c r="H388" s="16">
        <f t="shared" si="65"/>
        <v>-1.8869999999999998E-2</v>
      </c>
      <c r="I388" s="17" t="b">
        <f>AND(A388&gt;2,H388&lt;=Assumptions!$B$7)</f>
        <v>0</v>
      </c>
      <c r="J388" s="15">
        <v>-1.5397341144107513E-2</v>
      </c>
      <c r="K388" s="15">
        <v>2.9825955080522881E-2</v>
      </c>
      <c r="L388" s="15"/>
      <c r="M388" s="17" t="b">
        <f>J388&gt;=Assumptions!$B$8</f>
        <v>0</v>
      </c>
      <c r="N388" s="17" t="b">
        <f>AND(K388&lt;&gt;"",K388&lt;=Assumptions!$B$9)</f>
        <v>0</v>
      </c>
      <c r="O388" s="17" t="b">
        <f>AND(P388&lt;&gt;"",ABS(L388)&lt;=Assumptions!$B$10)</f>
        <v>0</v>
      </c>
      <c r="P388" s="13"/>
      <c r="Q388" s="14"/>
      <c r="R388" s="15"/>
      <c r="S388" s="17" t="str">
        <f t="shared" si="55"/>
        <v>BASELINE</v>
      </c>
      <c r="T388" s="16">
        <f t="shared" si="56"/>
        <v>7.5100000000000002E-3</v>
      </c>
      <c r="U388" s="16">
        <f>G388*Assumptions!$B$6</f>
        <v>8.4863000000000008E-2</v>
      </c>
      <c r="V388" s="16">
        <f>T388*Assumptions!$B$6</f>
        <v>8.4863000000000008E-2</v>
      </c>
      <c r="W388" s="16">
        <f t="shared" si="57"/>
        <v>0</v>
      </c>
      <c r="X388" s="18">
        <f t="shared" si="61"/>
        <v>46984163.843687907</v>
      </c>
      <c r="Y388" s="18">
        <f t="shared" si="62"/>
        <v>54986988.869452342</v>
      </c>
      <c r="Z388" s="19">
        <f t="shared" si="58"/>
        <v>-0.14554033945674649</v>
      </c>
      <c r="AA388" s="18">
        <f t="shared" si="63"/>
        <v>654760273.30132794</v>
      </c>
      <c r="AB388" s="18">
        <f t="shared" si="64"/>
        <v>766285763.43210924</v>
      </c>
      <c r="AC388" s="19">
        <f t="shared" si="59"/>
        <v>-0.14554033945674649</v>
      </c>
      <c r="AD388" s="20">
        <f t="shared" si="60"/>
        <v>607776109.45764005</v>
      </c>
      <c r="AE388" s="9" t="s">
        <v>91</v>
      </c>
    </row>
    <row r="389" spans="1:31" ht="18" customHeight="1">
      <c r="A389" s="4">
        <v>385</v>
      </c>
      <c r="B389" s="13">
        <v>45908</v>
      </c>
      <c r="C389" s="13">
        <v>45912</v>
      </c>
      <c r="D389" s="4" t="s">
        <v>93</v>
      </c>
      <c r="E389" s="14">
        <v>23749.969000000001</v>
      </c>
      <c r="F389" s="14">
        <v>24077.114000000001</v>
      </c>
      <c r="G389" s="15">
        <v>1.3769999999999999E-2</v>
      </c>
      <c r="H389" s="16">
        <f t="shared" si="65"/>
        <v>7.1500000000000001E-3</v>
      </c>
      <c r="I389" s="17" t="b">
        <f>AND(A389&gt;2,H389&lt;=Assumptions!$B$7)</f>
        <v>0</v>
      </c>
      <c r="J389" s="15">
        <v>4.3795233348116192E-3</v>
      </c>
      <c r="K389" s="15">
        <v>1.1980886796430168E-2</v>
      </c>
      <c r="L389" s="15">
        <v>6.2667083289935643E-3</v>
      </c>
      <c r="M389" s="17" t="b">
        <f>J389&gt;=Assumptions!$B$8</f>
        <v>0</v>
      </c>
      <c r="N389" s="17" t="b">
        <f>AND(K389&lt;&gt;"",K389&lt;=Assumptions!$B$9)</f>
        <v>0</v>
      </c>
      <c r="O389" s="17" t="b">
        <f>AND(P389&lt;&gt;"",ABS(L389)&lt;=Assumptions!$B$10)</f>
        <v>0</v>
      </c>
      <c r="P389" s="13">
        <v>45909</v>
      </c>
      <c r="Q389" s="14">
        <v>23804.338</v>
      </c>
      <c r="R389" s="15">
        <v>1.145E-2</v>
      </c>
      <c r="S389" s="17" t="str">
        <f t="shared" ref="S389:S436" si="66">IF(I389,"DAMAGE SKIP",IF(AND(M389,N389),IF(O389,"TUESDAY RE-ENTRY","GAP/MOM SKIP"),"BASELINE"))</f>
        <v>BASELINE</v>
      </c>
      <c r="T389" s="16">
        <f t="shared" ref="T389:T436" si="67">IF(I389,0,IF(AND(M389,N389),IF(O389,R389,0),G389))</f>
        <v>1.3769999999999999E-2</v>
      </c>
      <c r="U389" s="16">
        <f>G389*Assumptions!$B$6</f>
        <v>0.15560099999999999</v>
      </c>
      <c r="V389" s="16">
        <f>T389*Assumptions!$B$6</f>
        <v>0.15560099999999999</v>
      </c>
      <c r="W389" s="16">
        <f t="shared" ref="W389:W452" si="68">V389-U389</f>
        <v>0</v>
      </c>
      <c r="X389" s="18">
        <f t="shared" si="61"/>
        <v>54294946.72192958</v>
      </c>
      <c r="Y389" s="18">
        <f t="shared" si="62"/>
        <v>54986988.869452342</v>
      </c>
      <c r="Z389" s="19">
        <f t="shared" ref="Z389:Z452" si="69">X389/Y389-1</f>
        <v>-1.2585561816555901E-2</v>
      </c>
      <c r="AA389" s="18">
        <f t="shared" si="63"/>
        <v>756641626.58728778</v>
      </c>
      <c r="AB389" s="18">
        <f t="shared" si="64"/>
        <v>766285763.43210924</v>
      </c>
      <c r="AC389" s="19">
        <f t="shared" ref="AC389:AC452" si="70">AA389/AB389-1</f>
        <v>-1.258556181655579E-2</v>
      </c>
      <c r="AD389" s="20">
        <f t="shared" ref="AD389:AD436" si="71">AA389-X389</f>
        <v>702346679.86535823</v>
      </c>
      <c r="AE389" s="9" t="s">
        <v>91</v>
      </c>
    </row>
    <row r="390" spans="1:31" ht="18" customHeight="1">
      <c r="A390" s="4">
        <v>386</v>
      </c>
      <c r="B390" s="13">
        <v>45915</v>
      </c>
      <c r="C390" s="13">
        <v>45919</v>
      </c>
      <c r="D390" s="4" t="s">
        <v>93</v>
      </c>
      <c r="E390" s="14">
        <v>24160.315999999999</v>
      </c>
      <c r="F390" s="14">
        <v>24610.152999999998</v>
      </c>
      <c r="G390" s="15">
        <v>1.8610000000000002E-2</v>
      </c>
      <c r="H390" s="16">
        <f t="shared" si="65"/>
        <v>2.128E-2</v>
      </c>
      <c r="I390" s="17" t="b">
        <f>AND(A390&gt;2,H390&lt;=Assumptions!$B$7)</f>
        <v>0</v>
      </c>
      <c r="J390" s="15">
        <v>3.4556467191209084E-3</v>
      </c>
      <c r="K390" s="15">
        <v>1.1674627946679506E-2</v>
      </c>
      <c r="L390" s="15">
        <v>1.0142160706371639E-2</v>
      </c>
      <c r="M390" s="17" t="b">
        <f>J390&gt;=Assumptions!$B$8</f>
        <v>0</v>
      </c>
      <c r="N390" s="17" t="b">
        <f>AND(K390&lt;&gt;"",K390&lt;=Assumptions!$B$9)</f>
        <v>0</v>
      </c>
      <c r="O390" s="17" t="b">
        <f>AND(P390&lt;&gt;"",ABS(L390)&lt;=Assumptions!$B$10)</f>
        <v>0</v>
      </c>
      <c r="P390" s="13">
        <v>45916</v>
      </c>
      <c r="Q390" s="14">
        <v>24331.844000000001</v>
      </c>
      <c r="R390" s="15">
        <v>1.1429999999999999E-2</v>
      </c>
      <c r="S390" s="17" t="str">
        <f t="shared" si="66"/>
        <v>BASELINE</v>
      </c>
      <c r="T390" s="16">
        <f t="shared" si="67"/>
        <v>1.8610000000000002E-2</v>
      </c>
      <c r="U390" s="16">
        <f>G390*Assumptions!$B$6</f>
        <v>0.21029300000000004</v>
      </c>
      <c r="V390" s="16">
        <f>T390*Assumptions!$B$6</f>
        <v>0.21029300000000004</v>
      </c>
      <c r="W390" s="16">
        <f t="shared" si="68"/>
        <v>0</v>
      </c>
      <c r="X390" s="18">
        <f t="shared" ref="X390:X436" si="72">X389*(1+U390)</f>
        <v>65712793.952924319</v>
      </c>
      <c r="Y390" s="18">
        <f t="shared" ref="Y390:Y453" si="73">MAX(Y389,X390)</f>
        <v>65712793.952924319</v>
      </c>
      <c r="Z390" s="19">
        <f t="shared" si="69"/>
        <v>0</v>
      </c>
      <c r="AA390" s="18">
        <f t="shared" ref="AA390:AA436" si="74">AA389*(1+V390)</f>
        <v>915758064.16720831</v>
      </c>
      <c r="AB390" s="18">
        <f t="shared" ref="AB390:AB453" si="75">MAX(AB389,AA390)</f>
        <v>915758064.16720831</v>
      </c>
      <c r="AC390" s="19">
        <f t="shared" si="70"/>
        <v>0</v>
      </c>
      <c r="AD390" s="20">
        <f t="shared" si="71"/>
        <v>850045270.21428394</v>
      </c>
      <c r="AE390" s="9" t="s">
        <v>91</v>
      </c>
    </row>
    <row r="391" spans="1:31" ht="18" customHeight="1">
      <c r="A391" s="4">
        <v>387</v>
      </c>
      <c r="B391" s="13">
        <v>45922</v>
      </c>
      <c r="C391" s="13">
        <v>45922</v>
      </c>
      <c r="D391" s="4" t="s">
        <v>90</v>
      </c>
      <c r="E391" s="14">
        <v>24565.436000000002</v>
      </c>
      <c r="F391" s="14">
        <v>24745.089</v>
      </c>
      <c r="G391" s="15">
        <v>7.3099999999999997E-3</v>
      </c>
      <c r="H391" s="16">
        <f t="shared" ref="H391:H454" si="76">SUM(T389:T390)</f>
        <v>3.2379999999999999E-2</v>
      </c>
      <c r="I391" s="17" t="b">
        <f>AND(A391&gt;2,H391&lt;=Assumptions!$B$7)</f>
        <v>0</v>
      </c>
      <c r="J391" s="15">
        <v>-1.817014302999076E-3</v>
      </c>
      <c r="K391" s="15">
        <v>6.4035648345405649E-2</v>
      </c>
      <c r="L391" s="15">
        <v>5.0387920246934836E-3</v>
      </c>
      <c r="M391" s="17" t="b">
        <f>J391&gt;=Assumptions!$B$8</f>
        <v>0</v>
      </c>
      <c r="N391" s="17" t="b">
        <f>AND(K391&lt;&gt;"",K391&lt;=Assumptions!$B$9)</f>
        <v>0</v>
      </c>
      <c r="O391" s="17" t="b">
        <f>AND(P391&lt;&gt;"",ABS(L391)&lt;=Assumptions!$B$10)</f>
        <v>0</v>
      </c>
      <c r="P391" s="13">
        <v>45923</v>
      </c>
      <c r="Q391" s="14">
        <v>24759.065999999999</v>
      </c>
      <c r="R391" s="15">
        <v>-5.5999999999999995E-4</v>
      </c>
      <c r="S391" s="17" t="str">
        <f t="shared" si="66"/>
        <v>BASELINE</v>
      </c>
      <c r="T391" s="16">
        <f t="shared" si="67"/>
        <v>7.3099999999999997E-3</v>
      </c>
      <c r="U391" s="16">
        <f>G391*Assumptions!$B$6</f>
        <v>8.2602999999999996E-2</v>
      </c>
      <c r="V391" s="16">
        <f>T391*Assumptions!$B$6</f>
        <v>8.2602999999999996E-2</v>
      </c>
      <c r="W391" s="16">
        <f t="shared" si="68"/>
        <v>0</v>
      </c>
      <c r="X391" s="18">
        <f t="shared" si="72"/>
        <v>71140867.871817723</v>
      </c>
      <c r="Y391" s="18">
        <f t="shared" si="73"/>
        <v>71140867.871817723</v>
      </c>
      <c r="Z391" s="19">
        <f t="shared" si="69"/>
        <v>0</v>
      </c>
      <c r="AA391" s="18">
        <f t="shared" si="74"/>
        <v>991402427.54161215</v>
      </c>
      <c r="AB391" s="18">
        <f t="shared" si="75"/>
        <v>991402427.54161215</v>
      </c>
      <c r="AC391" s="19">
        <f t="shared" si="70"/>
        <v>0</v>
      </c>
      <c r="AD391" s="20">
        <f t="shared" si="71"/>
        <v>920261559.66979444</v>
      </c>
      <c r="AE391" s="9" t="s">
        <v>91</v>
      </c>
    </row>
    <row r="392" spans="1:31" ht="18" customHeight="1">
      <c r="A392" s="4">
        <v>388</v>
      </c>
      <c r="B392" s="13">
        <v>45929</v>
      </c>
      <c r="C392" s="13">
        <v>45933</v>
      </c>
      <c r="D392" s="4" t="s">
        <v>93</v>
      </c>
      <c r="E392" s="14">
        <v>24626.186000000002</v>
      </c>
      <c r="F392" s="14">
        <v>24796.544000000002</v>
      </c>
      <c r="G392" s="15">
        <v>6.9100000000000003E-3</v>
      </c>
      <c r="H392" s="16">
        <f t="shared" si="76"/>
        <v>2.5920000000000002E-2</v>
      </c>
      <c r="I392" s="17" t="b">
        <f>AND(A392&gt;2,H392&lt;=Assumptions!$B$7)</f>
        <v>0</v>
      </c>
      <c r="J392" s="15">
        <v>5.0289020148299723E-3</v>
      </c>
      <c r="K392" s="15">
        <v>3.2733763083107936E-2</v>
      </c>
      <c r="L392" s="15">
        <v>4.1277245498934079E-3</v>
      </c>
      <c r="M392" s="17" t="b">
        <f>J392&gt;=Assumptions!$B$8</f>
        <v>0</v>
      </c>
      <c r="N392" s="17" t="b">
        <f>AND(K392&lt;&gt;"",K392&lt;=Assumptions!$B$9)</f>
        <v>0</v>
      </c>
      <c r="O392" s="17" t="b">
        <f>AND(P392&lt;&gt;"",ABS(L392)&lt;=Assumptions!$B$10)</f>
        <v>1</v>
      </c>
      <c r="P392" s="13">
        <v>45930</v>
      </c>
      <c r="Q392" s="14">
        <v>24596.577000000001</v>
      </c>
      <c r="R392" s="15">
        <v>8.1200000000000005E-3</v>
      </c>
      <c r="S392" s="17" t="str">
        <f t="shared" si="66"/>
        <v>BASELINE</v>
      </c>
      <c r="T392" s="16">
        <f t="shared" si="67"/>
        <v>6.9100000000000003E-3</v>
      </c>
      <c r="U392" s="16">
        <f>G392*Assumptions!$B$6</f>
        <v>7.8083000000000014E-2</v>
      </c>
      <c r="V392" s="16">
        <f>T392*Assumptions!$B$6</f>
        <v>7.8083000000000014E-2</v>
      </c>
      <c r="W392" s="16">
        <f t="shared" si="68"/>
        <v>0</v>
      </c>
      <c r="X392" s="18">
        <f t="shared" si="72"/>
        <v>76695760.257852852</v>
      </c>
      <c r="Y392" s="18">
        <f t="shared" si="73"/>
        <v>76695760.257852852</v>
      </c>
      <c r="Z392" s="19">
        <f t="shared" si="69"/>
        <v>0</v>
      </c>
      <c r="AA392" s="18">
        <f t="shared" si="74"/>
        <v>1068814103.2913438</v>
      </c>
      <c r="AB392" s="18">
        <f t="shared" si="75"/>
        <v>1068814103.2913438</v>
      </c>
      <c r="AC392" s="19">
        <f t="shared" si="70"/>
        <v>0</v>
      </c>
      <c r="AD392" s="20">
        <f t="shared" si="71"/>
        <v>992118343.0334909</v>
      </c>
      <c r="AE392" s="9" t="s">
        <v>91</v>
      </c>
    </row>
    <row r="393" spans="1:31" ht="18" customHeight="1">
      <c r="A393" s="4">
        <v>389</v>
      </c>
      <c r="B393" s="13">
        <v>45936</v>
      </c>
      <c r="C393" s="13">
        <v>45938</v>
      </c>
      <c r="D393" s="4" t="s">
        <v>99</v>
      </c>
      <c r="E393" s="14">
        <v>25009.414000000001</v>
      </c>
      <c r="F393" s="14">
        <v>24910.305</v>
      </c>
      <c r="G393" s="15">
        <v>-3.96E-3</v>
      </c>
      <c r="H393" s="16">
        <f t="shared" si="76"/>
        <v>1.422E-2</v>
      </c>
      <c r="I393" s="17" t="b">
        <f>AND(A393&gt;2,H393&lt;=Assumptions!$B$7)</f>
        <v>0</v>
      </c>
      <c r="J393" s="15">
        <v>8.5846640564104515E-3</v>
      </c>
      <c r="K393" s="15">
        <v>4.7078429330278171E-2</v>
      </c>
      <c r="L393" s="15">
        <v>9.6820186345700776E-3</v>
      </c>
      <c r="M393" s="17" t="b">
        <f>J393&gt;=Assumptions!$B$8</f>
        <v>0</v>
      </c>
      <c r="N393" s="17" t="b">
        <f>AND(K393&lt;&gt;"",K393&lt;=Assumptions!$B$9)</f>
        <v>0</v>
      </c>
      <c r="O393" s="17" t="b">
        <f>AND(P393&lt;&gt;"",ABS(L393)&lt;=Assumptions!$B$10)</f>
        <v>0</v>
      </c>
      <c r="P393" s="13">
        <v>45937</v>
      </c>
      <c r="Q393" s="14">
        <v>25029.532999999999</v>
      </c>
      <c r="R393" s="15">
        <v>-4.7600000000000003E-3</v>
      </c>
      <c r="S393" s="17" t="str">
        <f t="shared" si="66"/>
        <v>BASELINE</v>
      </c>
      <c r="T393" s="16">
        <f t="shared" si="67"/>
        <v>-3.96E-3</v>
      </c>
      <c r="U393" s="16">
        <f>G393*Assumptions!$B$6</f>
        <v>-4.4748000000000003E-2</v>
      </c>
      <c r="V393" s="16">
        <f>T393*Assumptions!$B$6</f>
        <v>-4.4748000000000003E-2</v>
      </c>
      <c r="W393" s="16">
        <f t="shared" si="68"/>
        <v>0</v>
      </c>
      <c r="X393" s="18">
        <f t="shared" si="72"/>
        <v>73263778.377834454</v>
      </c>
      <c r="Y393" s="18">
        <f t="shared" si="73"/>
        <v>76695760.257852852</v>
      </c>
      <c r="Z393" s="19">
        <f t="shared" si="69"/>
        <v>-4.474800000000001E-2</v>
      </c>
      <c r="AA393" s="18">
        <f t="shared" si="74"/>
        <v>1020986809.7972628</v>
      </c>
      <c r="AB393" s="18">
        <f t="shared" si="75"/>
        <v>1068814103.2913438</v>
      </c>
      <c r="AC393" s="19">
        <f t="shared" si="70"/>
        <v>-4.474800000000001E-2</v>
      </c>
      <c r="AD393" s="20">
        <f t="shared" si="71"/>
        <v>947723031.41942835</v>
      </c>
      <c r="AE393" s="9" t="s">
        <v>91</v>
      </c>
    </row>
    <row r="394" spans="1:31" ht="18" customHeight="1">
      <c r="A394" s="4">
        <v>390</v>
      </c>
      <c r="B394" s="13">
        <v>45943</v>
      </c>
      <c r="C394" s="13">
        <v>45946</v>
      </c>
      <c r="D394" s="4" t="s">
        <v>96</v>
      </c>
      <c r="E394" s="14">
        <v>24648.555</v>
      </c>
      <c r="F394" s="14">
        <v>24549.960780000001</v>
      </c>
      <c r="G394" s="15">
        <v>-4.0000000000000001E-3</v>
      </c>
      <c r="H394" s="16">
        <f t="shared" si="76"/>
        <v>2.9500000000000004E-3</v>
      </c>
      <c r="I394" s="17" t="b">
        <f>AND(A394&gt;2,H394&lt;=Assumptions!$B$7)</f>
        <v>0</v>
      </c>
      <c r="J394" s="15">
        <v>1.7386944554650618E-2</v>
      </c>
      <c r="K394" s="15">
        <v>4.840964101864742E-3</v>
      </c>
      <c r="L394" s="15">
        <v>9.8558100084815692E-3</v>
      </c>
      <c r="M394" s="17" t="b">
        <f>J394&gt;=Assumptions!$B$8</f>
        <v>1</v>
      </c>
      <c r="N394" s="17" t="b">
        <f>AND(K394&lt;&gt;"",K394&lt;=Assumptions!$B$9)</f>
        <v>0</v>
      </c>
      <c r="O394" s="17" t="b">
        <f>AND(P394&lt;&gt;"",ABS(L394)&lt;=Assumptions!$B$10)</f>
        <v>0</v>
      </c>
      <c r="P394" s="13">
        <v>45944</v>
      </c>
      <c r="Q394" s="14">
        <v>24460.707999999999</v>
      </c>
      <c r="R394" s="15">
        <v>3.64E-3</v>
      </c>
      <c r="S394" s="17" t="str">
        <f t="shared" si="66"/>
        <v>BASELINE</v>
      </c>
      <c r="T394" s="16">
        <f t="shared" si="67"/>
        <v>-4.0000000000000001E-3</v>
      </c>
      <c r="U394" s="16">
        <f>G394*Assumptions!$B$6</f>
        <v>-4.5200000000000004E-2</v>
      </c>
      <c r="V394" s="16">
        <f>T394*Assumptions!$B$6</f>
        <v>-4.5200000000000004E-2</v>
      </c>
      <c r="W394" s="16">
        <f t="shared" si="68"/>
        <v>0</v>
      </c>
      <c r="X394" s="18">
        <f t="shared" si="72"/>
        <v>69952255.595156342</v>
      </c>
      <c r="Y394" s="18">
        <f t="shared" si="73"/>
        <v>76695760.257852852</v>
      </c>
      <c r="Z394" s="19">
        <f t="shared" si="69"/>
        <v>-8.7925390399999914E-2</v>
      </c>
      <c r="AA394" s="18">
        <f t="shared" si="74"/>
        <v>974838205.99442649</v>
      </c>
      <c r="AB394" s="18">
        <f t="shared" si="75"/>
        <v>1068814103.2913438</v>
      </c>
      <c r="AC394" s="19">
        <f t="shared" si="70"/>
        <v>-8.7925390400000025E-2</v>
      </c>
      <c r="AD394" s="20">
        <f t="shared" si="71"/>
        <v>904885950.39927018</v>
      </c>
      <c r="AE394" s="9" t="s">
        <v>91</v>
      </c>
    </row>
    <row r="395" spans="1:31" ht="18" customHeight="1">
      <c r="A395" s="4">
        <v>391</v>
      </c>
      <c r="B395" s="13">
        <v>45950</v>
      </c>
      <c r="C395" s="13">
        <v>45950</v>
      </c>
      <c r="D395" s="4" t="s">
        <v>90</v>
      </c>
      <c r="E395" s="14">
        <v>24953.631000000001</v>
      </c>
      <c r="F395" s="14">
        <v>25133.794000000002</v>
      </c>
      <c r="G395" s="15">
        <v>7.2100000000000003E-3</v>
      </c>
      <c r="H395" s="16">
        <f t="shared" si="76"/>
        <v>-7.9600000000000001E-3</v>
      </c>
      <c r="I395" s="17" t="b">
        <f>AND(A395&gt;2,H395&lt;=Assumptions!$B$7)</f>
        <v>0</v>
      </c>
      <c r="J395" s="15">
        <v>5.6059512248514132E-3</v>
      </c>
      <c r="K395" s="15">
        <v>7.6416117460580413E-3</v>
      </c>
      <c r="L395" s="15">
        <v>1.2766380209626949E-2</v>
      </c>
      <c r="M395" s="17" t="b">
        <f>J395&gt;=Assumptions!$B$8</f>
        <v>0</v>
      </c>
      <c r="N395" s="17" t="b">
        <f>AND(K395&lt;&gt;"",K395&lt;=Assumptions!$B$9)</f>
        <v>0</v>
      </c>
      <c r="O395" s="17" t="b">
        <f>AND(P395&lt;&gt;"",ABS(L395)&lt;=Assumptions!$B$10)</f>
        <v>0</v>
      </c>
      <c r="P395" s="13">
        <v>45951</v>
      </c>
      <c r="Q395" s="14">
        <v>25136.414000000001</v>
      </c>
      <c r="R395" s="15">
        <v>-1E-4</v>
      </c>
      <c r="S395" s="17" t="str">
        <f t="shared" si="66"/>
        <v>BASELINE</v>
      </c>
      <c r="T395" s="16">
        <f t="shared" si="67"/>
        <v>7.2100000000000003E-3</v>
      </c>
      <c r="U395" s="16">
        <f>G395*Assumptions!$B$6</f>
        <v>8.1473000000000004E-2</v>
      </c>
      <c r="V395" s="16">
        <f>T395*Assumptions!$B$6</f>
        <v>8.1473000000000004E-2</v>
      </c>
      <c r="W395" s="16">
        <f t="shared" si="68"/>
        <v>0</v>
      </c>
      <c r="X395" s="18">
        <f t="shared" si="72"/>
        <v>75651475.715260506</v>
      </c>
      <c r="Y395" s="18">
        <f t="shared" si="73"/>
        <v>76695760.257852852</v>
      </c>
      <c r="Z395" s="19">
        <f t="shared" si="69"/>
        <v>-1.3615935732059214E-2</v>
      </c>
      <c r="AA395" s="18">
        <f t="shared" si="74"/>
        <v>1054261199.1514103</v>
      </c>
      <c r="AB395" s="18">
        <f t="shared" si="75"/>
        <v>1068814103.2913438</v>
      </c>
      <c r="AC395" s="19">
        <f t="shared" si="70"/>
        <v>-1.3615935732059214E-2</v>
      </c>
      <c r="AD395" s="20">
        <f t="shared" si="71"/>
        <v>978609723.43614984</v>
      </c>
      <c r="AE395" s="9" t="s">
        <v>91</v>
      </c>
    </row>
    <row r="396" spans="1:31" ht="18" customHeight="1">
      <c r="A396" s="4">
        <v>392</v>
      </c>
      <c r="B396" s="13">
        <v>45957</v>
      </c>
      <c r="C396" s="13">
        <v>45958</v>
      </c>
      <c r="D396" s="4" t="s">
        <v>98</v>
      </c>
      <c r="E396" s="14">
        <v>25669.455000000002</v>
      </c>
      <c r="F396" s="14">
        <v>25853.598999999998</v>
      </c>
      <c r="G396" s="15">
        <v>7.1700000000000002E-3</v>
      </c>
      <c r="H396" s="16">
        <f t="shared" si="76"/>
        <v>3.2100000000000002E-3</v>
      </c>
      <c r="I396" s="17" t="b">
        <f>AND(A396&gt;2,H396&lt;=Assumptions!$B$7)</f>
        <v>0</v>
      </c>
      <c r="J396" s="15">
        <v>1.2247588319195701E-2</v>
      </c>
      <c r="K396" s="15">
        <v>3.5454804772052206E-2</v>
      </c>
      <c r="L396" s="15">
        <v>2.1487603305785141E-2</v>
      </c>
      <c r="M396" s="17" t="b">
        <f>J396&gt;=Assumptions!$B$8</f>
        <v>1</v>
      </c>
      <c r="N396" s="17" t="b">
        <f>AND(K396&lt;&gt;"",K396&lt;=Assumptions!$B$9)</f>
        <v>0</v>
      </c>
      <c r="O396" s="17" t="b">
        <f>AND(P396&lt;&gt;"",ABS(L396)&lt;=Assumptions!$B$10)</f>
        <v>0</v>
      </c>
      <c r="P396" s="13">
        <v>45958</v>
      </c>
      <c r="Q396" s="14">
        <v>25908.577000000001</v>
      </c>
      <c r="R396" s="15">
        <v>-2.1199999999999999E-3</v>
      </c>
      <c r="S396" s="17" t="str">
        <f t="shared" si="66"/>
        <v>BASELINE</v>
      </c>
      <c r="T396" s="16">
        <f t="shared" si="67"/>
        <v>7.1700000000000002E-3</v>
      </c>
      <c r="U396" s="16">
        <f>G396*Assumptions!$B$6</f>
        <v>8.102100000000001E-2</v>
      </c>
      <c r="V396" s="16">
        <f>T396*Assumptions!$B$6</f>
        <v>8.102100000000001E-2</v>
      </c>
      <c r="W396" s="16">
        <f t="shared" si="68"/>
        <v>0</v>
      </c>
      <c r="X396" s="18">
        <f t="shared" si="72"/>
        <v>81780833.929186627</v>
      </c>
      <c r="Y396" s="18">
        <f t="shared" si="73"/>
        <v>81780833.929186627</v>
      </c>
      <c r="Z396" s="19">
        <f t="shared" si="69"/>
        <v>0</v>
      </c>
      <c r="AA396" s="18">
        <f t="shared" si="74"/>
        <v>1139678495.7678568</v>
      </c>
      <c r="AB396" s="18">
        <f t="shared" si="75"/>
        <v>1139678495.7678568</v>
      </c>
      <c r="AC396" s="19">
        <f t="shared" si="70"/>
        <v>0</v>
      </c>
      <c r="AD396" s="20">
        <f t="shared" si="71"/>
        <v>1057897661.8386703</v>
      </c>
      <c r="AE396" s="9" t="s">
        <v>91</v>
      </c>
    </row>
    <row r="397" spans="1:31" ht="18" customHeight="1">
      <c r="A397" s="4">
        <v>393</v>
      </c>
      <c r="B397" s="13">
        <v>45964</v>
      </c>
      <c r="C397" s="13">
        <v>45967</v>
      </c>
      <c r="D397" s="4" t="s">
        <v>92</v>
      </c>
      <c r="E397" s="14">
        <v>26099.055</v>
      </c>
      <c r="F397" s="14">
        <v>25629.069</v>
      </c>
      <c r="G397" s="15">
        <v>-1.7999999999999999E-2</v>
      </c>
      <c r="H397" s="16">
        <f t="shared" si="76"/>
        <v>1.438E-2</v>
      </c>
      <c r="I397" s="17" t="b">
        <f>AND(A397&gt;2,H397&lt;=Assumptions!$B$7)</f>
        <v>0</v>
      </c>
      <c r="J397" s="15">
        <v>9.6995404501443172E-3</v>
      </c>
      <c r="K397" s="15">
        <v>4.2922510693325533E-2</v>
      </c>
      <c r="L397" s="15">
        <v>-9.2040631408271123E-3</v>
      </c>
      <c r="M397" s="17" t="b">
        <f>J397&gt;=Assumptions!$B$8</f>
        <v>0</v>
      </c>
      <c r="N397" s="17" t="b">
        <f>AND(K397&lt;&gt;"",K397&lt;=Assumptions!$B$9)</f>
        <v>0</v>
      </c>
      <c r="O397" s="17" t="b">
        <f>AND(P397&lt;&gt;"",ABS(L397)&lt;=Assumptions!$B$10)</f>
        <v>0</v>
      </c>
      <c r="P397" s="13">
        <v>45965</v>
      </c>
      <c r="Q397" s="14">
        <v>25612.186000000002</v>
      </c>
      <c r="R397" s="15">
        <v>6.4999999999999997E-4</v>
      </c>
      <c r="S397" s="17" t="str">
        <f t="shared" si="66"/>
        <v>BASELINE</v>
      </c>
      <c r="T397" s="16">
        <f t="shared" si="67"/>
        <v>-1.7999999999999999E-2</v>
      </c>
      <c r="U397" s="16">
        <f>G397*Assumptions!$B$6</f>
        <v>-0.2034</v>
      </c>
      <c r="V397" s="16">
        <f>T397*Assumptions!$B$6</f>
        <v>-0.2034</v>
      </c>
      <c r="W397" s="16">
        <f t="shared" si="68"/>
        <v>0</v>
      </c>
      <c r="X397" s="18">
        <f t="shared" si="72"/>
        <v>65146612.307990067</v>
      </c>
      <c r="Y397" s="18">
        <f t="shared" si="73"/>
        <v>81780833.929186627</v>
      </c>
      <c r="Z397" s="19">
        <f t="shared" si="69"/>
        <v>-0.20340000000000003</v>
      </c>
      <c r="AA397" s="18">
        <f t="shared" si="74"/>
        <v>907867889.72867477</v>
      </c>
      <c r="AB397" s="18">
        <f t="shared" si="75"/>
        <v>1139678495.7678568</v>
      </c>
      <c r="AC397" s="19">
        <f t="shared" si="70"/>
        <v>-0.20340000000000003</v>
      </c>
      <c r="AD397" s="20">
        <f t="shared" si="71"/>
        <v>842721277.4206847</v>
      </c>
      <c r="AE397" s="9" t="s">
        <v>91</v>
      </c>
    </row>
    <row r="398" spans="1:31" ht="18" customHeight="1">
      <c r="A398" s="4">
        <v>394</v>
      </c>
      <c r="B398" s="13">
        <v>45971</v>
      </c>
      <c r="C398" s="13">
        <v>45972</v>
      </c>
      <c r="D398" s="4" t="s">
        <v>98</v>
      </c>
      <c r="E398" s="14">
        <v>25432.62</v>
      </c>
      <c r="F398" s="14">
        <v>25628.999</v>
      </c>
      <c r="G398" s="15">
        <v>7.7200000000000003E-3</v>
      </c>
      <c r="H398" s="16">
        <f t="shared" si="76"/>
        <v>-1.0829999999999999E-2</v>
      </c>
      <c r="I398" s="17" t="b">
        <f>AND(A398&gt;2,H398&lt;=Assumptions!$B$7)</f>
        <v>0</v>
      </c>
      <c r="J398" s="15">
        <v>1.4299956664380886E-2</v>
      </c>
      <c r="K398" s="15">
        <v>3.433418150975398E-2</v>
      </c>
      <c r="L398" s="15">
        <v>1.7761668908059303E-2</v>
      </c>
      <c r="M398" s="17" t="b">
        <f>J398&gt;=Assumptions!$B$8</f>
        <v>1</v>
      </c>
      <c r="N398" s="17" t="b">
        <f>AND(K398&lt;&gt;"",K398&lt;=Assumptions!$B$9)</f>
        <v>0</v>
      </c>
      <c r="O398" s="17" t="b">
        <f>AND(P398&lt;&gt;"",ABS(L398)&lt;=Assumptions!$B$10)</f>
        <v>0</v>
      </c>
      <c r="P398" s="13">
        <v>45972</v>
      </c>
      <c r="Q398" s="14">
        <v>25501.652999999998</v>
      </c>
      <c r="R398" s="15">
        <v>4.9899999999999996E-3</v>
      </c>
      <c r="S398" s="17" t="str">
        <f t="shared" si="66"/>
        <v>BASELINE</v>
      </c>
      <c r="T398" s="16">
        <f t="shared" si="67"/>
        <v>7.7200000000000003E-3</v>
      </c>
      <c r="U398" s="16">
        <f>G398*Assumptions!$B$6</f>
        <v>8.7236000000000008E-2</v>
      </c>
      <c r="V398" s="16">
        <f>T398*Assumptions!$B$6</f>
        <v>8.7236000000000008E-2</v>
      </c>
      <c r="W398" s="16">
        <f t="shared" si="68"/>
        <v>0</v>
      </c>
      <c r="X398" s="18">
        <f t="shared" si="72"/>
        <v>70829742.179289892</v>
      </c>
      <c r="Y398" s="18">
        <f t="shared" si="73"/>
        <v>81780833.929186627</v>
      </c>
      <c r="Z398" s="19">
        <f t="shared" si="69"/>
        <v>-0.1339078024</v>
      </c>
      <c r="AA398" s="18">
        <f t="shared" si="74"/>
        <v>987066652.95704556</v>
      </c>
      <c r="AB398" s="18">
        <f t="shared" si="75"/>
        <v>1139678495.7678568</v>
      </c>
      <c r="AC398" s="19">
        <f t="shared" si="70"/>
        <v>-0.13390780239999989</v>
      </c>
      <c r="AD398" s="20">
        <f t="shared" si="71"/>
        <v>916236910.77775562</v>
      </c>
      <c r="AE398" s="9" t="s">
        <v>91</v>
      </c>
    </row>
    <row r="399" spans="1:31" ht="18" customHeight="1">
      <c r="A399" s="4">
        <v>395</v>
      </c>
      <c r="B399" s="13">
        <v>45978</v>
      </c>
      <c r="C399" s="13">
        <v>45980</v>
      </c>
      <c r="D399" s="4" t="s">
        <v>95</v>
      </c>
      <c r="E399" s="14">
        <v>24910.149000000001</v>
      </c>
      <c r="F399" s="14">
        <v>24810.508404</v>
      </c>
      <c r="G399" s="15">
        <v>-4.0000000000000001E-3</v>
      </c>
      <c r="H399" s="16">
        <f t="shared" si="76"/>
        <v>-1.0279999999999997E-2</v>
      </c>
      <c r="I399" s="17" t="b">
        <f>AND(A399&gt;2,H399&lt;=Assumptions!$B$7)</f>
        <v>0</v>
      </c>
      <c r="J399" s="15">
        <v>-3.6441367728030638E-3</v>
      </c>
      <c r="K399" s="15">
        <v>8.163197721590354E-3</v>
      </c>
      <c r="L399" s="15">
        <v>-1.517590250632328E-2</v>
      </c>
      <c r="M399" s="17" t="b">
        <f>J399&gt;=Assumptions!$B$8</f>
        <v>0</v>
      </c>
      <c r="N399" s="17" t="b">
        <f>AND(K399&lt;&gt;"",K399&lt;=Assumptions!$B$9)</f>
        <v>0</v>
      </c>
      <c r="O399" s="17" t="b">
        <f>AND(P399&lt;&gt;"",ABS(L399)&lt;=Assumptions!$B$10)</f>
        <v>0</v>
      </c>
      <c r="P399" s="13">
        <v>45979</v>
      </c>
      <c r="Q399" s="14">
        <v>24632.760999999999</v>
      </c>
      <c r="R399" s="15">
        <v>7.2100000000000003E-3</v>
      </c>
      <c r="S399" s="17" t="str">
        <f t="shared" si="66"/>
        <v>BASELINE</v>
      </c>
      <c r="T399" s="16">
        <f t="shared" si="67"/>
        <v>-4.0000000000000001E-3</v>
      </c>
      <c r="U399" s="16">
        <f>G399*Assumptions!$B$6</f>
        <v>-4.5200000000000004E-2</v>
      </c>
      <c r="V399" s="16">
        <f>T399*Assumptions!$B$6</f>
        <v>-4.5200000000000004E-2</v>
      </c>
      <c r="W399" s="16">
        <f t="shared" si="68"/>
        <v>0</v>
      </c>
      <c r="X399" s="18">
        <f t="shared" si="72"/>
        <v>67628237.832785994</v>
      </c>
      <c r="Y399" s="18">
        <f t="shared" si="73"/>
        <v>81780833.929186627</v>
      </c>
      <c r="Z399" s="19">
        <f t="shared" si="69"/>
        <v>-0.17305516973151991</v>
      </c>
      <c r="AA399" s="18">
        <f t="shared" si="74"/>
        <v>942451240.2433871</v>
      </c>
      <c r="AB399" s="18">
        <f t="shared" si="75"/>
        <v>1139678495.7678568</v>
      </c>
      <c r="AC399" s="19">
        <f t="shared" si="70"/>
        <v>-0.17305516973151991</v>
      </c>
      <c r="AD399" s="20">
        <f t="shared" si="71"/>
        <v>874823002.41060114</v>
      </c>
      <c r="AE399" s="9" t="s">
        <v>91</v>
      </c>
    </row>
    <row r="400" spans="1:31" ht="18" customHeight="1">
      <c r="A400" s="4">
        <v>396</v>
      </c>
      <c r="B400" s="13">
        <v>45985</v>
      </c>
      <c r="C400" s="13">
        <v>45985</v>
      </c>
      <c r="D400" s="4" t="s">
        <v>90</v>
      </c>
      <c r="E400" s="14">
        <v>24452.522000000001</v>
      </c>
      <c r="F400" s="14">
        <v>24861.476999999999</v>
      </c>
      <c r="G400" s="15">
        <v>1.6719999999999999E-2</v>
      </c>
      <c r="H400" s="16">
        <f t="shared" si="76"/>
        <v>3.7200000000000002E-3</v>
      </c>
      <c r="I400" s="17" t="b">
        <f>AND(A400&gt;2,H400&lt;=Assumptions!$B$7)</f>
        <v>0</v>
      </c>
      <c r="J400" s="15">
        <v>8.1444724460273399E-3</v>
      </c>
      <c r="K400" s="15">
        <v>-4.3801652892561993E-2</v>
      </c>
      <c r="L400" s="15">
        <v>2.2776958665920999E-2</v>
      </c>
      <c r="M400" s="17" t="b">
        <f>J400&gt;=Assumptions!$B$8</f>
        <v>0</v>
      </c>
      <c r="N400" s="17" t="b">
        <f>AND(K400&lt;&gt;"",K400&lt;=Assumptions!$B$9)</f>
        <v>1</v>
      </c>
      <c r="O400" s="17" t="b">
        <f>AND(P400&lt;&gt;"",ABS(L400)&lt;=Assumptions!$B$10)</f>
        <v>0</v>
      </c>
      <c r="P400" s="13">
        <v>45986</v>
      </c>
      <c r="Q400" s="14">
        <v>24787.652999999998</v>
      </c>
      <c r="R400" s="15">
        <v>2.97E-3</v>
      </c>
      <c r="S400" s="17" t="str">
        <f t="shared" si="66"/>
        <v>BASELINE</v>
      </c>
      <c r="T400" s="16">
        <f t="shared" si="67"/>
        <v>1.6719999999999999E-2</v>
      </c>
      <c r="U400" s="16">
        <f>G400*Assumptions!$B$6</f>
        <v>0.18893599999999999</v>
      </c>
      <c r="V400" s="16">
        <f>T400*Assumptions!$B$6</f>
        <v>0.18893599999999999</v>
      </c>
      <c r="W400" s="16">
        <f t="shared" si="68"/>
        <v>0</v>
      </c>
      <c r="X400" s="18">
        <f t="shared" si="72"/>
        <v>80405646.575961247</v>
      </c>
      <c r="Y400" s="18">
        <f t="shared" si="73"/>
        <v>81780833.929186627</v>
      </c>
      <c r="Z400" s="19">
        <f t="shared" si="69"/>
        <v>-1.6815521279914369E-2</v>
      </c>
      <c r="AA400" s="18">
        <f t="shared" si="74"/>
        <v>1120514207.7700117</v>
      </c>
      <c r="AB400" s="18">
        <f t="shared" si="75"/>
        <v>1139678495.7678568</v>
      </c>
      <c r="AC400" s="19">
        <f t="shared" si="70"/>
        <v>-1.6815521279914369E-2</v>
      </c>
      <c r="AD400" s="20">
        <f t="shared" si="71"/>
        <v>1040108561.1940504</v>
      </c>
      <c r="AE400" s="9" t="s">
        <v>91</v>
      </c>
    </row>
    <row r="401" spans="1:31" ht="18" customHeight="1">
      <c r="A401" s="4">
        <v>397</v>
      </c>
      <c r="B401" s="13">
        <v>45992</v>
      </c>
      <c r="C401" s="13">
        <v>45996</v>
      </c>
      <c r="D401" s="4" t="s">
        <v>93</v>
      </c>
      <c r="E401" s="14">
        <v>25203.697</v>
      </c>
      <c r="F401" s="14">
        <v>25696.991999999998</v>
      </c>
      <c r="G401" s="15">
        <v>1.9570000000000001E-2</v>
      </c>
      <c r="H401" s="16">
        <f t="shared" si="76"/>
        <v>1.2719999999999999E-2</v>
      </c>
      <c r="I401" s="17" t="b">
        <f>AND(A401&gt;2,H401&lt;=Assumptions!$B$7)</f>
        <v>0</v>
      </c>
      <c r="J401" s="15">
        <v>-1.5059597784776724E-3</v>
      </c>
      <c r="K401" s="15">
        <v>-3.381726095915194E-2</v>
      </c>
      <c r="L401" s="15">
        <v>8.4490533478764895E-3</v>
      </c>
      <c r="M401" s="17" t="b">
        <f>J401&gt;=Assumptions!$B$8</f>
        <v>0</v>
      </c>
      <c r="N401" s="17" t="b">
        <f>AND(K401&lt;&gt;"",K401&lt;=Assumptions!$B$9)</f>
        <v>1</v>
      </c>
      <c r="O401" s="17" t="b">
        <f>AND(P401&lt;&gt;"",ABS(L401)&lt;=Assumptions!$B$10)</f>
        <v>0</v>
      </c>
      <c r="P401" s="13">
        <v>45993</v>
      </c>
      <c r="Q401" s="14">
        <v>25443.327000000001</v>
      </c>
      <c r="R401" s="15">
        <v>9.9600000000000001E-3</v>
      </c>
      <c r="S401" s="17" t="str">
        <f t="shared" si="66"/>
        <v>BASELINE</v>
      </c>
      <c r="T401" s="16">
        <f t="shared" si="67"/>
        <v>1.9570000000000001E-2</v>
      </c>
      <c r="U401" s="16">
        <f>G401*Assumptions!$B$6</f>
        <v>0.22114100000000003</v>
      </c>
      <c r="V401" s="16">
        <f>T401*Assumptions!$B$6</f>
        <v>0.22114100000000003</v>
      </c>
      <c r="W401" s="16">
        <f t="shared" si="68"/>
        <v>0</v>
      </c>
      <c r="X401" s="18">
        <f t="shared" si="72"/>
        <v>98186631.665415898</v>
      </c>
      <c r="Y401" s="18">
        <f t="shared" si="73"/>
        <v>98186631.665415898</v>
      </c>
      <c r="Z401" s="19">
        <f t="shared" si="69"/>
        <v>0</v>
      </c>
      <c r="AA401" s="18">
        <f t="shared" si="74"/>
        <v>1368305840.1904798</v>
      </c>
      <c r="AB401" s="18">
        <f t="shared" si="75"/>
        <v>1368305840.1904798</v>
      </c>
      <c r="AC401" s="19">
        <f t="shared" si="70"/>
        <v>0</v>
      </c>
      <c r="AD401" s="20">
        <f t="shared" si="71"/>
        <v>1270119208.5250638</v>
      </c>
      <c r="AE401" s="9" t="s">
        <v>91</v>
      </c>
    </row>
    <row r="402" spans="1:31" ht="18" customHeight="1">
      <c r="A402" s="4">
        <v>398</v>
      </c>
      <c r="B402" s="13">
        <v>45999</v>
      </c>
      <c r="C402" s="13">
        <v>46002</v>
      </c>
      <c r="D402" s="4" t="s">
        <v>92</v>
      </c>
      <c r="E402" s="14">
        <v>25754.881000000001</v>
      </c>
      <c r="F402" s="14">
        <v>25650.338</v>
      </c>
      <c r="G402" s="15">
        <v>-4.0499999999999998E-3</v>
      </c>
      <c r="H402" s="16">
        <f t="shared" si="76"/>
        <v>3.6290000000000003E-2</v>
      </c>
      <c r="I402" s="17" t="b">
        <f>AND(A402&gt;2,H402&lt;=Assumptions!$B$7)</f>
        <v>0</v>
      </c>
      <c r="J402" s="15">
        <v>2.2527539410062136E-3</v>
      </c>
      <c r="K402" s="15">
        <v>3.5297137723013794E-3</v>
      </c>
      <c r="L402" s="15">
        <v>-3.9489671931957071E-3</v>
      </c>
      <c r="M402" s="17" t="b">
        <f>J402&gt;=Assumptions!$B$8</f>
        <v>0</v>
      </c>
      <c r="N402" s="17" t="b">
        <f>AND(K402&lt;&gt;"",K402&lt;=Assumptions!$B$9)</f>
        <v>0</v>
      </c>
      <c r="O402" s="17" t="b">
        <f>AND(P402&lt;&gt;"",ABS(L402)&lt;=Assumptions!$B$10)</f>
        <v>1</v>
      </c>
      <c r="P402" s="13">
        <v>46000</v>
      </c>
      <c r="Q402" s="14">
        <v>25584.510999999999</v>
      </c>
      <c r="R402" s="15">
        <v>2.5699999999999998E-3</v>
      </c>
      <c r="S402" s="17" t="str">
        <f t="shared" si="66"/>
        <v>BASELINE</v>
      </c>
      <c r="T402" s="16">
        <f t="shared" si="67"/>
        <v>-4.0499999999999998E-3</v>
      </c>
      <c r="U402" s="16">
        <f>G402*Assumptions!$B$6</f>
        <v>-4.5765E-2</v>
      </c>
      <c r="V402" s="16">
        <f>T402*Assumptions!$B$6</f>
        <v>-4.5765E-2</v>
      </c>
      <c r="W402" s="16">
        <f t="shared" si="68"/>
        <v>0</v>
      </c>
      <c r="X402" s="18">
        <f t="shared" si="72"/>
        <v>93693120.467248127</v>
      </c>
      <c r="Y402" s="18">
        <f t="shared" si="73"/>
        <v>98186631.665415898</v>
      </c>
      <c r="Z402" s="19">
        <f t="shared" si="69"/>
        <v>-4.5765000000000167E-2</v>
      </c>
      <c r="AA402" s="18">
        <f t="shared" si="74"/>
        <v>1305685323.4141624</v>
      </c>
      <c r="AB402" s="18">
        <f t="shared" si="75"/>
        <v>1368305840.1904798</v>
      </c>
      <c r="AC402" s="19">
        <f t="shared" si="70"/>
        <v>-4.5765000000000056E-2</v>
      </c>
      <c r="AD402" s="20">
        <f t="shared" si="71"/>
        <v>1211992202.9469142</v>
      </c>
      <c r="AE402" s="9" t="s">
        <v>91</v>
      </c>
    </row>
    <row r="403" spans="1:31" ht="18" customHeight="1">
      <c r="A403" s="4">
        <v>399</v>
      </c>
      <c r="B403" s="13">
        <v>46006</v>
      </c>
      <c r="C403" s="13">
        <v>46009</v>
      </c>
      <c r="D403" s="4" t="s">
        <v>92</v>
      </c>
      <c r="E403" s="14">
        <v>25393.760999999999</v>
      </c>
      <c r="F403" s="14">
        <v>24751.786</v>
      </c>
      <c r="G403" s="15">
        <v>-2.528E-2</v>
      </c>
      <c r="H403" s="16">
        <f t="shared" si="76"/>
        <v>1.5520000000000001E-2</v>
      </c>
      <c r="I403" s="17" t="b">
        <f>AND(A403&gt;2,H403&lt;=Assumptions!$B$7)</f>
        <v>0</v>
      </c>
      <c r="J403" s="15">
        <v>7.5600648377391888E-3</v>
      </c>
      <c r="K403" s="15">
        <v>-1.2011335093707776E-2</v>
      </c>
      <c r="L403" s="15">
        <v>-8.7350477494214651E-3</v>
      </c>
      <c r="M403" s="17" t="b">
        <f>J403&gt;=Assumptions!$B$8</f>
        <v>0</v>
      </c>
      <c r="N403" s="17" t="b">
        <f>AND(K403&lt;&gt;"",K403&lt;=Assumptions!$B$9)</f>
        <v>1</v>
      </c>
      <c r="O403" s="17" t="b">
        <f>AND(P403&lt;&gt;"",ABS(L403)&lt;=Assumptions!$B$10)</f>
        <v>0</v>
      </c>
      <c r="P403" s="13">
        <v>46007</v>
      </c>
      <c r="Q403" s="14">
        <v>24965.348999999998</v>
      </c>
      <c r="R403" s="15">
        <v>-8.5500000000000003E-3</v>
      </c>
      <c r="S403" s="17" t="str">
        <f t="shared" si="66"/>
        <v>BASELINE</v>
      </c>
      <c r="T403" s="16">
        <f t="shared" si="67"/>
        <v>-2.528E-2</v>
      </c>
      <c r="U403" s="16">
        <f>G403*Assumptions!$B$6</f>
        <v>-0.28566400000000003</v>
      </c>
      <c r="V403" s="16">
        <f>T403*Assumptions!$B$6</f>
        <v>-0.28566400000000003</v>
      </c>
      <c r="W403" s="16">
        <f t="shared" si="68"/>
        <v>0</v>
      </c>
      <c r="X403" s="18">
        <f t="shared" si="72"/>
        <v>66928368.902092159</v>
      </c>
      <c r="Y403" s="18">
        <f t="shared" si="73"/>
        <v>98186631.665415898</v>
      </c>
      <c r="Z403" s="19">
        <f t="shared" si="69"/>
        <v>-0.31835558704000011</v>
      </c>
      <c r="AA403" s="18">
        <f t="shared" si="74"/>
        <v>932698031.18637908</v>
      </c>
      <c r="AB403" s="18">
        <f t="shared" si="75"/>
        <v>1368305840.1904798</v>
      </c>
      <c r="AC403" s="19">
        <f t="shared" si="70"/>
        <v>-0.31835558704</v>
      </c>
      <c r="AD403" s="20">
        <f t="shared" si="71"/>
        <v>865769662.28428698</v>
      </c>
      <c r="AE403" s="9" t="s">
        <v>91</v>
      </c>
    </row>
    <row r="404" spans="1:31" ht="18" customHeight="1">
      <c r="A404" s="4">
        <v>400</v>
      </c>
      <c r="B404" s="13">
        <v>46013</v>
      </c>
      <c r="C404" s="13">
        <v>46017</v>
      </c>
      <c r="D404" s="4" t="s">
        <v>93</v>
      </c>
      <c r="E404" s="14">
        <v>25543.260999999999</v>
      </c>
      <c r="F404" s="14">
        <v>25653.111000000001</v>
      </c>
      <c r="G404" s="15">
        <v>4.3E-3</v>
      </c>
      <c r="H404" s="16">
        <f t="shared" si="76"/>
        <v>-2.9330000000000002E-2</v>
      </c>
      <c r="I404" s="17" t="b">
        <f>AND(A404&gt;2,H404&lt;=Assumptions!$B$7)</f>
        <v>1</v>
      </c>
      <c r="J404" s="15">
        <v>8.1237931636699567E-3</v>
      </c>
      <c r="K404" s="15">
        <v>2.8639538566689327E-2</v>
      </c>
      <c r="L404" s="15">
        <v>1.8637063447048963E-3</v>
      </c>
      <c r="M404" s="17" t="b">
        <f>J404&gt;=Assumptions!$B$8</f>
        <v>0</v>
      </c>
      <c r="N404" s="17" t="b">
        <f>AND(K404&lt;&gt;"",K404&lt;=Assumptions!$B$9)</f>
        <v>0</v>
      </c>
      <c r="O404" s="17" t="b">
        <f>AND(P404&lt;&gt;"",ABS(L404)&lt;=Assumptions!$B$10)</f>
        <v>1</v>
      </c>
      <c r="P404" s="13">
        <v>46014</v>
      </c>
      <c r="Q404" s="14">
        <v>25412.864000000001</v>
      </c>
      <c r="R404" s="15">
        <v>9.4500000000000001E-3</v>
      </c>
      <c r="S404" s="17" t="str">
        <f t="shared" si="66"/>
        <v>DAMAGE SKIP</v>
      </c>
      <c r="T404" s="16">
        <f t="shared" si="67"/>
        <v>0</v>
      </c>
      <c r="U404" s="16">
        <f>G404*Assumptions!$B$6</f>
        <v>4.8590000000000001E-2</v>
      </c>
      <c r="V404" s="16">
        <f>T404*Assumptions!$B$6</f>
        <v>0</v>
      </c>
      <c r="W404" s="16">
        <f t="shared" si="68"/>
        <v>-4.8590000000000001E-2</v>
      </c>
      <c r="X404" s="18">
        <f t="shared" si="72"/>
        <v>70180418.347044811</v>
      </c>
      <c r="Y404" s="18">
        <f t="shared" si="73"/>
        <v>98186631.665415898</v>
      </c>
      <c r="Z404" s="19">
        <f t="shared" si="69"/>
        <v>-0.28523448501427373</v>
      </c>
      <c r="AA404" s="18">
        <f t="shared" si="74"/>
        <v>932698031.18637908</v>
      </c>
      <c r="AB404" s="18">
        <f t="shared" si="75"/>
        <v>1368305840.1904798</v>
      </c>
      <c r="AC404" s="19">
        <f t="shared" si="70"/>
        <v>-0.31835558704</v>
      </c>
      <c r="AD404" s="20">
        <f t="shared" si="71"/>
        <v>862517612.83933425</v>
      </c>
      <c r="AE404" s="9" t="s">
        <v>94</v>
      </c>
    </row>
    <row r="405" spans="1:31" ht="18" customHeight="1">
      <c r="A405" s="4">
        <v>401</v>
      </c>
      <c r="B405" s="13">
        <v>46020</v>
      </c>
      <c r="C405" s="13">
        <v>46024</v>
      </c>
      <c r="D405" s="4" t="s">
        <v>99</v>
      </c>
      <c r="E405" s="14">
        <v>25491.577000000001</v>
      </c>
      <c r="F405" s="14">
        <v>25390.329000000002</v>
      </c>
      <c r="G405" s="15">
        <v>-3.9699999999999996E-3</v>
      </c>
      <c r="H405" s="16">
        <f t="shared" si="76"/>
        <v>-2.528E-2</v>
      </c>
      <c r="I405" s="17" t="b">
        <f>AND(A405&gt;2,H405&lt;=Assumptions!$B$7)</f>
        <v>1</v>
      </c>
      <c r="J405" s="15">
        <v>-6.2968581081647157E-3</v>
      </c>
      <c r="K405" s="15">
        <v>2.463499154198634E-2</v>
      </c>
      <c r="L405" s="15">
        <v>-6.491528955424708E-3</v>
      </c>
      <c r="M405" s="17" t="b">
        <f>J405&gt;=Assumptions!$B$8</f>
        <v>0</v>
      </c>
      <c r="N405" s="17" t="b">
        <f>AND(K405&lt;&gt;"",K405&lt;=Assumptions!$B$9)</f>
        <v>0</v>
      </c>
      <c r="O405" s="17" t="b">
        <f>AND(P405&lt;&gt;"",ABS(L405)&lt;=Assumptions!$B$10)</f>
        <v>0</v>
      </c>
      <c r="P405" s="13">
        <v>46021</v>
      </c>
      <c r="Q405" s="14">
        <v>25479.805</v>
      </c>
      <c r="R405" s="15">
        <v>-3.5100000000000001E-3</v>
      </c>
      <c r="S405" s="17" t="str">
        <f t="shared" si="66"/>
        <v>DAMAGE SKIP</v>
      </c>
      <c r="T405" s="16">
        <f t="shared" si="67"/>
        <v>0</v>
      </c>
      <c r="U405" s="16">
        <f>G405*Assumptions!$B$6</f>
        <v>-4.4860999999999998E-2</v>
      </c>
      <c r="V405" s="16">
        <f>T405*Assumptions!$B$6</f>
        <v>0</v>
      </c>
      <c r="W405" s="16">
        <f t="shared" si="68"/>
        <v>4.4860999999999998E-2</v>
      </c>
      <c r="X405" s="18">
        <f t="shared" si="72"/>
        <v>67032054.59957803</v>
      </c>
      <c r="Y405" s="18">
        <f t="shared" si="73"/>
        <v>98186631.665415898</v>
      </c>
      <c r="Z405" s="19">
        <f t="shared" si="69"/>
        <v>-0.31729958078204845</v>
      </c>
      <c r="AA405" s="18">
        <f t="shared" si="74"/>
        <v>932698031.18637908</v>
      </c>
      <c r="AB405" s="18">
        <f t="shared" si="75"/>
        <v>1368305840.1904798</v>
      </c>
      <c r="AC405" s="19">
        <f t="shared" si="70"/>
        <v>-0.31835558704</v>
      </c>
      <c r="AD405" s="20">
        <f t="shared" si="71"/>
        <v>865665976.58680105</v>
      </c>
      <c r="AE405" s="9" t="s">
        <v>94</v>
      </c>
    </row>
    <row r="406" spans="1:31" ht="18" customHeight="1">
      <c r="A406" s="4">
        <v>402</v>
      </c>
      <c r="B406" s="13">
        <v>46027</v>
      </c>
      <c r="C406" s="13">
        <v>46031</v>
      </c>
      <c r="D406" s="4" t="s">
        <v>93</v>
      </c>
      <c r="E406" s="14">
        <v>25460.924999999999</v>
      </c>
      <c r="F406" s="14">
        <v>25757.269</v>
      </c>
      <c r="G406" s="15">
        <v>1.163E-2</v>
      </c>
      <c r="H406" s="16">
        <f t="shared" si="76"/>
        <v>0</v>
      </c>
      <c r="I406" s="17" t="b">
        <f>AND(A406&gt;2,H406&lt;=Assumptions!$B$7)</f>
        <v>0</v>
      </c>
      <c r="J406" s="15">
        <v>9.4270159638294437E-3</v>
      </c>
      <c r="K406" s="15">
        <v>-1.667949704901206E-2</v>
      </c>
      <c r="L406" s="15">
        <v>9.9654227557410824E-3</v>
      </c>
      <c r="M406" s="17" t="b">
        <f>J406&gt;=Assumptions!$B$8</f>
        <v>0</v>
      </c>
      <c r="N406" s="17" t="b">
        <f>AND(K406&lt;&gt;"",K406&lt;=Assumptions!$B$9)</f>
        <v>1</v>
      </c>
      <c r="O406" s="17" t="b">
        <f>AND(P406&lt;&gt;"",ABS(L406)&lt;=Assumptions!$B$10)</f>
        <v>0</v>
      </c>
      <c r="P406" s="13">
        <v>46028</v>
      </c>
      <c r="Q406" s="14">
        <v>25450.294000000002</v>
      </c>
      <c r="R406" s="15">
        <v>1.206E-2</v>
      </c>
      <c r="S406" s="17" t="str">
        <f t="shared" si="66"/>
        <v>BASELINE</v>
      </c>
      <c r="T406" s="16">
        <f t="shared" si="67"/>
        <v>1.163E-2</v>
      </c>
      <c r="U406" s="16">
        <f>G406*Assumptions!$B$6</f>
        <v>0.13141900000000001</v>
      </c>
      <c r="V406" s="16">
        <f>T406*Assumptions!$B$6</f>
        <v>0.13141900000000001</v>
      </c>
      <c r="W406" s="16">
        <f t="shared" si="68"/>
        <v>0</v>
      </c>
      <c r="X406" s="18">
        <f t="shared" si="72"/>
        <v>75841340.182999969</v>
      </c>
      <c r="Y406" s="18">
        <f t="shared" si="73"/>
        <v>98186631.665415898</v>
      </c>
      <c r="Z406" s="19">
        <f t="shared" si="69"/>
        <v>-0.22757977438884458</v>
      </c>
      <c r="AA406" s="18">
        <f t="shared" si="74"/>
        <v>1055272273.7468618</v>
      </c>
      <c r="AB406" s="18">
        <f t="shared" si="75"/>
        <v>1368305840.1904798</v>
      </c>
      <c r="AC406" s="19">
        <f t="shared" si="70"/>
        <v>-0.22877455993320983</v>
      </c>
      <c r="AD406" s="20">
        <f t="shared" si="71"/>
        <v>979430933.56386185</v>
      </c>
      <c r="AE406" s="9" t="s">
        <v>91</v>
      </c>
    </row>
    <row r="407" spans="1:31" ht="18" customHeight="1">
      <c r="A407" s="4">
        <v>403</v>
      </c>
      <c r="B407" s="13">
        <v>46034</v>
      </c>
      <c r="C407" s="13">
        <v>46034</v>
      </c>
      <c r="D407" s="4" t="s">
        <v>90</v>
      </c>
      <c r="E407" s="14">
        <v>25577.848999999998</v>
      </c>
      <c r="F407" s="14">
        <v>25785.912</v>
      </c>
      <c r="G407" s="15">
        <v>8.1300000000000001E-3</v>
      </c>
      <c r="H407" s="16">
        <f t="shared" si="76"/>
        <v>1.163E-2</v>
      </c>
      <c r="I407" s="17" t="b">
        <f>AND(A407&gt;2,H407&lt;=Assumptions!$B$7)</f>
        <v>0</v>
      </c>
      <c r="J407" s="15">
        <v>-6.9658006056465549E-3</v>
      </c>
      <c r="K407" s="15">
        <v>-1.5296123388729432E-3</v>
      </c>
      <c r="L407" s="15">
        <v>9.8938801563863699E-4</v>
      </c>
      <c r="M407" s="17" t="b">
        <f>J407&gt;=Assumptions!$B$8</f>
        <v>0</v>
      </c>
      <c r="N407" s="17" t="b">
        <f>AND(K407&lt;&gt;"",K407&lt;=Assumptions!$B$9)</f>
        <v>0</v>
      </c>
      <c r="O407" s="17" t="b">
        <f>AND(P407&lt;&gt;"",ABS(L407)&lt;=Assumptions!$B$10)</f>
        <v>1</v>
      </c>
      <c r="P407" s="13">
        <v>46035</v>
      </c>
      <c r="Q407" s="14">
        <v>25784.37</v>
      </c>
      <c r="R407" s="15">
        <v>5.0000000000000002E-5</v>
      </c>
      <c r="S407" s="17" t="str">
        <f t="shared" si="66"/>
        <v>BASELINE</v>
      </c>
      <c r="T407" s="16">
        <f t="shared" si="67"/>
        <v>8.1300000000000001E-3</v>
      </c>
      <c r="U407" s="16">
        <f>G407*Assumptions!$B$6</f>
        <v>9.1869000000000006E-2</v>
      </c>
      <c r="V407" s="16">
        <f>T407*Assumptions!$B$6</f>
        <v>9.1869000000000006E-2</v>
      </c>
      <c r="W407" s="16">
        <f t="shared" si="68"/>
        <v>0</v>
      </c>
      <c r="X407" s="18">
        <f t="shared" si="72"/>
        <v>82808808.264271989</v>
      </c>
      <c r="Y407" s="18">
        <f t="shared" si="73"/>
        <v>98186631.665415898</v>
      </c>
      <c r="Z407" s="19">
        <f t="shared" si="69"/>
        <v>-0.15661830068217331</v>
      </c>
      <c r="AA407" s="18">
        <f t="shared" si="74"/>
        <v>1152219082.2637122</v>
      </c>
      <c r="AB407" s="18">
        <f t="shared" si="75"/>
        <v>1368305840.1904798</v>
      </c>
      <c r="AC407" s="19">
        <f t="shared" si="70"/>
        <v>-0.15792284997971395</v>
      </c>
      <c r="AD407" s="20">
        <f t="shared" si="71"/>
        <v>1069410273.9994402</v>
      </c>
      <c r="AE407" s="9" t="s">
        <v>91</v>
      </c>
    </row>
    <row r="408" spans="1:31" ht="18" customHeight="1">
      <c r="A408" s="4">
        <v>404</v>
      </c>
      <c r="B408" s="13">
        <v>46042</v>
      </c>
      <c r="C408" s="13">
        <v>46045</v>
      </c>
      <c r="D408" s="4" t="s">
        <v>93</v>
      </c>
      <c r="E408" s="14">
        <v>25092.174999999999</v>
      </c>
      <c r="F408" s="14">
        <v>25599.607</v>
      </c>
      <c r="G408" s="15">
        <v>2.0219999999999998E-2</v>
      </c>
      <c r="H408" s="16">
        <f t="shared" si="76"/>
        <v>1.976E-2</v>
      </c>
      <c r="I408" s="17" t="b">
        <f>AND(A408&gt;2,H408&lt;=Assumptions!$B$7)</f>
        <v>0</v>
      </c>
      <c r="J408" s="15">
        <v>-1.7387137369353933E-2</v>
      </c>
      <c r="K408" s="15">
        <v>3.4726270381905788E-2</v>
      </c>
      <c r="L408" s="15"/>
      <c r="M408" s="17" t="b">
        <f>J408&gt;=Assumptions!$B$8</f>
        <v>0</v>
      </c>
      <c r="N408" s="17" t="b">
        <f>AND(K408&lt;&gt;"",K408&lt;=Assumptions!$B$9)</f>
        <v>0</v>
      </c>
      <c r="O408" s="17" t="b">
        <f>AND(P408&lt;&gt;"",ABS(L408)&lt;=Assumptions!$B$10)</f>
        <v>0</v>
      </c>
      <c r="P408" s="13"/>
      <c r="Q408" s="14"/>
      <c r="R408" s="15"/>
      <c r="S408" s="17" t="str">
        <f t="shared" si="66"/>
        <v>BASELINE</v>
      </c>
      <c r="T408" s="16">
        <f t="shared" si="67"/>
        <v>2.0219999999999998E-2</v>
      </c>
      <c r="U408" s="16">
        <f>G408*Assumptions!$B$6</f>
        <v>0.22848599999999999</v>
      </c>
      <c r="V408" s="16">
        <f>T408*Assumptions!$B$6</f>
        <v>0.22848599999999999</v>
      </c>
      <c r="W408" s="16">
        <f t="shared" si="68"/>
        <v>0</v>
      </c>
      <c r="X408" s="18">
        <f t="shared" si="72"/>
        <v>101729461.62934244</v>
      </c>
      <c r="Y408" s="18">
        <f t="shared" si="73"/>
        <v>101729461.62934244</v>
      </c>
      <c r="Z408" s="19">
        <f t="shared" si="69"/>
        <v>0</v>
      </c>
      <c r="AA408" s="18">
        <f t="shared" si="74"/>
        <v>1415485011.4938188</v>
      </c>
      <c r="AB408" s="18">
        <f t="shared" si="75"/>
        <v>1415485011.4938188</v>
      </c>
      <c r="AC408" s="19">
        <f t="shared" si="70"/>
        <v>0</v>
      </c>
      <c r="AD408" s="20">
        <f t="shared" si="71"/>
        <v>1313755549.8644762</v>
      </c>
      <c r="AE408" s="9" t="s">
        <v>91</v>
      </c>
    </row>
    <row r="409" spans="1:31" ht="18" customHeight="1">
      <c r="A409" s="4">
        <v>405</v>
      </c>
      <c r="B409" s="13">
        <v>46048</v>
      </c>
      <c r="C409" s="13">
        <v>46051</v>
      </c>
      <c r="D409" s="4" t="s">
        <v>96</v>
      </c>
      <c r="E409" s="14">
        <v>25618.098999999998</v>
      </c>
      <c r="F409" s="14">
        <v>25515.626603999997</v>
      </c>
      <c r="G409" s="15">
        <v>-4.0000000000000001E-3</v>
      </c>
      <c r="H409" s="16">
        <f t="shared" si="76"/>
        <v>2.835E-2</v>
      </c>
      <c r="I409" s="17" t="b">
        <f>AND(A409&gt;2,H409&lt;=Assumptions!$B$7)</f>
        <v>0</v>
      </c>
      <c r="J409" s="15">
        <v>7.2235483927540756E-4</v>
      </c>
      <c r="K409" s="15">
        <v>9.80533989165977E-4</v>
      </c>
      <c r="L409" s="15">
        <v>9.9402620760533633E-3</v>
      </c>
      <c r="M409" s="17" t="b">
        <f>J409&gt;=Assumptions!$B$8</f>
        <v>0</v>
      </c>
      <c r="N409" s="17" t="b">
        <f>AND(K409&lt;&gt;"",K409&lt;=Assumptions!$B$9)</f>
        <v>0</v>
      </c>
      <c r="O409" s="17" t="b">
        <f>AND(P409&lt;&gt;"",ABS(L409)&lt;=Assumptions!$B$10)</f>
        <v>0</v>
      </c>
      <c r="P409" s="13">
        <v>46049</v>
      </c>
      <c r="Q409" s="14">
        <v>25853.957999999999</v>
      </c>
      <c r="R409" s="15">
        <v>-1.308E-2</v>
      </c>
      <c r="S409" s="17" t="str">
        <f t="shared" si="66"/>
        <v>BASELINE</v>
      </c>
      <c r="T409" s="16">
        <f t="shared" si="67"/>
        <v>-4.0000000000000001E-3</v>
      </c>
      <c r="U409" s="16">
        <f>G409*Assumptions!$B$6</f>
        <v>-4.5200000000000004E-2</v>
      </c>
      <c r="V409" s="16">
        <f>T409*Assumptions!$B$6</f>
        <v>-4.5200000000000004E-2</v>
      </c>
      <c r="W409" s="16">
        <f t="shared" si="68"/>
        <v>0</v>
      </c>
      <c r="X409" s="18">
        <f t="shared" si="72"/>
        <v>97131289.963696152</v>
      </c>
      <c r="Y409" s="18">
        <f t="shared" si="73"/>
        <v>101729461.62934244</v>
      </c>
      <c r="Z409" s="19">
        <f t="shared" si="69"/>
        <v>-4.5200000000000018E-2</v>
      </c>
      <c r="AA409" s="18">
        <f t="shared" si="74"/>
        <v>1351505088.9742982</v>
      </c>
      <c r="AB409" s="18">
        <f t="shared" si="75"/>
        <v>1415485011.4938188</v>
      </c>
      <c r="AC409" s="19">
        <f t="shared" si="70"/>
        <v>-4.5199999999999907E-2</v>
      </c>
      <c r="AD409" s="20">
        <f t="shared" si="71"/>
        <v>1254373799.010602</v>
      </c>
      <c r="AE409" s="9" t="s">
        <v>91</v>
      </c>
    </row>
    <row r="410" spans="1:31" ht="18" customHeight="1">
      <c r="A410" s="4">
        <v>406</v>
      </c>
      <c r="B410" s="13">
        <v>46055</v>
      </c>
      <c r="C410" s="13">
        <v>46055</v>
      </c>
      <c r="D410" s="4" t="s">
        <v>90</v>
      </c>
      <c r="E410" s="14">
        <v>25428.892</v>
      </c>
      <c r="F410" s="14">
        <v>25723.496999999999</v>
      </c>
      <c r="G410" s="15">
        <v>1.158E-2</v>
      </c>
      <c r="H410" s="16">
        <f t="shared" si="76"/>
        <v>1.6219999999999998E-2</v>
      </c>
      <c r="I410" s="17" t="b">
        <f>AND(A410&gt;2,H410&lt;=Assumptions!$B$7)</f>
        <v>0</v>
      </c>
      <c r="J410" s="15">
        <v>-4.6493862669997332E-3</v>
      </c>
      <c r="K410" s="15">
        <v>1.230649020852681E-2</v>
      </c>
      <c r="L410" s="15">
        <v>1.0339781626384825E-2</v>
      </c>
      <c r="M410" s="17" t="b">
        <f>J410&gt;=Assumptions!$B$8</f>
        <v>0</v>
      </c>
      <c r="N410" s="17" t="b">
        <f>AND(K410&lt;&gt;"",K410&lt;=Assumptions!$B$9)</f>
        <v>0</v>
      </c>
      <c r="O410" s="17" t="b">
        <f>AND(P410&lt;&gt;"",ABS(L410)&lt;=Assumptions!$B$10)</f>
        <v>0</v>
      </c>
      <c r="P410" s="13">
        <v>46056</v>
      </c>
      <c r="Q410" s="14">
        <v>25823.228999999999</v>
      </c>
      <c r="R410" s="15">
        <v>-3.8600000000000001E-3</v>
      </c>
      <c r="S410" s="17" t="str">
        <f t="shared" si="66"/>
        <v>BASELINE</v>
      </c>
      <c r="T410" s="16">
        <f t="shared" si="67"/>
        <v>1.158E-2</v>
      </c>
      <c r="U410" s="16">
        <f>G410*Assumptions!$B$6</f>
        <v>0.130854</v>
      </c>
      <c r="V410" s="16">
        <f>T410*Assumptions!$B$6</f>
        <v>0.130854</v>
      </c>
      <c r="W410" s="16">
        <f t="shared" si="68"/>
        <v>0</v>
      </c>
      <c r="X410" s="18">
        <f t="shared" si="72"/>
        <v>109841307.78060564</v>
      </c>
      <c r="Y410" s="18">
        <f t="shared" si="73"/>
        <v>109841307.78060564</v>
      </c>
      <c r="Z410" s="19">
        <f t="shared" si="69"/>
        <v>0</v>
      </c>
      <c r="AA410" s="18">
        <f t="shared" si="74"/>
        <v>1528354935.8869412</v>
      </c>
      <c r="AB410" s="18">
        <f t="shared" si="75"/>
        <v>1528354935.8869412</v>
      </c>
      <c r="AC410" s="19">
        <f t="shared" si="70"/>
        <v>0</v>
      </c>
      <c r="AD410" s="20">
        <f t="shared" si="71"/>
        <v>1418513628.1063356</v>
      </c>
      <c r="AE410" s="9" t="s">
        <v>91</v>
      </c>
    </row>
    <row r="411" spans="1:31" ht="18" customHeight="1">
      <c r="A411" s="4">
        <v>407</v>
      </c>
      <c r="B411" s="13">
        <v>46062</v>
      </c>
      <c r="C411" s="13">
        <v>46062</v>
      </c>
      <c r="D411" s="4" t="s">
        <v>90</v>
      </c>
      <c r="E411" s="14">
        <v>24970.772000000001</v>
      </c>
      <c r="F411" s="14">
        <v>25264.472000000002</v>
      </c>
      <c r="G411" s="15">
        <v>1.176E-2</v>
      </c>
      <c r="H411" s="16">
        <f t="shared" si="76"/>
        <v>7.5799999999999999E-3</v>
      </c>
      <c r="I411" s="17" t="b">
        <f>AND(A411&gt;2,H411&lt;=Assumptions!$B$7)</f>
        <v>0</v>
      </c>
      <c r="J411" s="15">
        <v>-2.9389034463825903E-3</v>
      </c>
      <c r="K411" s="15">
        <v>-1.7438393475913472E-2</v>
      </c>
      <c r="L411" s="15">
        <v>9.2758139916344629E-3</v>
      </c>
      <c r="M411" s="17" t="b">
        <f>J411&gt;=Assumptions!$B$8</f>
        <v>0</v>
      </c>
      <c r="N411" s="17" t="b">
        <f>AND(K411&lt;&gt;"",K411&lt;=Assumptions!$B$9)</f>
        <v>1</v>
      </c>
      <c r="O411" s="17" t="b">
        <f>AND(P411&lt;&gt;"",ABS(L411)&lt;=Assumptions!$B$10)</f>
        <v>0</v>
      </c>
      <c r="P411" s="13">
        <v>46063</v>
      </c>
      <c r="Q411" s="14">
        <v>25290.282999999999</v>
      </c>
      <c r="R411" s="15">
        <v>-1.0200000000000001E-3</v>
      </c>
      <c r="S411" s="17" t="str">
        <f t="shared" si="66"/>
        <v>BASELINE</v>
      </c>
      <c r="T411" s="16">
        <f t="shared" si="67"/>
        <v>1.176E-2</v>
      </c>
      <c r="U411" s="16">
        <f>G411*Assumptions!$B$6</f>
        <v>0.13288800000000001</v>
      </c>
      <c r="V411" s="16">
        <f>T411*Assumptions!$B$6</f>
        <v>0.13288800000000001</v>
      </c>
      <c r="W411" s="16">
        <f t="shared" si="68"/>
        <v>0</v>
      </c>
      <c r="X411" s="18">
        <f t="shared" si="72"/>
        <v>124437899.48895475</v>
      </c>
      <c r="Y411" s="18">
        <f t="shared" si="73"/>
        <v>124437899.48895475</v>
      </c>
      <c r="Z411" s="19">
        <f t="shared" si="69"/>
        <v>0</v>
      </c>
      <c r="AA411" s="18">
        <f t="shared" si="74"/>
        <v>1731454966.607085</v>
      </c>
      <c r="AB411" s="18">
        <f t="shared" si="75"/>
        <v>1731454966.607085</v>
      </c>
      <c r="AC411" s="19">
        <f t="shared" si="70"/>
        <v>0</v>
      </c>
      <c r="AD411" s="20">
        <f t="shared" si="71"/>
        <v>1607017067.1181302</v>
      </c>
      <c r="AE411" s="9" t="s">
        <v>91</v>
      </c>
    </row>
    <row r="412" spans="1:31" ht="18" customHeight="1">
      <c r="A412" s="4">
        <v>408</v>
      </c>
      <c r="B412" s="13">
        <v>46070</v>
      </c>
      <c r="C412" s="13">
        <v>46073</v>
      </c>
      <c r="D412" s="4" t="s">
        <v>93</v>
      </c>
      <c r="E412" s="14">
        <v>24588.315999999999</v>
      </c>
      <c r="F412" s="14">
        <v>25009.319</v>
      </c>
      <c r="G412" s="15">
        <v>1.712E-2</v>
      </c>
      <c r="H412" s="16">
        <f t="shared" si="76"/>
        <v>2.334E-2</v>
      </c>
      <c r="I412" s="17" t="b">
        <f>AND(A412&gt;2,H412&lt;=Assumptions!$B$7)</f>
        <v>0</v>
      </c>
      <c r="J412" s="15">
        <v>-6.3704944160581922E-3</v>
      </c>
      <c r="K412" s="15">
        <v>-3.1940557753546317E-2</v>
      </c>
      <c r="L412" s="15"/>
      <c r="M412" s="17" t="b">
        <f>J412&gt;=Assumptions!$B$8</f>
        <v>0</v>
      </c>
      <c r="N412" s="17" t="b">
        <f>AND(K412&lt;&gt;"",K412&lt;=Assumptions!$B$9)</f>
        <v>1</v>
      </c>
      <c r="O412" s="17" t="b">
        <f>AND(P412&lt;&gt;"",ABS(L412)&lt;=Assumptions!$B$10)</f>
        <v>0</v>
      </c>
      <c r="P412" s="13"/>
      <c r="Q412" s="14"/>
      <c r="R412" s="15"/>
      <c r="S412" s="17" t="str">
        <f t="shared" si="66"/>
        <v>BASELINE</v>
      </c>
      <c r="T412" s="16">
        <f t="shared" si="67"/>
        <v>1.712E-2</v>
      </c>
      <c r="U412" s="16">
        <f>G412*Assumptions!$B$6</f>
        <v>0.19345600000000002</v>
      </c>
      <c r="V412" s="16">
        <f>T412*Assumptions!$B$6</f>
        <v>0.19345600000000002</v>
      </c>
      <c r="W412" s="16">
        <f t="shared" si="68"/>
        <v>0</v>
      </c>
      <c r="X412" s="18">
        <f t="shared" si="72"/>
        <v>148511157.77248999</v>
      </c>
      <c r="Y412" s="18">
        <f t="shared" si="73"/>
        <v>148511157.77248999</v>
      </c>
      <c r="Z412" s="19">
        <f t="shared" si="69"/>
        <v>0</v>
      </c>
      <c r="AA412" s="18">
        <f t="shared" si="74"/>
        <v>2066415318.6270254</v>
      </c>
      <c r="AB412" s="18">
        <f t="shared" si="75"/>
        <v>2066415318.6270254</v>
      </c>
      <c r="AC412" s="19">
        <f t="shared" si="70"/>
        <v>0</v>
      </c>
      <c r="AD412" s="20">
        <f t="shared" si="71"/>
        <v>1917904160.8545353</v>
      </c>
      <c r="AE412" s="9" t="s">
        <v>91</v>
      </c>
    </row>
    <row r="413" spans="1:31" ht="18" customHeight="1">
      <c r="A413" s="4">
        <v>409</v>
      </c>
      <c r="B413" s="13">
        <v>46076</v>
      </c>
      <c r="C413" s="13">
        <v>46079</v>
      </c>
      <c r="D413" s="4" t="s">
        <v>96</v>
      </c>
      <c r="E413" s="14">
        <v>24924.186000000002</v>
      </c>
      <c r="F413" s="14">
        <v>24824.489256000001</v>
      </c>
      <c r="G413" s="15">
        <v>-4.0000000000000001E-3</v>
      </c>
      <c r="H413" s="16">
        <f t="shared" si="76"/>
        <v>2.8879999999999999E-2</v>
      </c>
      <c r="I413" s="17" t="b">
        <f>AND(A413&gt;2,H413&lt;=Assumptions!$B$7)</f>
        <v>0</v>
      </c>
      <c r="J413" s="15">
        <v>-3.404051105909689E-3</v>
      </c>
      <c r="K413" s="15">
        <v>-1.9250596043559609E-2</v>
      </c>
      <c r="L413" s="15">
        <v>-1.0528736387378612E-2</v>
      </c>
      <c r="M413" s="17" t="b">
        <f>J413&gt;=Assumptions!$B$8</f>
        <v>0</v>
      </c>
      <c r="N413" s="17" t="b">
        <f>AND(K413&lt;&gt;"",K413&lt;=Assumptions!$B$9)</f>
        <v>1</v>
      </c>
      <c r="O413" s="17" t="b">
        <f>AND(P413&lt;&gt;"",ABS(L413)&lt;=Assumptions!$B$10)</f>
        <v>0</v>
      </c>
      <c r="P413" s="13">
        <v>46077</v>
      </c>
      <c r="Q413" s="14">
        <v>24754.719000000001</v>
      </c>
      <c r="R413" s="15">
        <v>2.81E-3</v>
      </c>
      <c r="S413" s="17" t="str">
        <f t="shared" si="66"/>
        <v>BASELINE</v>
      </c>
      <c r="T413" s="16">
        <f t="shared" si="67"/>
        <v>-4.0000000000000001E-3</v>
      </c>
      <c r="U413" s="16">
        <f>G413*Assumptions!$B$6</f>
        <v>-4.5200000000000004E-2</v>
      </c>
      <c r="V413" s="16">
        <f>T413*Assumptions!$B$6</f>
        <v>-4.5200000000000004E-2</v>
      </c>
      <c r="W413" s="16">
        <f t="shared" si="68"/>
        <v>0</v>
      </c>
      <c r="X413" s="18">
        <f t="shared" si="72"/>
        <v>141798453.44117343</v>
      </c>
      <c r="Y413" s="18">
        <f t="shared" si="73"/>
        <v>148511157.77248999</v>
      </c>
      <c r="Z413" s="19">
        <f t="shared" si="69"/>
        <v>-4.5200000000000129E-2</v>
      </c>
      <c r="AA413" s="18">
        <f t="shared" si="74"/>
        <v>1973013346.2250838</v>
      </c>
      <c r="AB413" s="18">
        <f t="shared" si="75"/>
        <v>2066415318.6270254</v>
      </c>
      <c r="AC413" s="19">
        <f t="shared" si="70"/>
        <v>-4.5200000000000018E-2</v>
      </c>
      <c r="AD413" s="20">
        <f t="shared" si="71"/>
        <v>1831214892.7839103</v>
      </c>
      <c r="AE413" s="9" t="s">
        <v>91</v>
      </c>
    </row>
    <row r="414" spans="1:31" ht="18" customHeight="1">
      <c r="A414" s="4">
        <v>410</v>
      </c>
      <c r="B414" s="13">
        <v>46083</v>
      </c>
      <c r="C414" s="13">
        <v>46083</v>
      </c>
      <c r="D414" s="4" t="s">
        <v>90</v>
      </c>
      <c r="E414" s="14">
        <v>24607.258000000002</v>
      </c>
      <c r="F414" s="14">
        <v>24980.960999999999</v>
      </c>
      <c r="G414" s="15">
        <v>1.5180000000000001E-2</v>
      </c>
      <c r="H414" s="16">
        <f t="shared" si="76"/>
        <v>1.312E-2</v>
      </c>
      <c r="I414" s="17" t="b">
        <f>AND(A414&gt;2,H414&lt;=Assumptions!$B$7)</f>
        <v>0</v>
      </c>
      <c r="J414" s="15">
        <v>-1.3472590986223998E-2</v>
      </c>
      <c r="K414" s="15">
        <v>-3.5174681855011714E-2</v>
      </c>
      <c r="L414" s="15">
        <v>-1.8047390867624857E-2</v>
      </c>
      <c r="M414" s="17" t="b">
        <f>J414&gt;=Assumptions!$B$8</f>
        <v>0</v>
      </c>
      <c r="N414" s="17" t="b">
        <f>AND(K414&lt;&gt;"",K414&lt;=Assumptions!$B$9)</f>
        <v>1</v>
      </c>
      <c r="O414" s="17" t="b">
        <f>AND(P414&lt;&gt;"",ABS(L414)&lt;=Assumptions!$B$10)</f>
        <v>0</v>
      </c>
      <c r="P414" s="13">
        <v>46084</v>
      </c>
      <c r="Q414" s="14">
        <v>24488.892</v>
      </c>
      <c r="R414" s="15">
        <v>2.009E-2</v>
      </c>
      <c r="S414" s="17" t="str">
        <f t="shared" si="66"/>
        <v>BASELINE</v>
      </c>
      <c r="T414" s="16">
        <f t="shared" si="67"/>
        <v>1.5180000000000001E-2</v>
      </c>
      <c r="U414" s="16">
        <f>G414*Assumptions!$B$6</f>
        <v>0.17153400000000002</v>
      </c>
      <c r="V414" s="16">
        <f>T414*Assumptions!$B$6</f>
        <v>0.17153400000000002</v>
      </c>
      <c r="W414" s="16">
        <f t="shared" si="68"/>
        <v>0</v>
      </c>
      <c r="X414" s="18">
        <f t="shared" si="72"/>
        <v>166121709.35375169</v>
      </c>
      <c r="Y414" s="18">
        <f t="shared" si="73"/>
        <v>166121709.35375169</v>
      </c>
      <c r="Z414" s="19">
        <f t="shared" si="69"/>
        <v>0</v>
      </c>
      <c r="AA414" s="18">
        <f t="shared" si="74"/>
        <v>2311452217.5564575</v>
      </c>
      <c r="AB414" s="18">
        <f t="shared" si="75"/>
        <v>2311452217.5564575</v>
      </c>
      <c r="AC414" s="19">
        <f t="shared" si="70"/>
        <v>0</v>
      </c>
      <c r="AD414" s="20">
        <f t="shared" si="71"/>
        <v>2145330508.2027059</v>
      </c>
      <c r="AE414" s="9" t="s">
        <v>91</v>
      </c>
    </row>
    <row r="415" spans="1:31" ht="18" customHeight="1">
      <c r="A415" s="4">
        <v>411</v>
      </c>
      <c r="B415" s="13">
        <v>46090</v>
      </c>
      <c r="C415" s="13">
        <v>46090</v>
      </c>
      <c r="D415" s="4" t="s">
        <v>90</v>
      </c>
      <c r="E415" s="14">
        <v>24406.522000000001</v>
      </c>
      <c r="F415" s="14">
        <v>24987.087</v>
      </c>
      <c r="G415" s="15">
        <v>2.3779999999999999E-2</v>
      </c>
      <c r="H415" s="16">
        <f t="shared" si="76"/>
        <v>1.1180000000000001E-2</v>
      </c>
      <c r="I415" s="17" t="b">
        <f>AND(A415&gt;2,H415&lt;=Assumptions!$B$7)</f>
        <v>0</v>
      </c>
      <c r="J415" s="15">
        <v>-8.8004744140266489E-3</v>
      </c>
      <c r="K415" s="15">
        <v>4.6898815804901073E-3</v>
      </c>
      <c r="L415" s="15">
        <v>1.3253755230648645E-2</v>
      </c>
      <c r="M415" s="17" t="b">
        <f>J415&gt;=Assumptions!$B$8</f>
        <v>0</v>
      </c>
      <c r="N415" s="17" t="b">
        <f>AND(K415&lt;&gt;"",K415&lt;=Assumptions!$B$9)</f>
        <v>0</v>
      </c>
      <c r="O415" s="17" t="b">
        <f>AND(P415&lt;&gt;"",ABS(L415)&lt;=Assumptions!$B$10)</f>
        <v>0</v>
      </c>
      <c r="P415" s="13">
        <v>46091</v>
      </c>
      <c r="Q415" s="14">
        <v>24962.157999999999</v>
      </c>
      <c r="R415" s="15">
        <v>9.8999999999999999E-4</v>
      </c>
      <c r="S415" s="17" t="str">
        <f t="shared" si="66"/>
        <v>BASELINE</v>
      </c>
      <c r="T415" s="16">
        <f t="shared" si="67"/>
        <v>2.3779999999999999E-2</v>
      </c>
      <c r="U415" s="16">
        <f>G415*Assumptions!$B$6</f>
        <v>0.26871400000000001</v>
      </c>
      <c r="V415" s="16">
        <f>T415*Assumptions!$B$6</f>
        <v>0.26871400000000001</v>
      </c>
      <c r="W415" s="16">
        <f t="shared" si="68"/>
        <v>0</v>
      </c>
      <c r="X415" s="18">
        <f t="shared" si="72"/>
        <v>210760938.36103573</v>
      </c>
      <c r="Y415" s="18">
        <f t="shared" si="73"/>
        <v>210760938.36103573</v>
      </c>
      <c r="Z415" s="19">
        <f t="shared" si="69"/>
        <v>0</v>
      </c>
      <c r="AA415" s="18">
        <f t="shared" si="74"/>
        <v>2932571788.7449236</v>
      </c>
      <c r="AB415" s="18">
        <f t="shared" si="75"/>
        <v>2932571788.7449236</v>
      </c>
      <c r="AC415" s="19">
        <f t="shared" si="70"/>
        <v>0</v>
      </c>
      <c r="AD415" s="20">
        <f t="shared" si="71"/>
        <v>2721810850.3838878</v>
      </c>
      <c r="AE415" s="9" t="s">
        <v>91</v>
      </c>
    </row>
    <row r="416" spans="1:31" ht="18" customHeight="1">
      <c r="A416" s="4">
        <v>412</v>
      </c>
      <c r="B416" s="13">
        <v>46097</v>
      </c>
      <c r="C416" s="13">
        <v>46100</v>
      </c>
      <c r="D416" s="4" t="s">
        <v>92</v>
      </c>
      <c r="E416" s="14">
        <v>24640.778999999999</v>
      </c>
      <c r="F416" s="14">
        <v>24402.763999999999</v>
      </c>
      <c r="G416" s="15">
        <v>-9.6500000000000006E-3</v>
      </c>
      <c r="H416" s="16">
        <f t="shared" si="76"/>
        <v>3.8960000000000002E-2</v>
      </c>
      <c r="I416" s="17" t="b">
        <f>AND(A416&gt;2,H416&lt;=Assumptions!$B$7)</f>
        <v>0</v>
      </c>
      <c r="J416" s="15">
        <v>1.1162155038512145E-2</v>
      </c>
      <c r="K416" s="15">
        <v>-1.1521044219499177E-2</v>
      </c>
      <c r="L416" s="15">
        <v>1.5866064811695724E-2</v>
      </c>
      <c r="M416" s="17" t="b">
        <f>J416&gt;=Assumptions!$B$8</f>
        <v>1</v>
      </c>
      <c r="N416" s="17" t="b">
        <f>AND(K416&lt;&gt;"",K416&lt;=Assumptions!$B$9)</f>
        <v>1</v>
      </c>
      <c r="O416" s="17" t="b">
        <f>AND(P416&lt;&gt;"",ABS(L416)&lt;=Assumptions!$B$10)</f>
        <v>0</v>
      </c>
      <c r="P416" s="13">
        <v>46098</v>
      </c>
      <c r="Q416" s="14">
        <v>24770.032999999999</v>
      </c>
      <c r="R416" s="15">
        <v>-1.482E-2</v>
      </c>
      <c r="S416" s="17" t="str">
        <f t="shared" si="66"/>
        <v>GAP/MOM SKIP</v>
      </c>
      <c r="T416" s="16">
        <f t="shared" si="67"/>
        <v>0</v>
      </c>
      <c r="U416" s="16">
        <f>G416*Assumptions!$B$6</f>
        <v>-0.10904500000000002</v>
      </c>
      <c r="V416" s="16">
        <f>T416*Assumptions!$B$6</f>
        <v>0</v>
      </c>
      <c r="W416" s="16">
        <f t="shared" si="68"/>
        <v>0.10904500000000002</v>
      </c>
      <c r="X416" s="18">
        <f t="shared" si="72"/>
        <v>187778511.83745658</v>
      </c>
      <c r="Y416" s="18">
        <f t="shared" si="73"/>
        <v>210760938.36103573</v>
      </c>
      <c r="Z416" s="19">
        <f t="shared" si="69"/>
        <v>-0.10904500000000006</v>
      </c>
      <c r="AA416" s="18">
        <f t="shared" si="74"/>
        <v>2932571788.7449236</v>
      </c>
      <c r="AB416" s="18">
        <f t="shared" si="75"/>
        <v>2932571788.7449236</v>
      </c>
      <c r="AC416" s="19">
        <f t="shared" si="70"/>
        <v>0</v>
      </c>
      <c r="AD416" s="20">
        <f t="shared" si="71"/>
        <v>2744793276.9074669</v>
      </c>
      <c r="AE416" s="9" t="s">
        <v>102</v>
      </c>
    </row>
    <row r="417" spans="1:31" ht="18" customHeight="1">
      <c r="A417" s="4">
        <v>413</v>
      </c>
      <c r="B417" s="13">
        <v>46104</v>
      </c>
      <c r="C417" s="13">
        <v>46106</v>
      </c>
      <c r="D417" s="4" t="s">
        <v>99</v>
      </c>
      <c r="E417" s="14">
        <v>24277.453000000001</v>
      </c>
      <c r="F417" s="14">
        <v>24227.864000000001</v>
      </c>
      <c r="G417" s="15">
        <v>-2.0400000000000001E-3</v>
      </c>
      <c r="H417" s="16">
        <f t="shared" si="76"/>
        <v>2.3779999999999999E-2</v>
      </c>
      <c r="I417" s="17" t="b">
        <f>AND(A417&gt;2,H417&lt;=Assumptions!$B$7)</f>
        <v>0</v>
      </c>
      <c r="J417" s="15">
        <v>1.5012684390669717E-2</v>
      </c>
      <c r="K417" s="15">
        <v>-4.393817447151005E-2</v>
      </c>
      <c r="L417" s="15">
        <v>4.7245988386077631E-3</v>
      </c>
      <c r="M417" s="17" t="b">
        <f>J417&gt;=Assumptions!$B$8</f>
        <v>1</v>
      </c>
      <c r="N417" s="17" t="b">
        <f>AND(K417&lt;&gt;"",K417&lt;=Assumptions!$B$9)</f>
        <v>1</v>
      </c>
      <c r="O417" s="17" t="b">
        <f>AND(P417&lt;&gt;"",ABS(L417)&lt;=Assumptions!$B$10)</f>
        <v>1</v>
      </c>
      <c r="P417" s="13">
        <v>46105</v>
      </c>
      <c r="Q417" s="14">
        <v>24040.522000000001</v>
      </c>
      <c r="R417" s="15">
        <v>7.79E-3</v>
      </c>
      <c r="S417" s="17" t="str">
        <f t="shared" si="66"/>
        <v>TUESDAY RE-ENTRY</v>
      </c>
      <c r="T417" s="16">
        <f t="shared" si="67"/>
        <v>7.79E-3</v>
      </c>
      <c r="U417" s="16">
        <f>G417*Assumptions!$B$6</f>
        <v>-2.3052000000000003E-2</v>
      </c>
      <c r="V417" s="16">
        <f>T417*Assumptions!$B$6</f>
        <v>8.8027000000000008E-2</v>
      </c>
      <c r="W417" s="16">
        <f t="shared" si="68"/>
        <v>0.11107900000000001</v>
      </c>
      <c r="X417" s="18">
        <f t="shared" si="72"/>
        <v>183449841.58257955</v>
      </c>
      <c r="Y417" s="18">
        <f t="shared" si="73"/>
        <v>210760938.36103573</v>
      </c>
      <c r="Z417" s="19">
        <f t="shared" si="69"/>
        <v>-0.12958329465999996</v>
      </c>
      <c r="AA417" s="18">
        <f t="shared" si="74"/>
        <v>3190717285.5927734</v>
      </c>
      <c r="AB417" s="18">
        <f t="shared" si="75"/>
        <v>3190717285.5927734</v>
      </c>
      <c r="AC417" s="19">
        <f t="shared" si="70"/>
        <v>0</v>
      </c>
      <c r="AD417" s="20">
        <f t="shared" si="71"/>
        <v>3007267444.0101938</v>
      </c>
      <c r="AE417" s="9" t="s">
        <v>105</v>
      </c>
    </row>
    <row r="418" spans="1:31" ht="18" customHeight="1">
      <c r="A418" s="4">
        <v>414</v>
      </c>
      <c r="B418" s="13">
        <v>46111</v>
      </c>
      <c r="C418" s="13">
        <v>46114</v>
      </c>
      <c r="D418" s="4" t="s">
        <v>93</v>
      </c>
      <c r="E418" s="14">
        <v>23327.399000000001</v>
      </c>
      <c r="F418" s="14">
        <v>24041.917000000001</v>
      </c>
      <c r="G418" s="15">
        <v>3.0620000000000001E-2</v>
      </c>
      <c r="H418" s="16">
        <f t="shared" si="76"/>
        <v>7.79E-3</v>
      </c>
      <c r="I418" s="17" t="b">
        <f>AND(A418&gt;2,H418&lt;=Assumptions!$B$7)</f>
        <v>0</v>
      </c>
      <c r="J418" s="15">
        <v>9.5320753671810365E-3</v>
      </c>
      <c r="K418" s="15">
        <v>-7.362215745360523E-2</v>
      </c>
      <c r="L418" s="15">
        <v>3.0395677059260606E-3</v>
      </c>
      <c r="M418" s="17" t="b">
        <f>J418&gt;=Assumptions!$B$8</f>
        <v>0</v>
      </c>
      <c r="N418" s="17" t="b">
        <f>AND(K418&lt;&gt;"",K418&lt;=Assumptions!$B$9)</f>
        <v>1</v>
      </c>
      <c r="O418" s="17" t="b">
        <f>AND(P418&lt;&gt;"",ABS(L418)&lt;=Assumptions!$B$10)</f>
        <v>1</v>
      </c>
      <c r="P418" s="13">
        <v>46112</v>
      </c>
      <c r="Q418" s="14">
        <v>23199.424999999999</v>
      </c>
      <c r="R418" s="15">
        <v>3.6310000000000002E-2</v>
      </c>
      <c r="S418" s="17" t="str">
        <f t="shared" si="66"/>
        <v>BASELINE</v>
      </c>
      <c r="T418" s="16">
        <f t="shared" si="67"/>
        <v>3.0620000000000001E-2</v>
      </c>
      <c r="U418" s="16">
        <f>G418*Assumptions!$B$6</f>
        <v>0.34600600000000004</v>
      </c>
      <c r="V418" s="16">
        <f>T418*Assumptions!$B$6</f>
        <v>0.34600600000000004</v>
      </c>
      <c r="W418" s="16">
        <f t="shared" si="68"/>
        <v>0</v>
      </c>
      <c r="X418" s="18">
        <f t="shared" si="72"/>
        <v>246924587.46920159</v>
      </c>
      <c r="Y418" s="18">
        <f t="shared" si="73"/>
        <v>246924587.46920159</v>
      </c>
      <c r="Z418" s="19">
        <f t="shared" si="69"/>
        <v>0</v>
      </c>
      <c r="AA418" s="18">
        <f t="shared" si="74"/>
        <v>4294724610.711587</v>
      </c>
      <c r="AB418" s="18">
        <f t="shared" si="75"/>
        <v>4294724610.711587</v>
      </c>
      <c r="AC418" s="19">
        <f t="shared" si="70"/>
        <v>0</v>
      </c>
      <c r="AD418" s="20">
        <f t="shared" si="71"/>
        <v>4047800023.2423854</v>
      </c>
      <c r="AE418" s="9" t="s">
        <v>91</v>
      </c>
    </row>
    <row r="419" spans="1:31" ht="18" customHeight="1">
      <c r="A419" s="4">
        <v>415</v>
      </c>
      <c r="B419" s="13">
        <v>46118</v>
      </c>
      <c r="C419" s="13">
        <v>46122</v>
      </c>
      <c r="D419" s="4" t="s">
        <v>93</v>
      </c>
      <c r="E419" s="14">
        <v>24091.219000000001</v>
      </c>
      <c r="F419" s="14">
        <v>25111.348999999998</v>
      </c>
      <c r="G419" s="15">
        <v>4.2340000000000003E-2</v>
      </c>
      <c r="H419" s="16">
        <f t="shared" si="76"/>
        <v>3.841E-2</v>
      </c>
      <c r="I419" s="17" t="b">
        <f>AND(A419&gt;2,H419&lt;=Assumptions!$B$7)</f>
        <v>0</v>
      </c>
      <c r="J419" s="15">
        <v>2.0506684221561766E-3</v>
      </c>
      <c r="K419" s="15">
        <v>-3.933128602630831E-2</v>
      </c>
      <c r="L419" s="15">
        <v>1.1282437006392421E-3</v>
      </c>
      <c r="M419" s="17" t="b">
        <f>J419&gt;=Assumptions!$B$8</f>
        <v>0</v>
      </c>
      <c r="N419" s="17" t="b">
        <f>AND(K419&lt;&gt;"",K419&lt;=Assumptions!$B$9)</f>
        <v>1</v>
      </c>
      <c r="O419" s="17" t="b">
        <f>AND(P419&lt;&gt;"",ABS(L419)&lt;=Assumptions!$B$10)</f>
        <v>1</v>
      </c>
      <c r="P419" s="13">
        <v>46119</v>
      </c>
      <c r="Q419" s="14">
        <v>24073.510999999999</v>
      </c>
      <c r="R419" s="15">
        <v>4.3110000000000002E-2</v>
      </c>
      <c r="S419" s="17" t="str">
        <f t="shared" si="66"/>
        <v>BASELINE</v>
      </c>
      <c r="T419" s="16">
        <f t="shared" si="67"/>
        <v>4.2340000000000003E-2</v>
      </c>
      <c r="U419" s="16">
        <f>G419*Assumptions!$B$6</f>
        <v>0.47844200000000003</v>
      </c>
      <c r="V419" s="16">
        <f>T419*Assumptions!$B$6</f>
        <v>0.47844200000000003</v>
      </c>
      <c r="W419" s="16">
        <f t="shared" si="68"/>
        <v>0</v>
      </c>
      <c r="X419" s="18">
        <f t="shared" si="72"/>
        <v>365063680.94714135</v>
      </c>
      <c r="Y419" s="18">
        <f t="shared" si="73"/>
        <v>365063680.94714135</v>
      </c>
      <c r="Z419" s="19">
        <f t="shared" si="69"/>
        <v>0</v>
      </c>
      <c r="AA419" s="18">
        <f t="shared" si="74"/>
        <v>6349501242.9096603</v>
      </c>
      <c r="AB419" s="18">
        <f t="shared" si="75"/>
        <v>6349501242.9096603</v>
      </c>
      <c r="AC419" s="19">
        <f t="shared" si="70"/>
        <v>0</v>
      </c>
      <c r="AD419" s="20">
        <f t="shared" si="71"/>
        <v>5984437561.9625187</v>
      </c>
      <c r="AE419" s="9" t="s">
        <v>91</v>
      </c>
    </row>
    <row r="420" spans="1:31" ht="18" customHeight="1">
      <c r="A420" s="4">
        <v>416</v>
      </c>
      <c r="B420" s="13">
        <v>46125</v>
      </c>
      <c r="C420" s="13">
        <v>46125</v>
      </c>
      <c r="D420" s="4" t="s">
        <v>90</v>
      </c>
      <c r="E420" s="14">
        <v>25052.152999999998</v>
      </c>
      <c r="F420" s="14">
        <v>25375.347000000002</v>
      </c>
      <c r="G420" s="15">
        <v>1.29E-2</v>
      </c>
      <c r="H420" s="16">
        <f t="shared" si="76"/>
        <v>7.2959999999999997E-2</v>
      </c>
      <c r="I420" s="17" t="b">
        <f>AND(A420&gt;2,H420&lt;=Assumptions!$B$7)</f>
        <v>0</v>
      </c>
      <c r="J420" s="15">
        <v>-2.3573404997079273E-3</v>
      </c>
      <c r="K420" s="15">
        <v>2.3122258312962662E-2</v>
      </c>
      <c r="L420" s="15">
        <v>1.4973734596690935E-2</v>
      </c>
      <c r="M420" s="17" t="b">
        <f>J420&gt;=Assumptions!$B$8</f>
        <v>0</v>
      </c>
      <c r="N420" s="17" t="b">
        <f>AND(K420&lt;&gt;"",K420&lt;=Assumptions!$B$9)</f>
        <v>0</v>
      </c>
      <c r="O420" s="17" t="b">
        <f>AND(P420&lt;&gt;"",ABS(L420)&lt;=Assumptions!$B$10)</f>
        <v>0</v>
      </c>
      <c r="P420" s="13">
        <v>46126</v>
      </c>
      <c r="Q420" s="14">
        <v>25495.077000000001</v>
      </c>
      <c r="R420" s="15">
        <v>-4.6899999999999997E-3</v>
      </c>
      <c r="S420" s="17" t="str">
        <f t="shared" si="66"/>
        <v>BASELINE</v>
      </c>
      <c r="T420" s="16">
        <f t="shared" si="67"/>
        <v>1.29E-2</v>
      </c>
      <c r="U420" s="16">
        <f>G420*Assumptions!$B$6</f>
        <v>0.14577000000000001</v>
      </c>
      <c r="V420" s="16">
        <f>T420*Assumptions!$B$6</f>
        <v>0.14577000000000001</v>
      </c>
      <c r="W420" s="16">
        <f t="shared" si="68"/>
        <v>0</v>
      </c>
      <c r="X420" s="18">
        <f t="shared" si="72"/>
        <v>418279013.71880615</v>
      </c>
      <c r="Y420" s="18">
        <f t="shared" si="73"/>
        <v>418279013.71880615</v>
      </c>
      <c r="Z420" s="19">
        <f t="shared" si="69"/>
        <v>0</v>
      </c>
      <c r="AA420" s="18">
        <f t="shared" si="74"/>
        <v>7275068039.0886011</v>
      </c>
      <c r="AB420" s="18">
        <f t="shared" si="75"/>
        <v>7275068039.0886011</v>
      </c>
      <c r="AC420" s="19">
        <f t="shared" si="70"/>
        <v>0</v>
      </c>
      <c r="AD420" s="20">
        <f t="shared" si="71"/>
        <v>6856789025.3697948</v>
      </c>
      <c r="AE420" s="9" t="s">
        <v>91</v>
      </c>
    </row>
    <row r="421" spans="1:31" ht="18" customHeight="1">
      <c r="A421" s="4">
        <v>417</v>
      </c>
      <c r="B421" s="13">
        <v>46132</v>
      </c>
      <c r="C421" s="13">
        <v>46134</v>
      </c>
      <c r="D421" s="4" t="s">
        <v>99</v>
      </c>
      <c r="E421" s="14">
        <v>26638.720000000001</v>
      </c>
      <c r="F421" s="14">
        <v>26584.929</v>
      </c>
      <c r="G421" s="15">
        <v>-2.0100000000000001E-3</v>
      </c>
      <c r="H421" s="16">
        <f t="shared" si="76"/>
        <v>5.5240000000000004E-2</v>
      </c>
      <c r="I421" s="17" t="b">
        <f>AND(A421&gt;2,H421&lt;=Assumptions!$B$7)</f>
        <v>0</v>
      </c>
      <c r="J421" s="15">
        <v>-1.1976081132747396E-3</v>
      </c>
      <c r="K421" s="15">
        <v>9.41452227580859E-2</v>
      </c>
      <c r="L421" s="15">
        <v>-6.7812283270407558E-4</v>
      </c>
      <c r="M421" s="17" t="b">
        <f>J421&gt;=Assumptions!$B$8</f>
        <v>0</v>
      </c>
      <c r="N421" s="17" t="b">
        <f>AND(K421&lt;&gt;"",K421&lt;=Assumptions!$B$9)</f>
        <v>0</v>
      </c>
      <c r="O421" s="17" t="b">
        <f>AND(P421&lt;&gt;"",ABS(L421)&lt;=Assumptions!$B$10)</f>
        <v>1</v>
      </c>
      <c r="P421" s="13">
        <v>46133</v>
      </c>
      <c r="Q421" s="14">
        <v>26653.760999999999</v>
      </c>
      <c r="R421" s="15">
        <v>-2.5799999999999998E-3</v>
      </c>
      <c r="S421" s="17" t="str">
        <f t="shared" si="66"/>
        <v>BASELINE</v>
      </c>
      <c r="T421" s="16">
        <f t="shared" si="67"/>
        <v>-2.0100000000000001E-3</v>
      </c>
      <c r="U421" s="16">
        <f>G421*Assumptions!$B$6</f>
        <v>-2.2713000000000001E-2</v>
      </c>
      <c r="V421" s="16">
        <f>T421*Assumptions!$B$6</f>
        <v>-2.2713000000000001E-2</v>
      </c>
      <c r="W421" s="16">
        <f t="shared" si="68"/>
        <v>0</v>
      </c>
      <c r="X421" s="18">
        <f t="shared" si="72"/>
        <v>408778642.4802109</v>
      </c>
      <c r="Y421" s="18">
        <f t="shared" si="73"/>
        <v>418279013.71880615</v>
      </c>
      <c r="Z421" s="19">
        <f t="shared" si="69"/>
        <v>-2.2712999999999983E-2</v>
      </c>
      <c r="AA421" s="18">
        <f t="shared" si="74"/>
        <v>7109829418.7167816</v>
      </c>
      <c r="AB421" s="18">
        <f t="shared" si="75"/>
        <v>7275068039.0886011</v>
      </c>
      <c r="AC421" s="19">
        <f t="shared" si="70"/>
        <v>-2.2712999999999983E-2</v>
      </c>
      <c r="AD421" s="20">
        <f t="shared" si="71"/>
        <v>6701050776.2365704</v>
      </c>
      <c r="AE421" s="9" t="s">
        <v>91</v>
      </c>
    </row>
    <row r="422" spans="1:31" ht="18" customHeight="1">
      <c r="A422" s="4">
        <v>418</v>
      </c>
      <c r="B422" s="13">
        <v>46139</v>
      </c>
      <c r="C422" s="13">
        <v>46141</v>
      </c>
      <c r="D422" s="4" t="s">
        <v>99</v>
      </c>
      <c r="E422" s="14">
        <v>27273.848999999998</v>
      </c>
      <c r="F422" s="14">
        <v>27166.955000000002</v>
      </c>
      <c r="G422" s="15">
        <v>-3.9100000000000003E-3</v>
      </c>
      <c r="H422" s="16">
        <f t="shared" si="76"/>
        <v>1.089E-2</v>
      </c>
      <c r="I422" s="17" t="b">
        <f>AND(A422&gt;2,H422&lt;=Assumptions!$B$7)</f>
        <v>0</v>
      </c>
      <c r="J422" s="15">
        <v>-7.7201175999008775E-4</v>
      </c>
      <c r="K422" s="15">
        <v>0.15700866170550198</v>
      </c>
      <c r="L422" s="15">
        <v>-9.7457371814183569E-3</v>
      </c>
      <c r="M422" s="17" t="b">
        <f>J422&gt;=Assumptions!$B$8</f>
        <v>0</v>
      </c>
      <c r="N422" s="17" t="b">
        <f>AND(K422&lt;&gt;"",K422&lt;=Assumptions!$B$9)</f>
        <v>0</v>
      </c>
      <c r="O422" s="17" t="b">
        <f>AND(P422&lt;&gt;"",ABS(L422)&lt;=Assumptions!$B$10)</f>
        <v>0</v>
      </c>
      <c r="P422" s="13">
        <v>46140</v>
      </c>
      <c r="Q422" s="14">
        <v>27005.149000000001</v>
      </c>
      <c r="R422" s="15">
        <v>5.9899999999999997E-3</v>
      </c>
      <c r="S422" s="17" t="str">
        <f t="shared" si="66"/>
        <v>BASELINE</v>
      </c>
      <c r="T422" s="16">
        <f t="shared" si="67"/>
        <v>-3.9100000000000003E-3</v>
      </c>
      <c r="U422" s="16">
        <f>G422*Assumptions!$B$6</f>
        <v>-4.4183000000000007E-2</v>
      </c>
      <c r="V422" s="16">
        <f>T422*Assumptions!$B$6</f>
        <v>-4.4183000000000007E-2</v>
      </c>
      <c r="W422" s="16">
        <f t="shared" si="68"/>
        <v>0</v>
      </c>
      <c r="X422" s="18">
        <f t="shared" si="72"/>
        <v>390717575.71950775</v>
      </c>
      <c r="Y422" s="18">
        <f t="shared" si="73"/>
        <v>418279013.71880615</v>
      </c>
      <c r="Z422" s="19">
        <f t="shared" si="69"/>
        <v>-6.5892471520999973E-2</v>
      </c>
      <c r="AA422" s="18">
        <f t="shared" si="74"/>
        <v>6795695825.5096178</v>
      </c>
      <c r="AB422" s="18">
        <f t="shared" si="75"/>
        <v>7275068039.0886011</v>
      </c>
      <c r="AC422" s="19">
        <f t="shared" si="70"/>
        <v>-6.5892471521000084E-2</v>
      </c>
      <c r="AD422" s="20">
        <f t="shared" si="71"/>
        <v>6404978249.7901096</v>
      </c>
      <c r="AE422" s="9" t="s">
        <v>91</v>
      </c>
    </row>
    <row r="423" spans="1:31" ht="18" customHeight="1">
      <c r="A423" s="4">
        <v>419</v>
      </c>
      <c r="B423" s="13">
        <v>46146</v>
      </c>
      <c r="C423" s="13">
        <v>46150</v>
      </c>
      <c r="D423" s="4" t="s">
        <v>90</v>
      </c>
      <c r="E423" s="14">
        <v>27734.561000000002</v>
      </c>
      <c r="F423" s="14">
        <v>29221.62</v>
      </c>
      <c r="G423" s="15">
        <v>5.3609999999999998E-2</v>
      </c>
      <c r="H423" s="16">
        <f t="shared" si="76"/>
        <v>-5.9199999999999999E-3</v>
      </c>
      <c r="I423" s="17" t="b">
        <f>AND(A423&gt;2,H423&lt;=Assumptions!$B$7)</f>
        <v>0</v>
      </c>
      <c r="J423" s="15">
        <v>1.0126503148863986E-3</v>
      </c>
      <c r="K423" s="15">
        <v>0.15243256179698439</v>
      </c>
      <c r="L423" s="15">
        <v>5.6515612252467928E-3</v>
      </c>
      <c r="M423" s="17" t="b">
        <f>J423&gt;=Assumptions!$B$8</f>
        <v>0</v>
      </c>
      <c r="N423" s="17" t="b">
        <f>AND(K423&lt;&gt;"",K423&lt;=Assumptions!$B$9)</f>
        <v>0</v>
      </c>
      <c r="O423" s="17" t="b">
        <f>AND(P423&lt;&gt;"",ABS(L423)&lt;=Assumptions!$B$10)</f>
        <v>0</v>
      </c>
      <c r="P423" s="13">
        <v>46147</v>
      </c>
      <c r="Q423" s="14">
        <v>27871.532999999999</v>
      </c>
      <c r="R423" s="15">
        <v>4.8430000000000001E-2</v>
      </c>
      <c r="S423" s="17" t="str">
        <f t="shared" si="66"/>
        <v>BASELINE</v>
      </c>
      <c r="T423" s="16">
        <f t="shared" si="67"/>
        <v>5.3609999999999998E-2</v>
      </c>
      <c r="U423" s="16">
        <f>G423*Assumptions!$B$6</f>
        <v>0.60579300000000003</v>
      </c>
      <c r="V423" s="16">
        <f>T423*Assumptions!$B$6</f>
        <v>0.60579300000000003</v>
      </c>
      <c r="W423" s="16">
        <f t="shared" si="68"/>
        <v>0</v>
      </c>
      <c r="X423" s="18">
        <f t="shared" si="72"/>
        <v>627411548.06735551</v>
      </c>
      <c r="Y423" s="18">
        <f t="shared" si="73"/>
        <v>627411548.06735551</v>
      </c>
      <c r="Z423" s="19">
        <f t="shared" si="69"/>
        <v>0</v>
      </c>
      <c r="AA423" s="18">
        <f t="shared" si="74"/>
        <v>10912480786.732567</v>
      </c>
      <c r="AB423" s="18">
        <f t="shared" si="75"/>
        <v>10912480786.732567</v>
      </c>
      <c r="AC423" s="19">
        <f t="shared" si="70"/>
        <v>0</v>
      </c>
      <c r="AD423" s="20">
        <f t="shared" si="71"/>
        <v>10285069238.665211</v>
      </c>
      <c r="AE423" s="9" t="s">
        <v>91</v>
      </c>
    </row>
    <row r="424" spans="1:31" ht="18" customHeight="1">
      <c r="A424" s="4">
        <v>420</v>
      </c>
      <c r="B424" s="13">
        <v>46153</v>
      </c>
      <c r="C424" s="13">
        <v>46155</v>
      </c>
      <c r="D424" s="4" t="s">
        <v>99</v>
      </c>
      <c r="E424" s="14">
        <v>29195.86</v>
      </c>
      <c r="F424" s="14">
        <v>29079.589</v>
      </c>
      <c r="G424" s="15">
        <v>-3.98E-3</v>
      </c>
      <c r="H424" s="16">
        <f t="shared" si="76"/>
        <v>4.9699999999999994E-2</v>
      </c>
      <c r="I424" s="17" t="b">
        <f>AND(A424&gt;2,H424&lt;=Assumptions!$B$7)</f>
        <v>0</v>
      </c>
      <c r="J424" s="15">
        <v>-8.8153907962662537E-4</v>
      </c>
      <c r="K424" s="15">
        <v>0.16390920843765855</v>
      </c>
      <c r="L424" s="15">
        <v>-4.2321049449545178E-3</v>
      </c>
      <c r="M424" s="17" t="b">
        <f>J424&gt;=Assumptions!$B$8</f>
        <v>0</v>
      </c>
      <c r="N424" s="17" t="b">
        <f>AND(K424&lt;&gt;"",K424&lt;=Assumptions!$B$9)</f>
        <v>0</v>
      </c>
      <c r="O424" s="17" t="b">
        <f>AND(P424&lt;&gt;"",ABS(L424)&lt;=Assumptions!$B$10)</f>
        <v>1</v>
      </c>
      <c r="P424" s="13">
        <v>46154</v>
      </c>
      <c r="Q424" s="14">
        <v>29104.278999999999</v>
      </c>
      <c r="R424" s="15">
        <v>-8.4000000000000003E-4</v>
      </c>
      <c r="S424" s="17" t="str">
        <f t="shared" si="66"/>
        <v>BASELINE</v>
      </c>
      <c r="T424" s="16">
        <f t="shared" si="67"/>
        <v>-3.98E-3</v>
      </c>
      <c r="U424" s="16">
        <f>G424*Assumptions!$B$6</f>
        <v>-4.4974E-2</v>
      </c>
      <c r="V424" s="16">
        <f>T424*Assumptions!$B$6</f>
        <v>-4.4974E-2</v>
      </c>
      <c r="W424" s="16">
        <f t="shared" si="68"/>
        <v>0</v>
      </c>
      <c r="X424" s="18">
        <f t="shared" si="72"/>
        <v>599194341.10457432</v>
      </c>
      <c r="Y424" s="18">
        <f t="shared" si="73"/>
        <v>627411548.06735551</v>
      </c>
      <c r="Z424" s="19">
        <f t="shared" si="69"/>
        <v>-4.4973999999999958E-2</v>
      </c>
      <c r="AA424" s="18">
        <f t="shared" si="74"/>
        <v>10421702875.830057</v>
      </c>
      <c r="AB424" s="18">
        <f t="shared" si="75"/>
        <v>10912480786.732567</v>
      </c>
      <c r="AC424" s="19">
        <f t="shared" si="70"/>
        <v>-4.4973999999999958E-2</v>
      </c>
      <c r="AD424" s="20">
        <f t="shared" si="71"/>
        <v>9822508534.7254829</v>
      </c>
      <c r="AE424" s="9" t="s">
        <v>91</v>
      </c>
    </row>
    <row r="425" spans="1:31" ht="18" customHeight="1">
      <c r="A425" s="4">
        <v>421</v>
      </c>
      <c r="B425" s="13">
        <v>46160</v>
      </c>
      <c r="C425" s="13">
        <v>46162</v>
      </c>
      <c r="D425" s="4" t="s">
        <v>95</v>
      </c>
      <c r="E425" s="14">
        <v>29243.510999999999</v>
      </c>
      <c r="F425" s="14">
        <v>29126.536956</v>
      </c>
      <c r="G425" s="15">
        <v>-4.0000000000000001E-3</v>
      </c>
      <c r="H425" s="16">
        <f t="shared" si="76"/>
        <v>4.9630000000000001E-2</v>
      </c>
      <c r="I425" s="17" t="b">
        <f>AND(A425&gt;2,H425&lt;=Assumptions!$B$7)</f>
        <v>0</v>
      </c>
      <c r="J425" s="15">
        <v>5.698745338540645E-3</v>
      </c>
      <c r="K425" s="15">
        <v>9.2594590429220913E-2</v>
      </c>
      <c r="L425" s="15">
        <v>-1.2864457703863574E-2</v>
      </c>
      <c r="M425" s="17" t="b">
        <f>J425&gt;=Assumptions!$B$8</f>
        <v>0</v>
      </c>
      <c r="N425" s="17" t="b">
        <f>AND(K425&lt;&gt;"",K425&lt;=Assumptions!$B$9)</f>
        <v>0</v>
      </c>
      <c r="O425" s="17" t="b">
        <f>AND(P425&lt;&gt;"",ABS(L425)&lt;=Assumptions!$B$10)</f>
        <v>0</v>
      </c>
      <c r="P425" s="13">
        <v>46161</v>
      </c>
      <c r="Q425" s="14">
        <v>28753.055</v>
      </c>
      <c r="R425" s="15">
        <v>1.298E-2</v>
      </c>
      <c r="S425" s="17" t="str">
        <f t="shared" si="66"/>
        <v>BASELINE</v>
      </c>
      <c r="T425" s="16">
        <f t="shared" si="67"/>
        <v>-4.0000000000000001E-3</v>
      </c>
      <c r="U425" s="16">
        <f>G425*Assumptions!$B$6</f>
        <v>-4.5200000000000004E-2</v>
      </c>
      <c r="V425" s="16">
        <f>T425*Assumptions!$B$6</f>
        <v>-4.5200000000000004E-2</v>
      </c>
      <c r="W425" s="16">
        <f t="shared" si="68"/>
        <v>0</v>
      </c>
      <c r="X425" s="18">
        <f t="shared" si="72"/>
        <v>572110756.88664758</v>
      </c>
      <c r="Y425" s="18">
        <f t="shared" si="73"/>
        <v>627411548.06735551</v>
      </c>
      <c r="Z425" s="19">
        <f t="shared" si="69"/>
        <v>-8.8141175199999866E-2</v>
      </c>
      <c r="AA425" s="18">
        <f t="shared" si="74"/>
        <v>9950641905.8425388</v>
      </c>
      <c r="AB425" s="18">
        <f t="shared" si="75"/>
        <v>10912480786.732567</v>
      </c>
      <c r="AC425" s="19">
        <f t="shared" si="70"/>
        <v>-8.8141175199999866E-2</v>
      </c>
      <c r="AD425" s="20">
        <f t="shared" si="71"/>
        <v>9378531148.9558907</v>
      </c>
      <c r="AE425" s="9" t="s">
        <v>91</v>
      </c>
    </row>
    <row r="426" spans="1:31" ht="18" customHeight="1">
      <c r="A426" s="4">
        <v>422</v>
      </c>
      <c r="B426" s="13">
        <v>46168</v>
      </c>
      <c r="C426" s="13">
        <v>46170</v>
      </c>
      <c r="D426" s="4" t="s">
        <v>92</v>
      </c>
      <c r="E426" s="14">
        <v>29830.003000000001</v>
      </c>
      <c r="F426" s="14">
        <v>29709.565999999999</v>
      </c>
      <c r="G426" s="15">
        <v>-4.0299999999999997E-3</v>
      </c>
      <c r="H426" s="16">
        <f t="shared" si="76"/>
        <v>-7.980000000000001E-3</v>
      </c>
      <c r="I426" s="17" t="b">
        <f>AND(A426&gt;2,H426&lt;=Assumptions!$B$7)</f>
        <v>0</v>
      </c>
      <c r="J426" s="15">
        <v>1.1889754300098643E-2</v>
      </c>
      <c r="K426" s="15">
        <v>8.0827860456708978E-2</v>
      </c>
      <c r="L426" s="15"/>
      <c r="M426" s="17" t="b">
        <f>J426&gt;=Assumptions!$B$8</f>
        <v>1</v>
      </c>
      <c r="N426" s="17" t="b">
        <f>AND(K426&lt;&gt;"",K426&lt;=Assumptions!$B$9)</f>
        <v>0</v>
      </c>
      <c r="O426" s="17" t="b">
        <f>AND(P426&lt;&gt;"",ABS(L426)&lt;=Assumptions!$B$10)</f>
        <v>0</v>
      </c>
      <c r="P426" s="13"/>
      <c r="Q426" s="14"/>
      <c r="R426" s="15"/>
      <c r="S426" s="17" t="str">
        <f t="shared" si="66"/>
        <v>BASELINE</v>
      </c>
      <c r="T426" s="16">
        <f t="shared" si="67"/>
        <v>-4.0299999999999997E-3</v>
      </c>
      <c r="U426" s="16">
        <f>G426*Assumptions!$B$6</f>
        <v>-4.5539000000000003E-2</v>
      </c>
      <c r="V426" s="16">
        <f>T426*Assumptions!$B$6</f>
        <v>-4.5539000000000003E-2</v>
      </c>
      <c r="W426" s="16">
        <f t="shared" si="68"/>
        <v>0</v>
      </c>
      <c r="X426" s="18">
        <f t="shared" si="72"/>
        <v>546057405.12878656</v>
      </c>
      <c r="Y426" s="18">
        <f t="shared" si="73"/>
        <v>627411548.06735551</v>
      </c>
      <c r="Z426" s="19">
        <f t="shared" si="69"/>
        <v>-0.12966631422256703</v>
      </c>
      <c r="AA426" s="18">
        <f t="shared" si="74"/>
        <v>9497499624.0923748</v>
      </c>
      <c r="AB426" s="18">
        <f t="shared" si="75"/>
        <v>10912480786.732567</v>
      </c>
      <c r="AC426" s="19">
        <f t="shared" si="70"/>
        <v>-0.12966631422256714</v>
      </c>
      <c r="AD426" s="20">
        <f t="shared" si="71"/>
        <v>8951442218.9635887</v>
      </c>
      <c r="AE426" s="9" t="s">
        <v>91</v>
      </c>
    </row>
    <row r="427" spans="1:31" ht="18" customHeight="1">
      <c r="A427" s="4">
        <v>423</v>
      </c>
      <c r="B427" s="13">
        <v>46174</v>
      </c>
      <c r="C427" s="13">
        <v>46174</v>
      </c>
      <c r="D427" s="4" t="s">
        <v>90</v>
      </c>
      <c r="E427" s="14">
        <v>30282.493999999999</v>
      </c>
      <c r="F427" s="14">
        <v>30501.947</v>
      </c>
      <c r="G427" s="15">
        <v>7.2399999999999999E-3</v>
      </c>
      <c r="H427" s="16">
        <f t="shared" si="76"/>
        <v>-8.0299999999999989E-3</v>
      </c>
      <c r="I427" s="17" t="b">
        <f>AND(A427&gt;2,H427&lt;=Assumptions!$B$7)</f>
        <v>0</v>
      </c>
      <c r="J427" s="15">
        <v>-1.7085926064676071E-3</v>
      </c>
      <c r="K427" s="15">
        <v>0.10568484739569284</v>
      </c>
      <c r="L427" s="15">
        <v>5.5396784548495948E-3</v>
      </c>
      <c r="M427" s="17" t="b">
        <f>J427&gt;=Assumptions!$B$8</f>
        <v>0</v>
      </c>
      <c r="N427" s="17" t="b">
        <f>AND(K427&lt;&gt;"",K427&lt;=Assumptions!$B$9)</f>
        <v>0</v>
      </c>
      <c r="O427" s="17" t="b">
        <f>AND(P427&lt;&gt;"",ABS(L427)&lt;=Assumptions!$B$10)</f>
        <v>0</v>
      </c>
      <c r="P427" s="13">
        <v>46175</v>
      </c>
      <c r="Q427" s="14">
        <v>30502.510999999999</v>
      </c>
      <c r="R427" s="15">
        <v>-1.0000000000000001E-5</v>
      </c>
      <c r="S427" s="17" t="str">
        <f t="shared" si="66"/>
        <v>BASELINE</v>
      </c>
      <c r="T427" s="16">
        <f t="shared" si="67"/>
        <v>7.2399999999999999E-3</v>
      </c>
      <c r="U427" s="16">
        <f>G427*Assumptions!$B$6</f>
        <v>8.181200000000001E-2</v>
      </c>
      <c r="V427" s="16">
        <f>T427*Assumptions!$B$6</f>
        <v>8.181200000000001E-2</v>
      </c>
      <c r="W427" s="16">
        <f t="shared" si="68"/>
        <v>0</v>
      </c>
      <c r="X427" s="18">
        <f t="shared" si="72"/>
        <v>590731453.55718279</v>
      </c>
      <c r="Y427" s="18">
        <f t="shared" si="73"/>
        <v>627411548.06735551</v>
      </c>
      <c r="Z427" s="19">
        <f t="shared" si="69"/>
        <v>-5.8462574721743765E-2</v>
      </c>
      <c r="AA427" s="18">
        <f t="shared" si="74"/>
        <v>10274509063.338619</v>
      </c>
      <c r="AB427" s="18">
        <f t="shared" si="75"/>
        <v>10912480786.732567</v>
      </c>
      <c r="AC427" s="19">
        <f t="shared" si="70"/>
        <v>-5.8462574721743876E-2</v>
      </c>
      <c r="AD427" s="20">
        <f t="shared" si="71"/>
        <v>9683777609.7814369</v>
      </c>
      <c r="AE427" s="9" t="s">
        <v>91</v>
      </c>
    </row>
    <row r="428" spans="1:31" ht="18" customHeight="1">
      <c r="A428" s="4">
        <v>424</v>
      </c>
      <c r="B428" s="13">
        <v>46181</v>
      </c>
      <c r="C428" s="13">
        <v>46184</v>
      </c>
      <c r="D428" s="4" t="s">
        <v>92</v>
      </c>
      <c r="E428" s="14">
        <v>29483.815999999999</v>
      </c>
      <c r="F428" s="14">
        <v>28413.657999999999</v>
      </c>
      <c r="G428" s="15">
        <v>-3.6290000000000003E-2</v>
      </c>
      <c r="H428" s="16">
        <f t="shared" si="76"/>
        <v>3.2100000000000002E-3</v>
      </c>
      <c r="I428" s="17" t="b">
        <f>AND(A428&gt;2,H428&lt;=Assumptions!$B$7)</f>
        <v>0</v>
      </c>
      <c r="J428" s="15">
        <v>1.7323908686086797E-2</v>
      </c>
      <c r="K428" s="15">
        <v>1.4562408265461624E-2</v>
      </c>
      <c r="L428" s="15">
        <v>2.5416276628939416E-2</v>
      </c>
      <c r="M428" s="17" t="b">
        <f>J428&gt;=Assumptions!$B$8</f>
        <v>1</v>
      </c>
      <c r="N428" s="17" t="b">
        <f>AND(K428&lt;&gt;"",K428&lt;=Assumptions!$B$9)</f>
        <v>0</v>
      </c>
      <c r="O428" s="17" t="b">
        <f>AND(P428&lt;&gt;"",ABS(L428)&lt;=Assumptions!$B$10)</f>
        <v>0</v>
      </c>
      <c r="P428" s="13">
        <v>46182</v>
      </c>
      <c r="Q428" s="14">
        <v>29698.588</v>
      </c>
      <c r="R428" s="15">
        <v>-4.326E-2</v>
      </c>
      <c r="S428" s="17" t="str">
        <f t="shared" si="66"/>
        <v>BASELINE</v>
      </c>
      <c r="T428" s="16">
        <f t="shared" si="67"/>
        <v>-3.6290000000000003E-2</v>
      </c>
      <c r="U428" s="16">
        <f>G428*Assumptions!$B$6</f>
        <v>-0.41007700000000008</v>
      </c>
      <c r="V428" s="16">
        <f>T428*Assumptions!$B$6</f>
        <v>-0.41007700000000008</v>
      </c>
      <c r="W428" s="16">
        <f t="shared" si="68"/>
        <v>0</v>
      </c>
      <c r="X428" s="18">
        <f t="shared" si="72"/>
        <v>348486071.27681392</v>
      </c>
      <c r="Y428" s="18">
        <f t="shared" si="73"/>
        <v>627411548.06735551</v>
      </c>
      <c r="Z428" s="19">
        <f t="shared" si="69"/>
        <v>-0.44456541746757527</v>
      </c>
      <c r="AA428" s="18">
        <f t="shared" si="74"/>
        <v>6061169210.1719084</v>
      </c>
      <c r="AB428" s="18">
        <f t="shared" si="75"/>
        <v>10912480786.732567</v>
      </c>
      <c r="AC428" s="19">
        <f t="shared" si="70"/>
        <v>-0.44456541746757539</v>
      </c>
      <c r="AD428" s="20">
        <f t="shared" si="71"/>
        <v>5712683138.8950949</v>
      </c>
      <c r="AE428" s="9" t="s">
        <v>91</v>
      </c>
    </row>
    <row r="429" spans="1:31" ht="18" customHeight="1">
      <c r="A429" s="4">
        <v>425</v>
      </c>
      <c r="B429" s="13">
        <v>46188</v>
      </c>
      <c r="C429" s="13">
        <v>46188</v>
      </c>
      <c r="D429" s="4" t="s">
        <v>90</v>
      </c>
      <c r="E429" s="14">
        <v>30304.021000000001</v>
      </c>
      <c r="F429" s="14">
        <v>30556.974999999999</v>
      </c>
      <c r="G429" s="15">
        <v>8.3400000000000002E-3</v>
      </c>
      <c r="H429" s="16">
        <f t="shared" si="76"/>
        <v>-2.9050000000000003E-2</v>
      </c>
      <c r="I429" s="17" t="b">
        <f>AND(A429&gt;2,H429&lt;=Assumptions!$B$7)</f>
        <v>1</v>
      </c>
      <c r="J429" s="15">
        <v>2.2809783163396213E-2</v>
      </c>
      <c r="K429" s="15">
        <v>2.153405854485424E-3</v>
      </c>
      <c r="L429" s="15">
        <v>2.8987717303906591E-2</v>
      </c>
      <c r="M429" s="17" t="b">
        <f>J429&gt;=Assumptions!$B$8</f>
        <v>1</v>
      </c>
      <c r="N429" s="17" t="b">
        <f>AND(K429&lt;&gt;"",K429&lt;=Assumptions!$B$9)</f>
        <v>0</v>
      </c>
      <c r="O429" s="17" t="b">
        <f>AND(P429&lt;&gt;"",ABS(L429)&lt;=Assumptions!$B$10)</f>
        <v>0</v>
      </c>
      <c r="P429" s="13">
        <v>46189</v>
      </c>
      <c r="Q429" s="14">
        <v>30490.038</v>
      </c>
      <c r="R429" s="15">
        <v>2.1900000000000001E-3</v>
      </c>
      <c r="S429" s="17" t="str">
        <f t="shared" si="66"/>
        <v>DAMAGE SKIP</v>
      </c>
      <c r="T429" s="16">
        <f t="shared" si="67"/>
        <v>0</v>
      </c>
      <c r="U429" s="16">
        <f>G429*Assumptions!$B$6</f>
        <v>9.4242000000000006E-2</v>
      </c>
      <c r="V429" s="16">
        <f>T429*Assumptions!$B$6</f>
        <v>0</v>
      </c>
      <c r="W429" s="16">
        <f t="shared" si="68"/>
        <v>-9.4242000000000006E-2</v>
      </c>
      <c r="X429" s="18">
        <f t="shared" si="72"/>
        <v>381328095.60608339</v>
      </c>
      <c r="Y429" s="18">
        <f t="shared" si="73"/>
        <v>627411548.06735551</v>
      </c>
      <c r="Z429" s="19">
        <f t="shared" si="69"/>
        <v>-0.39222015154055456</v>
      </c>
      <c r="AA429" s="18">
        <f t="shared" si="74"/>
        <v>6061169210.1719084</v>
      </c>
      <c r="AB429" s="18">
        <f t="shared" si="75"/>
        <v>10912480786.732567</v>
      </c>
      <c r="AC429" s="19">
        <f t="shared" si="70"/>
        <v>-0.44456541746757539</v>
      </c>
      <c r="AD429" s="20">
        <f t="shared" si="71"/>
        <v>5679841114.5658245</v>
      </c>
      <c r="AE429" s="9" t="s">
        <v>94</v>
      </c>
    </row>
    <row r="430" spans="1:31" ht="18" customHeight="1">
      <c r="A430" s="4">
        <v>426</v>
      </c>
      <c r="B430" s="13">
        <v>46195</v>
      </c>
      <c r="C430" s="13">
        <v>46198</v>
      </c>
      <c r="D430" s="4" t="s">
        <v>92</v>
      </c>
      <c r="E430" s="14">
        <v>30513.62</v>
      </c>
      <c r="F430" s="14">
        <v>29785.013999999999</v>
      </c>
      <c r="G430" s="15">
        <v>-2.3869999999999999E-2</v>
      </c>
      <c r="H430" s="16">
        <f t="shared" si="76"/>
        <v>-3.6290000000000003E-2</v>
      </c>
      <c r="I430" s="17" t="b">
        <f>AND(A430&gt;2,H430&lt;=Assumptions!$B$7)</f>
        <v>1</v>
      </c>
      <c r="J430" s="15">
        <v>4.5324023510182609E-3</v>
      </c>
      <c r="K430" s="15">
        <v>3.8519245600504792E-2</v>
      </c>
      <c r="L430" s="15">
        <v>-3.3593475736545031E-2</v>
      </c>
      <c r="M430" s="17" t="b">
        <f>J430&gt;=Assumptions!$B$8</f>
        <v>0</v>
      </c>
      <c r="N430" s="17" t="b">
        <f>AND(K430&lt;&gt;"",K430&lt;=Assumptions!$B$9)</f>
        <v>0</v>
      </c>
      <c r="O430" s="17" t="b">
        <f>AND(P430&lt;&gt;"",ABS(L430)&lt;=Assumptions!$B$10)</f>
        <v>0</v>
      </c>
      <c r="P430" s="13">
        <v>46196</v>
      </c>
      <c r="Q430" s="14">
        <v>29407.286</v>
      </c>
      <c r="R430" s="15">
        <v>1.2840000000000001E-2</v>
      </c>
      <c r="S430" s="17" t="str">
        <f t="shared" si="66"/>
        <v>DAMAGE SKIP</v>
      </c>
      <c r="T430" s="16">
        <f t="shared" si="67"/>
        <v>0</v>
      </c>
      <c r="U430" s="16">
        <f>G430*Assumptions!$B$6</f>
        <v>-0.269731</v>
      </c>
      <c r="V430" s="16">
        <f>T430*Assumptions!$B$6</f>
        <v>0</v>
      </c>
      <c r="W430" s="16">
        <f t="shared" si="68"/>
        <v>0.269731</v>
      </c>
      <c r="X430" s="18">
        <f t="shared" si="72"/>
        <v>278472087.05015892</v>
      </c>
      <c r="Y430" s="18">
        <f t="shared" si="73"/>
        <v>627411548.06735551</v>
      </c>
      <c r="Z430" s="19">
        <f t="shared" si="69"/>
        <v>-0.55615721784536931</v>
      </c>
      <c r="AA430" s="18">
        <f t="shared" si="74"/>
        <v>6061169210.1719084</v>
      </c>
      <c r="AB430" s="18">
        <f t="shared" si="75"/>
        <v>10912480786.732567</v>
      </c>
      <c r="AC430" s="19">
        <f t="shared" si="70"/>
        <v>-0.44456541746757539</v>
      </c>
      <c r="AD430" s="20">
        <f t="shared" si="71"/>
        <v>5782697123.1217499</v>
      </c>
      <c r="AE430" s="9" t="s">
        <v>94</v>
      </c>
    </row>
    <row r="431" spans="1:31" ht="18" customHeight="1">
      <c r="A431" s="4">
        <v>427</v>
      </c>
      <c r="B431" s="13">
        <v>46202</v>
      </c>
      <c r="C431" s="13">
        <v>46202</v>
      </c>
      <c r="D431" s="4" t="s">
        <v>90</v>
      </c>
      <c r="E431" s="14">
        <v>29356.592000000001</v>
      </c>
      <c r="F431" s="14">
        <v>29724.707999999999</v>
      </c>
      <c r="G431" s="15">
        <v>1.2529999999999999E-2</v>
      </c>
      <c r="H431" s="16">
        <f t="shared" si="76"/>
        <v>0</v>
      </c>
      <c r="I431" s="17" t="b">
        <f>AND(A431&gt;2,H431&lt;=Assumptions!$B$7)</f>
        <v>0</v>
      </c>
      <c r="J431" s="15">
        <v>8.7633778033373577E-3</v>
      </c>
      <c r="K431" s="15">
        <v>-3.9532354540511183E-2</v>
      </c>
      <c r="L431" s="15">
        <v>2.4995753835701739E-2</v>
      </c>
      <c r="M431" s="17" t="b">
        <f>J431&gt;=Assumptions!$B$8</f>
        <v>0</v>
      </c>
      <c r="N431" s="17" t="b">
        <f>AND(K431&lt;&gt;"",K431&lt;=Assumptions!$B$9)</f>
        <v>1</v>
      </c>
      <c r="O431" s="17" t="b">
        <f>AND(P431&lt;&gt;"",ABS(L431)&lt;=Assumptions!$B$10)</f>
        <v>0</v>
      </c>
      <c r="P431" s="13">
        <v>46203</v>
      </c>
      <c r="Q431" s="14">
        <v>29762.842000000001</v>
      </c>
      <c r="R431" s="15">
        <v>-1.2800000000000001E-3</v>
      </c>
      <c r="S431" s="17" t="str">
        <f t="shared" si="66"/>
        <v>BASELINE</v>
      </c>
      <c r="T431" s="16">
        <f t="shared" si="67"/>
        <v>1.2529999999999999E-2</v>
      </c>
      <c r="U431" s="16">
        <f>G431*Assumptions!$B$6</f>
        <v>0.14158899999999999</v>
      </c>
      <c r="V431" s="16">
        <f>T431*Assumptions!$B$6</f>
        <v>0.14158899999999999</v>
      </c>
      <c r="W431" s="16">
        <f t="shared" si="68"/>
        <v>0</v>
      </c>
      <c r="X431" s="18">
        <f t="shared" si="72"/>
        <v>317900671.38350385</v>
      </c>
      <c r="Y431" s="18">
        <f t="shared" si="73"/>
        <v>627411548.06735551</v>
      </c>
      <c r="Z431" s="19">
        <f t="shared" si="69"/>
        <v>-0.49331396216287726</v>
      </c>
      <c r="AA431" s="18">
        <f t="shared" si="74"/>
        <v>6919364097.4709387</v>
      </c>
      <c r="AB431" s="18">
        <f t="shared" si="75"/>
        <v>10912480786.732567</v>
      </c>
      <c r="AC431" s="19">
        <f t="shared" si="70"/>
        <v>-0.36592199036139184</v>
      </c>
      <c r="AD431" s="20">
        <f t="shared" si="71"/>
        <v>6601463426.0874348</v>
      </c>
      <c r="AE431" s="9" t="s">
        <v>91</v>
      </c>
    </row>
    <row r="432" spans="1:31" ht="18" customHeight="1">
      <c r="A432" s="4">
        <v>428</v>
      </c>
      <c r="B432" s="13">
        <v>46209</v>
      </c>
      <c r="C432" s="13">
        <v>46212</v>
      </c>
      <c r="D432" s="4" t="s">
        <v>92</v>
      </c>
      <c r="E432" s="14">
        <v>29591.075000000001</v>
      </c>
      <c r="F432" s="14">
        <v>29198.207999999999</v>
      </c>
      <c r="G432" s="15">
        <v>-1.3270000000000001E-2</v>
      </c>
      <c r="H432" s="16">
        <f t="shared" si="76"/>
        <v>1.2529999999999999E-2</v>
      </c>
      <c r="I432" s="17" t="b">
        <f>AND(A432&gt;2,H432&lt;=Assumptions!$B$7)</f>
        <v>0</v>
      </c>
      <c r="J432" s="15">
        <v>1.0142706916836497E-2</v>
      </c>
      <c r="K432" s="15">
        <v>-4.2474570349766871E-2</v>
      </c>
      <c r="L432" s="15">
        <v>2.2031995509401714E-3</v>
      </c>
      <c r="M432" s="17" t="b">
        <f>J432&gt;=Assumptions!$B$8</f>
        <v>1</v>
      </c>
      <c r="N432" s="17" t="b">
        <f>AND(K432&lt;&gt;"",K432&lt;=Assumptions!$B$9)</f>
        <v>1</v>
      </c>
      <c r="O432" s="17" t="b">
        <f>AND(P432&lt;&gt;"",ABS(L432)&lt;=Assumptions!$B$10)</f>
        <v>1</v>
      </c>
      <c r="P432" s="13">
        <v>46210</v>
      </c>
      <c r="Q432" s="14">
        <v>29355.164000000001</v>
      </c>
      <c r="R432" s="15">
        <v>-5.3400000000000001E-3</v>
      </c>
      <c r="S432" s="17" t="str">
        <f t="shared" si="66"/>
        <v>TUESDAY RE-ENTRY</v>
      </c>
      <c r="T432" s="16">
        <f t="shared" si="67"/>
        <v>-5.3400000000000001E-3</v>
      </c>
      <c r="U432" s="16">
        <f>G432*Assumptions!$B$6</f>
        <v>-0.14995100000000003</v>
      </c>
      <c r="V432" s="16">
        <f>T432*Assumptions!$B$6</f>
        <v>-6.0342000000000007E-2</v>
      </c>
      <c r="W432" s="16">
        <f t="shared" si="68"/>
        <v>8.9609000000000022E-2</v>
      </c>
      <c r="X432" s="18">
        <f t="shared" si="72"/>
        <v>270231147.80887604</v>
      </c>
      <c r="Y432" s="18">
        <f t="shared" si="73"/>
        <v>627411548.06735551</v>
      </c>
      <c r="Z432" s="19">
        <f t="shared" si="69"/>
        <v>-0.56929204022259161</v>
      </c>
      <c r="AA432" s="18">
        <f t="shared" si="74"/>
        <v>6501835829.101347</v>
      </c>
      <c r="AB432" s="18">
        <f t="shared" si="75"/>
        <v>10912480786.732567</v>
      </c>
      <c r="AC432" s="19">
        <f t="shared" si="70"/>
        <v>-0.40418352561900484</v>
      </c>
      <c r="AD432" s="20">
        <f t="shared" si="71"/>
        <v>6231604681.2924709</v>
      </c>
      <c r="AE432" s="9" t="s">
        <v>105</v>
      </c>
    </row>
    <row r="433" spans="1:31" ht="18" customHeight="1">
      <c r="A433" s="4">
        <v>429</v>
      </c>
      <c r="B433" s="13">
        <v>46216</v>
      </c>
      <c r="C433" s="13">
        <v>46219</v>
      </c>
      <c r="D433" s="4" t="s">
        <v>92</v>
      </c>
      <c r="E433" s="14">
        <v>29498.12</v>
      </c>
      <c r="F433" s="14">
        <v>29375.71</v>
      </c>
      <c r="G433" s="15">
        <v>-4.1399999999999996E-3</v>
      </c>
      <c r="H433" s="16">
        <f t="shared" si="76"/>
        <v>7.1899999999999993E-3</v>
      </c>
      <c r="I433" s="17" t="b">
        <f>AND(A433&gt;2,H433&lt;=Assumptions!$B$7)</f>
        <v>0</v>
      </c>
      <c r="J433" s="15">
        <v>-1.1247193397123767E-2</v>
      </c>
      <c r="K433" s="15">
        <v>4.5870633856621712E-2</v>
      </c>
      <c r="L433" s="15">
        <v>-7.291422585491536E-3</v>
      </c>
      <c r="M433" s="17" t="b">
        <f>J433&gt;=Assumptions!$B$8</f>
        <v>0</v>
      </c>
      <c r="N433" s="17" t="b">
        <f>AND(K433&lt;&gt;"",K433&lt;=Assumptions!$B$9)</f>
        <v>0</v>
      </c>
      <c r="O433" s="17" t="b">
        <f>AND(P433&lt;&gt;"",ABS(L433)&lt;=Assumptions!$B$10)</f>
        <v>0</v>
      </c>
      <c r="P433" s="13">
        <v>46217</v>
      </c>
      <c r="Q433" s="14">
        <v>29606.775000000001</v>
      </c>
      <c r="R433" s="15">
        <v>-7.7999999999999996E-3</v>
      </c>
      <c r="S433" s="17" t="str">
        <f t="shared" si="66"/>
        <v>BASELINE</v>
      </c>
      <c r="T433" s="16">
        <f t="shared" si="67"/>
        <v>-4.1399999999999996E-3</v>
      </c>
      <c r="U433" s="16">
        <f>G433*Assumptions!$B$6</f>
        <v>-4.6781999999999997E-2</v>
      </c>
      <c r="V433" s="16">
        <f>T433*Assumptions!$B$6</f>
        <v>-4.6781999999999997E-2</v>
      </c>
      <c r="W433" s="16">
        <f t="shared" si="68"/>
        <v>0</v>
      </c>
      <c r="X433" s="18">
        <f t="shared" si="72"/>
        <v>257589194.25208122</v>
      </c>
      <c r="Y433" s="18">
        <f t="shared" si="73"/>
        <v>627411548.06735551</v>
      </c>
      <c r="Z433" s="19">
        <f t="shared" si="69"/>
        <v>-0.58944141999689836</v>
      </c>
      <c r="AA433" s="18">
        <f t="shared" si="74"/>
        <v>6197666945.3443279</v>
      </c>
      <c r="AB433" s="18">
        <f t="shared" si="75"/>
        <v>10912480786.732567</v>
      </c>
      <c r="AC433" s="19">
        <f t="shared" si="70"/>
        <v>-0.43205701192349644</v>
      </c>
      <c r="AD433" s="20">
        <f t="shared" si="71"/>
        <v>5940077751.092247</v>
      </c>
      <c r="AE433" s="9" t="s">
        <v>91</v>
      </c>
    </row>
    <row r="434" spans="1:31" ht="18" customHeight="1">
      <c r="A434" s="4">
        <v>430</v>
      </c>
      <c r="B434" s="13">
        <v>46223</v>
      </c>
      <c r="C434" s="13">
        <v>46226</v>
      </c>
      <c r="D434" s="4" t="s">
        <v>92</v>
      </c>
      <c r="E434" s="14">
        <v>28867.51</v>
      </c>
      <c r="F434" s="14">
        <v>28749.543000000001</v>
      </c>
      <c r="G434" s="15">
        <v>-4.0800000000000003E-3</v>
      </c>
      <c r="H434" s="16">
        <f t="shared" si="76"/>
        <v>-9.4799999999999988E-3</v>
      </c>
      <c r="I434" s="17" t="b">
        <f>AND(A434&gt;2,H434&lt;=Assumptions!$B$7)</f>
        <v>0</v>
      </c>
      <c r="J434" s="15">
        <v>1.0607604002575322E-2</v>
      </c>
      <c r="K434" s="15">
        <v>-3.7618856486415386E-2</v>
      </c>
      <c r="L434" s="15">
        <v>1.6164986409330728E-2</v>
      </c>
      <c r="M434" s="17" t="b">
        <f>J434&gt;=Assumptions!$B$8</f>
        <v>1</v>
      </c>
      <c r="N434" s="17" t="b">
        <f>AND(K434&lt;&gt;"",K434&lt;=Assumptions!$B$9)</f>
        <v>1</v>
      </c>
      <c r="O434" s="17" t="b">
        <f>AND(P434&lt;&gt;"",ABS(L434)&lt;=Assumptions!$B$10)</f>
        <v>0</v>
      </c>
      <c r="P434" s="13">
        <v>46224</v>
      </c>
      <c r="Q434" s="14">
        <v>29051.01</v>
      </c>
      <c r="R434" s="15">
        <v>-1.0370000000000001E-2</v>
      </c>
      <c r="S434" s="17" t="str">
        <f t="shared" si="66"/>
        <v>GAP/MOM SKIP</v>
      </c>
      <c r="T434" s="16">
        <f t="shared" si="67"/>
        <v>0</v>
      </c>
      <c r="U434" s="16">
        <f>G434*Assumptions!$B$6</f>
        <v>-4.6104000000000006E-2</v>
      </c>
      <c r="V434" s="16">
        <f>T434*Assumptions!$B$6</f>
        <v>0</v>
      </c>
      <c r="W434" s="16">
        <f t="shared" si="68"/>
        <v>4.6104000000000006E-2</v>
      </c>
      <c r="X434" s="18">
        <f t="shared" si="72"/>
        <v>245713302.04028326</v>
      </c>
      <c r="Y434" s="18">
        <f t="shared" si="73"/>
        <v>627411548.06735551</v>
      </c>
      <c r="Z434" s="19">
        <f t="shared" si="69"/>
        <v>-0.60836981276936131</v>
      </c>
      <c r="AA434" s="18">
        <f t="shared" si="74"/>
        <v>6197666945.3443279</v>
      </c>
      <c r="AB434" s="18">
        <f t="shared" si="75"/>
        <v>10912480786.732567</v>
      </c>
      <c r="AC434" s="19">
        <f t="shared" si="70"/>
        <v>-0.43205701192349644</v>
      </c>
      <c r="AD434" s="20">
        <f t="shared" si="71"/>
        <v>5951953643.3040447</v>
      </c>
      <c r="AE434" s="9" t="s">
        <v>102</v>
      </c>
    </row>
    <row r="435" spans="1:31" ht="18" customHeight="1">
      <c r="A435" s="21">
        <v>431</v>
      </c>
      <c r="B435" s="22">
        <v>46230</v>
      </c>
      <c r="C435" s="22">
        <v>46233</v>
      </c>
      <c r="D435" s="21" t="s">
        <v>92</v>
      </c>
      <c r="E435" s="23">
        <v>28440.589</v>
      </c>
      <c r="F435" s="23">
        <v>27103.152999999998</v>
      </c>
      <c r="G435" s="24">
        <v>-4.7019999999999999E-2</v>
      </c>
      <c r="H435" s="25">
        <f t="shared" si="76"/>
        <v>-4.1399999999999996E-3</v>
      </c>
      <c r="I435" s="26" t="b">
        <f>AND(A435&gt;2,H435&lt;=Assumptions!$B$7)</f>
        <v>0</v>
      </c>
      <c r="J435" s="24">
        <v>1.0992143466909576E-2</v>
      </c>
      <c r="K435" s="24">
        <v>-4.4878416482872163E-2</v>
      </c>
      <c r="L435" s="24">
        <v>-1.1691974920713832E-2</v>
      </c>
      <c r="M435" s="26" t="b">
        <f>J435&gt;=Assumptions!$B$8</f>
        <v>1</v>
      </c>
      <c r="N435" s="26" t="b">
        <f>AND(K435&lt;&gt;"",K435&lt;=Assumptions!$B$9)</f>
        <v>1</v>
      </c>
      <c r="O435" s="26" t="b">
        <f>AND(P435&lt;&gt;"",ABS(L435)&lt;=Assumptions!$B$10)</f>
        <v>0</v>
      </c>
      <c r="P435" s="22">
        <v>46231</v>
      </c>
      <c r="Q435" s="23">
        <v>27788.164000000001</v>
      </c>
      <c r="R435" s="24">
        <v>-2.4649999999999998E-2</v>
      </c>
      <c r="S435" s="26" t="str">
        <f t="shared" si="66"/>
        <v>GAP/MOM SKIP</v>
      </c>
      <c r="T435" s="25">
        <f t="shared" si="67"/>
        <v>0</v>
      </c>
      <c r="U435" s="25">
        <f>G435*Assumptions!$B$6</f>
        <v>-0.53132600000000008</v>
      </c>
      <c r="V435" s="25">
        <f>T435*Assumptions!$B$6</f>
        <v>0</v>
      </c>
      <c r="W435" s="25">
        <f t="shared" si="68"/>
        <v>0.53132600000000008</v>
      </c>
      <c r="X435" s="27">
        <f t="shared" si="72"/>
        <v>115159436.1204277</v>
      </c>
      <c r="Y435" s="27">
        <f t="shared" si="73"/>
        <v>627411548.06735551</v>
      </c>
      <c r="Z435" s="28">
        <f t="shared" si="69"/>
        <v>-0.81645311362986772</v>
      </c>
      <c r="AA435" s="27">
        <f t="shared" si="74"/>
        <v>6197666945.3443279</v>
      </c>
      <c r="AB435" s="27">
        <f t="shared" si="75"/>
        <v>10912480786.732567</v>
      </c>
      <c r="AC435" s="28">
        <f t="shared" si="70"/>
        <v>-0.43205701192349644</v>
      </c>
      <c r="AD435" s="29">
        <f t="shared" si="71"/>
        <v>6082507509.2238998</v>
      </c>
      <c r="AE435" s="30" t="s">
        <v>102</v>
      </c>
    </row>
    <row r="436" spans="1:31" ht="18" customHeight="1">
      <c r="A436" s="4">
        <v>432</v>
      </c>
      <c r="B436" s="13">
        <v>46237</v>
      </c>
      <c r="C436" s="13">
        <v>46237</v>
      </c>
      <c r="D436" s="4" t="s">
        <v>90</v>
      </c>
      <c r="E436" s="14">
        <v>28297.932000000001</v>
      </c>
      <c r="F436" s="14">
        <v>28754.674999999999</v>
      </c>
      <c r="G436" s="15">
        <v>1.6140000000000002E-2</v>
      </c>
      <c r="H436" s="16">
        <f t="shared" si="76"/>
        <v>0</v>
      </c>
      <c r="I436" s="17" t="b">
        <f>AND(A436&gt;2,H436&lt;=Assumptions!$B$7)</f>
        <v>0</v>
      </c>
      <c r="J436" s="15">
        <v>4.505184674565843E-4</v>
      </c>
      <c r="K436" s="15">
        <v>-3.4535503788941879E-2</v>
      </c>
      <c r="L436" s="15">
        <v>2.9317286588467883E-2</v>
      </c>
      <c r="M436" s="17" t="b">
        <f>J436&gt;=Assumptions!$B$8</f>
        <v>0</v>
      </c>
      <c r="N436" s="17" t="b">
        <f>AND(K436&lt;&gt;"",K436&lt;=Assumptions!$B$9)</f>
        <v>1</v>
      </c>
      <c r="O436" s="17" t="b">
        <f>AND(P436&lt;&gt;"",ABS(L436)&lt;=Assumptions!$B$10)</f>
        <v>0</v>
      </c>
      <c r="P436" s="13">
        <v>46238</v>
      </c>
      <c r="Q436" s="14">
        <v>29114.053</v>
      </c>
      <c r="R436" s="15">
        <v>-1.234E-2</v>
      </c>
      <c r="S436" s="17" t="str">
        <f t="shared" si="66"/>
        <v>BASELINE</v>
      </c>
      <c r="T436" s="16">
        <f t="shared" si="67"/>
        <v>1.6140000000000002E-2</v>
      </c>
      <c r="U436" s="16">
        <f>G436*Assumptions!$B$6</f>
        <v>0.18238200000000002</v>
      </c>
      <c r="V436" s="16">
        <f>T436*Assumptions!$B$6</f>
        <v>0.18238200000000002</v>
      </c>
      <c r="W436" s="16">
        <f t="shared" si="68"/>
        <v>0</v>
      </c>
      <c r="X436" s="18">
        <f t="shared" si="72"/>
        <v>136162444.39894354</v>
      </c>
      <c r="Y436" s="18">
        <f t="shared" si="73"/>
        <v>627411548.06735551</v>
      </c>
      <c r="Z436" s="19">
        <f t="shared" si="69"/>
        <v>-0.7829774653999102</v>
      </c>
      <c r="AA436" s="18">
        <f t="shared" si="74"/>
        <v>7328009838.1701174</v>
      </c>
      <c r="AB436" s="18">
        <f t="shared" si="75"/>
        <v>10912480786.732567</v>
      </c>
      <c r="AC436" s="19">
        <f t="shared" si="70"/>
        <v>-0.3284744338721276</v>
      </c>
      <c r="AD436" s="20">
        <f t="shared" si="71"/>
        <v>7191847393.7711735</v>
      </c>
      <c r="AE436" s="9" t="s">
        <v>91</v>
      </c>
    </row>
  </sheetData>
  <mergeCells count="2">
    <mergeCell ref="A1:AE2"/>
    <mergeCell ref="A3:AE3"/>
  </mergeCells>
  <conditionalFormatting sqref="G5:G436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S5:S436">
    <cfRule type="containsText" dxfId="12" priority="7" operator="containsText" text="SKIP"/>
    <cfRule type="containsText" dxfId="11" priority="8" operator="containsText" text="TUESDAY"/>
    <cfRule type="containsText" dxfId="10" priority="9" operator="containsText" text="BASELINE"/>
  </conditionalFormatting>
  <conditionalFormatting sqref="T5:W436">
    <cfRule type="cellIs" dxfId="9" priority="3" operator="greaterThan">
      <formula>0</formula>
    </cfRule>
    <cfRule type="cellIs" dxfId="8" priority="4" operator="lessThan">
      <formula>0</formula>
    </cfRule>
  </conditionalFormatting>
  <conditionalFormatting sqref="AD5:AD436">
    <cfRule type="cellIs" dxfId="7" priority="5" operator="greaterThan">
      <formula>0</formula>
    </cfRule>
    <cfRule type="cellIs" dxfId="6" priority="6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7"/>
  <sheetViews>
    <sheetView showGridLines="0" workbookViewId="0"/>
  </sheetViews>
  <sheetFormatPr defaultRowHeight="13.5"/>
  <cols>
    <col min="1" max="1" width="9" customWidth="1"/>
    <col min="2" max="3" width="13" customWidth="1"/>
    <col min="4" max="4" width="15" customWidth="1"/>
    <col min="5" max="5" width="16" customWidth="1"/>
    <col min="6" max="6" width="19" customWidth="1"/>
    <col min="7" max="11" width="16" customWidth="1"/>
    <col min="12" max="12" width="55" customWidth="1"/>
  </cols>
  <sheetData>
    <row r="1" spans="1:12" ht="30" customHeight="1">
      <c r="A1" s="60" t="s">
        <v>106</v>
      </c>
      <c r="B1" s="60" t="s">
        <v>106</v>
      </c>
      <c r="C1" s="60" t="s">
        <v>106</v>
      </c>
      <c r="D1" s="60" t="s">
        <v>106</v>
      </c>
      <c r="E1" s="60" t="s">
        <v>106</v>
      </c>
      <c r="F1" s="60" t="s">
        <v>106</v>
      </c>
      <c r="G1" s="60" t="s">
        <v>106</v>
      </c>
      <c r="H1" s="60" t="s">
        <v>106</v>
      </c>
      <c r="I1" s="60" t="s">
        <v>106</v>
      </c>
      <c r="J1" s="60" t="s">
        <v>106</v>
      </c>
      <c r="K1" s="60" t="s">
        <v>106</v>
      </c>
      <c r="L1" s="60" t="s">
        <v>106</v>
      </c>
    </row>
    <row r="2" spans="1:12" ht="30" customHeight="1">
      <c r="A2" s="60" t="s">
        <v>106</v>
      </c>
      <c r="B2" s="60" t="s">
        <v>106</v>
      </c>
      <c r="C2" s="60" t="s">
        <v>106</v>
      </c>
      <c r="D2" s="60" t="s">
        <v>106</v>
      </c>
      <c r="E2" s="60" t="s">
        <v>106</v>
      </c>
      <c r="F2" s="60" t="s">
        <v>106</v>
      </c>
      <c r="G2" s="60" t="s">
        <v>106</v>
      </c>
      <c r="H2" s="60" t="s">
        <v>106</v>
      </c>
      <c r="I2" s="60" t="s">
        <v>106</v>
      </c>
      <c r="J2" s="60" t="s">
        <v>106</v>
      </c>
      <c r="K2" s="60" t="s">
        <v>106</v>
      </c>
      <c r="L2" s="60" t="s">
        <v>106</v>
      </c>
    </row>
    <row r="3" spans="1:12" ht="26" customHeight="1">
      <c r="A3" s="55" t="s">
        <v>107</v>
      </c>
      <c r="B3" s="55" t="s">
        <v>107</v>
      </c>
      <c r="C3" s="55" t="s">
        <v>107</v>
      </c>
      <c r="D3" s="55" t="s">
        <v>107</v>
      </c>
      <c r="E3" s="55" t="s">
        <v>107</v>
      </c>
      <c r="F3" s="55" t="s">
        <v>107</v>
      </c>
      <c r="G3" s="55" t="s">
        <v>107</v>
      </c>
      <c r="H3" s="55" t="s">
        <v>107</v>
      </c>
      <c r="I3" s="55" t="s">
        <v>107</v>
      </c>
      <c r="J3" s="55" t="s">
        <v>107</v>
      </c>
      <c r="K3" s="55" t="s">
        <v>107</v>
      </c>
      <c r="L3" s="55" t="s">
        <v>107</v>
      </c>
    </row>
    <row r="4" spans="1:12" ht="14.25">
      <c r="A4" s="1" t="s">
        <v>60</v>
      </c>
      <c r="B4" s="2" t="s">
        <v>61</v>
      </c>
      <c r="C4" s="2" t="s">
        <v>62</v>
      </c>
      <c r="D4" s="2" t="s">
        <v>63</v>
      </c>
      <c r="E4" s="2" t="s">
        <v>66</v>
      </c>
      <c r="F4" s="2" t="s">
        <v>25</v>
      </c>
      <c r="G4" s="2" t="s">
        <v>78</v>
      </c>
      <c r="H4" s="2" t="s">
        <v>81</v>
      </c>
      <c r="I4" s="2" t="s">
        <v>69</v>
      </c>
      <c r="J4" s="2" t="s">
        <v>70</v>
      </c>
      <c r="K4" s="2" t="s">
        <v>71</v>
      </c>
      <c r="L4" s="3" t="s">
        <v>89</v>
      </c>
    </row>
    <row r="5" spans="1:12" ht="28.5">
      <c r="A5" s="17">
        <f>'All Trades'!A8</f>
        <v>4</v>
      </c>
      <c r="B5" s="31">
        <f>'All Trades'!B8</f>
        <v>43227</v>
      </c>
      <c r="C5" s="31">
        <f>'All Trades'!C8</f>
        <v>43231</v>
      </c>
      <c r="D5" s="17" t="str">
        <f>'All Trades'!D8</f>
        <v>TO</v>
      </c>
      <c r="E5" s="16">
        <f>'All Trades'!G8</f>
        <v>2.2859999999999998E-2</v>
      </c>
      <c r="F5" s="17" t="str">
        <f>'All Trades'!S8</f>
        <v>DAMAGE SKIP</v>
      </c>
      <c r="G5" s="16">
        <f>'All Trades'!T8</f>
        <v>0</v>
      </c>
      <c r="H5" s="16">
        <f>'All Trades'!W8</f>
        <v>-0.25831799999999999</v>
      </c>
      <c r="I5" s="16">
        <f>'All Trades'!J8</f>
        <v>4.4332820533281581E-3</v>
      </c>
      <c r="J5" s="16">
        <f>'All Trades'!K8</f>
        <v>0</v>
      </c>
      <c r="K5" s="16">
        <f>'All Trades'!L8</f>
        <v>5.6134008808330638E-3</v>
      </c>
      <c r="L5" s="32" t="str">
        <f>'All Trades'!AE8</f>
        <v>Skipped because the previous two rule outcomes totalled at or below the damage threshold.</v>
      </c>
    </row>
    <row r="6" spans="1:12" ht="28.5">
      <c r="A6" s="17">
        <f>'All Trades'!A31</f>
        <v>27</v>
      </c>
      <c r="B6" s="31">
        <f>'All Trades'!B31</f>
        <v>43388</v>
      </c>
      <c r="C6" s="31">
        <f>'All Trades'!C31</f>
        <v>43391</v>
      </c>
      <c r="D6" s="17" t="str">
        <f>'All Trades'!D31</f>
        <v>TSL2</v>
      </c>
      <c r="E6" s="16">
        <f>'All Trades'!G31</f>
        <v>-4.0000000000000001E-3</v>
      </c>
      <c r="F6" s="17" t="str">
        <f>'All Trades'!S31</f>
        <v>DAMAGE SKIP</v>
      </c>
      <c r="G6" s="16">
        <f>'All Trades'!T31</f>
        <v>0</v>
      </c>
      <c r="H6" s="16">
        <f>'All Trades'!W31</f>
        <v>4.5200000000000004E-2</v>
      </c>
      <c r="I6" s="16">
        <f>'All Trades'!J31</f>
        <v>-3.1595267420386763E-3</v>
      </c>
      <c r="J6" s="16">
        <f>'All Trades'!K31</f>
        <v>-5.0911118951957102E-2</v>
      </c>
      <c r="K6" s="16">
        <f>'All Trades'!L31</f>
        <v>-1.720912383373574E-3</v>
      </c>
      <c r="L6" s="32" t="str">
        <f>'All Trades'!AE31</f>
        <v>Skipped because the previous two rule outcomes totalled at or below the damage threshold.</v>
      </c>
    </row>
    <row r="7" spans="1:12" ht="28.5">
      <c r="A7" s="17">
        <f>'All Trades'!A32</f>
        <v>28</v>
      </c>
      <c r="B7" s="31">
        <f>'All Trades'!B32</f>
        <v>43395</v>
      </c>
      <c r="C7" s="31">
        <f>'All Trades'!C32</f>
        <v>43397</v>
      </c>
      <c r="D7" s="17" t="str">
        <f>'All Trades'!D32</f>
        <v>BEPRE</v>
      </c>
      <c r="E7" s="16">
        <f>'All Trades'!G32</f>
        <v>-3.1900000000000001E-3</v>
      </c>
      <c r="F7" s="17" t="str">
        <f>'All Trades'!S32</f>
        <v>DAMAGE SKIP</v>
      </c>
      <c r="G7" s="16">
        <f>'All Trades'!T32</f>
        <v>0</v>
      </c>
      <c r="H7" s="16">
        <f>'All Trades'!W32</f>
        <v>3.6047000000000003E-2</v>
      </c>
      <c r="I7" s="16">
        <f>'All Trades'!J32</f>
        <v>6.7772771665370879E-3</v>
      </c>
      <c r="J7" s="16">
        <f>'All Trades'!K32</f>
        <v>-5.6606461982138034E-2</v>
      </c>
      <c r="K7" s="16">
        <f>'All Trades'!L32</f>
        <v>-1.2862105422141834E-2</v>
      </c>
      <c r="L7" s="32" t="str">
        <f>'All Trades'!AE32</f>
        <v>Skipped because the previous two rule outcomes totalled at or below the damage threshold.</v>
      </c>
    </row>
    <row r="8" spans="1:12" ht="28.5">
      <c r="A8" s="17">
        <f>'All Trades'!A33</f>
        <v>29</v>
      </c>
      <c r="B8" s="31">
        <f>'All Trades'!B33</f>
        <v>43402</v>
      </c>
      <c r="C8" s="31">
        <f>'All Trades'!C33</f>
        <v>43402</v>
      </c>
      <c r="D8" s="17" t="str">
        <f>'All Trades'!D33</f>
        <v>SL</v>
      </c>
      <c r="E8" s="16">
        <f>'All Trades'!G33</f>
        <v>-5.0439999999999999E-2</v>
      </c>
      <c r="F8" s="17" t="str">
        <f>'All Trades'!S33</f>
        <v>GAP/MOM SKIP</v>
      </c>
      <c r="G8" s="16">
        <f>'All Trades'!T33</f>
        <v>0</v>
      </c>
      <c r="H8" s="16">
        <f>'All Trades'!W33</f>
        <v>0.56997200000000003</v>
      </c>
      <c r="I8" s="16">
        <f>'All Trades'!J33</f>
        <v>1.1307423069188971E-2</v>
      </c>
      <c r="J8" s="16">
        <f>'All Trades'!K33</f>
        <v>-0.10300520932953794</v>
      </c>
      <c r="K8" s="16">
        <f>'All Trades'!L33</f>
        <v>-2.2991821785158795E-2</v>
      </c>
      <c r="L8" s="32" t="str">
        <f>'All Trades'!AE33</f>
        <v>Monday entry skipped; Tuesday did not normalize within the Friday-based tolerance.</v>
      </c>
    </row>
    <row r="9" spans="1:12" ht="28.5">
      <c r="A9" s="17">
        <f>'All Trades'!A36</f>
        <v>32</v>
      </c>
      <c r="B9" s="31">
        <f>'All Trades'!B36</f>
        <v>43423</v>
      </c>
      <c r="C9" s="31">
        <f>'All Trades'!C36</f>
        <v>43424</v>
      </c>
      <c r="D9" s="17" t="str">
        <f>'All Trades'!D36</f>
        <v>SLPRE</v>
      </c>
      <c r="E9" s="16">
        <f>'All Trades'!G36</f>
        <v>-5.1159999999999997E-2</v>
      </c>
      <c r="F9" s="17" t="str">
        <f>'All Trades'!S36</f>
        <v>DAMAGE SKIP</v>
      </c>
      <c r="G9" s="16">
        <f>'All Trades'!T36</f>
        <v>0</v>
      </c>
      <c r="H9" s="16">
        <f>'All Trades'!W36</f>
        <v>0.57810799999999996</v>
      </c>
      <c r="I9" s="16">
        <f>'All Trades'!J36</f>
        <v>-5.3007263203408428E-3</v>
      </c>
      <c r="J9" s="16">
        <f>'All Trades'!K36</f>
        <v>-3.1801842621960508E-2</v>
      </c>
      <c r="K9" s="16">
        <f>'All Trades'!L36</f>
        <v>-5.4448680589787912E-2</v>
      </c>
      <c r="L9" s="32" t="str">
        <f>'All Trades'!AE36</f>
        <v>Skipped because the previous two rule outcomes totalled at or below the damage threshold.</v>
      </c>
    </row>
    <row r="10" spans="1:12" ht="28.5">
      <c r="A10" s="17">
        <f>'All Trades'!A37</f>
        <v>33</v>
      </c>
      <c r="B10" s="31">
        <f>'All Trades'!B37</f>
        <v>43430</v>
      </c>
      <c r="C10" s="31">
        <f>'All Trades'!C37</f>
        <v>43430</v>
      </c>
      <c r="D10" s="17" t="str">
        <f>'All Trades'!D37</f>
        <v>CH</v>
      </c>
      <c r="E10" s="16">
        <f>'All Trades'!G37</f>
        <v>1.0500000000000001E-2</v>
      </c>
      <c r="F10" s="17" t="str">
        <f>'All Trades'!S37</f>
        <v>DAMAGE SKIP</v>
      </c>
      <c r="G10" s="16">
        <f>'All Trades'!T37</f>
        <v>0</v>
      </c>
      <c r="H10" s="16">
        <f>'All Trades'!W37</f>
        <v>-0.11865000000000002</v>
      </c>
      <c r="I10" s="16">
        <f>'All Trades'!J37</f>
        <v>1.4134448963448287E-2</v>
      </c>
      <c r="J10" s="16">
        <f>'All Trades'!K37</f>
        <v>-6.9123748189878098E-2</v>
      </c>
      <c r="K10" s="16">
        <f>'All Trades'!L37</f>
        <v>1.7387594355103397E-2</v>
      </c>
      <c r="L10" s="32" t="str">
        <f>'All Trades'!AE37</f>
        <v>Skipped because the previous two rule outcomes totalled at or below the damage threshold.</v>
      </c>
    </row>
    <row r="11" spans="1:12" ht="28.5">
      <c r="A11" s="17">
        <f>'All Trades'!A38</f>
        <v>34</v>
      </c>
      <c r="B11" s="31">
        <f>'All Trades'!B38</f>
        <v>43437</v>
      </c>
      <c r="C11" s="31">
        <f>'All Trades'!C38</f>
        <v>43440</v>
      </c>
      <c r="D11" s="17" t="str">
        <f>'All Trades'!D38</f>
        <v>TSL1PRE</v>
      </c>
      <c r="E11" s="16">
        <f>'All Trades'!G38</f>
        <v>-3.7359999999999997E-2</v>
      </c>
      <c r="F11" s="17" t="str">
        <f>'All Trades'!S38</f>
        <v>GAP/MOM SKIP</v>
      </c>
      <c r="G11" s="16">
        <f>'All Trades'!T38</f>
        <v>0</v>
      </c>
      <c r="H11" s="16">
        <f>'All Trades'!W38</f>
        <v>0.42216799999999999</v>
      </c>
      <c r="I11" s="16">
        <f>'All Trades'!J38</f>
        <v>2.1619616035043032E-2</v>
      </c>
      <c r="J11" s="16">
        <f>'All Trades'!K38</f>
        <v>-1.5623386484434287E-2</v>
      </c>
      <c r="K11" s="16">
        <f>'All Trades'!L38</f>
        <v>1.1878829765570531E-2</v>
      </c>
      <c r="L11" s="32" t="str">
        <f>'All Trades'!AE38</f>
        <v>Monday entry skipped; Tuesday did not normalize within the Friday-based tolerance.</v>
      </c>
    </row>
    <row r="12" spans="1:12" ht="28.5">
      <c r="A12" s="17">
        <f>'All Trades'!A42</f>
        <v>38</v>
      </c>
      <c r="B12" s="31">
        <f>'All Trades'!B42</f>
        <v>43465</v>
      </c>
      <c r="C12" s="31">
        <f>'All Trades'!C42</f>
        <v>43468</v>
      </c>
      <c r="D12" s="17" t="str">
        <f>'All Trades'!D42</f>
        <v>TSL1PRE</v>
      </c>
      <c r="E12" s="16">
        <f>'All Trades'!G42</f>
        <v>-1.8749999999999999E-2</v>
      </c>
      <c r="F12" s="17" t="str">
        <f>'All Trades'!S42</f>
        <v>GAP/MOM SKIP</v>
      </c>
      <c r="G12" s="16">
        <f>'All Trades'!T42</f>
        <v>0</v>
      </c>
      <c r="H12" s="16">
        <f>'All Trades'!W42</f>
        <v>0.21187500000000001</v>
      </c>
      <c r="I12" s="16">
        <f>'All Trades'!J42</f>
        <v>1.1000261652839072E-2</v>
      </c>
      <c r="J12" s="16">
        <f>'All Trades'!K42</f>
        <v>-9.0603839744264891E-2</v>
      </c>
      <c r="K12" s="16">
        <f>'All Trades'!L42</f>
        <v>0</v>
      </c>
      <c r="L12" s="32" t="str">
        <f>'All Trades'!AE42</f>
        <v>Monday entry skipped; Tuesday did not normalize within the Friday-based tolerance.</v>
      </c>
    </row>
    <row r="13" spans="1:12" ht="28.5">
      <c r="A13" s="17">
        <f>'All Trades'!A75</f>
        <v>71</v>
      </c>
      <c r="B13" s="31">
        <f>'All Trades'!B75</f>
        <v>43696</v>
      </c>
      <c r="C13" s="31">
        <f>'All Trades'!C75</f>
        <v>43698</v>
      </c>
      <c r="D13" s="17" t="str">
        <f>'All Trades'!D75</f>
        <v>BEPRE</v>
      </c>
      <c r="E13" s="16">
        <f>'All Trades'!G75</f>
        <v>-3.98E-3</v>
      </c>
      <c r="F13" s="17" t="str">
        <f>'All Trades'!S75</f>
        <v>GAP/MOM SKIP</v>
      </c>
      <c r="G13" s="16">
        <f>'All Trades'!T75</f>
        <v>0</v>
      </c>
      <c r="H13" s="16">
        <f>'All Trades'!W75</f>
        <v>4.4974E-2</v>
      </c>
      <c r="I13" s="16">
        <f>'All Trades'!J75</f>
        <v>1.4601982735953367E-2</v>
      </c>
      <c r="J13" s="16">
        <f>'All Trades'!K75</f>
        <v>-2.8874372296254336E-2</v>
      </c>
      <c r="K13" s="16">
        <f>'All Trades'!L75</f>
        <v>1.3559720411212561E-2</v>
      </c>
      <c r="L13" s="32" t="str">
        <f>'All Trades'!AE75</f>
        <v>Monday entry skipped; Tuesday did not normalize within the Friday-based tolerance.</v>
      </c>
    </row>
    <row r="14" spans="1:12" ht="28.5">
      <c r="A14" s="17">
        <f>'All Trades'!A103</f>
        <v>99</v>
      </c>
      <c r="B14" s="31">
        <f>'All Trades'!B103</f>
        <v>43892</v>
      </c>
      <c r="C14" s="31">
        <f>'All Trades'!C103</f>
        <v>43892</v>
      </c>
      <c r="D14" s="17" t="str">
        <f>'All Trades'!D103</f>
        <v>CH</v>
      </c>
      <c r="E14" s="16">
        <f>'All Trades'!G103</f>
        <v>3.6389999999999999E-2</v>
      </c>
      <c r="F14" s="17" t="str">
        <f>'All Trades'!S103</f>
        <v>GAP/MOM SKIP</v>
      </c>
      <c r="G14" s="16">
        <f>'All Trades'!T103</f>
        <v>0</v>
      </c>
      <c r="H14" s="16">
        <f>'All Trades'!W103</f>
        <v>-0.41120699999999999</v>
      </c>
      <c r="I14" s="16">
        <f>'All Trades'!J103</f>
        <v>1.0849822023709876E-2</v>
      </c>
      <c r="J14" s="16">
        <f>'All Trades'!K103</f>
        <v>-7.5440592565073072E-2</v>
      </c>
      <c r="K14" s="16">
        <f>'All Trades'!L103</f>
        <v>5.4909839770957758E-2</v>
      </c>
      <c r="L14" s="32" t="str">
        <f>'All Trades'!AE103</f>
        <v>Monday entry skipped; Tuesday did not normalize within the Friday-based tolerance.</v>
      </c>
    </row>
    <row r="15" spans="1:12" ht="28.5">
      <c r="A15" s="17">
        <f>'All Trades'!A105</f>
        <v>101</v>
      </c>
      <c r="B15" s="31">
        <f>'All Trades'!B105</f>
        <v>43920</v>
      </c>
      <c r="C15" s="31">
        <f>'All Trades'!C105</f>
        <v>43920</v>
      </c>
      <c r="D15" s="17" t="str">
        <f>'All Trades'!D105</f>
        <v>CH</v>
      </c>
      <c r="E15" s="16">
        <f>'All Trades'!G105</f>
        <v>2.5489999999999999E-2</v>
      </c>
      <c r="F15" s="17" t="str">
        <f>'All Trades'!S105</f>
        <v>GAP/MOM SKIP</v>
      </c>
      <c r="G15" s="16">
        <f>'All Trades'!T105</f>
        <v>0</v>
      </c>
      <c r="H15" s="16">
        <f>'All Trades'!W105</f>
        <v>-0.28803699999999999</v>
      </c>
      <c r="I15" s="16">
        <f>'All Trades'!J105</f>
        <v>1.0775220940732355E-2</v>
      </c>
      <c r="J15" s="16">
        <f>'All Trades'!K105</f>
        <v>-0.20616315801100082</v>
      </c>
      <c r="K15" s="16">
        <f>'All Trades'!L105</f>
        <v>3.3559474847090209E-2</v>
      </c>
      <c r="L15" s="32" t="str">
        <f>'All Trades'!AE105</f>
        <v>Monday entry skipped; Tuesday did not normalize within the Friday-based tolerance.</v>
      </c>
    </row>
    <row r="16" spans="1:12" ht="28.5">
      <c r="A16" s="17">
        <f>'All Trades'!A106</f>
        <v>102</v>
      </c>
      <c r="B16" s="31">
        <f>'All Trades'!B106</f>
        <v>43927</v>
      </c>
      <c r="C16" s="31">
        <f>'All Trades'!C106</f>
        <v>43927</v>
      </c>
      <c r="D16" s="17" t="str">
        <f>'All Trades'!D106</f>
        <v>CH</v>
      </c>
      <c r="E16" s="16">
        <f>'All Trades'!G106</f>
        <v>2.7900000000000001E-2</v>
      </c>
      <c r="F16" s="17" t="str">
        <f>'All Trades'!S106</f>
        <v>GAP/MOM SKIP</v>
      </c>
      <c r="G16" s="16">
        <f>'All Trades'!T106</f>
        <v>0</v>
      </c>
      <c r="H16" s="16">
        <f>'All Trades'!W106</f>
        <v>-0.31527000000000005</v>
      </c>
      <c r="I16" s="16">
        <f>'All Trades'!J106</f>
        <v>3.7634672768246613E-2</v>
      </c>
      <c r="J16" s="16">
        <f>'All Trades'!K106</f>
        <v>-0.2018755948212394</v>
      </c>
      <c r="K16" s="16">
        <f>'All Trades'!L106</f>
        <v>0.10245968490384549</v>
      </c>
      <c r="L16" s="32" t="str">
        <f>'All Trades'!AE106</f>
        <v>Monday entry skipped; Tuesday did not normalize within the Friday-based tolerance.</v>
      </c>
    </row>
    <row r="17" spans="1:12" ht="28.5">
      <c r="A17" s="17">
        <f>'All Trades'!A129</f>
        <v>125</v>
      </c>
      <c r="B17" s="31">
        <f>'All Trades'!B129</f>
        <v>44088</v>
      </c>
      <c r="C17" s="31">
        <f>'All Trades'!C129</f>
        <v>44091</v>
      </c>
      <c r="D17" s="17" t="str">
        <f>'All Trades'!D129</f>
        <v>TSL1PRE</v>
      </c>
      <c r="E17" s="16">
        <f>'All Trades'!G129</f>
        <v>-4.0099999999999997E-3</v>
      </c>
      <c r="F17" s="17" t="str">
        <f>'All Trades'!S129</f>
        <v>GAP/MOM SKIP</v>
      </c>
      <c r="G17" s="16">
        <f>'All Trades'!T129</f>
        <v>0</v>
      </c>
      <c r="H17" s="16">
        <f>'All Trades'!W129</f>
        <v>4.5312999999999999E-2</v>
      </c>
      <c r="I17" s="16">
        <f>'All Trades'!J129</f>
        <v>1.3580342623074948E-2</v>
      </c>
      <c r="J17" s="16">
        <f>'All Trades'!K129</f>
        <v>-7.4514916208504589E-3</v>
      </c>
      <c r="K17" s="16">
        <f>'All Trades'!L129</f>
        <v>3.1274626627022961E-2</v>
      </c>
      <c r="L17" s="32" t="str">
        <f>'All Trades'!AE129</f>
        <v>Monday entry skipped; Tuesday did not normalize within the Friday-based tolerance.</v>
      </c>
    </row>
    <row r="18" spans="1:12" ht="28.5">
      <c r="A18" s="17">
        <f>'All Trades'!A131</f>
        <v>127</v>
      </c>
      <c r="B18" s="31">
        <f>'All Trades'!B131</f>
        <v>44102</v>
      </c>
      <c r="C18" s="31">
        <f>'All Trades'!C131</f>
        <v>44106</v>
      </c>
      <c r="D18" s="17" t="str">
        <f>'All Trades'!D131</f>
        <v>TSL4</v>
      </c>
      <c r="E18" s="16">
        <f>'All Trades'!G131</f>
        <v>-4.0000000000000001E-3</v>
      </c>
      <c r="F18" s="17" t="str">
        <f>'All Trades'!S131</f>
        <v>GAP/MOM SKIP</v>
      </c>
      <c r="G18" s="16">
        <f>'All Trades'!T131</f>
        <v>0</v>
      </c>
      <c r="H18" s="16">
        <f>'All Trades'!W131</f>
        <v>4.5200000000000004E-2</v>
      </c>
      <c r="I18" s="16">
        <f>'All Trades'!J131</f>
        <v>1.9048208739724126E-2</v>
      </c>
      <c r="J18" s="16">
        <f>'All Trades'!K131</f>
        <v>-6.5617438553296381E-2</v>
      </c>
      <c r="K18" s="16">
        <f>'All Trades'!L131</f>
        <v>1.9039506313059507E-2</v>
      </c>
      <c r="L18" s="32" t="str">
        <f>'All Trades'!AE131</f>
        <v>Monday entry skipped; Tuesday did not normalize within the Friday-based tolerance.</v>
      </c>
    </row>
    <row r="19" spans="1:12" ht="28.5">
      <c r="A19" s="17">
        <f>'All Trades'!A136</f>
        <v>132</v>
      </c>
      <c r="B19" s="31">
        <f>'All Trades'!B136</f>
        <v>44137</v>
      </c>
      <c r="C19" s="31">
        <f>'All Trades'!C136</f>
        <v>44139</v>
      </c>
      <c r="D19" s="17" t="str">
        <f>'All Trades'!D136</f>
        <v>CH</v>
      </c>
      <c r="E19" s="16">
        <f>'All Trades'!G136</f>
        <v>5.5930000000000001E-2</v>
      </c>
      <c r="F19" s="17" t="str">
        <f>'All Trades'!S136</f>
        <v>DAMAGE SKIP</v>
      </c>
      <c r="G19" s="16">
        <f>'All Trades'!T136</f>
        <v>0</v>
      </c>
      <c r="H19" s="16">
        <f>'All Trades'!W136</f>
        <v>-0.63200900000000004</v>
      </c>
      <c r="I19" s="16">
        <f>'All Trades'!J136</f>
        <v>6.0338765214362766E-3</v>
      </c>
      <c r="J19" s="16">
        <f>'All Trades'!K136</f>
        <v>-1.7926547256297387E-2</v>
      </c>
      <c r="K19" s="16">
        <f>'All Trades'!L136</f>
        <v>9.1593264841924871E-3</v>
      </c>
      <c r="L19" s="32" t="str">
        <f>'All Trades'!AE136</f>
        <v>Skipped because the previous two rule outcomes totalled at or below the damage threshold.</v>
      </c>
    </row>
    <row r="20" spans="1:12" ht="28.5">
      <c r="A20" s="17">
        <f>'All Trades'!A137</f>
        <v>133</v>
      </c>
      <c r="B20" s="31">
        <f>'All Trades'!B137</f>
        <v>44144</v>
      </c>
      <c r="C20" s="31">
        <f>'All Trades'!C137</f>
        <v>44147</v>
      </c>
      <c r="D20" s="17" t="str">
        <f>'All Trades'!D137</f>
        <v>TSL1PRE</v>
      </c>
      <c r="E20" s="16">
        <f>'All Trades'!G137</f>
        <v>-2.358E-2</v>
      </c>
      <c r="F20" s="17" t="str">
        <f>'All Trades'!S137</f>
        <v>DAMAGE SKIP</v>
      </c>
      <c r="G20" s="16">
        <f>'All Trades'!T137</f>
        <v>0</v>
      </c>
      <c r="H20" s="16">
        <f>'All Trades'!W137</f>
        <v>0.26645400000000002</v>
      </c>
      <c r="I20" s="16">
        <f>'All Trades'!J137</f>
        <v>9.1165495746727832E-3</v>
      </c>
      <c r="J20" s="16">
        <f>'All Trades'!K137</f>
        <v>3.1187701962590575E-2</v>
      </c>
      <c r="K20" s="16">
        <f>'All Trades'!L137</f>
        <v>-3.1751958543436931E-2</v>
      </c>
      <c r="L20" s="32" t="str">
        <f>'All Trades'!AE137</f>
        <v>Skipped because the previous two rule outcomes totalled at or below the damage threshold.</v>
      </c>
    </row>
    <row r="21" spans="1:12" ht="28.5">
      <c r="A21" s="17">
        <f>'All Trades'!A147</f>
        <v>143</v>
      </c>
      <c r="B21" s="31">
        <f>'All Trades'!B147</f>
        <v>44215</v>
      </c>
      <c r="C21" s="31">
        <f>'All Trades'!C147</f>
        <v>44216</v>
      </c>
      <c r="D21" s="17" t="str">
        <f>'All Trades'!D147</f>
        <v>PREOH</v>
      </c>
      <c r="E21" s="16">
        <f>'All Trades'!G147</f>
        <v>1.0410000000000001E-2</v>
      </c>
      <c r="F21" s="17" t="str">
        <f>'All Trades'!S147</f>
        <v>DAMAGE SKIP</v>
      </c>
      <c r="G21" s="16">
        <f>'All Trades'!T147</f>
        <v>0</v>
      </c>
      <c r="H21" s="16">
        <f>'All Trades'!W147</f>
        <v>-0.11763300000000002</v>
      </c>
      <c r="I21" s="16">
        <f>'All Trades'!J147</f>
        <v>8.4913432151212387E-3</v>
      </c>
      <c r="J21" s="16">
        <f>'All Trades'!K147</f>
        <v>1.1156844672631561E-2</v>
      </c>
      <c r="K21" s="16">
        <f>'All Trades'!L147</f>
        <v>0</v>
      </c>
      <c r="L21" s="32" t="str">
        <f>'All Trades'!AE147</f>
        <v>Skipped because the previous two rule outcomes totalled at or below the damage threshold.</v>
      </c>
    </row>
    <row r="22" spans="1:12" ht="28.5">
      <c r="A22" s="17">
        <f>'All Trades'!A149</f>
        <v>145</v>
      </c>
      <c r="B22" s="31">
        <f>'All Trades'!B149</f>
        <v>44228</v>
      </c>
      <c r="C22" s="31">
        <f>'All Trades'!C149</f>
        <v>44228</v>
      </c>
      <c r="D22" s="17" t="str">
        <f>'All Trades'!D149</f>
        <v>CH</v>
      </c>
      <c r="E22" s="16">
        <f>'All Trades'!G149</f>
        <v>1.32E-2</v>
      </c>
      <c r="F22" s="17" t="str">
        <f>'All Trades'!S149</f>
        <v>DAMAGE SKIP</v>
      </c>
      <c r="G22" s="16">
        <f>'All Trades'!T149</f>
        <v>0</v>
      </c>
      <c r="H22" s="16">
        <f>'All Trades'!W149</f>
        <v>-0.14916000000000001</v>
      </c>
      <c r="I22" s="16">
        <f>'All Trades'!J149</f>
        <v>1.0049894524825964E-2</v>
      </c>
      <c r="J22" s="16">
        <f>'All Trades'!K149</f>
        <v>5.0791214988819E-3</v>
      </c>
      <c r="K22" s="16">
        <f>'All Trades'!L149</f>
        <v>3.4672765175859599E-2</v>
      </c>
      <c r="L22" s="32" t="str">
        <f>'All Trades'!AE149</f>
        <v>Skipped because the previous two rule outcomes totalled at or below the damage threshold.</v>
      </c>
    </row>
    <row r="23" spans="1:12" ht="28.5">
      <c r="A23" s="17">
        <f>'All Trades'!A150</f>
        <v>146</v>
      </c>
      <c r="B23" s="31">
        <f>'All Trades'!B150</f>
        <v>44235</v>
      </c>
      <c r="C23" s="31">
        <f>'All Trades'!C150</f>
        <v>44239</v>
      </c>
      <c r="D23" s="17" t="str">
        <f>'All Trades'!D150</f>
        <v>TO</v>
      </c>
      <c r="E23" s="16">
        <f>'All Trades'!G150</f>
        <v>1.051E-2</v>
      </c>
      <c r="F23" s="17" t="str">
        <f>'All Trades'!S150</f>
        <v>DAMAGE SKIP</v>
      </c>
      <c r="G23" s="16">
        <f>'All Trades'!T150</f>
        <v>0</v>
      </c>
      <c r="H23" s="16">
        <f>'All Trades'!W150</f>
        <v>-0.11876300000000001</v>
      </c>
      <c r="I23" s="16">
        <f>'All Trades'!J150</f>
        <v>5.0650930620794732E-3</v>
      </c>
      <c r="J23" s="16">
        <f>'All Trades'!K150</f>
        <v>5.2004665498120106E-2</v>
      </c>
      <c r="K23" s="16">
        <f>'All Trades'!L150</f>
        <v>3.8278578861303814E-3</v>
      </c>
      <c r="L23" s="32" t="str">
        <f>'All Trades'!AE150</f>
        <v>Skipped because the previous two rule outcomes totalled at or below the damage threshold.</v>
      </c>
    </row>
    <row r="24" spans="1:12" ht="28.5">
      <c r="A24" s="17">
        <f>'All Trades'!A153</f>
        <v>149</v>
      </c>
      <c r="B24" s="31">
        <f>'All Trades'!B153</f>
        <v>44256</v>
      </c>
      <c r="C24" s="31">
        <f>'All Trades'!C153</f>
        <v>44256</v>
      </c>
      <c r="D24" s="17" t="str">
        <f>'All Trades'!D153</f>
        <v>CH</v>
      </c>
      <c r="E24" s="16">
        <f>'All Trades'!G153</f>
        <v>1.315E-2</v>
      </c>
      <c r="F24" s="17" t="str">
        <f>'All Trades'!S153</f>
        <v>GAP/MOM SKIP</v>
      </c>
      <c r="G24" s="16">
        <f>'All Trades'!T153</f>
        <v>0</v>
      </c>
      <c r="H24" s="16">
        <f>'All Trades'!W153</f>
        <v>-0.148595</v>
      </c>
      <c r="I24" s="16">
        <f>'All Trades'!J153</f>
        <v>1.5032910838798541E-2</v>
      </c>
      <c r="J24" s="16">
        <f>'All Trades'!K153</f>
        <v>-2.2349830092746492E-2</v>
      </c>
      <c r="K24" s="16">
        <f>'All Trades'!L153</f>
        <v>3.2216755849128198E-2</v>
      </c>
      <c r="L24" s="32" t="str">
        <f>'All Trades'!AE153</f>
        <v>Monday entry skipped; Tuesday did not normalize within the Friday-based tolerance.</v>
      </c>
    </row>
    <row r="25" spans="1:12" ht="28.5">
      <c r="A25" s="17">
        <f>'All Trades'!A163</f>
        <v>159</v>
      </c>
      <c r="B25" s="31">
        <f>'All Trades'!B163</f>
        <v>44326</v>
      </c>
      <c r="C25" s="31">
        <f>'All Trades'!C163</f>
        <v>44328</v>
      </c>
      <c r="D25" s="17" t="str">
        <f>'All Trades'!D163</f>
        <v>SL</v>
      </c>
      <c r="E25" s="16">
        <f>'All Trades'!G163</f>
        <v>-5.04E-2</v>
      </c>
      <c r="F25" s="17" t="str">
        <f>'All Trades'!S163</f>
        <v>DAMAGE SKIP</v>
      </c>
      <c r="G25" s="16">
        <f>'All Trades'!T163</f>
        <v>0</v>
      </c>
      <c r="H25" s="16">
        <f>'All Trades'!W163</f>
        <v>0.56952000000000003</v>
      </c>
      <c r="I25" s="16">
        <f>'All Trades'!J163</f>
        <v>-4.494954056513456E-3</v>
      </c>
      <c r="J25" s="16">
        <f>'All Trades'!K163</f>
        <v>-8.6378050671475082E-3</v>
      </c>
      <c r="K25" s="16">
        <f>'All Trades'!L163</f>
        <v>-4.3387453919806585E-2</v>
      </c>
      <c r="L25" s="32" t="str">
        <f>'All Trades'!AE163</f>
        <v>Skipped because the previous two rule outcomes totalled at or below the damage threshold.</v>
      </c>
    </row>
    <row r="26" spans="1:12" ht="28.5">
      <c r="A26" s="17">
        <f>'All Trades'!A164</f>
        <v>160</v>
      </c>
      <c r="B26" s="31">
        <f>'All Trades'!B164</f>
        <v>44333</v>
      </c>
      <c r="C26" s="31">
        <f>'All Trades'!C164</f>
        <v>44336</v>
      </c>
      <c r="D26" s="17" t="str">
        <f>'All Trades'!D164</f>
        <v>TSL1PRE</v>
      </c>
      <c r="E26" s="16">
        <f>'All Trades'!G164</f>
        <v>-7.0299999999999998E-3</v>
      </c>
      <c r="F26" s="17" t="str">
        <f>'All Trades'!S164</f>
        <v>DAMAGE SKIP</v>
      </c>
      <c r="G26" s="16">
        <f>'All Trades'!T164</f>
        <v>0</v>
      </c>
      <c r="H26" s="16">
        <f>'All Trades'!W164</f>
        <v>7.9438999999999996E-2</v>
      </c>
      <c r="I26" s="16">
        <f>'All Trades'!J164</f>
        <v>-6.1272319337895009E-3</v>
      </c>
      <c r="J26" s="16">
        <f>'All Trades'!K164</f>
        <v>-4.5686252768296187E-2</v>
      </c>
      <c r="K26" s="16">
        <f>'All Trades'!L164</f>
        <v>-3.0774641695243687E-3</v>
      </c>
      <c r="L26" s="32" t="str">
        <f>'All Trades'!AE164</f>
        <v>Skipped because the previous two rule outcomes totalled at or below the damage threshold.</v>
      </c>
    </row>
    <row r="27" spans="1:12" ht="28.5">
      <c r="A27" s="17">
        <f>'All Trades'!A185</f>
        <v>181</v>
      </c>
      <c r="B27" s="31">
        <f>'All Trades'!B185</f>
        <v>44480</v>
      </c>
      <c r="C27" s="31">
        <f>'All Trades'!C185</f>
        <v>44482</v>
      </c>
      <c r="D27" s="17" t="str">
        <f>'All Trades'!D185</f>
        <v>BEPRE</v>
      </c>
      <c r="E27" s="16">
        <f>'All Trades'!G185</f>
        <v>-3.9199999999999999E-3</v>
      </c>
      <c r="F27" s="17" t="str">
        <f>'All Trades'!S185</f>
        <v>DAMAGE SKIP</v>
      </c>
      <c r="G27" s="16">
        <f>'All Trades'!T185</f>
        <v>0</v>
      </c>
      <c r="H27" s="16">
        <f>'All Trades'!W185</f>
        <v>4.4296000000000002E-2</v>
      </c>
      <c r="I27" s="16">
        <f>'All Trades'!J185</f>
        <v>-4.1213993675797145E-3</v>
      </c>
      <c r="J27" s="16">
        <f>'All Trades'!K185</f>
        <v>-3.9923556420635498E-2</v>
      </c>
      <c r="K27" s="16">
        <f>'All Trades'!L185</f>
        <v>-3.5563911690502659E-3</v>
      </c>
      <c r="L27" s="32" t="str">
        <f>'All Trades'!AE185</f>
        <v>Skipped because the previous two rule outcomes totalled at or below the damage threshold.</v>
      </c>
    </row>
    <row r="28" spans="1:12" ht="28.5">
      <c r="A28" s="17">
        <f>'All Trades'!A219</f>
        <v>215</v>
      </c>
      <c r="B28" s="31">
        <f>'All Trades'!B219</f>
        <v>44718</v>
      </c>
      <c r="C28" s="31">
        <f>'All Trades'!C219</f>
        <v>44721</v>
      </c>
      <c r="D28" s="17" t="str">
        <f>'All Trades'!D219</f>
        <v>TSL1PRE</v>
      </c>
      <c r="E28" s="16">
        <f>'All Trades'!G219</f>
        <v>-9.7800000000000005E-3</v>
      </c>
      <c r="F28" s="17" t="str">
        <f>'All Trades'!S219</f>
        <v>GAP/MOM SKIP</v>
      </c>
      <c r="G28" s="16">
        <f>'All Trades'!T219</f>
        <v>0</v>
      </c>
      <c r="H28" s="16">
        <f>'All Trades'!W219</f>
        <v>0.11051400000000002</v>
      </c>
      <c r="I28" s="16">
        <f>'All Trades'!J219</f>
        <v>1.5377136307866079E-2</v>
      </c>
      <c r="J28" s="16">
        <f>'All Trades'!K219</f>
        <v>-2.1728007195956134E-2</v>
      </c>
      <c r="K28" s="16">
        <f>'All Trades'!L219</f>
        <v>-7.8088562557468988E-3</v>
      </c>
      <c r="L28" s="32" t="str">
        <f>'All Trades'!AE219</f>
        <v>Monday entry skipped; Tuesday did not normalize within the Friday-based tolerance.</v>
      </c>
    </row>
    <row r="29" spans="1:12" ht="28.5">
      <c r="A29" s="17">
        <f>'All Trades'!A221</f>
        <v>217</v>
      </c>
      <c r="B29" s="31">
        <f>'All Trades'!B221</f>
        <v>44733</v>
      </c>
      <c r="C29" s="31">
        <f>'All Trades'!C221</f>
        <v>44733</v>
      </c>
      <c r="D29" s="17" t="str">
        <f>'All Trades'!D221</f>
        <v>CH</v>
      </c>
      <c r="E29" s="16">
        <f>'All Trades'!G221</f>
        <v>8.5500000000000003E-3</v>
      </c>
      <c r="F29" s="17" t="str">
        <f>'All Trades'!S221</f>
        <v>GAP/MOM SKIP</v>
      </c>
      <c r="G29" s="16">
        <f>'All Trades'!T221</f>
        <v>0</v>
      </c>
      <c r="H29" s="16">
        <f>'All Trades'!W221</f>
        <v>-9.6615000000000006E-2</v>
      </c>
      <c r="I29" s="16">
        <f>'All Trades'!J221</f>
        <v>1.5812646725976043E-2</v>
      </c>
      <c r="J29" s="16">
        <f>'All Trades'!K221</f>
        <v>-5.1426659151754262E-2</v>
      </c>
      <c r="K29" s="16">
        <f>'All Trades'!L221</f>
        <v>0</v>
      </c>
      <c r="L29" s="32" t="str">
        <f>'All Trades'!AE221</f>
        <v>Monday entry skipped; Tuesday did not normalize within the Friday-based tolerance.</v>
      </c>
    </row>
    <row r="30" spans="1:12" ht="28.5">
      <c r="A30" s="17">
        <f>'All Trades'!A223</f>
        <v>219</v>
      </c>
      <c r="B30" s="31">
        <f>'All Trades'!B223</f>
        <v>44747</v>
      </c>
      <c r="C30" s="31">
        <f>'All Trades'!C223</f>
        <v>44747</v>
      </c>
      <c r="D30" s="17" t="str">
        <f>'All Trades'!D223</f>
        <v>CH</v>
      </c>
      <c r="E30" s="16">
        <f>'All Trades'!G223</f>
        <v>3.024E-2</v>
      </c>
      <c r="F30" s="17" t="str">
        <f>'All Trades'!S223</f>
        <v>DAMAGE SKIP</v>
      </c>
      <c r="G30" s="16">
        <f>'All Trades'!T223</f>
        <v>0</v>
      </c>
      <c r="H30" s="16">
        <f>'All Trades'!W223</f>
        <v>-0.34171200000000002</v>
      </c>
      <c r="I30" s="16">
        <f>'All Trades'!J223</f>
        <v>-1.4133538901620946E-2</v>
      </c>
      <c r="J30" s="16">
        <f>'All Trades'!K223</f>
        <v>-0.10085953191365082</v>
      </c>
      <c r="K30" s="16">
        <f>'All Trades'!L223</f>
        <v>0</v>
      </c>
      <c r="L30" s="32" t="str">
        <f>'All Trades'!AE223</f>
        <v>Skipped because the previous two rule outcomes totalled at or below the damage threshold.</v>
      </c>
    </row>
    <row r="31" spans="1:12" ht="28.5">
      <c r="A31" s="17">
        <f>'All Trades'!A224</f>
        <v>220</v>
      </c>
      <c r="B31" s="31">
        <f>'All Trades'!B224</f>
        <v>44753</v>
      </c>
      <c r="C31" s="31">
        <f>'All Trades'!C224</f>
        <v>44756</v>
      </c>
      <c r="D31" s="17" t="str">
        <f>'All Trades'!D224</f>
        <v>TSL1PRE</v>
      </c>
      <c r="E31" s="16">
        <f>'All Trades'!G224</f>
        <v>-2.6960000000000001E-2</v>
      </c>
      <c r="F31" s="17" t="str">
        <f>'All Trades'!S224</f>
        <v>DAMAGE SKIP</v>
      </c>
      <c r="G31" s="16">
        <f>'All Trades'!T224</f>
        <v>0</v>
      </c>
      <c r="H31" s="16">
        <f>'All Trades'!W224</f>
        <v>0.30464800000000003</v>
      </c>
      <c r="I31" s="16">
        <f>'All Trades'!J224</f>
        <v>-9.0751873792492832E-3</v>
      </c>
      <c r="J31" s="16">
        <f>'All Trades'!K224</f>
        <v>-3.810559613771336E-2</v>
      </c>
      <c r="K31" s="16">
        <f>'All Trades'!L224</f>
        <v>-1.7029139132203386E-2</v>
      </c>
      <c r="L31" s="32" t="str">
        <f>'All Trades'!AE224</f>
        <v>Skipped because the previous two rule outcomes totalled at or below the damage threshold.</v>
      </c>
    </row>
    <row r="32" spans="1:12" ht="28.5">
      <c r="A32" s="17">
        <f>'All Trades'!A238</f>
        <v>234</v>
      </c>
      <c r="B32" s="31">
        <f>'All Trades'!B238</f>
        <v>44851</v>
      </c>
      <c r="C32" s="31">
        <f>'All Trades'!C238</f>
        <v>44851</v>
      </c>
      <c r="D32" s="17" t="str">
        <f>'All Trades'!D238</f>
        <v>CH</v>
      </c>
      <c r="E32" s="16">
        <f>'All Trades'!G238</f>
        <v>1.01E-2</v>
      </c>
      <c r="F32" s="17" t="str">
        <f>'All Trades'!S238</f>
        <v>GAP/MOM SKIP</v>
      </c>
      <c r="G32" s="16">
        <f>'All Trades'!T238</f>
        <v>0</v>
      </c>
      <c r="H32" s="16">
        <f>'All Trades'!W238</f>
        <v>-0.11413000000000001</v>
      </c>
      <c r="I32" s="16">
        <f>'All Trades'!J238</f>
        <v>2.333899452745003E-2</v>
      </c>
      <c r="J32" s="16">
        <f>'All Trades'!K238</f>
        <v>-9.7160492523814868E-2</v>
      </c>
      <c r="K32" s="16">
        <f>'All Trades'!L238</f>
        <v>6.055916962569996E-2</v>
      </c>
      <c r="L32" s="32" t="str">
        <f>'All Trades'!AE238</f>
        <v>Monday entry skipped; Tuesday did not normalize within the Friday-based tolerance.</v>
      </c>
    </row>
    <row r="33" spans="1:12" ht="28.5">
      <c r="A33" s="17">
        <f>'All Trades'!A239</f>
        <v>235</v>
      </c>
      <c r="B33" s="31">
        <f>'All Trades'!B239</f>
        <v>44858</v>
      </c>
      <c r="C33" s="31">
        <f>'All Trades'!C239</f>
        <v>44858</v>
      </c>
      <c r="D33" s="17" t="str">
        <f>'All Trades'!D239</f>
        <v>CH</v>
      </c>
      <c r="E33" s="16">
        <f>'All Trades'!G239</f>
        <v>1.082E-2</v>
      </c>
      <c r="F33" s="17" t="str">
        <f>'All Trades'!S239</f>
        <v>DAMAGE SKIP</v>
      </c>
      <c r="G33" s="16">
        <f>'All Trades'!T239</f>
        <v>0</v>
      </c>
      <c r="H33" s="16">
        <f>'All Trades'!W239</f>
        <v>-0.122266</v>
      </c>
      <c r="I33" s="16">
        <f>'All Trades'!J239</f>
        <v>-6.862563866225635E-4</v>
      </c>
      <c r="J33" s="16">
        <f>'All Trades'!K239</f>
        <v>-3.2092544569906067E-4</v>
      </c>
      <c r="K33" s="16">
        <f>'All Trades'!L239</f>
        <v>1.4486871042493688E-2</v>
      </c>
      <c r="L33" s="32" t="str">
        <f>'All Trades'!AE239</f>
        <v>Skipped because the previous two rule outcomes totalled at or below the damage threshold.</v>
      </c>
    </row>
    <row r="34" spans="1:12" ht="28.5">
      <c r="A34" s="17">
        <f>'All Trades'!A246</f>
        <v>242</v>
      </c>
      <c r="B34" s="31">
        <f>'All Trades'!B246</f>
        <v>44907</v>
      </c>
      <c r="C34" s="31">
        <f>'All Trades'!C246</f>
        <v>44907</v>
      </c>
      <c r="D34" s="17" t="str">
        <f>'All Trades'!D246</f>
        <v>CH</v>
      </c>
      <c r="E34" s="16">
        <f>'All Trades'!G246</f>
        <v>1.0240000000000001E-2</v>
      </c>
      <c r="F34" s="17" t="str">
        <f>'All Trades'!S246</f>
        <v>DAMAGE SKIP</v>
      </c>
      <c r="G34" s="16">
        <f>'All Trades'!T246</f>
        <v>0</v>
      </c>
      <c r="H34" s="16">
        <f>'All Trades'!W246</f>
        <v>-0.11571200000000002</v>
      </c>
      <c r="I34" s="16">
        <f>'All Trades'!J246</f>
        <v>6.738352705448758E-4</v>
      </c>
      <c r="J34" s="16">
        <f>'All Trades'!K246</f>
        <v>-2.5124363803663563E-3</v>
      </c>
      <c r="K34" s="16">
        <f>'All Trades'!L246</f>
        <v>5.1798628552485182E-2</v>
      </c>
      <c r="L34" s="32" t="str">
        <f>'All Trades'!AE246</f>
        <v>Skipped because the previous two rule outcomes totalled at or below the damage threshold.</v>
      </c>
    </row>
    <row r="35" spans="1:12" ht="28.5">
      <c r="A35" s="17">
        <f>'All Trades'!A247</f>
        <v>243</v>
      </c>
      <c r="B35" s="31">
        <f>'All Trades'!B247</f>
        <v>44914</v>
      </c>
      <c r="C35" s="31">
        <f>'All Trades'!C247</f>
        <v>44916</v>
      </c>
      <c r="D35" s="17" t="str">
        <f>'All Trades'!D247</f>
        <v>BH</v>
      </c>
      <c r="E35" s="16">
        <f>'All Trades'!G247</f>
        <v>-4.0000000000000001E-3</v>
      </c>
      <c r="F35" s="17" t="str">
        <f>'All Trades'!S247</f>
        <v>DAMAGE SKIP</v>
      </c>
      <c r="G35" s="16">
        <f>'All Trades'!T247</f>
        <v>0</v>
      </c>
      <c r="H35" s="16">
        <f>'All Trades'!W247</f>
        <v>4.5200000000000004E-2</v>
      </c>
      <c r="I35" s="16">
        <f>'All Trades'!J247</f>
        <v>1.2063715291332766E-3</v>
      </c>
      <c r="J35" s="16">
        <f>'All Trades'!K247</f>
        <v>-3.7074967082139421E-2</v>
      </c>
      <c r="K35" s="16">
        <f>'All Trades'!L247</f>
        <v>-1.8406317513609216E-2</v>
      </c>
      <c r="L35" s="32" t="str">
        <f>'All Trades'!AE247</f>
        <v>Skipped because the previous two rule outcomes totalled at or below the damage threshold.</v>
      </c>
    </row>
    <row r="36" spans="1:12" ht="28.5">
      <c r="A36" s="17">
        <f>'All Trades'!A249</f>
        <v>245</v>
      </c>
      <c r="B36" s="31">
        <f>'All Trades'!B249</f>
        <v>44929</v>
      </c>
      <c r="C36" s="31">
        <f>'All Trades'!C249</f>
        <v>44931</v>
      </c>
      <c r="D36" s="17" t="str">
        <f>'All Trades'!D249</f>
        <v>TSL1PRE</v>
      </c>
      <c r="E36" s="16">
        <f>'All Trades'!G249</f>
        <v>-1.15E-2</v>
      </c>
      <c r="F36" s="17" t="str">
        <f>'All Trades'!S249</f>
        <v>DAMAGE SKIP</v>
      </c>
      <c r="G36" s="16">
        <f>'All Trades'!T249</f>
        <v>0</v>
      </c>
      <c r="H36" s="16">
        <f>'All Trades'!W249</f>
        <v>0.12995000000000001</v>
      </c>
      <c r="I36" s="16">
        <f>'All Trades'!J249</f>
        <v>9.3990611368033328E-3</v>
      </c>
      <c r="J36" s="16">
        <f>'All Trades'!K249</f>
        <v>-9.1249753467885109E-2</v>
      </c>
      <c r="K36" s="16">
        <f>'All Trades'!L249</f>
        <v>0</v>
      </c>
      <c r="L36" s="32" t="str">
        <f>'All Trades'!AE249</f>
        <v>Skipped because the previous two rule outcomes totalled at or below the damage threshold.</v>
      </c>
    </row>
    <row r="37" spans="1:12" ht="28.5">
      <c r="A37" s="17">
        <f>'All Trades'!A250</f>
        <v>246</v>
      </c>
      <c r="B37" s="31">
        <f>'All Trades'!B250</f>
        <v>44935</v>
      </c>
      <c r="C37" s="31">
        <f>'All Trades'!C250</f>
        <v>44939</v>
      </c>
      <c r="D37" s="17" t="str">
        <f>'All Trades'!D250</f>
        <v>TO</v>
      </c>
      <c r="E37" s="16">
        <f>'All Trades'!G250</f>
        <v>3.7179999999999998E-2</v>
      </c>
      <c r="F37" s="17" t="str">
        <f>'All Trades'!S250</f>
        <v>DAMAGE SKIP</v>
      </c>
      <c r="G37" s="16">
        <f>'All Trades'!T250</f>
        <v>0</v>
      </c>
      <c r="H37" s="16">
        <f>'All Trades'!W250</f>
        <v>-0.42013400000000001</v>
      </c>
      <c r="I37" s="16">
        <f>'All Trades'!J250</f>
        <v>7.5645326997419993E-3</v>
      </c>
      <c r="J37" s="16">
        <f>'All Trades'!K250</f>
        <v>-3.9520923374548489E-2</v>
      </c>
      <c r="K37" s="16">
        <f>'All Trades'!L250</f>
        <v>2.5686287822208609E-3</v>
      </c>
      <c r="L37" s="32" t="str">
        <f>'All Trades'!AE250</f>
        <v>Skipped because the previous two rule outcomes totalled at or below the damage threshold.</v>
      </c>
    </row>
    <row r="38" spans="1:12" ht="28.5">
      <c r="A38" s="17">
        <f>'All Trades'!A257</f>
        <v>253</v>
      </c>
      <c r="B38" s="31">
        <f>'All Trades'!B257</f>
        <v>44984</v>
      </c>
      <c r="C38" s="31">
        <f>'All Trades'!C257</f>
        <v>44986</v>
      </c>
      <c r="D38" s="17" t="str">
        <f>'All Trades'!D257</f>
        <v>BEPRE</v>
      </c>
      <c r="E38" s="16">
        <f>'All Trades'!G257</f>
        <v>-3.9300000000000003E-3</v>
      </c>
      <c r="F38" s="17" t="str">
        <f>'All Trades'!S257</f>
        <v>TUESDAY RE-ENTRY</v>
      </c>
      <c r="G38" s="16">
        <f>'All Trades'!T257</f>
        <v>2.4199999999999998E-3</v>
      </c>
      <c r="H38" s="16">
        <f>'All Trades'!W257</f>
        <v>7.1754999999999999E-2</v>
      </c>
      <c r="I38" s="16">
        <f>'All Trades'!J257</f>
        <v>1.1334141295731293E-2</v>
      </c>
      <c r="J38" s="16">
        <f>'All Trades'!K257</f>
        <v>-5.0772825305535063E-3</v>
      </c>
      <c r="K38" s="16">
        <f>'All Trades'!L257</f>
        <v>4.9642359627457555E-3</v>
      </c>
      <c r="L38" s="32" t="str">
        <f>'All Trades'!AE257</f>
        <v>Monday entry deferred; Tuesday normalized from Friday and uses the repriced overlay return.</v>
      </c>
    </row>
    <row r="39" spans="1:12" ht="28.5">
      <c r="A39" s="17">
        <f>'All Trades'!A272</f>
        <v>268</v>
      </c>
      <c r="B39" s="31">
        <f>'All Trades'!B272</f>
        <v>45089</v>
      </c>
      <c r="C39" s="31">
        <f>'All Trades'!C272</f>
        <v>45089</v>
      </c>
      <c r="D39" s="17" t="str">
        <f>'All Trades'!D272</f>
        <v>CH</v>
      </c>
      <c r="E39" s="16">
        <f>'All Trades'!G272</f>
        <v>1.2869999999999999E-2</v>
      </c>
      <c r="F39" s="17" t="str">
        <f>'All Trades'!S272</f>
        <v>DAMAGE SKIP</v>
      </c>
      <c r="G39" s="16">
        <f>'All Trades'!T272</f>
        <v>0</v>
      </c>
      <c r="H39" s="16">
        <f>'All Trades'!W272</f>
        <v>-0.145431</v>
      </c>
      <c r="I39" s="16">
        <f>'All Trades'!J272</f>
        <v>4.0206823902153577E-3</v>
      </c>
      <c r="J39" s="16">
        <f>'All Trades'!K272</f>
        <v>8.675291788342121E-2</v>
      </c>
      <c r="K39" s="16">
        <f>'All Trades'!L272</f>
        <v>2.4794969616667384E-2</v>
      </c>
      <c r="L39" s="32" t="str">
        <f>'All Trades'!AE272</f>
        <v>Skipped because the previous two rule outcomes totalled at or below the damage threshold.</v>
      </c>
    </row>
    <row r="40" spans="1:12" ht="28.5">
      <c r="A40" s="17">
        <f>'All Trades'!A281</f>
        <v>277</v>
      </c>
      <c r="B40" s="31">
        <f>'All Trades'!B281</f>
        <v>45152</v>
      </c>
      <c r="C40" s="31">
        <f>'All Trades'!C281</f>
        <v>45152</v>
      </c>
      <c r="D40" s="17" t="str">
        <f>'All Trades'!D281</f>
        <v>CH</v>
      </c>
      <c r="E40" s="16">
        <f>'All Trades'!G281</f>
        <v>1.353E-2</v>
      </c>
      <c r="F40" s="17" t="str">
        <f>'All Trades'!S281</f>
        <v>DAMAGE SKIP</v>
      </c>
      <c r="G40" s="16">
        <f>'All Trades'!T281</f>
        <v>0</v>
      </c>
      <c r="H40" s="16">
        <f>'All Trades'!W281</f>
        <v>-0.15288900000000002</v>
      </c>
      <c r="I40" s="16">
        <f>'All Trades'!J281</f>
        <v>-2.6705503135735498E-3</v>
      </c>
      <c r="J40" s="16">
        <f>'All Trades'!K281</f>
        <v>-3.384989559415319E-2</v>
      </c>
      <c r="K40" s="16">
        <f>'All Trades'!L281</f>
        <v>8.5208923336810294E-3</v>
      </c>
      <c r="L40" s="32" t="str">
        <f>'All Trades'!AE281</f>
        <v>Skipped because the previous two rule outcomes totalled at or below the damage threshold.</v>
      </c>
    </row>
    <row r="41" spans="1:12" ht="28.5">
      <c r="A41" s="17">
        <f>'All Trades'!A311</f>
        <v>307</v>
      </c>
      <c r="B41" s="31">
        <f>'All Trades'!B311</f>
        <v>45362</v>
      </c>
      <c r="C41" s="31">
        <f>'All Trades'!C311</f>
        <v>45366</v>
      </c>
      <c r="D41" s="17" t="str">
        <f>'All Trades'!D311</f>
        <v>TSL4</v>
      </c>
      <c r="E41" s="16">
        <f>'All Trades'!G311</f>
        <v>-4.0000000000000001E-3</v>
      </c>
      <c r="F41" s="17" t="str">
        <f>'All Trades'!S311</f>
        <v>DAMAGE SKIP</v>
      </c>
      <c r="G41" s="16">
        <f>'All Trades'!T311</f>
        <v>0</v>
      </c>
      <c r="H41" s="16">
        <f>'All Trades'!W311</f>
        <v>4.5200000000000004E-2</v>
      </c>
      <c r="I41" s="16">
        <f>'All Trades'!J311</f>
        <v>-4.90379040280009E-3</v>
      </c>
      <c r="J41" s="16">
        <f>'All Trades'!K311</f>
        <v>1.4392625612495547E-2</v>
      </c>
      <c r="K41" s="16">
        <f>'All Trades'!L311</f>
        <v>1.6155014709324789E-3</v>
      </c>
      <c r="L41" s="32" t="str">
        <f>'All Trades'!AE311</f>
        <v>Skipped because the previous two rule outcomes totalled at or below the damage threshold.</v>
      </c>
    </row>
    <row r="42" spans="1:12" ht="28.5">
      <c r="A42" s="17">
        <f>'All Trades'!A317</f>
        <v>313</v>
      </c>
      <c r="B42" s="31">
        <f>'All Trades'!B317</f>
        <v>45404</v>
      </c>
      <c r="C42" s="31">
        <f>'All Trades'!C317</f>
        <v>45408</v>
      </c>
      <c r="D42" s="17" t="str">
        <f>'All Trades'!D317</f>
        <v>TO</v>
      </c>
      <c r="E42" s="16">
        <f>'All Trades'!G317</f>
        <v>3.3340000000000002E-2</v>
      </c>
      <c r="F42" s="17" t="str">
        <f>'All Trades'!S317</f>
        <v>DAMAGE SKIP</v>
      </c>
      <c r="G42" s="16">
        <f>'All Trades'!T317</f>
        <v>0</v>
      </c>
      <c r="H42" s="16">
        <f>'All Trades'!W317</f>
        <v>-0.37674200000000002</v>
      </c>
      <c r="I42" s="16">
        <f>'All Trades'!J317</f>
        <v>6.6663061417071567E-3</v>
      </c>
      <c r="J42" s="16">
        <f>'All Trades'!K317</f>
        <v>-7.0019541386671214E-2</v>
      </c>
      <c r="K42" s="16">
        <f>'All Trades'!L317</f>
        <v>1.4762260634942237E-2</v>
      </c>
      <c r="L42" s="32" t="str">
        <f>'All Trades'!AE317</f>
        <v>Skipped because the previous two rule outcomes totalled at or below the damage threshold.</v>
      </c>
    </row>
    <row r="43" spans="1:12" ht="28.5">
      <c r="A43" s="17">
        <f>'All Trades'!A318</f>
        <v>314</v>
      </c>
      <c r="B43" s="31">
        <f>'All Trades'!B318</f>
        <v>45411</v>
      </c>
      <c r="C43" s="31">
        <f>'All Trades'!C318</f>
        <v>45414</v>
      </c>
      <c r="D43" s="17" t="str">
        <f>'All Trades'!D318</f>
        <v>TSL1PRE</v>
      </c>
      <c r="E43" s="16">
        <f>'All Trades'!G318</f>
        <v>-2.2450000000000001E-2</v>
      </c>
      <c r="F43" s="17" t="str">
        <f>'All Trades'!S318</f>
        <v>DAMAGE SKIP</v>
      </c>
      <c r="G43" s="16">
        <f>'All Trades'!T318</f>
        <v>0</v>
      </c>
      <c r="H43" s="16">
        <f>'All Trades'!W318</f>
        <v>0.25368500000000005</v>
      </c>
      <c r="I43" s="16">
        <f>'All Trades'!J318</f>
        <v>4.3882905913916748E-3</v>
      </c>
      <c r="J43" s="16">
        <f>'All Trades'!K318</f>
        <v>-2.930566444753635E-2</v>
      </c>
      <c r="K43" s="16">
        <f>'All Trades'!L318</f>
        <v>3.5015558579876149E-4</v>
      </c>
      <c r="L43" s="32" t="str">
        <f>'All Trades'!AE318</f>
        <v>Skipped because the previous two rule outcomes totalled at or below the damage threshold.</v>
      </c>
    </row>
    <row r="44" spans="1:12" ht="28.5">
      <c r="A44" s="17">
        <f>'All Trades'!A330</f>
        <v>326</v>
      </c>
      <c r="B44" s="31">
        <f>'All Trades'!B330</f>
        <v>45495</v>
      </c>
      <c r="C44" s="31">
        <f>'All Trades'!C330</f>
        <v>45498</v>
      </c>
      <c r="D44" s="17" t="str">
        <f>'All Trades'!D330</f>
        <v>TSL1PRE</v>
      </c>
      <c r="E44" s="16">
        <f>'All Trades'!G330</f>
        <v>-3.4380000000000001E-2</v>
      </c>
      <c r="F44" s="17" t="str">
        <f>'All Trades'!S330</f>
        <v>DAMAGE SKIP</v>
      </c>
      <c r="G44" s="16">
        <f>'All Trades'!T330</f>
        <v>0</v>
      </c>
      <c r="H44" s="16">
        <f>'All Trades'!W330</f>
        <v>0.38849400000000006</v>
      </c>
      <c r="I44" s="16">
        <f>'All Trades'!J330</f>
        <v>1.1833509978467438E-2</v>
      </c>
      <c r="J44" s="16">
        <f>'All Trades'!K330</f>
        <v>-1.1374013419789608E-2</v>
      </c>
      <c r="K44" s="16">
        <f>'All Trades'!L330</f>
        <v>1.2984460076431503E-2</v>
      </c>
      <c r="L44" s="32" t="str">
        <f>'All Trades'!AE330</f>
        <v>Skipped because the previous two rule outcomes totalled at or below the damage threshold.</v>
      </c>
    </row>
    <row r="45" spans="1:12" ht="28.5">
      <c r="A45" s="17">
        <f>'All Trades'!A331</f>
        <v>327</v>
      </c>
      <c r="B45" s="31">
        <f>'All Trades'!B331</f>
        <v>45502</v>
      </c>
      <c r="C45" s="31">
        <f>'All Trades'!C331</f>
        <v>45504</v>
      </c>
      <c r="D45" s="17" t="str">
        <f>'All Trades'!D331</f>
        <v>BEPRE</v>
      </c>
      <c r="E45" s="16">
        <f>'All Trades'!G331</f>
        <v>-3.7699999999999999E-3</v>
      </c>
      <c r="F45" s="17" t="str">
        <f>'All Trades'!S331</f>
        <v>DAMAGE SKIP</v>
      </c>
      <c r="G45" s="16">
        <f>'All Trades'!T331</f>
        <v>0</v>
      </c>
      <c r="H45" s="16">
        <f>'All Trades'!W331</f>
        <v>4.2601E-2</v>
      </c>
      <c r="I45" s="16">
        <f>'All Trades'!J331</f>
        <v>5.8697565493552872E-3</v>
      </c>
      <c r="J45" s="16">
        <f>'All Trades'!K331</f>
        <v>-3.8703083773946934E-2</v>
      </c>
      <c r="K45" s="16">
        <f>'All Trades'!L331</f>
        <v>6.2205867356346367E-3</v>
      </c>
      <c r="L45" s="32" t="str">
        <f>'All Trades'!AE331</f>
        <v>Skipped because the previous two rule outcomes totalled at or below the damage threshold.</v>
      </c>
    </row>
    <row r="46" spans="1:12" ht="28.5">
      <c r="A46" s="17">
        <f>'All Trades'!A337</f>
        <v>333</v>
      </c>
      <c r="B46" s="31">
        <f>'All Trades'!B337</f>
        <v>45544</v>
      </c>
      <c r="C46" s="31">
        <f>'All Trades'!C337</f>
        <v>45548</v>
      </c>
      <c r="D46" s="17" t="str">
        <f>'All Trades'!D337</f>
        <v>TO</v>
      </c>
      <c r="E46" s="16">
        <f>'All Trades'!G337</f>
        <v>4.8559999999999999E-2</v>
      </c>
      <c r="F46" s="17" t="str">
        <f>'All Trades'!S337</f>
        <v>DAMAGE SKIP</v>
      </c>
      <c r="G46" s="16">
        <f>'All Trades'!T337</f>
        <v>0</v>
      </c>
      <c r="H46" s="16">
        <f>'All Trades'!W337</f>
        <v>-0.54872799999999999</v>
      </c>
      <c r="I46" s="16">
        <f>'All Trades'!J337</f>
        <v>1.0943270987643139E-2</v>
      </c>
      <c r="J46" s="16">
        <f>'All Trades'!K337</f>
        <v>1.3832343920943124E-3</v>
      </c>
      <c r="K46" s="16">
        <f>'All Trades'!L337</f>
        <v>1.6828865859364717E-2</v>
      </c>
      <c r="L46" s="32" t="str">
        <f>'All Trades'!AE337</f>
        <v>Skipped because the previous two rule outcomes totalled at or below the damage threshold.</v>
      </c>
    </row>
    <row r="47" spans="1:12" ht="28.5">
      <c r="A47" s="17">
        <f>'All Trades'!A338</f>
        <v>334</v>
      </c>
      <c r="B47" s="31">
        <f>'All Trades'!B338</f>
        <v>45551</v>
      </c>
      <c r="C47" s="31">
        <f>'All Trades'!C338</f>
        <v>45555</v>
      </c>
      <c r="D47" s="17" t="str">
        <f>'All Trades'!D338</f>
        <v>TO</v>
      </c>
      <c r="E47" s="16">
        <f>'All Trades'!G338</f>
        <v>1.968E-2</v>
      </c>
      <c r="F47" s="17" t="str">
        <f>'All Trades'!S338</f>
        <v>DAMAGE SKIP</v>
      </c>
      <c r="G47" s="16">
        <f>'All Trades'!T338</f>
        <v>0</v>
      </c>
      <c r="H47" s="16">
        <f>'All Trades'!W338</f>
        <v>-0.222384</v>
      </c>
      <c r="I47" s="16">
        <f>'All Trades'!J338</f>
        <v>-4.3423760018299618E-3</v>
      </c>
      <c r="J47" s="16">
        <f>'All Trades'!K338</f>
        <v>1.9394945457009705E-3</v>
      </c>
      <c r="K47" s="16">
        <f>'All Trades'!L338</f>
        <v>1.9991377925798748E-3</v>
      </c>
      <c r="L47" s="32" t="str">
        <f>'All Trades'!AE338</f>
        <v>Skipped because the previous two rule outcomes totalled at or below the damage threshold.</v>
      </c>
    </row>
    <row r="48" spans="1:12" ht="28.5">
      <c r="A48" s="17">
        <f>'All Trades'!A354</f>
        <v>350</v>
      </c>
      <c r="B48" s="31">
        <f>'All Trades'!B354</f>
        <v>45663</v>
      </c>
      <c r="C48" s="31">
        <f>'All Trades'!C354</f>
        <v>45667</v>
      </c>
      <c r="D48" s="17" t="str">
        <f>'All Trades'!D354</f>
        <v>TSL3</v>
      </c>
      <c r="E48" s="16">
        <f>'All Trades'!G354</f>
        <v>-2.4049999999999998E-2</v>
      </c>
      <c r="F48" s="17" t="str">
        <f>'All Trades'!S354</f>
        <v>GAP/MOM SKIP</v>
      </c>
      <c r="G48" s="16">
        <f>'All Trades'!T354</f>
        <v>0</v>
      </c>
      <c r="H48" s="16">
        <f>'All Trades'!W354</f>
        <v>0.27176499999999998</v>
      </c>
      <c r="I48" s="16">
        <f>'All Trades'!J354</f>
        <v>1.073211568653587E-2</v>
      </c>
      <c r="J48" s="16">
        <f>'All Trades'!K354</f>
        <v>-7.3460624185262002E-3</v>
      </c>
      <c r="K48" s="16">
        <f>'All Trades'!L354</f>
        <v>1.3518524240645258E-2</v>
      </c>
      <c r="L48" s="32" t="str">
        <f>'All Trades'!AE354</f>
        <v>Monday entry skipped; Tuesday did not normalize within the Friday-based tolerance.</v>
      </c>
    </row>
    <row r="49" spans="1:12" ht="28.5">
      <c r="A49" s="17">
        <f>'All Trades'!A362</f>
        <v>358</v>
      </c>
      <c r="B49" s="31">
        <f>'All Trades'!B362</f>
        <v>45719</v>
      </c>
      <c r="C49" s="31">
        <f>'All Trades'!C362</f>
        <v>45722</v>
      </c>
      <c r="D49" s="17" t="str">
        <f>'All Trades'!D362</f>
        <v>TSL1PRE</v>
      </c>
      <c r="E49" s="16">
        <f>'All Trades'!G362</f>
        <v>-2.0709999999999999E-2</v>
      </c>
      <c r="F49" s="17" t="str">
        <f>'All Trades'!S362</f>
        <v>DAMAGE SKIP</v>
      </c>
      <c r="G49" s="16">
        <f>'All Trades'!T362</f>
        <v>0</v>
      </c>
      <c r="H49" s="16">
        <f>'All Trades'!W362</f>
        <v>0.23402300000000001</v>
      </c>
      <c r="I49" s="16">
        <f>'All Trades'!J362</f>
        <v>6.6689794394816371E-3</v>
      </c>
      <c r="J49" s="16">
        <f>'All Trades'!K362</f>
        <v>-2.8446917404948757E-2</v>
      </c>
      <c r="K49" s="16">
        <f>'All Trades'!L362</f>
        <v>-2.7531759076414808E-2</v>
      </c>
      <c r="L49" s="32" t="str">
        <f>'All Trades'!AE362</f>
        <v>Skipped because the previous two rule outcomes totalled at or below the damage threshold.</v>
      </c>
    </row>
    <row r="50" spans="1:12" ht="28.5">
      <c r="A50" s="17">
        <f>'All Trades'!A363</f>
        <v>359</v>
      </c>
      <c r="B50" s="31">
        <f>'All Trades'!B363</f>
        <v>45726</v>
      </c>
      <c r="C50" s="31">
        <f>'All Trades'!C363</f>
        <v>45729</v>
      </c>
      <c r="D50" s="17" t="str">
        <f>'All Trades'!D363</f>
        <v>TSL1PRE</v>
      </c>
      <c r="E50" s="16">
        <f>'All Trades'!G363</f>
        <v>-1.453E-2</v>
      </c>
      <c r="F50" s="17" t="str">
        <f>'All Trades'!S363</f>
        <v>DAMAGE SKIP</v>
      </c>
      <c r="G50" s="16">
        <f>'All Trades'!T363</f>
        <v>0</v>
      </c>
      <c r="H50" s="16">
        <f>'All Trades'!W363</f>
        <v>0.164189</v>
      </c>
      <c r="I50" s="16">
        <f>'All Trades'!J363</f>
        <v>-1.6159091698579986E-2</v>
      </c>
      <c r="J50" s="16">
        <f>'All Trades'!K363</f>
        <v>-7.1393992572029386E-2</v>
      </c>
      <c r="K50" s="16">
        <f>'All Trades'!L363</f>
        <v>-3.9528935482162963E-2</v>
      </c>
      <c r="L50" s="32" t="str">
        <f>'All Trades'!AE363</f>
        <v>Skipped because the previous two rule outcomes totalled at or below the damage threshold.</v>
      </c>
    </row>
    <row r="51" spans="1:12" ht="28.5">
      <c r="A51" s="17">
        <f>'All Trades'!A365</f>
        <v>361</v>
      </c>
      <c r="B51" s="31">
        <f>'All Trades'!B365</f>
        <v>45740</v>
      </c>
      <c r="C51" s="31">
        <f>'All Trades'!C365</f>
        <v>45743</v>
      </c>
      <c r="D51" s="17" t="str">
        <f>'All Trades'!D365</f>
        <v>TSL1PRE</v>
      </c>
      <c r="E51" s="16">
        <f>'All Trades'!G365</f>
        <v>-1.1480000000000001E-2</v>
      </c>
      <c r="F51" s="17" t="str">
        <f>'All Trades'!S365</f>
        <v>GAP/MOM SKIP</v>
      </c>
      <c r="G51" s="16">
        <f>'All Trades'!T365</f>
        <v>0</v>
      </c>
      <c r="H51" s="16">
        <f>'All Trades'!W365</f>
        <v>0.12972400000000001</v>
      </c>
      <c r="I51" s="16">
        <f>'All Trades'!J365</f>
        <v>1.5708868695834433E-2</v>
      </c>
      <c r="J51" s="16">
        <f>'All Trades'!K365</f>
        <v>-8.5995160832824102E-2</v>
      </c>
      <c r="K51" s="16">
        <f>'All Trades'!L365</f>
        <v>2.3464771600669732E-2</v>
      </c>
      <c r="L51" s="32" t="str">
        <f>'All Trades'!AE365</f>
        <v>Monday entry skipped; Tuesday did not normalize within the Friday-based tolerance.</v>
      </c>
    </row>
    <row r="52" spans="1:12" ht="28.5">
      <c r="A52" s="17">
        <f>'All Trades'!A368</f>
        <v>364</v>
      </c>
      <c r="B52" s="31">
        <f>'All Trades'!B368</f>
        <v>45761</v>
      </c>
      <c r="C52" s="31">
        <f>'All Trades'!C368</f>
        <v>45764</v>
      </c>
      <c r="D52" s="17" t="str">
        <f>'All Trades'!D368</f>
        <v>TSL1PRE</v>
      </c>
      <c r="E52" s="16">
        <f>'All Trades'!G368</f>
        <v>-4.156E-2</v>
      </c>
      <c r="F52" s="17" t="str">
        <f>'All Trades'!S368</f>
        <v>GAP/MOM SKIP</v>
      </c>
      <c r="G52" s="16">
        <f>'All Trades'!T368</f>
        <v>0</v>
      </c>
      <c r="H52" s="16">
        <f>'All Trades'!W368</f>
        <v>0.46962800000000005</v>
      </c>
      <c r="I52" s="16">
        <f>'All Trades'!J368</f>
        <v>2.1724039661823014E-2</v>
      </c>
      <c r="J52" s="16">
        <f>'All Trades'!K368</f>
        <v>-5.1250036538566079E-2</v>
      </c>
      <c r="K52" s="16">
        <f>'All Trades'!L368</f>
        <v>9.1109154929578384E-3</v>
      </c>
      <c r="L52" s="32" t="str">
        <f>'All Trades'!AE368</f>
        <v>Monday entry skipped; Tuesday did not normalize within the Friday-based tolerance.</v>
      </c>
    </row>
    <row r="53" spans="1:12" ht="28.5">
      <c r="A53" s="17">
        <f>'All Trades'!A404</f>
        <v>400</v>
      </c>
      <c r="B53" s="31">
        <f>'All Trades'!B404</f>
        <v>46013</v>
      </c>
      <c r="C53" s="31">
        <f>'All Trades'!C404</f>
        <v>46017</v>
      </c>
      <c r="D53" s="17" t="str">
        <f>'All Trades'!D404</f>
        <v>TO</v>
      </c>
      <c r="E53" s="16">
        <f>'All Trades'!G404</f>
        <v>4.3E-3</v>
      </c>
      <c r="F53" s="17" t="str">
        <f>'All Trades'!S404</f>
        <v>DAMAGE SKIP</v>
      </c>
      <c r="G53" s="16">
        <f>'All Trades'!T404</f>
        <v>0</v>
      </c>
      <c r="H53" s="16">
        <f>'All Trades'!W404</f>
        <v>-4.8590000000000001E-2</v>
      </c>
      <c r="I53" s="16">
        <f>'All Trades'!J404</f>
        <v>8.1237931636699567E-3</v>
      </c>
      <c r="J53" s="16">
        <f>'All Trades'!K404</f>
        <v>2.8639538566689327E-2</v>
      </c>
      <c r="K53" s="16">
        <f>'All Trades'!L404</f>
        <v>1.8637063447048963E-3</v>
      </c>
      <c r="L53" s="32" t="str">
        <f>'All Trades'!AE404</f>
        <v>Skipped because the previous two rule outcomes totalled at or below the damage threshold.</v>
      </c>
    </row>
    <row r="54" spans="1:12" ht="28.5">
      <c r="A54" s="17">
        <f>'All Trades'!A405</f>
        <v>401</v>
      </c>
      <c r="B54" s="31">
        <f>'All Trades'!B405</f>
        <v>46020</v>
      </c>
      <c r="C54" s="31">
        <f>'All Trades'!C405</f>
        <v>46024</v>
      </c>
      <c r="D54" s="17" t="str">
        <f>'All Trades'!D405</f>
        <v>BEPRE</v>
      </c>
      <c r="E54" s="16">
        <f>'All Trades'!G405</f>
        <v>-3.9699999999999996E-3</v>
      </c>
      <c r="F54" s="17" t="str">
        <f>'All Trades'!S405</f>
        <v>DAMAGE SKIP</v>
      </c>
      <c r="G54" s="16">
        <f>'All Trades'!T405</f>
        <v>0</v>
      </c>
      <c r="H54" s="16">
        <f>'All Trades'!W405</f>
        <v>4.4860999999999998E-2</v>
      </c>
      <c r="I54" s="16">
        <f>'All Trades'!J405</f>
        <v>-6.2968581081647157E-3</v>
      </c>
      <c r="J54" s="16">
        <f>'All Trades'!K405</f>
        <v>2.463499154198634E-2</v>
      </c>
      <c r="K54" s="16">
        <f>'All Trades'!L405</f>
        <v>-6.491528955424708E-3</v>
      </c>
      <c r="L54" s="32" t="str">
        <f>'All Trades'!AE405</f>
        <v>Skipped because the previous two rule outcomes totalled at or below the damage threshold.</v>
      </c>
    </row>
    <row r="55" spans="1:12" ht="28.5">
      <c r="A55" s="17">
        <f>'All Trades'!A416</f>
        <v>412</v>
      </c>
      <c r="B55" s="31">
        <f>'All Trades'!B416</f>
        <v>46097</v>
      </c>
      <c r="C55" s="31">
        <f>'All Trades'!C416</f>
        <v>46100</v>
      </c>
      <c r="D55" s="17" t="str">
        <f>'All Trades'!D416</f>
        <v>TSL1PRE</v>
      </c>
      <c r="E55" s="16">
        <f>'All Trades'!G416</f>
        <v>-9.6500000000000006E-3</v>
      </c>
      <c r="F55" s="17" t="str">
        <f>'All Trades'!S416</f>
        <v>GAP/MOM SKIP</v>
      </c>
      <c r="G55" s="16">
        <f>'All Trades'!T416</f>
        <v>0</v>
      </c>
      <c r="H55" s="16">
        <f>'All Trades'!W416</f>
        <v>0.10904500000000002</v>
      </c>
      <c r="I55" s="16">
        <f>'All Trades'!J416</f>
        <v>1.1162155038512145E-2</v>
      </c>
      <c r="J55" s="16">
        <f>'All Trades'!K416</f>
        <v>-1.1521044219499177E-2</v>
      </c>
      <c r="K55" s="16">
        <f>'All Trades'!L416</f>
        <v>1.5866064811695724E-2</v>
      </c>
      <c r="L55" s="32" t="str">
        <f>'All Trades'!AE416</f>
        <v>Monday entry skipped; Tuesday did not normalize within the Friday-based tolerance.</v>
      </c>
    </row>
    <row r="56" spans="1:12" ht="28.5">
      <c r="A56" s="17">
        <f>'All Trades'!A417</f>
        <v>413</v>
      </c>
      <c r="B56" s="31">
        <f>'All Trades'!B417</f>
        <v>46104</v>
      </c>
      <c r="C56" s="31">
        <f>'All Trades'!C417</f>
        <v>46106</v>
      </c>
      <c r="D56" s="17" t="str">
        <f>'All Trades'!D417</f>
        <v>BEPRE</v>
      </c>
      <c r="E56" s="16">
        <f>'All Trades'!G417</f>
        <v>-2.0400000000000001E-3</v>
      </c>
      <c r="F56" s="17" t="str">
        <f>'All Trades'!S417</f>
        <v>TUESDAY RE-ENTRY</v>
      </c>
      <c r="G56" s="16">
        <f>'All Trades'!T417</f>
        <v>7.79E-3</v>
      </c>
      <c r="H56" s="16">
        <f>'All Trades'!W417</f>
        <v>0.11107900000000001</v>
      </c>
      <c r="I56" s="16">
        <f>'All Trades'!J417</f>
        <v>1.5012684390669717E-2</v>
      </c>
      <c r="J56" s="16">
        <f>'All Trades'!K417</f>
        <v>-4.393817447151005E-2</v>
      </c>
      <c r="K56" s="16">
        <f>'All Trades'!L417</f>
        <v>4.7245988386077631E-3</v>
      </c>
      <c r="L56" s="32" t="str">
        <f>'All Trades'!AE417</f>
        <v>Monday entry deferred; Tuesday normalized from Friday and uses the repriced overlay return.</v>
      </c>
    </row>
    <row r="57" spans="1:12" ht="28.5">
      <c r="A57" s="17">
        <f>'All Trades'!A429</f>
        <v>425</v>
      </c>
      <c r="B57" s="31">
        <f>'All Trades'!B429</f>
        <v>46188</v>
      </c>
      <c r="C57" s="31">
        <f>'All Trades'!C429</f>
        <v>46188</v>
      </c>
      <c r="D57" s="17" t="str">
        <f>'All Trades'!D429</f>
        <v>CH</v>
      </c>
      <c r="E57" s="16">
        <f>'All Trades'!G429</f>
        <v>8.3400000000000002E-3</v>
      </c>
      <c r="F57" s="17" t="str">
        <f>'All Trades'!S429</f>
        <v>DAMAGE SKIP</v>
      </c>
      <c r="G57" s="16">
        <f>'All Trades'!T429</f>
        <v>0</v>
      </c>
      <c r="H57" s="16">
        <f>'All Trades'!W429</f>
        <v>-9.4242000000000006E-2</v>
      </c>
      <c r="I57" s="16">
        <f>'All Trades'!J429</f>
        <v>2.2809783163396213E-2</v>
      </c>
      <c r="J57" s="16">
        <f>'All Trades'!K429</f>
        <v>2.153405854485424E-3</v>
      </c>
      <c r="K57" s="16">
        <f>'All Trades'!L429</f>
        <v>2.8987717303906591E-2</v>
      </c>
      <c r="L57" s="32" t="str">
        <f>'All Trades'!AE429</f>
        <v>Skipped because the previous two rule outcomes totalled at or below the damage threshold.</v>
      </c>
    </row>
    <row r="58" spans="1:12" ht="28.5">
      <c r="A58" s="17">
        <f>'All Trades'!A430</f>
        <v>426</v>
      </c>
      <c r="B58" s="31">
        <f>'All Trades'!B430</f>
        <v>46195</v>
      </c>
      <c r="C58" s="31">
        <f>'All Trades'!C430</f>
        <v>46198</v>
      </c>
      <c r="D58" s="17" t="str">
        <f>'All Trades'!D430</f>
        <v>TSL1PRE</v>
      </c>
      <c r="E58" s="16">
        <f>'All Trades'!G430</f>
        <v>-2.3869999999999999E-2</v>
      </c>
      <c r="F58" s="17" t="str">
        <f>'All Trades'!S430</f>
        <v>DAMAGE SKIP</v>
      </c>
      <c r="G58" s="16">
        <f>'All Trades'!T430</f>
        <v>0</v>
      </c>
      <c r="H58" s="16">
        <f>'All Trades'!W430</f>
        <v>0.269731</v>
      </c>
      <c r="I58" s="16">
        <f>'All Trades'!J430</f>
        <v>4.5324023510182609E-3</v>
      </c>
      <c r="J58" s="16">
        <f>'All Trades'!K430</f>
        <v>3.8519245600504792E-2</v>
      </c>
      <c r="K58" s="16">
        <f>'All Trades'!L430</f>
        <v>-3.3593475736545031E-2</v>
      </c>
      <c r="L58" s="32" t="str">
        <f>'All Trades'!AE430</f>
        <v>Skipped because the previous two rule outcomes totalled at or below the damage threshold.</v>
      </c>
    </row>
    <row r="59" spans="1:12" ht="28.5">
      <c r="A59" s="17">
        <f>'All Trades'!A432</f>
        <v>428</v>
      </c>
      <c r="B59" s="31">
        <f>'All Trades'!B432</f>
        <v>46209</v>
      </c>
      <c r="C59" s="31">
        <f>'All Trades'!C432</f>
        <v>46212</v>
      </c>
      <c r="D59" s="17" t="str">
        <f>'All Trades'!D432</f>
        <v>TSL1PRE</v>
      </c>
      <c r="E59" s="16">
        <f>'All Trades'!G432</f>
        <v>-1.3270000000000001E-2</v>
      </c>
      <c r="F59" s="17" t="str">
        <f>'All Trades'!S432</f>
        <v>TUESDAY RE-ENTRY</v>
      </c>
      <c r="G59" s="16">
        <f>'All Trades'!T432</f>
        <v>-5.3400000000000001E-3</v>
      </c>
      <c r="H59" s="16">
        <f>'All Trades'!W432</f>
        <v>8.9609000000000022E-2</v>
      </c>
      <c r="I59" s="16">
        <f>'All Trades'!J432</f>
        <v>1.0142706916836497E-2</v>
      </c>
      <c r="J59" s="16">
        <f>'All Trades'!K432</f>
        <v>-4.2474570349766871E-2</v>
      </c>
      <c r="K59" s="16">
        <f>'All Trades'!L432</f>
        <v>2.2031995509401714E-3</v>
      </c>
      <c r="L59" s="32" t="str">
        <f>'All Trades'!AE432</f>
        <v>Monday entry deferred; Tuesday normalized from Friday and uses the repriced overlay return.</v>
      </c>
    </row>
    <row r="60" spans="1:12" ht="28.5">
      <c r="A60" s="17">
        <f>'All Trades'!A434</f>
        <v>430</v>
      </c>
      <c r="B60" s="31">
        <f>'All Trades'!B434</f>
        <v>46223</v>
      </c>
      <c r="C60" s="31">
        <f>'All Trades'!C434</f>
        <v>46226</v>
      </c>
      <c r="D60" s="17" t="str">
        <f>'All Trades'!D434</f>
        <v>TSL1PRE</v>
      </c>
      <c r="E60" s="16">
        <f>'All Trades'!G434</f>
        <v>-4.0800000000000003E-3</v>
      </c>
      <c r="F60" s="17" t="str">
        <f>'All Trades'!S434</f>
        <v>GAP/MOM SKIP</v>
      </c>
      <c r="G60" s="16">
        <f>'All Trades'!T434</f>
        <v>0</v>
      </c>
      <c r="H60" s="16">
        <f>'All Trades'!W434</f>
        <v>4.6104000000000006E-2</v>
      </c>
      <c r="I60" s="16">
        <f>'All Trades'!J434</f>
        <v>1.0607604002575322E-2</v>
      </c>
      <c r="J60" s="16">
        <f>'All Trades'!K434</f>
        <v>-3.7618856486415386E-2</v>
      </c>
      <c r="K60" s="16">
        <f>'All Trades'!L434</f>
        <v>1.6164986409330728E-2</v>
      </c>
      <c r="L60" s="32" t="str">
        <f>'All Trades'!AE434</f>
        <v>Monday entry skipped; Tuesday did not normalize within the Friday-based tolerance.</v>
      </c>
    </row>
    <row r="61" spans="1:12" ht="28.5">
      <c r="A61" s="17">
        <f>'All Trades'!A435</f>
        <v>431</v>
      </c>
      <c r="B61" s="31">
        <f>'All Trades'!B435</f>
        <v>46230</v>
      </c>
      <c r="C61" s="31">
        <f>'All Trades'!C435</f>
        <v>46233</v>
      </c>
      <c r="D61" s="17" t="str">
        <f>'All Trades'!D435</f>
        <v>TSL1PRE</v>
      </c>
      <c r="E61" s="16">
        <f>'All Trades'!G435</f>
        <v>-4.7019999999999999E-2</v>
      </c>
      <c r="F61" s="17" t="str">
        <f>'All Trades'!S435</f>
        <v>GAP/MOM SKIP</v>
      </c>
      <c r="G61" s="16">
        <f>'All Trades'!T435</f>
        <v>0</v>
      </c>
      <c r="H61" s="16">
        <f>'All Trades'!W435</f>
        <v>0.53132600000000008</v>
      </c>
      <c r="I61" s="16">
        <f>'All Trades'!J435</f>
        <v>1.0992143466909576E-2</v>
      </c>
      <c r="J61" s="16">
        <f>'All Trades'!K435</f>
        <v>-4.4878416482872163E-2</v>
      </c>
      <c r="K61" s="16">
        <f>'All Trades'!L435</f>
        <v>-1.1691974920713832E-2</v>
      </c>
      <c r="L61" s="32" t="str">
        <f>'All Trades'!AE435</f>
        <v>Monday entry skipped; Tuesday did not normalize within the Friday-based tolerance.</v>
      </c>
    </row>
    <row r="62" spans="1:12" ht="14.25">
      <c r="A62" s="17"/>
      <c r="B62" s="31"/>
      <c r="C62" s="31"/>
      <c r="D62" s="17"/>
      <c r="E62" s="16"/>
      <c r="F62" s="17"/>
      <c r="G62" s="16"/>
      <c r="H62" s="16"/>
      <c r="I62" s="16"/>
      <c r="J62" s="16"/>
      <c r="K62" s="16"/>
      <c r="L62" s="32"/>
    </row>
    <row r="63" spans="1:12" ht="14.25">
      <c r="A63" s="17"/>
      <c r="B63" s="31"/>
      <c r="C63" s="31"/>
      <c r="D63" s="17"/>
      <c r="E63" s="16"/>
      <c r="F63" s="17"/>
      <c r="G63" s="16"/>
      <c r="H63" s="16"/>
      <c r="I63" s="16"/>
      <c r="J63" s="16"/>
      <c r="K63" s="16"/>
      <c r="L63" s="32"/>
    </row>
    <row r="64" spans="1:12" ht="14.25">
      <c r="A64" s="17"/>
      <c r="B64" s="31"/>
      <c r="C64" s="31"/>
      <c r="D64" s="17"/>
      <c r="E64" s="16"/>
      <c r="F64" s="17"/>
      <c r="G64" s="16"/>
      <c r="H64" s="16"/>
      <c r="I64" s="16"/>
      <c r="J64" s="16"/>
      <c r="K64" s="16"/>
      <c r="L64" s="32"/>
    </row>
    <row r="65" spans="1:12" ht="14.25">
      <c r="A65" s="17"/>
      <c r="B65" s="31"/>
      <c r="C65" s="31"/>
      <c r="D65" s="17"/>
      <c r="E65" s="16"/>
      <c r="F65" s="17"/>
      <c r="G65" s="16"/>
      <c r="H65" s="16"/>
      <c r="I65" s="16"/>
      <c r="J65" s="16"/>
      <c r="K65" s="16"/>
      <c r="L65" s="32"/>
    </row>
    <row r="66" spans="1:12" ht="14.25">
      <c r="A66" s="17"/>
      <c r="B66" s="31"/>
      <c r="C66" s="31"/>
      <c r="D66" s="17"/>
      <c r="E66" s="16"/>
      <c r="F66" s="17"/>
      <c r="G66" s="16"/>
      <c r="H66" s="16"/>
      <c r="I66" s="16"/>
      <c r="J66" s="16"/>
      <c r="K66" s="16"/>
      <c r="L66" s="32"/>
    </row>
    <row r="67" spans="1:12" ht="14.25">
      <c r="A67" s="17"/>
      <c r="B67" s="31"/>
      <c r="C67" s="31"/>
      <c r="D67" s="17"/>
      <c r="E67" s="16"/>
      <c r="F67" s="17"/>
      <c r="G67" s="16"/>
      <c r="H67" s="16"/>
      <c r="I67" s="16"/>
      <c r="J67" s="16"/>
      <c r="K67" s="16"/>
      <c r="L67" s="32"/>
    </row>
  </sheetData>
  <mergeCells count="2">
    <mergeCell ref="A1:L2"/>
    <mergeCell ref="A3:L3"/>
  </mergeCells>
  <conditionalFormatting sqref="E5:E67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G5:H67">
    <cfRule type="cellIs" dxfId="3" priority="3" operator="greaterThan">
      <formula>0</formula>
    </cfRule>
    <cfRule type="cellIs" dxfId="2" priority="4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/>
  </sheetViews>
  <sheetFormatPr defaultRowHeight="13.5"/>
  <cols>
    <col min="1" max="1" width="28" customWidth="1"/>
    <col min="2" max="6" width="16" customWidth="1"/>
    <col min="7" max="7" width="45" customWidth="1"/>
  </cols>
  <sheetData>
    <row r="1" spans="1:7" ht="30" customHeight="1">
      <c r="A1" s="54" t="s">
        <v>108</v>
      </c>
      <c r="B1" s="54" t="s">
        <v>108</v>
      </c>
      <c r="C1" s="54" t="s">
        <v>108</v>
      </c>
      <c r="D1" s="54" t="s">
        <v>108</v>
      </c>
      <c r="E1" s="54" t="s">
        <v>108</v>
      </c>
      <c r="F1" s="54" t="s">
        <v>108</v>
      </c>
      <c r="G1" s="54" t="s">
        <v>108</v>
      </c>
    </row>
    <row r="2" spans="1:7" ht="30" customHeight="1">
      <c r="A2" s="54" t="s">
        <v>108</v>
      </c>
      <c r="B2" s="54" t="s">
        <v>108</v>
      </c>
      <c r="C2" s="54" t="s">
        <v>108</v>
      </c>
      <c r="D2" s="54" t="s">
        <v>108</v>
      </c>
      <c r="E2" s="54" t="s">
        <v>108</v>
      </c>
      <c r="F2" s="54" t="s">
        <v>108</v>
      </c>
      <c r="G2" s="54" t="s">
        <v>108</v>
      </c>
    </row>
    <row r="3" spans="1:7" ht="26" customHeight="1">
      <c r="A3" s="55" t="s">
        <v>109</v>
      </c>
      <c r="B3" s="55" t="s">
        <v>109</v>
      </c>
      <c r="C3" s="55" t="s">
        <v>109</v>
      </c>
      <c r="D3" s="55" t="s">
        <v>109</v>
      </c>
      <c r="E3" s="55" t="s">
        <v>109</v>
      </c>
      <c r="F3" s="55" t="s">
        <v>109</v>
      </c>
      <c r="G3" s="55" t="s">
        <v>109</v>
      </c>
    </row>
    <row r="4" spans="1:7" ht="14.25">
      <c r="A4" s="1" t="s">
        <v>110</v>
      </c>
      <c r="B4" s="2" t="s">
        <v>111</v>
      </c>
      <c r="C4" s="2" t="s">
        <v>112</v>
      </c>
      <c r="D4" s="2" t="s">
        <v>17</v>
      </c>
      <c r="E4" s="2" t="s">
        <v>113</v>
      </c>
      <c r="F4" s="2" t="s">
        <v>114</v>
      </c>
      <c r="G4" s="3" t="s">
        <v>89</v>
      </c>
    </row>
    <row r="5" spans="1:7" ht="14.25">
      <c r="A5" s="4" t="s">
        <v>115</v>
      </c>
      <c r="B5" s="4">
        <v>432</v>
      </c>
      <c r="C5" s="17">
        <f>COUNT('All Trades'!$A$5:$A$436)</f>
        <v>432</v>
      </c>
      <c r="D5" s="17">
        <f t="shared" ref="D5:D11" si="0">C5-B5</f>
        <v>0</v>
      </c>
      <c r="E5" s="17">
        <v>0</v>
      </c>
      <c r="F5" s="17" t="str">
        <f t="shared" ref="F5:F11" si="1">IF(ABS(D5)&lt;=E5,"OK","CHECK")</f>
        <v>OK</v>
      </c>
      <c r="G5" s="4" t="s">
        <v>116</v>
      </c>
    </row>
    <row r="6" spans="1:7" ht="14.25">
      <c r="A6" s="4" t="s">
        <v>9</v>
      </c>
      <c r="B6" s="49">
        <v>3.323523238959214E-2</v>
      </c>
      <c r="C6" s="50">
        <f>Summary!A9</f>
        <v>3.323523238959214E-2</v>
      </c>
      <c r="D6" s="50">
        <f t="shared" si="0"/>
        <v>0</v>
      </c>
      <c r="E6" s="51">
        <v>1E-10</v>
      </c>
      <c r="F6" s="17" t="str">
        <f t="shared" si="1"/>
        <v>OK</v>
      </c>
      <c r="G6" s="4" t="s">
        <v>117</v>
      </c>
    </row>
    <row r="7" spans="1:7" ht="14.25">
      <c r="A7" s="4" t="s">
        <v>10</v>
      </c>
      <c r="B7" s="49">
        <v>4.2811918624029666E-2</v>
      </c>
      <c r="C7" s="50">
        <f>Summary!D9</f>
        <v>4.2811918624029666E-2</v>
      </c>
      <c r="D7" s="50">
        <f t="shared" si="0"/>
        <v>0</v>
      </c>
      <c r="E7" s="51">
        <v>1E-10</v>
      </c>
      <c r="F7" s="17" t="str">
        <f t="shared" si="1"/>
        <v>OK</v>
      </c>
      <c r="G7" s="4" t="s">
        <v>118</v>
      </c>
    </row>
    <row r="8" spans="1:7" ht="14.25">
      <c r="A8" s="4" t="s">
        <v>119</v>
      </c>
      <c r="B8" s="4">
        <v>35</v>
      </c>
      <c r="C8" s="17">
        <f>COUNTIF('All Trades'!$S$5:$S$436,"DAMAGE SKIP")</f>
        <v>35</v>
      </c>
      <c r="D8" s="17">
        <f t="shared" si="0"/>
        <v>0</v>
      </c>
      <c r="E8" s="17">
        <v>0</v>
      </c>
      <c r="F8" s="17" t="str">
        <f t="shared" si="1"/>
        <v>OK</v>
      </c>
      <c r="G8" s="4" t="s">
        <v>120</v>
      </c>
    </row>
    <row r="9" spans="1:7" ht="14.25">
      <c r="A9" s="4" t="s">
        <v>121</v>
      </c>
      <c r="B9" s="4">
        <v>19</v>
      </c>
      <c r="C9" s="17">
        <f>COUNTIF('All Trades'!$S$5:$S$436,"GAP/MOM SKIP")</f>
        <v>19</v>
      </c>
      <c r="D9" s="17">
        <f t="shared" si="0"/>
        <v>0</v>
      </c>
      <c r="E9" s="17">
        <v>0</v>
      </c>
      <c r="F9" s="17" t="str">
        <f t="shared" si="1"/>
        <v>OK</v>
      </c>
      <c r="G9" s="4" t="s">
        <v>122</v>
      </c>
    </row>
    <row r="10" spans="1:7" ht="14.25">
      <c r="A10" s="4" t="s">
        <v>123</v>
      </c>
      <c r="B10" s="4">
        <v>3</v>
      </c>
      <c r="C10" s="17">
        <f>COUNTIF('All Trades'!$S$5:$S$436,"TUESDAY RE-ENTRY")</f>
        <v>3</v>
      </c>
      <c r="D10" s="17">
        <f t="shared" si="0"/>
        <v>0</v>
      </c>
      <c r="E10" s="17">
        <v>0</v>
      </c>
      <c r="F10" s="17" t="str">
        <f t="shared" si="1"/>
        <v>OK</v>
      </c>
      <c r="G10" s="4" t="s">
        <v>124</v>
      </c>
    </row>
    <row r="11" spans="1:7" ht="14.25">
      <c r="A11" s="4" t="s">
        <v>125</v>
      </c>
      <c r="B11" s="52">
        <v>0</v>
      </c>
      <c r="C11" s="48">
        <f>'All Trades'!T435</f>
        <v>0</v>
      </c>
      <c r="D11" s="48">
        <f t="shared" si="0"/>
        <v>0</v>
      </c>
      <c r="E11" s="48">
        <v>9.9999999999999998E-13</v>
      </c>
      <c r="F11" s="17" t="str">
        <f t="shared" si="1"/>
        <v>OK</v>
      </c>
      <c r="G11" s="4" t="s">
        <v>126</v>
      </c>
    </row>
  </sheetData>
  <mergeCells count="2">
    <mergeCell ref="A1:G2"/>
    <mergeCell ref="A3:G3"/>
  </mergeCells>
  <conditionalFormatting sqref="F5:F11">
    <cfRule type="containsText" dxfId="1" priority="1" operator="containsText" text="OK"/>
    <cfRule type="containsText" dxfId="0" priority="2" operator="containsText" text="CHECK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workbookViewId="0"/>
  </sheetViews>
  <sheetFormatPr defaultRowHeight="13.5"/>
  <cols>
    <col min="1" max="1" width="28" customWidth="1"/>
    <col min="2" max="2" width="90" customWidth="1"/>
  </cols>
  <sheetData>
    <row r="1" spans="1:6" ht="30" customHeight="1">
      <c r="A1" s="54" t="s">
        <v>127</v>
      </c>
      <c r="B1" s="54" t="s">
        <v>127</v>
      </c>
      <c r="C1" s="54" t="s">
        <v>127</v>
      </c>
      <c r="D1" s="54" t="s">
        <v>127</v>
      </c>
      <c r="E1" s="54" t="s">
        <v>127</v>
      </c>
      <c r="F1" s="54" t="s">
        <v>127</v>
      </c>
    </row>
    <row r="2" spans="1:6" ht="30" customHeight="1">
      <c r="A2" s="54" t="s">
        <v>127</v>
      </c>
      <c r="B2" s="54" t="s">
        <v>127</v>
      </c>
      <c r="C2" s="54" t="s">
        <v>127</v>
      </c>
      <c r="D2" s="54" t="s">
        <v>127</v>
      </c>
      <c r="E2" s="54" t="s">
        <v>127</v>
      </c>
      <c r="F2" s="54" t="s">
        <v>127</v>
      </c>
    </row>
    <row r="3" spans="1:6" ht="26" customHeight="1">
      <c r="A3" s="55" t="s">
        <v>128</v>
      </c>
      <c r="B3" s="55" t="s">
        <v>128</v>
      </c>
      <c r="C3" s="55" t="s">
        <v>128</v>
      </c>
      <c r="D3" s="55" t="s">
        <v>128</v>
      </c>
      <c r="E3" s="55" t="s">
        <v>128</v>
      </c>
      <c r="F3" s="55" t="s">
        <v>128</v>
      </c>
    </row>
    <row r="4" spans="1:6" ht="14.25">
      <c r="A4" s="4"/>
      <c r="B4" s="4"/>
      <c r="C4" s="4"/>
      <c r="D4" s="4"/>
      <c r="E4" s="4"/>
      <c r="F4" s="4"/>
    </row>
    <row r="5" spans="1:6" ht="14.25">
      <c r="A5" s="1" t="s">
        <v>129</v>
      </c>
      <c r="B5" s="3" t="s">
        <v>130</v>
      </c>
      <c r="C5" s="4"/>
      <c r="D5" s="4"/>
      <c r="E5" s="4"/>
      <c r="F5" s="4"/>
    </row>
    <row r="6" spans="1:6" ht="30" customHeight="1">
      <c r="A6" s="53" t="s">
        <v>131</v>
      </c>
      <c r="B6" s="9" t="s">
        <v>132</v>
      </c>
      <c r="C6" s="4"/>
      <c r="D6" s="4"/>
      <c r="E6" s="4"/>
      <c r="F6" s="4"/>
    </row>
    <row r="7" spans="1:6" ht="30" customHeight="1">
      <c r="A7" s="53" t="s">
        <v>133</v>
      </c>
      <c r="B7" s="9" t="s">
        <v>134</v>
      </c>
      <c r="C7" s="4"/>
      <c r="D7" s="4"/>
      <c r="E7" s="4"/>
      <c r="F7" s="4"/>
    </row>
    <row r="8" spans="1:6" ht="30" customHeight="1">
      <c r="A8" s="53" t="s">
        <v>135</v>
      </c>
      <c r="B8" s="9" t="s">
        <v>136</v>
      </c>
      <c r="C8" s="4"/>
      <c r="D8" s="4"/>
      <c r="E8" s="4"/>
      <c r="F8" s="4"/>
    </row>
    <row r="9" spans="1:6" ht="30" customHeight="1">
      <c r="A9" s="53" t="s">
        <v>137</v>
      </c>
      <c r="B9" s="9" t="s">
        <v>138</v>
      </c>
      <c r="C9" s="4"/>
      <c r="D9" s="4"/>
      <c r="E9" s="4"/>
      <c r="F9" s="4"/>
    </row>
    <row r="10" spans="1:6" ht="30" customHeight="1">
      <c r="A10" s="53" t="s">
        <v>139</v>
      </c>
      <c r="B10" s="9" t="s">
        <v>140</v>
      </c>
      <c r="C10" s="4"/>
      <c r="D10" s="4"/>
      <c r="E10" s="4"/>
      <c r="F10" s="4"/>
    </row>
    <row r="11" spans="1:6" ht="30" customHeight="1">
      <c r="A11" s="53" t="s">
        <v>39</v>
      </c>
      <c r="B11" s="9" t="s">
        <v>141</v>
      </c>
      <c r="C11" s="4"/>
      <c r="D11" s="4"/>
      <c r="E11" s="4"/>
      <c r="F11" s="4"/>
    </row>
    <row r="12" spans="1:6" ht="30" customHeight="1">
      <c r="A12" s="53" t="s">
        <v>70</v>
      </c>
      <c r="B12" s="9" t="s">
        <v>142</v>
      </c>
      <c r="C12" s="4"/>
      <c r="D12" s="4"/>
      <c r="E12" s="4"/>
      <c r="F12" s="4"/>
    </row>
    <row r="13" spans="1:6" ht="30" customHeight="1">
      <c r="A13" s="53" t="s">
        <v>143</v>
      </c>
      <c r="B13" s="9" t="s">
        <v>144</v>
      </c>
      <c r="C13" s="4"/>
      <c r="D13" s="4"/>
      <c r="E13" s="4"/>
      <c r="F13" s="4"/>
    </row>
    <row r="14" spans="1:6" ht="30" customHeight="1">
      <c r="A14" s="53" t="s">
        <v>145</v>
      </c>
      <c r="B14" s="9" t="s">
        <v>146</v>
      </c>
      <c r="C14" s="4"/>
      <c r="D14" s="4"/>
      <c r="E14" s="4"/>
      <c r="F14" s="4"/>
    </row>
    <row r="15" spans="1:6" ht="30" customHeight="1">
      <c r="A15" s="53" t="s">
        <v>147</v>
      </c>
      <c r="B15" s="9" t="s">
        <v>55</v>
      </c>
      <c r="C15" s="4"/>
      <c r="D15" s="4"/>
      <c r="E15" s="4"/>
      <c r="F15" s="4"/>
    </row>
    <row r="16" spans="1:6" ht="30" customHeight="1">
      <c r="A16" s="53" t="s">
        <v>34</v>
      </c>
      <c r="B16" s="9" t="s">
        <v>148</v>
      </c>
      <c r="C16" s="4"/>
      <c r="D16" s="4"/>
      <c r="E16" s="4"/>
      <c r="F16" s="4"/>
    </row>
  </sheetData>
  <mergeCells count="2">
    <mergeCell ref="A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Assumptions</vt:lpstr>
      <vt:lpstr>All Trades</vt:lpstr>
      <vt:lpstr>Changed Snapshot</vt:lpstr>
      <vt:lpstr>Checks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Kobylka</dc:creator>
  <cp:lastModifiedBy>Adam Kobylka</cp:lastModifiedBy>
  <dcterms:created xsi:type="dcterms:W3CDTF">2026-08-11T12:05:02Z</dcterms:created>
  <dcterms:modified xsi:type="dcterms:W3CDTF">2026-08-11T12:05:02Z</dcterms:modified>
</cp:coreProperties>
</file>