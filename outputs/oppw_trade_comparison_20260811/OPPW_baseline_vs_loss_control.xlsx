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5e154391ce4d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14da594a54c4ab5"/>
    <x:sheet xmlns:r="http://schemas.openxmlformats.org/officeDocument/2006/relationships" name="Assumptions" sheetId="2" r:id="R4fa086cd54cb461e"/>
    <x:sheet xmlns:r="http://schemas.openxmlformats.org/officeDocument/2006/relationships" name="All Trades" sheetId="3" r:id="Rde613935311b42bb"/>
    <x:sheet xmlns:r="http://schemas.openxmlformats.org/officeDocument/2006/relationships" name="Changed Snapshot" sheetId="4" r:id="R1e83c14ff9fd4be3"/>
    <x:sheet xmlns:r="http://schemas.openxmlformats.org/officeDocument/2006/relationships" name="Checks" sheetId="5" r:id="R6279afb1150341ca"/>
    <x:sheet xmlns:r="http://schemas.openxmlformats.org/officeDocument/2006/relationships" name="Methodology" sheetId="6" r:id="Re46e73fa57714d63"/>
  </x:sheets>
</x:workbook>
</file>

<file path=xl/comments1.xml><?xml version="1.0" encoding="utf-8"?>
<x:comments xmlns:x="http://schemas.openxmlformats.org/spreadsheetml/2006/main">
  <x:authors>
    <x:author>tc={9FDB3B54-0A8E-4595-1074-862143BDEB1A}</x:author>
  </x:authors>
  <x:commentList>
    <x:comment ref="B10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Friday normalization uses the Tuesday daily cash-session open divided by the previous Friday daily cash-session close, minus one.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200" formatCode="0.0x"/>
    <x:numFmt numFmtId="201" formatCode="0.00%"/>
    <x:numFmt numFmtId="202" formatCode="#,##0.00"/>
    <x:numFmt numFmtId="203" formatCode="yyyy-mm-dd"/>
    <x:numFmt numFmtId="204" formatCode="#,##0.000"/>
    <x:numFmt numFmtId="205" formatCode="0.000%;[Red](0.000%);-"/>
    <x:numFmt numFmtId="206" formatCode="0.00%;[Red](0.00%);-"/>
    <x:numFmt numFmtId="207" formatCode="#,##0.00;[Red](#,##0.00);-"/>
    <x:numFmt numFmtId="208" formatCode="0.000%"/>
    <x:numFmt numFmtId="209" formatCode="#,##0"/>
    <x:numFmt numFmtId="210" formatCode="0.0000000000%"/>
    <x:numFmt numFmtId="211" formatCode="0.0E+00"/>
  </x:numFmts>
  <x:fonts count="15">
    <x:font>
      <x:sz val="11"/>
      <x:name val="Carlito"/>
    </x:font>
    <x:font>
      <x:b/>
      <x:sz val="18"/>
      <x:color rgb="FFFFFFFF"/>
      <x:name val="Aptos Display"/>
    </x:font>
    <x:font>
      <x:i/>
      <x:sz val="10"/>
      <x:color rgb="FF1F1F1F"/>
      <x:name val="Aptos"/>
    </x:font>
    <x:font>
      <x:b/>
      <x:sz val="11"/>
      <x:color rgb="FFFFFFFF"/>
      <x:name val="Aptos"/>
    </x:font>
    <x:font>
      <x:sz val="11"/>
      <x:color rgb="FF0000FF"/>
      <x:name val="Carlito"/>
    </x:font>
    <x:font>
      <x:b/>
      <x:sz val="11"/>
      <x:name val="Carlito"/>
    </x:font>
    <x:font>
      <x:b/>
      <x:sz val="18"/>
      <x:color rgb="FFFFFFFF"/>
      <x:name val="Aptos"/>
    </x:font>
    <x:font>
      <x:sz val="11"/>
      <x:name val="Aptos"/>
    </x:font>
    <x:font>
      <x:sz val="11"/>
      <x:color rgb="FF0000FF"/>
      <x:name val="Aptos"/>
    </x:font>
    <x:font>
      <x:b/>
      <x:sz val="11"/>
      <x:name val="Aptos"/>
    </x:font>
    <x:font>
      <x:sz val="11"/>
      <x:color rgb="FF008000"/>
      <x:name val="Carlito"/>
    </x:font>
    <x:font>
      <x:sz val="11"/>
      <x:color rgb="FF008000"/>
      <x:name val="Aptos"/>
    </x:font>
    <x:font>
      <x:b/>
      <x:sz val="11"/>
      <x:color rgb="FF17365D"/>
      <x:name val="Aptos"/>
    </x:font>
    <x:font>
      <x:b/>
      <x:sz val="14"/>
      <x:color rgb="FF008000"/>
      <x:name val="Aptos"/>
    </x:font>
    <x:font>
      <x:b/>
      <x:sz val="11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2F2F2"/>
      </x:patternFill>
    </x:fill>
  </x:fills>
  <x:borders count="9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top style="medium">
        <x:color rgb="FFC00000"/>
      </x:top>
      <x:bottom style="medium">
        <x:color rgb="FFC00000"/>
      </x:bottom>
    </x:border>
    <x:border>
      <x:left style="thin">
        <x:color rgb="FFD9E1F2"/>
      </x:left>
      <x:top style="thin">
        <x:color rgb="FFD9E1F2"/>
      </x:top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  <x:bottom style="thin">
        <x:color rgb="FFD9E1F2"/>
      </x:bottom>
    </x:border>
    <x:border>
      <x:right style="thin">
        <x:color rgb="FFD9E1F2"/>
      </x:right>
      <x:bottom style="thin">
        <x:color rgb="FFD9E1F2"/>
      </x:bottom>
    </x:border>
  </x:borders>
  <x:cellStyleXfs count="1">
    <x:xf numFmtId="0" fontId="0" fillId="0" borderId="0"/>
  </x:cellStyleXfs>
  <x:cellXfs count="1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200" fontId="8" fillId="0" borderId="0" xfId="0" applyNumberFormat="1" applyFont="1" applyFill="1" applyBorder="1"/>
    <x:xf numFmtId="201" fontId="8" fillId="0" borderId="0" xfId="0" applyNumberFormat="1" applyFont="1" applyFill="1" applyBorder="1"/>
    <x:xf numFmtId="202" fontId="8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2" fontId="0" fillId="0" borderId="0" xfId="0" applyNumberFormat="1" applyFont="1" applyFill="1" applyBorder="1"/>
    <x:xf numFmtId="206" fontId="0" fillId="0" borderId="0" xfId="0" applyNumberFormat="1" applyFont="1" applyFill="1" applyBorder="1"/>
    <x:xf numFmtId="207" fontId="0" fillId="0" borderId="0" xfId="0" applyNumberFormat="1" applyFont="1" applyFill="1" applyBorder="1"/>
    <x:xf numFmtId="205" fontId="10" fillId="0" borderId="0" xfId="0" applyNumberFormat="1" applyFont="1" applyFill="1" applyBorder="1"/>
    <x:xf numFmtId="0" fontId="10" fillId="0" borderId="0" xfId="0" applyNumberFormat="1" applyFont="1" applyFill="1" applyBorder="1"/>
    <x:xf numFmtId="202" fontId="10" fillId="0" borderId="0" xfId="0" applyNumberFormat="1" applyFont="1" applyFill="1" applyBorder="1"/>
    <x:xf numFmtId="206" fontId="10" fillId="0" borderId="0" xfId="0" applyNumberFormat="1" applyFont="1" applyFill="1" applyBorder="1"/>
    <x:xf numFmtId="207" fontId="10" fillId="0" borderId="0" xfId="0" applyNumberFormat="1" applyFont="1" applyFill="1" applyBorder="1"/>
    <x:xf numFmtId="0" fontId="0" fillId="0" borderId="4" xfId="0" applyNumberFormat="1" applyFont="1" applyFill="1" applyBorder="1"/>
    <x:xf numFmtId="203" fontId="0" fillId="0" borderId="4" xfId="0" applyNumberFormat="1" applyFont="1" applyFill="1" applyBorder="1"/>
    <x:xf numFmtId="204" fontId="0" fillId="0" borderId="4" xfId="0" applyNumberFormat="1" applyFont="1" applyFill="1" applyBorder="1"/>
    <x:xf numFmtId="205" fontId="0" fillId="0" borderId="4" xfId="0" applyNumberFormat="1" applyFont="1" applyFill="1" applyBorder="1"/>
    <x:xf numFmtId="205" fontId="10" fillId="0" borderId="4" xfId="0" applyNumberFormat="1" applyFont="1" applyFill="1" applyBorder="1"/>
    <x:xf numFmtId="0" fontId="10" fillId="0" borderId="4" xfId="0" applyNumberFormat="1" applyFont="1" applyFill="1" applyBorder="1"/>
    <x:xf numFmtId="202" fontId="10" fillId="0" borderId="4" xfId="0" applyNumberFormat="1" applyFont="1" applyFill="1" applyBorder="1"/>
    <x:xf numFmtId="206" fontId="10" fillId="0" borderId="4" xfId="0" applyNumberFormat="1" applyFont="1" applyFill="1" applyBorder="1"/>
    <x:xf numFmtId="207" fontId="1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203" fontId="7" fillId="0" borderId="0" xfId="0" applyNumberFormat="1" applyFont="1" applyFill="1" applyBorder="1"/>
    <x:xf numFmtId="204" fontId="7" fillId="0" borderId="0" xfId="0" applyNumberFormat="1" applyFont="1" applyFill="1" applyBorder="1"/>
    <x:xf numFmtId="205" fontId="7" fillId="0" borderId="0" xfId="0" applyNumberFormat="1" applyFont="1" applyFill="1" applyBorder="1"/>
    <x:xf numFmtId="205" fontId="11" fillId="0" borderId="0" xfId="0" applyNumberFormat="1" applyFont="1" applyFill="1" applyBorder="1"/>
    <x:xf numFmtId="0" fontId="11" fillId="0" borderId="0" xfId="0" applyNumberFormat="1" applyFont="1" applyFill="1" applyBorder="1"/>
    <x:xf numFmtId="202" fontId="11" fillId="0" borderId="0" xfId="0" applyNumberFormat="1" applyFont="1" applyFill="1" applyBorder="1"/>
    <x:xf numFmtId="206" fontId="11" fillId="0" borderId="0" xfId="0" applyNumberFormat="1" applyFont="1" applyFill="1" applyBorder="1"/>
    <x:xf numFmtId="207" fontId="11" fillId="0" borderId="0" xfId="0" applyNumberFormat="1" applyFont="1" applyFill="1" applyBorder="1"/>
    <x:xf numFmtId="0" fontId="7" fillId="0" borderId="4" xfId="0" applyNumberFormat="1" applyFont="1" applyFill="1" applyBorder="1"/>
    <x:xf numFmtId="203" fontId="7" fillId="0" borderId="4" xfId="0" applyNumberFormat="1" applyFont="1" applyFill="1" applyBorder="1"/>
    <x:xf numFmtId="204" fontId="7" fillId="0" borderId="4" xfId="0" applyNumberFormat="1" applyFont="1" applyFill="1" applyBorder="1"/>
    <x:xf numFmtId="205" fontId="7" fillId="0" borderId="4" xfId="0" applyNumberFormat="1" applyFont="1" applyFill="1" applyBorder="1"/>
    <x:xf numFmtId="205" fontId="11" fillId="0" borderId="4" xfId="0" applyNumberFormat="1" applyFont="1" applyFill="1" applyBorder="1"/>
    <x:xf numFmtId="0" fontId="11" fillId="0" borderId="4" xfId="0" applyNumberFormat="1" applyFont="1" applyFill="1" applyBorder="1"/>
    <x:xf numFmtId="202" fontId="11" fillId="0" borderId="4" xfId="0" applyNumberFormat="1" applyFont="1" applyFill="1" applyBorder="1"/>
    <x:xf numFmtId="206" fontId="11" fillId="0" borderId="4" xfId="0" applyNumberFormat="1" applyFont="1" applyFill="1" applyBorder="1"/>
    <x:xf numFmtId="207" fontId="11" fillId="0" borderId="4" xfId="0" applyNumberFormat="1" applyFont="1" applyFill="1" applyBorder="1"/>
    <x:xf numFmtId="0" fontId="7" fillId="0" borderId="4" xfId="0" applyNumberFormat="1" applyFont="1" applyFill="1" applyBorder="1" applyAlignment="1">
      <x:alignment wrapText="1"/>
    </x:xf>
    <x:xf numFmtId="203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5" xfId="0" applyNumberFormat="1" applyFont="1" applyFill="1" applyBorder="1" applyAlignment="1">
      <x:alignment vertical="center"/>
    </x:xf>
    <x:xf numFmtId="0" fontId="0" fillId="5" borderId="6" xfId="0" applyNumberFormat="1" applyFont="1" applyFill="1" applyBorder="1" applyAlignment="1">
      <x:alignment vertical="center"/>
    </x:xf>
    <x:xf numFmtId="0" fontId="0" fillId="5" borderId="7" xfId="0" applyNumberFormat="1" applyFont="1" applyFill="1" applyBorder="1" applyAlignment="1">
      <x:alignment vertical="center"/>
    </x:xf>
    <x:xf numFmtId="0" fontId="0" fillId="5" borderId="8" xfId="0" applyNumberFormat="1" applyFont="1" applyFill="1" applyBorder="1" applyAlignment="1">
      <x:alignment vertical="center"/>
    </x:xf>
    <x:xf numFmtId="0" fontId="7" fillId="5" borderId="5" xfId="0" applyNumberFormat="1" applyFont="1" applyFill="1" applyBorder="1" applyAlignment="1">
      <x:alignment vertical="center"/>
    </x:xf>
    <x:xf numFmtId="0" fontId="7" fillId="5" borderId="6" xfId="0" applyNumberFormat="1" applyFont="1" applyFill="1" applyBorder="1" applyAlignment="1">
      <x:alignment vertical="center"/>
    </x:xf>
    <x:xf numFmtId="0" fontId="7" fillId="5" borderId="7" xfId="0" applyNumberFormat="1" applyFont="1" applyFill="1" applyBorder="1" applyAlignment="1">
      <x:alignment vertical="center"/>
    </x:xf>
    <x:xf numFmtId="0" fontId="7" fillId="5" borderId="8" xfId="0" applyNumberFormat="1" applyFont="1" applyFill="1" applyBorder="1" applyAlignment="1">
      <x:alignment vertical="center"/>
    </x:xf>
    <x:xf numFmtId="0" fontId="12" fillId="5" borderId="5" xfId="0" applyNumberFormat="1" applyFont="1" applyFill="1" applyBorder="1" applyAlignment="1">
      <x:alignment vertical="center"/>
    </x:xf>
    <x:xf numFmtId="0" fontId="12" fillId="5" borderId="6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/>
    <x:xf numFmtId="0" fontId="13" fillId="5" borderId="7" xfId="0" applyNumberFormat="1" applyFont="1" applyFill="1" applyBorder="1" applyAlignment="1">
      <x:alignment vertical="center"/>
    </x:xf>
    <x:xf numFmtId="0" fontId="13" fillId="5" borderId="8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/>
    <x:xf numFmtId="0" fontId="13" fillId="5" borderId="5" xfId="0" applyNumberFormat="1" applyFont="1" applyFill="1" applyBorder="1" applyAlignment="1">
      <x:alignment vertical="center"/>
    </x:xf>
    <x:xf numFmtId="0" fontId="13" fillId="5" borderId="6" xfId="0" applyNumberFormat="1" applyFont="1" applyFill="1" applyBorder="1" applyAlignment="1">
      <x:alignment vertical="center"/>
    </x:xf>
    <x:xf numFmtId="208" fontId="13" fillId="5" borderId="7" xfId="0" applyNumberFormat="1" applyFont="1" applyFill="1" applyBorder="1" applyAlignment="1">
      <x:alignment vertical="center"/>
    </x:xf>
    <x:xf numFmtId="208" fontId="13" fillId="5" borderId="8" xfId="0" applyNumberFormat="1" applyFont="1" applyFill="1" applyBorder="1" applyAlignment="1">
      <x:alignment vertical="center"/>
    </x:xf>
    <x:xf numFmtId="208" fontId="13" fillId="0" borderId="0" xfId="0" applyNumberFormat="1" applyFont="1" applyFill="1" applyBorder="1"/>
    <x:xf numFmtId="201" fontId="13" fillId="5" borderId="7" xfId="0" applyNumberFormat="1" applyFont="1" applyFill="1" applyBorder="1" applyAlignment="1">
      <x:alignment vertical="center"/>
    </x:xf>
    <x:xf numFmtId="201" fontId="13" fillId="5" borderId="8" xfId="0" applyNumberFormat="1" applyFont="1" applyFill="1" applyBorder="1" applyAlignment="1">
      <x:alignment vertical="center"/>
    </x:xf>
    <x:xf numFmtId="201" fontId="13" fillId="0" borderId="0" xfId="0" applyNumberFormat="1" applyFont="1" applyFill="1" applyBorder="1"/>
    <x:xf numFmtId="209" fontId="0" fillId="0" borderId="0" xfId="0" applyNumberFormat="1" applyFont="1" applyFill="1" applyBorder="1"/>
    <x:xf numFmtId="208" fontId="0" fillId="0" borderId="0" xfId="0" applyNumberFormat="1" applyFont="1" applyFill="1" applyBorder="1"/>
    <x:xf numFmtId="209" fontId="10" fillId="0" borderId="0" xfId="0" applyNumberFormat="1" applyFont="1" applyFill="1" applyBorder="1"/>
    <x:xf numFmtId="208" fontId="10" fillId="0" borderId="0" xfId="0" applyNumberFormat="1" applyFont="1" applyFill="1" applyBorder="1"/>
    <x:xf numFmtId="209" fontId="11" fillId="0" borderId="0" xfId="0" applyNumberFormat="1" applyFont="1" applyFill="1" applyBorder="1"/>
    <x:xf numFmtId="208" fontId="11" fillId="0" borderId="0" xfId="0" applyNumberFormat="1" applyFont="1" applyFill="1" applyBorder="1"/>
    <x:xf numFmtId="210" fontId="0" fillId="0" borderId="0" xfId="0" applyNumberFormat="1" applyFont="1" applyFill="1" applyBorder="1"/>
    <x:xf numFmtId="211" fontId="0" fillId="0" borderId="0" xfId="0" applyNumberFormat="1" applyFont="1" applyFill="1" applyBorder="1"/>
    <x:xf numFmtId="210" fontId="10" fillId="0" borderId="0" xfId="0" applyNumberFormat="1" applyFont="1" applyFill="1" applyBorder="1"/>
    <x:xf numFmtId="211" fontId="10" fillId="0" borderId="0" xfId="0" applyNumberFormat="1" applyFont="1" applyFill="1" applyBorder="1"/>
    <x:xf numFmtId="210" fontId="7" fillId="0" borderId="0" xfId="0" applyNumberFormat="1" applyFont="1" applyFill="1" applyBorder="1"/>
    <x:xf numFmtId="210" fontId="11" fillId="0" borderId="0" xfId="0" applyNumberFormat="1" applyFont="1" applyFill="1" applyBorder="1"/>
    <x:xf numFmtId="211" fontId="11" fillId="0" borderId="0" xfId="0" applyNumberFormat="1" applyFont="1" applyFill="1" applyBorder="1"/>
    <x:xf numFmtId="208" fontId="7" fillId="0" borderId="0" xfId="0" applyNumberFormat="1" applyFont="1" applyFill="1" applyBorder="1"/>
    <x:xf numFmtId="0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7"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928ee852e64a8e" /><Relationship Type="http://schemas.openxmlformats.org/officeDocument/2006/relationships/theme" Target="/xl/theme/theme1.xml" Id="R9afa720d8e7245a8" /><Relationship Type="http://schemas.openxmlformats.org/officeDocument/2006/relationships/sharedStrings" Target="/xl/sharedStrings.xml" Id="Rc405187a84b94489" /><Relationship Type="http://schemas.openxmlformats.org/officeDocument/2006/relationships/worksheet" Target="/xl/worksheets/sheet1.xml" Id="R614da594a54c4ab5" /><Relationship Type="http://schemas.openxmlformats.org/officeDocument/2006/relationships/worksheet" Target="/xl/worksheets/sheet2.xml" Id="R4fa086cd54cb461e" /><Relationship Type="http://schemas.openxmlformats.org/officeDocument/2006/relationships/worksheet" Target="/xl/worksheets/sheet3.xml" Id="Rde613935311b42bb" /><Relationship Type="http://schemas.openxmlformats.org/officeDocument/2006/relationships/worksheet" Target="/xl/worksheets/sheet4.xml" Id="R1e83c14ff9fd4be3" /><Relationship Type="http://schemas.openxmlformats.org/officeDocument/2006/relationships/worksheet" Target="/xl/worksheets/sheet5.xml" Id="R6279afb1150341ca" /><Relationship Type="http://schemas.openxmlformats.org/officeDocument/2006/relationships/worksheet" Target="/xl/worksheets/sheet6.xml" Id="Re46e73fa57714d63" /><Relationship Type="http://schemas.microsoft.com/office/2017/10/relationships/person" Target="/xl/persons/person.xml" Id="R25f190ca917a452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1c5de5212ad4a6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Cumulative growth: baseline vs rule (log10 equity multiple)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Baseline log10 equity multiple</c:v>
          </c:tx>
          <c:marker>
            <c:symbol val="none"/>
          </c:marker>
          <c:cat>
            <c:strRef>
              <c:f>'Summary'!$N$5:$N$436</c:f>
              <c:strCache>
                <c:ptCount val="0"/>
              </c:strCache>
            </c:strRef>
          </c:cat>
          <c:val>
            <c:numRef>
              <c:f>'Summary'!$O$5:$O$436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Rule log10 equity multiple</c:v>
          </c:tx>
          <c:marker>
            <c:symbol val="none"/>
          </c:marker>
          <c:cat>
            <c:strRef>
              <c:f>'Summary'!$N$5:$N$436</c:f>
              <c:strCache>
                <c:ptCount val="0"/>
              </c:strCache>
            </c:strRef>
          </c:cat>
          <c:val>
            <c:numRef>
              <c:f>'Summary'!$P$5:$P$436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log10 equity multiple</a:t>
                </a:r>
              </a:p>
            </c:rich>
          </c:tx>
          <c:overlay val="0"/>
        </c:title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22</xdr:row>
      <xdr:rowOff>0</xdr:rowOff>
    </xdr:from>
    <xdr:to>
      <xdr:col>12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1c5de5212ad4a60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FC205680-9584-401B-B22E-D8122A8BC76A}"/>
</xltc:personList>
</file>

<file path=xl/tables/table1.xml><?xml version="1.0" encoding="utf-8"?>
<x:table xmlns:x="http://schemas.openxmlformats.org/spreadsheetml/2006/main" id="1" name="AllTradesTable" displayName="AllTradesTable" ref="A4:AE436" headerRowCount="1" totalsRowCount="0" totalsRowShown="0">
  <x:tableColumns count="31">
    <x:tableColumn id="1" name="Trade #"/>
    <x:tableColumn id="2" name="Open date"/>
    <x:tableColumn id="3" name="Close date"/>
    <x:tableColumn id="4" name="Exit reason"/>
    <x:tableColumn id="5" name="Baseline open"/>
    <x:tableColumn id="6" name="Baseline close"/>
    <x:tableColumn id="7" name="Baseline raw"/>
    <x:tableColumn id="8" name="Previous 3 rule sum"/>
    <x:tableColumn id="9" name="Damage trigger"/>
    <x:tableColumn id="10" name="Cash-open gap"/>
    <x:tableColumn id="11" name="Momentum 20d"/>
    <x:tableColumn id="12" name="Tuesday vs Friday"/>
    <x:tableColumn id="13" name="Gap trigger"/>
    <x:tableColumn id="14" name="Momentum trigger"/>
    <x:tableColumn id="15" name="Tuesday normalized"/>
    <x:tableColumn id="16" name="Tuesday date"/>
    <x:tableColumn id="17" name="Tuesday entry"/>
    <x:tableColumn id="18" name="Tuesday repriced raw"/>
    <x:tableColumn id="19" name="Rule action"/>
    <x:tableColumn id="20" name="Rule raw"/>
    <x:tableColumn id="21" name="Baseline 11.3x"/>
    <x:tableColumn id="22" name="Rule 11.3x"/>
    <x:tableColumn id="23" name="11.3x difference"/>
    <x:tableColumn id="24" name="Baseline equity"/>
    <x:tableColumn id="25" name="Baseline peak"/>
    <x:tableColumn id="26" name="Baseline DD"/>
    <x:tableColumn id="27" name="Rule equity"/>
    <x:tableColumn id="28" name="Rule peak"/>
    <x:tableColumn id="29" name="Rule DD"/>
    <x:tableColumn id="30" name="Equity difference"/>
    <x:tableColumn id="31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hangedTradesTable" displayName="ChangedTradesTable" ref="A4:L67" headerRowCount="1" totalsRowCount="0" totalsRowShown="0">
  <x:tableColumns count="12">
    <x:tableColumn id="1" name="Trade #"/>
    <x:tableColumn id="2" name="Open date"/>
    <x:tableColumn id="3" name="Close date"/>
    <x:tableColumn id="4" name="Exit reason"/>
    <x:tableColumn id="5" name="Baseline raw"/>
    <x:tableColumn id="6" name="Rule action"/>
    <x:tableColumn id="7" name="Rule raw"/>
    <x:tableColumn id="8" name="11.3x difference"/>
    <x:tableColumn id="9" name="Cash-open gap"/>
    <x:tableColumn id="10" name="Momentum 20d"/>
    <x:tableColumn id="11" name="Tuesday vs Friday"/>
    <x:tableColumn id="12" name="Note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10" dT="2026-08-11T08:17:04.899" personId="{FC205680-9584-401B-B22E-D8122A8BC76A}" id="{9FDB3B54-0A8E-4595-1074-862143BDEB1A}">
    <xltc:text>Friday normalization uses the Tuesday daily cash-session open divided by the previous Friday daily cash-session close, minus one.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29fcc20a4d9496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afcea9d311f34958" /><Relationship Type="http://schemas.openxmlformats.org/officeDocument/2006/relationships/vmlDrawing" Target="/xl/drawings/vmldrawing.vml" Id="R3a461d553c1e433f" /><Relationship Type="http://schemas.microsoft.com/office/2017/10/relationships/threadedComment" Target="/xl/threadedcomments/threadedcomment.xml" Id="R825f9d41622f4a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536bf9907cd249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cf30ff51af945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</x:cols>
  <x:sheetData>
    <x:row r="1" ht="30" customHeight="1">
      <x:c r="A1" s="22" t="str">
        <x:v>OPPW baseline versus loss-control rule</x:v>
      </x:c>
      <x:c r="B1" s="22" t="str">
        <x:v>OPPW baseline versus loss-control rule</x:v>
      </x:c>
      <x:c r="C1" s="22" t="str">
        <x:v>OPPW baseline versus loss-control rule</x:v>
      </x:c>
      <x:c r="D1" s="22" t="str">
        <x:v>OPPW baseline versus loss-control rule</x:v>
      </x:c>
      <x:c r="E1" s="22" t="str">
        <x:v>OPPW baseline versus loss-control rule</x:v>
      </x:c>
      <x:c r="F1" s="22" t="str">
        <x:v>OPPW baseline versus loss-control rule</x:v>
      </x:c>
      <x:c r="G1" s="22" t="str">
        <x:v>OPPW baseline versus loss-control rule</x:v>
      </x:c>
      <x:c r="H1" s="22" t="str">
        <x:v>OPPW baseline versus loss-control rule</x:v>
      </x:c>
      <x:c r="I1" s="22" t="str">
        <x:v>OPPW baseline versus loss-control rule</x:v>
      </x:c>
      <x:c r="J1" s="22" t="str">
        <x:v>OPPW baseline versus loss-control rule</x:v>
      </x:c>
      <x:c r="K1" s="22" t="str">
        <x:v>OPPW baseline versus loss-control rule</x:v>
      </x:c>
      <x:c r="L1" s="22" t="str">
        <x:v>OPPW baseline versus loss-control rule</x:v>
      </x:c>
    </x:row>
    <x:row r="2" ht="30" customHeight="1">
      <x:c r="A2" s="22" t="str">
        <x:v>OPPW baseline versus loss-control rule</x:v>
      </x:c>
      <x:c r="B2" s="22" t="str">
        <x:v>OPPW baseline versus loss-control rule</x:v>
      </x:c>
      <x:c r="C2" s="22" t="str">
        <x:v>OPPW baseline versus loss-control rule</x:v>
      </x:c>
      <x:c r="D2" s="22" t="str">
        <x:v>OPPW baseline versus loss-control rule</x:v>
      </x:c>
      <x:c r="E2" s="22" t="str">
        <x:v>OPPW baseline versus loss-control rule</x:v>
      </x:c>
      <x:c r="F2" s="22" t="str">
        <x:v>OPPW baseline versus loss-control rule</x:v>
      </x:c>
      <x:c r="G2" s="22" t="str">
        <x:v>OPPW baseline versus loss-control rule</x:v>
      </x:c>
      <x:c r="H2" s="22" t="str">
        <x:v>OPPW baseline versus loss-control rule</x:v>
      </x:c>
      <x:c r="I2" s="22" t="str">
        <x:v>OPPW baseline versus loss-control rule</x:v>
      </x:c>
      <x:c r="J2" s="22" t="str">
        <x:v>OPPW baseline versus loss-control rule</x:v>
      </x:c>
      <x:c r="K2" s="22" t="str">
        <x:v>OPPW baseline versus loss-control rule</x:v>
      </x:c>
      <x:c r="L2" s="22" t="str">
        <x:v>OPPW baseline versus loss-control rule</x:v>
      </x:c>
    </x:row>
    <x:row r="3" ht="26" customHeight="1">
      <x:c r="A3" s="7" t="str">
        <x:v>Stateful comparison at 11.3x leverage. Tuesday re-entry is an approximate repricing overlay normalized from Friday.</x:v>
      </x:c>
      <x:c r="B3" s="7" t="str">
        <x:v>Stateful comparison at 11.3x leverage. Tuesday re-entry is an approximate repricing overlay normalized from Friday.</x:v>
      </x:c>
      <x:c r="C3" s="7" t="str">
        <x:v>Stateful comparison at 11.3x leverage. Tuesday re-entry is an approximate repricing overlay normalized from Friday.</x:v>
      </x:c>
      <x:c r="D3" s="7" t="str">
        <x:v>Stateful comparison at 11.3x leverage. Tuesday re-entry is an approximate repricing overlay normalized from Friday.</x:v>
      </x:c>
      <x:c r="E3" s="7" t="str">
        <x:v>Stateful comparison at 11.3x leverage. Tuesday re-entry is an approximate repricing overlay normalized from Friday.</x:v>
      </x:c>
      <x:c r="F3" s="7" t="str">
        <x:v>Stateful comparison at 11.3x leverage. Tuesday re-entry is an approximate repricing overlay normalized from Friday.</x:v>
      </x:c>
      <x:c r="G3" s="7" t="str">
        <x:v>Stateful comparison at 11.3x leverage. Tuesday re-entry is an approximate repricing overlay normalized from Friday.</x:v>
      </x:c>
      <x:c r="H3" s="7" t="str">
        <x:v>Stateful comparison at 11.3x leverage. Tuesday re-entry is an approximate repricing overlay normalized from Friday.</x:v>
      </x:c>
      <x:c r="I3" s="7" t="str">
        <x:v>Stateful comparison at 11.3x leverage. Tuesday re-entry is an approximate repricing overlay normalized from Friday.</x:v>
      </x:c>
      <x:c r="J3" s="7" t="str">
        <x:v>Stateful comparison at 11.3x leverage. Tuesday re-entry is an approximate repricing overlay normalized from Friday.</x:v>
      </x:c>
      <x:c r="K3" s="7" t="str">
        <x:v>Stateful comparison at 11.3x leverage. Tuesday re-entry is an approximate repricing overlay normalized from Friday.</x:v>
      </x:c>
      <x:c r="L3" s="7" t="str">
        <x:v>Stateful comparison at 11.3x leverage. Tuesday re-entry is an approximate repricing overlay normalized from Friday.</x:v>
      </x:c>
    </x:row>
    <x:row r="4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N4" t="str">
        <x:v>Week</x:v>
      </x:c>
      <x:c r="O4" t="str">
        <x:v>Baseline log10 equity multiple</x:v>
      </x:c>
      <x:c r="P4" t="str">
        <x:v>Rule log10 equity multiple</x:v>
      </x:c>
    </x:row>
    <x:row r="5">
      <x:c r="A5" s="86" t="str">
        <x:v>Trades</x:v>
      </x:c>
      <x:c r="B5" s="87"/>
      <x:c r="C5" s="88"/>
      <x:c r="D5" s="86" t="str">
        <x:v>Changed</x:v>
      </x:c>
      <x:c r="E5" s="87"/>
      <x:c r="F5" s="88"/>
      <x:c r="G5" s="86" t="str">
        <x:v>Model status</x:v>
      </x:c>
      <x:c r="H5" s="87"/>
      <x:c r="I5" s="23"/>
      <x:c r="J5" s="23"/>
      <x:c r="K5" s="23"/>
      <x:c r="L5" s="23"/>
      <x:c r="N5" t="str">
        <x:f>TEXT('All Trades'!B5,"yyyy-mm-dd")</x:f>
        <x:v>2018-04-16</x:v>
      </x:c>
      <x:c r="O5" t="n">
        <x:f>LOG10('All Trades'!X5/'Assumptions'!$B$11)</x:f>
        <x:v>0.0953214150832959</x:v>
      </x:c>
      <x:c r="P5" t="n">
        <x:f>LOG10('All Trades'!AA5/'Assumptions'!$B$11)</x:f>
        <x:v>0.0953214150832959</x:v>
      </x:c>
    </x:row>
    <x:row r="6">
      <x:c r="A6" s="89" t="n">
        <x:f>COUNT('All Trades'!$A$5:$A$436)</x:f>
        <x:v>432</x:v>
      </x:c>
      <x:c r="B6" s="90"/>
      <x:c r="C6" s="91"/>
      <x:c r="D6" s="89" t="n">
        <x:f>COUNTIF('All Trades'!$S$5:$S$436,"&lt;&gt;BASELINE")</x:f>
        <x:v>63</x:v>
      </x:c>
      <x:c r="E6" s="90"/>
      <x:c r="F6" s="91"/>
      <x:c r="G6" s="89" t="str">
        <x:f>IF(COUNTIF('Checks'!$F$5:$F$11,"CHECK")=0,"OK","CHECK")</x:f>
        <x:v>OK</x:v>
      </x:c>
      <x:c r="H6" s="90"/>
      <x:c r="I6" s="23"/>
      <x:c r="J6" s="23"/>
      <x:c r="K6" s="23"/>
      <x:c r="L6" s="23"/>
      <x:c r="N6" t="str">
        <x:f>TEXT('All Trades'!B6,"yyyy-mm-dd")</x:f>
        <x:v>2018-04-23</x:v>
      </x:c>
      <x:c r="O6" t="n">
        <x:f>LOG10('All Trades'!X6/'Assumptions'!$B$11)</x:f>
        <x:v>0.00261827471982218</x:v>
      </x:c>
      <x:c r="P6" t="n">
        <x:f>LOG10('All Trades'!AA6/'Assumptions'!$B$11)</x:f>
        <x:v>0.00261827471982218</x:v>
      </x:c>
    </x:row>
    <x:row r="7">
      <x:c r="A7" s="91"/>
      <x:c r="B7" s="91"/>
      <x:c r="C7" s="91"/>
      <x:c r="D7" s="91"/>
      <x:c r="E7" s="91"/>
      <x:c r="F7" s="91"/>
      <x:c r="G7" s="91"/>
      <x:c r="H7" s="91"/>
      <x:c r="I7" s="23"/>
      <x:c r="J7" s="23"/>
      <x:c r="K7" s="23"/>
      <x:c r="L7" s="23"/>
      <x:c r="N7" t="str">
        <x:f>TEXT('All Trades'!B7,"yyyy-mm-dd")</x:f>
        <x:v>2018-04-30</x:v>
      </x:c>
      <x:c r="O7" t="n">
        <x:f>LOG10('All Trades'!X7/'Assumptions'!$B$11)</x:f>
        <x:v>-0.0282412951712763</x:v>
      </x:c>
      <x:c r="P7" t="n">
        <x:f>LOG10('All Trades'!AA7/'Assumptions'!$B$11)</x:f>
        <x:v>-0.0282412951712763</x:v>
      </x:c>
    </x:row>
    <x:row r="8">
      <x:c r="A8" s="92" t="str">
        <x:v>Baseline weekly geo</x:v>
      </x:c>
      <x:c r="B8" s="93"/>
      <x:c r="C8" s="91"/>
      <x:c r="D8" s="92" t="str">
        <x:v>Rule weekly geo</x:v>
      </x:c>
      <x:c r="E8" s="93"/>
      <x:c r="F8" s="91"/>
      <x:c r="G8" s="92" t="str">
        <x:v>Weekly uplift</x:v>
      </x:c>
      <x:c r="H8" s="93"/>
      <x:c r="I8" s="23"/>
      <x:c r="J8" s="23"/>
      <x:c r="K8" s="23"/>
      <x:c r="L8" s="23"/>
      <x:c r="N8" t="str">
        <x:f>TEXT('All Trades'!B8,"yyyy-mm-dd")</x:f>
        <x:v>2018-05-07</x:v>
      </x:c>
      <x:c r="O8" t="n">
        <x:f>LOG10('All Trades'!X8/'Assumptions'!$B$11)</x:f>
        <x:v>0.0715491139768151</x:v>
      </x:c>
      <x:c r="P8" t="n">
        <x:f>LOG10('All Trades'!AA8/'Assumptions'!$B$11)</x:f>
        <x:v>0.0715491139768151</x:v>
      </x:c>
    </x:row>
    <x:row r="9">
      <x:c r="A9" s="94" t="n">
        <x:f>POWER('All Trades'!X436/'Assumptions'!$B$11,1/COUNT('All Trades'!$A$5:$A$436))-1</x:f>
        <x:v>0.03323523238959214</x:v>
      </x:c>
      <x:c r="B9" s="95"/>
      <x:c r="C9" s="96"/>
      <x:c r="D9" s="94" t="n">
        <x:f>POWER('All Trades'!AA436/'Assumptions'!$B$11,1/COUNT('All Trades'!$A$5:$A$436))-1</x:f>
        <x:v>0.04071333366403529</x:v>
      </x:c>
      <x:c r="E9" s="95"/>
      <x:c r="F9" s="96"/>
      <x:c r="G9" s="94" t="n">
        <x:f>D9-A9</x:f>
        <x:v>0.00747810127444315</x:v>
      </x:c>
      <x:c r="H9" s="95"/>
      <x:c r="I9" s="23"/>
      <x:c r="J9" s="23"/>
      <x:c r="K9" s="23"/>
      <x:c r="L9" s="23"/>
      <x:c r="N9" t="str">
        <x:f>TEXT('All Trades'!B9,"yyyy-mm-dd")</x:f>
        <x:v>2018-05-14</x:v>
      </x:c>
      <x:c r="O9" t="n">
        <x:f>LOG10('All Trades'!X9/'Assumptions'!$B$11)</x:f>
        <x:v>0.051461524311532</x:v>
      </x:c>
      <x:c r="P9" t="n">
        <x:f>LOG10('All Trades'!AA9/'Assumptions'!$B$11)</x:f>
        <x:v>0.051461524311532</x:v>
      </x:c>
    </x:row>
    <x:row r="10">
      <x:c r="A10" s="91"/>
      <x:c r="B10" s="91"/>
      <x:c r="C10" s="91"/>
      <x:c r="D10" s="91"/>
      <x:c r="E10" s="91"/>
      <x:c r="F10" s="91"/>
      <x:c r="G10" s="91"/>
      <x:c r="H10" s="91"/>
      <x:c r="I10" s="23"/>
      <x:c r="J10" s="23"/>
      <x:c r="K10" s="23"/>
      <x:c r="L10" s="23"/>
      <x:c r="N10" t="str">
        <x:f>TEXT('All Trades'!B10,"yyyy-mm-dd")</x:f>
        <x:v>2018-05-21</x:v>
      </x:c>
      <x:c r="O10" t="n">
        <x:f>LOG10('All Trades'!X10/'Assumptions'!$B$11)</x:f>
        <x:v>0.031373934646249</x:v>
      </x:c>
      <x:c r="P10" t="n">
        <x:f>LOG10('All Trades'!AA10/'Assumptions'!$B$11)</x:f>
        <x:v>0.031373934646249</x:v>
      </x:c>
    </x:row>
    <x:row r="11">
      <x:c r="A11" s="92" t="str">
        <x:v>Baseline max DD</x:v>
      </x:c>
      <x:c r="B11" s="93"/>
      <x:c r="C11" s="91"/>
      <x:c r="D11" s="92" t="str">
        <x:v>Rule max DD</x:v>
      </x:c>
      <x:c r="E11" s="93"/>
      <x:c r="F11" s="91"/>
      <x:c r="G11" s="92" t="str">
        <x:v>Target rule raw</x:v>
      </x:c>
      <x:c r="H11" s="93"/>
      <x:c r="I11" s="23"/>
      <x:c r="J11" s="23"/>
      <x:c r="K11" s="23"/>
      <x:c r="L11" s="23"/>
      <x:c r="N11" t="str">
        <x:f>TEXT('All Trades'!B11,"yyyy-mm-dd")</x:f>
        <x:v>2018-05-29</x:v>
      </x:c>
      <x:c r="O11" t="n">
        <x:f>LOG10('All Trades'!X11/'Assumptions'!$B$11)</x:f>
        <x:v>0.130305479817344</x:v>
      </x:c>
      <x:c r="P11" t="n">
        <x:f>LOG10('All Trades'!AA11/'Assumptions'!$B$11)</x:f>
        <x:v>0.130305479817344</x:v>
      </x:c>
    </x:row>
    <x:row r="12">
      <x:c r="A12" s="97" t="n">
        <x:f>-MIN('All Trades'!Z5:Z436)</x:f>
        <x:v>0.9682529767481934</x:v>
      </x:c>
      <x:c r="B12" s="98"/>
      <x:c r="C12" s="99"/>
      <x:c r="D12" s="97" t="n">
        <x:f>-MIN('All Trades'!AC5:AC436)</x:f>
        <x:v>0.7058689320859444</x:v>
      </x:c>
      <x:c r="E12" s="98"/>
      <x:c r="F12" s="99"/>
      <x:c r="G12" s="97" t="n">
        <x:f>'All Trades'!T435</x:f>
        <x:v>0</x:v>
      </x:c>
      <x:c r="H12" s="98"/>
      <x:c r="I12" s="23"/>
      <x:c r="J12" s="23"/>
      <x:c r="K12" s="23"/>
      <x:c r="L12" s="23"/>
      <x:c r="N12" t="str">
        <x:f>TEXT('All Trades'!B12,"yyyy-mm-dd")</x:f>
        <x:v>2018-06-04</x:v>
      </x:c>
      <x:c r="O12" t="n">
        <x:f>LOG10('All Trades'!X12/'Assumptions'!$B$11)</x:f>
        <x:v>0.165589895168255</x:v>
      </x:c>
      <x:c r="P12" t="n">
        <x:f>LOG10('All Trades'!AA12/'Assumptions'!$B$11)</x:f>
        <x:v>0.165589895168255</x:v>
      </x:c>
    </x:row>
    <x:row r="13">
      <x:c r="A13" s="23"/>
      <x:c r="B13" s="23"/>
      <x:c r="C13" s="23"/>
      <x:c r="D13" s="23"/>
      <x:c r="E13" s="23"/>
      <x:c r="F13" s="23"/>
      <x:c r="G13" s="23"/>
      <x:c r="H13" s="23"/>
      <x:c r="I13" s="23"/>
      <x:c r="J13" s="23"/>
      <x:c r="K13" s="23"/>
      <x:c r="L13" s="23"/>
      <x:c r="N13" t="str">
        <x:f>TEXT('All Trades'!B13,"yyyy-mm-dd")</x:f>
        <x:v>2018-06-11</x:v>
      </x:c>
      <x:c r="O13" t="n">
        <x:f>LOG10('All Trades'!X13/'Assumptions'!$B$11)</x:f>
        <x:v>0.236100608048466</x:v>
      </x:c>
      <x:c r="P13" t="n">
        <x:f>LOG10('All Trades'!AA13/'Assumptions'!$B$11)</x:f>
        <x:v>0.236100608048466</x:v>
      </x:c>
    </x:row>
    <x:row r="14">
      <x:c r="A14" s="23"/>
      <x:c r="B14" s="23"/>
      <x:c r="C14" s="23"/>
      <x:c r="D14" s="23"/>
      <x:c r="E14" s="23"/>
      <x:c r="F14" s="23"/>
      <x:c r="G14" s="23"/>
      <x:c r="H14" s="23"/>
      <x:c r="I14" s="23"/>
      <x:c r="J14" s="23"/>
      <x:c r="K14" s="23"/>
      <x:c r="L14" s="23"/>
      <x:c r="N14" t="str">
        <x:f>TEXT('All Trades'!B14,"yyyy-mm-dd")</x:f>
        <x:v>2018-06-18</x:v>
      </x:c>
      <x:c r="O14" t="n">
        <x:f>LOG10('All Trades'!X14/'Assumptions'!$B$11)</x:f>
        <x:v>0.216013018383183</x:v>
      </x:c>
      <x:c r="P14" t="n">
        <x:f>LOG10('All Trades'!AA14/'Assumptions'!$B$11)</x:f>
        <x:v>0.216013018383183</x:v>
      </x:c>
    </x:row>
    <x:row r="15">
      <x:c r="A15" s="13" t="str">
        <x:v>Period</x:v>
      </x:c>
      <x:c r="B15" s="14" t="str">
        <x:v>Weeks</x:v>
      </x:c>
      <x:c r="C15" s="14" t="str">
        <x:v>Baseline weekly geo</x:v>
      </x:c>
      <x:c r="D15" s="14" t="str">
        <x:v>Rule weekly geo</x:v>
      </x:c>
      <x:c r="E15" s="14" t="str">
        <x:v>Difference</x:v>
      </x:c>
      <x:c r="F15" s="14" t="str">
        <x:v>Baseline CAGR</x:v>
      </x:c>
      <x:c r="G15" s="15" t="str">
        <x:v>Rule CAGR</x:v>
      </x:c>
      <x:c r="H15" s="23"/>
      <x:c r="I15" s="23"/>
      <x:c r="J15" s="23"/>
      <x:c r="K15" s="23"/>
      <x:c r="L15" s="23"/>
      <x:c r="N15" t="str">
        <x:f>TEXT('All Trades'!B15,"yyyy-mm-dd")</x:f>
        <x:v>2018-06-25</x:v>
      </x:c>
      <x:c r="O15" t="n">
        <x:f>LOG10('All Trades'!X15/'Assumptions'!$B$11)</x:f>
        <x:v>0.1959254287179</x:v>
      </x:c>
      <x:c r="P15" t="n">
        <x:f>LOG10('All Trades'!AA15/'Assumptions'!$B$11)</x:f>
        <x:v>0.1959254287179</x:v>
      </x:c>
    </x:row>
    <x:row r="16">
      <x:c r="A16" s="23" t="str">
        <x:v>Full history</x:v>
      </x:c>
      <x:c r="B16" s="104" t="n">
        <x:f>432</x:f>
        <x:v>432</x:v>
      </x:c>
      <x:c r="C16" s="105" t="n">
        <x:f>POWER('All Trades'!X436/'Assumptions'!$B$11,1/B16)-1</x:f>
        <x:v>0.03323523238959214</x:v>
      </x:c>
      <x:c r="D16" s="105" t="n">
        <x:f>POWER('All Trades'!AA436/'Assumptions'!$B$11,1/B16)-1</x:f>
        <x:v>0.04071333366403529</x:v>
      </x:c>
      <x:c r="E16" s="105" t="n">
        <x:f>D16-C16</x:f>
        <x:v>0.00747810127444315</x:v>
      </x:c>
      <x:c r="F16" s="105" t="n">
        <x:f>POWER(1+C16,52)-1</x:f>
        <x:v>4.47468018223099</x:v>
      </x:c>
      <x:c r="G16" s="105" t="n">
        <x:f>POWER(1+D16,52)-1</x:f>
        <x:v>6.965594191662071</x:v>
      </x:c>
      <x:c r="H16" s="23"/>
      <x:c r="I16" s="23"/>
      <x:c r="J16" s="23"/>
      <x:c r="K16" s="23"/>
      <x:c r="L16" s="23"/>
      <x:c r="N16" t="str">
        <x:f>TEXT('All Trades'!B16,"yyyy-mm-dd")</x:f>
        <x:v>2018-07-02</x:v>
      </x:c>
      <x:c r="O16" t="n">
        <x:f>LOG10('All Trades'!X16/'Assumptions'!$B$11)</x:f>
        <x:v>0.270381635773644</x:v>
      </x:c>
      <x:c r="P16" t="n">
        <x:f>LOG10('All Trades'!AA16/'Assumptions'!$B$11)</x:f>
        <x:v>0.270381635773644</x:v>
      </x:c>
    </x:row>
    <x:row r="17">
      <x:c r="A17" s="23" t="str">
        <x:v>2018-2020</x:v>
      </x:c>
      <x:c r="B17" s="104" t="n">
        <x:f>140</x:f>
        <x:v>140</x:v>
      </x:c>
      <x:c r="C17" s="105" t="n">
        <x:f>POWER('All Trades'!X144/'Assumptions'!$B$11,1/B17)-1</x:f>
        <x:v>0.0344100828288314</x:v>
      </x:c>
      <x:c r="D17" s="105" t="n">
        <x:f>POWER('All Trades'!AA144/'Assumptions'!$B$11,1/B17)-1</x:f>
        <x:v>0.04524940299899449</x:v>
      </x:c>
      <x:c r="E17" s="105" t="n">
        <x:f>D17-C17</x:f>
        <x:v>0.010839320170163091</x:v>
      </x:c>
      <x:c r="F17" s="105" t="n">
        <x:f>POWER(1+C17,52)-1</x:f>
        <x:v>4.807948375701182</x:v>
      </x:c>
      <x:c r="G17" s="105" t="n">
        <x:f>POWER(1+D17,52)-1</x:f>
        <x:v>8.987027942113972</x:v>
      </x:c>
      <x:c r="H17" s="23"/>
      <x:c r="I17" s="23"/>
      <x:c r="J17" s="23"/>
      <x:c r="K17" s="23"/>
      <x:c r="L17" s="23"/>
      <x:c r="N17" t="str">
        <x:f>TEXT('All Trades'!B17,"yyyy-mm-dd")</x:f>
        <x:v>2018-07-09</x:v>
      </x:c>
      <x:c r="O17" t="n">
        <x:f>LOG10('All Trades'!X17/'Assumptions'!$B$11)</x:f>
        <x:v>0.348870716575863</x:v>
      </x:c>
      <x:c r="P17" t="n">
        <x:f>LOG10('All Trades'!AA17/'Assumptions'!$B$11)</x:f>
        <x:v>0.348870716575863</x:v>
      </x:c>
    </x:row>
    <x:row r="18">
      <x:c r="A18" s="23" t="str">
        <x:v>2021</x:v>
      </x:c>
      <x:c r="B18" s="104" t="n">
        <x:f>52</x:f>
        <x:v>52</x:v>
      </x:c>
      <x:c r="C18" s="105" t="n">
        <x:f>POWER('All Trades'!X196/'All Trades'!X144,1/B18)-1</x:f>
        <x:v>0.007783789001519104</x:v>
      </x:c>
      <x:c r="D18" s="105" t="n">
        <x:f>POWER('All Trades'!AA196/'All Trades'!AA144,1/B18)-1</x:f>
        <x:v>0.013667175390938313</x:v>
      </x:c>
      <x:c r="E18" s="105" t="n">
        <x:f>D18-C18</x:f>
        <x:v>0.0058833863894192096</x:v>
      </x:c>
      <x:c r="F18" s="105" t="n">
        <x:f>POWER(1+C18,52)-1</x:f>
        <x:v>0.49659104246530794</x:v>
      </x:c>
      <x:c r="G18" s="105" t="n">
        <x:f>POWER(1+D18,52)-1</x:f>
        <x:v>1.0256291393547192</x:v>
      </x:c>
      <x:c r="H18" s="23"/>
      <x:c r="I18" s="23"/>
      <x:c r="J18" s="23"/>
      <x:c r="K18" s="23"/>
      <x:c r="L18" s="23"/>
      <x:c r="N18" t="str">
        <x:f>TEXT('All Trades'!B18,"yyyy-mm-dd")</x:f>
        <x:v>2018-07-16</x:v>
      </x:c>
      <x:c r="O18" t="n">
        <x:f>LOG10('All Trades'!X18/'Assumptions'!$B$11)</x:f>
        <x:v>0.32878312691058</x:v>
      </x:c>
      <x:c r="P18" t="n">
        <x:f>LOG10('All Trades'!AA18/'Assumptions'!$B$11)</x:f>
        <x:v>0.32878312691058</x:v>
      </x:c>
    </x:row>
    <x:row r="19">
      <x:c r="A19" s="23" t="str">
        <x:v>2022-2025</x:v>
      </x:c>
      <x:c r="B19" s="104" t="n">
        <x:f>209</x:f>
        <x:v>209</x:v>
      </x:c>
      <x:c r="C19" s="105" t="n">
        <x:f>POWER('All Trades'!X405/'All Trades'!X196,1/B19)-1</x:f>
        <x:v>0.040392243218175805</x:v>
      </x:c>
      <x:c r="D19" s="105" t="n">
        <x:f>POWER('All Trades'!AA405/'All Trades'!AA196,1/B19)-1</x:f>
        <x:v>0.041669758415892266</x:v>
      </x:c>
      <x:c r="E19" s="105" t="n">
        <x:f>D19-C19</x:f>
        <x:v>0.0012775151977164612</x:v>
      </x:c>
      <x:c r="F19" s="105" t="n">
        <x:f>POWER(1+C19,52)-1</x:f>
        <x:v>6.838798322144356</x:v>
      </x:c>
      <x:c r="G19" s="105" t="n">
        <x:f>POWER(1+D19,52)-1</x:f>
        <x:v>7.355316601162935</x:v>
      </x:c>
      <x:c r="H19" s="23"/>
      <x:c r="I19" s="23"/>
      <x:c r="J19" s="23"/>
      <x:c r="K19" s="23"/>
      <x:c r="L19" s="23"/>
      <x:c r="N19" t="str">
        <x:f>TEXT('All Trades'!B19,"yyyy-mm-dd")</x:f>
        <x:v>2018-07-23</x:v>
      </x:c>
      <x:c r="O19" t="n">
        <x:f>LOG10('All Trades'!X19/'Assumptions'!$B$11)</x:f>
        <x:v>0.379316000090529</x:v>
      </x:c>
      <x:c r="P19" t="n">
        <x:f>LOG10('All Trades'!AA19/'Assumptions'!$B$11)</x:f>
        <x:v>0.379316000090529</x:v>
      </x:c>
    </x:row>
    <x:row r="20">
      <x:c r="A20" s="23" t="str">
        <x:v>2026</x:v>
      </x:c>
      <x:c r="B20" s="104" t="n">
        <x:f>31</x:f>
        <x:v>31</x:v>
      </x:c>
      <x:c r="C20" s="105" t="n">
        <x:f>POWER('All Trades'!X436/'All Trades'!X405,1/B20)-1</x:f>
        <x:v>0.02312387594213372</x:v>
      </x:c>
      <x:c r="D20" s="105" t="n">
        <x:f>POWER('All Trades'!AA436/'All Trades'!AA405,1/B20)-1</x:f>
        <x:v>0.05997086248877226</x:v>
      </x:c>
      <x:c r="E20" s="105" t="n">
        <x:f>D20-C20</x:f>
        <x:v>0.03684698654663854</x:v>
      </x:c>
      <x:c r="F20" s="105" t="n">
        <x:f>POWER(1+C20,52)-1</x:f>
        <x:v>2.2829738248052367</x:v>
      </x:c>
      <x:c r="G20" s="105" t="n">
        <x:f>POWER(1+D20,52)-1</x:f>
        <x:v>19.667322204726712</x:v>
      </x:c>
      <x:c r="H20" s="23"/>
      <x:c r="I20" s="23"/>
      <x:c r="J20" s="23"/>
      <x:c r="K20" s="23"/>
      <x:c r="L20" s="23"/>
      <x:c r="N20" t="str">
        <x:f>TEXT('All Trades'!B20,"yyyy-mm-dd")</x:f>
        <x:v>2018-07-30</x:v>
      </x:c>
      <x:c r="O20" t="n">
        <x:f>LOG10('All Trades'!X20/'Assumptions'!$B$11)</x:f>
        <x:v>0.370791944794747</x:v>
      </x:c>
      <x:c r="P20" t="n">
        <x:f>LOG10('All Trades'!AA20/'Assumptions'!$B$11)</x:f>
        <x:v>0.370791944794747</x:v>
      </x:c>
    </x:row>
    <x:row r="21">
      <x:c r="A21" s="23"/>
      <x:c r="B21" s="23"/>
      <x:c r="C21" s="23"/>
      <x:c r="D21" s="23"/>
      <x:c r="E21" s="23"/>
      <x:c r="F21" s="23"/>
      <x:c r="G21" s="23"/>
      <x:c r="H21" s="23"/>
      <x:c r="I21" s="23"/>
      <x:c r="J21" s="23"/>
      <x:c r="K21" s="23"/>
      <x:c r="L21" s="23"/>
      <x:c r="N21" t="str">
        <x:f>TEXT('All Trades'!B21,"yyyy-mm-dd")</x:f>
        <x:v>2018-08-06</x:v>
      </x:c>
      <x:c r="O21" t="n">
        <x:f>LOG10('All Trades'!X21/'Assumptions'!$B$11)</x:f>
        <x:v>0.385128058251148</x:v>
      </x:c>
      <x:c r="P21" t="n">
        <x:f>LOG10('All Trades'!AA21/'Assumptions'!$B$11)</x:f>
        <x:v>0.385128058251148</x:v>
      </x:c>
    </x:row>
    <x:row r="22">
      <x:c r="A22" s="23"/>
      <x:c r="B22" s="23"/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  <x:c r="N22" t="str">
        <x:f>TEXT('All Trades'!B22,"yyyy-mm-dd")</x:f>
        <x:v>2018-08-13</x:v>
      </x:c>
      <x:c r="O22" t="n">
        <x:f>LOG10('All Trades'!X22/'Assumptions'!$B$11)</x:f>
        <x:v>0.348273410067937</x:v>
      </x:c>
      <x:c r="P22" t="n">
        <x:f>LOG10('All Trades'!AA22/'Assumptions'!$B$11)</x:f>
        <x:v>0.348273410067937</x:v>
      </x:c>
    </x:row>
    <x:row r="23">
      <x:c r="A23" s="13" t="str">
        <x:v>Rule action</x:v>
      </x:c>
      <x:c r="B23" s="15" t="str">
        <x:v>Trades</x:v>
      </x:c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  <x:c r="N23" t="str">
        <x:f>TEXT('All Trades'!B23,"yyyy-mm-dd")</x:f>
        <x:v>2018-08-20</x:v>
      </x:c>
      <x:c r="O23" t="n">
        <x:f>LOG10('All Trades'!X23/'Assumptions'!$B$11)</x:f>
        <x:v>0.405223974207136</x:v>
      </x:c>
      <x:c r="P23" t="n">
        <x:f>LOG10('All Trades'!AA23/'Assumptions'!$B$11)</x:f>
        <x:v>0.405223974207136</x:v>
      </x:c>
    </x:row>
    <x:row r="24">
      <x:c r="A24" s="23" t="str">
        <x:v>BASELINE</x:v>
      </x:c>
      <x:c r="B24" s="104" t="n">
        <x:f>COUNTIF('All Trades'!$S$5:$S$436,"BASELINE")</x:f>
        <x:v>369</x:v>
      </x:c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N24" t="str">
        <x:f>TEXT('All Trades'!B24,"yyyy-mm-dd")</x:f>
        <x:v>2018-08-27</x:v>
      </x:c>
      <x:c r="O24" t="n">
        <x:f>LOG10('All Trades'!X24/'Assumptions'!$B$11)</x:f>
        <x:v>0.482975125136534</x:v>
      </x:c>
      <x:c r="P24" t="n">
        <x:f>LOG10('All Trades'!AA24/'Assumptions'!$B$11)</x:f>
        <x:v>0.482975125136534</x:v>
      </x:c>
    </x:row>
    <x:row r="25">
      <x:c r="A25" s="23" t="str">
        <x:v>DAMAGE SKIP</x:v>
      </x:c>
      <x:c r="B25" s="104" t="n">
        <x:f>COUNTIF('All Trades'!$S$5:$S$436,"DAMAGE SKIP")</x:f>
        <x:v>43</x:v>
      </x:c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N25" t="str">
        <x:f>TEXT('All Trades'!B25,"yyyy-mm-dd")</x:f>
        <x:v>2018-09-04</x:v>
      </x:c>
      <x:c r="O25" t="n">
        <x:f>LOG10('All Trades'!X25/'Assumptions'!$B$11)</x:f>
        <x:v>0.410335734407452</x:v>
      </x:c>
      <x:c r="P25" t="n">
        <x:f>LOG10('All Trades'!AA25/'Assumptions'!$B$11)</x:f>
        <x:v>0.410335734407452</x:v>
      </x:c>
    </x:row>
    <x:row r="26">
      <x:c r="A26" s="23" t="str">
        <x:v>GAP/MOM SKIP</x:v>
      </x:c>
      <x:c r="B26" s="104" t="n">
        <x:f>COUNTIF('All Trades'!$S$5:$S$436,"GAP/MOM SKIP")</x:f>
        <x:v>17</x:v>
      </x:c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N26" t="str">
        <x:f>TEXT('All Trades'!B26,"yyyy-mm-dd")</x:f>
        <x:v>2018-09-10</x:v>
      </x:c>
      <x:c r="O26" t="n">
        <x:f>LOG10('All Trades'!X26/'Assumptions'!$B$11)</x:f>
        <x:v>0.460475266742224</x:v>
      </x:c>
      <x:c r="P26" t="n">
        <x:f>LOG10('All Trades'!AA26/'Assumptions'!$B$11)</x:f>
        <x:v>0.460475266742224</x:v>
      </x:c>
    </x:row>
    <x:row r="27">
      <x:c r="A27" s="23" t="str">
        <x:v>TUESDAY RE-ENTRY</x:v>
      </x:c>
      <x:c r="B27" s="104" t="n">
        <x:f>COUNTIF('All Trades'!$S$5:$S$436,"TUESDAY RE-ENTRY")</x:f>
        <x:v>3</x:v>
      </x:c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N27" t="str">
        <x:f>TEXT('All Trades'!B27,"yyyy-mm-dd")</x:f>
        <x:v>2018-09-17</x:v>
      </x:c>
      <x:c r="O27" t="n">
        <x:f>LOG10('All Trades'!X27/'Assumptions'!$B$11)</x:f>
        <x:v>0.440541845174363</x:v>
      </x:c>
      <x:c r="P27" t="n">
        <x:f>LOG10('All Trades'!AA27/'Assumptions'!$B$11)</x:f>
        <x:v>0.440541845174363</x:v>
      </x:c>
    </x:row>
    <x:row r="28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N28" t="str">
        <x:f>TEXT('All Trades'!B28,"yyyy-mm-dd")</x:f>
        <x:v>2018-09-24</x:v>
      </x:c>
      <x:c r="O28" t="n">
        <x:f>LOG10('All Trades'!X28/'Assumptions'!$B$11)</x:f>
        <x:v>0.490856239645392</x:v>
      </x:c>
      <x:c r="P28" t="n">
        <x:f>LOG10('All Trades'!AA28/'Assumptions'!$B$11)</x:f>
        <x:v>0.490856239645392</x:v>
      </x:c>
    </x:row>
    <x:row r="29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N29" t="str">
        <x:f>TEXT('All Trades'!B29,"yyyy-mm-dd")</x:f>
        <x:v>2018-10-01</x:v>
      </x:c>
      <x:c r="O29" t="n">
        <x:f>LOG10('All Trades'!X29/'Assumptions'!$B$11)</x:f>
        <x:v>0.471795405062877</x:v>
      </x:c>
      <x:c r="P29" t="n">
        <x:f>LOG10('All Trades'!AA29/'Assumptions'!$B$11)</x:f>
        <x:v>0.471795405062877</x:v>
      </x:c>
    </x:row>
    <x:row r="30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N30" t="str">
        <x:f>TEXT('All Trades'!B30,"yyyy-mm-dd")</x:f>
        <x:v>2018-10-08</x:v>
      </x:c>
      <x:c r="O30" t="n">
        <x:f>LOG10('All Trades'!X30/'Assumptions'!$B$11)</x:f>
        <x:v>0.0995482667995966</x:v>
      </x:c>
      <x:c r="P30" t="n">
        <x:f>LOG10('All Trades'!AA30/'Assumptions'!$B$11)</x:f>
        <x:v>0.0995482667995966</x:v>
      </x:c>
    </x:row>
    <x:row r="3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N31" t="str">
        <x:f>TEXT('All Trades'!B31,"yyyy-mm-dd")</x:f>
        <x:v>2018-10-15</x:v>
      </x:c>
      <x:c r="O31" t="n">
        <x:f>LOG10('All Trades'!X31/'Assumptions'!$B$11)</x:f>
        <x:v>0.0794606771343136</x:v>
      </x:c>
      <x:c r="P31" t="n">
        <x:f>LOG10('All Trades'!AA31/'Assumptions'!$B$11)</x:f>
        <x:v>0.0995482667995966</x:v>
      </x:c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N32" t="str">
        <x:f>TEXT('All Trades'!B32,"yyyy-mm-dd")</x:f>
        <x:v>2018-10-22</x:v>
      </x:c>
      <x:c r="O32" t="n">
        <x:f>LOG10('All Trades'!X32/'Assumptions'!$B$11)</x:f>
        <x:v>0.0635165364123962</x:v>
      </x:c>
      <x:c r="P32" t="n">
        <x:f>LOG10('All Trades'!AA32/'Assumptions'!$B$11)</x:f>
        <x:v>0.0995482667995966</x:v>
      </x:c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N33" t="str">
        <x:f>TEXT('All Trades'!B33,"yyyy-mm-dd")</x:f>
        <x:v>2018-10-29</x:v>
      </x:c>
      <x:c r="O33" t="n">
        <x:f>LOG10('All Trades'!X33/'Assumptions'!$B$11)</x:f>
        <x:v>-0.302986729288028</x:v>
      </x:c>
      <x:c r="P33" t="n">
        <x:f>LOG10('All Trades'!AA33/'Assumptions'!$B$11)</x:f>
        <x:v>0.0995482667995966</x:v>
      </x:c>
    </x:row>
    <x:row r="34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N34" t="str">
        <x:f>TEXT('All Trades'!B34,"yyyy-mm-dd")</x:f>
        <x:v>2018-11-05</x:v>
      </x:c>
      <x:c r="O34" t="n">
        <x:f>LOG10('All Trades'!X34/'Assumptions'!$B$11)</x:f>
        <x:v>-0.256756202311725</x:v>
      </x:c>
      <x:c r="P34" t="n">
        <x:f>LOG10('All Trades'!AA34/'Assumptions'!$B$11)</x:f>
        <x:v>0.145778793775899</x:v>
      </x:c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N35" t="str">
        <x:f>TEXT('All Trades'!B35,"yyyy-mm-dd")</x:f>
        <x:v>2018-11-12</x:v>
      </x:c>
      <x:c r="O35" t="n">
        <x:f>LOG10('All Trades'!X35/'Assumptions'!$B$11)</x:f>
        <x:v>-0.443137856685156</x:v>
      </x:c>
      <x:c r="P35" t="n">
        <x:f>LOG10('All Trades'!AA35/'Assumptions'!$B$11)</x:f>
        <x:v>-0.0406028605975313</x:v>
      </x:c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N36" t="str">
        <x:f>TEXT('All Trades'!B36,"yyyy-mm-dd")</x:f>
        <x:v>2018-11-19</x:v>
      </x:c>
      <x:c r="O36" t="n">
        <x:f>LOG10('All Trades'!X36/'Assumptions'!$B$11)</x:f>
        <x:v>-0.817936566403525</x:v>
      </x:c>
      <x:c r="P36" t="n">
        <x:f>LOG10('All Trades'!AA36/'Assumptions'!$B$11)</x:f>
        <x:v>-0.0406028605975313</x:v>
      </x:c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N37" t="str">
        <x:f>TEXT('All Trades'!B37,"yyyy-mm-dd")</x:f>
        <x:v>2018-11-26</x:v>
      </x:c>
      <x:c r="O37" t="n">
        <x:f>LOG10('All Trades'!X37/'Assumptions'!$B$11)</x:f>
        <x:v>-0.769242339433109</x:v>
      </x:c>
      <x:c r="P37" t="n">
        <x:f>LOG10('All Trades'!AA37/'Assumptions'!$B$11)</x:f>
        <x:v>-0.0406028605975313</x:v>
      </x:c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N38" t="str">
        <x:f>TEXT('All Trades'!B38,"yyyy-mm-dd")</x:f>
        <x:v>2018-12-03</x:v>
      </x:c>
      <x:c r="O38" t="n">
        <x:f>LOG10('All Trades'!X38/'Assumptions'!$B$11)</x:f>
        <x:v>-1.00744075028319</x:v>
      </x:c>
      <x:c r="P38" t="n">
        <x:f>LOG10('All Trades'!AA38/'Assumptions'!$B$11)</x:f>
        <x:v>-0.0406028605975313</x:v>
      </x:c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N39" t="str">
        <x:f>TEXT('All Trades'!B39,"yyyy-mm-dd")</x:f>
        <x:v>2018-12-10</x:v>
      </x:c>
      <x:c r="O39" t="n">
        <x:f>LOG10('All Trades'!X39/'Assumptions'!$B$11)</x:f>
        <x:v>-0.94595132757706</x:v>
      </x:c>
      <x:c r="P39" t="n">
        <x:f>LOG10('All Trades'!AA39/'Assumptions'!$B$11)</x:f>
        <x:v>0.0208865621085985</x:v>
      </x:c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N40" t="str">
        <x:f>TEXT('All Trades'!B40,"yyyy-mm-dd")</x:f>
        <x:v>2018-12-17</x:v>
      </x:c>
      <x:c r="O40" t="n">
        <x:f>LOG10('All Trades'!X40/'Assumptions'!$B$11)</x:f>
        <x:v>-0.966038917242343</x:v>
      </x:c>
      <x:c r="P40" t="n">
        <x:f>LOG10('All Trades'!AA40/'Assumptions'!$B$11)</x:f>
        <x:v>0.000798972443315365</x:v>
      </x:c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N41" t="str">
        <x:f>TEXT('All Trades'!B41,"yyyy-mm-dd")</x:f>
        <x:v>2018-12-24</x:v>
      </x:c>
      <x:c r="O41" t="n">
        <x:f>LOG10('All Trades'!X41/'Assumptions'!$B$11)</x:f>
        <x:v>-0.78664858035645</x:v>
      </x:c>
      <x:c r="P41" t="n">
        <x:f>LOG10('All Trades'!AA41/'Assumptions'!$B$11)</x:f>
        <x:v>0.180189309329209</x:v>
      </x:c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N42" t="str">
        <x:f>TEXT('All Trades'!B42,"yyyy-mm-dd")</x:f>
        <x:v>2018-12-31</x:v>
      </x:c>
      <x:c r="O42" t="n">
        <x:f>LOG10('All Trades'!X42/'Assumptions'!$B$11)</x:f>
        <x:v>-0.890053476439293</x:v>
      </x:c>
      <x:c r="P42" t="n">
        <x:f>LOG10('All Trades'!AA42/'Assumptions'!$B$11)</x:f>
        <x:v>0.180189309329209</x:v>
      </x:c>
    </x:row>
    <x:row r="43">
      <x:c r="N43" t="str">
        <x:f>TEXT('All Trades'!B43,"yyyy-mm-dd")</x:f>
        <x:v>2019-01-07</x:v>
      </x:c>
      <x:c r="O43" t="n">
        <x:f>LOG10('All Trades'!X43/'Assumptions'!$B$11)</x:f>
        <x:v>-0.842765366196587</x:v>
      </x:c>
      <x:c r="P43" t="n">
        <x:f>LOG10('All Trades'!AA43/'Assumptions'!$B$11)</x:f>
        <x:v>0.227477419571915</x:v>
      </x:c>
    </x:row>
    <x:row r="44">
      <x:c r="N44" t="str">
        <x:f>TEXT('All Trades'!B44,"yyyy-mm-dd")</x:f>
        <x:v>2019-01-14</x:v>
      </x:c>
      <x:c r="O44" t="n">
        <x:f>LOG10('All Trades'!X44/'Assumptions'!$B$11)</x:f>
        <x:v>-0.688298787444154</x:v>
      </x:c>
      <x:c r="P44" t="n">
        <x:f>LOG10('All Trades'!AA44/'Assumptions'!$B$11)</x:f>
        <x:v>0.381943998324348</x:v>
      </x:c>
    </x:row>
    <x:row r="45">
      <x:c r="N45" t="str">
        <x:f>TEXT('All Trades'!B45,"yyyy-mm-dd")</x:f>
        <x:v>2019-01-22</x:v>
      </x:c>
      <x:c r="O45" t="n">
        <x:f>LOG10('All Trades'!X45/'Assumptions'!$B$11)</x:f>
        <x:v>-0.748698174630246</x:v>
      </x:c>
      <x:c r="P45" t="n">
        <x:f>LOG10('All Trades'!AA45/'Assumptions'!$B$11)</x:f>
        <x:v>0.321544611138255</x:v>
      </x:c>
    </x:row>
    <x:row r="46">
      <x:c r="N46" t="str">
        <x:f>TEXT('All Trades'!B46,"yyyy-mm-dd")</x:f>
        <x:v>2019-01-28</x:v>
      </x:c>
      <x:c r="O46" t="n">
        <x:f>LOG10('All Trades'!X46/'Assumptions'!$B$11)</x:f>
        <x:v>-0.749680790934479</x:v>
      </x:c>
      <x:c r="P46" t="n">
        <x:f>LOG10('All Trades'!AA46/'Assumptions'!$B$11)</x:f>
        <x:v>0.320561994834023</x:v>
      </x:c>
    </x:row>
    <x:row r="47">
      <x:c r="N47" t="str">
        <x:f>TEXT('All Trades'!B47,"yyyy-mm-dd")</x:f>
        <x:v>2019-02-04</x:v>
      </x:c>
      <x:c r="O47" t="n">
        <x:f>LOG10('All Trades'!X47/'Assumptions'!$B$11)</x:f>
        <x:v>-0.692429023568357</x:v>
      </x:c>
      <x:c r="P47" t="n">
        <x:f>LOG10('All Trades'!AA47/'Assumptions'!$B$11)</x:f>
        <x:v>0.377813762200144</x:v>
      </x:c>
    </x:row>
    <x:row r="48">
      <x:c r="N48" t="str">
        <x:f>TEXT('All Trades'!B48,"yyyy-mm-dd")</x:f>
        <x:v>2019-02-11</x:v>
      </x:c>
      <x:c r="O48" t="n">
        <x:f>LOG10('All Trades'!X48/'Assumptions'!$B$11)</x:f>
        <x:v>-0.616816740439598</x:v>
      </x:c>
      <x:c r="P48" t="n">
        <x:f>LOG10('All Trades'!AA48/'Assumptions'!$B$11)</x:f>
        <x:v>0.453426045328904</x:v>
      </x:c>
    </x:row>
    <x:row r="49">
      <x:c r="N49" t="str">
        <x:f>TEXT('All Trades'!B49,"yyyy-mm-dd")</x:f>
        <x:v>2019-02-19</x:v>
      </x:c>
      <x:c r="O49" t="n">
        <x:f>LOG10('All Trades'!X49/'Assumptions'!$B$11)</x:f>
        <x:v>-0.636904330104881</x:v>
      </x:c>
      <x:c r="P49" t="n">
        <x:f>LOG10('All Trades'!AA49/'Assumptions'!$B$11)</x:f>
        <x:v>0.433338455663621</x:v>
      </x:c>
    </x:row>
    <x:row r="50">
      <x:c r="N50" t="str">
        <x:f>TEXT('All Trades'!B50,"yyyy-mm-dd")</x:f>
        <x:v>2019-02-25</x:v>
      </x:c>
      <x:c r="O50" t="n">
        <x:f>LOG10('All Trades'!X50/'Assumptions'!$B$11)</x:f>
        <x:v>-0.658588202942383</x:v>
      </x:c>
      <x:c r="P50" t="n">
        <x:f>LOG10('All Trades'!AA50/'Assumptions'!$B$11)</x:f>
        <x:v>0.411654582826119</x:v>
      </x:c>
    </x:row>
    <x:row r="51">
      <x:c r="N51" t="str">
        <x:f>TEXT('All Trades'!B51,"yyyy-mm-dd")</x:f>
        <x:v>2019-03-04</x:v>
      </x:c>
      <x:c r="O51" t="n">
        <x:f>LOG10('All Trades'!X51/'Assumptions'!$B$11)</x:f>
        <x:v>-0.678521624510244</x:v>
      </x:c>
      <x:c r="P51" t="n">
        <x:f>LOG10('All Trades'!AA51/'Assumptions'!$B$11)</x:f>
        <x:v>0.391721161258258</x:v>
      </x:c>
    </x:row>
    <x:row r="52">
      <x:c r="N52" t="str">
        <x:f>TEXT('All Trades'!B52,"yyyy-mm-dd")</x:f>
        <x:v>2019-03-11</x:v>
      </x:c>
      <x:c r="O52" t="n">
        <x:f>LOG10('All Trades'!X52/'Assumptions'!$B$11)</x:f>
        <x:v>-0.604148112195268</x:v>
      </x:c>
      <x:c r="P52" t="n">
        <x:f>LOG10('All Trades'!AA52/'Assumptions'!$B$11)</x:f>
        <x:v>0.466094673573234</x:v>
      </x:c>
    </x:row>
    <x:row r="53">
      <x:c r="N53" t="str">
        <x:f>TEXT('All Trades'!B53,"yyyy-mm-dd")</x:f>
        <x:v>2019-03-18</x:v>
      </x:c>
      <x:c r="O53" t="n">
        <x:f>LOG10('All Trades'!X53/'Assumptions'!$B$11)</x:f>
        <x:v>-0.586029975054993</x:v>
      </x:c>
      <x:c r="P53" t="n">
        <x:f>LOG10('All Trades'!AA53/'Assumptions'!$B$11)</x:f>
        <x:v>0.484212810713508</x:v>
      </x:c>
    </x:row>
    <x:row r="54">
      <x:c r="N54" t="str">
        <x:f>TEXT('All Trades'!B54,"yyyy-mm-dd")</x:f>
        <x:v>2019-03-25</x:v>
      </x:c>
      <x:c r="O54" t="n">
        <x:f>LOG10('All Trades'!X54/'Assumptions'!$B$11)</x:f>
        <x:v>-0.609626801675067</x:v>
      </x:c>
      <x:c r="P54" t="n">
        <x:f>LOG10('All Trades'!AA54/'Assumptions'!$B$11)</x:f>
        <x:v>0.460615984093434</x:v>
      </x:c>
    </x:row>
    <x:row r="55">
      <x:c r="N55" t="str">
        <x:f>TEXT('All Trades'!B55,"yyyy-mm-dd")</x:f>
        <x:v>2019-04-01</x:v>
      </x:c>
      <x:c r="O55" t="n">
        <x:f>LOG10('All Trades'!X55/'Assumptions'!$B$11)</x:f>
        <x:v>-0.52876844032563</x:v>
      </x:c>
      <x:c r="P55" t="n">
        <x:f>LOG10('All Trades'!AA55/'Assumptions'!$B$11)</x:f>
        <x:v>0.541474345442872</x:v>
      </x:c>
    </x:row>
    <x:row r="56">
      <x:c r="N56" t="str">
        <x:f>TEXT('All Trades'!B56,"yyyy-mm-dd")</x:f>
        <x:v>2019-04-08</x:v>
      </x:c>
      <x:c r="O56" t="n">
        <x:f>LOG10('All Trades'!X56/'Assumptions'!$B$11)</x:f>
        <x:v>-0.488535288738392</x:v>
      </x:c>
      <x:c r="P56" t="n">
        <x:f>LOG10('All Trades'!AA56/'Assumptions'!$B$11)</x:f>
        <x:v>0.58170749703011</x:v>
      </x:c>
    </x:row>
    <x:row r="57">
      <x:c r="N57" t="str">
        <x:f>TEXT('All Trades'!B57,"yyyy-mm-dd")</x:f>
        <x:v>2019-04-15</x:v>
      </x:c>
      <x:c r="O57" t="n">
        <x:f>LOG10('All Trades'!X57/'Assumptions'!$B$11)</x:f>
        <x:v>-0.448660149975958</x:v>
      </x:c>
      <x:c r="P57" t="n">
        <x:f>LOG10('All Trades'!AA57/'Assumptions'!$B$11)</x:f>
        <x:v>0.621582635792543</x:v>
      </x:c>
    </x:row>
    <x:row r="58">
      <x:c r="N58" t="str">
        <x:f>TEXT('All Trades'!B58,"yyyy-mm-dd")</x:f>
        <x:v>2019-04-22</x:v>
      </x:c>
      <x:c r="O58" t="n">
        <x:f>LOG10('All Trades'!X58/'Assumptions'!$B$11)</x:f>
        <x:v>-0.412652404410165</x:v>
      </x:c>
      <x:c r="P58" t="n">
        <x:f>LOG10('All Trades'!AA58/'Assumptions'!$B$11)</x:f>
        <x:v>0.657590381358337</x:v>
      </x:c>
    </x:row>
    <x:row r="59">
      <x:c r="N59" t="str">
        <x:f>TEXT('All Trades'!B59,"yyyy-mm-dd")</x:f>
        <x:v>2019-04-29</x:v>
      </x:c>
      <x:c r="O59" t="n">
        <x:f>LOG10('All Trades'!X59/'Assumptions'!$B$11)</x:f>
        <x:v>-0.406996659638313</x:v>
      </x:c>
      <x:c r="P59" t="n">
        <x:f>LOG10('All Trades'!AA59/'Assumptions'!$B$11)</x:f>
        <x:v>0.663246126130188</x:v>
      </x:c>
    </x:row>
    <x:row r="60">
      <x:c r="N60" t="str">
        <x:f>TEXT('All Trades'!B60,"yyyy-mm-dd")</x:f>
        <x:v>2019-05-06</x:v>
      </x:c>
      <x:c r="O60" t="n">
        <x:f>LOG10('All Trades'!X60/'Assumptions'!$B$11)</x:f>
        <x:v>-0.334778756107512</x:v>
      </x:c>
      <x:c r="P60" t="n">
        <x:f>LOG10('All Trades'!AA60/'Assumptions'!$B$11)</x:f>
        <x:v>0.735464029660989</x:v>
      </x:c>
    </x:row>
    <x:row r="61">
      <x:c r="N61" t="str">
        <x:f>TEXT('All Trades'!B61,"yyyy-mm-dd")</x:f>
        <x:v>2019-05-13</x:v>
      </x:c>
      <x:c r="O61" t="n">
        <x:f>LOG10('All Trades'!X61/'Assumptions'!$B$11)</x:f>
        <x:v>-0.270783387056306</x:v>
      </x:c>
      <x:c r="P61" t="n">
        <x:f>LOG10('All Trades'!AA61/'Assumptions'!$B$11)</x:f>
        <x:v>0.799459398712196</x:v>
      </x:c>
    </x:row>
    <x:row r="62">
      <x:c r="N62" t="str">
        <x:f>TEXT('All Trades'!B62,"yyyy-mm-dd")</x:f>
        <x:v>2019-05-20</x:v>
      </x:c>
      <x:c r="O62" t="n">
        <x:f>LOG10('All Trades'!X62/'Assumptions'!$B$11)</x:f>
        <x:v>-0.291539671606748</x:v>
      </x:c>
      <x:c r="P62" t="n">
        <x:f>LOG10('All Trades'!AA62/'Assumptions'!$B$11)</x:f>
        <x:v>0.778703114161753</x:v>
      </x:c>
    </x:row>
    <x:row r="63">
      <x:c r="N63" t="str">
        <x:f>TEXT('All Trades'!B63,"yyyy-mm-dd")</x:f>
        <x:v>2019-05-28</x:v>
      </x:c>
      <x:c r="O63" t="n">
        <x:f>LOG10('All Trades'!X63/'Assumptions'!$B$11)</x:f>
        <x:v>-0.377192282649393</x:v>
      </x:c>
      <x:c r="P63" t="n">
        <x:f>LOG10('All Trades'!AA63/'Assumptions'!$B$11)</x:f>
        <x:v>0.693050503119109</x:v>
      </x:c>
    </x:row>
    <x:row r="64">
      <x:c r="N64" t="str">
        <x:f>TEXT('All Trades'!B64,"yyyy-mm-dd")</x:f>
        <x:v>2019-06-03</x:v>
      </x:c>
      <x:c r="O64" t="n">
        <x:f>LOG10('All Trades'!X64/'Assumptions'!$B$11)</x:f>
        <x:v>-0.207819726442514</x:v>
      </x:c>
      <x:c r="P64" t="n">
        <x:f>LOG10('All Trades'!AA64/'Assumptions'!$B$11)</x:f>
        <x:v>0.862423059325988</x:v>
      </x:c>
    </x:row>
    <x:row r="65">
      <x:c r="N65" t="str">
        <x:f>TEXT('All Trades'!B65,"yyyy-mm-dd")</x:f>
        <x:v>2019-06-10</x:v>
      </x:c>
      <x:c r="O65" t="n">
        <x:f>LOG10('All Trades'!X65/'Assumptions'!$B$11)</x:f>
        <x:v>-0.232194481677619</x:v>
      </x:c>
      <x:c r="P65" t="n">
        <x:f>LOG10('All Trades'!AA65/'Assumptions'!$B$11)</x:f>
        <x:v>0.838048304090882</x:v>
      </x:c>
    </x:row>
    <x:row r="66">
      <x:c r="N66" t="str">
        <x:f>TEXT('All Trades'!B66,"yyyy-mm-dd")</x:f>
        <x:v>2019-06-17</x:v>
      </x:c>
      <x:c r="O66" t="n">
        <x:f>LOG10('All Trades'!X66/'Assumptions'!$B$11)</x:f>
        <x:v>-0.0976406388150629</x:v>
      </x:c>
      <x:c r="P66" t="n">
        <x:f>LOG10('All Trades'!AA66/'Assumptions'!$B$11)</x:f>
        <x:v>0.972602146953439</x:v>
      </x:c>
    </x:row>
    <x:row r="67">
      <x:c r="N67" t="str">
        <x:f>TEXT('All Trades'!B67,"yyyy-mm-dd")</x:f>
        <x:v>2019-06-24</x:v>
      </x:c>
      <x:c r="O67" t="n">
        <x:f>LOG10('All Trades'!X67/'Assumptions'!$B$11)</x:f>
        <x:v>-0.183771708672645</x:v>
      </x:c>
      <x:c r="P67" t="n">
        <x:f>LOG10('All Trades'!AA67/'Assumptions'!$B$11)</x:f>
        <x:v>0.886471077095857</x:v>
      </x:c>
    </x:row>
    <x:row r="68">
      <x:c r="N68" t="str">
        <x:f>TEXT('All Trades'!B68,"yyyy-mm-dd")</x:f>
        <x:v>2019-07-01</x:v>
      </x:c>
      <x:c r="O68" t="n">
        <x:f>LOG10('All Trades'!X68/'Assumptions'!$B$11)</x:f>
        <x:v>-0.203859298337928</x:v>
      </x:c>
      <x:c r="P68" t="n">
        <x:f>LOG10('All Trades'!AA68/'Assumptions'!$B$11)</x:f>
        <x:v>0.866383487430574</x:v>
      </x:c>
    </x:row>
    <x:row r="69">
      <x:c r="N69" t="str">
        <x:f>TEXT('All Trades'!B69,"yyyy-mm-dd")</x:f>
        <x:v>2019-07-08</x:v>
      </x:c>
      <x:c r="O69" t="n">
        <x:f>LOG10('All Trades'!X69/'Assumptions'!$B$11)</x:f>
        <x:v>-0.117294472099656</x:v>
      </x:c>
      <x:c r="P69" t="n">
        <x:f>LOG10('All Trades'!AA69/'Assumptions'!$B$11)</x:f>
        <x:v>0.952948313668845</x:v>
      </x:c>
    </x:row>
    <x:row r="70">
      <x:c r="N70" t="str">
        <x:f>TEXT('All Trades'!B70,"yyyy-mm-dd")</x:f>
        <x:v>2019-07-15</x:v>
      </x:c>
      <x:c r="O70" t="n">
        <x:f>LOG10('All Trades'!X70/'Assumptions'!$B$11)</x:f>
        <x:v>-0.136714394904591</x:v>
      </x:c>
      <x:c r="P70" t="n">
        <x:f>LOG10('All Trades'!AA70/'Assumptions'!$B$11)</x:f>
        <x:v>0.933528390863911</x:v>
      </x:c>
    </x:row>
    <x:row r="71">
      <x:c r="N71" t="str">
        <x:f>TEXT('All Trades'!B71,"yyyy-mm-dd")</x:f>
        <x:v>2019-07-22</x:v>
      </x:c>
      <x:c r="O71" t="n">
        <x:f>LOG10('All Trades'!X71/'Assumptions'!$B$11)</x:f>
        <x:v>-0.0502299894190914</x:v>
      </x:c>
      <x:c r="P71" t="n">
        <x:f>LOG10('All Trades'!AA71/'Assumptions'!$B$11)</x:f>
        <x:v>1.02001279634941</x:v>
      </x:c>
    </x:row>
    <x:row r="72">
      <x:c r="N72" t="str">
        <x:f>TEXT('All Trades'!B72,"yyyy-mm-dd")</x:f>
        <x:v>2019-07-29</x:v>
      </x:c>
      <x:c r="O72" t="n">
        <x:f>LOG10('All Trades'!X72/'Assumptions'!$B$11)</x:f>
        <x:v>-0.0694446825997484</x:v>
      </x:c>
      <x:c r="P72" t="n">
        <x:f>LOG10('All Trades'!AA72/'Assumptions'!$B$11)</x:f>
        <x:v>1.00079810316875</x:v>
      </x:c>
    </x:row>
    <x:row r="73">
      <x:c r="N73" t="str">
        <x:f>TEXT('All Trades'!B73,"yyyy-mm-dd")</x:f>
        <x:v>2019-08-05</x:v>
      </x:c>
      <x:c r="O73" t="n">
        <x:f>LOG10('All Trades'!X73/'Assumptions'!$B$11)</x:f>
        <x:v>0.000272611836991632</x:v>
      </x:c>
      <x:c r="P73" t="n">
        <x:f>LOG10('All Trades'!AA73/'Assumptions'!$B$11)</x:f>
        <x:v>1.07051539760549</x:v>
      </x:c>
    </x:row>
    <x:row r="74">
      <x:c r="N74" t="str">
        <x:f>TEXT('All Trades'!B74,"yyyy-mm-dd")</x:f>
        <x:v>2019-08-12</x:v>
      </x:c>
      <x:c r="O74" t="n">
        <x:f>LOG10('All Trades'!X74/'Assumptions'!$B$11)</x:f>
        <x:v>-0.0983638917228841</x:v>
      </x:c>
      <x:c r="P74" t="n">
        <x:f>LOG10('All Trades'!AA74/'Assumptions'!$B$11)</x:f>
        <x:v>0.971878894045618</x:v>
      </x:c>
    </x:row>
    <x:row r="75">
      <x:c r="N75" t="str">
        <x:f>TEXT('All Trades'!B75,"yyyy-mm-dd")</x:f>
        <x:v>2019-08-19</x:v>
      </x:c>
      <x:c r="O75" t="n">
        <x:f>LOG10('All Trades'!X75/'Assumptions'!$B$11)</x:f>
        <x:v>-0.118348696575971</x:v>
      </x:c>
      <x:c r="P75" t="n">
        <x:f>LOG10('All Trades'!AA75/'Assumptions'!$B$11)</x:f>
        <x:v>0.971878894045618</x:v>
      </x:c>
    </x:row>
    <x:row r="76">
      <x:c r="N76" t="str">
        <x:f>TEXT('All Trades'!B76,"yyyy-mm-dd")</x:f>
        <x:v>2019-08-26</x:v>
      </x:c>
      <x:c r="O76" t="n">
        <x:f>LOG10('All Trades'!X76/'Assumptions'!$B$11)</x:f>
        <x:v>-0.037816365092293</x:v>
      </x:c>
      <x:c r="P76" t="n">
        <x:f>LOG10('All Trades'!AA76/'Assumptions'!$B$11)</x:f>
        <x:v>1.0524112255293</x:v>
      </x:c>
    </x:row>
    <x:row r="77">
      <x:c r="N77" t="str">
        <x:f>TEXT('All Trades'!B77,"yyyy-mm-dd")</x:f>
        <x:v>2019-09-03</x:v>
      </x:c>
      <x:c r="O77" t="n">
        <x:f>LOG10('All Trades'!X77/'Assumptions'!$B$11)</x:f>
        <x:v>0.0847287965845424</x:v>
      </x:c>
      <x:c r="P77" t="n">
        <x:f>LOG10('All Trades'!AA77/'Assumptions'!$B$11)</x:f>
        <x:v>1.17495638720613</x:v>
      </x:c>
    </x:row>
    <x:row r="78">
      <x:c r="N78" t="str">
        <x:f>TEXT('All Trades'!B78,"yyyy-mm-dd")</x:f>
        <x:v>2019-09-09</x:v>
      </x:c>
      <x:c r="O78" t="n">
        <x:f>LOG10('All Trades'!X78/'Assumptions'!$B$11)</x:f>
        <x:v>0.0646412069192593</x:v>
      </x:c>
      <x:c r="P78" t="n">
        <x:f>LOG10('All Trades'!AA78/'Assumptions'!$B$11)</x:f>
        <x:v>1.15486879754085</x:v>
      </x:c>
    </x:row>
    <x:row r="79">
      <x:c r="N79" t="str">
        <x:f>TEXT('All Trades'!B79,"yyyy-mm-dd")</x:f>
        <x:v>2019-09-16</x:v>
      </x:c>
      <x:c r="O79" t="n">
        <x:f>LOG10('All Trades'!X79/'Assumptions'!$B$11)</x:f>
        <x:v>0.0445536172539762</x:v>
      </x:c>
      <x:c r="P79" t="n">
        <x:f>LOG10('All Trades'!AA79/'Assumptions'!$B$11)</x:f>
        <x:v>1.13478120787557</x:v>
      </x:c>
    </x:row>
    <x:row r="80">
      <x:c r="N80" t="str">
        <x:f>TEXT('All Trades'!B80,"yyyy-mm-dd")</x:f>
        <x:v>2019-09-23</x:v>
      </x:c>
      <x:c r="O80" t="n">
        <x:f>LOG10('All Trades'!X80/'Assumptions'!$B$11)</x:f>
        <x:v>0.0836669974250719</x:v>
      </x:c>
      <x:c r="P80" t="n">
        <x:f>LOG10('All Trades'!AA80/'Assumptions'!$B$11)</x:f>
        <x:v>1.17389458804666</x:v>
      </x:c>
    </x:row>
    <x:row r="81">
      <x:c r="N81" t="str">
        <x:f>TEXT('All Trades'!B81,"yyyy-mm-dd")</x:f>
        <x:v>2019-09-30</x:v>
      </x:c>
      <x:c r="O81" t="n">
        <x:f>LOG10('All Trades'!X81/'Assumptions'!$B$11)</x:f>
        <x:v>0.117637298210667</x:v>
      </x:c>
      <x:c r="P81" t="n">
        <x:f>LOG10('All Trades'!AA81/'Assumptions'!$B$11)</x:f>
        <x:v>1.20786488883226</x:v>
      </x:c>
    </x:row>
    <x:row r="82">
      <x:c r="N82" t="str">
        <x:f>TEXT('All Trades'!B82,"yyyy-mm-dd")</x:f>
        <x:v>2019-10-07</x:v>
      </x:c>
      <x:c r="O82" t="n">
        <x:f>LOG10('All Trades'!X82/'Assumptions'!$B$11)</x:f>
        <x:v>0.0989864869394029</x:v>
      </x:c>
      <x:c r="P82" t="n">
        <x:f>LOG10('All Trades'!AA82/'Assumptions'!$B$11)</x:f>
        <x:v>1.18921407756099</x:v>
      </x:c>
    </x:row>
    <x:row r="83">
      <x:c r="N83" t="str">
        <x:f>TEXT('All Trades'!B83,"yyyy-mm-dd")</x:f>
        <x:v>2019-10-14</x:v>
      </x:c>
      <x:c r="O83" t="n">
        <x:f>LOG10('All Trades'!X83/'Assumptions'!$B$11)</x:f>
        <x:v>0.121972525031909</x:v>
      </x:c>
      <x:c r="P83" t="n">
        <x:f>LOG10('All Trades'!AA83/'Assumptions'!$B$11)</x:f>
        <x:v>1.2122001156535</x:v>
      </x:c>
    </x:row>
    <x:row r="84">
      <x:c r="N84" t="str">
        <x:f>TEXT('All Trades'!B84,"yyyy-mm-dd")</x:f>
        <x:v>2019-10-21</x:v>
      </x:c>
      <x:c r="O84" t="n">
        <x:f>LOG10('All Trades'!X84/'Assumptions'!$B$11)</x:f>
        <x:v>0.101884935366626</x:v>
      </x:c>
      <x:c r="P84" t="n">
        <x:f>LOG10('All Trades'!AA84/'Assumptions'!$B$11)</x:f>
        <x:v>1.19211252598821</x:v>
      </x:c>
    </x:row>
    <x:row r="85">
      <x:c r="N85" t="str">
        <x:f>TEXT('All Trades'!B85,"yyyy-mm-dd")</x:f>
        <x:v>2019-10-28</x:v>
      </x:c>
      <x:c r="O85" t="n">
        <x:f>LOG10('All Trades'!X85/'Assumptions'!$B$11)</x:f>
        <x:v>0.15572522373759</x:v>
      </x:c>
      <x:c r="P85" t="n">
        <x:f>LOG10('All Trades'!AA85/'Assumptions'!$B$11)</x:f>
        <x:v>1.24595281435918</x:v>
      </x:c>
    </x:row>
    <x:row r="86">
      <x:c r="N86" t="str">
        <x:f>TEXT('All Trades'!B86,"yyyy-mm-dd")</x:f>
        <x:v>2019-11-04</x:v>
      </x:c>
      <x:c r="O86" t="n">
        <x:f>LOG10('All Trades'!X86/'Assumptions'!$B$11)</x:f>
        <x:v>0.135534824928191</x:v>
      </x:c>
      <x:c r="P86" t="n">
        <x:f>LOG10('All Trades'!AA86/'Assumptions'!$B$11)</x:f>
        <x:v>1.22576241554978</x:v>
      </x:c>
    </x:row>
    <x:row r="87">
      <x:c r="N87" t="str">
        <x:f>TEXT('All Trades'!B87,"yyyy-mm-dd")</x:f>
        <x:v>2019-11-11</x:v>
      </x:c>
      <x:c r="O87" t="n">
        <x:f>LOG10('All Trades'!X87/'Assumptions'!$B$11)</x:f>
        <x:v>0.191882355193277</x:v>
      </x:c>
      <x:c r="P87" t="n">
        <x:f>LOG10('All Trades'!AA87/'Assumptions'!$B$11)</x:f>
        <x:v>1.28210994581487</x:v>
      </x:c>
    </x:row>
    <x:row r="88">
      <x:c r="N88" t="str">
        <x:f>TEXT('All Trades'!B88,"yyyy-mm-dd")</x:f>
        <x:v>2019-11-18</x:v>
      </x:c>
      <x:c r="O88" t="n">
        <x:f>LOG10('All Trades'!X88/'Assumptions'!$B$11)</x:f>
        <x:v>0.147157257438837</x:v>
      </x:c>
      <x:c r="P88" t="n">
        <x:f>LOG10('All Trades'!AA88/'Assumptions'!$B$11)</x:f>
        <x:v>1.23738484806043</x:v>
      </x:c>
    </x:row>
    <x:row r="89">
      <x:c r="N89" t="str">
        <x:f>TEXT('All Trades'!B89,"yyyy-mm-dd")</x:f>
        <x:v>2019-11-25</x:v>
      </x:c>
      <x:c r="O89" t="n">
        <x:f>LOG10('All Trades'!X89/'Assumptions'!$B$11)</x:f>
        <x:v>0.182667842922944</x:v>
      </x:c>
      <x:c r="P89" t="n">
        <x:f>LOG10('All Trades'!AA89/'Assumptions'!$B$11)</x:f>
        <x:v>1.27289543354453</x:v>
      </x:c>
    </x:row>
    <x:row r="90">
      <x:c r="N90" t="str">
        <x:f>TEXT('All Trades'!B90,"yyyy-mm-dd")</x:f>
        <x:v>2019-12-02</x:v>
      </x:c>
      <x:c r="O90" t="n">
        <x:f>LOG10('All Trades'!X90/'Assumptions'!$B$11)</x:f>
        <x:v>0.109970438415412</x:v>
      </x:c>
      <x:c r="P90" t="n">
        <x:f>LOG10('All Trades'!AA90/'Assumptions'!$B$11)</x:f>
        <x:v>1.200198029037</x:v>
      </x:c>
    </x:row>
    <x:row r="91">
      <x:c r="N91" t="str">
        <x:f>TEXT('All Trades'!B91,"yyyy-mm-dd")</x:f>
        <x:v>2019-12-09</x:v>
      </x:c>
      <x:c r="O91" t="n">
        <x:f>LOG10('All Trades'!X91/'Assumptions'!$B$11)</x:f>
        <x:v>0.168210405281948</x:v>
      </x:c>
      <x:c r="P91" t="n">
        <x:f>LOG10('All Trades'!AA91/'Assumptions'!$B$11)</x:f>
        <x:v>1.25843799590354</x:v>
      </x:c>
    </x:row>
    <x:row r="92">
      <x:c r="N92" t="str">
        <x:f>TEXT('All Trades'!B92,"yyyy-mm-dd")</x:f>
        <x:v>2019-12-16</x:v>
      </x:c>
      <x:c r="O92" t="n">
        <x:f>LOG10('All Trades'!X92/'Assumptions'!$B$11)</x:f>
        <x:v>0.242377111829815</x:v>
      </x:c>
      <x:c r="P92" t="n">
        <x:f>LOG10('All Trades'!AA92/'Assumptions'!$B$11)</x:f>
        <x:v>1.3326047024514</x:v>
      </x:c>
    </x:row>
    <x:row r="93">
      <x:c r="N93" t="str">
        <x:f>TEXT('All Trades'!B93,"yyyy-mm-dd")</x:f>
        <x:v>2019-12-23</x:v>
      </x:c>
      <x:c r="O93" t="n">
        <x:f>LOG10('All Trades'!X93/'Assumptions'!$B$11)</x:f>
        <x:v>0.276846338059493</x:v>
      </x:c>
      <x:c r="P93" t="n">
        <x:f>LOG10('All Trades'!AA93/'Assumptions'!$B$11)</x:f>
        <x:v>1.36707392868108</x:v>
      </x:c>
    </x:row>
    <x:row r="94">
      <x:c r="N94" t="str">
        <x:f>TEXT('All Trades'!B94,"yyyy-mm-dd")</x:f>
        <x:v>2019-12-30</x:v>
      </x:c>
      <x:c r="O94" t="n">
        <x:f>LOG10('All Trades'!X94/'Assumptions'!$B$11)</x:f>
        <x:v>0.269970734602587</x:v>
      </x:c>
      <x:c r="P94" t="n">
        <x:f>LOG10('All Trades'!AA94/'Assumptions'!$B$11)</x:f>
        <x:v>1.36019832522418</x:v>
      </x:c>
    </x:row>
    <x:row r="95">
      <x:c r="N95" t="str">
        <x:f>TEXT('All Trades'!B95,"yyyy-mm-dd")</x:f>
        <x:v>2020-01-06</x:v>
      </x:c>
      <x:c r="O95" t="n">
        <x:f>LOG10('All Trades'!X95/'Assumptions'!$B$11)</x:f>
        <x:v>0.336373446878318</x:v>
      </x:c>
      <x:c r="P95" t="n">
        <x:f>LOG10('All Trades'!AA95/'Assumptions'!$B$11)</x:f>
        <x:v>1.42660103749991</x:v>
      </x:c>
    </x:row>
    <x:row r="96">
      <x:c r="N96" t="str">
        <x:f>TEXT('All Trades'!B96,"yyyy-mm-dd")</x:f>
        <x:v>2020-01-13</x:v>
      </x:c>
      <x:c r="O96" t="n">
        <x:f>LOG10('All Trades'!X96/'Assumptions'!$B$11)</x:f>
        <x:v>0.37138630250273</x:v>
      </x:c>
      <x:c r="P96" t="n">
        <x:f>LOG10('All Trades'!AA96/'Assumptions'!$B$11)</x:f>
        <x:v>1.46161389312432</x:v>
      </x:c>
    </x:row>
    <x:row r="97">
      <x:c r="N97" t="str">
        <x:f>TEXT('All Trades'!B97,"yyyy-mm-dd")</x:f>
        <x:v>2020-01-21</x:v>
      </x:c>
      <x:c r="O97" t="n">
        <x:f>LOG10('All Trades'!X97/'Assumptions'!$B$11)</x:f>
        <x:v>0.351298712837447</x:v>
      </x:c>
      <x:c r="P97" t="n">
        <x:f>LOG10('All Trades'!AA97/'Assumptions'!$B$11)</x:f>
        <x:v>1.44152630345904</x:v>
      </x:c>
    </x:row>
    <x:row r="98">
      <x:c r="N98" t="str">
        <x:f>TEXT('All Trades'!B98,"yyyy-mm-dd")</x:f>
        <x:v>2020-01-27</x:v>
      </x:c>
      <x:c r="O98" t="n">
        <x:f>LOG10('All Trades'!X98/'Assumptions'!$B$11)</x:f>
        <x:v>0.382400436685861</x:v>
      </x:c>
      <x:c r="P98" t="n">
        <x:f>LOG10('All Trades'!AA98/'Assumptions'!$B$11)</x:f>
        <x:v>1.47262802730745</x:v>
      </x:c>
    </x:row>
    <x:row r="99">
      <x:c r="N99" t="str">
        <x:f>TEXT('All Trades'!B99,"yyyy-mm-dd")</x:f>
        <x:v>2020-02-03</x:v>
      </x:c>
      <x:c r="O99" t="n">
        <x:f>LOG10('All Trades'!X99/'Assumptions'!$B$11)</x:f>
        <x:v>0.427968663906758</x:v>
      </x:c>
      <x:c r="P99" t="n">
        <x:f>LOG10('All Trades'!AA99/'Assumptions'!$B$11)</x:f>
        <x:v>1.51819625452835</x:v>
      </x:c>
    </x:row>
    <x:row r="100">
      <x:c r="N100" t="str">
        <x:f>TEXT('All Trades'!B100,"yyyy-mm-dd")</x:f>
        <x:v>2020-02-10</x:v>
      </x:c>
      <x:c r="O100" t="n">
        <x:f>LOG10('All Trades'!X100/'Assumptions'!$B$11)</x:f>
        <x:v>0.496430233674596</x:v>
      </x:c>
      <x:c r="P100" t="n">
        <x:f>LOG10('All Trades'!AA100/'Assumptions'!$B$11)</x:f>
        <x:v>1.58665782429618</x:v>
      </x:c>
    </x:row>
    <x:row r="101">
      <x:c r="N101" t="str">
        <x:f>TEXT('All Trades'!B101,"yyyy-mm-dd")</x:f>
        <x:v>2020-02-18</x:v>
      </x:c>
      <x:c r="O101" t="n">
        <x:f>LOG10('All Trades'!X101/'Assumptions'!$B$11)</x:f>
        <x:v>0.532754057772933</x:v>
      </x:c>
      <x:c r="P101" t="n">
        <x:f>LOG10('All Trades'!AA101/'Assumptions'!$B$11)</x:f>
        <x:v>1.62298164839452</x:v>
      </x:c>
    </x:row>
    <x:row r="102">
      <x:c r="N102" t="str">
        <x:f>TEXT('All Trades'!B102,"yyyy-mm-dd")</x:f>
        <x:v>2020-02-24</x:v>
      </x:c>
      <x:c r="O102" t="n">
        <x:f>LOG10('All Trades'!X102/'Assumptions'!$B$11)</x:f>
        <x:v>0.574728307975292</x:v>
      </x:c>
      <x:c r="P102" t="n">
        <x:f>LOG10('All Trades'!AA102/'Assumptions'!$B$11)</x:f>
        <x:v>1.66495589859688</x:v>
      </x:c>
    </x:row>
    <x:row r="103">
      <x:c r="N103" t="str">
        <x:f>TEXT('All Trades'!B103,"yyyy-mm-dd")</x:f>
        <x:v>2020-03-02</x:v>
      </x:c>
      <x:c r="O103" t="n">
        <x:f>LOG10('All Trades'!X103/'Assumptions'!$B$11)</x:f>
        <x:v>0.724319029996195</x:v>
      </x:c>
      <x:c r="P103" t="n">
        <x:f>LOG10('All Trades'!AA103/'Assumptions'!$B$11)</x:f>
        <x:v>1.66495589859688</x:v>
      </x:c>
    </x:row>
    <x:row r="104">
      <x:c r="N104" t="str">
        <x:f>TEXT('All Trades'!B104,"yyyy-mm-dd")</x:f>
        <x:v>2020-03-23</x:v>
      </x:c>
      <x:c r="O104" t="n">
        <x:f>LOG10('All Trades'!X104/'Assumptions'!$B$11)</x:f>
        <x:v>0.771695156037039</x:v>
      </x:c>
      <x:c r="P104" t="n">
        <x:f>LOG10('All Trades'!AA104/'Assumptions'!$B$11)</x:f>
        <x:v>1.71233202463772</x:v>
      </x:c>
    </x:row>
    <x:row r="105">
      <x:c r="N105" t="str">
        <x:f>TEXT('All Trades'!B105,"yyyy-mm-dd")</x:f>
        <x:v>2020-03-30</x:v>
      </x:c>
      <x:c r="O105" t="n">
        <x:f>LOG10('All Trades'!X105/'Assumptions'!$B$11)</x:f>
        <x:v>0.881623494732441</x:v>
      </x:c>
      <x:c r="P105" t="n">
        <x:f>LOG10('All Trades'!AA105/'Assumptions'!$B$11)</x:f>
        <x:v>1.71233202463772</x:v>
      </x:c>
    </x:row>
    <x:row r="106">
      <x:c r="N106" t="str">
        <x:f>TEXT('All Trades'!B106,"yyyy-mm-dd")</x:f>
        <x:v>2020-04-06</x:v>
      </x:c>
      <x:c r="O106" t="n">
        <x:f>LOG10('All Trades'!X106/'Assumptions'!$B$11)</x:f>
        <x:v>1.00063840913519</x:v>
      </x:c>
      <x:c r="P106" t="n">
        <x:f>LOG10('All Trades'!AA106/'Assumptions'!$B$11)</x:f>
        <x:v>1.71233202463772</x:v>
      </x:c>
    </x:row>
    <x:row r="107">
      <x:c r="N107" t="str">
        <x:f>TEXT('All Trades'!B107,"yyyy-mm-dd")</x:f>
        <x:v>2020-04-13</x:v>
      </x:c>
      <x:c r="O107" t="n">
        <x:f>LOG10('All Trades'!X107/'Assumptions'!$B$11)</x:f>
        <x:v>1.07430837967984</x:v>
      </x:c>
      <x:c r="P107" t="n">
        <x:f>LOG10('All Trades'!AA107/'Assumptions'!$B$11)</x:f>
        <x:v>1.78600199518238</x:v>
      </x:c>
    </x:row>
    <x:row r="108">
      <x:c r="N108" t="str">
        <x:f>TEXT('All Trades'!B108,"yyyy-mm-dd")</x:f>
        <x:v>2020-04-20</x:v>
      </x:c>
      <x:c r="O108" t="n">
        <x:f>LOG10('All Trades'!X108/'Assumptions'!$B$11)</x:f>
        <x:v>1.01435994067051</x:v>
      </x:c>
      <x:c r="P108" t="n">
        <x:f>LOG10('All Trades'!AA108/'Assumptions'!$B$11)</x:f>
        <x:v>1.72605355617305</x:v>
      </x:c>
    </x:row>
    <x:row r="109">
      <x:c r="N109" t="str">
        <x:f>TEXT('All Trades'!B109,"yyyy-mm-dd")</x:f>
        <x:v>2020-04-27</x:v>
      </x:c>
      <x:c r="O109" t="n">
        <x:f>LOG10('All Trades'!X109/'Assumptions'!$B$11)</x:f>
        <x:v>0.997549458854153</x:v>
      </x:c>
      <x:c r="P109" t="n">
        <x:f>LOG10('All Trades'!AA109/'Assumptions'!$B$11)</x:f>
        <x:v>1.70924307435669</x:v>
      </x:c>
    </x:row>
    <x:row r="110">
      <x:c r="N110" t="str">
        <x:f>TEXT('All Trades'!B110,"yyyy-mm-dd")</x:f>
        <x:v>2020-05-04</x:v>
      </x:c>
      <x:c r="O110" t="n">
        <x:f>LOG10('All Trades'!X110/'Assumptions'!$B$11)</x:f>
        <x:v>1.07266665758934</x:v>
      </x:c>
      <x:c r="P110" t="n">
        <x:f>LOG10('All Trades'!AA110/'Assumptions'!$B$11)</x:f>
        <x:v>1.78436027309188</x:v>
      </x:c>
    </x:row>
    <x:row r="111">
      <x:c r="N111" t="str">
        <x:f>TEXT('All Trades'!B111,"yyyy-mm-dd")</x:f>
        <x:v>2020-05-11</x:v>
      </x:c>
      <x:c r="O111" t="n">
        <x:f>LOG10('All Trades'!X111/'Assumptions'!$B$11)</x:f>
        <x:v>1.14137966292442</x:v>
      </x:c>
      <x:c r="P111" t="n">
        <x:f>LOG10('All Trades'!AA111/'Assumptions'!$B$11)</x:f>
        <x:v>1.85307327842696</x:v>
      </x:c>
    </x:row>
    <x:row r="112">
      <x:c r="N112" t="str">
        <x:f>TEXT('All Trades'!B112,"yyyy-mm-dd")</x:f>
        <x:v>2020-05-18</x:v>
      </x:c>
      <x:c r="O112" t="n">
        <x:f>LOG10('All Trades'!X112/'Assumptions'!$B$11)</x:f>
        <x:v>1.17512298979939</x:v>
      </x:c>
      <x:c r="P112" t="n">
        <x:f>LOG10('All Trades'!AA112/'Assumptions'!$B$11)</x:f>
        <x:v>1.88681660530193</x:v>
      </x:c>
    </x:row>
    <x:row r="113">
      <x:c r="N113" t="str">
        <x:f>TEXT('All Trades'!B113,"yyyy-mm-dd")</x:f>
        <x:v>2020-05-26</x:v>
      </x:c>
      <x:c r="O113" t="n">
        <x:f>LOG10('All Trades'!X113/'Assumptions'!$B$11)</x:f>
        <x:v>1.10364225019309</x:v>
      </x:c>
      <x:c r="P113" t="n">
        <x:f>LOG10('All Trades'!AA113/'Assumptions'!$B$11)</x:f>
        <x:v>1.81533586569563</x:v>
      </x:c>
    </x:row>
    <x:row r="114">
      <x:c r="N114" t="str">
        <x:f>TEXT('All Trades'!B114,"yyyy-mm-dd")</x:f>
        <x:v>2020-06-01</x:v>
      </x:c>
      <x:c r="O114" t="n">
        <x:f>LOG10('All Trades'!X114/'Assumptions'!$B$11)</x:f>
        <x:v>1.14005634020721</x:v>
      </x:c>
      <x:c r="P114" t="n">
        <x:f>LOG10('All Trades'!AA114/'Assumptions'!$B$11)</x:f>
        <x:v>1.85174995570975</x:v>
      </x:c>
    </x:row>
    <x:row r="115">
      <x:c r="N115" t="str">
        <x:f>TEXT('All Trades'!B115,"yyyy-mm-dd")</x:f>
        <x:v>2020-06-08</x:v>
      </x:c>
      <x:c r="O115" t="n">
        <x:f>LOG10('All Trades'!X115/'Assumptions'!$B$11)</x:f>
        <x:v>1.17966277553906</x:v>
      </x:c>
      <x:c r="P115" t="n">
        <x:f>LOG10('All Trades'!AA115/'Assumptions'!$B$11)</x:f>
        <x:v>1.8913563910416</x:v>
      </x:c>
    </x:row>
    <x:row r="116">
      <x:c r="N116" t="str">
        <x:f>TEXT('All Trades'!B116,"yyyy-mm-dd")</x:f>
        <x:v>2020-06-15</x:v>
      </x:c>
      <x:c r="O116" t="n">
        <x:f>LOG10('All Trades'!X116/'Assumptions'!$B$11)</x:f>
        <x:v>1.29759429345257</x:v>
      </x:c>
      <x:c r="P116" t="n">
        <x:f>LOG10('All Trades'!AA116/'Assumptions'!$B$11)</x:f>
        <x:v>2.00928790895511</x:v>
      </x:c>
    </x:row>
    <x:row r="117">
      <x:c r="N117" t="str">
        <x:f>TEXT('All Trades'!B117,"yyyy-mm-dd")</x:f>
        <x:v>2020-06-22</x:v>
      </x:c>
      <x:c r="O117" t="n">
        <x:f>LOG10('All Trades'!X117/'Assumptions'!$B$11)</x:f>
        <x:v>1.35587717454971</x:v>
      </x:c>
      <x:c r="P117" t="n">
        <x:f>LOG10('All Trades'!AA117/'Assumptions'!$B$11)</x:f>
        <x:v>2.06757079005225</x:v>
      </x:c>
    </x:row>
    <x:row r="118">
      <x:c r="N118" t="str">
        <x:f>TEXT('All Trades'!B118,"yyyy-mm-dd")</x:f>
        <x:v>2020-06-29</x:v>
      </x:c>
      <x:c r="O118" t="n">
        <x:f>LOG10('All Trades'!X118/'Assumptions'!$B$11)</x:f>
        <x:v>1.41385956694369</x:v>
      </x:c>
      <x:c r="P118" t="n">
        <x:f>LOG10('All Trades'!AA118/'Assumptions'!$B$11)</x:f>
        <x:v>2.12555318244623</x:v>
      </x:c>
    </x:row>
    <x:row r="119">
      <x:c r="N119" t="str">
        <x:f>TEXT('All Trades'!B119,"yyyy-mm-dd")</x:f>
        <x:v>2020-07-06</x:v>
      </x:c>
      <x:c r="O119" t="n">
        <x:f>LOG10('All Trades'!X119/'Assumptions'!$B$11)</x:f>
        <x:v>1.46787323402393</x:v>
      </x:c>
      <x:c r="P119" t="n">
        <x:f>LOG10('All Trades'!AA119/'Assumptions'!$B$11)</x:f>
        <x:v>2.17956684952647</x:v>
      </x:c>
    </x:row>
    <x:row r="120">
      <x:c r="N120" t="str">
        <x:f>TEXT('All Trades'!B120,"yyyy-mm-dd")</x:f>
        <x:v>2020-07-13</x:v>
      </x:c>
      <x:c r="O120" t="n">
        <x:f>LOG10('All Trades'!X120/'Assumptions'!$B$11)</x:f>
        <x:v>1.33921436724969</x:v>
      </x:c>
      <x:c r="P120" t="n">
        <x:f>LOG10('All Trades'!AA120/'Assumptions'!$B$11)</x:f>
        <x:v>2.05090798275223</x:v>
      </x:c>
    </x:row>
    <x:row r="121">
      <x:c r="N121" t="str">
        <x:f>TEXT('All Trades'!B121,"yyyy-mm-dd")</x:f>
        <x:v>2020-07-20</x:v>
      </x:c>
      <x:c r="O121" t="n">
        <x:f>LOG10('All Trades'!X121/'Assumptions'!$B$11)</x:f>
        <x:v>1.45176373799611</x:v>
      </x:c>
      <x:c r="P121" t="n">
        <x:f>LOG10('All Trades'!AA121/'Assumptions'!$B$11)</x:f>
        <x:v>2.16345735349865</x:v>
      </x:c>
    </x:row>
    <x:row r="122">
      <x:c r="N122" t="str">
        <x:f>TEXT('All Trades'!B122,"yyyy-mm-dd")</x:f>
        <x:v>2020-07-27</x:v>
      </x:c>
      <x:c r="O122" t="n">
        <x:f>LOG10('All Trades'!X122/'Assumptions'!$B$11)</x:f>
        <x:v>1.50238397189434</x:v>
      </x:c>
      <x:c r="P122" t="n">
        <x:f>LOG10('All Trades'!AA122/'Assumptions'!$B$11)</x:f>
        <x:v>2.21407758739688</x:v>
      </x:c>
    </x:row>
    <x:row r="123">
      <x:c r="N123" t="str">
        <x:f>TEXT('All Trades'!B123,"yyyy-mm-dd")</x:f>
        <x:v>2020-08-03</x:v>
      </x:c>
      <x:c r="O123" t="n">
        <x:f>LOG10('All Trades'!X123/'Assumptions'!$B$11)</x:f>
        <x:v>1.55864528606857</x:v>
      </x:c>
      <x:c r="P123" t="n">
        <x:f>LOG10('All Trades'!AA123/'Assumptions'!$B$11)</x:f>
        <x:v>2.27033890157111</x:v>
      </x:c>
    </x:row>
    <x:row r="124">
      <x:c r="N124" t="str">
        <x:f>TEXT('All Trades'!B124,"yyyy-mm-dd")</x:f>
        <x:v>2020-08-10</x:v>
      </x:c>
      <x:c r="O124" t="n">
        <x:f>LOG10('All Trades'!X124/'Assumptions'!$B$11)</x:f>
        <x:v>1.53855769640329</x:v>
      </x:c>
      <x:c r="P124" t="n">
        <x:f>LOG10('All Trades'!AA124/'Assumptions'!$B$11)</x:f>
        <x:v>2.25025131190583</x:v>
      </x:c>
    </x:row>
    <x:row r="125">
      <x:c r="N125" t="str">
        <x:f>TEXT('All Trades'!B125,"yyyy-mm-dd")</x:f>
        <x:v>2020-08-17</x:v>
      </x:c>
      <x:c r="O125" t="n">
        <x:f>LOG10('All Trades'!X125/'Assumptions'!$B$11)</x:f>
        <x:v>1.66239627568578</x:v>
      </x:c>
      <x:c r="P125" t="n">
        <x:f>LOG10('All Trades'!AA125/'Assumptions'!$B$11)</x:f>
        <x:v>2.37408989118832</x:v>
      </x:c>
    </x:row>
    <x:row r="126">
      <x:c r="N126" t="str">
        <x:f>TEXT('All Trades'!B126,"yyyy-mm-dd")</x:f>
        <x:v>2020-08-24</x:v>
      </x:c>
      <x:c r="O126" t="n">
        <x:f>LOG10('All Trades'!X126/'Assumptions'!$B$11)</x:f>
        <x:v>1.77399782348708</x:v>
      </x:c>
      <x:c r="P126" t="n">
        <x:f>LOG10('All Trades'!AA126/'Assumptions'!$B$11)</x:f>
        <x:v>2.48569143898962</x:v>
      </x:c>
    </x:row>
    <x:row r="127">
      <x:c r="N127" t="str">
        <x:f>TEXT('All Trades'!B127,"yyyy-mm-dd")</x:f>
        <x:v>2020-08-31</x:v>
      </x:c>
      <x:c r="O127" t="n">
        <x:f>LOG10('All Trades'!X127/'Assumptions'!$B$11)</x:f>
        <x:v>1.80819497962263</x:v>
      </x:c>
      <x:c r="P127" t="n">
        <x:f>LOG10('All Trades'!AA127/'Assumptions'!$B$11)</x:f>
        <x:v>2.51988859512517</x:v>
      </x:c>
    </x:row>
    <x:row r="128">
      <x:c r="N128" t="str">
        <x:f>TEXT('All Trades'!B128,"yyyy-mm-dd")</x:f>
        <x:v>2020-09-08</x:v>
      </x:c>
      <x:c r="O128" t="n">
        <x:f>LOG10('All Trades'!X128/'Assumptions'!$B$11)</x:f>
        <x:v>1.78810738995734</x:v>
      </x:c>
      <x:c r="P128" t="n">
        <x:f>LOG10('All Trades'!AA128/'Assumptions'!$B$11)</x:f>
        <x:v>2.49980100545988</x:v>
      </x:c>
    </x:row>
    <x:row r="129">
      <x:c r="N129" t="str">
        <x:f>TEXT('All Trades'!B129,"yyyy-mm-dd")</x:f>
        <x:v>2020-09-14</x:v>
      </x:c>
      <x:c r="O129" t="n">
        <x:f>LOG10('All Trades'!X129/'Assumptions'!$B$11)</x:f>
        <x:v>1.76796839876221</x:v>
      </x:c>
      <x:c r="P129" t="n">
        <x:f>LOG10('All Trades'!AA129/'Assumptions'!$B$11)</x:f>
        <x:v>2.49980100545988</x:v>
      </x:c>
    </x:row>
    <x:row r="130">
      <x:c r="N130" t="str">
        <x:f>TEXT('All Trades'!B130,"yyyy-mm-dd")</x:f>
        <x:v>2020-09-21</x:v>
      </x:c>
      <x:c r="O130" t="n">
        <x:f>LOG10('All Trades'!X130/'Assumptions'!$B$11)</x:f>
        <x:v>1.85541687180454</x:v>
      </x:c>
      <x:c r="P130" t="n">
        <x:f>LOG10('All Trades'!AA130/'Assumptions'!$B$11)</x:f>
        <x:v>2.58724947850221</x:v>
      </x:c>
    </x:row>
    <x:row r="131">
      <x:c r="N131" t="str">
        <x:f>TEXT('All Trades'!B131,"yyyy-mm-dd")</x:f>
        <x:v>2020-09-28</x:v>
      </x:c>
      <x:c r="O131" t="n">
        <x:f>LOG10('All Trades'!X131/'Assumptions'!$B$11)</x:f>
        <x:v>1.83532928213926</x:v>
      </x:c>
      <x:c r="P131" t="n">
        <x:f>LOG10('All Trades'!AA131/'Assumptions'!$B$11)</x:f>
        <x:v>2.58724947850221</x:v>
      </x:c>
    </x:row>
    <x:row r="132">
      <x:c r="N132" t="str">
        <x:f>TEXT('All Trades'!B132,"yyyy-mm-dd")</x:f>
        <x:v>2020-10-05</x:v>
      </x:c>
      <x:c r="O132" t="n">
        <x:f>LOG10('All Trades'!X132/'Assumptions'!$B$11)</x:f>
        <x:v>1.89677610631357</x:v>
      </x:c>
      <x:c r="P132" t="n">
        <x:f>LOG10('All Trades'!AA132/'Assumptions'!$B$11)</x:f>
        <x:v>2.64869630267652</x:v>
      </x:c>
    </x:row>
    <x:row r="133">
      <x:c r="N133" t="str">
        <x:f>TEXT('All Trades'!B133,"yyyy-mm-dd")</x:f>
        <x:v>2020-10-12</x:v>
      </x:c>
      <x:c r="O133" t="n">
        <x:f>LOG10('All Trades'!X133/'Assumptions'!$B$11)</x:f>
        <x:v>1.95668659390067</x:v>
      </x:c>
      <x:c r="P133" t="n">
        <x:f>LOG10('All Trades'!AA133/'Assumptions'!$B$11)</x:f>
        <x:v>2.70860679026362</x:v>
      </x:c>
    </x:row>
    <x:row r="134">
      <x:c r="N134" t="str">
        <x:f>TEXT('All Trades'!B134,"yyyy-mm-dd")</x:f>
        <x:v>2020-10-19</x:v>
      </x:c>
      <x:c r="O134" t="n">
        <x:f>LOG10('All Trades'!X134/'Assumptions'!$B$11)</x:f>
        <x:v>1.84959223542618</x:v>
      </x:c>
      <x:c r="P134" t="n">
        <x:f>LOG10('All Trades'!AA134/'Assumptions'!$B$11)</x:f>
        <x:v>2.60151243178914</x:v>
      </x:c>
    </x:row>
    <x:row r="135">
      <x:c r="N135" t="str">
        <x:f>TEXT('All Trades'!B135,"yyyy-mm-dd")</x:f>
        <x:v>2020-10-26</x:v>
      </x:c>
      <x:c r="O135" t="n">
        <x:f>LOG10('All Trades'!X135/'Assumptions'!$B$11)</x:f>
        <x:v>1.6422871247237</x:v>
      </x:c>
      <x:c r="P135" t="n">
        <x:f>LOG10('All Trades'!AA135/'Assumptions'!$B$11)</x:f>
        <x:v>2.39420732108666</x:v>
      </x:c>
    </x:row>
    <x:row r="136">
      <x:c r="N136" t="str">
        <x:f>TEXT('All Trades'!B136,"yyyy-mm-dd")</x:f>
        <x:v>2020-11-02</x:v>
      </x:c>
      <x:c r="O136" t="n">
        <x:f>LOG10('All Trades'!X136/'Assumptions'!$B$11)</x:f>
        <x:v>1.85500967414128</x:v>
      </x:c>
      <x:c r="P136" t="n">
        <x:f>LOG10('All Trades'!AA136/'Assumptions'!$B$11)</x:f>
        <x:v>2.39420732108666</x:v>
      </x:c>
    </x:row>
    <x:row r="137">
      <x:c r="N137" t="str">
        <x:f>TEXT('All Trades'!B137,"yyyy-mm-dd")</x:f>
        <x:v>2020-11-09</x:v>
      </x:c>
      <x:c r="O137" t="n">
        <x:f>LOG10('All Trades'!X137/'Assumptions'!$B$11)</x:f>
        <x:v>1.72043702738502</x:v>
      </x:c>
      <x:c r="P137" t="n">
        <x:f>LOG10('All Trades'!AA137/'Assumptions'!$B$11)</x:f>
        <x:v>2.39420732108666</x:v>
      </x:c>
    </x:row>
    <x:row r="138">
      <x:c r="N138" t="str">
        <x:f>TEXT('All Trades'!B138,"yyyy-mm-dd")</x:f>
        <x:v>2020-11-16</x:v>
      </x:c>
      <x:c r="O138" t="n">
        <x:f>LOG10('All Trades'!X138/'Assumptions'!$B$11)</x:f>
        <x:v>1.76040169702586</x:v>
      </x:c>
      <x:c r="P138" t="n">
        <x:f>LOG10('All Trades'!AA138/'Assumptions'!$B$11)</x:f>
        <x:v>2.39420732108666</x:v>
      </x:c>
    </x:row>
    <x:row r="139">
      <x:c r="N139" t="str">
        <x:f>TEXT('All Trades'!B139,"yyyy-mm-dd")</x:f>
        <x:v>2020-11-23</x:v>
      </x:c>
      <x:c r="O139" t="n">
        <x:f>LOG10('All Trades'!X139/'Assumptions'!$B$11)</x:f>
        <x:v>1.8765340468167</x:v>
      </x:c>
      <x:c r="P139" t="n">
        <x:f>LOG10('All Trades'!AA139/'Assumptions'!$B$11)</x:f>
        <x:v>2.5103396708775</x:v>
      </x:c>
    </x:row>
    <x:row r="140">
      <x:c r="N140" t="str">
        <x:f>TEXT('All Trades'!B140,"yyyy-mm-dd")</x:f>
        <x:v>2020-11-30</x:v>
      </x:c>
      <x:c r="O140" t="n">
        <x:f>LOG10('All Trades'!X140/'Assumptions'!$B$11)</x:f>
        <x:v>1.96892972609855</x:v>
      </x:c>
      <x:c r="P140" t="n">
        <x:f>LOG10('All Trades'!AA140/'Assumptions'!$B$11)</x:f>
        <x:v>2.60273535015935</x:v>
      </x:c>
    </x:row>
    <x:row r="141">
      <x:c r="N141" t="str">
        <x:f>TEXT('All Trades'!B141,"yyyy-mm-dd")</x:f>
        <x:v>2020-12-07</x:v>
      </x:c>
      <x:c r="O141" t="n">
        <x:f>LOG10('All Trades'!X141/'Assumptions'!$B$11)</x:f>
        <x:v>1.88826936288596</x:v>
      </x:c>
      <x:c r="P141" t="n">
        <x:f>LOG10('All Trades'!AA141/'Assumptions'!$B$11)</x:f>
        <x:v>2.52207498694676</x:v>
      </x:c>
    </x:row>
    <x:row r="142">
      <x:c r="N142" t="str">
        <x:f>TEXT('All Trades'!B142,"yyyy-mm-dd")</x:f>
        <x:v>2020-12-14</x:v>
      </x:c>
      <x:c r="O142" t="n">
        <x:f>LOG10('All Trades'!X142/'Assumptions'!$B$11)</x:f>
        <x:v>1.993485831225</x:v>
      </x:c>
      <x:c r="P142" t="n">
        <x:f>LOG10('All Trades'!AA142/'Assumptions'!$B$11)</x:f>
        <x:v>2.62729145528579</x:v>
      </x:c>
    </x:row>
    <x:row r="143">
      <x:c r="N143" t="str">
        <x:f>TEXT('All Trades'!B143,"yyyy-mm-dd")</x:f>
        <x:v>2020-12-21</x:v>
      </x:c>
      <x:c r="O143" t="n">
        <x:f>LOG10('All Trades'!X143/'Assumptions'!$B$11)</x:f>
        <x:v>2.02877024657591</x:v>
      </x:c>
      <x:c r="P143" t="n">
        <x:f>LOG10('All Trades'!AA143/'Assumptions'!$B$11)</x:f>
        <x:v>2.6625758706367</x:v>
      </x:c>
    </x:row>
    <x:row r="144">
      <x:c r="N144" t="str">
        <x:f>TEXT('All Trades'!B144,"yyyy-mm-dd")</x:f>
        <x:v>2020-12-28</x:v>
      </x:c>
      <x:c r="O144" t="n">
        <x:f>LOG10('All Trades'!X144/'Assumptions'!$B$11)</x:f>
        <x:v>2.05698432007531</x:v>
      </x:c>
      <x:c r="P144" t="n">
        <x:f>LOG10('All Trades'!AA144/'Assumptions'!$B$11)</x:f>
        <x:v>2.6907899441361</x:v>
      </x:c>
    </x:row>
    <x:row r="145">
      <x:c r="N145" t="str">
        <x:f>TEXT('All Trades'!B145,"yyyy-mm-dd")</x:f>
        <x:v>2021-01-04</x:v>
      </x:c>
      <x:c r="O145" t="n">
        <x:f>LOG10('All Trades'!X145/'Assumptions'!$B$11)</x:f>
        <x:v>1.94126411347729</x:v>
      </x:c>
      <x:c r="P145" t="n">
        <x:f>LOG10('All Trades'!AA145/'Assumptions'!$B$11)</x:f>
        <x:v>2.57506973753809</x:v>
      </x:c>
    </x:row>
    <x:row r="146">
      <x:c r="N146" t="str">
        <x:f>TEXT('All Trades'!B146,"yyyy-mm-dd")</x:f>
        <x:v>2021-01-11</x:v>
      </x:c>
      <x:c r="O146" t="n">
        <x:f>LOG10('All Trades'!X146/'Assumptions'!$B$11)</x:f>
        <x:v>1.92204942029664</x:v>
      </x:c>
      <x:c r="P146" t="n">
        <x:f>LOG10('All Trades'!AA146/'Assumptions'!$B$11)</x:f>
        <x:v>2.55585504435743</x:v>
      </x:c>
    </x:row>
    <x:row r="147">
      <x:c r="N147" t="str">
        <x:f>TEXT('All Trades'!B147,"yyyy-mm-dd")</x:f>
        <x:v>2021-01-19</x:v>
      </x:c>
      <x:c r="O147" t="n">
        <x:f>LOG10('All Trades'!X147/'Assumptions'!$B$11)</x:f>
        <x:v>1.9703486368694</x:v>
      </x:c>
      <x:c r="P147" t="n">
        <x:f>LOG10('All Trades'!AA147/'Assumptions'!$B$11)</x:f>
        <x:v>2.6041542609302</x:v>
      </x:c>
    </x:row>
    <x:row r="148">
      <x:c r="N148" t="str">
        <x:f>TEXT('All Trades'!B148,"yyyy-mm-dd")</x:f>
        <x:v>2021-01-25</x:v>
      </x:c>
      <x:c r="O148" t="n">
        <x:f>LOG10('All Trades'!X148/'Assumptions'!$B$11)</x:f>
        <x:v>1.75994767925824</x:v>
      </x:c>
      <x:c r="P148" t="n">
        <x:f>LOG10('All Trades'!AA148/'Assumptions'!$B$11)</x:f>
        <x:v>2.39375330331904</x:v>
      </x:c>
    </x:row>
    <x:row r="149">
      <x:c r="N149" t="str">
        <x:f>TEXT('All Trades'!B149,"yyyy-mm-dd")</x:f>
        <x:v>2021-02-01</x:v>
      </x:c>
      <x:c r="O149" t="n">
        <x:f>LOG10('All Trades'!X149/'Assumptions'!$B$11)</x:f>
        <x:v>1.82032817990428</x:v>
      </x:c>
      <x:c r="P149" t="n">
        <x:f>LOG10('All Trades'!AA149/'Assumptions'!$B$11)</x:f>
        <x:v>2.39375330331904</x:v>
      </x:c>
    </x:row>
    <x:row r="150">
      <x:c r="N150" t="str">
        <x:f>TEXT('All Trades'!B150,"yyyy-mm-dd")</x:f>
        <x:v>2021-02-08</x:v>
      </x:c>
      <x:c r="O150" t="n">
        <x:f>LOG10('All Trades'!X150/'Assumptions'!$B$11)</x:f>
        <x:v>1.86906627474933</x:v>
      </x:c>
      <x:c r="P150" t="n">
        <x:f>LOG10('All Trades'!AA150/'Assumptions'!$B$11)</x:f>
        <x:v>2.39375330331904</x:v>
      </x:c>
    </x:row>
    <x:row r="151">
      <x:c r="N151" t="str">
        <x:f>TEXT('All Trades'!B151,"yyyy-mm-dd")</x:f>
        <x:v>2021-02-16</x:v>
      </x:c>
      <x:c r="O151" t="n">
        <x:f>LOG10('All Trades'!X151/'Assumptions'!$B$11)</x:f>
        <x:v>1.81737701279152</x:v>
      </x:c>
      <x:c r="P151" t="n">
        <x:f>LOG10('All Trades'!AA151/'Assumptions'!$B$11)</x:f>
        <x:v>2.39375330331904</x:v>
      </x:c>
    </x:row>
    <x:row r="152">
      <x:c r="N152" t="str">
        <x:f>TEXT('All Trades'!B152,"yyyy-mm-dd")</x:f>
        <x:v>2021-02-22</x:v>
      </x:c>
      <x:c r="O152" t="n">
        <x:f>LOG10('All Trades'!X152/'Assumptions'!$B$11)</x:f>
        <x:v>1.78355677397694</x:v>
      </x:c>
      <x:c r="P152" t="n">
        <x:f>LOG10('All Trades'!AA152/'Assumptions'!$B$11)</x:f>
        <x:v>2.35993306450445</x:v>
      </x:c>
    </x:row>
    <x:row r="153">
      <x:c r="N153" t="str">
        <x:f>TEXT('All Trades'!B153,"yyyy-mm-dd")</x:f>
        <x:v>2021-03-01</x:v>
      </x:c>
      <x:c r="O153" t="n">
        <x:f>LOG10('All Trades'!X153/'Assumptions'!$B$11)</x:f>
        <x:v>1.84372369537957</x:v>
      </x:c>
      <x:c r="P153" t="n">
        <x:f>LOG10('All Trades'!AA153/'Assumptions'!$B$11)</x:f>
        <x:v>2.35993306450445</x:v>
      </x:c>
    </x:row>
    <x:row r="154">
      <x:c r="N154" t="str">
        <x:f>TEXT('All Trades'!B154,"yyyy-mm-dd")</x:f>
        <x:v>2021-03-08</x:v>
      </x:c>
      <x:c r="O154" t="n">
        <x:f>LOG10('All Trades'!X154/'Assumptions'!$B$11)</x:f>
        <x:v>1.94569267009133</x:v>
      </x:c>
      <x:c r="P154" t="n">
        <x:f>LOG10('All Trades'!AA154/'Assumptions'!$B$11)</x:f>
        <x:v>2.46190203921622</x:v>
      </x:c>
    </x:row>
    <x:row r="155">
      <x:c r="N155" t="str">
        <x:f>TEXT('All Trades'!B155,"yyyy-mm-dd")</x:f>
        <x:v>2021-03-15</x:v>
      </x:c>
      <x:c r="O155" t="n">
        <x:f>LOG10('All Trades'!X155/'Assumptions'!$B$11)</x:f>
        <x:v>1.99298078033404</x:v>
      </x:c>
      <x:c r="P155" t="n">
        <x:f>LOG10('All Trades'!AA155/'Assumptions'!$B$11)</x:f>
        <x:v>2.50919014945893</x:v>
      </x:c>
    </x:row>
    <x:row r="156">
      <x:c r="N156" t="str">
        <x:f>TEXT('All Trades'!B156,"yyyy-mm-dd")</x:f>
        <x:v>2021-03-22</x:v>
      </x:c>
      <x:c r="O156" t="n">
        <x:f>LOG10('All Trades'!X156/'Assumptions'!$B$11)</x:f>
        <x:v>2.04482222269417</x:v>
      </x:c>
      <x:c r="P156" t="n">
        <x:f>LOG10('All Trades'!AA156/'Assumptions'!$B$11)</x:f>
        <x:v>2.56103159181906</x:v>
      </x:c>
    </x:row>
    <x:row r="157">
      <x:c r="N157" t="str">
        <x:f>TEXT('All Trades'!B157,"yyyy-mm-dd")</x:f>
        <x:v>2021-03-29</x:v>
      </x:c>
      <x:c r="O157" t="n">
        <x:f>LOG10('All Trades'!X157/'Assumptions'!$B$11)</x:f>
        <x:v>2.16784824640843</x:v>
      </x:c>
      <x:c r="P157" t="n">
        <x:f>LOG10('All Trades'!AA157/'Assumptions'!$B$11)</x:f>
        <x:v>2.68405761553331</x:v>
      </x:c>
    </x:row>
    <x:row r="158">
      <x:c r="N158" t="str">
        <x:f>TEXT('All Trades'!B158,"yyyy-mm-dd")</x:f>
        <x:v>2021-04-05</x:v>
      </x:c>
      <x:c r="O158" t="n">
        <x:f>LOG10('All Trades'!X158/'Assumptions'!$B$11)</x:f>
        <x:v>2.22471271409977</x:v>
      </x:c>
      <x:c r="P158" t="n">
        <x:f>LOG10('All Trades'!AA158/'Assumptions'!$B$11)</x:f>
        <x:v>2.74092208322466</x:v>
      </x:c>
    </x:row>
    <x:row r="159">
      <x:c r="N159" t="str">
        <x:f>TEXT('All Trades'!B159,"yyyy-mm-dd")</x:f>
        <x:v>2021-04-12</x:v>
      </x:c>
      <x:c r="O159" t="n">
        <x:f>LOG10('All Trades'!X159/'Assumptions'!$B$11)</x:f>
        <x:v>2.30348842935379</x:v>
      </x:c>
      <x:c r="P159" t="n">
        <x:f>LOG10('All Trades'!AA159/'Assumptions'!$B$11)</x:f>
        <x:v>2.81969779847868</x:v>
      </x:c>
    </x:row>
    <x:row r="160">
      <x:c r="N160" t="str">
        <x:f>TEXT('All Trades'!B160,"yyyy-mm-dd")</x:f>
        <x:v>2021-04-19</x:v>
      </x:c>
      <x:c r="O160" t="n">
        <x:f>LOG10('All Trades'!X160/'Assumptions'!$B$11)</x:f>
        <x:v>2.28340083968851</x:v>
      </x:c>
      <x:c r="P160" t="n">
        <x:f>LOG10('All Trades'!AA160/'Assumptions'!$B$11)</x:f>
        <x:v>2.7996102088134</x:v>
      </x:c>
    </x:row>
    <x:row r="161">
      <x:c r="N161" t="str">
        <x:f>TEXT('All Trades'!B161,"yyyy-mm-dd")</x:f>
        <x:v>2021-04-26</x:v>
      </x:c>
      <x:c r="O161" t="n">
        <x:f>LOG10('All Trades'!X161/'Assumptions'!$B$11)</x:f>
        <x:v>2.26331325002323</x:v>
      </x:c>
      <x:c r="P161" t="n">
        <x:f>LOG10('All Trades'!AA161/'Assumptions'!$B$11)</x:f>
        <x:v>2.77952261914812</x:v>
      </x:c>
    </x:row>
    <x:row r="162">
      <x:c r="N162" t="str">
        <x:f>TEXT('All Trades'!B162,"yyyy-mm-dd")</x:f>
        <x:v>2021-05-03</x:v>
      </x:c>
      <x:c r="O162" t="n">
        <x:f>LOG10('All Trades'!X162/'Assumptions'!$B$11)</x:f>
        <x:v>2.0783614206997</x:v>
      </x:c>
      <x:c r="P162" t="n">
        <x:f>LOG10('All Trades'!AA162/'Assumptions'!$B$11)</x:f>
        <x:v>2.59457078982459</x:v>
      </x:c>
    </x:row>
    <x:row r="163">
      <x:c r="N163" t="str">
        <x:f>TEXT('All Trades'!B163,"yyyy-mm-dd")</x:f>
        <x:v>2021-05-10</x:v>
      </x:c>
      <x:c r="O163" t="n">
        <x:f>LOG10('All Trades'!X163/'Assumptions'!$B$11)</x:f>
        <x:v>1.71231439973814</x:v>
      </x:c>
      <x:c r="P163" t="n">
        <x:f>LOG10('All Trades'!AA163/'Assumptions'!$B$11)</x:f>
        <x:v>2.59457078982459</x:v>
      </x:c>
    </x:row>
    <x:row r="164">
      <x:c r="N164" t="str">
        <x:f>TEXT('All Trades'!B164,"yyyy-mm-dd")</x:f>
        <x:v>2021-05-17</x:v>
      </x:c>
      <x:c r="O164" t="n">
        <x:f>LOG10('All Trades'!X164/'Assumptions'!$B$11)</x:f>
        <x:v>1.67636697159571</x:v>
      </x:c>
      <x:c r="P164" t="n">
        <x:f>LOG10('All Trades'!AA164/'Assumptions'!$B$11)</x:f>
        <x:v>2.59457078982459</x:v>
      </x:c>
    </x:row>
    <x:row r="165">
      <x:c r="N165" t="str">
        <x:f>TEXT('All Trades'!B165,"yyyy-mm-dd")</x:f>
        <x:v>2021-05-24</x:v>
      </x:c>
      <x:c r="O165" t="n">
        <x:f>LOG10('All Trades'!X165/'Assumptions'!$B$11)</x:f>
        <x:v>1.72003098926163</x:v>
      </x:c>
      <x:c r="P165" t="n">
        <x:f>LOG10('All Trades'!AA165/'Assumptions'!$B$11)</x:f>
        <x:v>2.59457078982459</x:v>
      </x:c>
    </x:row>
    <x:row r="166">
      <x:c r="N166" t="str">
        <x:f>TEXT('All Trades'!B166,"yyyy-mm-dd")</x:f>
        <x:v>2021-06-01</x:v>
      </x:c>
      <x:c r="O166" t="n">
        <x:f>LOG10('All Trades'!X166/'Assumptions'!$B$11)</x:f>
        <x:v>1.69393987021483</x:v>
      </x:c>
      <x:c r="P166" t="n">
        <x:f>LOG10('All Trades'!AA166/'Assumptions'!$B$11)</x:f>
        <x:v>2.56847967077778</x:v>
      </x:c>
    </x:row>
    <x:row r="167">
      <x:c r="N167" t="str">
        <x:f>TEXT('All Trades'!B167,"yyyy-mm-dd")</x:f>
        <x:v>2021-06-07</x:v>
      </x:c>
      <x:c r="O167" t="n">
        <x:f>LOG10('All Trades'!X167/'Assumptions'!$B$11)</x:f>
        <x:v>1.77593741250365</x:v>
      </x:c>
      <x:c r="P167" t="n">
        <x:f>LOG10('All Trades'!AA167/'Assumptions'!$B$11)</x:f>
        <x:v>2.65047721306661</x:v>
      </x:c>
    </x:row>
    <x:row r="168">
      <x:c r="N168" t="str">
        <x:f>TEXT('All Trades'!B168,"yyyy-mm-dd")</x:f>
        <x:v>2021-06-14</x:v>
      </x:c>
      <x:c r="O168" t="n">
        <x:f>LOG10('All Trades'!X168/'Assumptions'!$B$11)</x:f>
        <x:v>1.81451227513676</x:v>
      </x:c>
      <x:c r="P168" t="n">
        <x:f>LOG10('All Trades'!AA168/'Assumptions'!$B$11)</x:f>
        <x:v>2.68905207569971</x:v>
      </x:c>
    </x:row>
    <x:row r="169">
      <x:c r="N169" t="str">
        <x:f>TEXT('All Trades'!B169,"yyyy-mm-dd")</x:f>
        <x:v>2021-06-21</x:v>
      </x:c>
      <x:c r="O169" t="n">
        <x:f>LOG10('All Trades'!X169/'Assumptions'!$B$11)</x:f>
        <x:v>1.90539785512997</x:v>
      </x:c>
      <x:c r="P169" t="n">
        <x:f>LOG10('All Trades'!AA169/'Assumptions'!$B$11)</x:f>
        <x:v>2.77993765569293</x:v>
      </x:c>
    </x:row>
    <x:row r="170">
      <x:c r="N170" t="str">
        <x:f>TEXT('All Trades'!B170,"yyyy-mm-dd")</x:f>
        <x:v>2021-06-28</x:v>
      </x:c>
      <x:c r="O170" t="n">
        <x:f>LOG10('All Trades'!X170/'Assumptions'!$B$11)</x:f>
        <x:v>1.94217282131099</x:v>
      </x:c>
      <x:c r="P170" t="n">
        <x:f>LOG10('All Trades'!AA170/'Assumptions'!$B$11)</x:f>
        <x:v>2.81671262187395</x:v>
      </x:c>
    </x:row>
    <x:row r="171">
      <x:c r="N171" t="str">
        <x:f>TEXT('All Trades'!B171,"yyyy-mm-dd")</x:f>
        <x:v>2021-07-06</x:v>
      </x:c>
      <x:c r="O171" t="n">
        <x:f>LOG10('All Trades'!X171/'Assumptions'!$B$11)</x:f>
        <x:v>1.91945596585903</x:v>
      </x:c>
      <x:c r="P171" t="n">
        <x:f>LOG10('All Trades'!AA171/'Assumptions'!$B$11)</x:f>
        <x:v>2.79399576642199</x:v>
      </x:c>
    </x:row>
    <x:row r="172">
      <x:c r="N172" t="str">
        <x:f>TEXT('All Trades'!B172,"yyyy-mm-dd")</x:f>
        <x:v>2021-07-12</x:v>
      </x:c>
      <x:c r="O172" t="n">
        <x:f>LOG10('All Trades'!X172/'Assumptions'!$B$11)</x:f>
        <x:v>1.89936837619375</x:v>
      </x:c>
      <x:c r="P172" t="n">
        <x:f>LOG10('All Trades'!AA172/'Assumptions'!$B$11)</x:f>
        <x:v>2.7739081767567</x:v>
      </x:c>
    </x:row>
    <x:row r="173">
      <x:c r="N173" t="str">
        <x:f>TEXT('All Trades'!B173,"yyyy-mm-dd")</x:f>
        <x:v>2021-07-19</x:v>
      </x:c>
      <x:c r="O173" t="n">
        <x:f>LOG10('All Trades'!X173/'Assumptions'!$B$11)</x:f>
        <x:v>2.05940419814406</x:v>
      </x:c>
      <x:c r="P173" t="n">
        <x:f>LOG10('All Trades'!AA173/'Assumptions'!$B$11)</x:f>
        <x:v>2.93394399870701</x:v>
      </x:c>
    </x:row>
    <x:row r="174">
      <x:c r="N174" t="str">
        <x:f>TEXT('All Trades'!B174,"yyyy-mm-dd")</x:f>
        <x:v>2021-07-26</x:v>
      </x:c>
      <x:c r="O174" t="n">
        <x:f>LOG10('All Trades'!X174/'Assumptions'!$B$11)</x:f>
        <x:v>2.04024079721945</x:v>
      </x:c>
      <x:c r="P174" t="n">
        <x:f>LOG10('All Trades'!AA174/'Assumptions'!$B$11)</x:f>
        <x:v>2.9147805977824</x:v>
      </x:c>
    </x:row>
    <x:row r="175">
      <x:c r="N175" t="str">
        <x:f>TEXT('All Trades'!B175,"yyyy-mm-dd")</x:f>
        <x:v>2021-08-02</x:v>
      </x:c>
      <x:c r="O175" t="n">
        <x:f>LOG10('All Trades'!X175/'Assumptions'!$B$11)</x:f>
        <x:v>2.06276113176288</x:v>
      </x:c>
      <x:c r="P175" t="n">
        <x:f>LOG10('All Trades'!AA175/'Assumptions'!$B$11)</x:f>
        <x:v>2.93730093232583</x:v>
      </x:c>
    </x:row>
    <x:row r="176">
      <x:c r="N176" t="str">
        <x:f>TEXT('All Trades'!B176,"yyyy-mm-dd")</x:f>
        <x:v>2021-08-09</x:v>
      </x:c>
      <x:c r="O176" t="n">
        <x:f>LOG10('All Trades'!X176/'Assumptions'!$B$11)</x:f>
        <x:v>2.04839235414454</x:v>
      </x:c>
      <x:c r="P176" t="n">
        <x:f>LOG10('All Trades'!AA176/'Assumptions'!$B$11)</x:f>
        <x:v>2.92293215470749</x:v>
      </x:c>
    </x:row>
    <x:row r="177">
      <x:c r="N177" t="str">
        <x:f>TEXT('All Trades'!B177,"yyyy-mm-dd")</x:f>
        <x:v>2021-08-16</x:v>
      </x:c>
      <x:c r="O177" t="n">
        <x:f>LOG10('All Trades'!X177/'Assumptions'!$B$11)</x:f>
        <x:v>2.02835615992612</x:v>
      </x:c>
      <x:c r="P177" t="n">
        <x:f>LOG10('All Trades'!AA177/'Assumptions'!$B$11)</x:f>
        <x:v>2.90289596048908</x:v>
      </x:c>
    </x:row>
    <x:row r="178">
      <x:c r="N178" t="str">
        <x:f>TEXT('All Trades'!B178,"yyyy-mm-dd")</x:f>
        <x:v>2021-08-23</x:v>
      </x:c>
      <x:c r="O178" t="n">
        <x:f>LOG10('All Trades'!X178/'Assumptions'!$B$11)</x:f>
        <x:v>2.08552189054145</x:v>
      </x:c>
      <x:c r="P178" t="n">
        <x:f>LOG10('All Trades'!AA178/'Assumptions'!$B$11)</x:f>
        <x:v>2.96006169110441</x:v>
      </x:c>
    </x:row>
    <x:row r="179">
      <x:c r="N179" t="str">
        <x:f>TEXT('All Trades'!B179,"yyyy-mm-dd")</x:f>
        <x:v>2021-08-30</x:v>
      </x:c>
      <x:c r="O179" t="n">
        <x:f>LOG10('All Trades'!X179/'Assumptions'!$B$11)</x:f>
        <x:v>2.12923028710882</x:v>
      </x:c>
      <x:c r="P179" t="n">
        <x:f>LOG10('All Trades'!AA179/'Assumptions'!$B$11)</x:f>
        <x:v>3.00377008767177</x:v>
      </x:c>
    </x:row>
    <x:row r="180">
      <x:c r="N180" t="str">
        <x:f>TEXT('All Trades'!B180,"yyyy-mm-dd")</x:f>
        <x:v>2021-09-07</x:v>
      </x:c>
      <x:c r="O180" t="n">
        <x:f>LOG10('All Trades'!X180/'Assumptions'!$B$11)</x:f>
        <x:v>2.10723677738808</x:v>
      </x:c>
      <x:c r="P180" t="n">
        <x:f>LOG10('All Trades'!AA180/'Assumptions'!$B$11)</x:f>
        <x:v>2.98177657795104</x:v>
      </x:c>
    </x:row>
    <x:row r="181">
      <x:c r="N181" t="str">
        <x:f>TEXT('All Trades'!B181,"yyyy-mm-dd")</x:f>
        <x:v>2021-09-13</x:v>
      </x:c>
      <x:c r="O181" t="n">
        <x:f>LOG10('All Trades'!X181/'Assumptions'!$B$11)</x:f>
        <x:v>2.0871491877228</x:v>
      </x:c>
      <x:c r="P181" t="n">
        <x:f>LOG10('All Trades'!AA181/'Assumptions'!$B$11)</x:f>
        <x:v>2.96168898828575</x:v>
      </x:c>
    </x:row>
    <x:row r="182">
      <x:c r="N182" t="str">
        <x:f>TEXT('All Trades'!B182,"yyyy-mm-dd")</x:f>
        <x:v>2021-09-20</x:v>
      </x:c>
      <x:c r="O182" t="n">
        <x:f>LOG10('All Trades'!X182/'Assumptions'!$B$11)</x:f>
        <x:v>2.16106759728845</x:v>
      </x:c>
      <x:c r="P182" t="n">
        <x:f>LOG10('All Trades'!AA182/'Assumptions'!$B$11)</x:f>
        <x:v>3.03560739785141</x:v>
      </x:c>
    </x:row>
    <x:row r="183">
      <x:c r="N183" t="str">
        <x:f>TEXT('All Trades'!B183,"yyyy-mm-dd")</x:f>
        <x:v>2021-09-27</x:v>
      </x:c>
      <x:c r="O183" t="n">
        <x:f>LOG10('All Trades'!X183/'Assumptions'!$B$11)</x:f>
        <x:v>2.00107891483382</x:v>
      </x:c>
      <x:c r="P183" t="n">
        <x:f>LOG10('All Trades'!AA183/'Assumptions'!$B$11)</x:f>
        <x:v>2.87561871539677</x:v>
      </x:c>
    </x:row>
    <x:row r="184">
      <x:c r="N184" t="str">
        <x:f>TEXT('All Trades'!B184,"yyyy-mm-dd")</x:f>
        <x:v>2021-10-04</x:v>
      </x:c>
      <x:c r="O184" t="n">
        <x:f>LOG10('All Trades'!X184/'Assumptions'!$B$11)</x:f>
        <x:v>2.03504921561941</x:v>
      </x:c>
      <x:c r="P184" t="n">
        <x:f>LOG10('All Trades'!AA184/'Assumptions'!$B$11)</x:f>
        <x:v>2.90958901618237</x:v>
      </x:c>
    </x:row>
    <x:row r="185">
      <x:c r="N185" t="str">
        <x:f>TEXT('All Trades'!B185,"yyyy-mm-dd")</x:f>
        <x:v>2021-10-11</x:v>
      </x:c>
      <x:c r="O185" t="n">
        <x:f>LOG10('All Trades'!X185/'Assumptions'!$B$11)</x:f>
        <x:v>2.0153726193265</x:v>
      </x:c>
      <x:c r="P185" t="n">
        <x:f>LOG10('All Trades'!AA185/'Assumptions'!$B$11)</x:f>
        <x:v>2.88991241988945</x:v>
      </x:c>
    </x:row>
    <x:row r="186">
      <x:c r="N186" t="str">
        <x:f>TEXT('All Trades'!B186,"yyyy-mm-dd")</x:f>
        <x:v>2021-10-18</x:v>
      </x:c>
      <x:c r="O186" t="n">
        <x:f>LOG10('All Trades'!X186/'Assumptions'!$B$11)</x:f>
        <x:v>2.07983360367745</x:v>
      </x:c>
      <x:c r="P186" t="n">
        <x:f>LOG10('All Trades'!AA186/'Assumptions'!$B$11)</x:f>
        <x:v>2.88991241988945</x:v>
      </x:c>
    </x:row>
    <x:row r="187">
      <x:c r="N187" t="str">
        <x:f>TEXT('All Trades'!B187,"yyyy-mm-dd")</x:f>
        <x:v>2021-10-25</x:v>
      </x:c>
      <x:c r="O187" t="n">
        <x:f>LOG10('All Trades'!X187/'Assumptions'!$B$11)</x:f>
        <x:v>2.11912634140729</x:v>
      </x:c>
      <x:c r="P187" t="n">
        <x:f>LOG10('All Trades'!AA187/'Assumptions'!$B$11)</x:f>
        <x:v>2.9292051576193</x:v>
      </x:c>
    </x:row>
    <x:row r="188">
      <x:c r="N188" t="str">
        <x:f>TEXT('All Trades'!B188,"yyyy-mm-dd")</x:f>
        <x:v>2021-11-01</x:v>
      </x:c>
      <x:c r="O188" t="n">
        <x:f>LOG10('All Trades'!X188/'Assumptions'!$B$11)</x:f>
        <x:v>2.24678564544163</x:v>
      </x:c>
      <x:c r="P188" t="n">
        <x:f>LOG10('All Trades'!AA188/'Assumptions'!$B$11)</x:f>
        <x:v>3.05686446165364</x:v>
      </x:c>
    </x:row>
    <x:row r="189">
      <x:c r="N189" t="str">
        <x:f>TEXT('All Trades'!B189,"yyyy-mm-dd")</x:f>
        <x:v>2021-11-08</x:v>
      </x:c>
      <x:c r="O189" t="n">
        <x:f>LOG10('All Trades'!X189/'Assumptions'!$B$11)</x:f>
        <x:v>2.12200322671129</x:v>
      </x:c>
      <x:c r="P189" t="n">
        <x:f>LOG10('All Trades'!AA189/'Assumptions'!$B$11)</x:f>
        <x:v>2.93208204292329</x:v>
      </x:c>
    </x:row>
    <x:row r="190">
      <x:c r="N190" t="str">
        <x:f>TEXT('All Trades'!B190,"yyyy-mm-dd")</x:f>
        <x:v>2021-11-15</x:v>
      </x:c>
      <x:c r="O190" t="n">
        <x:f>LOG10('All Trades'!X190/'Assumptions'!$B$11)</x:f>
        <x:v>2.21181264158812</x:v>
      </x:c>
      <x:c r="P190" t="n">
        <x:f>LOG10('All Trades'!AA190/'Assumptions'!$B$11)</x:f>
        <x:v>3.02189145780012</x:v>
      </x:c>
    </x:row>
    <x:row r="191">
      <x:c r="N191" t="str">
        <x:f>TEXT('All Trades'!B191,"yyyy-mm-dd")</x:f>
        <x:v>2021-11-22</x:v>
      </x:c>
      <x:c r="O191" t="n">
        <x:f>LOG10('All Trades'!X191/'Assumptions'!$B$11)</x:f>
        <x:v>2.07857596647527</x:v>
      </x:c>
      <x:c r="P191" t="n">
        <x:f>LOG10('All Trades'!AA191/'Assumptions'!$B$11)</x:f>
        <x:v>2.88865478268728</x:v>
      </x:c>
    </x:row>
    <x:row r="192">
      <x:c r="N192" t="str">
        <x:f>TEXT('All Trades'!B192,"yyyy-mm-dd")</x:f>
        <x:v>2021-11-29</x:v>
      </x:c>
      <x:c r="O192" t="n">
        <x:f>LOG10('All Trades'!X192/'Assumptions'!$B$11)</x:f>
        <x:v>2.12339236428788</x:v>
      </x:c>
      <x:c r="P192" t="n">
        <x:f>LOG10('All Trades'!AA192/'Assumptions'!$B$11)</x:f>
        <x:v>2.88865478268728</x:v>
      </x:c>
    </x:row>
    <x:row r="193">
      <x:c r="N193" t="str">
        <x:f>TEXT('All Trades'!B193,"yyyy-mm-dd")</x:f>
        <x:v>2021-12-06</x:v>
      </x:c>
      <x:c r="O193" t="n">
        <x:f>LOG10('All Trades'!X193/'Assumptions'!$B$11)</x:f>
        <x:v>2.15781625733649</x:v>
      </x:c>
      <x:c r="P193" t="n">
        <x:f>LOG10('All Trades'!AA193/'Assumptions'!$B$11)</x:f>
        <x:v>2.92307867573589</x:v>
      </x:c>
    </x:row>
    <x:row r="194">
      <x:c r="N194" t="str">
        <x:f>TEXT('All Trades'!B194,"yyyy-mm-dd")</x:f>
        <x:v>2021-12-13</x:v>
      </x:c>
      <x:c r="O194" t="n">
        <x:f>LOG10('All Trades'!X194/'Assumptions'!$B$11)</x:f>
        <x:v>2.13772866767121</x:v>
      </x:c>
      <x:c r="P194" t="n">
        <x:f>LOG10('All Trades'!AA194/'Assumptions'!$B$11)</x:f>
        <x:v>2.9029910860706</x:v>
      </x:c>
    </x:row>
    <x:row r="195">
      <x:c r="N195" t="str">
        <x:f>TEXT('All Trades'!B195,"yyyy-mm-dd")</x:f>
        <x:v>2021-12-20</x:v>
      </x:c>
      <x:c r="O195" t="n">
        <x:f>LOG10('All Trades'!X195/'Assumptions'!$B$11)</x:f>
        <x:v>2.17183509588613</x:v>
      </x:c>
      <x:c r="P195" t="n">
        <x:f>LOG10('All Trades'!AA195/'Assumptions'!$B$11)</x:f>
        <x:v>2.93709751428552</x:v>
      </x:c>
    </x:row>
    <x:row r="196">
      <x:c r="N196" t="str">
        <x:f>TEXT('All Trades'!B196,"yyyy-mm-dd")</x:f>
        <x:v>2021-12-27</x:v>
      </x:c>
      <x:c r="O196" t="n">
        <x:f>LOG10('All Trades'!X196/'Assumptions'!$B$11)</x:f>
        <x:v>2.23208746159073</x:v>
      </x:c>
      <x:c r="P196" t="n">
        <x:f>LOG10('All Trades'!AA196/'Assumptions'!$B$11)</x:f>
        <x:v>2.99734987999012</x:v>
      </x:c>
    </x:row>
    <x:row r="197">
      <x:c r="N197" t="str">
        <x:f>TEXT('All Trades'!B197,"yyyy-mm-dd")</x:f>
        <x:v>2022-01-03</x:v>
      </x:c>
      <x:c r="O197" t="n">
        <x:f>LOG10('All Trades'!X197/'Assumptions'!$B$11)</x:f>
        <x:v>2.26587619273863</x:v>
      </x:c>
      <x:c r="P197" t="n">
        <x:f>LOG10('All Trades'!AA197/'Assumptions'!$B$11)</x:f>
        <x:v>3.03113861113802</x:v>
      </x:c>
    </x:row>
    <x:row r="198">
      <x:c r="N198" t="str">
        <x:f>TEXT('All Trades'!B198,"yyyy-mm-dd")</x:f>
        <x:v>2022-01-10</x:v>
      </x:c>
      <x:c r="O198" t="n">
        <x:f>LOG10('All Trades'!X198/'Assumptions'!$B$11)</x:f>
        <x:v>2.33206826767458</x:v>
      </x:c>
      <x:c r="P198" t="n">
        <x:f>LOG10('All Trades'!AA198/'Assumptions'!$B$11)</x:f>
        <x:v>3.09733068607397</x:v>
      </x:c>
    </x:row>
    <x:row r="199">
      <x:c r="N199" t="str">
        <x:f>TEXT('All Trades'!B199,"yyyy-mm-dd")</x:f>
        <x:v>2022-01-18</x:v>
      </x:c>
      <x:c r="O199" t="n">
        <x:f>LOG10('All Trades'!X199/'Assumptions'!$B$11)</x:f>
        <x:v>2.22213869115171</x:v>
      </x:c>
      <x:c r="P199" t="n">
        <x:f>LOG10('All Trades'!AA199/'Assumptions'!$B$11)</x:f>
        <x:v>2.98740110955111</x:v>
      </x:c>
    </x:row>
    <x:row r="200">
      <x:c r="N200" t="str">
        <x:f>TEXT('All Trades'!B200,"yyyy-mm-dd")</x:f>
        <x:v>2022-01-24</x:v>
      </x:c>
      <x:c r="O200" t="n">
        <x:f>LOG10('All Trades'!X200/'Assumptions'!$B$11)</x:f>
        <x:v>2.31777522463158</x:v>
      </x:c>
      <x:c r="P200" t="n">
        <x:f>LOG10('All Trades'!AA200/'Assumptions'!$B$11)</x:f>
        <x:v>3.08303764303098</x:v>
      </x:c>
    </x:row>
    <x:row r="201">
      <x:c r="N201" t="str">
        <x:f>TEXT('All Trades'!B201,"yyyy-mm-dd")</x:f>
        <x:v>2022-01-31</x:v>
      </x:c>
      <x:c r="O201" t="n">
        <x:f>LOG10('All Trades'!X201/'Assumptions'!$B$11)</x:f>
        <x:v>2.43525764879573</x:v>
      </x:c>
      <x:c r="P201" t="n">
        <x:f>LOG10('All Trades'!AA201/'Assumptions'!$B$11)</x:f>
        <x:v>3.20052006719513</x:v>
      </x:c>
    </x:row>
    <x:row r="202">
      <x:c r="N202" t="str">
        <x:f>TEXT('All Trades'!B202,"yyyy-mm-dd")</x:f>
        <x:v>2022-02-07</x:v>
      </x:c>
      <x:c r="O202" t="n">
        <x:f>LOG10('All Trades'!X202/'Assumptions'!$B$11)</x:f>
        <x:v>2.41517005913045</x:v>
      </x:c>
      <x:c r="P202" t="n">
        <x:f>LOG10('All Trades'!AA202/'Assumptions'!$B$11)</x:f>
        <x:v>3.18043247752985</x:v>
      </x:c>
    </x:row>
    <x:row r="203">
      <x:c r="N203" t="str">
        <x:f>TEXT('All Trades'!B203,"yyyy-mm-dd")</x:f>
        <x:v>2022-02-14</x:v>
      </x:c>
      <x:c r="O203" t="n">
        <x:f>LOG10('All Trades'!X203/'Assumptions'!$B$11)</x:f>
        <x:v>2.48871575684926</x:v>
      </x:c>
      <x:c r="P203" t="n">
        <x:f>LOG10('All Trades'!AA203/'Assumptions'!$B$11)</x:f>
        <x:v>3.25397817524866</x:v>
      </x:c>
    </x:row>
    <x:row r="204">
      <x:c r="N204" t="str">
        <x:f>TEXT('All Trades'!B204,"yyyy-mm-dd")</x:f>
        <x:v>2022-02-22</x:v>
      </x:c>
      <x:c r="O204" t="n">
        <x:f>LOG10('All Trades'!X204/'Assumptions'!$B$11)</x:f>
        <x:v>2.31766358407896</x:v>
      </x:c>
      <x:c r="P204" t="n">
        <x:f>LOG10('All Trades'!AA204/'Assumptions'!$B$11)</x:f>
        <x:v>3.08292600247836</x:v>
      </x:c>
    </x:row>
    <x:row r="205">
      <x:c r="N205" t="str">
        <x:f>TEXT('All Trades'!B205,"yyyy-mm-dd")</x:f>
        <x:v>2022-02-28</x:v>
      </x:c>
      <x:c r="O205" t="n">
        <x:f>LOG10('All Trades'!X205/'Assumptions'!$B$11)</x:f>
        <x:v>2.37620386154709</x:v>
      </x:c>
      <x:c r="P205" t="n">
        <x:f>LOG10('All Trades'!AA205/'Assumptions'!$B$11)</x:f>
        <x:v>3.14146627994649</x:v>
      </x:c>
    </x:row>
    <x:row r="206">
      <x:c r="N206" t="str">
        <x:f>TEXT('All Trades'!B206,"yyyy-mm-dd")</x:f>
        <x:v>2022-03-07</x:v>
      </x:c>
      <x:c r="O206" t="n">
        <x:f>LOG10('All Trades'!X206/'Assumptions'!$B$11)</x:f>
        <x:v>2.35611627188181</x:v>
      </x:c>
      <x:c r="P206" t="n">
        <x:f>LOG10('All Trades'!AA206/'Assumptions'!$B$11)</x:f>
        <x:v>3.12137869028121</x:v>
      </x:c>
    </x:row>
    <x:row r="207">
      <x:c r="N207" t="str">
        <x:f>TEXT('All Trades'!B207,"yyyy-mm-dd")</x:f>
        <x:v>2022-03-14</x:v>
      </x:c>
      <x:c r="O207" t="n">
        <x:f>LOG10('All Trades'!X207/'Assumptions'!$B$11)</x:f>
        <x:v>2.55947693295145</x:v>
      </x:c>
      <x:c r="P207" t="n">
        <x:f>LOG10('All Trades'!AA207/'Assumptions'!$B$11)</x:f>
        <x:v>3.12137869028121</x:v>
      </x:c>
    </x:row>
    <x:row r="208">
      <x:c r="N208" t="str">
        <x:f>TEXT('All Trades'!B208,"yyyy-mm-dd")</x:f>
        <x:v>2022-03-21</x:v>
      </x:c>
      <x:c r="O208" t="n">
        <x:f>LOG10('All Trades'!X208/'Assumptions'!$B$11)</x:f>
        <x:v>2.67153369393135</x:v>
      </x:c>
      <x:c r="P208" t="n">
        <x:f>LOG10('All Trades'!AA208/'Assumptions'!$B$11)</x:f>
        <x:v>3.2334354512611</x:v>
      </x:c>
    </x:row>
    <x:row r="209">
      <x:c r="N209" t="str">
        <x:f>TEXT('All Trades'!B209,"yyyy-mm-dd")</x:f>
        <x:v>2022-03-28</x:v>
      </x:c>
      <x:c r="O209" t="n">
        <x:f>LOG10('All Trades'!X209/'Assumptions'!$B$11)</x:f>
        <x:v>2.74287802112641</x:v>
      </x:c>
      <x:c r="P209" t="n">
        <x:f>LOG10('All Trades'!AA209/'Assumptions'!$B$11)</x:f>
        <x:v>3.30477977845617</x:v>
      </x:c>
    </x:row>
    <x:row r="210">
      <x:c r="N210" t="str">
        <x:f>TEXT('All Trades'!B210,"yyyy-mm-dd")</x:f>
        <x:v>2022-04-04</x:v>
      </x:c>
      <x:c r="O210" t="n">
        <x:f>LOG10('All Trades'!X210/'Assumptions'!$B$11)</x:f>
        <x:v>2.82324724584836</x:v>
      </x:c>
      <x:c r="P210" t="n">
        <x:f>LOG10('All Trades'!AA210/'Assumptions'!$B$11)</x:f>
        <x:v>3.38514900317812</x:v>
      </x:c>
    </x:row>
    <x:row r="211">
      <x:c r="N211" t="str">
        <x:f>TEXT('All Trades'!B211,"yyyy-mm-dd")</x:f>
        <x:v>2022-04-11</x:v>
      </x:c>
      <x:c r="O211" t="n">
        <x:f>LOG10('All Trades'!X211/'Assumptions'!$B$11)</x:f>
        <x:v>2.80321105162995</x:v>
      </x:c>
      <x:c r="P211" t="n">
        <x:f>LOG10('All Trades'!AA211/'Assumptions'!$B$11)</x:f>
        <x:v>3.3651128089597</x:v>
      </x:c>
    </x:row>
    <x:row r="212">
      <x:c r="N212" t="str">
        <x:f>TEXT('All Trades'!B212,"yyyy-mm-dd")</x:f>
        <x:v>2022-04-18</x:v>
      </x:c>
      <x:c r="O212" t="n">
        <x:f>LOG10('All Trades'!X212/'Assumptions'!$B$11)</x:f>
        <x:v>2.84263825893572</x:v>
      </x:c>
      <x:c r="P212" t="n">
        <x:f>LOG10('All Trades'!AA212/'Assumptions'!$B$11)</x:f>
        <x:v>3.40454001626548</x:v>
      </x:c>
    </x:row>
    <x:row r="213">
      <x:c r="N213" t="str">
        <x:f>TEXT('All Trades'!B213,"yyyy-mm-dd")</x:f>
        <x:v>2022-04-25</x:v>
      </x:c>
      <x:c r="O213" t="n">
        <x:f>LOG10('All Trades'!X213/'Assumptions'!$B$11)</x:f>
        <x:v>2.92646039047647</x:v>
      </x:c>
      <x:c r="P213" t="n">
        <x:f>LOG10('All Trades'!AA213/'Assumptions'!$B$11)</x:f>
        <x:v>3.48836214780623</x:v>
      </x:c>
    </x:row>
    <x:row r="214">
      <x:c r="N214" t="str">
        <x:f>TEXT('All Trades'!B214,"yyyy-mm-dd")</x:f>
        <x:v>2022-05-02</x:v>
      </x:c>
      <x:c r="O214" t="n">
        <x:f>LOG10('All Trades'!X214/'Assumptions'!$B$11)</x:f>
        <x:v>3.0084579327653</x:v>
      </x:c>
      <x:c r="P214" t="n">
        <x:f>LOG10('All Trades'!AA214/'Assumptions'!$B$11)</x:f>
        <x:v>3.57035969009506</x:v>
      </x:c>
    </x:row>
    <x:row r="215">
      <x:c r="N215" t="str">
        <x:f>TEXT('All Trades'!B215,"yyyy-mm-dd")</x:f>
        <x:v>2022-05-09</x:v>
      </x:c>
      <x:c r="O215" t="n">
        <x:f>LOG10('All Trades'!X215/'Assumptions'!$B$11)</x:f>
        <x:v>2.98842173854688</x:v>
      </x:c>
      <x:c r="P215" t="n">
        <x:f>LOG10('All Trades'!AA215/'Assumptions'!$B$11)</x:f>
        <x:v>3.55032349587664</x:v>
      </x:c>
    </x:row>
    <x:row r="216">
      <x:c r="N216" t="str">
        <x:f>TEXT('All Trades'!B216,"yyyy-mm-dd")</x:f>
        <x:v>2022-05-16</x:v>
      </x:c>
      <x:c r="O216" t="n">
        <x:f>LOG10('All Trades'!X216/'Assumptions'!$B$11)</x:f>
        <x:v>3.06076429537699</x:v>
      </x:c>
      <x:c r="P216" t="n">
        <x:f>LOG10('All Trades'!AA216/'Assumptions'!$B$11)</x:f>
        <x:v>3.62266605270675</x:v>
      </x:c>
    </x:row>
    <x:row r="217">
      <x:c r="N217" t="str">
        <x:f>TEXT('All Trades'!B217,"yyyy-mm-dd")</x:f>
        <x:v>2022-05-23</x:v>
      </x:c>
      <x:c r="O217" t="n">
        <x:f>LOG10('All Trades'!X217/'Assumptions'!$B$11)</x:f>
        <x:v>3.12165695807169</x:v>
      </x:c>
      <x:c r="P217" t="n">
        <x:f>LOG10('All Trades'!AA217/'Assumptions'!$B$11)</x:f>
        <x:v>3.68355871540145</x:v>
      </x:c>
    </x:row>
    <x:row r="218">
      <x:c r="N218" t="str">
        <x:f>TEXT('All Trades'!B218,"yyyy-mm-dd")</x:f>
        <x:v>2022-05-31</x:v>
      </x:c>
      <x:c r="O218" t="n">
        <x:f>LOG10('All Trades'!X218/'Assumptions'!$B$11)</x:f>
        <x:v>3.06980183056065</x:v>
      </x:c>
      <x:c r="P218" t="n">
        <x:f>LOG10('All Trades'!AA218/'Assumptions'!$B$11)</x:f>
        <x:v>3.63170358789041</x:v>
      </x:c>
    </x:row>
    <x:row r="219">
      <x:c r="N219" t="str">
        <x:f>TEXT('All Trades'!B219,"yyyy-mm-dd")</x:f>
        <x:v>2022-06-06</x:v>
      </x:c>
      <x:c r="O219" t="n">
        <x:f>LOG10('All Trades'!X219/'Assumptions'!$B$11)</x:f>
        <x:v>3.01894094748808</x:v>
      </x:c>
      <x:c r="P219" t="n">
        <x:f>LOG10('All Trades'!AA219/'Assumptions'!$B$11)</x:f>
        <x:v>3.63170358789041</x:v>
      </x:c>
    </x:row>
    <x:row r="220">
      <x:c r="N220" t="str">
        <x:f>TEXT('All Trades'!B220,"yyyy-mm-dd")</x:f>
        <x:v>2022-06-13</x:v>
      </x:c>
      <x:c r="O220" t="n">
        <x:f>LOG10('All Trades'!X220/'Assumptions'!$B$11)</x:f>
        <x:v>2.99993138699447</x:v>
      </x:c>
      <x:c r="P220" t="n">
        <x:f>LOG10('All Trades'!AA220/'Assumptions'!$B$11)</x:f>
        <x:v>3.6126940273968</x:v>
      </x:c>
    </x:row>
    <x:row r="221">
      <x:c r="N221" t="str">
        <x:f>TEXT('All Trades'!B221,"yyyy-mm-dd")</x:f>
        <x:v>2022-06-21</x:v>
      </x:c>
      <x:c r="O221" t="n">
        <x:f>LOG10('All Trades'!X221/'Assumptions'!$B$11)</x:f>
        <x:v>3.03998556906051</x:v>
      </x:c>
      <x:c r="P221" t="n">
        <x:f>LOG10('All Trades'!AA221/'Assumptions'!$B$11)</x:f>
        <x:v>3.6126940273968</x:v>
      </x:c>
    </x:row>
    <x:row r="222">
      <x:c r="N222" t="str">
        <x:f>TEXT('All Trades'!B222,"yyyy-mm-dd")</x:f>
        <x:v>2022-06-27</x:v>
      </x:c>
      <x:c r="O222" t="n">
        <x:f>LOG10('All Trades'!X222/'Assumptions'!$B$11)</x:f>
        <x:v>2.77172417624934</x:v>
      </x:c>
      <x:c r="P222" t="n">
        <x:f>LOG10('All Trades'!AA222/'Assumptions'!$B$11)</x:f>
        <x:v>3.34443263458563</x:v>
      </x:c>
    </x:row>
    <x:row r="223">
      <x:c r="N223" t="str">
        <x:f>TEXT('All Trades'!B223,"yyyy-mm-dd")</x:f>
        <x:v>2022-07-05</x:v>
      </x:c>
      <x:c r="O223" t="n">
        <x:f>LOG10('All Trades'!X223/'Assumptions'!$B$11)</x:f>
        <x:v>2.89938348028368</x:v>
      </x:c>
      <x:c r="P223" t="n">
        <x:f>LOG10('All Trades'!AA223/'Assumptions'!$B$11)</x:f>
        <x:v>3.34443263458563</x:v>
      </x:c>
    </x:row>
    <x:row r="224">
      <x:c r="N224" t="str">
        <x:f>TEXT('All Trades'!B224,"yyyy-mm-dd")</x:f>
        <x:v>2022-07-11</x:v>
      </x:c>
      <x:c r="O224" t="n">
        <x:f>LOG10('All Trades'!X224/'Assumptions'!$B$11)</x:f>
        <x:v>2.7415881884103</x:v>
      </x:c>
      <x:c r="P224" t="n">
        <x:f>LOG10('All Trades'!AA224/'Assumptions'!$B$11)</x:f>
        <x:v>3.34443263458563</x:v>
      </x:c>
    </x:row>
    <x:row r="225">
      <x:c r="N225" t="str">
        <x:f>TEXT('All Trades'!B225,"yyyy-mm-dd")</x:f>
        <x:v>2022-07-18</x:v>
      </x:c>
      <x:c r="O225" t="n">
        <x:f>LOG10('All Trades'!X225/'Assumptions'!$B$11)</x:f>
        <x:v>2.84661203177241</x:v>
      </x:c>
      <x:c r="P225" t="n">
        <x:f>LOG10('All Trades'!AA225/'Assumptions'!$B$11)</x:f>
        <x:v>3.34443263458563</x:v>
      </x:c>
    </x:row>
    <x:row r="226">
      <x:c r="N226" t="str">
        <x:f>TEXT('All Trades'!B226,"yyyy-mm-dd")</x:f>
        <x:v>2022-07-25</x:v>
      </x:c>
      <x:c r="O226" t="n">
        <x:f>LOG10('All Trades'!X226/'Assumptions'!$B$11)</x:f>
        <x:v>2.82652444210712</x:v>
      </x:c>
      <x:c r="P226" t="n">
        <x:f>LOG10('All Trades'!AA226/'Assumptions'!$B$11)</x:f>
        <x:v>3.32434504492035</x:v>
      </x:c>
    </x:row>
    <x:row r="227">
      <x:c r="N227" t="str">
        <x:f>TEXT('All Trades'!B227,"yyyy-mm-dd")</x:f>
        <x:v>2022-08-01</x:v>
      </x:c>
      <x:c r="O227" t="n">
        <x:f>LOG10('All Trades'!X227/'Assumptions'!$B$11)</x:f>
        <x:v>2.93713805477822</x:v>
      </x:c>
      <x:c r="P227" t="n">
        <x:f>LOG10('All Trades'!AA227/'Assumptions'!$B$11)</x:f>
        <x:v>3.43495865759145</x:v>
      </x:c>
    </x:row>
    <x:row r="228">
      <x:c r="N228" t="str">
        <x:f>TEXT('All Trades'!B228,"yyyy-mm-dd")</x:f>
        <x:v>2022-08-08</x:v>
      </x:c>
      <x:c r="O228" t="n">
        <x:f>LOG10('All Trades'!X228/'Assumptions'!$B$11)</x:f>
        <x:v>2.93625380020997</x:v>
      </x:c>
      <x:c r="P228" t="n">
        <x:f>LOG10('All Trades'!AA228/'Assumptions'!$B$11)</x:f>
        <x:v>3.43407440302319</x:v>
      </x:c>
    </x:row>
    <x:row r="229">
      <x:c r="N229" t="str">
        <x:f>TEXT('All Trades'!B229,"yyyy-mm-dd")</x:f>
        <x:v>2022-08-15</x:v>
      </x:c>
      <x:c r="O229" t="n">
        <x:f>LOG10('All Trades'!X229/'Assumptions'!$B$11)</x:f>
        <x:v>2.9868303559457</x:v>
      </x:c>
      <x:c r="P229" t="n">
        <x:f>LOG10('All Trades'!AA229/'Assumptions'!$B$11)</x:f>
        <x:v>3.48465095875892</x:v>
      </x:c>
    </x:row>
    <x:row r="230">
      <x:c r="N230" t="str">
        <x:f>TEXT('All Trades'!B230,"yyyy-mm-dd")</x:f>
        <x:v>2022-08-22</x:v>
      </x:c>
      <x:c r="O230" t="n">
        <x:f>LOG10('All Trades'!X230/'Assumptions'!$B$11)</x:f>
        <x:v>2.93552786743906</x:v>
      </x:c>
      <x:c r="P230" t="n">
        <x:f>LOG10('All Trades'!AA230/'Assumptions'!$B$11)</x:f>
        <x:v>3.43334847025228</x:v>
      </x:c>
    </x:row>
    <x:row r="231">
      <x:c r="N231" t="str">
        <x:f>TEXT('All Trades'!B231,"yyyy-mm-dd")</x:f>
        <x:v>2022-08-29</x:v>
      </x:c>
      <x:c r="O231" t="n">
        <x:f>LOG10('All Trades'!X231/'Assumptions'!$B$11)</x:f>
        <x:v>2.92156470919795</x:v>
      </x:c>
      <x:c r="P231" t="n">
        <x:f>LOG10('All Trades'!AA231/'Assumptions'!$B$11)</x:f>
        <x:v>3.41938531201118</x:v>
      </x:c>
    </x:row>
    <x:row r="232">
      <x:c r="N232" t="str">
        <x:f>TEXT('All Trades'!B232,"yyyy-mm-dd")</x:f>
        <x:v>2022-09-06</x:v>
      </x:c>
      <x:c r="O232" t="n">
        <x:f>LOG10('All Trades'!X232/'Assumptions'!$B$11)</x:f>
        <x:v>3.07764448413505</x:v>
      </x:c>
      <x:c r="P232" t="n">
        <x:f>LOG10('All Trades'!AA232/'Assumptions'!$B$11)</x:f>
        <x:v>3.57546508694828</x:v>
      </x:c>
    </x:row>
    <x:row r="233">
      <x:c r="N233" t="str">
        <x:f>TEXT('All Trades'!B233,"yyyy-mm-dd")</x:f>
        <x:v>2022-09-12</x:v>
      </x:c>
      <x:c r="O233" t="n">
        <x:f>LOG10('All Trades'!X233/'Assumptions'!$B$11)</x:f>
        <x:v>3.1155452594584</x:v>
      </x:c>
      <x:c r="P233" t="n">
        <x:f>LOG10('All Trades'!AA233/'Assumptions'!$B$11)</x:f>
        <x:v>3.61336586227163</x:v>
      </x:c>
    </x:row>
    <x:row r="234">
      <x:c r="N234" t="str">
        <x:f>TEXT('All Trades'!B234,"yyyy-mm-dd")</x:f>
        <x:v>2022-09-19</x:v>
      </x:c>
      <x:c r="O234" t="n">
        <x:f>LOG10('All Trades'!X234/'Assumptions'!$B$11)</x:f>
        <x:v>3.19859794367965</x:v>
      </x:c>
      <x:c r="P234" t="n">
        <x:f>LOG10('All Trades'!AA234/'Assumptions'!$B$11)</x:f>
        <x:v>3.69641854649287</x:v>
      </x:c>
    </x:row>
    <x:row r="235">
      <x:c r="N235" t="str">
        <x:f>TEXT('All Trades'!B235,"yyyy-mm-dd")</x:f>
        <x:v>2022-09-26</x:v>
      </x:c>
      <x:c r="O235" t="n">
        <x:f>LOG10('All Trades'!X235/'Assumptions'!$B$11)</x:f>
        <x:v>3.17851035401437</x:v>
      </x:c>
      <x:c r="P235" t="n">
        <x:f>LOG10('All Trades'!AA235/'Assumptions'!$B$11)</x:f>
        <x:v>3.67633095682759</x:v>
      </x:c>
    </x:row>
    <x:row r="236">
      <x:c r="N236" t="str">
        <x:f>TEXT('All Trades'!B236,"yyyy-mm-dd")</x:f>
        <x:v>2022-10-03</x:v>
      </x:c>
      <x:c r="O236" t="n">
        <x:f>LOG10('All Trades'!X236/'Assumptions'!$B$11)</x:f>
        <x:v>3.25981660716586</x:v>
      </x:c>
      <x:c r="P236" t="n">
        <x:f>LOG10('All Trades'!AA236/'Assumptions'!$B$11)</x:f>
        <x:v>3.75763720997908</x:v>
      </x:c>
    </x:row>
    <x:row r="237">
      <x:c r="N237" t="str">
        <x:f>TEXT('All Trades'!B237,"yyyy-mm-dd")</x:f>
        <x:v>2022-10-10</x:v>
      </x:c>
      <x:c r="O237" t="n">
        <x:f>LOG10('All Trades'!X237/'Assumptions'!$B$11)</x:f>
        <x:v>3.13594896649534</x:v>
      </x:c>
      <x:c r="P237" t="n">
        <x:f>LOG10('All Trades'!AA237/'Assumptions'!$B$11)</x:f>
        <x:v>3.63376956930856</x:v>
      </x:c>
    </x:row>
    <x:row r="238">
      <x:c r="N238" t="str">
        <x:f>TEXT('All Trades'!B238,"yyyy-mm-dd")</x:f>
        <x:v>2022-10-17</x:v>
      </x:c>
      <x:c r="O238" t="n">
        <x:f>LOG10('All Trades'!X238/'Assumptions'!$B$11)</x:f>
        <x:v>3.18288483506075</x:v>
      </x:c>
      <x:c r="P238" t="n">
        <x:f>LOG10('All Trades'!AA238/'Assumptions'!$B$11)</x:f>
        <x:v>3.63376956930856</x:v>
      </x:c>
    </x:row>
    <x:row r="239">
      <x:c r="N239" t="str">
        <x:f>TEXT('All Trades'!B239,"yyyy-mm-dd")</x:f>
        <x:v>2022-10-24</x:v>
      </x:c>
      <x:c r="O239" t="n">
        <x:f>LOG10('All Trades'!X239/'Assumptions'!$B$11)</x:f>
        <x:v>3.23298064085837</x:v>
      </x:c>
      <x:c r="P239" t="n">
        <x:f>LOG10('All Trades'!AA239/'Assumptions'!$B$11)</x:f>
        <x:v>3.68386537510618</x:v>
      </x:c>
    </x:row>
    <x:row r="240">
      <x:c r="N240" t="str">
        <x:f>TEXT('All Trades'!B240,"yyyy-mm-dd")</x:f>
        <x:v>2022-10-31</x:v>
      </x:c>
      <x:c r="O240" t="n">
        <x:f>LOG10('All Trades'!X240/'Assumptions'!$B$11)</x:f>
        <x:v>3.21294444663995</x:v>
      </x:c>
      <x:c r="P240" t="n">
        <x:f>LOG10('All Trades'!AA240/'Assumptions'!$B$11)</x:f>
        <x:v>3.66382918088777</x:v>
      </x:c>
    </x:row>
    <x:row r="241">
      <x:c r="N241" t="str">
        <x:f>TEXT('All Trades'!B241,"yyyy-mm-dd")</x:f>
        <x:v>2022-11-07</x:v>
      </x:c>
      <x:c r="O241" t="n">
        <x:f>LOG10('All Trades'!X241/'Assumptions'!$B$11)</x:f>
        <x:v>3.24745900131916</x:v>
      </x:c>
      <x:c r="P241" t="n">
        <x:f>LOG10('All Trades'!AA241/'Assumptions'!$B$11)</x:f>
        <x:v>3.69834373556697</x:v>
      </x:c>
    </x:row>
    <x:row r="242">
      <x:c r="N242" t="str">
        <x:f>TEXT('All Trades'!B242,"yyyy-mm-dd")</x:f>
        <x:v>2022-11-14</x:v>
      </x:c>
      <x:c r="O242" t="n">
        <x:f>LOG10('All Trades'!X242/'Assumptions'!$B$11)</x:f>
        <x:v>3.34568657405638</x:v>
      </x:c>
      <x:c r="P242" t="n">
        <x:f>LOG10('All Trades'!AA242/'Assumptions'!$B$11)</x:f>
        <x:v>3.79657130830419</x:v>
      </x:c>
    </x:row>
    <x:row r="243">
      <x:c r="N243" t="str">
        <x:f>TEXT('All Trades'!B243,"yyyy-mm-dd")</x:f>
        <x:v>2022-11-21</x:v>
      </x:c>
      <x:c r="O243" t="n">
        <x:f>LOG10('All Trades'!X243/'Assumptions'!$B$11)</x:f>
        <x:v>3.40414106968339</x:v>
      </x:c>
      <x:c r="P243" t="n">
        <x:f>LOG10('All Trades'!AA243/'Assumptions'!$B$11)</x:f>
        <x:v>3.8550258039312</x:v>
      </x:c>
    </x:row>
    <x:row r="244">
      <x:c r="N244" t="str">
        <x:f>TEXT('All Trades'!B244,"yyyy-mm-dd")</x:f>
        <x:v>2022-11-28</x:v>
      </x:c>
      <x:c r="O244" t="n">
        <x:f>LOG10('All Trades'!X244/'Assumptions'!$B$11)</x:f>
        <x:v>3.38405348001811</x:v>
      </x:c>
      <x:c r="P244" t="n">
        <x:f>LOG10('All Trades'!AA244/'Assumptions'!$B$11)</x:f>
        <x:v>3.83493821426592</x:v>
      </x:c>
    </x:row>
    <x:row r="245">
      <x:c r="N245" t="str">
        <x:f>TEXT('All Trades'!B245,"yyyy-mm-dd")</x:f>
        <x:v>2022-12-05</x:v>
      </x:c>
      <x:c r="O245" t="n">
        <x:f>LOG10('All Trades'!X245/'Assumptions'!$B$11)</x:f>
        <x:v>3.16569326670887</x:v>
      </x:c>
      <x:c r="P245" t="n">
        <x:f>LOG10('All Trades'!AA245/'Assumptions'!$B$11)</x:f>
        <x:v>3.61657800095669</x:v>
      </x:c>
    </x:row>
    <x:row r="246">
      <x:c r="N246" t="str">
        <x:f>TEXT('All Trades'!B246,"yyyy-mm-dd")</x:f>
        <x:v>2022-12-12</x:v>
      </x:c>
      <x:c r="O246" t="n">
        <x:f>LOG10('All Trades'!X246/'Assumptions'!$B$11)</x:f>
        <x:v>3.2132453708512</x:v>
      </x:c>
      <x:c r="P246" t="n">
        <x:f>LOG10('All Trades'!AA246/'Assumptions'!$B$11)</x:f>
        <x:v>3.61657800095669</x:v>
      </x:c>
    </x:row>
    <x:row r="247">
      <x:c r="N247" t="str">
        <x:f>TEXT('All Trades'!B247,"yyyy-mm-dd")</x:f>
        <x:v>2022-12-19</x:v>
      </x:c>
      <x:c r="O247" t="n">
        <x:f>LOG10('All Trades'!X247/'Assumptions'!$B$11)</x:f>
        <x:v>3.19315778118591</x:v>
      </x:c>
      <x:c r="P247" t="n">
        <x:f>LOG10('All Trades'!AA247/'Assumptions'!$B$11)</x:f>
        <x:v>3.61657800095669</x:v>
      </x:c>
    </x:row>
    <x:row r="248">
      <x:c r="N248" t="str">
        <x:f>TEXT('All Trades'!B248,"yyyy-mm-dd")</x:f>
        <x:v>2022-12-27</x:v>
      </x:c>
      <x:c r="O248" t="n">
        <x:f>LOG10('All Trades'!X248/'Assumptions'!$B$11)</x:f>
        <x:v>3.05569880283281</x:v>
      </x:c>
      <x:c r="P248" t="n">
        <x:f>LOG10('All Trades'!AA248/'Assumptions'!$B$11)</x:f>
        <x:v>3.61657800095669</x:v>
      </x:c>
    </x:row>
    <x:row r="249">
      <x:c r="N249" t="str">
        <x:f>TEXT('All Trades'!B249,"yyyy-mm-dd")</x:f>
        <x:v>2023-01-03</x:v>
      </x:c>
      <x:c r="O249" t="n">
        <x:f>LOG10('All Trades'!X249/'Assumptions'!$B$11)</x:f>
        <x:v>2.99524301418721</x:v>
      </x:c>
      <x:c r="P249" t="n">
        <x:f>LOG10('All Trades'!AA249/'Assumptions'!$B$11)</x:f>
        <x:v>3.55612221231109</x:v>
      </x:c>
    </x:row>
    <x:row r="250">
      <x:c r="N250" t="str">
        <x:f>TEXT('All Trades'!B250,"yyyy-mm-dd")</x:f>
        <x:v>2023-01-09</x:v>
      </x:c>
      <x:c r="O250" t="n">
        <x:f>LOG10('All Trades'!X250/'Assumptions'!$B$11)</x:f>
        <x:v>3.14757233935541</x:v>
      </x:c>
      <x:c r="P250" t="n">
        <x:f>LOG10('All Trades'!AA250/'Assumptions'!$B$11)</x:f>
        <x:v>3.70845153747929</x:v>
      </x:c>
    </x:row>
    <x:row r="251">
      <x:c r="N251" t="str">
        <x:f>TEXT('All Trades'!B251,"yyyy-mm-dd")</x:f>
        <x:v>2023-01-17</x:v>
      </x:c>
      <x:c r="O251" t="n">
        <x:f>LOG10('All Trades'!X251/'Assumptions'!$B$11)</x:f>
        <x:v>3.08858061333635</x:v>
      </x:c>
      <x:c r="P251" t="n">
        <x:f>LOG10('All Trades'!AA251/'Assumptions'!$B$11)</x:f>
        <x:v>3.64945981146023</x:v>
      </x:c>
    </x:row>
    <x:row r="252">
      <x:c r="N252" t="str">
        <x:f>TEXT('All Trades'!B252,"yyyy-mm-dd")</x:f>
        <x:v>2023-01-23</x:v>
      </x:c>
      <x:c r="O252" t="n">
        <x:f>LOG10('All Trades'!X252/'Assumptions'!$B$11)</x:f>
        <x:v>3.17017164823032</x:v>
      </x:c>
      <x:c r="P252" t="n">
        <x:f>LOG10('All Trades'!AA252/'Assumptions'!$B$11)</x:f>
        <x:v>3.7310508463542</x:v>
      </x:c>
    </x:row>
    <x:row r="253">
      <x:c r="N253" t="str">
        <x:f>TEXT('All Trades'!B253,"yyyy-mm-dd")</x:f>
        <x:v>2023-01-30</x:v>
      </x:c>
      <x:c r="O253" t="n">
        <x:f>LOG10('All Trades'!X253/'Assumptions'!$B$11)</x:f>
        <x:v>3.40627944117803</x:v>
      </x:c>
      <x:c r="P253" t="n">
        <x:f>LOG10('All Trades'!AA253/'Assumptions'!$B$11)</x:f>
        <x:v>3.96715863930191</x:v>
      </x:c>
    </x:row>
    <x:row r="254">
      <x:c r="N254" t="str">
        <x:f>TEXT('All Trades'!B254,"yyyy-mm-dd")</x:f>
        <x:v>2023-02-06</x:v>
      </x:c>
      <x:c r="O254" t="n">
        <x:f>LOG10('All Trades'!X254/'Assumptions'!$B$11)</x:f>
        <x:v>3.49596911737584</x:v>
      </x:c>
      <x:c r="P254" t="n">
        <x:f>LOG10('All Trades'!AA254/'Assumptions'!$B$11)</x:f>
        <x:v>4.05684831549973</x:v>
      </x:c>
    </x:row>
    <x:row r="255">
      <x:c r="N255" t="str">
        <x:f>TEXT('All Trades'!B255,"yyyy-mm-dd")</x:f>
        <x:v>2023-02-13</x:v>
      </x:c>
      <x:c r="O255" t="n">
        <x:f>LOG10('All Trades'!X255/'Assumptions'!$B$11)</x:f>
        <x:v>3.54976605025231</x:v>
      </x:c>
      <x:c r="P255" t="n">
        <x:f>LOG10('All Trades'!AA255/'Assumptions'!$B$11)</x:f>
        <x:v>4.11064524837619</x:v>
      </x:c>
    </x:row>
    <x:row r="256">
      <x:c r="N256" t="str">
        <x:f>TEXT('All Trades'!B256,"yyyy-mm-dd")</x:f>
        <x:v>2023-02-21</x:v>
      </x:c>
      <x:c r="O256" t="n">
        <x:f>LOG10('All Trades'!X256/'Assumptions'!$B$11)</x:f>
        <x:v>3.52926707790378</x:v>
      </x:c>
      <x:c r="P256" t="n">
        <x:f>LOG10('All Trades'!AA256/'Assumptions'!$B$11)</x:f>
        <x:v>4.09014627602766</x:v>
      </x:c>
    </x:row>
    <x:row r="257">
      <x:c r="N257" t="str">
        <x:f>TEXT('All Trades'!B257,"yyyy-mm-dd")</x:f>
        <x:v>2023-02-27</x:v>
      </x:c>
      <x:c r="O257" t="n">
        <x:f>LOG10('All Trades'!X257/'Assumptions'!$B$11)</x:f>
        <x:v>3.50953912870457</x:v>
      </x:c>
      <x:c r="P257" t="n">
        <x:f>LOG10('All Trades'!AA257/'Assumptions'!$B$11)</x:f>
        <x:v>4.10186301035898</x:v>
      </x:c>
    </x:row>
    <x:row r="258">
      <x:c r="N258" t="str">
        <x:f>TEXT('All Trades'!B258,"yyyy-mm-dd")</x:f>
        <x:v>2023-03-06</x:v>
      </x:c>
      <x:c r="O258" t="n">
        <x:f>LOG10('All Trades'!X258/'Assumptions'!$B$11)</x:f>
        <x:v>3.45840229486198</x:v>
      </x:c>
      <x:c r="P258" t="n">
        <x:f>LOG10('All Trades'!AA258/'Assumptions'!$B$11)</x:f>
        <x:v>4.05072617651638</x:v>
      </x:c>
    </x:row>
    <x:row r="259">
      <x:c r="N259" t="str">
        <x:f>TEXT('All Trades'!B259,"yyyy-mm-dd")</x:f>
        <x:v>2023-03-13</x:v>
      </x:c>
      <x:c r="O259" t="n">
        <x:f>LOG10('All Trades'!X259/'Assumptions'!$B$11)</x:f>
        <x:v>3.51980651632571</x:v>
      </x:c>
      <x:c r="P259" t="n">
        <x:f>LOG10('All Trades'!AA259/'Assumptions'!$B$11)</x:f>
        <x:v>4.11213039798011</x:v>
      </x:c>
    </x:row>
    <x:row r="260">
      <x:c r="N260" t="str">
        <x:f>TEXT('All Trades'!B260,"yyyy-mm-dd")</x:f>
        <x:v>2023-03-20</x:v>
      </x:c>
      <x:c r="O260" t="n">
        <x:f>LOG10('All Trades'!X260/'Assumptions'!$B$11)</x:f>
        <x:v>3.60941634839305</x:v>
      </x:c>
      <x:c r="P260" t="n">
        <x:f>LOG10('All Trades'!AA260/'Assumptions'!$B$11)</x:f>
        <x:v>4.20174023004745</x:v>
      </x:c>
    </x:row>
    <x:row r="261">
      <x:c r="N261" t="str">
        <x:f>TEXT('All Trades'!B261,"yyyy-mm-dd")</x:f>
        <x:v>2023-03-27</x:v>
      </x:c>
      <x:c r="O261" t="n">
        <x:f>LOG10('All Trades'!X261/'Assumptions'!$B$11)</x:f>
        <x:v>3.58938015417463</x:v>
      </x:c>
      <x:c r="P261" t="n">
        <x:f>LOG10('All Trades'!AA261/'Assumptions'!$B$11)</x:f>
        <x:v>4.18170403582904</x:v>
      </x:c>
    </x:row>
    <x:row r="262">
      <x:c r="N262" t="str">
        <x:f>TEXT('All Trades'!B262,"yyyy-mm-dd")</x:f>
        <x:v>2023-04-03</x:v>
      </x:c>
      <x:c r="O262" t="n">
        <x:f>LOG10('All Trades'!X262/'Assumptions'!$B$11)</x:f>
        <x:v>3.53586287768734</x:v>
      </x:c>
      <x:c r="P262" t="n">
        <x:f>LOG10('All Trades'!AA262/'Assumptions'!$B$11)</x:f>
        <x:v>4.12818675934174</x:v>
      </x:c>
    </x:row>
    <x:row r="263">
      <x:c r="N263" t="str">
        <x:f>TEXT('All Trades'!B263,"yyyy-mm-dd")</x:f>
        <x:v>2023-04-10</x:v>
      </x:c>
      <x:c r="O263" t="n">
        <x:f>LOG10('All Trades'!X263/'Assumptions'!$B$11)</x:f>
        <x:v>3.57939373143298</x:v>
      </x:c>
      <x:c r="P263" t="n">
        <x:f>LOG10('All Trades'!AA263/'Assumptions'!$B$11)</x:f>
        <x:v>4.17171761308738</x:v>
      </x:c>
    </x:row>
    <x:row r="264">
      <x:c r="N264" t="str">
        <x:f>TEXT('All Trades'!B264,"yyyy-mm-dd")</x:f>
        <x:v>2023-04-17</x:v>
      </x:c>
      <x:c r="O264" t="n">
        <x:f>LOG10('All Trades'!X264/'Assumptions'!$B$11)</x:f>
        <x:v>3.55843148729833</x:v>
      </x:c>
      <x:c r="P264" t="n">
        <x:f>LOG10('All Trades'!AA264/'Assumptions'!$B$11)</x:f>
        <x:v>4.15075536895274</x:v>
      </x:c>
    </x:row>
    <x:row r="265">
      <x:c r="N265" t="str">
        <x:f>TEXT('All Trades'!B265,"yyyy-mm-dd")</x:f>
        <x:v>2023-04-24</x:v>
      </x:c>
      <x:c r="O265" t="n">
        <x:f>LOG10('All Trades'!X265/'Assumptions'!$B$11)</x:f>
        <x:v>3.5164178384622</x:v>
      </x:c>
      <x:c r="P265" t="n">
        <x:f>LOG10('All Trades'!AA265/'Assumptions'!$B$11)</x:f>
        <x:v>4.1087417201166</x:v>
      </x:c>
    </x:row>
    <x:row r="266">
      <x:c r="N266" t="str">
        <x:f>TEXT('All Trades'!B266,"yyyy-mm-dd")</x:f>
        <x:v>2023-05-01</x:v>
      </x:c>
      <x:c r="O266" t="n">
        <x:f>LOG10('All Trades'!X266/'Assumptions'!$B$11)</x:f>
        <x:v>3.49633024879691</x:v>
      </x:c>
      <x:c r="P266" t="n">
        <x:f>LOG10('All Trades'!AA266/'Assumptions'!$B$11)</x:f>
        <x:v>4.08865413045132</x:v>
      </x:c>
    </x:row>
    <x:row r="267">
      <x:c r="N267" t="str">
        <x:f>TEXT('All Trades'!B267,"yyyy-mm-dd")</x:f>
        <x:v>2023-05-08</x:v>
      </x:c>
      <x:c r="O267" t="n">
        <x:f>LOG10('All Trades'!X267/'Assumptions'!$B$11)</x:f>
        <x:v>3.53283458596941</x:v>
      </x:c>
      <x:c r="P267" t="n">
        <x:f>LOG10('All Trades'!AA267/'Assumptions'!$B$11)</x:f>
        <x:v>4.12515846762381</x:v>
      </x:c>
    </x:row>
    <x:row r="268">
      <x:c r="N268" t="str">
        <x:f>TEXT('All Trades'!B268,"yyyy-mm-dd")</x:f>
        <x:v>2023-05-15</x:v>
      </x:c>
      <x:c r="O268" t="n">
        <x:f>LOG10('All Trades'!X268/'Assumptions'!$B$11)</x:f>
        <x:v>3.6714732191425</x:v>
      </x:c>
      <x:c r="P268" t="n">
        <x:f>LOG10('All Trades'!AA268/'Assumptions'!$B$11)</x:f>
        <x:v>4.2637971007969</x:v>
      </x:c>
    </x:row>
    <x:row r="269">
      <x:c r="N269" t="str">
        <x:f>TEXT('All Trades'!B269,"yyyy-mm-dd")</x:f>
        <x:v>2023-05-22</x:v>
      </x:c>
      <x:c r="O269" t="n">
        <x:f>LOG10('All Trades'!X269/'Assumptions'!$B$11)</x:f>
        <x:v>3.68447780471205</x:v>
      </x:c>
      <x:c r="P269" t="n">
        <x:f>LOG10('All Trades'!AA269/'Assumptions'!$B$11)</x:f>
        <x:v>4.27680168636646</x:v>
      </x:c>
    </x:row>
    <x:row r="270">
      <x:c r="N270" t="str">
        <x:f>TEXT('All Trades'!B270,"yyyy-mm-dd")</x:f>
        <x:v>2023-05-30</x:v>
      </x:c>
      <x:c r="O270" t="n">
        <x:f>LOG10('All Trades'!X270/'Assumptions'!$B$11)</x:f>
        <x:v>3.60340360569786</x:v>
      </x:c>
      <x:c r="P270" t="n">
        <x:f>LOG10('All Trades'!AA270/'Assumptions'!$B$11)</x:f>
        <x:v>4.19572748735226</x:v>
      </x:c>
    </x:row>
    <x:row r="271">
      <x:c r="N271" t="str">
        <x:f>TEXT('All Trades'!B271,"yyyy-mm-dd")</x:f>
        <x:v>2023-06-05</x:v>
      </x:c>
      <x:c r="O271" t="n">
        <x:f>LOG10('All Trades'!X271/'Assumptions'!$B$11)</x:f>
        <x:v>3.5138481733081</x:v>
      </x:c>
      <x:c r="P271" t="n">
        <x:f>LOG10('All Trades'!AA271/'Assumptions'!$B$11)</x:f>
        <x:v>4.1061720549625</x:v>
      </x:c>
    </x:row>
    <x:row r="272">
      <x:c r="N272" t="str">
        <x:f>TEXT('All Trades'!B272,"yyyy-mm-dd")</x:f>
        <x:v>2023-06-12</x:v>
      </x:c>
      <x:c r="O272" t="n">
        <x:f>LOG10('All Trades'!X272/'Assumptions'!$B$11)</x:f>
        <x:v>3.57281710601133</x:v>
      </x:c>
      <x:c r="P272" t="n">
        <x:f>LOG10('All Trades'!AA272/'Assumptions'!$B$11)</x:f>
        <x:v>4.1061720549625</x:v>
      </x:c>
    </x:row>
    <x:row r="273">
      <x:c r="N273" t="str">
        <x:f>TEXT('All Trades'!B273,"yyyy-mm-dd")</x:f>
        <x:v>2023-06-20</x:v>
      </x:c>
      <x:c r="O273" t="n">
        <x:f>LOG10('All Trades'!X273/'Assumptions'!$B$11)</x:f>
        <x:v>3.51399399313619</x:v>
      </x:c>
      <x:c r="P273" t="n">
        <x:f>LOG10('All Trades'!AA273/'Assumptions'!$B$11)</x:f>
        <x:v>4.1061720549625</x:v>
      </x:c>
    </x:row>
    <x:row r="274">
      <x:c r="N274" t="str">
        <x:f>TEXT('All Trades'!B274,"yyyy-mm-dd")</x:f>
        <x:v>2023-06-26</x:v>
      </x:c>
      <x:c r="O274" t="n">
        <x:f>LOG10('All Trades'!X274/'Assumptions'!$B$11)</x:f>
        <x:v>3.59943157140426</x:v>
      </x:c>
      <x:c r="P274" t="n">
        <x:f>LOG10('All Trades'!AA274/'Assumptions'!$B$11)</x:f>
        <x:v>4.19160963323057</x:v>
      </x:c>
    </x:row>
    <x:row r="275">
      <x:c r="N275" t="str">
        <x:f>TEXT('All Trades'!B275,"yyyy-mm-dd")</x:f>
        <x:v>2023-07-03</x:v>
      </x:c>
      <x:c r="O275" t="n">
        <x:f>LOG10('All Trades'!X275/'Assumptions'!$B$11)</x:f>
        <x:v>3.57852082632334</x:v>
      </x:c>
      <x:c r="P275" t="n">
        <x:f>LOG10('All Trades'!AA275/'Assumptions'!$B$11)</x:f>
        <x:v>4.17069888814965</x:v>
      </x:c>
    </x:row>
    <x:row r="276">
      <x:c r="N276" t="str">
        <x:f>TEXT('All Trades'!B276,"yyyy-mm-dd")</x:f>
        <x:v>2023-07-10</x:v>
      </x:c>
      <x:c r="O276" t="n">
        <x:f>LOG10('All Trades'!X276/'Assumptions'!$B$11)</x:f>
        <x:v>3.72650892697715</x:v>
      </x:c>
      <x:c r="P276" t="n">
        <x:f>LOG10('All Trades'!AA276/'Assumptions'!$B$11)</x:f>
        <x:v>4.31868698880346</x:v>
      </x:c>
    </x:row>
    <x:row r="277">
      <x:c r="N277" t="str">
        <x:f>TEXT('All Trades'!B277,"yyyy-mm-dd")</x:f>
        <x:v>2023-07-17</x:v>
      </x:c>
      <x:c r="O277" t="n">
        <x:f>LOG10('All Trades'!X277/'Assumptions'!$B$11)</x:f>
        <x:v>3.70642133731187</x:v>
      </x:c>
      <x:c r="P277" t="n">
        <x:f>LOG10('All Trades'!AA277/'Assumptions'!$B$11)</x:f>
        <x:v>4.29859939913818</x:v>
      </x:c>
    </x:row>
    <x:row r="278">
      <x:c r="N278" t="str">
        <x:f>TEXT('All Trades'!B278,"yyyy-mm-dd")</x:f>
        <x:v>2023-07-24</x:v>
      </x:c>
      <x:c r="O278" t="n">
        <x:f>LOG10('All Trades'!X278/'Assumptions'!$B$11)</x:f>
        <x:v>3.78409041858137</x:v>
      </x:c>
      <x:c r="P278" t="n">
        <x:f>LOG10('All Trades'!AA278/'Assumptions'!$B$11)</x:f>
        <x:v>4.37626848040767</x:v>
      </x:c>
    </x:row>
    <x:row r="279">
      <x:c r="N279" t="str">
        <x:f>TEXT('All Trades'!B279,"yyyy-mm-dd")</x:f>
        <x:v>2023-07-31</x:v>
      </x:c>
      <x:c r="O279" t="n">
        <x:f>LOG10('All Trades'!X279/'Assumptions'!$B$11)</x:f>
        <x:v>3.64141447031561</x:v>
      </x:c>
      <x:c r="P279" t="n">
        <x:f>LOG10('All Trades'!AA279/'Assumptions'!$B$11)</x:f>
        <x:v>4.23359253214191</x:v>
      </x:c>
    </x:row>
    <x:row r="280">
      <x:c r="N280" t="str">
        <x:f>TEXT('All Trades'!B280,"yyyy-mm-dd")</x:f>
        <x:v>2023-08-07</x:v>
      </x:c>
      <x:c r="O280" t="n">
        <x:f>LOG10('All Trades'!X280/'Assumptions'!$B$11)</x:f>
        <x:v>3.62214847882032</x:v>
      </x:c>
      <x:c r="P280" t="n">
        <x:f>LOG10('All Trades'!AA280/'Assumptions'!$B$11)</x:f>
        <x:v>4.21432654064663</x:v>
      </x:c>
    </x:row>
    <x:row r="281">
      <x:c r="N281" t="str">
        <x:f>TEXT('All Trades'!B281,"yyyy-mm-dd")</x:f>
        <x:v>2023-08-14</x:v>
      </x:c>
      <x:c r="O281" t="n">
        <x:f>LOG10('All Trades'!X281/'Assumptions'!$B$11)</x:f>
        <x:v>3.6839359743127</x:v>
      </x:c>
      <x:c r="P281" t="n">
        <x:f>LOG10('All Trades'!AA281/'Assumptions'!$B$11)</x:f>
        <x:v>4.276114036139</x:v>
      </x:c>
    </x:row>
    <x:row r="282">
      <x:c r="N282" t="str">
        <x:f>TEXT('All Trades'!B282,"yyyy-mm-dd")</x:f>
        <x:v>2023-08-21</x:v>
      </x:c>
      <x:c r="O282" t="n">
        <x:f>LOG10('All Trades'!X282/'Assumptions'!$B$11)</x:f>
        <x:v>3.73751606477041</x:v>
      </x:c>
      <x:c r="P282" t="n">
        <x:f>LOG10('All Trades'!AA282/'Assumptions'!$B$11)</x:f>
        <x:v>4.32969412659672</x:v>
      </x:c>
    </x:row>
    <x:row r="283">
      <x:c r="N283" t="str">
        <x:f>TEXT('All Trades'!B283,"yyyy-mm-dd")</x:f>
        <x:v>2023-08-28</x:v>
      </x:c>
      <x:c r="O283" t="n">
        <x:f>LOG10('All Trades'!X283/'Assumptions'!$B$11)</x:f>
        <x:v>3.83094195276213</x:v>
      </x:c>
      <x:c r="P283" t="n">
        <x:f>LOG10('All Trades'!AA283/'Assumptions'!$B$11)</x:f>
        <x:v>4.42312001458844</x:v>
      </x:c>
    </x:row>
    <x:row r="284">
      <x:c r="N284" t="str">
        <x:f>TEXT('All Trades'!B284,"yyyy-mm-dd")</x:f>
        <x:v>2023-09-05</x:v>
      </x:c>
      <x:c r="O284" t="n">
        <x:f>LOG10('All Trades'!X284/'Assumptions'!$B$11)</x:f>
        <x:v>3.80197506699701</x:v>
      </x:c>
      <x:c r="P284" t="n">
        <x:f>LOG10('All Trades'!AA284/'Assumptions'!$B$11)</x:f>
        <x:v>4.39415312882332</x:v>
      </x:c>
    </x:row>
    <x:row r="285">
      <x:c r="N285" t="str">
        <x:f>TEXT('All Trades'!B285,"yyyy-mm-dd")</x:f>
        <x:v>2023-09-11</x:v>
      </x:c>
      <x:c r="O285" t="n">
        <x:f>LOG10('All Trades'!X285/'Assumptions'!$B$11)</x:f>
        <x:v>3.78188747733173</x:v>
      </x:c>
      <x:c r="P285" t="n">
        <x:f>LOG10('All Trades'!AA285/'Assumptions'!$B$11)</x:f>
        <x:v>4.37406553915804</x:v>
      </x:c>
    </x:row>
    <x:row r="286">
      <x:c r="N286" t="str">
        <x:f>TEXT('All Trades'!B286,"yyyy-mm-dd")</x:f>
        <x:v>2023-09-18</x:v>
      </x:c>
      <x:c r="O286" t="n">
        <x:f>LOG10('All Trades'!X286/'Assumptions'!$B$11)</x:f>
        <x:v>3.71098490616089</x:v>
      </x:c>
      <x:c r="P286" t="n">
        <x:f>LOG10('All Trades'!AA286/'Assumptions'!$B$11)</x:f>
        <x:v>4.3031629679872</x:v>
      </x:c>
    </x:row>
    <x:row r="287">
      <x:c r="N287" t="str">
        <x:f>TEXT('All Trades'!B287,"yyyy-mm-dd")</x:f>
        <x:v>2023-09-25</x:v>
      </x:c>
      <x:c r="O287" t="n">
        <x:f>LOG10('All Trades'!X287/'Assumptions'!$B$11)</x:f>
        <x:v>3.74955976879399</x:v>
      </x:c>
      <x:c r="P287" t="n">
        <x:f>LOG10('All Trades'!AA287/'Assumptions'!$B$11)</x:f>
        <x:v>4.3031629679872</x:v>
      </x:c>
    </x:row>
    <x:row r="288">
      <x:c r="N288" t="str">
        <x:f>TEXT('All Trades'!B288,"yyyy-mm-dd")</x:f>
        <x:v>2023-10-02</x:v>
      </x:c>
      <x:c r="O288" t="n">
        <x:f>LOG10('All Trades'!X288/'Assumptions'!$B$11)</x:f>
        <x:v>3.78822443073456</x:v>
      </x:c>
      <x:c r="P288" t="n">
        <x:f>LOG10('All Trades'!AA288/'Assumptions'!$B$11)</x:f>
        <x:v>4.34182762992777</x:v>
      </x:c>
    </x:row>
    <x:row r="289">
      <x:c r="N289" t="str">
        <x:f>TEXT('All Trades'!B289,"yyyy-mm-dd")</x:f>
        <x:v>2023-10-09</x:v>
      </x:c>
      <x:c r="O289" t="n">
        <x:f>LOG10('All Trades'!X289/'Assumptions'!$B$11)</x:f>
        <x:v>3.8423247612203</x:v>
      </x:c>
      <x:c r="P289" t="n">
        <x:f>LOG10('All Trades'!AA289/'Assumptions'!$B$11)</x:f>
        <x:v>4.3959279604135</x:v>
      </x:c>
    </x:row>
    <x:row r="290">
      <x:c r="N290" t="str">
        <x:f>TEXT('All Trades'!B290,"yyyy-mm-dd")</x:f>
        <x:v>2023-10-16</x:v>
      </x:c>
      <x:c r="O290" t="n">
        <x:f>LOG10('All Trades'!X290/'Assumptions'!$B$11)</x:f>
        <x:v>3.8769752728687</x:v>
      </x:c>
      <x:c r="P290" t="n">
        <x:f>LOG10('All Trades'!AA290/'Assumptions'!$B$11)</x:f>
        <x:v>4.43057847206191</x:v>
      </x:c>
    </x:row>
    <x:row r="291">
      <x:c r="N291" t="str">
        <x:f>TEXT('All Trades'!B291,"yyyy-mm-dd")</x:f>
        <x:v>2023-10-23</x:v>
      </x:c>
      <x:c r="O291" t="n">
        <x:f>LOG10('All Trades'!X291/'Assumptions'!$B$11)</x:f>
        <x:v>3.91465111971477</x:v>
      </x:c>
      <x:c r="P291" t="n">
        <x:f>LOG10('All Trades'!AA291/'Assumptions'!$B$11)</x:f>
        <x:v>4.46825431890797</x:v>
      </x:c>
    </x:row>
    <x:row r="292">
      <x:c r="N292" t="str">
        <x:f>TEXT('All Trades'!B292,"yyyy-mm-dd")</x:f>
        <x:v>2023-10-30</x:v>
      </x:c>
      <x:c r="O292" t="n">
        <x:f>LOG10('All Trades'!X292/'Assumptions'!$B$11)</x:f>
        <x:v>4.13212874687209</x:v>
      </x:c>
      <x:c r="P292" t="n">
        <x:f>LOG10('All Trades'!AA292/'Assumptions'!$B$11)</x:f>
        <x:v>4.68573194606529</x:v>
      </x:c>
    </x:row>
    <x:row r="293">
      <x:c r="N293" t="str">
        <x:f>TEXT('All Trades'!B293,"yyyy-mm-dd")</x:f>
        <x:v>2023-11-06</x:v>
      </x:c>
      <x:c r="O293" t="n">
        <x:f>LOG10('All Trades'!X293/'Assumptions'!$B$11)</x:f>
        <x:v>4.24671838277093</x:v>
      </x:c>
      <x:c r="P293" t="n">
        <x:f>LOG10('All Trades'!AA293/'Assumptions'!$B$11)</x:f>
        <x:v>4.80032158196413</x:v>
      </x:c>
    </x:row>
    <x:row r="294">
      <x:c r="N294" t="str">
        <x:f>TEXT('All Trades'!B294,"yyyy-mm-dd")</x:f>
        <x:v>2023-11-13</x:v>
      </x:c>
      <x:c r="O294" t="n">
        <x:f>LOG10('All Trades'!X294/'Assumptions'!$B$11)</x:f>
        <x:v>4.3363681387384</x:v>
      </x:c>
      <x:c r="P294" t="n">
        <x:f>LOG10('All Trades'!AA294/'Assumptions'!$B$11)</x:f>
        <x:v>4.88997133793161</x:v>
      </x:c>
    </x:row>
    <x:row r="295">
      <x:c r="N295" t="str">
        <x:f>TEXT('All Trades'!B295,"yyyy-mm-dd")</x:f>
        <x:v>2023-11-20</x:v>
      </x:c>
      <x:c r="O295" t="n">
        <x:f>LOG10('All Trades'!X295/'Assumptions'!$B$11)</x:f>
        <x:v>4.39185273692281</x:v>
      </x:c>
      <x:c r="P295" t="n">
        <x:f>LOG10('All Trades'!AA295/'Assumptions'!$B$11)</x:f>
        <x:v>4.94545593611601</x:v>
      </x:c>
    </x:row>
    <x:row r="296">
      <x:c r="N296" t="str">
        <x:f>TEXT('All Trades'!B296,"yyyy-mm-dd")</x:f>
        <x:v>2023-11-27</x:v>
      </x:c>
      <x:c r="O296" t="n">
        <x:f>LOG10('All Trades'!X296/'Assumptions'!$B$11)</x:f>
        <x:v>4.37176514725753</x:v>
      </x:c>
      <x:c r="P296" t="n">
        <x:f>LOG10('All Trades'!AA296/'Assumptions'!$B$11)</x:f>
        <x:v>4.92536834645073</x:v>
      </x:c>
    </x:row>
    <x:row r="297">
      <x:c r="N297" t="str">
        <x:f>TEXT('All Trades'!B297,"yyyy-mm-dd")</x:f>
        <x:v>2023-12-04</x:v>
      </x:c>
      <x:c r="O297" t="n">
        <x:f>LOG10('All Trades'!X297/'Assumptions'!$B$11)</x:f>
        <x:v>4.4429845342658</x:v>
      </x:c>
      <x:c r="P297" t="n">
        <x:f>LOG10('All Trades'!AA297/'Assumptions'!$B$11)</x:f>
        <x:v>4.99658773345901</x:v>
      </x:c>
    </x:row>
    <x:row r="298">
      <x:c r="N298" t="str">
        <x:f>TEXT('All Trades'!B298,"yyyy-mm-dd")</x:f>
        <x:v>2023-12-11</x:v>
      </x:c>
      <x:c r="O298" t="n">
        <x:f>LOG10('All Trades'!X298/'Assumptions'!$B$11)</x:f>
        <x:v>4.48992040283121</x:v>
      </x:c>
      <x:c r="P298" t="n">
        <x:f>LOG10('All Trades'!AA298/'Assumptions'!$B$11)</x:f>
        <x:v>5.04352360202442</x:v>
      </x:c>
    </x:row>
    <x:row r="299">
      <x:c r="N299" t="str">
        <x:f>TEXT('All Trades'!B299,"yyyy-mm-dd")</x:f>
        <x:v>2023-12-18</x:v>
      </x:c>
      <x:c r="O299" t="n">
        <x:f>LOG10('All Trades'!X299/'Assumptions'!$B$11)</x:f>
        <x:v>4.47651435338427</x:v>
      </x:c>
      <x:c r="P299" t="n">
        <x:f>LOG10('All Trades'!AA299/'Assumptions'!$B$11)</x:f>
        <x:v>5.03011755257748</x:v>
      </x:c>
    </x:row>
    <x:row r="300">
      <x:c r="N300" t="str">
        <x:f>TEXT('All Trades'!B300,"yyyy-mm-dd")</x:f>
        <x:v>2023-12-26</x:v>
      </x:c>
      <x:c r="O300" t="n">
        <x:f>LOG10('All Trades'!X300/'Assumptions'!$B$11)</x:f>
        <x:v>4.47988741460249</x:v>
      </x:c>
      <x:c r="P300" t="n">
        <x:f>LOG10('All Trades'!AA300/'Assumptions'!$B$11)</x:f>
        <x:v>5.03349061379569</x:v>
      </x:c>
    </x:row>
    <x:row r="301">
      <x:c r="N301" t="str">
        <x:f>TEXT('All Trades'!B301,"yyyy-mm-dd")</x:f>
        <x:v>2024-01-02</x:v>
      </x:c>
      <x:c r="O301" t="n">
        <x:f>LOG10('All Trades'!X301/'Assumptions'!$B$11)</x:f>
        <x:v>4.38450289296249</x:v>
      </x:c>
      <x:c r="P301" t="n">
        <x:f>LOG10('All Trades'!AA301/'Assumptions'!$B$11)</x:f>
        <x:v>4.9381060921557</x:v>
      </x:c>
    </x:row>
    <x:row r="302">
      <x:c r="N302" t="str">
        <x:f>TEXT('All Trades'!B302,"yyyy-mm-dd")</x:f>
        <x:v>2024-01-08</x:v>
      </x:c>
      <x:c r="O302" t="n">
        <x:f>LOG10('All Trades'!X302/'Assumptions'!$B$11)</x:f>
        <x:v>4.46413737824415</x:v>
      </x:c>
      <x:c r="P302" t="n">
        <x:f>LOG10('All Trades'!AA302/'Assumptions'!$B$11)</x:f>
        <x:v>5.01774057743735</x:v>
      </x:c>
    </x:row>
    <x:row r="303">
      <x:c r="N303" t="str">
        <x:f>TEXT('All Trades'!B303,"yyyy-mm-dd")</x:f>
        <x:v>2024-01-16</x:v>
      </x:c>
      <x:c r="O303" t="n">
        <x:f>LOG10('All Trades'!X303/'Assumptions'!$B$11)</x:f>
        <x:v>4.59876321620177</x:v>
      </x:c>
      <x:c r="P303" t="n">
        <x:f>LOG10('All Trades'!AA303/'Assumptions'!$B$11)</x:f>
        <x:v>5.15236641539498</x:v>
      </x:c>
    </x:row>
    <x:row r="304">
      <x:c r="N304" t="str">
        <x:f>TEXT('All Trades'!B304,"yyyy-mm-dd")</x:f>
        <x:v>2024-01-22</x:v>
      </x:c>
      <x:c r="O304" t="n">
        <x:f>LOG10('All Trades'!X304/'Assumptions'!$B$11)</x:f>
        <x:v>4.60237968717954</x:v>
      </x:c>
      <x:c r="P304" t="n">
        <x:f>LOG10('All Trades'!AA304/'Assumptions'!$B$11)</x:f>
        <x:v>5.15598288637274</x:v>
      </x:c>
    </x:row>
    <x:row r="305">
      <x:c r="N305" t="str">
        <x:f>TEXT('All Trades'!B305,"yyyy-mm-dd")</x:f>
        <x:v>2024-01-29</x:v>
      </x:c>
      <x:c r="O305" t="n">
        <x:f>LOG10('All Trades'!X305/'Assumptions'!$B$11)</x:f>
        <x:v>4.64426481986888</x:v>
      </x:c>
      <x:c r="P305" t="n">
        <x:f>LOG10('All Trades'!AA305/'Assumptions'!$B$11)</x:f>
        <x:v>5.19786801906208</x:v>
      </x:c>
    </x:row>
    <x:row r="306">
      <x:c r="N306" t="str">
        <x:f>TEXT('All Trades'!B306,"yyyy-mm-dd")</x:f>
        <x:v>2024-02-05</x:v>
      </x:c>
      <x:c r="O306" t="n">
        <x:f>LOG10('All Trades'!X306/'Assumptions'!$B$11)</x:f>
        <x:v>4.72528610441422</x:v>
      </x:c>
      <x:c r="P306" t="n">
        <x:f>LOG10('All Trades'!AA306/'Assumptions'!$B$11)</x:f>
        <x:v>5.27888930360742</x:v>
      </x:c>
    </x:row>
    <x:row r="307">
      <x:c r="N307" t="str">
        <x:f>TEXT('All Trades'!B307,"yyyy-mm-dd")</x:f>
        <x:v>2024-02-12</x:v>
      </x:c>
      <x:c r="O307" t="n">
        <x:f>LOG10('All Trades'!X307/'Assumptions'!$B$11)</x:f>
        <x:v>4.68283975973736</x:v>
      </x:c>
      <x:c r="P307" t="n">
        <x:f>LOG10('All Trades'!AA307/'Assumptions'!$B$11)</x:f>
        <x:v>5.23644295893057</x:v>
      </x:c>
    </x:row>
    <x:row r="308">
      <x:c r="N308" t="str">
        <x:f>TEXT('All Trades'!B308,"yyyy-mm-dd")</x:f>
        <x:v>2024-02-20</x:v>
      </x:c>
      <x:c r="O308" t="n">
        <x:f>LOG10('All Trades'!X308/'Assumptions'!$B$11)</x:f>
        <x:v>4.69503392140819</x:v>
      </x:c>
      <x:c r="P308" t="n">
        <x:f>LOG10('All Trades'!AA308/'Assumptions'!$B$11)</x:f>
        <x:v>5.24863712060139</x:v>
      </x:c>
    </x:row>
    <x:row r="309">
      <x:c r="N309" t="str">
        <x:f>TEXT('All Trades'!B309,"yyyy-mm-dd")</x:f>
        <x:v>2024-02-26</x:v>
      </x:c>
      <x:c r="O309" t="n">
        <x:f>LOG10('All Trades'!X309/'Assumptions'!$B$11)</x:f>
        <x:v>4.65323645893606</x:v>
      </x:c>
      <x:c r="P309" t="n">
        <x:f>LOG10('All Trades'!AA309/'Assumptions'!$B$11)</x:f>
        <x:v>5.20683965812926</x:v>
      </x:c>
    </x:row>
    <x:row r="310">
      <x:c r="N310" t="str">
        <x:f>TEXT('All Trades'!B310,"yyyy-mm-dd")</x:f>
        <x:v>2024-03-04</x:v>
      </x:c>
      <x:c r="O310" t="n">
        <x:f>LOG10('All Trades'!X310/'Assumptions'!$B$11)</x:f>
        <x:v>4.57399197500804</x:v>
      </x:c>
      <x:c r="P310" t="n">
        <x:f>LOG10('All Trades'!AA310/'Assumptions'!$B$11)</x:f>
        <x:v>5.12759517420124</x:v>
      </x:c>
    </x:row>
    <x:row r="311">
      <x:c r="N311" t="str">
        <x:f>TEXT('All Trades'!B311,"yyyy-mm-dd")</x:f>
        <x:v>2024-03-11</x:v>
      </x:c>
      <x:c r="O311" t="n">
        <x:f>LOG10('All Trades'!X311/'Assumptions'!$B$11)</x:f>
        <x:v>4.55390438534276</x:v>
      </x:c>
      <x:c r="P311" t="n">
        <x:f>LOG10('All Trades'!AA311/'Assumptions'!$B$11)</x:f>
        <x:v>5.12759517420124</x:v>
      </x:c>
    </x:row>
    <x:row r="312">
      <x:c r="N312" t="str">
        <x:f>TEXT('All Trades'!B312,"yyyy-mm-dd")</x:f>
        <x:v>2024-03-18</x:v>
      </x:c>
      <x:c r="O312" t="n">
        <x:f>LOG10('All Trades'!X312/'Assumptions'!$B$11)</x:f>
        <x:v>4.62707705107838</x:v>
      </x:c>
      <x:c r="P312" t="n">
        <x:f>LOG10('All Trades'!AA312/'Assumptions'!$B$11)</x:f>
        <x:v>5.12759517420124</x:v>
      </x:c>
    </x:row>
    <x:row r="313">
      <x:c r="N313" t="str">
        <x:f>TEXT('All Trades'!B313,"yyyy-mm-dd")</x:f>
        <x:v>2024-03-25</x:v>
      </x:c>
      <x:c r="O313" t="n">
        <x:f>LOG10('All Trades'!X313/'Assumptions'!$B$11)</x:f>
        <x:v>4.63015784039063</x:v>
      </x:c>
      <x:c r="P313" t="n">
        <x:f>LOG10('All Trades'!AA313/'Assumptions'!$B$11)</x:f>
        <x:v>5.13067596351349</x:v>
      </x:c>
    </x:row>
    <x:row r="314">
      <x:c r="N314" t="str">
        <x:f>TEXT('All Trades'!B314,"yyyy-mm-dd")</x:f>
        <x:v>2024-04-01</x:v>
      </x:c>
      <x:c r="O314" t="n">
        <x:f>LOG10('All Trades'!X314/'Assumptions'!$B$11)</x:f>
        <x:v>4.61007025072534</x:v>
      </x:c>
      <x:c r="P314" t="n">
        <x:f>LOG10('All Trades'!AA314/'Assumptions'!$B$11)</x:f>
        <x:v>5.11058837384821</x:v>
      </x:c>
    </x:row>
    <x:row r="315">
      <x:c r="N315" t="str">
        <x:f>TEXT('All Trades'!B315,"yyyy-mm-dd")</x:f>
        <x:v>2024-04-08</x:v>
      </x:c>
      <x:c r="O315" t="n">
        <x:f>LOG10('All Trades'!X315/'Assumptions'!$B$11)</x:f>
        <x:v>4.56816470852307</x:v>
      </x:c>
      <x:c r="P315" t="n">
        <x:f>LOG10('All Trades'!AA315/'Assumptions'!$B$11)</x:f>
        <x:v>5.06868283164594</x:v>
      </x:c>
    </x:row>
    <x:row r="316">
      <x:c r="N316" t="str">
        <x:f>TEXT('All Trades'!B316,"yyyy-mm-dd")</x:f>
        <x:v>2024-04-15</x:v>
      </x:c>
      <x:c r="O316" t="n">
        <x:f>LOG10('All Trades'!X316/'Assumptions'!$B$11)</x:f>
        <x:v>4.34760823193088</x:v>
      </x:c>
      <x:c r="P316" t="n">
        <x:f>LOG10('All Trades'!AA316/'Assumptions'!$B$11)</x:f>
        <x:v>4.84812635505375</x:v>
      </x:c>
    </x:row>
    <x:row r="317">
      <x:c r="N317" t="str">
        <x:f>TEXT('All Trades'!B317,"yyyy-mm-dd")</x:f>
        <x:v>2024-04-22</x:v>
      </x:c>
      <x:c r="O317" t="n">
        <x:f>LOG10('All Trades'!X317/'Assumptions'!$B$11)</x:f>
        <x:v>4.48646079348446</x:v>
      </x:c>
      <x:c r="P317" t="n">
        <x:f>LOG10('All Trades'!AA317/'Assumptions'!$B$11)</x:f>
        <x:v>4.84812635505375</x:v>
      </x:c>
    </x:row>
    <x:row r="318">
      <x:c r="N318" t="str">
        <x:f>TEXT('All Trades'!B318,"yyyy-mm-dd")</x:f>
        <x:v>2024-04-29</x:v>
      </x:c>
      <x:c r="O318" t="n">
        <x:f>LOG10('All Trades'!X318/'Assumptions'!$B$11)</x:f>
        <x:v>4.3593829639696</x:v>
      </x:c>
      <x:c r="P318" t="n">
        <x:f>LOG10('All Trades'!AA318/'Assumptions'!$B$11)</x:f>
        <x:v>4.84812635505375</x:v>
      </x:c>
    </x:row>
    <x:row r="319">
      <x:c r="N319" t="str">
        <x:f>TEXT('All Trades'!B319,"yyyy-mm-dd")</x:f>
        <x:v>2024-05-06</x:v>
      </x:c>
      <x:c r="O319" t="n">
        <x:f>LOG10('All Trades'!X319/'Assumptions'!$B$11)</x:f>
        <x:v>4.40956621843941</x:v>
      </x:c>
      <x:c r="P319" t="n">
        <x:f>LOG10('All Trades'!AA319/'Assumptions'!$B$11)</x:f>
        <x:v>4.84812635505375</x:v>
      </x:c>
    </x:row>
    <x:row r="320">
      <x:c r="N320" t="str">
        <x:f>TEXT('All Trades'!B320,"yyyy-mm-dd")</x:f>
        <x:v>2024-05-13</x:v>
      </x:c>
      <x:c r="O320" t="n">
        <x:f>LOG10('All Trades'!X320/'Assumptions'!$B$11)</x:f>
        <x:v>4.48294616372138</x:v>
      </x:c>
      <x:c r="P320" t="n">
        <x:f>LOG10('All Trades'!AA320/'Assumptions'!$B$11)</x:f>
        <x:v>4.92150630033572</x:v>
      </x:c>
    </x:row>
    <x:row r="321">
      <x:c r="N321" t="str">
        <x:f>TEXT('All Trades'!B321,"yyyy-mm-dd")</x:f>
        <x:v>2024-05-20</x:v>
      </x:c>
      <x:c r="O321" t="n">
        <x:f>LOG10('All Trades'!X321/'Assumptions'!$B$11)</x:f>
        <x:v>4.54405204913684</x:v>
      </x:c>
      <x:c r="P321" t="n">
        <x:f>LOG10('All Trades'!AA321/'Assumptions'!$B$11)</x:f>
        <x:v>4.98261218575118</x:v>
      </x:c>
    </x:row>
    <x:row r="322">
      <x:c r="N322" t="str">
        <x:f>TEXT('All Trades'!B322,"yyyy-mm-dd")</x:f>
        <x:v>2024-05-28</x:v>
      </x:c>
      <x:c r="O322" t="n">
        <x:f>LOG10('All Trades'!X322/'Assumptions'!$B$11)</x:f>
        <x:v>4.49796485219826</x:v>
      </x:c>
      <x:c r="P322" t="n">
        <x:f>LOG10('All Trades'!AA322/'Assumptions'!$B$11)</x:f>
        <x:v>4.9365249888126</x:v>
      </x:c>
    </x:row>
    <x:row r="323">
      <x:c r="N323" t="str">
        <x:f>TEXT('All Trades'!B323,"yyyy-mm-dd")</x:f>
        <x:v>2024-06-03</x:v>
      </x:c>
      <x:c r="O323" t="n">
        <x:f>LOG10('All Trades'!X323/'Assumptions'!$B$11)</x:f>
        <x:v>4.57947453993352</x:v>
      </x:c>
      <x:c r="P323" t="n">
        <x:f>LOG10('All Trades'!AA323/'Assumptions'!$B$11)</x:f>
        <x:v>5.01803467654786</x:v>
      </x:c>
    </x:row>
    <x:row r="324">
      <x:c r="N324" t="str">
        <x:f>TEXT('All Trades'!B324,"yyyy-mm-dd")</x:f>
        <x:v>2024-06-10</x:v>
      </x:c>
      <x:c r="O324" t="n">
        <x:f>LOG10('All Trades'!X324/'Assumptions'!$B$11)</x:f>
        <x:v>4.73277037902425</x:v>
      </x:c>
      <x:c r="P324" t="n">
        <x:f>LOG10('All Trades'!AA324/'Assumptions'!$B$11)</x:f>
        <x:v>5.17133051563859</x:v>
      </x:c>
    </x:row>
    <x:row r="325">
      <x:c r="N325" t="str">
        <x:f>TEXT('All Trades'!B325,"yyyy-mm-dd")</x:f>
        <x:v>2024-06-17</x:v>
      </x:c>
      <x:c r="O325" t="n">
        <x:f>LOG10('All Trades'!X325/'Assumptions'!$B$11)</x:f>
        <x:v>4.78478599975023</x:v>
      </x:c>
      <x:c r="P325" t="n">
        <x:f>LOG10('All Trades'!AA325/'Assumptions'!$B$11)</x:f>
        <x:v>5.22334613636457</x:v>
      </x:c>
    </x:row>
    <x:row r="326">
      <x:c r="N326" t="str">
        <x:f>TEXT('All Trades'!B326,"yyyy-mm-dd")</x:f>
        <x:v>2024-06-24</x:v>
      </x:c>
      <x:c r="O326" t="n">
        <x:f>LOG10('All Trades'!X326/'Assumptions'!$B$11)</x:f>
        <x:v>4.79726636610254</x:v>
      </x:c>
      <x:c r="P326" t="n">
        <x:f>LOG10('All Trades'!AA326/'Assumptions'!$B$11)</x:f>
        <x:v>5.23582650271688</x:v>
      </x:c>
    </x:row>
    <x:row r="327">
      <x:c r="N327" t="str">
        <x:f>TEXT('All Trades'!B327,"yyyy-mm-dd")</x:f>
        <x:v>2024-07-01</x:v>
      </x:c>
      <x:c r="O327" t="n">
        <x:f>LOG10('All Trades'!X327/'Assumptions'!$B$11)</x:f>
        <x:v>4.9349410153579</x:v>
      </x:c>
      <x:c r="P327" t="n">
        <x:f>LOG10('All Trades'!AA327/'Assumptions'!$B$11)</x:f>
        <x:v>5.37350115197224</x:v>
      </x:c>
    </x:row>
    <x:row r="328">
      <x:c r="N328" t="str">
        <x:f>TEXT('All Trades'!B328,"yyyy-mm-dd")</x:f>
        <x:v>2024-07-08</x:v>
      </x:c>
      <x:c r="O328" t="n">
        <x:f>LOG10('All Trades'!X328/'Assumptions'!$B$11)</x:f>
        <x:v>4.91485342569261</x:v>
      </x:c>
      <x:c r="P328" t="n">
        <x:f>LOG10('All Trades'!AA328/'Assumptions'!$B$11)</x:f>
        <x:v>5.35341356230695</x:v>
      </x:c>
    </x:row>
    <x:row r="329">
      <x:c r="N329" t="str">
        <x:f>TEXT('All Trades'!B329,"yyyy-mm-dd")</x:f>
        <x:v>2024-07-15</x:v>
      </x:c>
      <x:c r="O329" t="n">
        <x:f>LOG10('All Trades'!X329/'Assumptions'!$B$11)</x:f>
        <x:v>4.75301654497976</x:v>
      </x:c>
      <x:c r="P329" t="n">
        <x:f>LOG10('All Trades'!AA329/'Assumptions'!$B$11)</x:f>
        <x:v>5.1915766815941</x:v>
      </x:c>
    </x:row>
    <x:row r="330">
      <x:c r="N330" t="str">
        <x:f>TEXT('All Trades'!B330,"yyyy-mm-dd")</x:f>
        <x:v>2024-07-22</x:v>
      </x:c>
      <x:c r="O330" t="n">
        <x:f>LOG10('All Trades'!X330/'Assumptions'!$B$11)</x:f>
        <x:v>4.53941726760163</x:v>
      </x:c>
      <x:c r="P330" t="n">
        <x:f>LOG10('All Trades'!AA330/'Assumptions'!$B$11)</x:f>
        <x:v>5.1915766815941</x:v>
      </x:c>
    </x:row>
    <x:row r="331">
      <x:c r="N331" t="str">
        <x:f>TEXT('All Trades'!B331,"yyyy-mm-dd")</x:f>
        <x:v>2024-07-29</x:v>
      </x:c>
      <x:c r="O331" t="n">
        <x:f>LOG10('All Trades'!X331/'Assumptions'!$B$11)</x:f>
        <x:v>4.52051023712868</x:v>
      </x:c>
      <x:c r="P331" t="n">
        <x:f>LOG10('All Trades'!AA331/'Assumptions'!$B$11)</x:f>
        <x:v>5.1915766815941</x:v>
      </x:c>
    </x:row>
    <x:row r="332">
      <x:c r="N332" t="str">
        <x:f>TEXT('All Trades'!B332,"yyyy-mm-dd")</x:f>
        <x:v>2024-08-05</x:v>
      </x:c>
      <x:c r="O332" t="n">
        <x:f>LOG10('All Trades'!X332/'Assumptions'!$B$11)</x:f>
        <x:v>4.64068028412949</x:v>
      </x:c>
      <x:c r="P332" t="n">
        <x:f>LOG10('All Trades'!AA332/'Assumptions'!$B$11)</x:f>
        <x:v>5.1915766815941</x:v>
      </x:c>
    </x:row>
    <x:row r="333">
      <x:c r="N333" t="str">
        <x:f>TEXT('All Trades'!B333,"yyyy-mm-dd")</x:f>
        <x:v>2024-08-12</x:v>
      </x:c>
      <x:c r="O333" t="n">
        <x:f>LOG10('All Trades'!X333/'Assumptions'!$B$11)</x:f>
        <x:v>4.74524147866891</x:v>
      </x:c>
      <x:c r="P333" t="n">
        <x:f>LOG10('All Trades'!AA333/'Assumptions'!$B$11)</x:f>
        <x:v>5.29613787613352</x:v>
      </x:c>
    </x:row>
    <x:row r="334">
      <x:c r="N334" t="str">
        <x:f>TEXT('All Trades'!B334,"yyyy-mm-dd")</x:f>
        <x:v>2024-08-19</x:v>
      </x:c>
      <x:c r="O334" t="n">
        <x:f>LOG10('All Trades'!X334/'Assumptions'!$B$11)</x:f>
        <x:v>4.80201983284087</x:v>
      </x:c>
      <x:c r="P334" t="n">
        <x:f>LOG10('All Trades'!AA334/'Assumptions'!$B$11)</x:f>
        <x:v>5.35291623030548</x:v>
      </x:c>
    </x:row>
    <x:row r="335">
      <x:c r="N335" t="str">
        <x:f>TEXT('All Trades'!B335,"yyyy-mm-dd")</x:f>
        <x:v>2024-08-26</x:v>
      </x:c>
      <x:c r="O335" t="n">
        <x:f>LOG10('All Trades'!X335/'Assumptions'!$B$11)</x:f>
        <x:v>4.7824972588437</x:v>
      </x:c>
      <x:c r="P335" t="n">
        <x:f>LOG10('All Trades'!AA335/'Assumptions'!$B$11)</x:f>
        <x:v>5.33339365630831</x:v>
      </x:c>
    </x:row>
    <x:row r="336">
      <x:c r="N336" t="str">
        <x:f>TEXT('All Trades'!B336,"yyyy-mm-dd")</x:f>
        <x:v>2024-09-03</x:v>
      </x:c>
      <x:c r="O336" t="n">
        <x:f>LOG10('All Trades'!X336/'Assumptions'!$B$11)</x:f>
        <x:v>4.63405767358024</x:v>
      </x:c>
      <x:c r="P336" t="n">
        <x:f>LOG10('All Trades'!AA336/'Assumptions'!$B$11)</x:f>
        <x:v>5.18495407104485</x:v>
      </x:c>
    </x:row>
    <x:row r="337">
      <x:c r="N337" t="str">
        <x:f>TEXT('All Trades'!B337,"yyyy-mm-dd")</x:f>
        <x:v>2024-09-09</x:v>
      </x:c>
      <x:c r="O337" t="n">
        <x:f>LOG10('All Trades'!X337/'Assumptions'!$B$11)</x:f>
        <x:v>4.82403282376567</x:v>
      </x:c>
      <x:c r="P337" t="n">
        <x:f>LOG10('All Trades'!AA337/'Assumptions'!$B$11)</x:f>
        <x:v>5.37492922123029</x:v>
      </x:c>
    </x:row>
    <x:row r="338">
      <x:c r="N338" t="str">
        <x:f>TEXT('All Trades'!B338,"yyyy-mm-dd")</x:f>
        <x:v>2024-09-16</x:v>
      </x:c>
      <x:c r="O338" t="n">
        <x:f>LOG10('All Trades'!X338/'Assumptions'!$B$11)</x:f>
        <x:v>4.91124048047734</x:v>
      </x:c>
      <x:c r="P338" t="n">
        <x:f>LOG10('All Trades'!AA338/'Assumptions'!$B$11)</x:f>
        <x:v>5.46213687794195</x:v>
      </x:c>
    </x:row>
    <x:row r="339">
      <x:c r="N339" t="str">
        <x:f>TEXT('All Trades'!B339,"yyyy-mm-dd")</x:f>
        <x:v>2024-09-23</x:v>
      </x:c>
      <x:c r="O339" t="n">
        <x:f>LOG10('All Trades'!X339/'Assumptions'!$B$11)</x:f>
        <x:v>4.94769969641484</x:v>
      </x:c>
      <x:c r="P339" t="n">
        <x:f>LOG10('All Trades'!AA339/'Assumptions'!$B$11)</x:f>
        <x:v>5.49859609387945</x:v>
      </x:c>
    </x:row>
    <x:row r="340">
      <x:c r="N340" t="str">
        <x:f>TEXT('All Trades'!B340,"yyyy-mm-dd")</x:f>
        <x:v>2024-09-30</x:v>
      </x:c>
      <x:c r="O340" t="n">
        <x:f>LOG10('All Trades'!X340/'Assumptions'!$B$11)</x:f>
        <x:v>4.92766350219642</x:v>
      </x:c>
      <x:c r="P340" t="n">
        <x:f>LOG10('All Trades'!AA340/'Assumptions'!$B$11)</x:f>
        <x:v>5.47855989966103</x:v>
      </x:c>
    </x:row>
    <x:row r="341">
      <x:c r="N341" t="str">
        <x:f>TEXT('All Trades'!B341,"yyyy-mm-dd")</x:f>
        <x:v>2024-10-07</x:v>
      </x:c>
      <x:c r="O341" t="n">
        <x:f>LOG10('All Trades'!X341/'Assumptions'!$B$11)</x:f>
        <x:v>5.00216105071853</x:v>
      </x:c>
      <x:c r="P341" t="n">
        <x:f>LOG10('All Trades'!AA341/'Assumptions'!$B$11)</x:f>
        <x:v>5.55305744818314</x:v>
      </x:c>
    </x:row>
    <x:row r="342">
      <x:c r="N342" t="str">
        <x:f>TEXT('All Trades'!B342,"yyyy-mm-dd")</x:f>
        <x:v>2024-10-14</x:v>
      </x:c>
      <x:c r="O342" t="n">
        <x:f>LOG10('All Trades'!X342/'Assumptions'!$B$11)</x:f>
        <x:v>4.94557988001196</x:v>
      </x:c>
      <x:c r="P342" t="n">
        <x:f>LOG10('All Trades'!AA342/'Assumptions'!$B$11)</x:f>
        <x:v>5.49647627747657</x:v>
      </x:c>
    </x:row>
    <x:row r="343">
      <x:c r="N343" t="str">
        <x:f>TEXT('All Trades'!B343,"yyyy-mm-dd")</x:f>
        <x:v>2024-10-21</x:v>
      </x:c>
      <x:c r="O343" t="n">
        <x:f>LOG10('All Trades'!X343/'Assumptions'!$B$11)</x:f>
        <x:v>4.9139292507977</x:v>
      </x:c>
      <x:c r="P343" t="n">
        <x:f>LOG10('All Trades'!AA343/'Assumptions'!$B$11)</x:f>
        <x:v>5.46482564826231</x:v>
      </x:c>
    </x:row>
    <x:row r="344">
      <x:c r="N344" t="str">
        <x:f>TEXT('All Trades'!B344,"yyyy-mm-dd")</x:f>
        <x:v>2024-10-28</x:v>
      </x:c>
      <x:c r="O344" t="n">
        <x:f>LOG10('All Trades'!X344/'Assumptions'!$B$11)</x:f>
        <x:v>4.87142878881623</x:v>
      </x:c>
      <x:c r="P344" t="n">
        <x:f>LOG10('All Trades'!AA344/'Assumptions'!$B$11)</x:f>
        <x:v>5.42232518628084</x:v>
      </x:c>
    </x:row>
    <x:row r="345">
      <x:c r="N345" t="str">
        <x:f>TEXT('All Trades'!B345,"yyyy-mm-dd")</x:f>
        <x:v>2024-11-04</x:v>
      </x:c>
      <x:c r="O345" t="n">
        <x:f>LOG10('All Trades'!X345/'Assumptions'!$B$11)</x:f>
        <x:v>5.08143652840652</x:v>
      </x:c>
      <x:c r="P345" t="n">
        <x:f>LOG10('All Trades'!AA345/'Assumptions'!$B$11)</x:f>
        <x:v>5.42232518628084</x:v>
      </x:c>
    </x:row>
    <x:row r="346">
      <x:c r="N346" t="str">
        <x:f>TEXT('All Trades'!B346,"yyyy-mm-dd")</x:f>
        <x:v>2024-11-11</x:v>
      </x:c>
      <x:c r="O346" t="n">
        <x:f>LOG10('All Trades'!X346/'Assumptions'!$B$11)</x:f>
        <x:v>5.06268324759316</x:v>
      </x:c>
      <x:c r="P346" t="n">
        <x:f>LOG10('All Trades'!AA346/'Assumptions'!$B$11)</x:f>
        <x:v>5.40357190546749</x:v>
      </x:c>
    </x:row>
    <x:row r="347">
      <x:c r="N347" t="str">
        <x:f>TEXT('All Trades'!B347,"yyyy-mm-dd")</x:f>
        <x:v>2024-11-18</x:v>
      </x:c>
      <x:c r="O347" t="n">
        <x:f>LOG10('All Trades'!X347/'Assumptions'!$B$11)</x:f>
        <x:v>5.13260947693157</x:v>
      </x:c>
      <x:c r="P347" t="n">
        <x:f>LOG10('All Trades'!AA347/'Assumptions'!$B$11)</x:f>
        <x:v>5.47349813480589</x:v>
      </x:c>
    </x:row>
    <x:row r="348">
      <x:c r="N348" t="str">
        <x:f>TEXT('All Trades'!B348,"yyyy-mm-dd")</x:f>
        <x:v>2024-11-25</x:v>
      </x:c>
      <x:c r="O348" t="n">
        <x:f>LOG10('All Trades'!X348/'Assumptions'!$B$11)</x:f>
        <x:v>5.11288152773237</x:v>
      </x:c>
      <x:c r="P348" t="n">
        <x:f>LOG10('All Trades'!AA348/'Assumptions'!$B$11)</x:f>
        <x:v>5.45377018560669</x:v>
      </x:c>
    </x:row>
    <x:row r="349">
      <x:c r="N349" t="str">
        <x:f>TEXT('All Trades'!B349,"yyyy-mm-dd")</x:f>
        <x:v>2024-12-02</x:v>
      </x:c>
      <x:c r="O349" t="n">
        <x:f>LOG10('All Trades'!X349/'Assumptions'!$B$11)</x:f>
        <x:v>5.15253275851605</x:v>
      </x:c>
      <x:c r="P349" t="n">
        <x:f>LOG10('All Trades'!AA349/'Assumptions'!$B$11)</x:f>
        <x:v>5.49342141639037</x:v>
      </x:c>
    </x:row>
    <x:row r="350">
      <x:c r="N350" t="str">
        <x:f>TEXT('All Trades'!B350,"yyyy-mm-dd")</x:f>
        <x:v>2024-12-09</x:v>
      </x:c>
      <x:c r="O350" t="n">
        <x:f>LOG10('All Trades'!X350/'Assumptions'!$B$11)</x:f>
        <x:v>5.13275345033764</x:v>
      </x:c>
      <x:c r="P350" t="n">
        <x:f>LOG10('All Trades'!AA350/'Assumptions'!$B$11)</x:f>
        <x:v>5.47364210821196</x:v>
      </x:c>
    </x:row>
    <x:row r="351">
      <x:c r="N351" t="str">
        <x:f>TEXT('All Trades'!B351,"yyyy-mm-dd")</x:f>
        <x:v>2024-12-16</x:v>
      </x:c>
      <x:c r="O351" t="n">
        <x:f>LOG10('All Trades'!X351/'Assumptions'!$B$11)</x:f>
        <x:v>5.17876332293291</x:v>
      </x:c>
      <x:c r="P351" t="n">
        <x:f>LOG10('All Trades'!AA351/'Assumptions'!$B$11)</x:f>
        <x:v>5.51965198080723</x:v>
      </x:c>
    </x:row>
    <x:row r="352">
      <x:c r="N352" t="str">
        <x:f>TEXT('All Trades'!B352,"yyyy-mm-dd")</x:f>
        <x:v>2024-12-23</x:v>
      </x:c>
      <x:c r="O352" t="n">
        <x:f>LOG10('All Trades'!X352/'Assumptions'!$B$11)</x:f>
        <x:v>5.21200688925962</x:v>
      </x:c>
      <x:c r="P352" t="n">
        <x:f>LOG10('All Trades'!AA352/'Assumptions'!$B$11)</x:f>
        <x:v>5.55289554713395</x:v>
      </x:c>
    </x:row>
    <x:row r="353">
      <x:c r="N353" t="str">
        <x:f>TEXT('All Trades'!B353,"yyyy-mm-dd")</x:f>
        <x:v>2024-12-30</x:v>
      </x:c>
      <x:c r="O353" t="n">
        <x:f>LOG10('All Trades'!X353/'Assumptions'!$B$11)</x:f>
        <x:v>5.18382619391017</x:v>
      </x:c>
      <x:c r="P353" t="n">
        <x:f>LOG10('All Trades'!AA353/'Assumptions'!$B$11)</x:f>
        <x:v>5.52471485178449</x:v>
      </x:c>
    </x:row>
    <x:row r="354">
      <x:c r="N354" t="str">
        <x:f>TEXT('All Trades'!B354,"yyyy-mm-dd")</x:f>
        <x:v>2025-01-06</x:v>
      </x:c>
      <x:c r="O354" t="n">
        <x:f>LOG10('All Trades'!X354/'Assumptions'!$B$11)</x:f>
        <x:v>5.04609774181431</x:v>
      </x:c>
      <x:c r="P354" t="n">
        <x:f>LOG10('All Trades'!AA354/'Assumptions'!$B$11)</x:f>
        <x:v>5.52471485178449</x:v>
      </x:c>
    </x:row>
    <x:row r="355">
      <x:c r="N355" t="str">
        <x:f>TEXT('All Trades'!B355,"yyyy-mm-dd")</x:f>
        <x:v>2025-01-13</x:v>
      </x:c>
      <x:c r="O355" t="n">
        <x:f>LOG10('All Trades'!X355/'Assumptions'!$B$11)</x:f>
        <x:v>5.08945098012771</x:v>
      </x:c>
      <x:c r="P355" t="n">
        <x:f>LOG10('All Trades'!AA355/'Assumptions'!$B$11)</x:f>
        <x:v>5.56806809009789</x:v>
      </x:c>
    </x:row>
    <x:row r="356">
      <x:c r="N356" t="str">
        <x:f>TEXT('All Trades'!B356,"yyyy-mm-dd")</x:f>
        <x:v>2025-01-21</x:v>
      </x:c>
      <x:c r="O356" t="n">
        <x:f>LOG10('All Trades'!X356/'Assumptions'!$B$11)</x:f>
        <x:v>5.13559325880424</x:v>
      </x:c>
      <x:c r="P356" t="n">
        <x:f>LOG10('All Trades'!AA356/'Assumptions'!$B$11)</x:f>
        <x:v>5.61421036877442</x:v>
      </x:c>
    </x:row>
    <x:row r="357">
      <x:c r="N357" t="str">
        <x:f>TEXT('All Trades'!B357,"yyyy-mm-dd")</x:f>
        <x:v>2025-01-27</x:v>
      </x:c>
      <x:c r="O357" t="n">
        <x:f>LOG10('All Trades'!X357/'Assumptions'!$B$11)</x:f>
        <x:v>5.18555785856879</x:v>
      </x:c>
      <x:c r="P357" t="n">
        <x:f>LOG10('All Trades'!AA357/'Assumptions'!$B$11)</x:f>
        <x:v>5.66417496853897</x:v>
      </x:c>
    </x:row>
    <x:row r="358">
      <x:c r="N358" t="str">
        <x:f>TEXT('All Trades'!B358,"yyyy-mm-dd")</x:f>
        <x:v>2025-02-03</x:v>
      </x:c>
      <x:c r="O358" t="n">
        <x:f>LOG10('All Trades'!X358/'Assumptions'!$B$11)</x:f>
        <x:v>5.22538822496968</x:v>
      </x:c>
      <x:c r="P358" t="n">
        <x:f>LOG10('All Trades'!AA358/'Assumptions'!$B$11)</x:f>
        <x:v>5.70400533493986</x:v>
      </x:c>
    </x:row>
    <x:row r="359">
      <x:c r="N359" t="str">
        <x:f>TEXT('All Trades'!B359,"yyyy-mm-dd")</x:f>
        <x:v>2025-02-10</x:v>
      </x:c>
      <x:c r="O359" t="n">
        <x:f>LOG10('All Trades'!X359/'Assumptions'!$B$11)</x:f>
        <x:v>5.31423880477497</x:v>
      </x:c>
      <x:c r="P359" t="n">
        <x:f>LOG10('All Trades'!AA359/'Assumptions'!$B$11)</x:f>
        <x:v>5.79285591474515</x:v>
      </x:c>
    </x:row>
    <x:row r="360">
      <x:c r="N360" t="str">
        <x:f>TEXT('All Trades'!B360,"yyyy-mm-dd")</x:f>
        <x:v>2025-02-18</x:v>
      </x:c>
      <x:c r="O360" t="n">
        <x:f>LOG10('All Trades'!X360/'Assumptions'!$B$11)</x:f>
        <x:v>5.29317354420883</x:v>
      </x:c>
      <x:c r="P360" t="n">
        <x:f>LOG10('All Trades'!AA360/'Assumptions'!$B$11)</x:f>
        <x:v>5.77179065417901</x:v>
      </x:c>
    </x:row>
    <x:row r="361">
      <x:c r="N361" t="str">
        <x:f>TEXT('All Trades'!B361,"yyyy-mm-dd")</x:f>
        <x:v>2025-02-24</x:v>
      </x:c>
      <x:c r="O361" t="n">
        <x:f>LOG10('All Trades'!X361/'Assumptions'!$B$11)</x:f>
        <x:v>5.15953650894443</x:v>
      </x:c>
      <x:c r="P361" t="n">
        <x:f>LOG10('All Trades'!AA361/'Assumptions'!$B$11)</x:f>
        <x:v>5.63815361891461</x:v>
      </x:c>
    </x:row>
    <x:row r="362">
      <x:c r="N362" t="str">
        <x:f>TEXT('All Trades'!B362,"yyyy-mm-dd")</x:f>
        <x:v>2025-03-03</x:v>
      </x:c>
      <x:c r="O362" t="n">
        <x:f>LOG10('All Trades'!X362/'Assumptions'!$B$11)</x:f>
        <x:v>5.04375223820752</x:v>
      </x:c>
      <x:c r="P362" t="n">
        <x:f>LOG10('All Trades'!AA362/'Assumptions'!$B$11)</x:f>
        <x:v>5.5223693481777</x:v>
      </x:c>
    </x:row>
    <x:row r="363">
      <x:c r="N363" t="str">
        <x:f>TEXT('All Trades'!B363,"yyyy-mm-dd")</x:f>
        <x:v>2025-03-10</x:v>
      </x:c>
      <x:c r="O363" t="n">
        <x:f>LOG10('All Trades'!X363/'Assumptions'!$B$11)</x:f>
        <x:v>4.965860320746</x:v>
      </x:c>
      <x:c r="P363" t="n">
        <x:f>LOG10('All Trades'!AA363/'Assumptions'!$B$11)</x:f>
        <x:v>5.5223693481777</x:v>
      </x:c>
    </x:row>
    <x:row r="364">
      <x:c r="N364" t="str">
        <x:f>TEXT('All Trades'!B364,"yyyy-mm-dd")</x:f>
        <x:v>2025-03-17</x:v>
      </x:c>
      <x:c r="O364" t="n">
        <x:f>LOG10('All Trades'!X364/'Assumptions'!$B$11)</x:f>
        <x:v>5.0014161261261</x:v>
      </x:c>
      <x:c r="P364" t="n">
        <x:f>LOG10('All Trades'!AA364/'Assumptions'!$B$11)</x:f>
        <x:v>5.5223693481777</x:v>
      </x:c>
    </x:row>
    <x:row r="365">
      <x:c r="N365" t="str">
        <x:f>TEXT('All Trades'!B365,"yyyy-mm-dd")</x:f>
        <x:v>2025-03-24</x:v>
      </x:c>
      <x:c r="O365" t="n">
        <x:f>LOG10('All Trades'!X365/'Assumptions'!$B$11)</x:f>
        <x:v>4.94107313307565</x:v>
      </x:c>
      <x:c r="P365" t="n">
        <x:f>LOG10('All Trades'!AA365/'Assumptions'!$B$11)</x:f>
        <x:v>5.5223693481777</x:v>
      </x:c>
    </x:row>
    <x:row r="366">
      <x:c r="N366" t="str">
        <x:f>TEXT('All Trades'!B366,"yyyy-mm-dd")</x:f>
        <x:v>2025-03-31</x:v>
      </x:c>
      <x:c r="O366" t="n">
        <x:f>LOG10('All Trades'!X366/'Assumptions'!$B$11)</x:f>
        <x:v>4.99982779104749</x:v>
      </x:c>
      <x:c r="P366" t="n">
        <x:f>LOG10('All Trades'!AA366/'Assumptions'!$B$11)</x:f>
        <x:v>5.58112400614953</x:v>
      </x:c>
    </x:row>
    <x:row r="367">
      <x:c r="N367" t="str">
        <x:f>TEXT('All Trades'!B367,"yyyy-mm-dd")</x:f>
        <x:v>2025-04-07</x:v>
      </x:c>
      <x:c r="O367" t="n">
        <x:f>LOG10('All Trades'!X367/'Assumptions'!$B$11)</x:f>
        <x:v>5.16101634766706</x:v>
      </x:c>
      <x:c r="P367" t="n">
        <x:f>LOG10('All Trades'!AA367/'Assumptions'!$B$11)</x:f>
        <x:v>5.74231256276911</x:v>
      </x:c>
    </x:row>
    <x:row r="368">
      <x:c r="N368" t="str">
        <x:f>TEXT('All Trades'!B368,"yyyy-mm-dd")</x:f>
        <x:v>2025-04-14</x:v>
      </x:c>
      <x:c r="O368" t="n">
        <x:f>LOG10('All Trades'!X368/'Assumptions'!$B$11)</x:f>
        <x:v>4.88559693590225</x:v>
      </x:c>
      <x:c r="P368" t="n">
        <x:f>LOG10('All Trades'!AA368/'Assumptions'!$B$11)</x:f>
        <x:v>5.74231256276911</x:v>
      </x:c>
    </x:row>
    <x:row r="369">
      <x:c r="N369" t="str">
        <x:f>TEXT('All Trades'!B369,"yyyy-mm-dd")</x:f>
        <x:v>2025-04-21</x:v>
      </x:c>
      <x:c r="O369" t="n">
        <x:f>LOG10('All Trades'!X369/'Assumptions'!$B$11)</x:f>
        <x:v>5.12888258593232</x:v>
      </x:c>
      <x:c r="P369" t="n">
        <x:f>LOG10('All Trades'!AA369/'Assumptions'!$B$11)</x:f>
        <x:v>5.98559821279918</x:v>
      </x:c>
    </x:row>
    <x:row r="370">
      <x:c r="N370" t="str">
        <x:f>TEXT('All Trades'!B370,"yyyy-mm-dd")</x:f>
        <x:v>2025-04-28</x:v>
      </x:c>
      <x:c r="O370" t="n">
        <x:f>LOG10('All Trades'!X370/'Assumptions'!$B$11)</x:f>
        <x:v>5.26798459748245</x:v>
      </x:c>
      <x:c r="P370" t="n">
        <x:f>LOG10('All Trades'!AA370/'Assumptions'!$B$11)</x:f>
        <x:v>6.12470022434931</x:v>
      </x:c>
    </x:row>
    <x:row r="371">
      <x:c r="N371" t="str">
        <x:f>TEXT('All Trades'!B371,"yyyy-mm-dd")</x:f>
        <x:v>2025-05-05</x:v>
      </x:c>
      <x:c r="O371" t="n">
        <x:f>LOG10('All Trades'!X371/'Assumptions'!$B$11)</x:f>
        <x:v>5.29111024931542</x:v>
      </x:c>
      <x:c r="P371" t="n">
        <x:f>LOG10('All Trades'!AA371/'Assumptions'!$B$11)</x:f>
        <x:v>6.14782587618228</x:v>
      </x:c>
    </x:row>
    <x:row r="372">
      <x:c r="N372" t="str">
        <x:f>TEXT('All Trades'!B372,"yyyy-mm-dd")</x:f>
        <x:v>2025-05-12</x:v>
      </x:c>
      <x:c r="O372" t="n">
        <x:f>LOG10('All Trades'!X372/'Assumptions'!$B$11)</x:f>
        <x:v>5.40821807361409</x:v>
      </x:c>
      <x:c r="P372" t="n">
        <x:f>LOG10('All Trades'!AA372/'Assumptions'!$B$11)</x:f>
        <x:v>6.26493370048095</x:v>
      </x:c>
    </x:row>
    <x:row r="373">
      <x:c r="N373" t="str">
        <x:f>TEXT('All Trades'!B373,"yyyy-mm-dd")</x:f>
        <x:v>2025-05-19</x:v>
      </x:c>
      <x:c r="O373" t="n">
        <x:f>LOG10('All Trades'!X373/'Assumptions'!$B$11)</x:f>
        <x:v>5.47297509890984</x:v>
      </x:c>
      <x:c r="P373" t="n">
        <x:f>LOG10('All Trades'!AA373/'Assumptions'!$B$11)</x:f>
        <x:v>6.3296907257767</x:v>
      </x:c>
    </x:row>
    <x:row r="374">
      <x:c r="N374" t="str">
        <x:f>TEXT('All Trades'!B374,"yyyy-mm-dd")</x:f>
        <x:v>2025-05-27</x:v>
      </x:c>
      <x:c r="O374" t="n">
        <x:f>LOG10('All Trades'!X374/'Assumptions'!$B$11)</x:f>
        <x:v>5.51499390101203</x:v>
      </x:c>
      <x:c r="P374" t="n">
        <x:f>LOG10('All Trades'!AA374/'Assumptions'!$B$11)</x:f>
        <x:v>6.37170952787889</x:v>
      </x:c>
    </x:row>
    <x:row r="375">
      <x:c r="N375" t="str">
        <x:f>TEXT('All Trades'!B375,"yyyy-mm-dd")</x:f>
        <x:v>2025-06-02</x:v>
      </x:c>
      <x:c r="O375" t="n">
        <x:f>LOG10('All Trades'!X375/'Assumptions'!$B$11)</x:f>
        <x:v>5.56861736861588</x:v>
      </x:c>
      <x:c r="P375" t="n">
        <x:f>LOG10('All Trades'!AA375/'Assumptions'!$B$11)</x:f>
        <x:v>6.42533299548274</x:v>
      </x:c>
    </x:row>
    <x:row r="376">
      <x:c r="N376" t="str">
        <x:f>TEXT('All Trades'!B376,"yyyy-mm-dd")</x:f>
        <x:v>2025-06-09</x:v>
      </x:c>
      <x:c r="O376" t="n">
        <x:f>LOG10('All Trades'!X376/'Assumptions'!$B$11)</x:f>
        <x:v>5.54424261338078</x:v>
      </x:c>
      <x:c r="P376" t="n">
        <x:f>LOG10('All Trades'!AA376/'Assumptions'!$B$11)</x:f>
        <x:v>6.40095824024764</x:v>
      </x:c>
    </x:row>
    <x:row r="377">
      <x:c r="N377" t="str">
        <x:f>TEXT('All Trades'!B377,"yyyy-mm-dd")</x:f>
        <x:v>2025-06-16</x:v>
      </x:c>
      <x:c r="O377" t="n">
        <x:f>LOG10('All Trades'!X377/'Assumptions'!$B$11)</x:f>
        <x:v>5.57794053123544</x:v>
      </x:c>
      <x:c r="P377" t="n">
        <x:f>LOG10('All Trades'!AA377/'Assumptions'!$B$11)</x:f>
        <x:v>6.4346561581023</x:v>
      </x:c>
    </x:row>
    <x:row r="378">
      <x:c r="N378" t="str">
        <x:f>TEXT('All Trades'!B378,"yyyy-mm-dd")</x:f>
        <x:v>2025-06-23</x:v>
      </x:c>
      <x:c r="O378" t="n">
        <x:f>LOG10('All Trades'!X378/'Assumptions'!$B$11)</x:f>
        <x:v>5.61844199889539</x:v>
      </x:c>
      <x:c r="P378" t="n">
        <x:f>LOG10('All Trades'!AA378/'Assumptions'!$B$11)</x:f>
        <x:v>6.47515762576225</x:v>
      </x:c>
    </x:row>
    <x:row r="379">
      <x:c r="N379" t="str">
        <x:f>TEXT('All Trades'!B379,"yyyy-mm-dd")</x:f>
        <x:v>2025-06-30</x:v>
      </x:c>
      <x:c r="O379" t="n">
        <x:f>LOG10('All Trades'!X379/'Assumptions'!$B$11)</x:f>
        <x:v>5.59891942489822</x:v>
      </x:c>
      <x:c r="P379" t="n">
        <x:f>LOG10('All Trades'!AA379/'Assumptions'!$B$11)</x:f>
        <x:v>6.45563505176508</x:v>
      </x:c>
    </x:row>
    <x:row r="380">
      <x:c r="N380" t="str">
        <x:f>TEXT('All Trades'!B380,"yyyy-mm-dd")</x:f>
        <x:v>2025-07-07</x:v>
      </x:c>
      <x:c r="O380" t="n">
        <x:f>LOG10('All Trades'!X380/'Assumptions'!$B$11)</x:f>
        <x:v>5.60316812352377</x:v>
      </x:c>
      <x:c r="P380" t="n">
        <x:f>LOG10('All Trades'!AA380/'Assumptions'!$B$11)</x:f>
        <x:v>6.45988375039063</x:v>
      </x:c>
    </x:row>
    <x:row r="381">
      <x:c r="N381" t="str">
        <x:f>TEXT('All Trades'!B381,"yyyy-mm-dd")</x:f>
        <x:v>2025-07-14</x:v>
      </x:c>
      <x:c r="O381" t="n">
        <x:f>LOG10('All Trades'!X381/'Assumptions'!$B$11)</x:f>
        <x:v>5.66363402646607</x:v>
      </x:c>
      <x:c r="P381" t="n">
        <x:f>LOG10('All Trades'!AA381/'Assumptions'!$B$11)</x:f>
        <x:v>6.52034965333292</x:v>
      </x:c>
    </x:row>
    <x:row r="382">
      <x:c r="N382" t="str">
        <x:f>TEXT('All Trades'!B382,"yyyy-mm-dd")</x:f>
        <x:v>2025-07-21</x:v>
      </x:c>
      <x:c r="O382" t="n">
        <x:f>LOG10('All Trades'!X382/'Assumptions'!$B$11)</x:f>
        <x:v>5.69959659917105</x:v>
      </x:c>
      <x:c r="P382" t="n">
        <x:f>LOG10('All Trades'!AA382/'Assumptions'!$B$11)</x:f>
        <x:v>6.5563122260379</x:v>
      </x:c>
    </x:row>
    <x:row r="383">
      <x:c r="N383" t="str">
        <x:f>TEXT('All Trades'!B383,"yyyy-mm-dd")</x:f>
        <x:v>2025-07-28</x:v>
      </x:c>
      <x:c r="O383" t="n">
        <x:f>LOG10('All Trades'!X383/'Assumptions'!$B$11)</x:f>
        <x:v>5.67950900950576</x:v>
      </x:c>
      <x:c r="P383" t="n">
        <x:f>LOG10('All Trades'!AA383/'Assumptions'!$B$11)</x:f>
        <x:v>6.53622463637262</x:v>
      </x:c>
    </x:row>
    <x:row r="384">
      <x:c r="N384" t="str">
        <x:f>TEXT('All Trades'!B384,"yyyy-mm-dd")</x:f>
        <x:v>2025-08-04</x:v>
      </x:c>
      <x:c r="O384" t="n">
        <x:f>LOG10('All Trades'!X384/'Assumptions'!$B$11)</x:f>
        <x:v>5.72059126059317</x:v>
      </x:c>
      <x:c r="P384" t="n">
        <x:f>LOG10('All Trades'!AA384/'Assumptions'!$B$11)</x:f>
        <x:v>6.57730688746003</x:v>
      </x:c>
    </x:row>
    <x:row r="385">
      <x:c r="N385" t="str">
        <x:f>TEXT('All Trades'!B385,"yyyy-mm-dd")</x:f>
        <x:v>2025-08-11</x:v>
      </x:c>
      <x:c r="O385" t="n">
        <x:f>LOG10('All Trades'!X385/'Assumptions'!$B$11)</x:f>
        <x:v>5.74025993802728</x:v>
      </x:c>
      <x:c r="P385" t="n">
        <x:f>LOG10('All Trades'!AA385/'Assumptions'!$B$11)</x:f>
        <x:v>6.59697556489414</x:v>
      </x:c>
    </x:row>
    <x:row r="386">
      <x:c r="N386" t="str">
        <x:f>TEXT('All Trades'!B386,"yyyy-mm-dd")</x:f>
        <x:v>2025-08-18</x:v>
      </x:c>
      <x:c r="O386" t="n">
        <x:f>LOG10('All Trades'!X386/'Assumptions'!$B$11)</x:f>
        <x:v>5.63834691799103</x:v>
      </x:c>
      <x:c r="P386" t="n">
        <x:f>LOG10('All Trades'!AA386/'Assumptions'!$B$11)</x:f>
        <x:v>6.49506254485789</x:v>
      </x:c>
    </x:row>
    <x:row r="387">
      <x:c r="N387" t="str">
        <x:f>TEXT('All Trades'!B387,"yyyy-mm-dd")</x:f>
        <x:v>2025-08-25</x:v>
      </x:c>
      <x:c r="O387" t="n">
        <x:f>LOG10('All Trades'!X387/'Assumptions'!$B$11)</x:f>
        <x:v>5.63657660477523</x:v>
      </x:c>
      <x:c r="P387" t="n">
        <x:f>LOG10('All Trades'!AA387/'Assumptions'!$B$11)</x:f>
        <x:v>6.49329223164209</x:v>
      </x:c>
    </x:row>
    <x:row r="388">
      <x:c r="N388" t="str">
        <x:f>TEXT('All Trades'!B388,"yyyy-mm-dd")</x:f>
        <x:v>2025-09-02</x:v>
      </x:c>
      <x:c r="O388" t="n">
        <x:f>LOG10('All Trades'!X388/'Assumptions'!$B$11)</x:f>
        <x:v>5.67195150231399</x:v>
      </x:c>
      <x:c r="P388" t="n">
        <x:f>LOG10('All Trades'!AA388/'Assumptions'!$B$11)</x:f>
        <x:v>6.52866712918085</x:v>
      </x:c>
    </x:row>
    <x:row r="389">
      <x:c r="N389" t="str">
        <x:f>TEXT('All Trades'!B389,"yyyy-mm-dd")</x:f>
        <x:v>2025-09-08</x:v>
      </x:c>
      <x:c r="O389" t="n">
        <x:f>LOG10('All Trades'!X389/'Assumptions'!$B$11)</x:f>
        <x:v>5.73475941130329</x:v>
      </x:c>
      <x:c r="P389" t="n">
        <x:f>LOG10('All Trades'!AA389/'Assumptions'!$B$11)</x:f>
        <x:v>6.59147503817015</x:v>
      </x:c>
    </x:row>
    <x:row r="390">
      <x:c r="N390" t="str">
        <x:f>TEXT('All Trades'!B390,"yyyy-mm-dd")</x:f>
        <x:v>2025-09-15</x:v>
      </x:c>
      <x:c r="O390" t="n">
        <x:f>LOG10('All Trades'!X390/'Assumptions'!$B$11)</x:f>
        <x:v>5.81764993275956</x:v>
      </x:c>
      <x:c r="P390" t="n">
        <x:f>LOG10('All Trades'!AA390/'Assumptions'!$B$11)</x:f>
        <x:v>6.67436555962642</x:v>
      </x:c>
    </x:row>
    <x:row r="391">
      <x:c r="N391" t="str">
        <x:f>TEXT('All Trades'!B391,"yyyy-mm-dd")</x:f>
        <x:v>2025-09-22</x:v>
      </x:c>
      <x:c r="O391" t="n">
        <x:f>LOG10('All Trades'!X391/'Assumptions'!$B$11)</x:f>
        <x:v>5.85211915898924</x:v>
      </x:c>
      <x:c r="P391" t="n">
        <x:f>LOG10('All Trades'!AA391/'Assumptions'!$B$11)</x:f>
        <x:v>6.7088347858561</x:v>
      </x:c>
    </x:row>
    <x:row r="392">
      <x:c r="N392" t="str">
        <x:f>TEXT('All Trades'!B392,"yyyy-mm-dd")</x:f>
        <x:v>2025-09-29</x:v>
      </x:c>
      <x:c r="O392" t="n">
        <x:f>LOG10('All Trades'!X392/'Assumptions'!$B$11)</x:f>
        <x:v>5.88477135681063</x:v>
      </x:c>
      <x:c r="P392" t="n">
        <x:f>LOG10('All Trades'!AA392/'Assumptions'!$B$11)</x:f>
        <x:v>6.74148698367749</x:v>
      </x:c>
    </x:row>
    <x:row r="393">
      <x:c r="N393" t="str">
        <x:f>TEXT('All Trades'!B393,"yyyy-mm-dd")</x:f>
        <x:v>2025-10-06</x:v>
      </x:c>
      <x:c r="O393" t="n">
        <x:f>LOG10('All Trades'!X393/'Assumptions'!$B$11)</x:f>
        <x:v>5.86488931244933</x:v>
      </x:c>
      <x:c r="P393" t="n">
        <x:f>LOG10('All Trades'!AA393/'Assumptions'!$B$11)</x:f>
        <x:v>6.72160493931619</x:v>
      </x:c>
    </x:row>
    <x:row r="394">
      <x:c r="N394" t="str">
        <x:f>TEXT('All Trades'!B394,"yyyy-mm-dd")</x:f>
        <x:v>2025-10-13</x:v>
      </x:c>
      <x:c r="O394" t="n">
        <x:f>LOG10('All Trades'!X394/'Assumptions'!$B$11)</x:f>
        <x:v>5.84480172278405</x:v>
      </x:c>
      <x:c r="P394" t="n">
        <x:f>LOG10('All Trades'!AA394/'Assumptions'!$B$11)</x:f>
        <x:v>6.70151734965091</x:v>
      </x:c>
    </x:row>
    <x:row r="395">
      <x:c r="N395" t="str">
        <x:f>TEXT('All Trades'!B395,"yyyy-mm-dd")</x:f>
        <x:v>2025-10-20</x:v>
      </x:c>
      <x:c r="O395" t="n">
        <x:f>LOG10('All Trades'!X395/'Assumptions'!$B$11)</x:f>
        <x:v>5.87881740412052</x:v>
      </x:c>
      <x:c r="P395" t="n">
        <x:f>LOG10('All Trades'!AA395/'Assumptions'!$B$11)</x:f>
        <x:v>6.73553303098738</x:v>
      </x:c>
    </x:row>
    <x:row r="396">
      <x:c r="N396" t="str">
        <x:f>TEXT('All Trades'!B396,"yyyy-mm-dd")</x:f>
        <x:v>2025-10-27</x:v>
      </x:c>
      <x:c r="O396" t="n">
        <x:f>LOG10('All Trades'!X396/'Assumptions'!$B$11)</x:f>
        <x:v>5.91265153479496</x:v>
      </x:c>
      <x:c r="P396" t="n">
        <x:f>LOG10('All Trades'!AA396/'Assumptions'!$B$11)</x:f>
        <x:v>6.76936716166181</x:v>
      </x:c>
    </x:row>
    <x:row r="397">
      <x:c r="N397" t="str">
        <x:f>TEXT('All Trades'!B397,"yyyy-mm-dd")</x:f>
        <x:v>2025-11-03</x:v>
      </x:c>
      <x:c r="O397" t="n">
        <x:f>LOG10('All Trades'!X397/'Assumptions'!$B$11)</x:f>
        <x:v>5.81389183686826</x:v>
      </x:c>
      <x:c r="P397" t="n">
        <x:f>LOG10('All Trades'!AA397/'Assumptions'!$B$11)</x:f>
        <x:v>6.67060746373512</x:v>
      </x:c>
    </x:row>
    <x:row r="398">
      <x:c r="N398" t="str">
        <x:f>TEXT('All Trades'!B398,"yyyy-mm-dd")</x:f>
        <x:v>2025-11-10</x:v>
      </x:c>
      <x:c r="O398" t="n">
        <x:f>LOG10('All Trades'!X398/'Assumptions'!$B$11)</x:f>
        <x:v>5.8502156609666</x:v>
      </x:c>
      <x:c r="P398" t="n">
        <x:f>LOG10('All Trades'!AA398/'Assumptions'!$B$11)</x:f>
        <x:v>6.70693128783346</x:v>
      </x:c>
    </x:row>
    <x:row r="399">
      <x:c r="N399" t="str">
        <x:f>TEXT('All Trades'!B399,"yyyy-mm-dd")</x:f>
        <x:v>2025-11-17</x:v>
      </x:c>
      <x:c r="O399" t="n">
        <x:f>LOG10('All Trades'!X399/'Assumptions'!$B$11)</x:f>
        <x:v>5.83012807130132</x:v>
      </x:c>
      <x:c r="P399" t="n">
        <x:f>LOG10('All Trades'!AA399/'Assumptions'!$B$11)</x:f>
        <x:v>6.68684369816818</x:v>
      </x:c>
    </x:row>
    <x:row r="400">
      <x:c r="N400" t="str">
        <x:f>TEXT('All Trades'!B400,"yyyy-mm-dd")</x:f>
        <x:v>2025-11-24</x:v>
      </x:c>
      <x:c r="O400" t="n">
        <x:f>LOG10('All Trades'!X400/'Assumptions'!$B$11)</x:f>
        <x:v>5.90528654863244</x:v>
      </x:c>
      <x:c r="P400" t="n">
        <x:f>LOG10('All Trades'!AA400/'Assumptions'!$B$11)</x:f>
        <x:v>6.7620021754993</x:v>
      </x:c>
    </x:row>
    <x:row r="401">
      <x:c r="N401" t="str">
        <x:f>TEXT('All Trades'!B401,"yyyy-mm-dd")</x:f>
        <x:v>2025-12-01</x:v>
      </x:c>
      <x:c r="O401" t="n">
        <x:f>LOG10('All Trades'!X401/'Assumptions'!$B$11)</x:f>
        <x:v>5.99205236162442</x:v>
      </x:c>
      <x:c r="P401" t="n">
        <x:f>LOG10('All Trades'!AA401/'Assumptions'!$B$11)</x:f>
        <x:v>6.84876798849128</x:v>
      </x:c>
    </x:row>
    <x:row r="402">
      <x:c r="N402" t="str">
        <x:f>TEXT('All Trades'!B402,"yyyy-mm-dd")</x:f>
        <x:v>2025-12-08</x:v>
      </x:c>
      <x:c r="O402" t="n">
        <x:f>LOG10('All Trades'!X402/'Assumptions'!$B$11)</x:f>
        <x:v>5.97170770345129</x:v>
      </x:c>
      <x:c r="P402" t="n">
        <x:f>LOG10('All Trades'!AA402/'Assumptions'!$B$11)</x:f>
        <x:v>6.82842333031815</x:v>
      </x:c>
    </x:row>
    <x:row r="403">
      <x:c r="N403" t="str">
        <x:f>TEXT('All Trades'!B403,"yyyy-mm-dd")</x:f>
        <x:v>2025-12-15</x:v>
      </x:c>
      <x:c r="O403" t="n">
        <x:f>LOG10('All Trades'!X403/'Assumptions'!$B$11)</x:f>
        <x:v>5.82561024102841</x:v>
      </x:c>
      <x:c r="P403" t="n">
        <x:f>LOG10('All Trades'!AA403/'Assumptions'!$B$11)</x:f>
        <x:v>6.68232586789527</x:v>
      </x:c>
    </x:row>
    <x:row r="404">
      <x:c r="N404" t="str">
        <x:f>TEXT('All Trades'!B404,"yyyy-mm-dd")</x:f>
        <x:v>2025-12-22</x:v>
      </x:c>
      <x:c r="O404" t="n">
        <x:f>LOG10('All Trades'!X404/'Assumptions'!$B$11)</x:f>
        <x:v>5.84621595272623</x:v>
      </x:c>
      <x:c r="P404" t="n">
        <x:f>LOG10('All Trades'!AA404/'Assumptions'!$B$11)</x:f>
        <x:v>6.70293157959309</x:v>
      </x:c>
    </x:row>
    <x:row r="405">
      <x:c r="N405" t="str">
        <x:f>TEXT('All Trades'!B405,"yyyy-mm-dd")</x:f>
        <x:v>2025-12-29</x:v>
      </x:c>
      <x:c r="O405" t="n">
        <x:f>LOG10('All Trades'!X405/'Assumptions'!$B$11)</x:f>
        <x:v>5.82628253115837</x:v>
      </x:c>
      <x:c r="P405" t="n">
        <x:f>LOG10('All Trades'!AA405/'Assumptions'!$B$11)</x:f>
        <x:v>6.70293157959309</x:v>
      </x:c>
    </x:row>
    <x:row r="406">
      <x:c r="N406" t="str">
        <x:f>TEXT('All Trades'!B406,"yyyy-mm-dd")</x:f>
        <x:v>2026-01-05</x:v>
      </x:c>
      <x:c r="O406" t="n">
        <x:f>LOG10('All Trades'!X406/'Assumptions'!$B$11)</x:f>
        <x:v>5.87990599876222</x:v>
      </x:c>
      <x:c r="P406" t="n">
        <x:f>LOG10('All Trades'!AA406/'Assumptions'!$B$11)</x:f>
        <x:v>6.70293157959309</x:v>
      </x:c>
    </x:row>
    <x:row r="407">
      <x:c r="N407" t="str">
        <x:f>TEXT('All Trades'!B407,"yyyy-mm-dd")</x:f>
        <x:v>2026-01-12</x:v>
      </x:c>
      <x:c r="O407" t="n">
        <x:f>LOG10('All Trades'!X407/'Assumptions'!$B$11)</x:f>
        <x:v>5.91807653457607</x:v>
      </x:c>
      <x:c r="P407" t="n">
        <x:f>LOG10('All Trades'!AA407/'Assumptions'!$B$11)</x:f>
        <x:v>6.74110211540694</x:v>
      </x:c>
    </x:row>
    <x:row r="408">
      <x:c r="N408" t="str">
        <x:f>TEXT('All Trades'!B408,"yyyy-mm-dd")</x:f>
        <x:v>2026-01-20</x:v>
      </x:c>
      <x:c r="O408" t="n">
        <x:f>LOG10('All Trades'!X408/'Assumptions'!$B$11)</x:f>
        <x:v>6.00744674613911</x:v>
      </x:c>
      <x:c r="P408" t="n">
        <x:f>LOG10('All Trades'!AA408/'Assumptions'!$B$11)</x:f>
        <x:v>6.83047232696997</x:v>
      </x:c>
    </x:row>
    <x:row r="409">
      <x:c r="N409" t="str">
        <x:f>TEXT('All Trades'!B409,"yyyy-mm-dd")</x:f>
        <x:v>2026-01-26</x:v>
      </x:c>
      <x:c r="O409" t="n">
        <x:f>LOG10('All Trades'!X409/'Assumptions'!$B$11)</x:f>
        <x:v>5.98735915647382</x:v>
      </x:c>
      <x:c r="P409" t="n">
        <x:f>LOG10('All Trades'!AA409/'Assumptions'!$B$11)</x:f>
        <x:v>6.81038473730469</x:v>
      </x:c>
    </x:row>
    <x:row r="410">
      <x:c r="N410" t="str">
        <x:f>TEXT('All Trades'!B410,"yyyy-mm-dd")</x:f>
        <x:v>2026-02-02</x:v>
      </x:c>
      <x:c r="O410" t="n">
        <x:f>LOG10('All Trades'!X410/'Assumptions'!$B$11)</x:f>
        <x:v>6.0407656950091</x:v>
      </x:c>
      <x:c r="P410" t="n">
        <x:f>LOG10('All Trades'!AA410/'Assumptions'!$B$11)</x:f>
        <x:v>6.86379127583997</x:v>
      </x:c>
    </x:row>
    <x:row r="411">
      <x:c r="N411" t="str">
        <x:f>TEXT('All Trades'!B411,"yyyy-mm-dd")</x:f>
        <x:v>2026-02-09</x:v>
      </x:c>
      <x:c r="O411" t="n">
        <x:f>LOG10('All Trades'!X411/'Assumptions'!$B$11)</x:f>
        <x:v>6.09495267161012</x:v>
      </x:c>
      <x:c r="P411" t="n">
        <x:f>LOG10('All Trades'!AA411/'Assumptions'!$B$11)</x:f>
        <x:v>6.91797825244099</x:v>
      </x:c>
    </x:row>
    <x:row r="412">
      <x:c r="N412" t="str">
        <x:f>TEXT('All Trades'!B412,"yyyy-mm-dd")</x:f>
        <x:v>2026-02-17</x:v>
      </x:c>
      <x:c r="O412" t="n">
        <x:f>LOG10('All Trades'!X412/'Assumptions'!$B$11)</x:f>
        <x:v>6.17175908380128</x:v>
      </x:c>
      <x:c r="P412" t="n">
        <x:f>LOG10('All Trades'!AA412/'Assumptions'!$B$11)</x:f>
        <x:v>6.99478466463215</x:v>
      </x:c>
    </x:row>
    <x:row r="413">
      <x:c r="N413" t="str">
        <x:f>TEXT('All Trades'!B413,"yyyy-mm-dd")</x:f>
        <x:v>2026-02-23</x:v>
      </x:c>
      <x:c r="O413" t="n">
        <x:f>LOG10('All Trades'!X413/'Assumptions'!$B$11)</x:f>
        <x:v>6.151671494136</x:v>
      </x:c>
      <x:c r="P413" t="n">
        <x:f>LOG10('All Trades'!AA413/'Assumptions'!$B$11)</x:f>
        <x:v>6.97469707496686</x:v>
      </x:c>
    </x:row>
    <x:row r="414">
      <x:c r="N414" t="str">
        <x:f>TEXT('All Trades'!B414,"yyyy-mm-dd")</x:f>
        <x:v>2026-03-02</x:v>
      </x:c>
      <x:c r="O414" t="n">
        <x:f>LOG10('All Trades'!X414/'Assumptions'!$B$11)</x:f>
        <x:v>6.22042639125004</x:v>
      </x:c>
      <x:c r="P414" t="n">
        <x:f>LOG10('All Trades'!AA414/'Assumptions'!$B$11)</x:f>
        <x:v>7.04345197208091</x:v>
      </x:c>
    </x:row>
    <x:row r="415">
      <x:c r="N415" t="str">
        <x:f>TEXT('All Trades'!B415,"yyyy-mm-dd")</x:f>
        <x:v>2026-03-09</x:v>
      </x:c>
      <x:c r="O415" t="n">
        <x:f>LOG10('All Trades'!X415/'Assumptions'!$B$11)</x:f>
        <x:v>6.323790123494</x:v>
      </x:c>
      <x:c r="P415" t="n">
        <x:f>LOG10('All Trades'!AA415/'Assumptions'!$B$11)</x:f>
        <x:v>7.14681570432486</x:v>
      </x:c>
    </x:row>
    <x:row r="416">
      <x:c r="N416" t="str">
        <x:f>TEXT('All Trades'!B416,"yyyy-mm-dd")</x:f>
        <x:v>2026-03-16</x:v>
      </x:c>
      <x:c r="O416" t="n">
        <x:f>LOG10('All Trades'!X416/'Assumptions'!$B$11)</x:f>
        <x:v>6.27364589291222</x:v>
      </x:c>
      <x:c r="P416" t="n">
        <x:f>LOG10('All Trades'!AA416/'Assumptions'!$B$11)</x:f>
        <x:v>7.14681570432486</x:v>
      </x:c>
    </x:row>
    <x:row r="417">
      <x:c r="N417" t="str">
        <x:f>TEXT('All Trades'!B417,"yyyy-mm-dd")</x:f>
        <x:v>2026-03-23</x:v>
      </x:c>
      <x:c r="O417" t="n">
        <x:f>LOG10('All Trades'!X417/'Assumptions'!$B$11)</x:f>
        <x:v>6.26351734105876</x:v>
      </x:c>
      <x:c r="P417" t="n">
        <x:f>LOG10('All Trades'!AA417/'Assumptions'!$B$11)</x:f>
        <x:v>7.1834553770818</x:v>
      </x:c>
    </x:row>
    <x:row r="418">
      <x:c r="N418" t="str">
        <x:f>TEXT('All Trades'!B418,"yyyy-mm-dd")</x:f>
        <x:v>2026-03-30</x:v>
      </x:c>
      <x:c r="O418" t="n">
        <x:f>LOG10('All Trades'!X418/'Assumptions'!$B$11)</x:f>
        <x:v>6.3925643368762</x:v>
      </x:c>
      <x:c r="P418" t="n">
        <x:f>LOG10('All Trades'!AA418/'Assumptions'!$B$11)</x:f>
        <x:v>7.31250237289924</x:v>
      </x:c>
    </x:row>
    <x:row r="419">
      <x:c r="N419" t="str">
        <x:f>TEXT('All Trades'!B419,"yyyy-mm-dd")</x:f>
        <x:v>2026-04-06</x:v>
      </x:c>
      <x:c r="O419" t="n">
        <x:f>LOG10('All Trades'!X419/'Assumptions'!$B$11)</x:f>
        <x:v>6.5623686284884</x:v>
      </x:c>
      <x:c r="P419" t="n">
        <x:f>LOG10('All Trades'!AA419/'Assumptions'!$B$11)</x:f>
        <x:v>7.48230666451144</x:v>
      </x:c>
    </x:row>
    <x:row r="420">
      <x:c r="N420" t="str">
        <x:f>TEXT('All Trades'!B420,"yyyy-mm-dd")</x:f>
        <x:v>2026-04-13</x:v>
      </x:c>
      <x:c r="O420" t="n">
        <x:f>LOG10('All Trades'!X420/'Assumptions'!$B$11)</x:f>
        <x:v>6.62146607530318</x:v>
      </x:c>
      <x:c r="P420" t="n">
        <x:f>LOG10('All Trades'!AA420/'Assumptions'!$B$11)</x:f>
        <x:v>7.54140411132622</x:v>
      </x:c>
    </x:row>
    <x:row r="421">
      <x:c r="N421" t="str">
        <x:f>TEXT('All Trades'!B421,"yyyy-mm-dd")</x:f>
        <x:v>2026-04-20</x:v>
      </x:c>
      <x:c r="O421" t="n">
        <x:f>LOG10('All Trades'!X421/'Assumptions'!$B$11)</x:f>
        <x:v>6.61148819706967</x:v>
      </x:c>
      <x:c r="P421" t="n">
        <x:f>LOG10('All Trades'!AA421/'Assumptions'!$B$11)</x:f>
        <x:v>7.53142623309271</x:v>
      </x:c>
    </x:row>
    <x:row r="422">
      <x:c r="N422" t="str">
        <x:f>TEXT('All Trades'!B422,"yyyy-mm-dd")</x:f>
        <x:v>2026-04-27</x:v>
      </x:c>
      <x:c r="O422" t="n">
        <x:f>LOG10('All Trades'!X422/'Assumptions'!$B$11)</x:f>
        <x:v>6.59186294761157</x:v>
      </x:c>
      <x:c r="P422" t="n">
        <x:f>LOG10('All Trades'!AA422/'Assumptions'!$B$11)</x:f>
        <x:v>7.51180098363461</x:v>
      </x:c>
    </x:row>
    <x:row r="423">
      <x:c r="N423" t="str">
        <x:f>TEXT('All Trades'!B423,"yyyy-mm-dd")</x:f>
        <x:v>2026-05-04</x:v>
      </x:c>
      <x:c r="O423" t="n">
        <x:f>LOG10('All Trades'!X423/'Assumptions'!$B$11)</x:f>
        <x:v>6.79755250801135</x:v>
      </x:c>
      <x:c r="P423" t="n">
        <x:f>LOG10('All Trades'!AA423/'Assumptions'!$B$11)</x:f>
        <x:v>7.71749054403439</x:v>
      </x:c>
    </x:row>
    <x:row r="424">
      <x:c r="N424" t="str">
        <x:f>TEXT('All Trades'!B424,"yyyy-mm-dd")</x:f>
        <x:v>2026-05-11</x:v>
      </x:c>
      <x:c r="O424" t="n">
        <x:f>LOG10('All Trades'!X424/'Assumptions'!$B$11)</x:f>
        <x:v>6.77756770315826</x:v>
      </x:c>
      <x:c r="P424" t="n">
        <x:f>LOG10('All Trades'!AA424/'Assumptions'!$B$11)</x:f>
        <x:v>7.6975057391813</x:v>
      </x:c>
    </x:row>
    <x:row r="425">
      <x:c r="N425" t="str">
        <x:f>TEXT('All Trades'!B425,"yyyy-mm-dd")</x:f>
        <x:v>2026-05-18</x:v>
      </x:c>
      <x:c r="O425" t="n">
        <x:f>LOG10('All Trades'!X425/'Assumptions'!$B$11)</x:f>
        <x:v>6.75748011349298</x:v>
      </x:c>
      <x:c r="P425" t="n">
        <x:f>LOG10('All Trades'!AA425/'Assumptions'!$B$11)</x:f>
        <x:v>7.67741814951602</x:v>
      </x:c>
    </x:row>
    <x:row r="426">
      <x:c r="N426" t="str">
        <x:f>TEXT('All Trades'!B426,"yyyy-mm-dd")</x:f>
        <x:v>2026-05-26</x:v>
      </x:c>
      <x:c r="O426" t="n">
        <x:f>LOG10('All Trades'!X426/'Assumptions'!$B$11)</x:f>
        <x:v>6.73723830098345</x:v>
      </x:c>
      <x:c r="P426" t="n">
        <x:f>LOG10('All Trades'!AA426/'Assumptions'!$B$11)</x:f>
        <x:v>7.65717633700649</x:v>
      </x:c>
    </x:row>
    <x:row r="427">
      <x:c r="N427" t="str">
        <x:f>TEXT('All Trades'!B427,"yyyy-mm-dd")</x:f>
        <x:v>2026-06-01</x:v>
      </x:c>
      <x:c r="O427" t="n">
        <x:f>LOG10('All Trades'!X427/'Assumptions'!$B$11)</x:f>
        <x:v>6.77139009552791</x:v>
      </x:c>
      <x:c r="P427" t="n">
        <x:f>LOG10('All Trades'!AA427/'Assumptions'!$B$11)</x:f>
        <x:v>7.69132813155095</x:v>
      </x:c>
    </x:row>
    <x:row r="428">
      <x:c r="N428" t="str">
        <x:f>TEXT('All Trades'!B428,"yyyy-mm-dd")</x:f>
        <x:v>2026-06-08</x:v>
      </x:c>
      <x:c r="O428" t="n">
        <x:f>LOG10('All Trades'!X428/'Assumptions'!$B$11)</x:f>
        <x:v>6.54218542436083</x:v>
      </x:c>
      <x:c r="P428" t="n">
        <x:f>LOG10('All Trades'!AA428/'Assumptions'!$B$11)</x:f>
        <x:v>7.46212346038387</x:v>
      </x:c>
    </x:row>
    <x:row r="429">
      <x:c r="N429" t="str">
        <x:f>TEXT('All Trades'!B429,"yyyy-mm-dd")</x:f>
        <x:v>2026-06-15</x:v>
      </x:c>
      <x:c r="O429" t="n">
        <x:f>LOG10('All Trades'!X429/'Assumptions'!$B$11)</x:f>
        <x:v>6.58129880453193</x:v>
      </x:c>
      <x:c r="P429" t="n">
        <x:f>LOG10('All Trades'!AA429/'Assumptions'!$B$11)</x:f>
        <x:v>7.46212346038387</x:v>
      </x:c>
    </x:row>
    <x:row r="430">
      <x:c r="N430" t="str">
        <x:f>TEXT('All Trades'!B430,"yyyy-mm-dd")</x:f>
        <x:v>2026-06-22</x:v>
      </x:c>
      <x:c r="O430" t="n">
        <x:f>LOG10('All Trades'!X430/'Assumptions'!$B$11)</x:f>
        <x:v>6.44478166971577</x:v>
      </x:c>
      <x:c r="P430" t="n">
        <x:f>LOG10('All Trades'!AA430/'Assumptions'!$B$11)</x:f>
        <x:v>7.46212346038387</x:v>
      </x:c>
    </x:row>
    <x:row r="431">
      <x:c r="N431" t="str">
        <x:f>TEXT('All Trades'!B431,"yyyy-mm-dd")</x:f>
        <x:v>2026-06-29</x:v>
      </x:c>
      <x:c r="O431" t="n">
        <x:f>LOG10('All Trades'!X431/'Assumptions'!$B$11)</x:f>
        <x:v>6.50229144511466</x:v>
      </x:c>
      <x:c r="P431" t="n">
        <x:f>LOG10('All Trades'!AA431/'Assumptions'!$B$11)</x:f>
        <x:v>7.46212346038387</x:v>
      </x:c>
    </x:row>
    <x:row r="432">
      <x:c r="N432" t="str">
        <x:f>TEXT('All Trades'!B432,"yyyy-mm-dd")</x:f>
        <x:v>2026-07-06</x:v>
      </x:c>
      <x:c r="O432" t="n">
        <x:f>LOG10('All Trades'!X432/'Assumptions'!$B$11)</x:f>
        <x:v>6.4317354059069</x:v>
      </x:c>
      <x:c r="P432" t="n">
        <x:f>LOG10('All Trades'!AA432/'Assumptions'!$B$11)</x:f>
        <x:v>7.43509327596341</x:v>
      </x:c>
    </x:row>
    <x:row r="433">
      <x:c r="N433" t="str">
        <x:f>TEXT('All Trades'!B433,"yyyy-mm-dd")</x:f>
        <x:v>2026-07-13</x:v>
      </x:c>
      <x:c r="O433" t="n">
        <x:f>LOG10('All Trades'!X433/'Assumptions'!$B$11)</x:f>
        <x:v>6.41092764061664</x:v>
      </x:c>
      <x:c r="P433" t="n">
        <x:f>LOG10('All Trades'!AA433/'Assumptions'!$B$11)</x:f>
        <x:v>7.41428551067315</x:v>
      </x:c>
    </x:row>
    <x:row r="434">
      <x:c r="N434" t="str">
        <x:f>TEXT('All Trades'!B434,"yyyy-mm-dd")</x:f>
        <x:v>2026-07-20</x:v>
      </x:c>
      <x:c r="O434" t="n">
        <x:f>LOG10('All Trades'!X434/'Assumptions'!$B$11)</x:f>
        <x:v>6.3904286682681</x:v>
      </x:c>
      <x:c r="P434" t="n">
        <x:f>LOG10('All Trades'!AA434/'Assumptions'!$B$11)</x:f>
        <x:v>7.41428551067315</x:v>
      </x:c>
    </x:row>
    <x:row r="435">
      <x:c r="N435" t="str">
        <x:f>TEXT('All Trades'!B435,"yyyy-mm-dd")</x:f>
        <x:v>2026-07-27</x:v>
      </x:c>
      <x:c r="O435" t="n">
        <x:f>LOG10('All Trades'!X435/'Assumptions'!$B$11)</x:f>
        <x:v>6.06129952968306</x:v>
      </x:c>
      <x:c r="P435" t="n">
        <x:f>LOG10('All Trades'!AA435/'Assumptions'!$B$11)</x:f>
        <x:v>7.41428551067315</x:v>
      </x:c>
    </x:row>
    <x:row r="436">
      <x:c r="N436" t="str">
        <x:f>TEXT('All Trades'!B436,"yyyy-mm-dd")</x:f>
        <x:v>2026-08-03</x:v>
      </x:c>
      <x:c r="O436" t="n">
        <x:f>LOG10('All Trades'!X436/'Assumptions'!$B$11)</x:f>
        <x:v>6.13405733929929</x:v>
      </x:c>
      <x:c r="P436" t="n">
        <x:f>LOG10('All Trades'!AA436/'Assumptions'!$B$11)</x:f>
        <x:v>7.48704332028938</x:v>
      </x:c>
    </x:row>
  </x:sheetData>
  <x:mergeCells>
    <x:mergeCell ref="A1:L2"/>
    <x:mergeCell ref="A3:L3"/>
  </x:mergeCells>
  <x:conditionalFormatting sqref="E16:E20">
    <x:cfRule type="cellIs" dxfId="13" priority="1" operator="greaterThan">
      <x:formula>0</x:formula>
    </x:cfRule>
    <x:cfRule type="cellIs" dxfId="14" priority="2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629fcc20a4d9496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34" hidden="0" customWidth="1"/>
    <x:col min="4" max="4" width="34" hidden="0" customWidth="1"/>
  </x:cols>
  <x:sheetData>
    <x:row r="1" ht="30" customHeight="1">
      <x:c r="A1" s="22" t="str">
        <x:v>Rule assumptions</x:v>
      </x:c>
      <x:c r="B1" s="22" t="str">
        <x:v>Rule assumptions</x:v>
      </x:c>
      <x:c r="C1" s="22" t="str">
        <x:v>Rule assumptions</x:v>
      </x:c>
      <x:c r="D1" s="22" t="str">
        <x:v>Rule assumptions</x:v>
      </x:c>
    </x:row>
    <x:row r="2" ht="30" customHeight="1">
      <x:c r="A2" s="22" t="str">
        <x:v>Rule assumptions</x:v>
      </x:c>
      <x:c r="B2" s="22" t="str">
        <x:v>Rule assumptions</x:v>
      </x:c>
      <x:c r="C2" s="22" t="str">
        <x:v>Rule assumptions</x:v>
      </x:c>
      <x:c r="D2" s="22" t="str">
        <x:v>Rule assumptions</x:v>
      </x:c>
    </x:row>
    <x:row r="3" ht="26" customHeight="1">
      <x:c r="A3" s="7" t="str">
        <x:v>Blue-text cells are editable. All stateful decisions on All Trades reference these cells.</x:v>
      </x:c>
      <x:c r="B3" s="7" t="str">
        <x:v>Blue-text cells are editable. All stateful decisions on All Trades reference these cells.</x:v>
      </x:c>
      <x:c r="C3" s="7" t="str">
        <x:v>Blue-text cells are editable. All stateful decisions on All Trades reference these cells.</x:v>
      </x:c>
      <x:c r="D3" s="7" t="str">
        <x:v>Blue-text cells are editable. All stateful decisions on All Trades reference these cells.</x:v>
      </x:c>
    </x:row>
    <x:row r="4">
      <x:c r="A4" s="23"/>
      <x:c r="B4" s="23"/>
      <x:c r="C4" s="23"/>
      <x:c r="D4" s="23"/>
    </x:row>
    <x:row r="5">
      <x:c r="A5" s="13" t="str">
        <x:v>Parameter</x:v>
      </x:c>
      <x:c r="B5" s="14" t="str">
        <x:v>Value</x:v>
      </x:c>
      <x:c r="C5" s="15" t="str">
        <x:v>Interpretation</x:v>
      </x:c>
      <x:c r="D5" s="23"/>
    </x:row>
    <x:row r="6">
      <x:c r="A6" s="23" t="str">
        <x:v>Leverage</x:v>
      </x:c>
      <x:c r="B6" s="24" t="n">
        <x:v>11.3</x:v>
      </x:c>
      <x:c r="C6" s="23" t="str">
        <x:v>Applied to every raw weekly return</x:v>
      </x:c>
      <x:c r="D6" s="23"/>
    </x:row>
    <x:row r="7">
      <x:c r="A7" s="23" t="str">
        <x:v>Last-three threshold</x:v>
      </x:c>
      <x:c r="B7" s="25" t="n">
        <x:v>-0.02</x:v>
      </x:c>
      <x:c r="C7" s="23" t="str">
        <x:v>Skip when the prior three rule outcomes sum to this value or less</x:v>
      </x:c>
      <x:c r="D7" s="23"/>
    </x:row>
    <x:row r="8">
      <x:c r="A8" s="23" t="str">
        <x:v>Cash-opening gap</x:v>
      </x:c>
      <x:c r="B8" s="25" t="n">
        <x:v>0.01</x:v>
      </x:c>
      <x:c r="C8" s="23" t="str">
        <x:v>Friday adjusted cash close to Monday adjusted cash open</x:v>
      </x:c>
      <x:c r="D8" s="23"/>
    </x:row>
    <x:row r="9">
      <x:c r="A9" s="23" t="str">
        <x:v>20-session momentum</x:v>
      </x:c>
      <x:c r="B9" s="25" t="n">
        <x:v>-0.005</x:v>
      </x:c>
      <x:c r="C9" s="23" t="str">
        <x:v>Previous Friday daily close versus 20 sessions earlier</x:v>
      </x:c>
      <x:c r="D9" s="23"/>
    </x:row>
    <x:row r="10">
      <x:c r="A10" s="23" t="str">
        <x:v>Tuesday normalization</x:v>
      </x:c>
      <x:c r="B10" s="25" t="n">
        <x:v>0.005</x:v>
      </x:c>
      <x:c r="C10" s="23" t="str">
        <x:v>Absolute Tuesday daily open deviation from previous Friday daily close</x:v>
      </x:c>
      <x:c r="D10" s="23"/>
    </x:row>
    <x:row r="11">
      <x:c r="A11" s="23" t="str">
        <x:v>Initial comparison equity</x:v>
      </x:c>
      <x:c r="B11" s="26" t="n">
        <x:v>100</x:v>
      </x:c>
      <x:c r="C11" s="23" t="str">
        <x:v>Common index base for both equity paths</x:v>
      </x:c>
      <x:c r="D11" s="23"/>
    </x:row>
    <x:row r="12">
      <x:c r="A12" s="23"/>
      <x:c r="B12" s="23"/>
      <x:c r="C12" s="23"/>
      <x:c r="D12" s="23"/>
    </x:row>
    <x:row r="13">
      <x:c r="A13" s="13" t="str">
        <x:v>Model conventions</x:v>
      </x:c>
      <x:c r="B13" s="14" t="str">
        <x:v>Model conventions</x:v>
      </x:c>
      <x:c r="C13" s="14" t="str">
        <x:v>Model conventions</x:v>
      </x:c>
      <x:c r="D13" s="15" t="str">
        <x:v>Model conventions</x:v>
      </x:c>
    </x:row>
    <x:row r="14" ht="42" customHeight="1">
      <x:c r="A14" s="27" t="str">
        <x:v>State</x:v>
      </x:c>
      <x:c r="B14" s="28" t="str">
        <x:v>Skipped weeks contribute 0.0 to the next three-outcome sum</x:v>
      </x:c>
      <x:c r="C14" s="28"/>
      <x:c r="D14" s="28"/>
    </x:row>
    <x:row r="15" ht="42" customHeight="1">
      <x:c r="A15" s="27" t="str">
        <x:v>Priority</x:v>
      </x:c>
      <x:c r="B15" s="28" t="str">
        <x:v>Damage skip is evaluated before the gap/momentum branch.</x:v>
      </x:c>
      <x:c r="C15" s="28"/>
      <x:c r="D15" s="28"/>
    </x:row>
    <x:row r="16" ht="42" customHeight="1">
      <x:c r="A16" s="27" t="str">
        <x:v>Normalization anchor</x:v>
      </x:c>
      <x:c r="B16" s="28" t="str">
        <x:v>Previous Friday daily cash close</x:v>
      </x:c>
      <x:c r="C16" s="28"/>
      <x:c r="D16" s="28"/>
    </x:row>
    <x:row r="17" ht="42" customHeight="1">
      <x:c r="A17" s="27" t="str">
        <x:v>Tuesday limitation</x:v>
      </x:c>
      <x:c r="B17" s="28" t="str">
        <x:v>Repriced overlay reuses the original baseline exit price; it does not rerun exit state.</x:v>
      </x:c>
      <x:c r="C17" s="28"/>
      <x:c r="D17" s="28"/>
    </x:row>
    <x:row r="18" ht="42" customHeight="1">
      <x:c r="A18" s="27" t="str">
        <x:v>Source</x:v>
      </x:c>
      <x:c r="B18" s="28" t="str">
        <x:v>D:\oppw\backtest\oppw24.py; D:\oppw\backtest\quotes.pkl</x:v>
      </x:c>
      <x:c r="C18" s="28"/>
      <x:c r="D18" s="28"/>
    </x:row>
  </x:sheetData>
  <x:mergeCells>
    <x:mergeCell ref="A1:D2"/>
    <x:mergeCell ref="A3:D3"/>
    <x:mergeCell ref="A13:D13"/>
    <x:mergeCell ref="B14:D14"/>
    <x:mergeCell ref="B15:D15"/>
    <x:mergeCell ref="B16:D16"/>
    <x:mergeCell ref="B17:D17"/>
    <x:mergeCell ref="B18:D18"/>
  </x:mergeCells>
  <x:pageMargins left="0.7" right="0.7" top="0.75" bottom="0.75" header="0.3" footer="0.3"/>
  <x:legacyDrawing xmlns:r="http://schemas.openxmlformats.org/officeDocument/2006/relationships" r:id="R3a461d553c1e433f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3" hidden="0" customWidth="1"/>
    <x:col min="4" max="4" width="15" hidden="0" customWidth="1"/>
    <x:col min="5" max="5" width="14" hidden="0" customWidth="1"/>
    <x:col min="6" max="6" width="14" hidden="0" customWidth="1"/>
    <x:col min="7" max="7" width="15" hidden="0" customWidth="1"/>
    <x:col min="8" max="8" width="15" hidden="0" customWidth="1"/>
    <x:col min="9" max="9" width="12" hidden="0" customWidth="1"/>
    <x:col min="10" max="10" width="15" hidden="0" customWidth="1"/>
    <x:col min="11" max="11" width="15" hidden="0" customWidth="1"/>
    <x:col min="12" max="12" width="15" hidden="0" customWidth="1"/>
    <x:col min="13" max="13" width="14" hidden="0" customWidth="1"/>
    <x:col min="14" max="14" width="14" hidden="0" customWidth="1"/>
    <x:col min="15" max="15" width="14" hidden="0" customWidth="1"/>
    <x:col min="16" max="16" width="13" hidden="0" customWidth="1"/>
    <x:col min="17" max="17" width="16" hidden="0" customWidth="1"/>
    <x:col min="18" max="18" width="16" hidden="0" customWidth="1"/>
    <x:col min="19" max="19" width="19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54" hidden="0" customWidth="1"/>
  </x:cols>
  <x:sheetData>
    <x:row r="1" ht="30" customHeight="1">
      <x:c r="A1" s="3" t="str">
        <x:v>All baseline trades versus stateful loss-control rule</x:v>
      </x:c>
      <x:c r="B1" s="3" t="str">
        <x:v>All baseline trades versus stateful loss-control rule</x:v>
      </x:c>
      <x:c r="C1" s="3" t="str">
        <x:v>All baseline trades versus stateful loss-control rule</x:v>
      </x:c>
      <x:c r="D1" s="3" t="str">
        <x:v>All baseline trades versus stateful loss-control rule</x:v>
      </x:c>
      <x:c r="E1" s="3" t="str">
        <x:v>All baseline trades versus stateful loss-control rule</x:v>
      </x:c>
      <x:c r="F1" s="3" t="str">
        <x:v>All baseline trades versus stateful loss-control rule</x:v>
      </x:c>
      <x:c r="G1" s="3" t="str">
        <x:v>All baseline trades versus stateful loss-control rule</x:v>
      </x:c>
      <x:c r="H1" s="3" t="str">
        <x:v>All baseline trades versus stateful loss-control rule</x:v>
      </x:c>
      <x:c r="I1" s="3" t="str">
        <x:v>All baseline trades versus stateful loss-control rule</x:v>
      </x:c>
      <x:c r="J1" s="3" t="str">
        <x:v>All baseline trades versus stateful loss-control rule</x:v>
      </x:c>
      <x:c r="K1" s="3" t="str">
        <x:v>All baseline trades versus stateful loss-control rule</x:v>
      </x:c>
      <x:c r="L1" s="3" t="str">
        <x:v>All baseline trades versus stateful loss-control rule</x:v>
      </x:c>
      <x:c r="M1" s="3" t="str">
        <x:v>All baseline trades versus stateful loss-control rule</x:v>
      </x:c>
      <x:c r="N1" s="3" t="str">
        <x:v>All baseline trades versus stateful loss-control rule</x:v>
      </x:c>
      <x:c r="O1" s="3" t="str">
        <x:v>All baseline trades versus stateful loss-control rule</x:v>
      </x:c>
      <x:c r="P1" s="3" t="str">
        <x:v>All baseline trades versus stateful loss-control rule</x:v>
      </x:c>
      <x:c r="Q1" s="3" t="str">
        <x:v>All baseline trades versus stateful loss-control rule</x:v>
      </x:c>
      <x:c r="R1" s="3" t="str">
        <x:v>All baseline trades versus stateful loss-control rule</x:v>
      </x:c>
      <x:c r="S1" s="3" t="str">
        <x:v>All baseline trades versus stateful loss-control rule</x:v>
      </x:c>
      <x:c r="T1" s="3" t="str">
        <x:v>All baseline trades versus stateful loss-control rule</x:v>
      </x:c>
      <x:c r="U1" s="3" t="str">
        <x:v>All baseline trades versus stateful loss-control rule</x:v>
      </x:c>
      <x:c r="V1" s="3" t="str">
        <x:v>All baseline trades versus stateful loss-control rule</x:v>
      </x:c>
      <x:c r="W1" s="3" t="str">
        <x:v>All baseline trades versus stateful loss-control rule</x:v>
      </x:c>
      <x:c r="X1" s="3" t="str">
        <x:v>All baseline trades versus stateful loss-control rule</x:v>
      </x:c>
      <x:c r="Y1" s="3" t="str">
        <x:v>All baseline trades versus stateful loss-control rule</x:v>
      </x:c>
      <x:c r="Z1" s="3" t="str">
        <x:v>All baseline trades versus stateful loss-control rule</x:v>
      </x:c>
      <x:c r="AA1" s="3" t="str">
        <x:v>All baseline trades versus stateful loss-control rule</x:v>
      </x:c>
      <x:c r="AB1" s="3" t="str">
        <x:v>All baseline trades versus stateful loss-control rule</x:v>
      </x:c>
      <x:c r="AC1" s="3" t="str">
        <x:v>All baseline trades versus stateful loss-control rule</x:v>
      </x:c>
      <x:c r="AD1" s="3" t="str">
        <x:v>All baseline trades versus stateful loss-control rule</x:v>
      </x:c>
      <x:c r="AE1" s="3" t="str">
        <x:v>All baseline trades versus stateful loss-control rule</x:v>
      </x:c>
    </x:row>
    <x:row r="2" ht="30" customHeight="1">
      <x:c r="A2" s="3" t="str">
        <x:v>All baseline trades versus stateful loss-control rule</x:v>
      </x:c>
      <x:c r="B2" s="3" t="str">
        <x:v>All baseline trades versus stateful loss-control rule</x:v>
      </x:c>
      <x:c r="C2" s="3" t="str">
        <x:v>All baseline trades versus stateful loss-control rule</x:v>
      </x:c>
      <x:c r="D2" s="3" t="str">
        <x:v>All baseline trades versus stateful loss-control rule</x:v>
      </x:c>
      <x:c r="E2" s="3" t="str">
        <x:v>All baseline trades versus stateful loss-control rule</x:v>
      </x:c>
      <x:c r="F2" s="3" t="str">
        <x:v>All baseline trades versus stateful loss-control rule</x:v>
      </x:c>
      <x:c r="G2" s="3" t="str">
        <x:v>All baseline trades versus stateful loss-control rule</x:v>
      </x:c>
      <x:c r="H2" s="3" t="str">
        <x:v>All baseline trades versus stateful loss-control rule</x:v>
      </x:c>
      <x:c r="I2" s="3" t="str">
        <x:v>All baseline trades versus stateful loss-control rule</x:v>
      </x:c>
      <x:c r="J2" s="3" t="str">
        <x:v>All baseline trades versus stateful loss-control rule</x:v>
      </x:c>
      <x:c r="K2" s="3" t="str">
        <x:v>All baseline trades versus stateful loss-control rule</x:v>
      </x:c>
      <x:c r="L2" s="3" t="str">
        <x:v>All baseline trades versus stateful loss-control rule</x:v>
      </x:c>
      <x:c r="M2" s="3" t="str">
        <x:v>All baseline trades versus stateful loss-control rule</x:v>
      </x:c>
      <x:c r="N2" s="3" t="str">
        <x:v>All baseline trades versus stateful loss-control rule</x:v>
      </x:c>
      <x:c r="O2" s="3" t="str">
        <x:v>All baseline trades versus stateful loss-control rule</x:v>
      </x:c>
      <x:c r="P2" s="3" t="str">
        <x:v>All baseline trades versus stateful loss-control rule</x:v>
      </x:c>
      <x:c r="Q2" s="3" t="str">
        <x:v>All baseline trades versus stateful loss-control rule</x:v>
      </x:c>
      <x:c r="R2" s="3" t="str">
        <x:v>All baseline trades versus stateful loss-control rule</x:v>
      </x:c>
      <x:c r="S2" s="3" t="str">
        <x:v>All baseline trades versus stateful loss-control rule</x:v>
      </x:c>
      <x:c r="T2" s="3" t="str">
        <x:v>All baseline trades versus stateful loss-control rule</x:v>
      </x:c>
      <x:c r="U2" s="3" t="str">
        <x:v>All baseline trades versus stateful loss-control rule</x:v>
      </x:c>
      <x:c r="V2" s="3" t="str">
        <x:v>All baseline trades versus stateful loss-control rule</x:v>
      </x:c>
      <x:c r="W2" s="3" t="str">
        <x:v>All baseline trades versus stateful loss-control rule</x:v>
      </x:c>
      <x:c r="X2" s="3" t="str">
        <x:v>All baseline trades versus stateful loss-control rule</x:v>
      </x:c>
      <x:c r="Y2" s="3" t="str">
        <x:v>All baseline trades versus stateful loss-control rule</x:v>
      </x:c>
      <x:c r="Z2" s="3" t="str">
        <x:v>All baseline trades versus stateful loss-control rule</x:v>
      </x:c>
      <x:c r="AA2" s="3" t="str">
        <x:v>All baseline trades versus stateful loss-control rule</x:v>
      </x:c>
      <x:c r="AB2" s="3" t="str">
        <x:v>All baseline trades versus stateful loss-control rule</x:v>
      </x:c>
      <x:c r="AC2" s="3" t="str">
        <x:v>All baseline trades versus stateful loss-control rule</x:v>
      </x:c>
      <x:c r="AD2" s="3" t="str">
        <x:v>All baseline trades versus stateful loss-control rule</x:v>
      </x:c>
      <x:c r="AE2" s="3" t="str">
        <x:v>All baseline trades versus stateful loss-control rule</x:v>
      </x:c>
    </x:row>
    <x:row r="3" ht="26" customHeight="1">
      <x:c r="A3" s="7" t="str">
        <x:v>One row per baseline trade. Green formula cells reference assumptions or prior rows; imported historical observations remain black.</x:v>
      </x:c>
      <x:c r="B3" s="7" t="str">
        <x:v>One row per baseline trade. Green formula cells reference assumptions or prior rows; imported historical observations remain black.</x:v>
      </x:c>
      <x:c r="C3" s="7" t="str">
        <x:v>One row per baseline trade. Green formula cells reference assumptions or prior rows; imported historical observations remain black.</x:v>
      </x:c>
      <x:c r="D3" s="7" t="str">
        <x:v>One row per baseline trade. Green formula cells reference assumptions or prior rows; imported historical observations remain black.</x:v>
      </x:c>
      <x:c r="E3" s="7" t="str">
        <x:v>One row per baseline trade. Green formula cells reference assumptions or prior rows; imported historical observations remain black.</x:v>
      </x:c>
      <x:c r="F3" s="7" t="str">
        <x:v>One row per baseline trade. Green formula cells reference assumptions or prior rows; imported historical observations remain black.</x:v>
      </x:c>
      <x:c r="G3" s="7" t="str">
        <x:v>One row per baseline trade. Green formula cells reference assumptions or prior rows; imported historical observations remain black.</x:v>
      </x:c>
      <x:c r="H3" s="7" t="str">
        <x:v>One row per baseline trade. Green formula cells reference assumptions or prior rows; imported historical observations remain black.</x:v>
      </x:c>
      <x:c r="I3" s="7" t="str">
        <x:v>One row per baseline trade. Green formula cells reference assumptions or prior rows; imported historical observations remain black.</x:v>
      </x:c>
      <x:c r="J3" s="7" t="str">
        <x:v>One row per baseline trade. Green formula cells reference assumptions or prior rows; imported historical observations remain black.</x:v>
      </x:c>
      <x:c r="K3" s="7" t="str">
        <x:v>One row per baseline trade. Green formula cells reference assumptions or prior rows; imported historical observations remain black.</x:v>
      </x:c>
      <x:c r="L3" s="7" t="str">
        <x:v>One row per baseline trade. Green formula cells reference assumptions or prior rows; imported historical observations remain black.</x:v>
      </x:c>
      <x:c r="M3" s="7" t="str">
        <x:v>One row per baseline trade. Green formula cells reference assumptions or prior rows; imported historical observations remain black.</x:v>
      </x:c>
      <x:c r="N3" s="7" t="str">
        <x:v>One row per baseline trade. Green formula cells reference assumptions or prior rows; imported historical observations remain black.</x:v>
      </x:c>
      <x:c r="O3" s="7" t="str">
        <x:v>One row per baseline trade. Green formula cells reference assumptions or prior rows; imported historical observations remain black.</x:v>
      </x:c>
      <x:c r="P3" s="7" t="str">
        <x:v>One row per baseline trade. Green formula cells reference assumptions or prior rows; imported historical observations remain black.</x:v>
      </x:c>
      <x:c r="Q3" s="7" t="str">
        <x:v>One row per baseline trade. Green formula cells reference assumptions or prior rows; imported historical observations remain black.</x:v>
      </x:c>
      <x:c r="R3" s="7" t="str">
        <x:v>One row per baseline trade. Green formula cells reference assumptions or prior rows; imported historical observations remain black.</x:v>
      </x:c>
      <x:c r="S3" s="7" t="str">
        <x:v>One row per baseline trade. Green formula cells reference assumptions or prior rows; imported historical observations remain black.</x:v>
      </x:c>
      <x:c r="T3" s="7" t="str">
        <x:v>One row per baseline trade. Green formula cells reference assumptions or prior rows; imported historical observations remain black.</x:v>
      </x:c>
      <x:c r="U3" s="7" t="str">
        <x:v>One row per baseline trade. Green formula cells reference assumptions or prior rows; imported historical observations remain black.</x:v>
      </x:c>
      <x:c r="V3" s="7" t="str">
        <x:v>One row per baseline trade. Green formula cells reference assumptions or prior rows; imported historical observations remain black.</x:v>
      </x:c>
      <x:c r="W3" s="7" t="str">
        <x:v>One row per baseline trade. Green formula cells reference assumptions or prior rows; imported historical observations remain black.</x:v>
      </x:c>
      <x:c r="X3" s="7" t="str">
        <x:v>One row per baseline trade. Green formula cells reference assumptions or prior rows; imported historical observations remain black.</x:v>
      </x:c>
      <x:c r="Y3" s="7" t="str">
        <x:v>One row per baseline trade. Green formula cells reference assumptions or prior rows; imported historical observations remain black.</x:v>
      </x:c>
      <x:c r="Z3" s="7" t="str">
        <x:v>One row per baseline trade. Green formula cells reference assumptions or prior rows; imported historical observations remain black.</x:v>
      </x:c>
      <x:c r="AA3" s="7" t="str">
        <x:v>One row per baseline trade. Green formula cells reference assumptions or prior rows; imported historical observations remain black.</x:v>
      </x:c>
      <x:c r="AB3" s="7" t="str">
        <x:v>One row per baseline trade. Green formula cells reference assumptions or prior rows; imported historical observations remain black.</x:v>
      </x:c>
      <x:c r="AC3" s="7" t="str">
        <x:v>One row per baseline trade. Green formula cells reference assumptions or prior rows; imported historical observations remain black.</x:v>
      </x:c>
      <x:c r="AD3" s="7" t="str">
        <x:v>One row per baseline trade. Green formula cells reference assumptions or prior rows; imported historical observations remain black.</x:v>
      </x:c>
      <x:c r="AE3" s="7" t="str">
        <x:v>One row per baseline trade. Green formula cells reference assumptions or prior rows; imported historical observations remain black.</x:v>
      </x:c>
    </x:row>
    <x:row r="4" ht="38" customHeight="1">
      <x:c r="A4" s="29" t="str">
        <x:v>Trade #</x:v>
      </x:c>
      <x:c r="B4" s="30" t="str">
        <x:v>Open date</x:v>
      </x:c>
      <x:c r="C4" s="30" t="str">
        <x:v>Close date</x:v>
      </x:c>
      <x:c r="D4" s="30" t="str">
        <x:v>Exit reason</x:v>
      </x:c>
      <x:c r="E4" s="30" t="str">
        <x:v>Baseline open</x:v>
      </x:c>
      <x:c r="F4" s="30" t="str">
        <x:v>Baseline close</x:v>
      </x:c>
      <x:c r="G4" s="30" t="str">
        <x:v>Baseline raw</x:v>
      </x:c>
      <x:c r="H4" s="30" t="str">
        <x:v>Previous 3 rule sum</x:v>
      </x:c>
      <x:c r="I4" s="30" t="str">
        <x:v>Damage trigger</x:v>
      </x:c>
      <x:c r="J4" s="30" t="str">
        <x:v>Cash-open gap</x:v>
      </x:c>
      <x:c r="K4" s="30" t="str">
        <x:v>Momentum 20d</x:v>
      </x:c>
      <x:c r="L4" s="30" t="str">
        <x:v>Tuesday vs Friday</x:v>
      </x:c>
      <x:c r="M4" s="30" t="str">
        <x:v>Gap trigger</x:v>
      </x:c>
      <x:c r="N4" s="30" t="str">
        <x:v>Momentum trigger</x:v>
      </x:c>
      <x:c r="O4" s="30" t="str">
        <x:v>Tuesday normalized</x:v>
      </x:c>
      <x:c r="P4" s="30" t="str">
        <x:v>Tuesday date</x:v>
      </x:c>
      <x:c r="Q4" s="30" t="str">
        <x:v>Tuesday entry</x:v>
      </x:c>
      <x:c r="R4" s="30" t="str">
        <x:v>Tuesday repriced raw</x:v>
      </x:c>
      <x:c r="S4" s="30" t="str">
        <x:v>Rule action</x:v>
      </x:c>
      <x:c r="T4" s="30" t="str">
        <x:v>Rule raw</x:v>
      </x:c>
      <x:c r="U4" s="30" t="str">
        <x:v>Baseline 11.3x</x:v>
      </x:c>
      <x:c r="V4" s="30" t="str">
        <x:v>Rule 11.3x</x:v>
      </x:c>
      <x:c r="W4" s="30" t="str">
        <x:v>11.3x difference</x:v>
      </x:c>
      <x:c r="X4" s="30" t="str">
        <x:v>Baseline equity</x:v>
      </x:c>
      <x:c r="Y4" s="30" t="str">
        <x:v>Baseline peak</x:v>
      </x:c>
      <x:c r="Z4" s="30" t="str">
        <x:v>Baseline DD</x:v>
      </x:c>
      <x:c r="AA4" s="30" t="str">
        <x:v>Rule equity</x:v>
      </x:c>
      <x:c r="AB4" s="30" t="str">
        <x:v>Rule peak</x:v>
      </x:c>
      <x:c r="AC4" s="30" t="str">
        <x:v>Rule DD</x:v>
      </x:c>
      <x:c r="AD4" s="30" t="str">
        <x:v>Equity difference</x:v>
      </x:c>
      <x:c r="AE4" s="31" t="str">
        <x:v>Notes</x:v>
      </x:c>
    </x:row>
    <x:row r="5" ht="18" customHeight="1">
      <x:c r="A5" s="23" t="n">
        <x:v>1</x:v>
      </x:c>
      <x:c r="B5" s="53" t="n">
        <x:v>43206</x:v>
      </x:c>
      <x:c r="C5" s="53" t="n">
        <x:v>43207</x:v>
      </x:c>
      <x:c r="D5" s="23" t="str">
        <x:v>CH</x:v>
      </x:c>
      <x:c r="E5" s="54" t="n">
        <x:v>6671.459</x:v>
      </x:c>
      <x:c r="F5" s="54" t="n">
        <x:v>6816.369</x:v>
      </x:c>
      <x:c r="G5" s="55" t="n">
        <x:v>0.02172</x:v>
      </x:c>
      <x:c r="H5" s="56" t="n">
        <x:f>0</x:f>
        <x:v>0</x:v>
      </x:c>
      <x:c r="I5" s="57" t="b">
        <x:f>AND(A5&gt;3,H5&lt;='Assumptions'!$B$7)</x:f>
        <x:v>0</x:v>
      </x:c>
      <x:c r="J5" s="55" t="n">
        <x:v>0.00674370771884325</x:v>
      </x:c>
      <x:c r="K5" s="55"/>
      <x:c r="L5" s="55" t="n">
        <x:v>0.01765704363208309</x:v>
      </x:c>
      <x:c r="M5" s="57" t="b">
        <x:f>J5&gt;='Assumptions'!$B$8</x:f>
        <x:v>0</x:v>
      </x:c>
      <x:c r="N5" s="57" t="b">
        <x:f>AND(K5&lt;&gt;"",K5&lt;='Assumptions'!$B$9)</x:f>
        <x:v>0</x:v>
      </x:c>
      <x:c r="O5" s="57" t="b">
        <x:f>AND(P5&lt;&gt;"",ABS(L5)&lt;='Assumptions'!$B$10)</x:f>
        <x:v>0</x:v>
      </x:c>
      <x:c r="P5" s="53" t="n">
        <x:v>43207</x:v>
      </x:c>
      <x:c r="Q5" s="54" t="n">
        <x:v>6741.259</x:v>
      </x:c>
      <x:c r="R5" s="55" t="n">
        <x:v>0.01114</x:v>
      </x:c>
      <x:c r="S5" s="57" t="str">
        <x:f>IF(I5,"DAMAGE SKIP",IF(AND(M5,N5),IF(O5,"TUESDAY RE-ENTRY","GAP/MOM SKIP"),"BASELINE"))</x:f>
        <x:v>BASELINE</x:v>
      </x:c>
      <x:c r="T5" s="56" t="n">
        <x:f>IF(I5,0,IF(AND(M5,N5),IF(O5,R5,0),G5))</x:f>
        <x:v>0.02172</x:v>
      </x:c>
      <x:c r="U5" s="56" t="n">
        <x:f>G5*'Assumptions'!$B$6</x:f>
        <x:v>0.24543600000000002</x:v>
      </x:c>
      <x:c r="V5" s="56" t="n">
        <x:f>T5*'Assumptions'!$B$6</x:f>
        <x:v>0.24543600000000002</x:v>
      </x:c>
      <x:c r="W5" s="56" t="n">
        <x:f>V5-U5</x:f>
        <x:v>0</x:v>
      </x:c>
      <x:c r="X5" s="58" t="n">
        <x:f>'Assumptions'!$B$11*(1+U5)</x:f>
        <x:v>124.5436</x:v>
      </x:c>
      <x:c r="Y5" s="58" t="n">
        <x:f>MAX('Assumptions'!$B$11,X5)</x:f>
        <x:v>124.5436</x:v>
      </x:c>
      <x:c r="Z5" s="59" t="n">
        <x:f>X5/Y5-1</x:f>
        <x:v>0</x:v>
      </x:c>
      <x:c r="AA5" s="58" t="n">
        <x:f>'Assumptions'!$B$11*(1+V5)</x:f>
        <x:v>124.5436</x:v>
      </x:c>
      <x:c r="AB5" s="58" t="n">
        <x:f>MAX('Assumptions'!$B$11,AA5)</x:f>
        <x:v>124.5436</x:v>
      </x:c>
      <x:c r="AC5" s="59" t="n">
        <x:f>AA5/AB5-1</x:f>
        <x:v>0</x:v>
      </x:c>
      <x:c r="AD5" s="60" t="n">
        <x:f>AA5-X5</x:f>
        <x:v>0</x:v>
      </x:c>
      <x:c r="AE5" s="28" t="str">
        <x:v>Baseline trade unchanged.</x:v>
      </x:c>
    </x:row>
    <x:row r="6" ht="18" customHeight="1">
      <x:c r="A6" s="23" t="n">
        <x:v>2</x:v>
      </x:c>
      <x:c r="B6" s="53" t="n">
        <x:v>43213</x:v>
      </x:c>
      <x:c r="C6" s="53" t="n">
        <x:v>43216</x:v>
      </x:c>
      <x:c r="D6" s="23" t="str">
        <x:v>TSL1PRE</x:v>
      </x:c>
      <x:c r="E6" s="54" t="n">
        <x:v>6695.27</x:v>
      </x:c>
      <x:c r="F6" s="54" t="n">
        <x:v>6581.359</x:v>
      </x:c>
      <x:c r="G6" s="55" t="n">
        <x:v>-0.01701</x:v>
      </x:c>
      <x:c r="H6" s="56" t="n">
        <x:f>0</x:f>
        <x:v>0</x:v>
      </x:c>
      <x:c r="I6" s="57" t="b">
        <x:f>AND(A6&gt;3,H6&lt;='Assumptions'!$B$7)</x:f>
        <x:v>0</x:v>
      </x:c>
      <x:c r="J6" s="55" t="n">
        <x:v>0.003975402319981836</x:v>
      </x:c>
      <x:c r="K6" s="55"/>
      <x:c r="L6" s="55" t="n">
        <x:v>0.002043151885066319</x:v>
      </x:c>
      <x:c r="M6" s="57" t="b">
        <x:f>J6&gt;='Assumptions'!$B$8</x:f>
        <x:v>0</x:v>
      </x:c>
      <x:c r="N6" s="57" t="b">
        <x:f>AND(K6&lt;&gt;"",K6&lt;='Assumptions'!$B$9)</x:f>
        <x:v>0</x:v>
      </x:c>
      <x:c r="O6" s="57" t="b">
        <x:f>AND(P6&lt;&gt;"",ABS(L6)&lt;='Assumptions'!$B$10)</x:f>
        <x:v>1</x:v>
      </x:c>
      <x:c r="P6" s="53" t="n">
        <x:v>43214</x:v>
      </x:c>
      <x:c r="Q6" s="54" t="n">
        <x:v>6678.369</x:v>
      </x:c>
      <x:c r="R6" s="55" t="n">
        <x:v>-0.01452</x:v>
      </x:c>
      <x:c r="S6" s="57" t="str">
        <x:f>IF(I6,"DAMAGE SKIP",IF(AND(M6,N6),IF(O6,"TUESDAY RE-ENTRY","GAP/MOM SKIP"),"BASELINE"))</x:f>
        <x:v>BASELINE</x:v>
      </x:c>
      <x:c r="T6" s="56" t="n">
        <x:f>IF(I6,0,IF(AND(M6,N6),IF(O6,R6,0),G6))</x:f>
        <x:v>-0.01701</x:v>
      </x:c>
      <x:c r="U6" s="56" t="n">
        <x:f>G6*'Assumptions'!$B$6</x:f>
        <x:v>-0.19221300000000002</x:v>
      </x:c>
      <x:c r="V6" s="56" t="n">
        <x:f>T6*'Assumptions'!$B$6</x:f>
        <x:v>-0.19221300000000002</x:v>
      </x:c>
      <x:c r="W6" s="56" t="n">
        <x:f>V6-U6</x:f>
        <x:v>0</x:v>
      </x:c>
      <x:c r="X6" s="58" t="n">
        <x:f>X5*(1+U6)</x:f>
        <x:v>100.6047010132</x:v>
      </x:c>
      <x:c r="Y6" s="58" t="n">
        <x:f>MAX(Y5,X6)</x:f>
        <x:v>124.5436</x:v>
      </x:c>
      <x:c r="Z6" s="59" t="n">
        <x:f>X6/Y6-1</x:f>
        <x:v>-0.19221299999999997</x:v>
      </x:c>
      <x:c r="AA6" s="58" t="n">
        <x:f>AA5*(1+V6)</x:f>
        <x:v>100.6047010132</x:v>
      </x:c>
      <x:c r="AB6" s="58" t="n">
        <x:f>MAX(AB5,AA6)</x:f>
        <x:v>124.5436</x:v>
      </x:c>
      <x:c r="AC6" s="59" t="n">
        <x:f>AA6/AB6-1</x:f>
        <x:v>-0.19221299999999997</x:v>
      </x:c>
      <x:c r="AD6" s="60" t="n">
        <x:f>AA6-X6</x:f>
        <x:v>0</x:v>
      </x:c>
      <x:c r="AE6" s="28" t="str">
        <x:v>Baseline trade unchanged.</x:v>
      </x:c>
    </x:row>
    <x:row r="7" ht="18" customHeight="1">
      <x:c r="A7" s="23" t="n">
        <x:v>3</x:v>
      </x:c>
      <x:c r="B7" s="53" t="n">
        <x:v>43220</x:v>
      </x:c>
      <x:c r="C7" s="53" t="n">
        <x:v>43223</x:v>
      </x:c>
      <x:c r="D7" s="23" t="str">
        <x:v>TSL1PRE</x:v>
      </x:c>
      <x:c r="E7" s="54" t="n">
        <x:v>6669.27</x:v>
      </x:c>
      <x:c r="F7" s="54" t="n">
        <x:v>6628.76</x:v>
      </x:c>
      <x:c r="G7" s="55" t="n">
        <x:v>-0.00607</x:v>
      </x:c>
      <x:c r="H7" s="56" t="n">
        <x:f>0</x:f>
        <x:v>0</x:v>
      </x:c>
      <x:c r="I7" s="57" t="b">
        <x:f>AND(A7&gt;3,H7&lt;='Assumptions'!$B$7)</x:f>
        <x:v>0</x:v>
      </x:c>
      <x:c r="J7" s="55" t="n">
        <x:v>0.0014416632418219333</x:v>
      </x:c>
      <x:c r="K7" s="55"/>
      <x:c r="L7" s="55" t="n">
        <x:v>-0.009652484657016291</x:v>
      </x:c>
      <x:c r="M7" s="57" t="b">
        <x:f>J7&gt;='Assumptions'!$B$8</x:f>
        <x:v>0</x:v>
      </x:c>
      <x:c r="N7" s="57" t="b">
        <x:f>AND(K7&lt;&gt;"",K7&lt;='Assumptions'!$B$9)</x:f>
        <x:v>0</x:v>
      </x:c>
      <x:c r="O7" s="57" t="b">
        <x:f>AND(P7&lt;&gt;"",ABS(L7)&lt;='Assumptions'!$B$10)</x:f>
        <x:v>0</x:v>
      </x:c>
      <x:c r="P7" s="53" t="n">
        <x:v>43221</x:v>
      </x:c>
      <x:c r="Q7" s="54" t="n">
        <x:v>6590.459</x:v>
      </x:c>
      <x:c r="R7" s="55" t="n">
        <x:v>0.00581</x:v>
      </x:c>
      <x:c r="S7" s="57" t="str">
        <x:f>IF(I7,"DAMAGE SKIP",IF(AND(M7,N7),IF(O7,"TUESDAY RE-ENTRY","GAP/MOM SKIP"),"BASELINE"))</x:f>
        <x:v>BASELINE</x:v>
      </x:c>
      <x:c r="T7" s="56" t="n">
        <x:f>IF(I7,0,IF(AND(M7,N7),IF(O7,R7,0),G7))</x:f>
        <x:v>-0.00607</x:v>
      </x:c>
      <x:c r="U7" s="56" t="n">
        <x:f>G7*'Assumptions'!$B$6</x:f>
        <x:v>-0.068591</x:v>
      </x:c>
      <x:c r="V7" s="56" t="n">
        <x:f>T7*'Assumptions'!$B$6</x:f>
        <x:v>-0.068591</x:v>
      </x:c>
      <x:c r="W7" s="56" t="n">
        <x:f>V7-U7</x:f>
        <x:v>0</x:v>
      </x:c>
      <x:c r="X7" s="58" t="n">
        <x:f>X6*(1+U7)</x:f>
        <x:v>93.7041239660036</x:v>
      </x:c>
      <x:c r="Y7" s="58" t="n">
        <x:f>MAX(Y6,X7)</x:f>
        <x:v>124.5436</x:v>
      </x:c>
      <x:c r="Z7" s="59" t="n">
        <x:f>X7/Y7-1</x:f>
        <x:v>-0.2476199181169999</x:v>
      </x:c>
      <x:c r="AA7" s="58" t="n">
        <x:f>AA6*(1+V7)</x:f>
        <x:v>93.7041239660036</x:v>
      </x:c>
      <x:c r="AB7" s="58" t="n">
        <x:f>MAX(AB6,AA7)</x:f>
        <x:v>124.5436</x:v>
      </x:c>
      <x:c r="AC7" s="59" t="n">
        <x:f>AA7/AB7-1</x:f>
        <x:v>-0.2476199181169999</x:v>
      </x:c>
      <x:c r="AD7" s="60" t="n">
        <x:f>AA7-X7</x:f>
        <x:v>0</x:v>
      </x:c>
      <x:c r="AE7" s="28" t="str">
        <x:v>Baseline trade unchanged.</x:v>
      </x:c>
    </x:row>
    <x:row r="8" ht="18" customHeight="1">
      <x:c r="A8" s="23" t="n">
        <x:v>4</x:v>
      </x:c>
      <x:c r="B8" s="53" t="n">
        <x:v>43227</x:v>
      </x:c>
      <x:c r="C8" s="53" t="n">
        <x:v>43231</x:v>
      </x:c>
      <x:c r="D8" s="23" t="str">
        <x:v>TO</x:v>
      </x:c>
      <x:c r="E8" s="54" t="n">
        <x:v>6796.769</x:v>
      </x:c>
      <x:c r="F8" s="54" t="n">
        <x:v>6952.159</x:v>
      </x:c>
      <x:c r="G8" s="55" t="n">
        <x:v>0.02286</x:v>
      </x:c>
      <x:c r="H8" s="56" t="n">
        <x:f>SUM(T5:T7)</x:f>
        <x:v>-0.001360000000000001</x:v>
      </x:c>
      <x:c r="I8" s="57" t="b">
        <x:f>AND(A8&gt;3,H8&lt;='Assumptions'!$B$7)</x:f>
        <x:v>0</x:v>
      </x:c>
      <x:c r="J8" s="55" t="n">
        <x:v>0.004433282053328158</x:v>
      </x:c>
      <x:c r="K8" s="55"/>
      <x:c r="L8" s="55" t="n">
        <x:v>0.005613400880833064</x:v>
      </x:c>
      <x:c r="M8" s="57" t="b">
        <x:f>J8&gt;='Assumptions'!$B$8</x:f>
        <x:v>0</x:v>
      </x:c>
      <x:c r="N8" s="57" t="b">
        <x:f>AND(K8&lt;&gt;"",K8&lt;='Assumptions'!$B$9)</x:f>
        <x:v>0</x:v>
      </x:c>
      <x:c r="O8" s="57" t="b">
        <x:f>AND(P8&lt;&gt;"",ABS(L8)&lt;='Assumptions'!$B$10)</x:f>
        <x:v>0</x:v>
      </x:c>
      <x:c r="P8" s="53" t="n">
        <x:v>43228</x:v>
      </x:c>
      <x:c r="Q8" s="54" t="n">
        <x:v>6807.36</x:v>
      </x:c>
      <x:c r="R8" s="55" t="n">
        <x:v>0.02127</x:v>
      </x:c>
      <x:c r="S8" s="57" t="str">
        <x:f>IF(I8,"DAMAGE SKIP",IF(AND(M8,N8),IF(O8,"TUESDAY RE-ENTRY","GAP/MOM SKIP"),"BASELINE"))</x:f>
        <x:v>BASELINE</x:v>
      </x:c>
      <x:c r="T8" s="56" t="n">
        <x:f>IF(I8,0,IF(AND(M8,N8),IF(O8,R8,0),G8))</x:f>
        <x:v>0.02286</x:v>
      </x:c>
      <x:c r="U8" s="56" t="n">
        <x:f>G8*'Assumptions'!$B$6</x:f>
        <x:v>0.258318</x:v>
      </x:c>
      <x:c r="V8" s="56" t="n">
        <x:f>T8*'Assumptions'!$B$6</x:f>
        <x:v>0.258318</x:v>
      </x:c>
      <x:c r="W8" s="56" t="n">
        <x:f>V8-U8</x:f>
        <x:v>0</x:v>
      </x:c>
      <x:c r="X8" s="58" t="n">
        <x:f>X7*(1+U8)</x:f>
        <x:v>117.90958586065373</x:v>
      </x:c>
      <x:c r="Y8" s="58" t="n">
        <x:f>MAX(Y7,X8)</x:f>
        <x:v>124.5436</x:v>
      </x:c>
      <x:c r="Z8" s="59" t="n">
        <x:f>X8/Y8-1</x:f>
        <x:v>-0.05326660012514706</x:v>
      </x:c>
      <x:c r="AA8" s="58" t="n">
        <x:f>AA7*(1+V8)</x:f>
        <x:v>117.90958586065373</x:v>
      </x:c>
      <x:c r="AB8" s="58" t="n">
        <x:f>MAX(AB7,AA8)</x:f>
        <x:v>124.5436</x:v>
      </x:c>
      <x:c r="AC8" s="59" t="n">
        <x:f>AA8/AB8-1</x:f>
        <x:v>-0.05326660012514706</x:v>
      </x:c>
      <x:c r="AD8" s="60" t="n">
        <x:f>AA8-X8</x:f>
        <x:v>0</x:v>
      </x:c>
      <x:c r="AE8" s="28" t="str">
        <x:v>Baseline trade unchanged.</x:v>
      </x:c>
    </x:row>
    <x:row r="9" ht="18" customHeight="1">
      <x:c r="A9" s="23" t="n">
        <x:v>5</x:v>
      </x:c>
      <x:c r="B9" s="53" t="n">
        <x:v>43234</x:v>
      </x:c>
      <x:c r="C9" s="53" t="n">
        <x:v>43236</x:v>
      </x:c>
      <x:c r="D9" s="23" t="str">
        <x:v>BH</x:v>
      </x:c>
      <x:c r="E9" s="54" t="n">
        <x:v>6967.459</x:v>
      </x:c>
      <x:c r="F9" s="54" t="n">
        <x:v>6939.589164</x:v>
      </x:c>
      <x:c r="G9" s="55" t="n">
        <x:v>-0.004</x:v>
      </x:c>
      <x:c r="H9" s="56" t="n">
        <x:f>SUM(T6:T8)</x:f>
        <x:v>-0.00022000000000000144</x:v>
      </x:c>
      <x:c r="I9" s="57" t="b">
        <x:f>AND(A9&gt;3,H9&lt;='Assumptions'!$B$7)</x:f>
        <x:v>0</x:v>
      </x:c>
      <x:c r="J9" s="55" t="n">
        <x:v>0.0022007551898626243</x:v>
      </x:c>
      <x:c r="K9" s="55" t="n">
        <x:v>0.05041524944232356</x:v>
      </x:c>
      <x:c r="L9" s="55" t="n">
        <x:v>-0.006370925301055652</x:v>
      </x:c>
      <x:c r="M9" s="57" t="b">
        <x:f>J9&gt;='Assumptions'!$B$8</x:f>
        <x:v>0</x:v>
      </x:c>
      <x:c r="N9" s="57" t="b">
        <x:f>AND(K9&lt;&gt;"",K9&lt;='Assumptions'!$B$9)</x:f>
        <x:v>0</x:v>
      </x:c>
      <x:c r="O9" s="57" t="b">
        <x:f>AND(P9&lt;&gt;"",ABS(L9)&lt;='Assumptions'!$B$10)</x:f>
        <x:v>0</x:v>
      </x:c>
      <x:c r="P9" s="53" t="n">
        <x:v>43235</x:v>
      </x:c>
      <x:c r="Q9" s="54" t="n">
        <x:v>6907.26</x:v>
      </x:c>
      <x:c r="R9" s="55" t="n">
        <x:v>0.00468</x:v>
      </x:c>
      <x:c r="S9" s="57" t="str">
        <x:f>IF(I9,"DAMAGE SKIP",IF(AND(M9,N9),IF(O9,"TUESDAY RE-ENTRY","GAP/MOM SKIP"),"BASELINE"))</x:f>
        <x:v>BASELINE</x:v>
      </x:c>
      <x:c r="T9" s="56" t="n">
        <x:f>IF(I9,0,IF(AND(M9,N9),IF(O9,R9,0),G9))</x:f>
        <x:v>-0.004</x:v>
      </x:c>
      <x:c r="U9" s="56" t="n">
        <x:f>G9*'Assumptions'!$B$6</x:f>
        <x:v>-0.045200000000000004</x:v>
      </x:c>
      <x:c r="V9" s="56" t="n">
        <x:f>T9*'Assumptions'!$B$6</x:f>
        <x:v>-0.045200000000000004</x:v>
      </x:c>
      <x:c r="W9" s="56" t="n">
        <x:f>V9-U9</x:f>
        <x:v>0</x:v>
      </x:c>
      <x:c r="X9" s="58" t="n">
        <x:f>X8*(1+U9)</x:f>
        <x:v>112.58007257975218</x:v>
      </x:c>
      <x:c r="Y9" s="58" t="n">
        <x:f>MAX(Y8,X9)</x:f>
        <x:v>124.5436</x:v>
      </x:c>
      <x:c r="Z9" s="59" t="n">
        <x:f>X9/Y9-1</x:f>
        <x:v>-0.09605894979949037</x:v>
      </x:c>
      <x:c r="AA9" s="58" t="n">
        <x:f>AA8*(1+V9)</x:f>
        <x:v>112.58007257975218</x:v>
      </x:c>
      <x:c r="AB9" s="58" t="n">
        <x:f>MAX(AB8,AA9)</x:f>
        <x:v>124.5436</x:v>
      </x:c>
      <x:c r="AC9" s="59" t="n">
        <x:f>AA9/AB9-1</x:f>
        <x:v>-0.09605894979949037</x:v>
      </x:c>
      <x:c r="AD9" s="60" t="n">
        <x:f>AA9-X9</x:f>
        <x:v>0</x:v>
      </x:c>
      <x:c r="AE9" s="28" t="str">
        <x:v>Baseline trade unchanged.</x:v>
      </x:c>
    </x:row>
    <x:row r="10" ht="18" customHeight="1">
      <x:c r="A10" s="23" t="n">
        <x:v>6</x:v>
      </x:c>
      <x:c r="B10" s="53" t="n">
        <x:v>43241</x:v>
      </x:c>
      <x:c r="C10" s="53" t="n">
        <x:v>43244</x:v>
      </x:c>
      <x:c r="D10" s="23" t="str">
        <x:v>TSL2</x:v>
      </x:c>
      <x:c r="E10" s="54" t="n">
        <x:v>6917.269</x:v>
      </x:c>
      <x:c r="F10" s="54" t="n">
        <x:v>6889.599924</x:v>
      </x:c>
      <x:c r="G10" s="55" t="n">
        <x:v>-0.004</x:v>
      </x:c>
      <x:c r="H10" s="56" t="n">
        <x:f>SUM(T7:T9)</x:f>
        <x:v>0.01279</x:v>
      </x:c>
      <x:c r="I10" s="57" t="b">
        <x:f>AND(A10&gt;3,H10&lt;='Assumptions'!$B$7)</x:f>
        <x:v>0</x:v>
      </x:c>
      <x:c r="J10" s="55" t="n">
        <x:v>0.007341056515067557</x:v>
      </x:c>
      <x:c r="K10" s="55" t="n">
        <x:v>0.03182403031106329</x:v>
      </x:c>
      <x:c r="L10" s="55" t="n">
        <x:v>0.010195193783876899</x:v>
      </x:c>
      <x:c r="M10" s="57" t="b">
        <x:f>J10&gt;='Assumptions'!$B$8</x:f>
        <x:v>0</x:v>
      </x:c>
      <x:c r="N10" s="57" t="b">
        <x:f>AND(K10&lt;&gt;"",K10&lt;='Assumptions'!$B$9)</x:f>
        <x:v>0</x:v>
      </x:c>
      <x:c r="O10" s="57" t="b">
        <x:f>AND(P10&lt;&gt;"",ABS(L10)&lt;='Assumptions'!$B$10)</x:f>
        <x:v>0</x:v>
      </x:c>
      <x:c r="P10" s="53" t="n">
        <x:v>43242</x:v>
      </x:c>
      <x:c r="Q10" s="54" t="n">
        <x:v>6934.57</x:v>
      </x:c>
      <x:c r="R10" s="55" t="n">
        <x:v>-0.00648</x:v>
      </x:c>
      <x:c r="S10" s="57" t="str">
        <x:f>IF(I10,"DAMAGE SKIP",IF(AND(M10,N10),IF(O10,"TUESDAY RE-ENTRY","GAP/MOM SKIP"),"BASELINE"))</x:f>
        <x:v>BASELINE</x:v>
      </x:c>
      <x:c r="T10" s="56" t="n">
        <x:f>IF(I10,0,IF(AND(M10,N10),IF(O10,R10,0),G10))</x:f>
        <x:v>-0.004</x:v>
      </x:c>
      <x:c r="U10" s="56" t="n">
        <x:f>G10*'Assumptions'!$B$6</x:f>
        <x:v>-0.045200000000000004</x:v>
      </x:c>
      <x:c r="V10" s="56" t="n">
        <x:f>T10*'Assumptions'!$B$6</x:f>
        <x:v>-0.045200000000000004</x:v>
      </x:c>
      <x:c r="W10" s="56" t="n">
        <x:f>V10-U10</x:f>
        <x:v>0</x:v>
      </x:c>
      <x:c r="X10" s="58" t="n">
        <x:f>X9*(1+U10)</x:f>
        <x:v>107.49145329914738</x:v>
      </x:c>
      <x:c r="Y10" s="58" t="n">
        <x:f>MAX(Y9,X10)</x:f>
        <x:v>124.5436</x:v>
      </x:c>
      <x:c r="Z10" s="59" t="n">
        <x:f>X10/Y10-1</x:f>
        <x:v>-0.1369170852685535</x:v>
      </x:c>
      <x:c r="AA10" s="58" t="n">
        <x:f>AA9*(1+V10)</x:f>
        <x:v>107.49145329914738</x:v>
      </x:c>
      <x:c r="AB10" s="58" t="n">
        <x:f>MAX(AB9,AA10)</x:f>
        <x:v>124.5436</x:v>
      </x:c>
      <x:c r="AC10" s="59" t="n">
        <x:f>AA10/AB10-1</x:f>
        <x:v>-0.1369170852685535</x:v>
      </x:c>
      <x:c r="AD10" s="60" t="n">
        <x:f>AA10-X10</x:f>
        <x:v>0</x:v>
      </x:c>
      <x:c r="AE10" s="28" t="str">
        <x:v>Baseline trade unchanged.</x:v>
      </x:c>
    </x:row>
    <x:row r="11" ht="18" customHeight="1">
      <x:c r="A11" s="23" t="n">
        <x:v>7</x:v>
      </x:c>
      <x:c r="B11" s="53" t="n">
        <x:v>43249</x:v>
      </x:c>
      <x:c r="C11" s="53" t="n">
        <x:v>43252</x:v>
      </x:c>
      <x:c r="D11" s="23" t="str">
        <x:v>TO</x:v>
      </x:c>
      <x:c r="E11" s="54" t="n">
        <x:v>6923.56</x:v>
      </x:c>
      <x:c r="F11" s="54" t="n">
        <x:v>7080.37</x:v>
      </x:c>
      <x:c r="G11" s="55" t="n">
        <x:v>0.02264</x:v>
      </x:c>
      <x:c r="H11" s="56" t="n">
        <x:f>SUM(T8:T10)</x:f>
        <x:v>0.014859999999999998</x:v>
      </x:c>
      <x:c r="I11" s="57" t="b">
        <x:f>AND(A11&gt;3,H11&lt;='Assumptions'!$B$7)</x:f>
        <x:v>0</x:v>
      </x:c>
      <x:c r="J11" s="55" t="n">
        <x:v>-0.0041867374960607995</x:v>
      </x:c>
      <x:c r="K11" s="55" t="n">
        <x:v>0.04727840070435296</x:v>
      </x:c>
      <x:c r="L11" s="55"/>
      <x:c r="M11" s="57" t="b">
        <x:f>J11&gt;='Assumptions'!$B$8</x:f>
        <x:v>0</x:v>
      </x:c>
      <x:c r="N11" s="57" t="b">
        <x:f>AND(K11&lt;&gt;"",K11&lt;='Assumptions'!$B$9)</x:f>
        <x:v>0</x:v>
      </x:c>
      <x:c r="O11" s="57" t="b">
        <x:f>AND(P11&lt;&gt;"",ABS(L11)&lt;='Assumptions'!$B$10)</x:f>
        <x:v>0</x:v>
      </x:c>
      <x:c r="P11" s="53"/>
      <x:c r="Q11" s="54"/>
      <x:c r="R11" s="55"/>
      <x:c r="S11" s="57" t="str">
        <x:f>IF(I11,"DAMAGE SKIP",IF(AND(M11,N11),IF(O11,"TUESDAY RE-ENTRY","GAP/MOM SKIP"),"BASELINE"))</x:f>
        <x:v>BASELINE</x:v>
      </x:c>
      <x:c r="T11" s="56" t="n">
        <x:f>IF(I11,0,IF(AND(M11,N11),IF(O11,R11,0),G11))</x:f>
        <x:v>0.02264</x:v>
      </x:c>
      <x:c r="U11" s="56" t="n">
        <x:f>G11*'Assumptions'!$B$6</x:f>
        <x:v>0.255832</x:v>
      </x:c>
      <x:c r="V11" s="56" t="n">
        <x:f>T11*'Assumptions'!$B$6</x:f>
        <x:v>0.255832</x:v>
      </x:c>
      <x:c r="W11" s="56" t="n">
        <x:f>V11-U11</x:f>
        <x:v>0</x:v>
      </x:c>
      <x:c r="X11" s="58" t="n">
        <x:f>X10*(1+U11)</x:f>
        <x:v>134.99120677957487</x:v>
      </x:c>
      <x:c r="Y11" s="58" t="n">
        <x:f>MAX(Y10,X11)</x:f>
        <x:v>134.99120677957487</x:v>
      </x:c>
      <x:c r="Z11" s="59" t="n">
        <x:f>X11/Y11-1</x:f>
        <x:v>0</x:v>
      </x:c>
      <x:c r="AA11" s="58" t="n">
        <x:f>AA10*(1+V11)</x:f>
        <x:v>134.99120677957487</x:v>
      </x:c>
      <x:c r="AB11" s="58" t="n">
        <x:f>MAX(AB10,AA11)</x:f>
        <x:v>134.99120677957487</x:v>
      </x:c>
      <x:c r="AC11" s="59" t="n">
        <x:f>AA11/AB11-1</x:f>
        <x:v>0</x:v>
      </x:c>
      <x:c r="AD11" s="60" t="n">
        <x:f>AA11-X11</x:f>
        <x:v>0</x:v>
      </x:c>
      <x:c r="AE11" s="28" t="str">
        <x:v>Baseline trade unchanged.</x:v>
      </x:c>
    </x:row>
    <x:row r="12" ht="18" customHeight="1">
      <x:c r="A12" s="23" t="n">
        <x:v>8</x:v>
      </x:c>
      <x:c r="B12" s="53" t="n">
        <x:v>43255</x:v>
      </x:c>
      <x:c r="C12" s="53" t="n">
        <x:v>43259</x:v>
      </x:c>
      <x:c r="D12" s="23" t="str">
        <x:v>TO</x:v>
      </x:c>
      <x:c r="E12" s="54" t="n">
        <x:v>7098.059</x:v>
      </x:c>
      <x:c r="F12" s="54" t="n">
        <x:v>7151.26</x:v>
      </x:c>
      <x:c r="G12" s="55" t="n">
        <x:v>0.00749</x:v>
      </x:c>
      <x:c r="H12" s="56" t="n">
        <x:f>SUM(T9:T11)</x:f>
        <x:v>0.01464</x:v>
      </x:c>
      <x:c r="I12" s="57" t="b">
        <x:f>AND(A12&gt;3,H12&lt;='Assumptions'!$B$7)</x:f>
        <x:v>0</x:v>
      </x:c>
      <x:c r="J12" s="55" t="n">
        <x:v>0.002498315765983916</x:v>
      </x:c>
      <x:c r="K12" s="55" t="n">
        <x:v>0.06771779172936232</x:v>
      </x:c>
      <x:c r="L12" s="55" t="n">
        <x:v>0.01117691723614267</x:v>
      </x:c>
      <x:c r="M12" s="57" t="b">
        <x:f>J12&gt;='Assumptions'!$B$8</x:f>
        <x:v>0</x:v>
      </x:c>
      <x:c r="N12" s="57" t="b">
        <x:f>AND(K12&lt;&gt;"",K12&lt;='Assumptions'!$B$9)</x:f>
        <x:v>0</x:v>
      </x:c>
      <x:c r="O12" s="57" t="b">
        <x:f>AND(P12&lt;&gt;"",ABS(L12)&lt;='Assumptions'!$B$10)</x:f>
        <x:v>0</x:v>
      </x:c>
      <x:c r="P12" s="53" t="n">
        <x:v>43256</x:v>
      </x:c>
      <x:c r="Q12" s="54" t="n">
        <x:v>7159.97</x:v>
      </x:c>
      <x:c r="R12" s="55" t="n">
        <x:v>-0.00121</x:v>
      </x:c>
      <x:c r="S12" s="57" t="str">
        <x:f>IF(I12,"DAMAGE SKIP",IF(AND(M12,N12),IF(O12,"TUESDAY RE-ENTRY","GAP/MOM SKIP"),"BASELINE"))</x:f>
        <x:v>BASELINE</x:v>
      </x:c>
      <x:c r="T12" s="56" t="n">
        <x:f>IF(I12,0,IF(AND(M12,N12),IF(O12,R12,0),G12))</x:f>
        <x:v>0.00749</x:v>
      </x:c>
      <x:c r="U12" s="56" t="n">
        <x:f>G12*'Assumptions'!$B$6</x:f>
        <x:v>0.084637</x:v>
      </x:c>
      <x:c r="V12" s="56" t="n">
        <x:f>T12*'Assumptions'!$B$6</x:f>
        <x:v>0.084637</x:v>
      </x:c>
      <x:c r="W12" s="56" t="n">
        <x:f>V12-U12</x:f>
        <x:v>0</x:v>
      </x:c>
      <x:c r="X12" s="58" t="n">
        <x:f>X11*(1+U12)</x:f>
        <x:v>146.41645754777775</x:v>
      </x:c>
      <x:c r="Y12" s="58" t="n">
        <x:f>MAX(Y11,X12)</x:f>
        <x:v>146.41645754777775</x:v>
      </x:c>
      <x:c r="Z12" s="59" t="n">
        <x:f>X12/Y12-1</x:f>
        <x:v>0</x:v>
      </x:c>
      <x:c r="AA12" s="58" t="n">
        <x:f>AA11*(1+V12)</x:f>
        <x:v>146.41645754777775</x:v>
      </x:c>
      <x:c r="AB12" s="58" t="n">
        <x:f>MAX(AB11,AA12)</x:f>
        <x:v>146.41645754777775</x:v>
      </x:c>
      <x:c r="AC12" s="59" t="n">
        <x:f>AA12/AB12-1</x:f>
        <x:v>0</x:v>
      </x:c>
      <x:c r="AD12" s="60" t="n">
        <x:f>AA12-X12</x:f>
        <x:v>0</x:v>
      </x:c>
      <x:c r="AE12" s="28" t="str">
        <x:v>Baseline trade unchanged.</x:v>
      </x:c>
    </x:row>
    <x:row r="13" ht="18" customHeight="1">
      <x:c r="A13" s="23" t="n">
        <x:v>9</x:v>
      </x:c>
      <x:c r="B13" s="53" t="n">
        <x:v>43262</x:v>
      </x:c>
      <x:c r="C13" s="53" t="n">
        <x:v>43266</x:v>
      </x:c>
      <x:c r="D13" s="23" t="str">
        <x:v>TO</x:v>
      </x:c>
      <x:c r="E13" s="54" t="n">
        <x:v>7143.46</x:v>
      </x:c>
      <x:c r="F13" s="54" t="n">
        <x:v>7254.959</x:v>
      </x:c>
      <x:c r="G13" s="55" t="n">
        <x:v>0.0156</x:v>
      </x:c>
      <x:c r="H13" s="56" t="n">
        <x:f>SUM(T10:T12)</x:f>
        <x:v>0.02613</x:v>
      </x:c>
      <x:c r="I13" s="57" t="b">
        <x:f>AND(A13&gt;3,H13&lt;='Assumptions'!$B$7)</x:f>
        <x:v>0</x:v>
      </x:c>
      <x:c r="J13" s="55" t="n">
        <x:v>-0.0010907168806616463</x:v>
      </x:c>
      <x:c r="K13" s="55" t="n">
        <x:v>0.028254388460729585</x:v>
      </x:c>
      <x:c r="L13" s="55" t="n">
        <x:v>0.003952069874039177</x:v>
      </x:c>
      <x:c r="M13" s="57" t="b">
        <x:f>J13&gt;='Assumptions'!$B$8</x:f>
        <x:v>0</x:v>
      </x:c>
      <x:c r="N13" s="57" t="b">
        <x:f>AND(K13&lt;&gt;"",K13&lt;='Assumptions'!$B$9)</x:f>
        <x:v>0</x:v>
      </x:c>
      <x:c r="O13" s="57" t="b">
        <x:f>AND(P13&lt;&gt;"",ABS(L13)&lt;='Assumptions'!$B$10)</x:f>
        <x:v>1</x:v>
      </x:c>
      <x:c r="P13" s="53" t="n">
        <x:v>43263</x:v>
      </x:c>
      <x:c r="Q13" s="54" t="n">
        <x:v>7180.46</x:v>
      </x:c>
      <x:c r="R13" s="55" t="n">
        <x:v>0.01037</x:v>
      </x:c>
      <x:c r="S13" s="57" t="str">
        <x:f>IF(I13,"DAMAGE SKIP",IF(AND(M13,N13),IF(O13,"TUESDAY RE-ENTRY","GAP/MOM SKIP"),"BASELINE"))</x:f>
        <x:v>BASELINE</x:v>
      </x:c>
      <x:c r="T13" s="56" t="n">
        <x:f>IF(I13,0,IF(AND(M13,N13),IF(O13,R13,0),G13))</x:f>
        <x:v>0.0156</x:v>
      </x:c>
      <x:c r="U13" s="56" t="n">
        <x:f>G13*'Assumptions'!$B$6</x:f>
        <x:v>0.17628</x:v>
      </x:c>
      <x:c r="V13" s="56" t="n">
        <x:f>T13*'Assumptions'!$B$6</x:f>
        <x:v>0.17628</x:v>
      </x:c>
      <x:c r="W13" s="56" t="n">
        <x:f>V13-U13</x:f>
        <x:v>0</x:v>
      </x:c>
      <x:c r="X13" s="58" t="n">
        <x:f>X12*(1+U13)</x:f>
        <x:v>172.22675068430001</x:v>
      </x:c>
      <x:c r="Y13" s="58" t="n">
        <x:f>MAX(Y12,X13)</x:f>
        <x:v>172.22675068430001</x:v>
      </x:c>
      <x:c r="Z13" s="59" t="n">
        <x:f>X13/Y13-1</x:f>
        <x:v>0</x:v>
      </x:c>
      <x:c r="AA13" s="58" t="n">
        <x:f>AA12*(1+V13)</x:f>
        <x:v>172.22675068430001</x:v>
      </x:c>
      <x:c r="AB13" s="58" t="n">
        <x:f>MAX(AB12,AA13)</x:f>
        <x:v>172.22675068430001</x:v>
      </x:c>
      <x:c r="AC13" s="59" t="n">
        <x:f>AA13/AB13-1</x:f>
        <x:v>0</x:v>
      </x:c>
      <x:c r="AD13" s="60" t="n">
        <x:f>AA13-X13</x:f>
        <x:v>0</x:v>
      </x:c>
      <x:c r="AE13" s="28" t="str">
        <x:v>Baseline trade unchanged.</x:v>
      </x:c>
    </x:row>
    <x:row r="14" ht="18" customHeight="1">
      <x:c r="A14" s="23" t="n">
        <x:v>10</x:v>
      </x:c>
      <x:c r="B14" s="53" t="n">
        <x:v>43269</x:v>
      </x:c>
      <x:c r="C14" s="53" t="n">
        <x:v>43273</x:v>
      </x:c>
      <x:c r="D14" s="23" t="str">
        <x:v>TSL4</x:v>
      </x:c>
      <x:c r="E14" s="54" t="n">
        <x:v>7206.469</x:v>
      </x:c>
      <x:c r="F14" s="54" t="n">
        <x:v>7177.643124</x:v>
      </x:c>
      <x:c r="G14" s="55" t="n">
        <x:v>-0.004</x:v>
      </x:c>
      <x:c r="H14" s="56" t="n">
        <x:f>SUM(T11:T13)</x:f>
        <x:v>0.04573</x:v>
      </x:c>
      <x:c r="I14" s="57" t="b">
        <x:f>AND(A14&gt;3,H14&lt;='Assumptions'!$B$7)</x:f>
        <x:v>0</x:v>
      </x:c>
      <x:c r="J14" s="55" t="n">
        <x:v>-0.006683704208390373</x:v>
      </x:c>
      <x:c r="K14" s="55" t="n">
        <x:v>0.051403529551107496</x:v>
      </x:c>
      <x:c r="L14" s="55" t="n">
        <x:v>-0.013328352987910908</x:v>
      </x:c>
      <x:c r="M14" s="57" t="b">
        <x:f>J14&gt;='Assumptions'!$B$8</x:f>
        <x:v>0</x:v>
      </x:c>
      <x:c r="N14" s="57" t="b">
        <x:f>AND(K14&lt;&gt;"",K14&lt;='Assumptions'!$B$9)</x:f>
        <x:v>0</x:v>
      </x:c>
      <x:c r="O14" s="57" t="b">
        <x:f>AND(P14&lt;&gt;"",ABS(L14)&lt;='Assumptions'!$B$10)</x:f>
        <x:v>0</x:v>
      </x:c>
      <x:c r="P14" s="53" t="n">
        <x:v>43270</x:v>
      </x:c>
      <x:c r="Q14" s="54" t="n">
        <x:v>7155.46</x:v>
      </x:c>
      <x:c r="R14" s="55" t="n">
        <x:v>0.0031</x:v>
      </x:c>
      <x:c r="S14" s="57" t="str">
        <x:f>IF(I14,"DAMAGE SKIP",IF(AND(M14,N14),IF(O14,"TUESDAY RE-ENTRY","GAP/MOM SKIP"),"BASELINE"))</x:f>
        <x:v>BASELINE</x:v>
      </x:c>
      <x:c r="T14" s="56" t="n">
        <x:f>IF(I14,0,IF(AND(M14,N14),IF(O14,R14,0),G14))</x:f>
        <x:v>-0.004</x:v>
      </x:c>
      <x:c r="U14" s="56" t="n">
        <x:f>G14*'Assumptions'!$B$6</x:f>
        <x:v>-0.045200000000000004</x:v>
      </x:c>
      <x:c r="V14" s="56" t="n">
        <x:f>T14*'Assumptions'!$B$6</x:f>
        <x:v>-0.045200000000000004</x:v>
      </x:c>
      <x:c r="W14" s="56" t="n">
        <x:f>V14-U14</x:f>
        <x:v>0</x:v>
      </x:c>
      <x:c r="X14" s="58" t="n">
        <x:f>X13*(1+U14)</x:f>
        <x:v>164.44210155336964</x:v>
      </x:c>
      <x:c r="Y14" s="58" t="n">
        <x:f>MAX(Y13,X14)</x:f>
        <x:v>172.22675068430001</x:v>
      </x:c>
      <x:c r="Z14" s="59" t="n">
        <x:f>X14/Y14-1</x:f>
        <x:v>-0.04520000000000013</x:v>
      </x:c>
      <x:c r="AA14" s="58" t="n">
        <x:f>AA13*(1+V14)</x:f>
        <x:v>164.44210155336964</x:v>
      </x:c>
      <x:c r="AB14" s="58" t="n">
        <x:f>MAX(AB13,AA14)</x:f>
        <x:v>172.22675068430001</x:v>
      </x:c>
      <x:c r="AC14" s="59" t="n">
        <x:f>AA14/AB14-1</x:f>
        <x:v>-0.04520000000000013</x:v>
      </x:c>
      <x:c r="AD14" s="60" t="n">
        <x:f>AA14-X14</x:f>
        <x:v>0</x:v>
      </x:c>
      <x:c r="AE14" s="28" t="str">
        <x:v>Baseline trade unchanged.</x:v>
      </x:c>
    </x:row>
    <x:row r="15" ht="18" customHeight="1">
      <x:c r="A15" s="23" t="n">
        <x:v>11</x:v>
      </x:c>
      <x:c r="B15" s="53" t="n">
        <x:v>43276</x:v>
      </x:c>
      <x:c r="C15" s="53" t="n">
        <x:v>43278</x:v>
      </x:c>
      <x:c r="D15" s="23" t="str">
        <x:v>BH</x:v>
      </x:c>
      <x:c r="E15" s="54" t="n">
        <x:v>7134.27</x:v>
      </x:c>
      <x:c r="F15" s="54" t="n">
        <x:v>7105.73292</x:v>
      </x:c>
      <x:c r="G15" s="55" t="n">
        <x:v>-0.004</x:v>
      </x:c>
      <x:c r="H15" s="56" t="n">
        <x:f>SUM(T12:T14)</x:f>
        <x:v>0.01909</x:v>
      </x:c>
      <x:c r="I15" s="57" t="b">
        <x:f>AND(A15&gt;3,H15&lt;='Assumptions'!$B$7)</x:f>
        <x:v>0</x:v>
      </x:c>
      <x:c r="J15" s="55" t="n">
        <x:v>-0.009715085241232213</x:v>
      </x:c>
      <x:c r="K15" s="55" t="n">
        <x:v>0.03609440360387128</x:v>
      </x:c>
      <x:c r="L15" s="55" t="n">
        <x:v>-0.018974300781786746</x:v>
      </x:c>
      <x:c r="M15" s="57" t="b">
        <x:f>J15&gt;='Assumptions'!$B$8</x:f>
        <x:v>0</x:v>
      </x:c>
      <x:c r="N15" s="57" t="b">
        <x:f>AND(K15&lt;&gt;"",K15&lt;='Assumptions'!$B$9)</x:f>
        <x:v>0</x:v>
      </x:c>
      <x:c r="O15" s="57" t="b">
        <x:f>AND(P15&lt;&gt;"",ABS(L15)&lt;='Assumptions'!$B$10)</x:f>
        <x:v>0</x:v>
      </x:c>
      <x:c r="P15" s="53" t="n">
        <x:v>43277</x:v>
      </x:c>
      <x:c r="Q15" s="54" t="n">
        <x:v>7064.769</x:v>
      </x:c>
      <x:c r="R15" s="55" t="n">
        <x:v>0.00579</x:v>
      </x:c>
      <x:c r="S15" s="57" t="str">
        <x:f>IF(I15,"DAMAGE SKIP",IF(AND(M15,N15),IF(O15,"TUESDAY RE-ENTRY","GAP/MOM SKIP"),"BASELINE"))</x:f>
        <x:v>BASELINE</x:v>
      </x:c>
      <x:c r="T15" s="56" t="n">
        <x:f>IF(I15,0,IF(AND(M15,N15),IF(O15,R15,0),G15))</x:f>
        <x:v>-0.004</x:v>
      </x:c>
      <x:c r="U15" s="56" t="n">
        <x:f>G15*'Assumptions'!$B$6</x:f>
        <x:v>-0.045200000000000004</x:v>
      </x:c>
      <x:c r="V15" s="56" t="n">
        <x:f>T15*'Assumptions'!$B$6</x:f>
        <x:v>-0.045200000000000004</x:v>
      </x:c>
      <x:c r="W15" s="56" t="n">
        <x:f>V15-U15</x:f>
        <x:v>0</x:v>
      </x:c>
      <x:c r="X15" s="58" t="n">
        <x:f>X14*(1+U15)</x:f>
        <x:v>157.00931856315734</x:v>
      </x:c>
      <x:c r="Y15" s="58" t="n">
        <x:f>MAX(Y14,X15)</x:f>
        <x:v>172.22675068430001</x:v>
      </x:c>
      <x:c r="Z15" s="59" t="n">
        <x:f>X15/Y15-1</x:f>
        <x:v>-0.08835696000000004</x:v>
      </x:c>
      <x:c r="AA15" s="58" t="n">
        <x:f>AA14*(1+V15)</x:f>
        <x:v>157.00931856315734</x:v>
      </x:c>
      <x:c r="AB15" s="58" t="n">
        <x:f>MAX(AB14,AA15)</x:f>
        <x:v>172.22675068430001</x:v>
      </x:c>
      <x:c r="AC15" s="59" t="n">
        <x:f>AA15/AB15-1</x:f>
        <x:v>-0.08835696000000004</x:v>
      </x:c>
      <x:c r="AD15" s="60" t="n">
        <x:f>AA15-X15</x:f>
        <x:v>0</x:v>
      </x:c>
      <x:c r="AE15" s="28" t="str">
        <x:v>Baseline trade unchanged.</x:v>
      </x:c>
    </x:row>
    <x:row r="16" ht="18" customHeight="1">
      <x:c r="A16" s="23" t="n">
        <x:v>12</x:v>
      </x:c>
      <x:c r="B16" s="53" t="n">
        <x:v>43283</x:v>
      </x:c>
      <x:c r="C16" s="53" t="n">
        <x:v>43283</x:v>
      </x:c>
      <x:c r="D16" s="23" t="str">
        <x:v>CH</x:v>
      </x:c>
      <x:c r="E16" s="54" t="n">
        <x:v>6981.27</x:v>
      </x:c>
      <x:c r="F16" s="54" t="n">
        <x:v>7096.859</x:v>
      </x:c>
      <x:c r="G16" s="55" t="n">
        <x:v>0.01655</x:v>
      </x:c>
      <x:c r="H16" s="56" t="n">
        <x:f>SUM(T13:T15)</x:f>
        <x:v>0.007599999999999999</x:v>
      </x:c>
      <x:c r="I16" s="57" t="b">
        <x:f>AND(A16&gt;3,H16&lt;='Assumptions'!$B$7)</x:f>
        <x:v>0</x:v>
      </x:c>
      <x:c r="J16" s="55" t="n">
        <x:v>-0.01020803116852187</x:v>
      </x:c>
      <x:c r="K16" s="55" t="n">
        <x:v>-0.0041731207289295025</x:v>
      </x:c>
      <x:c r="L16" s="55" t="n">
        <x:v>0.010168478327172492</x:v>
      </x:c>
      <x:c r="M16" s="57" t="b">
        <x:f>J16&gt;='Assumptions'!$B$8</x:f>
        <x:v>0</x:v>
      </x:c>
      <x:c r="N16" s="57" t="b">
        <x:f>AND(K16&lt;&gt;"",K16&lt;='Assumptions'!$B$9)</x:f>
        <x:v>0</x:v>
      </x:c>
      <x:c r="O16" s="57" t="b">
        <x:f>AND(P16&lt;&gt;"",ABS(L16)&lt;='Assumptions'!$B$10)</x:f>
        <x:v>0</x:v>
      </x:c>
      <x:c r="P16" s="53" t="n">
        <x:v>43284</x:v>
      </x:c>
      <x:c r="Q16" s="54" t="n">
        <x:v>7121.87</x:v>
      </x:c>
      <x:c r="R16" s="55" t="n">
        <x:v>-0.00351</x:v>
      </x:c>
      <x:c r="S16" s="57" t="str">
        <x:f>IF(I16,"DAMAGE SKIP",IF(AND(M16,N16),IF(O16,"TUESDAY RE-ENTRY","GAP/MOM SKIP"),"BASELINE"))</x:f>
        <x:v>BASELINE</x:v>
      </x:c>
      <x:c r="T16" s="56" t="n">
        <x:f>IF(I16,0,IF(AND(M16,N16),IF(O16,R16,0),G16))</x:f>
        <x:v>0.01655</x:v>
      </x:c>
      <x:c r="U16" s="56" t="n">
        <x:f>G16*'Assumptions'!$B$6</x:f>
        <x:v>0.187015</x:v>
      </x:c>
      <x:c r="V16" s="56" t="n">
        <x:f>T16*'Assumptions'!$B$6</x:f>
        <x:v>0.187015</x:v>
      </x:c>
      <x:c r="W16" s="56" t="n">
        <x:f>V16-U16</x:f>
        <x:v>0</x:v>
      </x:c>
      <x:c r="X16" s="58" t="n">
        <x:f>X15*(1+U16)</x:f>
        <x:v>186.3724162742462</x:v>
      </x:c>
      <x:c r="Y16" s="58" t="n">
        <x:f>MAX(Y15,X16)</x:f>
        <x:v>186.3724162742462</x:v>
      </x:c>
      <x:c r="Z16" s="59" t="n">
        <x:f>X16/Y16-1</x:f>
        <x:v>0</x:v>
      </x:c>
      <x:c r="AA16" s="58" t="n">
        <x:f>AA15*(1+V16)</x:f>
        <x:v>186.3724162742462</x:v>
      </x:c>
      <x:c r="AB16" s="58" t="n">
        <x:f>MAX(AB15,AA16)</x:f>
        <x:v>186.3724162742462</x:v>
      </x:c>
      <x:c r="AC16" s="59" t="n">
        <x:f>AA16/AB16-1</x:f>
        <x:v>0</x:v>
      </x:c>
      <x:c r="AD16" s="60" t="n">
        <x:f>AA16-X16</x:f>
        <x:v>0</x:v>
      </x:c>
      <x:c r="AE16" s="28" t="str">
        <x:v>Baseline trade unchanged.</x:v>
      </x:c>
    </x:row>
    <x:row r="17" ht="18" customHeight="1">
      <x:c r="A17" s="23" t="n">
        <x:v>13</x:v>
      </x:c>
      <x:c r="B17" s="53" t="n">
        <x:v>43290</x:v>
      </x:c>
      <x:c r="C17" s="53" t="n">
        <x:v>43294</x:v>
      </x:c>
      <x:c r="D17" s="23" t="str">
        <x:v>TO</x:v>
      </x:c>
      <x:c r="E17" s="54" t="n">
        <x:v>7246.769</x:v>
      </x:c>
      <x:c r="F17" s="54" t="n">
        <x:v>7373.869</x:v>
      </x:c>
      <x:c r="G17" s="55" t="n">
        <x:v>0.01753</x:v>
      </x:c>
      <x:c r="H17" s="56" t="n">
        <x:f>SUM(T14:T16)</x:f>
        <x:v>0.008549999999999999</x:v>
      </x:c>
      <x:c r="I17" s="57" t="b">
        <x:f>AND(A17&gt;3,H17&lt;='Assumptions'!$B$7)</x:f>
        <x:v>0</x:v>
      </x:c>
      <x:c r="J17" s="55" t="n">
        <x:v>0.005203031268539604</x:v>
      </x:c>
      <x:c r="K17" s="55" t="n">
        <x:v>0.008897203907791695</x:v>
      </x:c>
      <x:c r="L17" s="55" t="n">
        <x:v>0.010339214482055326</x:v>
      </x:c>
      <x:c r="M17" s="57" t="b">
        <x:f>J17&gt;='Assumptions'!$B$8</x:f>
        <x:v>0</x:v>
      </x:c>
      <x:c r="N17" s="57" t="b">
        <x:f>AND(K17&lt;&gt;"",K17&lt;='Assumptions'!$B$9)</x:f>
        <x:v>0</x:v>
      </x:c>
      <x:c r="O17" s="57" t="b">
        <x:f>AND(P17&lt;&gt;"",ABS(L17)&lt;='Assumptions'!$B$10)</x:f>
        <x:v>0</x:v>
      </x:c>
      <x:c r="P17" s="53" t="n">
        <x:v>43291</x:v>
      </x:c>
      <x:c r="Q17" s="54" t="n">
        <x:v>7285.66</x:v>
      </x:c>
      <x:c r="R17" s="55" t="n">
        <x:v>0.0121</x:v>
      </x:c>
      <x:c r="S17" s="57" t="str">
        <x:f>IF(I17,"DAMAGE SKIP",IF(AND(M17,N17),IF(O17,"TUESDAY RE-ENTRY","GAP/MOM SKIP"),"BASELINE"))</x:f>
        <x:v>BASELINE</x:v>
      </x:c>
      <x:c r="T17" s="56" t="n">
        <x:f>IF(I17,0,IF(AND(M17,N17),IF(O17,R17,0),G17))</x:f>
        <x:v>0.01753</x:v>
      </x:c>
      <x:c r="U17" s="56" t="n">
        <x:f>G17*'Assumptions'!$B$6</x:f>
        <x:v>0.19808900000000002</x:v>
      </x:c>
      <x:c r="V17" s="56" t="n">
        <x:f>T17*'Assumptions'!$B$6</x:f>
        <x:v>0.19808900000000002</x:v>
      </x:c>
      <x:c r="W17" s="56" t="n">
        <x:f>V17-U17</x:f>
        <x:v>0</x:v>
      </x:c>
      <x:c r="X17" s="58" t="n">
        <x:f>X16*(1+U17)</x:f>
        <x:v>223.29074184159535</x:v>
      </x:c>
      <x:c r="Y17" s="58" t="n">
        <x:f>MAX(Y16,X17)</x:f>
        <x:v>223.29074184159535</x:v>
      </x:c>
      <x:c r="Z17" s="59" t="n">
        <x:f>X17/Y17-1</x:f>
        <x:v>0</x:v>
      </x:c>
      <x:c r="AA17" s="58" t="n">
        <x:f>AA16*(1+V17)</x:f>
        <x:v>223.29074184159535</x:v>
      </x:c>
      <x:c r="AB17" s="58" t="n">
        <x:f>MAX(AB16,AA17)</x:f>
        <x:v>223.29074184159535</x:v>
      </x:c>
      <x:c r="AC17" s="59" t="n">
        <x:f>AA17/AB17-1</x:f>
        <x:v>0</x:v>
      </x:c>
      <x:c r="AD17" s="60" t="n">
        <x:f>AA17-X17</x:f>
        <x:v>0</x:v>
      </x:c>
      <x:c r="AE17" s="28" t="str">
        <x:v>Baseline trade unchanged.</x:v>
      </x:c>
    </x:row>
    <x:row r="18" ht="18" customHeight="1">
      <x:c r="A18" s="23" t="n">
        <x:v>14</x:v>
      </x:c>
      <x:c r="B18" s="53" t="n">
        <x:v>43297</x:v>
      </x:c>
      <x:c r="C18" s="53" t="n">
        <x:v>43300</x:v>
      </x:c>
      <x:c r="D18" s="23" t="str">
        <x:v>TSL2</x:v>
      </x:c>
      <x:c r="E18" s="54" t="n">
        <x:v>7375.97</x:v>
      </x:c>
      <x:c r="F18" s="54" t="n">
        <x:v>7346.46612</x:v>
      </x:c>
      <x:c r="G18" s="55" t="n">
        <x:v>-0.004</x:v>
      </x:c>
      <x:c r="H18" s="56" t="n">
        <x:f>SUM(T15:T17)</x:f>
        <x:v>0.03008</x:v>
      </x:c>
      <x:c r="I18" s="57" t="b">
        <x:f>AND(A18&gt;3,H18&lt;='Assumptions'!$B$7)</x:f>
        <x:v>0</x:v>
      </x:c>
      <x:c r="J18" s="55" t="n">
        <x:v>0.00028492505087895914</x:v>
      </x:c>
      <x:c r="K18" s="55" t="n">
        <x:v>0.013369094528891567</x:v>
      </x:c>
      <x:c r="L18" s="55" t="n">
        <x:v>-0.012732169715624853</x:v>
      </x:c>
      <x:c r="M18" s="57" t="b">
        <x:f>J18&gt;='Assumptions'!$B$8</x:f>
        <x:v>0</x:v>
      </x:c>
      <x:c r="N18" s="57" t="b">
        <x:f>AND(K18&lt;&gt;"",K18&lt;='Assumptions'!$B$9)</x:f>
        <x:v>0</x:v>
      </x:c>
      <x:c r="O18" s="57" t="b">
        <x:f>AND(P18&lt;&gt;"",ABS(L18)&lt;='Assumptions'!$B$10)</x:f>
        <x:v>0</x:v>
      </x:c>
      <x:c r="P18" s="53" t="n">
        <x:v>43298</x:v>
      </x:c>
      <x:c r="Q18" s="54" t="n">
        <x:v>7277.659</x:v>
      </x:c>
      <x:c r="R18" s="55" t="n">
        <x:v>0.00945</x:v>
      </x:c>
      <x:c r="S18" s="57" t="str">
        <x:f>IF(I18,"DAMAGE SKIP",IF(AND(M18,N18),IF(O18,"TUESDAY RE-ENTRY","GAP/MOM SKIP"),"BASELINE"))</x:f>
        <x:v>BASELINE</x:v>
      </x:c>
      <x:c r="T18" s="56" t="n">
        <x:f>IF(I18,0,IF(AND(M18,N18),IF(O18,R18,0),G18))</x:f>
        <x:v>-0.004</x:v>
      </x:c>
      <x:c r="U18" s="56" t="n">
        <x:f>G18*'Assumptions'!$B$6</x:f>
        <x:v>-0.045200000000000004</x:v>
      </x:c>
      <x:c r="V18" s="56" t="n">
        <x:f>T18*'Assumptions'!$B$6</x:f>
        <x:v>-0.045200000000000004</x:v>
      </x:c>
      <x:c r="W18" s="56" t="n">
        <x:f>V18-U18</x:f>
        <x:v>0</x:v>
      </x:c>
      <x:c r="X18" s="58" t="n">
        <x:f>X17*(1+U18)</x:f>
        <x:v>213.19800031035524</x:v>
      </x:c>
      <x:c r="Y18" s="58" t="n">
        <x:f>MAX(Y17,X18)</x:f>
        <x:v>223.29074184159535</x:v>
      </x:c>
      <x:c r="Z18" s="59" t="n">
        <x:f>X18/Y18-1</x:f>
        <x:v>-0.04520000000000002</x:v>
      </x:c>
      <x:c r="AA18" s="58" t="n">
        <x:f>AA17*(1+V18)</x:f>
        <x:v>213.19800031035524</x:v>
      </x:c>
      <x:c r="AB18" s="58" t="n">
        <x:f>MAX(AB17,AA18)</x:f>
        <x:v>223.29074184159535</x:v>
      </x:c>
      <x:c r="AC18" s="59" t="n">
        <x:f>AA18/AB18-1</x:f>
        <x:v>-0.04520000000000002</x:v>
      </x:c>
      <x:c r="AD18" s="60" t="n">
        <x:f>AA18-X18</x:f>
        <x:v>0</x:v>
      </x:c>
      <x:c r="AE18" s="28" t="str">
        <x:v>Baseline trade unchanged.</x:v>
      </x:c>
    </x:row>
    <x:row r="19" ht="18" customHeight="1">
      <x:c r="A19" s="23" t="n">
        <x:v>15</x:v>
      </x:c>
      <x:c r="B19" s="53" t="n">
        <x:v>43304</x:v>
      </x:c>
      <x:c r="C19" s="53" t="n">
        <x:v>43305</x:v>
      </x:c>
      <x:c r="D19" s="23" t="str">
        <x:v>PREOH</x:v>
      </x:c>
      <x:c r="E19" s="54" t="n">
        <x:v>7325.86</x:v>
      </x:c>
      <x:c r="F19" s="54" t="n">
        <x:v>7405.869</x:v>
      </x:c>
      <x:c r="G19" s="55" t="n">
        <x:v>0.01092</x:v>
      </x:c>
      <x:c r="H19" s="56" t="n">
        <x:f>SUM(T16:T18)</x:f>
        <x:v>0.03008</x:v>
      </x:c>
      <x:c r="I19" s="57" t="b">
        <x:f>AND(A19&gt;3,H19&lt;='Assumptions'!$B$7)</x:f>
        <x:v>0</x:v>
      </x:c>
      <x:c r="J19" s="55" t="n">
        <x:v>-0.003144658367090991</x:v>
      </x:c>
      <x:c r="K19" s="55" t="n">
        <x:v>0.01868184256003813</x:v>
      </x:c>
      <x:c r="L19" s="55" t="n">
        <x:v>0.0133668723858551</x:v>
      </x:c>
      <x:c r="M19" s="57" t="b">
        <x:f>J19&gt;='Assumptions'!$B$8</x:f>
        <x:v>0</x:v>
      </x:c>
      <x:c r="N19" s="57" t="b">
        <x:f>AND(K19&lt;&gt;"",K19&lt;='Assumptions'!$B$9)</x:f>
        <x:v>0</x:v>
      </x:c>
      <x:c r="O19" s="57" t="b">
        <x:f>AND(P19&lt;&gt;"",ABS(L19)&lt;='Assumptions'!$B$10)</x:f>
        <x:v>0</x:v>
      </x:c>
      <x:c r="P19" s="53" t="n">
        <x:v>43305</x:v>
      </x:c>
      <x:c r="Q19" s="54" t="n">
        <x:v>7449.67</x:v>
      </x:c>
      <x:c r="R19" s="55" t="n">
        <x:v>-0.00587</x:v>
      </x:c>
      <x:c r="S19" s="57" t="str">
        <x:f>IF(I19,"DAMAGE SKIP",IF(AND(M19,N19),IF(O19,"TUESDAY RE-ENTRY","GAP/MOM SKIP"),"BASELINE"))</x:f>
        <x:v>BASELINE</x:v>
      </x:c>
      <x:c r="T19" s="56" t="n">
        <x:f>IF(I19,0,IF(AND(M19,N19),IF(O19,R19,0),G19))</x:f>
        <x:v>0.01092</x:v>
      </x:c>
      <x:c r="U19" s="56" t="n">
        <x:f>G19*'Assumptions'!$B$6</x:f>
        <x:v>0.12339599999999999</x:v>
      </x:c>
      <x:c r="V19" s="56" t="n">
        <x:f>T19*'Assumptions'!$B$6</x:f>
        <x:v>0.12339599999999999</x:v>
      </x:c>
      <x:c r="W19" s="56" t="n">
        <x:f>V19-U19</x:f>
        <x:v>0</x:v>
      </x:c>
      <x:c r="X19" s="58" t="n">
        <x:f>X18*(1+U19)</x:f>
        <x:v>239.50578075665186</x:v>
      </x:c>
      <x:c r="Y19" s="58" t="n">
        <x:f>MAX(Y18,X19)</x:f>
        <x:v>239.50578075665186</x:v>
      </x:c>
      <x:c r="Z19" s="59" t="n">
        <x:f>X19/Y19-1</x:f>
        <x:v>0</x:v>
      </x:c>
      <x:c r="AA19" s="58" t="n">
        <x:f>AA18*(1+V19)</x:f>
        <x:v>239.50578075665186</x:v>
      </x:c>
      <x:c r="AB19" s="58" t="n">
        <x:f>MAX(AB18,AA19)</x:f>
        <x:v>239.50578075665186</x:v>
      </x:c>
      <x:c r="AC19" s="59" t="n">
        <x:f>AA19/AB19-1</x:f>
        <x:v>0</x:v>
      </x:c>
      <x:c r="AD19" s="60" t="n">
        <x:f>AA19-X19</x:f>
        <x:v>0</x:v>
      </x:c>
      <x:c r="AE19" s="28" t="str">
        <x:v>Baseline trade unchanged.</x:v>
      </x:c>
    </x:row>
    <x:row r="20" ht="18" customHeight="1">
      <x:c r="A20" s="23" t="n">
        <x:v>16</x:v>
      </x:c>
      <x:c r="B20" s="53" t="n">
        <x:v>43311</x:v>
      </x:c>
      <x:c r="C20" s="53" t="n">
        <x:v>43313</x:v>
      </x:c>
      <x:c r="D20" s="23" t="str">
        <x:v>BEPRE</x:v>
      </x:c>
      <x:c r="E20" s="54" t="n">
        <x:v>7294.669</x:v>
      </x:c>
      <x:c r="F20" s="54" t="n">
        <x:v>7282.07</x:v>
      </x:c>
      <x:c r="G20" s="55" t="n">
        <x:v>-0.00172</x:v>
      </x:c>
      <x:c r="H20" s="56" t="n">
        <x:f>SUM(T17:T19)</x:f>
        <x:v>0.02445</x:v>
      </x:c>
      <x:c r="I20" s="57" t="b">
        <x:f>AND(A20&gt;3,H20&lt;='Assumptions'!$B$7)</x:f>
        <x:v>0</x:v>
      </x:c>
      <x:c r="J20" s="55" t="n">
        <x:v>0.00006978185287964678</x:v>
      </x:c>
      <x:c r="K20" s="55" t="n">
        <x:v>0.037660717125625576</x:v>
      </x:c>
      <x:c r="L20" s="55" t="n">
        <x:v>-0.010575148989348304</x:v>
      </x:c>
      <x:c r="M20" s="57" t="b">
        <x:f>J20&gt;='Assumptions'!$B$8</x:f>
        <x:v>0</x:v>
      </x:c>
      <x:c r="N20" s="57" t="b">
        <x:f>AND(K20&lt;&gt;"",K20&lt;='Assumptions'!$B$9)</x:f>
        <x:v>0</x:v>
      </x:c>
      <x:c r="O20" s="57" t="b">
        <x:f>AND(P20&lt;&gt;"",ABS(L20)&lt;='Assumptions'!$B$10)</x:f>
        <x:v>0</x:v>
      </x:c>
      <x:c r="P20" s="53" t="n">
        <x:v>43312</x:v>
      </x:c>
      <x:c r="Q20" s="54" t="n">
        <x:v>7216.2</x:v>
      </x:c>
      <x:c r="R20" s="55" t="n">
        <x:v>0.00912</x:v>
      </x:c>
      <x:c r="S20" s="57" t="str">
        <x:f>IF(I20,"DAMAGE SKIP",IF(AND(M20,N20),IF(O20,"TUESDAY RE-ENTRY","GAP/MOM SKIP"),"BASELINE"))</x:f>
        <x:v>BASELINE</x:v>
      </x:c>
      <x:c r="T20" s="56" t="n">
        <x:f>IF(I20,0,IF(AND(M20,N20),IF(O20,R20,0),G20))</x:f>
        <x:v>-0.00172</x:v>
      </x:c>
      <x:c r="U20" s="56" t="n">
        <x:f>G20*'Assumptions'!$B$6</x:f>
        <x:v>-0.019436000000000002</x:v>
      </x:c>
      <x:c r="V20" s="56" t="n">
        <x:f>T20*'Assumptions'!$B$6</x:f>
        <x:v>-0.019436000000000002</x:v>
      </x:c>
      <x:c r="W20" s="56" t="n">
        <x:f>V20-U20</x:f>
        <x:v>0</x:v>
      </x:c>
      <x:c r="X20" s="58" t="n">
        <x:f>X19*(1+U20)</x:f>
        <x:v>234.85074640186556</x:v>
      </x:c>
      <x:c r="Y20" s="58" t="n">
        <x:f>MAX(Y19,X20)</x:f>
        <x:v>239.50578075665186</x:v>
      </x:c>
      <x:c r="Z20" s="59" t="n">
        <x:f>X20/Y20-1</x:f>
        <x:v>-0.01943600000000001</x:v>
      </x:c>
      <x:c r="AA20" s="58" t="n">
        <x:f>AA19*(1+V20)</x:f>
        <x:v>234.85074640186556</x:v>
      </x:c>
      <x:c r="AB20" s="58" t="n">
        <x:f>MAX(AB19,AA20)</x:f>
        <x:v>239.50578075665186</x:v>
      </x:c>
      <x:c r="AC20" s="59" t="n">
        <x:f>AA20/AB20-1</x:f>
        <x:v>-0.01943600000000001</x:v>
      </x:c>
      <x:c r="AD20" s="60" t="n">
        <x:f>AA20-X20</x:f>
        <x:v>0</x:v>
      </x:c>
      <x:c r="AE20" s="28" t="str">
        <x:v>Baseline trade unchanged.</x:v>
      </x:c>
    </x:row>
    <x:row r="21" ht="18" customHeight="1">
      <x:c r="A21" s="23" t="n">
        <x:v>17</x:v>
      </x:c>
      <x:c r="B21" s="53" t="n">
        <x:v>43318</x:v>
      </x:c>
      <x:c r="C21" s="53" t="n">
        <x:v>43322</x:v>
      </x:c>
      <x:c r="D21" s="23" t="str">
        <x:v>TO</x:v>
      </x:c>
      <x:c r="E21" s="54" t="n">
        <x:v>7388.67</x:v>
      </x:c>
      <x:c r="F21" s="54" t="n">
        <x:v>7410.67</x:v>
      </x:c>
      <x:c r="G21" s="55" t="n">
        <x:v>0.00297</x:v>
      </x:c>
      <x:c r="H21" s="56" t="n">
        <x:f>SUM(T18:T20)</x:f>
        <x:v>0.005199999999999999</x:v>
      </x:c>
      <x:c r="I21" s="57" t="b">
        <x:f>AND(A21&gt;3,H21&lt;='Assumptions'!$B$7)</x:f>
        <x:v>0</x:v>
      </x:c>
      <x:c r="J21" s="55" t="n">
        <x:v>-0.0008247722139799185</x:v>
      </x:c>
      <x:c r="K21" s="55" t="n">
        <x:v>0.025490277918562176</x:v>
      </x:c>
      <x:c r="L21" s="55" t="n">
        <x:v>0.008611166025141781</x:v>
      </x:c>
      <x:c r="M21" s="57" t="b">
        <x:f>J21&gt;='Assumptions'!$B$8</x:f>
        <x:v>0</x:v>
      </x:c>
      <x:c r="N21" s="57" t="b">
        <x:f>AND(K21&lt;&gt;"",K21&lt;='Assumptions'!$B$9)</x:f>
        <x:v>0</x:v>
      </x:c>
      <x:c r="O21" s="57" t="b">
        <x:f>AND(P21&lt;&gt;"",ABS(L21)&lt;='Assumptions'!$B$10)</x:f>
        <x:v>0</x:v>
      </x:c>
      <x:c r="P21" s="53" t="n">
        <x:v>43319</x:v>
      </x:c>
      <x:c r="Q21" s="54" t="n">
        <x:v>7456.76</x:v>
      </x:c>
      <x:c r="R21" s="55" t="n">
        <x:v>-0.00618</x:v>
      </x:c>
      <x:c r="S21" s="57" t="str">
        <x:f>IF(I21,"DAMAGE SKIP",IF(AND(M21,N21),IF(O21,"TUESDAY RE-ENTRY","GAP/MOM SKIP"),"BASELINE"))</x:f>
        <x:v>BASELINE</x:v>
      </x:c>
      <x:c r="T21" s="56" t="n">
        <x:f>IF(I21,0,IF(AND(M21,N21),IF(O21,R21,0),G21))</x:f>
        <x:v>0.00297</x:v>
      </x:c>
      <x:c r="U21" s="56" t="n">
        <x:f>G21*'Assumptions'!$B$6</x:f>
        <x:v>0.033561</x:v>
      </x:c>
      <x:c r="V21" s="56" t="n">
        <x:f>T21*'Assumptions'!$B$6</x:f>
        <x:v>0.033561</x:v>
      </x:c>
      <x:c r="W21" s="56" t="n">
        <x:f>V21-U21</x:f>
        <x:v>0</x:v>
      </x:c>
      <x:c r="X21" s="58" t="n">
        <x:f>X20*(1+U21)</x:f>
        <x:v>242.73257230185857</x:v>
      </x:c>
      <x:c r="Y21" s="58" t="n">
        <x:f>MAX(Y20,X21)</x:f>
        <x:v>242.73257230185857</x:v>
      </x:c>
      <x:c r="Z21" s="59" t="n">
        <x:f>X21/Y21-1</x:f>
        <x:v>0</x:v>
      </x:c>
      <x:c r="AA21" s="58" t="n">
        <x:f>AA20*(1+V21)</x:f>
        <x:v>242.73257230185857</x:v>
      </x:c>
      <x:c r="AB21" s="58" t="n">
        <x:f>MAX(AB20,AA21)</x:f>
        <x:v>242.73257230185857</x:v>
      </x:c>
      <x:c r="AC21" s="59" t="n">
        <x:f>AA21/AB21-1</x:f>
        <x:v>0</x:v>
      </x:c>
      <x:c r="AD21" s="60" t="n">
        <x:f>AA21-X21</x:f>
        <x:v>0</x:v>
      </x:c>
      <x:c r="AE21" s="28" t="str">
        <x:v>Baseline trade unchanged.</x:v>
      </x:c>
    </x:row>
    <x:row r="22" ht="18" customHeight="1">
      <x:c r="A22" s="23" t="n">
        <x:v>18</x:v>
      </x:c>
      <x:c r="B22" s="53" t="n">
        <x:v>43325</x:v>
      </x:c>
      <x:c r="C22" s="53" t="n">
        <x:v>43328</x:v>
      </x:c>
      <x:c r="D22" s="23" t="str">
        <x:v>TSL1PRE</x:v>
      </x:c>
      <x:c r="E22" s="54" t="n">
        <x:v>7419.96</x:v>
      </x:c>
      <x:c r="F22" s="54" t="n">
        <x:v>7366.47</x:v>
      </x:c>
      <x:c r="G22" s="55" t="n">
        <x:v>-0.0072</x:v>
      </x:c>
      <x:c r="H22" s="56" t="n">
        <x:f>SUM(T19:T21)</x:f>
        <x:v>0.01217</x:v>
      </x:c>
      <x:c r="I22" s="57" t="b">
        <x:f>AND(A22&gt;3,H22&lt;='Assumptions'!$B$7)</x:f>
        <x:v>0</x:v>
      </x:c>
      <x:c r="J22" s="55" t="n">
        <x:v>0.0012535978528256386</x:v>
      </x:c>
      <x:c r="K22" s="55" t="n">
        <x:v>0.005095199785465354</x:v>
      </x:c>
      <x:c r="L22" s="55" t="n">
        <x:v>0.0026680896478121774</x:v>
      </x:c>
      <x:c r="M22" s="57" t="b">
        <x:f>J22&gt;='Assumptions'!$B$8</x:f>
        <x:v>0</x:v>
      </x:c>
      <x:c r="N22" s="57" t="b">
        <x:f>AND(K22&lt;&gt;"",K22&lt;='Assumptions'!$B$9)</x:f>
        <x:v>0</x:v>
      </x:c>
      <x:c r="O22" s="57" t="b">
        <x:f>AND(P22&lt;&gt;"",ABS(L22)&lt;='Assumptions'!$B$10)</x:f>
        <x:v>1</x:v>
      </x:c>
      <x:c r="P22" s="53" t="n">
        <x:v>43326</x:v>
      </x:c>
      <x:c r="Q22" s="54" t="n">
        <x:v>7426.969</x:v>
      </x:c>
      <x:c r="R22" s="55" t="n">
        <x:v>-0.00814</x:v>
      </x:c>
      <x:c r="S22" s="57" t="str">
        <x:f>IF(I22,"DAMAGE SKIP",IF(AND(M22,N22),IF(O22,"TUESDAY RE-ENTRY","GAP/MOM SKIP"),"BASELINE"))</x:f>
        <x:v>BASELINE</x:v>
      </x:c>
      <x:c r="T22" s="56" t="n">
        <x:f>IF(I22,0,IF(AND(M22,N22),IF(O22,R22,0),G22))</x:f>
        <x:v>-0.0072</x:v>
      </x:c>
      <x:c r="U22" s="56" t="n">
        <x:f>G22*'Assumptions'!$B$6</x:f>
        <x:v>-0.08136</x:v>
      </x:c>
      <x:c r="V22" s="56" t="n">
        <x:f>T22*'Assumptions'!$B$6</x:f>
        <x:v>-0.08136</x:v>
      </x:c>
      <x:c r="W22" s="56" t="n">
        <x:f>V22-U22</x:f>
        <x:v>0</x:v>
      </x:c>
      <x:c r="X22" s="58" t="n">
        <x:f>X21*(1+U22)</x:f>
        <x:v>222.98385021937935</x:v>
      </x:c>
      <x:c r="Y22" s="58" t="n">
        <x:f>MAX(Y21,X22)</x:f>
        <x:v>242.73257230185857</x:v>
      </x:c>
      <x:c r="Z22" s="59" t="n">
        <x:f>X22/Y22-1</x:f>
        <x:v>-0.08135999999999999</x:v>
      </x:c>
      <x:c r="AA22" s="58" t="n">
        <x:f>AA21*(1+V22)</x:f>
        <x:v>222.98385021937935</x:v>
      </x:c>
      <x:c r="AB22" s="58" t="n">
        <x:f>MAX(AB21,AA22)</x:f>
        <x:v>242.73257230185857</x:v>
      </x:c>
      <x:c r="AC22" s="59" t="n">
        <x:f>AA22/AB22-1</x:f>
        <x:v>-0.08135999999999999</x:v>
      </x:c>
      <x:c r="AD22" s="60" t="n">
        <x:f>AA22-X22</x:f>
        <x:v>0</x:v>
      </x:c>
      <x:c r="AE22" s="28" t="str">
        <x:v>Baseline trade unchanged.</x:v>
      </x:c>
    </x:row>
    <x:row r="23" ht="18" customHeight="1">
      <x:c r="A23" s="23" t="n">
        <x:v>19</x:v>
      </x:c>
      <x:c r="B23" s="53" t="n">
        <x:v>43332</x:v>
      </x:c>
      <x:c r="C23" s="53" t="n">
        <x:v>43336</x:v>
      </x:c>
      <x:c r="D23" s="23" t="str">
        <x:v>TO</x:v>
      </x:c>
      <x:c r="E23" s="54" t="n">
        <x:v>7393.27</x:v>
      </x:c>
      <x:c r="F23" s="54" t="n">
        <x:v>7484.959</x:v>
      </x:c>
      <x:c r="G23" s="55" t="n">
        <x:v>0.0124</x:v>
      </x:c>
      <x:c r="H23" s="56" t="n">
        <x:f>SUM(T20:T22)</x:f>
        <x:v>-0.0059499999999999996</x:v>
      </x:c>
      <x:c r="I23" s="57" t="b">
        <x:f>AND(A23&gt;3,H23&lt;='Assumptions'!$B$7)</x:f>
        <x:v>0</x:v>
      </x:c>
      <x:c r="J23" s="55" t="n">
        <x:v>0.002238245820420648</x:v>
      </x:c>
      <x:c r="K23" s="55" t="n">
        <x:v>0.004831963497031078</x:v>
      </x:c>
      <x:c r="L23" s="55" t="n">
        <x:v>0.0022122477018822195</x:v>
      </x:c>
      <x:c r="M23" s="57" t="b">
        <x:f>J23&gt;='Assumptions'!$B$8</x:f>
        <x:v>0</x:v>
      </x:c>
      <x:c r="N23" s="57" t="b">
        <x:f>AND(K23&lt;&gt;"",K23&lt;='Assumptions'!$B$9)</x:f>
        <x:v>0</x:v>
      </x:c>
      <x:c r="O23" s="57" t="b">
        <x:f>AND(P23&lt;&gt;"",ABS(L23)&lt;='Assumptions'!$B$10)</x:f>
        <x:v>1</x:v>
      </x:c>
      <x:c r="P23" s="53" t="n">
        <x:v>43333</x:v>
      </x:c>
      <x:c r="Q23" s="54" t="n">
        <x:v>7391.769</x:v>
      </x:c>
      <x:c r="R23" s="55" t="n">
        <x:v>0.0126</x:v>
      </x:c>
      <x:c r="S23" s="57" t="str">
        <x:f>IF(I23,"DAMAGE SKIP",IF(AND(M23,N23),IF(O23,"TUESDAY RE-ENTRY","GAP/MOM SKIP"),"BASELINE"))</x:f>
        <x:v>BASELINE</x:v>
      </x:c>
      <x:c r="T23" s="56" t="n">
        <x:f>IF(I23,0,IF(AND(M23,N23),IF(O23,R23,0),G23))</x:f>
        <x:v>0.0124</x:v>
      </x:c>
      <x:c r="U23" s="56" t="n">
        <x:f>G23*'Assumptions'!$B$6</x:f>
        <x:v>0.14012</x:v>
      </x:c>
      <x:c r="V23" s="56" t="n">
        <x:f>T23*'Assumptions'!$B$6</x:f>
        <x:v>0.14012</x:v>
      </x:c>
      <x:c r="W23" s="56" t="n">
        <x:f>V23-U23</x:f>
        <x:v>0</x:v>
      </x:c>
      <x:c r="X23" s="58" t="n">
        <x:f>X22*(1+U23)</x:f>
        <x:v>254.22834731211879</x:v>
      </x:c>
      <x:c r="Y23" s="58" t="n">
        <x:f>MAX(Y22,X23)</x:f>
        <x:v>254.22834731211879</x:v>
      </x:c>
      <x:c r="Z23" s="59" t="n">
        <x:f>X23/Y23-1</x:f>
        <x:v>0</x:v>
      </x:c>
      <x:c r="AA23" s="58" t="n">
        <x:f>AA22*(1+V23)</x:f>
        <x:v>254.22834731211879</x:v>
      </x:c>
      <x:c r="AB23" s="58" t="n">
        <x:f>MAX(AB22,AA23)</x:f>
        <x:v>254.22834731211879</x:v>
      </x:c>
      <x:c r="AC23" s="59" t="n">
        <x:f>AA23/AB23-1</x:f>
        <x:v>0</x:v>
      </x:c>
      <x:c r="AD23" s="60" t="n">
        <x:f>AA23-X23</x:f>
        <x:v>0</x:v>
      </x:c>
      <x:c r="AE23" s="28" t="str">
        <x:v>Baseline trade unchanged.</x:v>
      </x:c>
    </x:row>
    <x:row r="24" ht="18" customHeight="1">
      <x:c r="A24" s="23" t="n">
        <x:v>20</x:v>
      </x:c>
      <x:c r="B24" s="53" t="n">
        <x:v>43339</x:v>
      </x:c>
      <x:c r="C24" s="53" t="n">
        <x:v>43343</x:v>
      </x:c>
      <x:c r="D24" s="23" t="str">
        <x:v>TO</x:v>
      </x:c>
      <x:c r="E24" s="54" t="n">
        <x:v>7521.159</x:v>
      </x:c>
      <x:c r="F24" s="54" t="n">
        <x:v>7651.67</x:v>
      </x:c>
      <x:c r="G24" s="55" t="n">
        <x:v>0.01735</x:v>
      </x:c>
      <x:c r="H24" s="56" t="n">
        <x:f>SUM(T21:T23)</x:f>
        <x:v>0.00817</x:v>
      </x:c>
      <x:c r="I24" s="57" t="b">
        <x:f>AND(A24&gt;3,H24&lt;='Assumptions'!$B$7)</x:f>
        <x:v>0</x:v>
      </x:c>
      <x:c r="J24" s="55" t="n">
        <x:v>0.004836365837140866</x:v>
      </x:c>
      <x:c r="K24" s="55" t="n">
        <x:v>0.027274924400063627</x:v>
      </x:c>
      <x:c r="L24" s="55" t="n">
        <x:v>0.012647041946404869</x:v>
      </x:c>
      <x:c r="M24" s="57" t="b">
        <x:f>J24&gt;='Assumptions'!$B$8</x:f>
        <x:v>0</x:v>
      </x:c>
      <x:c r="N24" s="57" t="b">
        <x:f>AND(K24&lt;&gt;"",K24&lt;='Assumptions'!$B$9)</x:f>
        <x:v>0</x:v>
      </x:c>
      <x:c r="O24" s="57" t="b">
        <x:f>AND(P24&lt;&gt;"",ABS(L24)&lt;='Assumptions'!$B$10)</x:f>
        <x:v>0</x:v>
      </x:c>
      <x:c r="P24" s="53" t="n">
        <x:v>43340</x:v>
      </x:c>
      <x:c r="Q24" s="54" t="n">
        <x:v>7578.359</x:v>
      </x:c>
      <x:c r="R24" s="55" t="n">
        <x:v>0.00967</x:v>
      </x:c>
      <x:c r="S24" s="57" t="str">
        <x:f>IF(I24,"DAMAGE SKIP",IF(AND(M24,N24),IF(O24,"TUESDAY RE-ENTRY","GAP/MOM SKIP"),"BASELINE"))</x:f>
        <x:v>BASELINE</x:v>
      </x:c>
      <x:c r="T24" s="56" t="n">
        <x:f>IF(I24,0,IF(AND(M24,N24),IF(O24,R24,0),G24))</x:f>
        <x:v>0.01735</x:v>
      </x:c>
      <x:c r="U24" s="56" t="n">
        <x:f>G24*'Assumptions'!$B$6</x:f>
        <x:v>0.19605500000000003</x:v>
      </x:c>
      <x:c r="V24" s="56" t="n">
        <x:f>T24*'Assumptions'!$B$6</x:f>
        <x:v>0.19605500000000003</x:v>
      </x:c>
      <x:c r="W24" s="56" t="n">
        <x:f>V24-U24</x:f>
        <x:v>0</x:v>
      </x:c>
      <x:c r="X24" s="58" t="n">
        <x:f>X23*(1+U24)</x:f>
        <x:v>304.07108594439626</x:v>
      </x:c>
      <x:c r="Y24" s="58" t="n">
        <x:f>MAX(Y23,X24)</x:f>
        <x:v>304.07108594439626</x:v>
      </x:c>
      <x:c r="Z24" s="59" t="n">
        <x:f>X24/Y24-1</x:f>
        <x:v>0</x:v>
      </x:c>
      <x:c r="AA24" s="58" t="n">
        <x:f>AA23*(1+V24)</x:f>
        <x:v>304.07108594439626</x:v>
      </x:c>
      <x:c r="AB24" s="58" t="n">
        <x:f>MAX(AB23,AA24)</x:f>
        <x:v>304.07108594439626</x:v>
      </x:c>
      <x:c r="AC24" s="59" t="n">
        <x:f>AA24/AB24-1</x:f>
        <x:v>0</x:v>
      </x:c>
      <x:c r="AD24" s="60" t="n">
        <x:f>AA24-X24</x:f>
        <x:v>0</x:v>
      </x:c>
      <x:c r="AE24" s="28" t="str">
        <x:v>Baseline trade unchanged.</x:v>
      </x:c>
    </x:row>
    <x:row r="25" ht="18" customHeight="1">
      <x:c r="A25" s="23" t="n">
        <x:v>21</x:v>
      </x:c>
      <x:c r="B25" s="53" t="n">
        <x:v>43347</x:v>
      </x:c>
      <x:c r="C25" s="53" t="n">
        <x:v>43349</x:v>
      </x:c>
      <x:c r="D25" s="23" t="str">
        <x:v>TSL1PRE</x:v>
      </x:c>
      <x:c r="E25" s="54" t="n">
        <x:v>7629.759</x:v>
      </x:c>
      <x:c r="F25" s="54" t="n">
        <x:v>7525.76</x:v>
      </x:c>
      <x:c r="G25" s="55" t="n">
        <x:v>-0.01363</x:v>
      </x:c>
      <x:c r="H25" s="56" t="n">
        <x:f>SUM(T22:T24)</x:f>
        <x:v>0.02255</x:v>
      </x:c>
      <x:c r="I25" s="57" t="b">
        <x:f>AND(A25&gt;3,H25&lt;='Assumptions'!$B$7)</x:f>
        <x:v>0</x:v>
      </x:c>
      <x:c r="J25" s="55" t="n">
        <x:v>-0.002863557889976942</x:v>
      </x:c>
      <x:c r="K25" s="55" t="n">
        <x:v>0.03648552789180526</x:v>
      </x:c>
      <x:c r="L25" s="55"/>
      <x:c r="M25" s="57" t="b">
        <x:f>J25&gt;='Assumptions'!$B$8</x:f>
        <x:v>0</x:v>
      </x:c>
      <x:c r="N25" s="57" t="b">
        <x:f>AND(K25&lt;&gt;"",K25&lt;='Assumptions'!$B$9)</x:f>
        <x:v>0</x:v>
      </x:c>
      <x:c r="O25" s="57" t="b">
        <x:f>AND(P25&lt;&gt;"",ABS(L25)&lt;='Assumptions'!$B$10)</x:f>
        <x:v>0</x:v>
      </x:c>
      <x:c r="P25" s="53"/>
      <x:c r="Q25" s="54"/>
      <x:c r="R25" s="55"/>
      <x:c r="S25" s="57" t="str">
        <x:f>IF(I25,"DAMAGE SKIP",IF(AND(M25,N25),IF(O25,"TUESDAY RE-ENTRY","GAP/MOM SKIP"),"BASELINE"))</x:f>
        <x:v>BASELINE</x:v>
      </x:c>
      <x:c r="T25" s="56" t="n">
        <x:f>IF(I25,0,IF(AND(M25,N25),IF(O25,R25,0),G25))</x:f>
        <x:v>-0.01363</x:v>
      </x:c>
      <x:c r="U25" s="56" t="n">
        <x:f>G25*'Assumptions'!$B$6</x:f>
        <x:v>-0.15401900000000002</x:v>
      </x:c>
      <x:c r="V25" s="56" t="n">
        <x:f>T25*'Assumptions'!$B$6</x:f>
        <x:v>-0.15401900000000002</x:v>
      </x:c>
      <x:c r="W25" s="56" t="n">
        <x:f>V25-U25</x:f>
        <x:v>0</x:v>
      </x:c>
      <x:c r="X25" s="58" t="n">
        <x:f>X24*(1+U25)</x:f>
        <x:v>257.2383613583263</x:v>
      </x:c>
      <x:c r="Y25" s="58" t="n">
        <x:f>MAX(Y24,X25)</x:f>
        <x:v>304.07108594439626</x:v>
      </x:c>
      <x:c r="Z25" s="59" t="n">
        <x:f>X25/Y25-1</x:f>
        <x:v>-0.15401900000000002</x:v>
      </x:c>
      <x:c r="AA25" s="58" t="n">
        <x:f>AA24*(1+V25)</x:f>
        <x:v>257.2383613583263</x:v>
      </x:c>
      <x:c r="AB25" s="58" t="n">
        <x:f>MAX(AB24,AA25)</x:f>
        <x:v>304.07108594439626</x:v>
      </x:c>
      <x:c r="AC25" s="59" t="n">
        <x:f>AA25/AB25-1</x:f>
        <x:v>-0.15401900000000002</x:v>
      </x:c>
      <x:c r="AD25" s="60" t="n">
        <x:f>AA25-X25</x:f>
        <x:v>0</x:v>
      </x:c>
      <x:c r="AE25" s="28" t="str">
        <x:v>Baseline trade unchanged.</x:v>
      </x:c>
    </x:row>
    <x:row r="26" ht="18" customHeight="1">
      <x:c r="A26" s="23" t="n">
        <x:v>22</x:v>
      </x:c>
      <x:c r="B26" s="53" t="n">
        <x:v>43353</x:v>
      </x:c>
      <x:c r="C26" s="53" t="n">
        <x:v>43357</x:v>
      </x:c>
      <x:c r="D26" s="23" t="str">
        <x:v>TO</x:v>
      </x:c>
      <x:c r="E26" s="54" t="n">
        <x:v>7465.77</x:v>
      </x:c>
      <x:c r="F26" s="54" t="n">
        <x:v>7546.66</x:v>
      </x:c>
      <x:c r="G26" s="55" t="n">
        <x:v>0.01083</x:v>
      </x:c>
      <x:c r="H26" s="56" t="n">
        <x:f>SUM(T23:T25)</x:f>
        <x:v>0.01612</x:v>
      </x:c>
      <x:c r="I26" s="57" t="b">
        <x:f>AND(A26&gt;3,H26&lt;='Assumptions'!$B$7)</x:f>
        <x:v>0</x:v>
      </x:c>
      <x:c r="J26" s="55" t="n">
        <x:v>0.005726594515078398</x:v>
      </x:c>
      <x:c r="K26" s="55" t="n">
        <x:v>-0.00435180548120262</x:v>
      </x:c>
      <x:c r="L26" s="55" t="n">
        <x:v>-0.0007920677593732384</x:v>
      </x:c>
      <x:c r="M26" s="57" t="b">
        <x:f>J26&gt;='Assumptions'!$B$8</x:f>
        <x:v>0</x:v>
      </x:c>
      <x:c r="N26" s="57" t="b">
        <x:f>AND(K26&lt;&gt;"",K26&lt;='Assumptions'!$B$9)</x:f>
        <x:v>0</x:v>
      </x:c>
      <x:c r="O26" s="57" t="b">
        <x:f>AND(P26&lt;&gt;"",ABS(L26)&lt;='Assumptions'!$B$10)</x:f>
        <x:v>1</x:v>
      </x:c>
      <x:c r="P26" s="53" t="n">
        <x:v>43354</x:v>
      </x:c>
      <x:c r="Q26" s="54" t="n">
        <x:v>7417.665</x:v>
      </x:c>
      <x:c r="R26" s="55" t="n">
        <x:v>0.01739</x:v>
      </x:c>
      <x:c r="S26" s="57" t="str">
        <x:f>IF(I26,"DAMAGE SKIP",IF(AND(M26,N26),IF(O26,"TUESDAY RE-ENTRY","GAP/MOM SKIP"),"BASELINE"))</x:f>
        <x:v>BASELINE</x:v>
      </x:c>
      <x:c r="T26" s="56" t="n">
        <x:f>IF(I26,0,IF(AND(M26,N26),IF(O26,R26,0),G26))</x:f>
        <x:v>0.01083</x:v>
      </x:c>
      <x:c r="U26" s="56" t="n">
        <x:f>G26*'Assumptions'!$B$6</x:f>
        <x:v>0.122379</x:v>
      </x:c>
      <x:c r="V26" s="56" t="n">
        <x:f>T26*'Assumptions'!$B$6</x:f>
        <x:v>0.122379</x:v>
      </x:c>
      <x:c r="W26" s="56" t="n">
        <x:f>V26-U26</x:f>
        <x:v>0</x:v>
      </x:c>
      <x:c r="X26" s="58" t="n">
        <x:f>X25*(1+U26)</x:f>
        <x:v>288.71893478299694</x:v>
      </x:c>
      <x:c r="Y26" s="58" t="n">
        <x:f>MAX(Y25,X26)</x:f>
        <x:v>304.07108594439626</x:v>
      </x:c>
      <x:c r="Z26" s="59" t="n">
        <x:f>X26/Y26-1</x:f>
        <x:v>-0.05048869120099986</x:v>
      </x:c>
      <x:c r="AA26" s="58" t="n">
        <x:f>AA25*(1+V26)</x:f>
        <x:v>288.71893478299694</x:v>
      </x:c>
      <x:c r="AB26" s="58" t="n">
        <x:f>MAX(AB25,AA26)</x:f>
        <x:v>304.07108594439626</x:v>
      </x:c>
      <x:c r="AC26" s="59" t="n">
        <x:f>AA26/AB26-1</x:f>
        <x:v>-0.05048869120099986</x:v>
      </x:c>
      <x:c r="AD26" s="60" t="n">
        <x:f>AA26-X26</x:f>
        <x:v>0</x:v>
      </x:c>
      <x:c r="AE26" s="28" t="str">
        <x:v>Baseline trade unchanged.</x:v>
      </x:c>
    </x:row>
    <x:row r="27" ht="18" customHeight="1">
      <x:c r="A27" s="23" t="n">
        <x:v>23</x:v>
      </x:c>
      <x:c r="B27" s="53" t="n">
        <x:v>43360</x:v>
      </x:c>
      <x:c r="C27" s="53" t="n">
        <x:v>43362</x:v>
      </x:c>
      <x:c r="D27" s="23" t="str">
        <x:v>BEPRE</x:v>
      </x:c>
      <x:c r="E27" s="54" t="n">
        <x:v>7527.07</x:v>
      </x:c>
      <x:c r="F27" s="54" t="n">
        <x:v>7497.169</x:v>
      </x:c>
      <x:c r="G27" s="55" t="n">
        <x:v>-0.00397</x:v>
      </x:c>
      <x:c r="H27" s="56" t="n">
        <x:f>SUM(T24:T26)</x:f>
        <x:v>0.01455</x:v>
      </x:c>
      <x:c r="I27" s="57" t="b">
        <x:f>AND(A27&gt;3,H27&lt;='Assumptions'!$B$7)</x:f>
        <x:v>0</x:v>
      </x:c>
      <x:c r="J27" s="55" t="n">
        <x:v>-0.00259585034969112</x:v>
      </x:c>
      <x:c r="K27" s="55" t="n">
        <x:v>0.023216542150223285</x:v>
      </x:c>
      <x:c r="L27" s="55" t="n">
        <x:v>-0.013424919473246755</x:v>
      </x:c>
      <x:c r="M27" s="57" t="b">
        <x:f>J27&gt;='Assumptions'!$B$8</x:f>
        <x:v>0</x:v>
      </x:c>
      <x:c r="N27" s="57" t="b">
        <x:f>AND(K27&lt;&gt;"",K27&lt;='Assumptions'!$B$9)</x:f>
        <x:v>0</x:v>
      </x:c>
      <x:c r="O27" s="57" t="b">
        <x:f>AND(P27&lt;&gt;"",ABS(L27)&lt;='Assumptions'!$B$10)</x:f>
        <x:v>0</x:v>
      </x:c>
      <x:c r="P27" s="53" t="n">
        <x:v>43361</x:v>
      </x:c>
      <x:c r="Q27" s="54" t="n">
        <x:v>7438.859</x:v>
      </x:c>
      <x:c r="R27" s="55" t="n">
        <x:v>0.00783</x:v>
      </x:c>
      <x:c r="S27" s="57" t="str">
        <x:f>IF(I27,"DAMAGE SKIP",IF(AND(M27,N27),IF(O27,"TUESDAY RE-ENTRY","GAP/MOM SKIP"),"BASELINE"))</x:f>
        <x:v>BASELINE</x:v>
      </x:c>
      <x:c r="T27" s="56" t="n">
        <x:f>IF(I27,0,IF(AND(M27,N27),IF(O27,R27,0),G27))</x:f>
        <x:v>-0.00397</x:v>
      </x:c>
      <x:c r="U27" s="56" t="n">
        <x:f>G27*'Assumptions'!$B$6</x:f>
        <x:v>-0.044861</x:v>
      </x:c>
      <x:c r="V27" s="56" t="n">
        <x:f>T27*'Assumptions'!$B$6</x:f>
        <x:v>-0.044861</x:v>
      </x:c>
      <x:c r="W27" s="56" t="n">
        <x:f>V27-U27</x:f>
        <x:v>0</x:v>
      </x:c>
      <x:c r="X27" s="58" t="n">
        <x:f>X26*(1+U27)</x:f>
        <x:v>275.7667146496969</x:v>
      </x:c>
      <x:c r="Y27" s="58" t="n">
        <x:f>MAX(Y26,X27)</x:f>
        <x:v>304.07108594439626</x:v>
      </x:c>
      <x:c r="Z27" s="59" t="n">
        <x:f>X27/Y27-1</x:f>
        <x:v>-0.09308471802503193</x:v>
      </x:c>
      <x:c r="AA27" s="58" t="n">
        <x:f>AA26*(1+V27)</x:f>
        <x:v>275.7667146496969</x:v>
      </x:c>
      <x:c r="AB27" s="58" t="n">
        <x:f>MAX(AB26,AA27)</x:f>
        <x:v>304.07108594439626</x:v>
      </x:c>
      <x:c r="AC27" s="59" t="n">
        <x:f>AA27/AB27-1</x:f>
        <x:v>-0.09308471802503193</x:v>
      </x:c>
      <x:c r="AD27" s="60" t="n">
        <x:f>AA27-X27</x:f>
        <x:v>0</x:v>
      </x:c>
      <x:c r="AE27" s="28" t="str">
        <x:v>Baseline trade unchanged.</x:v>
      </x:c>
    </x:row>
    <x:row r="28" ht="18" customHeight="1">
      <x:c r="A28" s="23" t="n">
        <x:v>24</x:v>
      </x:c>
      <x:c r="B28" s="53" t="n">
        <x:v>43367</x:v>
      </x:c>
      <x:c r="C28" s="53" t="n">
        <x:v>43367</x:v>
      </x:c>
      <x:c r="D28" s="23" t="str">
        <x:v>CH</x:v>
      </x:c>
      <x:c r="E28" s="54" t="n">
        <x:v>7473.769</x:v>
      </x:c>
      <x:c r="F28" s="54" t="n">
        <x:v>7555.069</x:v>
      </x:c>
      <x:c r="G28" s="55" t="n">
        <x:v>0.01087</x:v>
      </x:c>
      <x:c r="H28" s="56" t="n">
        <x:f>SUM(T25:T27)</x:f>
        <x:v>-0.00677</x:v>
      </x:c>
      <x:c r="I28" s="57" t="b">
        <x:f>AND(A28&gt;3,H28&lt;='Assumptions'!$B$7)</x:f>
        <x:v>0</x:v>
      </x:c>
      <x:c r="J28" s="55" t="n">
        <x:v>-0.007305311133865344</x:v>
      </x:c>
      <x:c r="K28" s="55" t="n">
        <x:v>0.01607000150565785</x:v>
      </x:c>
      <x:c r="L28" s="55" t="n">
        <x:v>0.0021087787891049814</x:v>
      </x:c>
      <x:c r="M28" s="57" t="b">
        <x:f>J28&gt;='Assumptions'!$B$8</x:f>
        <x:v>0</x:v>
      </x:c>
      <x:c r="N28" s="57" t="b">
        <x:f>AND(K28&lt;&gt;"",K28&lt;='Assumptions'!$B$9)</x:f>
        <x:v>0</x:v>
      </x:c>
      <x:c r="O28" s="57" t="b">
        <x:f>AND(P28&lt;&gt;"",ABS(L28)&lt;='Assumptions'!$B$10)</x:f>
        <x:v>1</x:v>
      </x:c>
      <x:c r="P28" s="53" t="n">
        <x:v>43368</x:v>
      </x:c>
      <x:c r="Q28" s="54" t="n">
        <x:v>7544.06</x:v>
      </x:c>
      <x:c r="R28" s="55" t="n">
        <x:v>0.00145</x:v>
      </x:c>
      <x:c r="S28" s="57" t="str">
        <x:f>IF(I28,"DAMAGE SKIP",IF(AND(M28,N28),IF(O28,"TUESDAY RE-ENTRY","GAP/MOM SKIP"),"BASELINE"))</x:f>
        <x:v>BASELINE</x:v>
      </x:c>
      <x:c r="T28" s="56" t="n">
        <x:f>IF(I28,0,IF(AND(M28,N28),IF(O28,R28,0),G28))</x:f>
        <x:v>0.01087</x:v>
      </x:c>
      <x:c r="U28" s="56" t="n">
        <x:f>G28*'Assumptions'!$B$6</x:f>
        <x:v>0.122831</x:v>
      </x:c>
      <x:c r="V28" s="56" t="n">
        <x:f>T28*'Assumptions'!$B$6</x:f>
        <x:v>0.122831</x:v>
      </x:c>
      <x:c r="W28" s="56" t="n">
        <x:f>V28-U28</x:f>
        <x:v>0</x:v>
      </x:c>
      <x:c r="X28" s="58" t="n">
        <x:f>X27*(1+U28)</x:f>
        <x:v>309.6394159768338</x:v>
      </x:c>
      <x:c r="Y28" s="58" t="n">
        <x:f>MAX(Y27,X28)</x:f>
        <x:v>309.6394159768338</x:v>
      </x:c>
      <x:c r="Z28" s="59" t="n">
        <x:f>X28/Y28-1</x:f>
        <x:v>0</x:v>
      </x:c>
      <x:c r="AA28" s="58" t="n">
        <x:f>AA27*(1+V28)</x:f>
        <x:v>309.6394159768338</x:v>
      </x:c>
      <x:c r="AB28" s="58" t="n">
        <x:f>MAX(AB27,AA28)</x:f>
        <x:v>309.6394159768338</x:v>
      </x:c>
      <x:c r="AC28" s="59" t="n">
        <x:f>AA28/AB28-1</x:f>
        <x:v>0</x:v>
      </x:c>
      <x:c r="AD28" s="60" t="n">
        <x:f>AA28-X28</x:f>
        <x:v>0</x:v>
      </x:c>
      <x:c r="AE28" s="28" t="str">
        <x:v>Baseline trade unchanged.</x:v>
      </x:c>
    </x:row>
    <x:row r="29" ht="18" customHeight="1">
      <x:c r="A29" s="23" t="n">
        <x:v>25</x:v>
      </x:c>
      <x:c r="B29" s="53" t="n">
        <x:v>43374</x:v>
      </x:c>
      <x:c r="C29" s="53" t="n">
        <x:v>43376</x:v>
      </x:c>
      <x:c r="D29" s="23" t="str">
        <x:v>BEPRE</x:v>
      </x:c>
      <x:c r="E29" s="54" t="n">
        <x:v>7671.07</x:v>
      </x:c>
      <x:c r="F29" s="54" t="n">
        <x:v>7641.87</x:v>
      </x:c>
      <x:c r="G29" s="55" t="n">
        <x:v>-0.0038</x:v>
      </x:c>
      <x:c r="H29" s="56" t="n">
        <x:f>SUM(T26:T28)</x:f>
        <x:v>0.01773</x:v>
      </x:c>
      <x:c r="I29" s="57" t="b">
        <x:f>AND(A29&gt;3,H29&lt;='Assumptions'!$B$7)</x:f>
        <x:v>0</x:v>
      </x:c>
      <x:c r="J29" s="55" t="n">
        <x:v>0.0047677240797572296</x:v>
      </x:c>
      <x:c r="K29" s="55" t="n">
        <x:v>-0.0015614819474712993</x:v>
      </x:c>
      <x:c r="L29" s="55" t="n">
        <x:v>0.000888848884438298</x:v>
      </x:c>
      <x:c r="M29" s="57" t="b">
        <x:f>J29&gt;='Assumptions'!$B$8</x:f>
        <x:v>0</x:v>
      </x:c>
      <x:c r="N29" s="57" t="b">
        <x:f>AND(K29&lt;&gt;"",K29&lt;='Assumptions'!$B$9)</x:f>
        <x:v>0</x:v>
      </x:c>
      <x:c r="O29" s="57" t="b">
        <x:f>AND(P29&lt;&gt;"",ABS(L29)&lt;='Assumptions'!$B$10)</x:f>
        <x:v>1</x:v>
      </x:c>
      <x:c r="P29" s="53" t="n">
        <x:v>43375</x:v>
      </x:c>
      <x:c r="Q29" s="54" t="n">
        <x:v>7634.959</x:v>
      </x:c>
      <x:c r="R29" s="55" t="n">
        <x:v>0.0009</x:v>
      </x:c>
      <x:c r="S29" s="57" t="str">
        <x:f>IF(I29,"DAMAGE SKIP",IF(AND(M29,N29),IF(O29,"TUESDAY RE-ENTRY","GAP/MOM SKIP"),"BASELINE"))</x:f>
        <x:v>BASELINE</x:v>
      </x:c>
      <x:c r="T29" s="56" t="n">
        <x:f>IF(I29,0,IF(AND(M29,N29),IF(O29,R29,0),G29))</x:f>
        <x:v>-0.0038</x:v>
      </x:c>
      <x:c r="U29" s="56" t="n">
        <x:f>G29*'Assumptions'!$B$6</x:f>
        <x:v>-0.042940000000000006</x:v>
      </x:c>
      <x:c r="V29" s="56" t="n">
        <x:f>T29*'Assumptions'!$B$6</x:f>
        <x:v>-0.042940000000000006</x:v>
      </x:c>
      <x:c r="W29" s="56" t="n">
        <x:f>V29-U29</x:f>
        <x:v>0</x:v>
      </x:c>
      <x:c r="X29" s="58" t="n">
        <x:f>X28*(1+U29)</x:f>
        <x:v>296.34349945478857</x:v>
      </x:c>
      <x:c r="Y29" s="58" t="n">
        <x:f>MAX(Y28,X29)</x:f>
        <x:v>309.6394159768338</x:v>
      </x:c>
      <x:c r="Z29" s="59" t="n">
        <x:f>X29/Y29-1</x:f>
        <x:v>-0.04293999999999987</x:v>
      </x:c>
      <x:c r="AA29" s="58" t="n">
        <x:f>AA28*(1+V29)</x:f>
        <x:v>296.34349945478857</x:v>
      </x:c>
      <x:c r="AB29" s="58" t="n">
        <x:f>MAX(AB28,AA29)</x:f>
        <x:v>309.6394159768338</x:v>
      </x:c>
      <x:c r="AC29" s="59" t="n">
        <x:f>AA29/AB29-1</x:f>
        <x:v>-0.04293999999999987</x:v>
      </x:c>
      <x:c r="AD29" s="60" t="n">
        <x:f>AA29-X29</x:f>
        <x:v>0</x:v>
      </x:c>
      <x:c r="AE29" s="28" t="str">
        <x:v>Baseline trade unchanged.</x:v>
      </x:c>
    </x:row>
    <x:row r="30" ht="18" customHeight="1">
      <x:c r="A30" s="23" t="n">
        <x:v>26</x:v>
      </x:c>
      <x:c r="B30" s="53" t="n">
        <x:v>43381</x:v>
      </x:c>
      <x:c r="C30" s="53" t="n">
        <x:v>43384</x:v>
      </x:c>
      <x:c r="D30" s="23" t="str">
        <x:v>GAP DOWN</x:v>
      </x:c>
      <x:c r="E30" s="54" t="n">
        <x:v>7363.47</x:v>
      </x:c>
      <x:c r="F30" s="54" t="n">
        <x:v>6988.37</x:v>
      </x:c>
      <x:c r="G30" s="55" t="n">
        <x:v>-0.05094</x:v>
      </x:c>
      <x:c r="H30" s="56" t="n">
        <x:f>SUM(T27:T29)</x:f>
        <x:v>0.0031</x:v>
      </x:c>
      <x:c r="I30" s="57" t="b">
        <x:f>AND(A30&gt;3,H30&lt;='Assumptions'!$B$7)</x:f>
        <x:v>0</x:v>
      </x:c>
      <x:c r="J30" s="55" t="n">
        <x:v>-0.005469904047410212</x:v>
      </x:c>
      <x:c r="K30" s="55" t="n">
        <x:v>-0.0035035989940160883</x:v>
      </x:c>
      <x:c r="L30" s="55" t="n">
        <x:v>-0.005302885256934786</x:v>
      </x:c>
      <x:c r="M30" s="57" t="b">
        <x:f>J30&gt;='Assumptions'!$B$8</x:f>
        <x:v>0</x:v>
      </x:c>
      <x:c r="N30" s="57" t="b">
        <x:f>AND(K30&lt;&gt;"",K30&lt;='Assumptions'!$B$9)</x:f>
        <x:v>0</x:v>
      </x:c>
      <x:c r="O30" s="57" t="b">
        <x:f>AND(P30&lt;&gt;"",ABS(L30)&lt;='Assumptions'!$B$10)</x:f>
        <x:v>0</x:v>
      </x:c>
      <x:c r="P30" s="53" t="n">
        <x:v>43382</x:v>
      </x:c>
      <x:c r="Q30" s="54" t="n">
        <x:v>7356.97</x:v>
      </x:c>
      <x:c r="R30" s="55" t="n">
        <x:v>-0.0501</x:v>
      </x:c>
      <x:c r="S30" s="57" t="str">
        <x:f>IF(I30,"DAMAGE SKIP",IF(AND(M30,N30),IF(O30,"TUESDAY RE-ENTRY","GAP/MOM SKIP"),"BASELINE"))</x:f>
        <x:v>BASELINE</x:v>
      </x:c>
      <x:c r="T30" s="56" t="n">
        <x:f>IF(I30,0,IF(AND(M30,N30),IF(O30,R30,0),G30))</x:f>
        <x:v>-0.05094</x:v>
      </x:c>
      <x:c r="U30" s="56" t="n">
        <x:f>G30*'Assumptions'!$B$6</x:f>
        <x:v>-0.5756220000000001</x:v>
      </x:c>
      <x:c r="V30" s="56" t="n">
        <x:f>T30*'Assumptions'!$B$6</x:f>
        <x:v>-0.5756220000000001</x:v>
      </x:c>
      <x:c r="W30" s="56" t="n">
        <x:f>V30-U30</x:f>
        <x:v>0</x:v>
      </x:c>
      <x:c r="X30" s="58" t="n">
        <x:f>X29*(1+U30)</x:f>
        <x:v>125.76166161162423</x:v>
      </x:c>
      <x:c r="Y30" s="58" t="n">
        <x:f>MAX(Y29,X30)</x:f>
        <x:v>309.6394159768338</x:v>
      </x:c>
      <x:c r="Z30" s="59" t="n">
        <x:f>X30/Y30-1</x:f>
        <x:v>-0.59384479132</x:v>
      </x:c>
      <x:c r="AA30" s="58" t="n">
        <x:f>AA29*(1+V30)</x:f>
        <x:v>125.76166161162423</x:v>
      </x:c>
      <x:c r="AB30" s="58" t="n">
        <x:f>MAX(AB29,AA30)</x:f>
        <x:v>309.6394159768338</x:v>
      </x:c>
      <x:c r="AC30" s="59" t="n">
        <x:f>AA30/AB30-1</x:f>
        <x:v>-0.59384479132</x:v>
      </x:c>
      <x:c r="AD30" s="60" t="n">
        <x:f>AA30-X30</x:f>
        <x:v>0</x:v>
      </x:c>
      <x:c r="AE30" s="28" t="str">
        <x:v>Baseline trade unchanged.</x:v>
      </x:c>
    </x:row>
    <x:row r="31" ht="18" customHeight="1">
      <x:c r="A31" s="23" t="n">
        <x:v>27</x:v>
      </x:c>
      <x:c r="B31" s="53" t="n">
        <x:v>43388</x:v>
      </x:c>
      <x:c r="C31" s="53" t="n">
        <x:v>43391</x:v>
      </x:c>
      <x:c r="D31" s="23" t="str">
        <x:v>TSL2</x:v>
      </x:c>
      <x:c r="E31" s="54" t="n">
        <x:v>7130.37</x:v>
      </x:c>
      <x:c r="F31" s="54" t="n">
        <x:v>7101.84852</x:v>
      </x:c>
      <x:c r="G31" s="55" t="n">
        <x:v>-0.004</x:v>
      </x:c>
      <x:c r="H31" s="56" t="n">
        <x:f>SUM(T28:T30)</x:f>
        <x:v>-0.04387</x:v>
      </x:c>
      <x:c r="I31" s="57" t="b">
        <x:f>AND(A31&gt;3,H31&lt;='Assumptions'!$B$7)</x:f>
        <x:v>1</x:v>
      </x:c>
      <x:c r="J31" s="55" t="n">
        <x:v>-0.0031595267420386763</x:v>
      </x:c>
      <x:c r="K31" s="55" t="n">
        <x:v>-0.0509111189519571</x:v>
      </x:c>
      <x:c r="L31" s="55" t="n">
        <x:v>-0.001720912383373574</x:v>
      </x:c>
      <x:c r="M31" s="57" t="b">
        <x:f>J31&gt;='Assumptions'!$B$8</x:f>
        <x:v>0</x:v>
      </x:c>
      <x:c r="N31" s="57" t="b">
        <x:f>AND(K31&lt;&gt;"",K31&lt;='Assumptions'!$B$9)</x:f>
        <x:v>1</x:v>
      </x:c>
      <x:c r="O31" s="57" t="b">
        <x:f>AND(P31&lt;&gt;"",ABS(L31)&lt;='Assumptions'!$B$10)</x:f>
        <x:v>1</x:v>
      </x:c>
      <x:c r="P31" s="53" t="n">
        <x:v>43389</x:v>
      </x:c>
      <x:c r="Q31" s="54" t="n">
        <x:v>7141.559</x:v>
      </x:c>
      <x:c r="R31" s="55" t="n">
        <x:v>-0.00556</x:v>
      </x:c>
      <x:c r="S31" s="57" t="str">
        <x:f>IF(I31,"DAMAGE SKIP",IF(AND(M31,N31),IF(O31,"TUESDAY RE-ENTRY","GAP/MOM SKIP"),"BASELINE"))</x:f>
        <x:v>DAMAGE SKIP</x:v>
      </x:c>
      <x:c r="T31" s="56" t="n">
        <x:f>IF(I31,0,IF(AND(M31,N31),IF(O31,R31,0),G31))</x:f>
        <x:v>0</x:v>
      </x:c>
      <x:c r="U31" s="56" t="n">
        <x:f>G31*'Assumptions'!$B$6</x:f>
        <x:v>-0.045200000000000004</x:v>
      </x:c>
      <x:c r="V31" s="56" t="n">
        <x:f>T31*'Assumptions'!$B$6</x:f>
        <x:v>0</x:v>
      </x:c>
      <x:c r="W31" s="56" t="n">
        <x:f>V31-U31</x:f>
        <x:v>0.045200000000000004</x:v>
      </x:c>
      <x:c r="X31" s="58" t="n">
        <x:f>X30*(1+U31)</x:f>
        <x:v>120.07723450677882</x:v>
      </x:c>
      <x:c r="Y31" s="58" t="n">
        <x:f>MAX(Y30,X31)</x:f>
        <x:v>309.6394159768338</x:v>
      </x:c>
      <x:c r="Z31" s="59" t="n">
        <x:f>X31/Y31-1</x:f>
        <x:v>-0.6122030067523361</x:v>
      </x:c>
      <x:c r="AA31" s="58" t="n">
        <x:f>AA30*(1+V31)</x:f>
        <x:v>125.76166161162423</x:v>
      </x:c>
      <x:c r="AB31" s="58" t="n">
        <x:f>MAX(AB30,AA31)</x:f>
        <x:v>309.6394159768338</x:v>
      </x:c>
      <x:c r="AC31" s="59" t="n">
        <x:f>AA31/AB31-1</x:f>
        <x:v>-0.59384479132</x:v>
      </x:c>
      <x:c r="AD31" s="60" t="n">
        <x:f>AA31-X31</x:f>
        <x:v>5.684427104845412</x:v>
      </x:c>
      <x:c r="AE31" s="28" t="str">
        <x:v>Skipped because the previous three rule outcomes totalled at or below the damage threshold.</x:v>
      </x:c>
    </x:row>
    <x:row r="32" ht="18" customHeight="1">
      <x:c r="A32" s="23" t="n">
        <x:v>28</x:v>
      </x:c>
      <x:c r="B32" s="53" t="n">
        <x:v>43395</x:v>
      </x:c>
      <x:c r="C32" s="53" t="n">
        <x:v>43397</x:v>
      </x:c>
      <x:c r="D32" s="23" t="str">
        <x:v>BEPRE</x:v>
      </x:c>
      <x:c r="E32" s="54" t="n">
        <x:v>7143.86</x:v>
      </x:c>
      <x:c r="F32" s="54" t="n">
        <x:v>7121.069</x:v>
      </x:c>
      <x:c r="G32" s="55" t="n">
        <x:v>-0.00319</x:v>
      </x:c>
      <x:c r="H32" s="56" t="n">
        <x:f>SUM(T29:T31)</x:f>
        <x:v>-0.05474</x:v>
      </x:c>
      <x:c r="I32" s="57" t="b">
        <x:f>AND(A32&gt;3,H32&lt;='Assumptions'!$B$7)</x:f>
        <x:v>1</x:v>
      </x:c>
      <x:c r="J32" s="55" t="n">
        <x:v>0.006777277166537088</x:v>
      </x:c>
      <x:c r="K32" s="55" t="n">
        <x:v>-0.056606461982138034</x:v>
      </x:c>
      <x:c r="L32" s="55" t="n">
        <x:v>-0.012862105422141834</x:v>
      </x:c>
      <x:c r="M32" s="57" t="b">
        <x:f>J32&gt;='Assumptions'!$B$8</x:f>
        <x:v>0</x:v>
      </x:c>
      <x:c r="N32" s="57" t="b">
        <x:f>AND(K32&lt;&gt;"",K32&lt;='Assumptions'!$B$9)</x:f>
        <x:v>1</x:v>
      </x:c>
      <x:c r="O32" s="57" t="b">
        <x:f>AND(P32&lt;&gt;"",ABS(L32)&lt;='Assumptions'!$B$10)</x:f>
        <x:v>0</x:v>
      </x:c>
      <x:c r="P32" s="53" t="n">
        <x:v>43396</x:v>
      </x:c>
      <x:c r="Q32" s="54" t="n">
        <x:v>7010.059</x:v>
      </x:c>
      <x:c r="R32" s="55" t="n">
        <x:v>0.01583</x:v>
      </x:c>
      <x:c r="S32" s="57" t="str">
        <x:f>IF(I32,"DAMAGE SKIP",IF(AND(M32,N32),IF(O32,"TUESDAY RE-ENTRY","GAP/MOM SKIP"),"BASELINE"))</x:f>
        <x:v>DAMAGE SKIP</x:v>
      </x:c>
      <x:c r="T32" s="56" t="n">
        <x:f>IF(I32,0,IF(AND(M32,N32),IF(O32,R32,0),G32))</x:f>
        <x:v>0</x:v>
      </x:c>
      <x:c r="U32" s="56" t="n">
        <x:f>G32*'Assumptions'!$B$6</x:f>
        <x:v>-0.036047</x:v>
      </x:c>
      <x:c r="V32" s="56" t="n">
        <x:f>T32*'Assumptions'!$B$6</x:f>
        <x:v>0</x:v>
      </x:c>
      <x:c r="W32" s="56" t="n">
        <x:f>V32-U32</x:f>
        <x:v>0.036047</x:v>
      </x:c>
      <x:c r="X32" s="58" t="n">
        <x:f>X31*(1+U32)</x:f>
        <x:v>115.74881043451296</x:v>
      </x:c>
      <x:c r="Y32" s="58" t="n">
        <x:f>MAX(Y31,X32)</x:f>
        <x:v>309.6394159768338</x:v>
      </x:c>
      <x:c r="Z32" s="59" t="n">
        <x:f>X32/Y32-1</x:f>
        <x:v>-0.6261819249679346</x:v>
      </x:c>
      <x:c r="AA32" s="58" t="n">
        <x:f>AA31*(1+V32)</x:f>
        <x:v>125.76166161162423</x:v>
      </x:c>
      <x:c r="AB32" s="58" t="n">
        <x:f>MAX(AB31,AA32)</x:f>
        <x:v>309.6394159768338</x:v>
      </x:c>
      <x:c r="AC32" s="59" t="n">
        <x:f>AA32/AB32-1</x:f>
        <x:v>-0.59384479132</x:v>
      </x:c>
      <x:c r="AD32" s="60" t="n">
        <x:f>AA32-X32</x:f>
        <x:v>10.012851177111273</x:v>
      </x:c>
      <x:c r="AE32" s="28" t="str">
        <x:v>Skipped because the previous three rule outcomes totalled at or below the damage threshold.</x:v>
      </x:c>
    </x:row>
    <x:row r="33" ht="18" customHeight="1">
      <x:c r="A33" s="23" t="n">
        <x:v>29</x:v>
      </x:c>
      <x:c r="B33" s="53" t="n">
        <x:v>43402</x:v>
      </x:c>
      <x:c r="C33" s="53" t="n">
        <x:v>43402</x:v>
      </x:c>
      <x:c r="D33" s="23" t="str">
        <x:v>SL</x:v>
      </x:c>
      <x:c r="E33" s="54" t="n">
        <x:v>6940.259</x:v>
      </x:c>
      <x:c r="F33" s="54" t="n">
        <x:v>6590.169</x:v>
      </x:c>
      <x:c r="G33" s="55" t="n">
        <x:v>-0.05044</x:v>
      </x:c>
      <x:c r="H33" s="56" t="n">
        <x:f>SUM(T30:T32)</x:f>
        <x:v>-0.05094</x:v>
      </x:c>
      <x:c r="I33" s="57" t="b">
        <x:f>AND(A33&gt;3,H33&lt;='Assumptions'!$B$7)</x:f>
        <x:v>1</x:v>
      </x:c>
      <x:c r="J33" s="55" t="n">
        <x:v>0.011307423069188971</x:v>
      </x:c>
      <x:c r="K33" s="55" t="n">
        <x:v>-0.10300520932953794</x:v>
      </x:c>
      <x:c r="L33" s="55" t="n">
        <x:v>-0.022991821785158795</x:v>
      </x:c>
      <x:c r="M33" s="57" t="b">
        <x:f>J33&gt;='Assumptions'!$B$8</x:f>
        <x:v>1</x:v>
      </x:c>
      <x:c r="N33" s="57" t="b">
        <x:f>AND(K33&lt;&gt;"",K33&lt;='Assumptions'!$B$9)</x:f>
        <x:v>1</x:v>
      </x:c>
      <x:c r="O33" s="57" t="b">
        <x:f>AND(P33&lt;&gt;"",ABS(L33)&lt;='Assumptions'!$B$10)</x:f>
        <x:v>0</x:v>
      </x:c>
      <x:c r="P33" s="53" t="n">
        <x:v>43403</x:v>
      </x:c>
      <x:c r="Q33" s="54" t="n">
        <x:v>6684.87</x:v>
      </x:c>
      <x:c r="R33" s="55" t="n">
        <x:v>-0.01416</x:v>
      </x:c>
      <x:c r="S33" s="57" t="str">
        <x:f>IF(I33,"DAMAGE SKIP",IF(AND(M33,N33),IF(O33,"TUESDAY RE-ENTRY","GAP/MOM SKIP"),"BASELINE"))</x:f>
        <x:v>DAMAGE SKIP</x:v>
      </x:c>
      <x:c r="T33" s="56" t="n">
        <x:f>IF(I33,0,IF(AND(M33,N33),IF(O33,R33,0),G33))</x:f>
        <x:v>0</x:v>
      </x:c>
      <x:c r="U33" s="56" t="n">
        <x:f>G33*'Assumptions'!$B$6</x:f>
        <x:v>-0.569972</x:v>
      </x:c>
      <x:c r="V33" s="56" t="n">
        <x:f>T33*'Assumptions'!$B$6</x:f>
        <x:v>0</x:v>
      </x:c>
      <x:c r="W33" s="56" t="n">
        <x:f>V33-U33</x:f>
        <x:v>0.569972</x:v>
      </x:c>
      <x:c r="X33" s="58" t="n">
        <x:f>X32*(1+U33)</x:f>
        <x:v>49.77522945353274</x:v>
      </x:c>
      <x:c r="Y33" s="58" t="n">
        <x:f>MAX(Y32,X33)</x:f>
        <x:v>309.6394159768338</x:v>
      </x:c>
      <x:c r="Z33" s="59" t="n">
        <x:f>X33/Y33-1</x:f>
        <x:v>-0.839247760830111</x:v>
      </x:c>
      <x:c r="AA33" s="58" t="n">
        <x:f>AA32*(1+V33)</x:f>
        <x:v>125.76166161162423</x:v>
      </x:c>
      <x:c r="AB33" s="58" t="n">
        <x:f>MAX(AB32,AA33)</x:f>
        <x:v>309.6394159768338</x:v>
      </x:c>
      <x:c r="AC33" s="59" t="n">
        <x:f>AA33/AB33-1</x:f>
        <x:v>-0.59384479132</x:v>
      </x:c>
      <x:c r="AD33" s="60" t="n">
        <x:f>AA33-X33</x:f>
        <x:v>75.9864321580915</x:v>
      </x:c>
      <x:c r="AE33" s="28" t="str">
        <x:v>Skipped because the previous three rule outcomes totalled at or below the damage threshold.</x:v>
      </x:c>
    </x:row>
    <x:row r="34" ht="18" customHeight="1">
      <x:c r="A34" s="23" t="n">
        <x:v>30</x:v>
      </x:c>
      <x:c r="B34" s="53" t="n">
        <x:v>43409</x:v>
      </x:c>
      <x:c r="C34" s="53" t="n">
        <x:v>43413</x:v>
      </x:c>
      <x:c r="D34" s="23" t="str">
        <x:v>TO</x:v>
      </x:c>
      <x:c r="E34" s="54" t="n">
        <x:v>6961.759</x:v>
      </x:c>
      <x:c r="F34" s="54" t="n">
        <x:v>7030.97</x:v>
      </x:c>
      <x:c r="G34" s="55" t="n">
        <x:v>0.00994</x:v>
      </x:c>
      <x:c r="H34" s="56" t="n">
        <x:f>SUM(T31:T33)</x:f>
        <x:v>0</x:v>
      </x:c>
      <x:c r="I34" s="57" t="b">
        <x:f>AND(A34&gt;3,H34&lt;='Assumptions'!$B$7)</x:f>
        <x:v>0</x:v>
      </x:c>
      <x:c r="J34" s="55" t="n">
        <x:v>0.000057316386453232226</x:v>
      </x:c>
      <x:c r="K34" s="55" t="n">
        <x:v>-0.059735784032165506</x:v>
      </x:c>
      <x:c r="L34" s="55" t="n">
        <x:v>-0.0025854143141863517</x:v>
      </x:c>
      <x:c r="M34" s="57" t="b">
        <x:f>J34&gt;='Assumptions'!$B$8</x:f>
        <x:v>0</x:v>
      </x:c>
      <x:c r="N34" s="57" t="b">
        <x:f>AND(K34&lt;&gt;"",K34&lt;='Assumptions'!$B$9)</x:f>
        <x:v>1</x:v>
      </x:c>
      <x:c r="O34" s="57" t="b">
        <x:f>AND(P34&lt;&gt;"",ABS(L34)&lt;='Assumptions'!$B$10)</x:f>
        <x:v>1</x:v>
      </x:c>
      <x:c r="P34" s="53" t="n">
        <x:v>43410</x:v>
      </x:c>
      <x:c r="Q34" s="54" t="n">
        <x:v>6932.56</x:v>
      </x:c>
      <x:c r="R34" s="55" t="n">
        <x:v>0.01419</x:v>
      </x:c>
      <x:c r="S34" s="57" t="str">
        <x:f>IF(I34,"DAMAGE SKIP",IF(AND(M34,N34),IF(O34,"TUESDAY RE-ENTRY","GAP/MOM SKIP"),"BASELINE"))</x:f>
        <x:v>BASELINE</x:v>
      </x:c>
      <x:c r="T34" s="56" t="n">
        <x:f>IF(I34,0,IF(AND(M34,N34),IF(O34,R34,0),G34))</x:f>
        <x:v>0.00994</x:v>
      </x:c>
      <x:c r="U34" s="56" t="n">
        <x:f>G34*'Assumptions'!$B$6</x:f>
        <x:v>0.11232199999999999</x:v>
      </x:c>
      <x:c r="V34" s="56" t="n">
        <x:f>T34*'Assumptions'!$B$6</x:f>
        <x:v>0.11232199999999999</x:v>
      </x:c>
      <x:c r="W34" s="56" t="n">
        <x:f>V34-U34</x:f>
        <x:v>0</x:v>
      </x:c>
      <x:c r="X34" s="58" t="n">
        <x:f>X33*(1+U34)</x:f>
        <x:v>55.366082776212444</x:v>
      </x:c>
      <x:c r="Y34" s="58" t="n">
        <x:f>MAX(Y33,X34)</x:f>
        <x:v>309.6394159768338</x:v>
      </x:c>
      <x:c r="Z34" s="59" t="n">
        <x:f>X34/Y34-1</x:f>
        <x:v>-0.8211917478220707</x:v>
      </x:c>
      <x:c r="AA34" s="58" t="n">
        <x:f>AA33*(1+V34)</x:f>
        <x:v>139.8874629671651</x:v>
      </x:c>
      <x:c r="AB34" s="58" t="n">
        <x:f>MAX(AB33,AA34)</x:f>
        <x:v>309.6394159768338</x:v>
      </x:c>
      <x:c r="AC34" s="59" t="n">
        <x:f>AA34/AB34-1</x:f>
        <x:v>-0.5482246259706451</x:v>
      </x:c>
      <x:c r="AD34" s="60" t="n">
        <x:f>AA34-X34</x:f>
        <x:v>84.52138019095267</x:v>
      </x:c>
      <x:c r="AE34" s="28" t="str">
        <x:v>Baseline trade unchanged.</x:v>
      </x:c>
    </x:row>
    <x:row r="35" ht="18" customHeight="1">
      <x:c r="A35" s="23" t="n">
        <x:v>31</x:v>
      </x:c>
      <x:c r="B35" s="53" t="n">
        <x:v>43416</x:v>
      </x:c>
      <x:c r="C35" s="53" t="n">
        <x:v>43419</x:v>
      </x:c>
      <x:c r="D35" s="23" t="str">
        <x:v>TSL1PRE</x:v>
      </x:c>
      <x:c r="E35" s="54" t="n">
        <x:v>6984.77</x:v>
      </x:c>
      <x:c r="F35" s="54" t="n">
        <x:v>6769.069</x:v>
      </x:c>
      <x:c r="G35" s="55" t="n">
        <x:v>-0.03088</x:v>
      </x:c>
      <x:c r="H35" s="56" t="n">
        <x:f>SUM(T32:T34)</x:f>
        <x:v>0.00994</x:v>
      </x:c>
      <x:c r="I35" s="57" t="b">
        <x:f>AND(A35&gt;3,H35&lt;='Assumptions'!$B$7)</x:f>
        <x:v>0</x:v>
      </x:c>
      <x:c r="J35" s="55" t="n">
        <x:v>-0.006570928335634996</x:v>
      </x:c>
      <x:c r="K35" s="55" t="n">
        <x:v>-0.015997889333940862</x:v>
      </x:c>
      <x:c r="L35" s="55" t="n">
        <x:v>-0.025502120606444745</x:v>
      </x:c>
      <x:c r="M35" s="57" t="b">
        <x:f>J35&gt;='Assumptions'!$B$8</x:f>
        <x:v>0</x:v>
      </x:c>
      <x:c r="N35" s="57" t="b">
        <x:f>AND(K35&lt;&gt;"",K35&lt;='Assumptions'!$B$9)</x:f>
        <x:v>1</x:v>
      </x:c>
      <x:c r="O35" s="57" t="b">
        <x:f>AND(P35&lt;&gt;"",ABS(L35)&lt;='Assumptions'!$B$10)</x:f>
        <x:v>0</x:v>
      </x:c>
      <x:c r="P35" s="53" t="n">
        <x:v>43417</x:v>
      </x:c>
      <x:c r="Q35" s="54" t="n">
        <x:v>6854.77</x:v>
      </x:c>
      <x:c r="R35" s="55" t="n">
        <x:v>-0.0125</x:v>
      </x:c>
      <x:c r="S35" s="57" t="str">
        <x:f>IF(I35,"DAMAGE SKIP",IF(AND(M35,N35),IF(O35,"TUESDAY RE-ENTRY","GAP/MOM SKIP"),"BASELINE"))</x:f>
        <x:v>BASELINE</x:v>
      </x:c>
      <x:c r="T35" s="56" t="n">
        <x:f>IF(I35,0,IF(AND(M35,N35),IF(O35,R35,0),G35))</x:f>
        <x:v>-0.03088</x:v>
      </x:c>
      <x:c r="U35" s="56" t="n">
        <x:f>G35*'Assumptions'!$B$6</x:f>
        <x:v>-0.34894400000000003</x:v>
      </x:c>
      <x:c r="V35" s="56" t="n">
        <x:f>T35*'Assumptions'!$B$6</x:f>
        <x:v>-0.34894400000000003</x:v>
      </x:c>
      <x:c r="W35" s="56" t="n">
        <x:f>V35-U35</x:f>
        <x:v>0</x:v>
      </x:c>
      <x:c r="X35" s="58" t="n">
        <x:f>X34*(1+U35)</x:f>
        <x:v>36.046420387949766</x:v>
      </x:c>
      <x:c r="Y35" s="58" t="n">
        <x:f>MAX(Y34,X35)</x:f>
        <x:v>309.6394159768338</x:v>
      </x:c>
      <x:c r="Z35" s="59" t="n">
        <x:f>X35/Y35-1</x:f>
        <x:v>-0.883585814570046</x:v>
      </x:c>
      <x:c r="AA35" s="58" t="n">
        <x:f>AA34*(1+V35)</x:f>
        <x:v>91.07457208955064</x:v>
      </x:c>
      <x:c r="AB35" s="58" t="n">
        <x:f>MAX(AB34,AA35)</x:f>
        <x:v>309.6394159768338</x:v>
      </x:c>
      <x:c r="AC35" s="59" t="n">
        <x:f>AA35/AB35-1</x:f>
        <x:v>-0.7058689320859444</x:v>
      </x:c>
      <x:c r="AD35" s="60" t="n">
        <x:f>AA35-X35</x:f>
        <x:v>55.028151701600876</x:v>
      </x:c>
      <x:c r="AE35" s="28" t="str">
        <x:v>Baseline trade unchanged.</x:v>
      </x:c>
    </x:row>
    <x:row r="36" ht="18" customHeight="1">
      <x:c r="A36" s="23" t="n">
        <x:v>32</x:v>
      </x:c>
      <x:c r="B36" s="53" t="n">
        <x:v>43423</x:v>
      </x:c>
      <x:c r="C36" s="53" t="n">
        <x:v>43424</x:v>
      </x:c>
      <x:c r="D36" s="23" t="str">
        <x:v>SLPRE</x:v>
      </x:c>
      <x:c r="E36" s="54" t="n">
        <x:v>6832.46</x:v>
      </x:c>
      <x:c r="F36" s="54" t="n">
        <x:v>6482.859</x:v>
      </x:c>
      <x:c r="G36" s="55" t="n">
        <x:v>-0.05116</x:v>
      </x:c>
      <x:c r="H36" s="56" t="n">
        <x:f>SUM(T33:T35)</x:f>
        <x:v>-0.02094</x:v>
      </x:c>
      <x:c r="I36" s="57" t="b">
        <x:f>AND(A36&gt;3,H36&lt;='Assumptions'!$B$7)</x:f>
        <x:v>1</x:v>
      </x:c>
      <x:c r="J36" s="55" t="n">
        <x:v>-0.005300726320340843</x:v>
      </x:c>
      <x:c r="K36" s="55" t="n">
        <x:v>-0.03180184262196051</x:v>
      </x:c>
      <x:c r="L36" s="55" t="n">
        <x:v>-0.05444868058978791</x:v>
      </x:c>
      <x:c r="M36" s="57" t="b">
        <x:f>J36&gt;='Assumptions'!$B$8</x:f>
        <x:v>0</x:v>
      </x:c>
      <x:c r="N36" s="57" t="b">
        <x:f>AND(K36&lt;&gt;"",K36&lt;='Assumptions'!$B$9)</x:f>
        <x:v>1</x:v>
      </x:c>
      <x:c r="O36" s="57" t="b">
        <x:f>AND(P36&lt;&gt;"",ABS(L36)&lt;='Assumptions'!$B$10)</x:f>
        <x:v>0</x:v>
      </x:c>
      <x:c r="P36" s="53" t="n">
        <x:v>43424</x:v>
      </x:c>
      <x:c r="Q36" s="54" t="n">
        <x:v>6488.569</x:v>
      </x:c>
      <x:c r="R36" s="55" t="n">
        <x:v>-0.00088</x:v>
      </x:c>
      <x:c r="S36" s="57" t="str">
        <x:f>IF(I36,"DAMAGE SKIP",IF(AND(M36,N36),IF(O36,"TUESDAY RE-ENTRY","GAP/MOM SKIP"),"BASELINE"))</x:f>
        <x:v>DAMAGE SKIP</x:v>
      </x:c>
      <x:c r="T36" s="56" t="n">
        <x:f>IF(I36,0,IF(AND(M36,N36),IF(O36,R36,0),G36))</x:f>
        <x:v>0</x:v>
      </x:c>
      <x:c r="U36" s="56" t="n">
        <x:f>G36*'Assumptions'!$B$6</x:f>
        <x:v>-0.578108</x:v>
      </x:c>
      <x:c r="V36" s="56" t="n">
        <x:f>T36*'Assumptions'!$B$6</x:f>
        <x:v>0</x:v>
      </x:c>
      <x:c r="W36" s="56" t="n">
        <x:f>V36-U36</x:f>
        <x:v>0.578108</x:v>
      </x:c>
      <x:c r="X36" s="58" t="n">
        <x:f>X35*(1+U36)</x:f>
        <x:v>15.207696390312904</x:v>
      </x:c>
      <x:c r="Y36" s="58" t="n">
        <x:f>MAX(Y35,X36)</x:f>
        <x:v>309.6394159768338</x:v>
      </x:c>
      <x:c r="Z36" s="59" t="n">
        <x:f>X36/Y36-1</x:f>
        <x:v>-0.9508857864805859</x:v>
      </x:c>
      <x:c r="AA36" s="58" t="n">
        <x:f>AA35*(1+V36)</x:f>
        <x:v>91.07457208955064</x:v>
      </x:c>
      <x:c r="AB36" s="58" t="n">
        <x:f>MAX(AB35,AA36)</x:f>
        <x:v>309.6394159768338</x:v>
      </x:c>
      <x:c r="AC36" s="59" t="n">
        <x:f>AA36/AB36-1</x:f>
        <x:v>-0.7058689320859444</x:v>
      </x:c>
      <x:c r="AD36" s="60" t="n">
        <x:f>AA36-X36</x:f>
        <x:v>75.86687569923774</x:v>
      </x:c>
      <x:c r="AE36" s="28" t="str">
        <x:v>Skipped because the previous three rule outcomes totalled at or below the damage threshold.</x:v>
      </x:c>
    </x:row>
    <x:row r="37" ht="18" customHeight="1">
      <x:c r="A37" s="23" t="n">
        <x:v>33</x:v>
      </x:c>
      <x:c r="B37" s="53" t="n">
        <x:v>43430</x:v>
      </x:c>
      <x:c r="C37" s="53" t="n">
        <x:v>43430</x:v>
      </x:c>
      <x:c r="D37" s="23" t="str">
        <x:v>CH</x:v>
      </x:c>
      <x:c r="E37" s="54" t="n">
        <x:v>6615.27</x:v>
      </x:c>
      <x:c r="F37" s="54" t="n">
        <x:v>6684.76</x:v>
      </x:c>
      <x:c r="G37" s="55" t="n">
        <x:v>0.0105</x:v>
      </x:c>
      <x:c r="H37" s="56" t="n">
        <x:f>SUM(T34:T36)</x:f>
        <x:v>-0.02094</x:v>
      </x:c>
      <x:c r="I37" s="57" t="b">
        <x:f>AND(A37&gt;3,H37&lt;='Assumptions'!$B$7)</x:f>
        <x:v>1</x:v>
      </x:c>
      <x:c r="J37" s="55" t="n">
        <x:v>0.014134448963448287</x:v>
      </x:c>
      <x:c r="K37" s="55" t="n">
        <x:v>-0.0691237481898781</x:v>
      </x:c>
      <x:c r="L37" s="55" t="n">
        <x:v>0.017387594355103397</x:v>
      </x:c>
      <x:c r="M37" s="57" t="b">
        <x:f>J37&gt;='Assumptions'!$B$8</x:f>
        <x:v>1</x:v>
      </x:c>
      <x:c r="N37" s="57" t="b">
        <x:f>AND(K37&lt;&gt;"",K37&lt;='Assumptions'!$B$9)</x:f>
        <x:v>1</x:v>
      </x:c>
      <x:c r="O37" s="57" t="b">
        <x:f>AND(P37&lt;&gt;"",ABS(L37)&lt;='Assumptions'!$B$10)</x:f>
        <x:v>0</x:v>
      </x:c>
      <x:c r="P37" s="53" t="n">
        <x:v>43431</x:v>
      </x:c>
      <x:c r="Q37" s="54" t="n">
        <x:v>6638.47</x:v>
      </x:c>
      <x:c r="R37" s="55" t="n">
        <x:v>0.00697</x:v>
      </x:c>
      <x:c r="S37" s="57" t="str">
        <x:f>IF(I37,"DAMAGE SKIP",IF(AND(M37,N37),IF(O37,"TUESDAY RE-ENTRY","GAP/MOM SKIP"),"BASELINE"))</x:f>
        <x:v>DAMAGE SKIP</x:v>
      </x:c>
      <x:c r="T37" s="56" t="n">
        <x:f>IF(I37,0,IF(AND(M37,N37),IF(O37,R37,0),G37))</x:f>
        <x:v>0</x:v>
      </x:c>
      <x:c r="U37" s="56" t="n">
        <x:f>G37*'Assumptions'!$B$6</x:f>
        <x:v>0.11865000000000002</x:v>
      </x:c>
      <x:c r="V37" s="56" t="n">
        <x:f>T37*'Assumptions'!$B$6</x:f>
        <x:v>0</x:v>
      </x:c>
      <x:c r="W37" s="56" t="n">
        <x:f>V37-U37</x:f>
        <x:v>-0.11865000000000002</x:v>
      </x:c>
      <x:c r="X37" s="58" t="n">
        <x:f>X36*(1+U37)</x:f>
        <x:v>17.01208956702353</x:v>
      </x:c>
      <x:c r="Y37" s="58" t="n">
        <x:f>MAX(Y36,X37)</x:f>
        <x:v>309.6394159768338</x:v>
      </x:c>
      <x:c r="Z37" s="59" t="n">
        <x:f>X37/Y37-1</x:f>
        <x:v>-0.9450583850465074</x:v>
      </x:c>
      <x:c r="AA37" s="58" t="n">
        <x:f>AA36*(1+V37)</x:f>
        <x:v>91.07457208955064</x:v>
      </x:c>
      <x:c r="AB37" s="58" t="n">
        <x:f>MAX(AB36,AA37)</x:f>
        <x:v>309.6394159768338</x:v>
      </x:c>
      <x:c r="AC37" s="59" t="n">
        <x:f>AA37/AB37-1</x:f>
        <x:v>-0.7058689320859444</x:v>
      </x:c>
      <x:c r="AD37" s="60" t="n">
        <x:f>AA37-X37</x:f>
        <x:v>74.06248252252712</x:v>
      </x:c>
      <x:c r="AE37" s="28" t="str">
        <x:v>Skipped because the previous three rule outcomes totalled at or below the damage threshold.</x:v>
      </x:c>
    </x:row>
    <x:row r="38" ht="18" customHeight="1">
      <x:c r="A38" s="23" t="n">
        <x:v>34</x:v>
      </x:c>
      <x:c r="B38" s="53" t="n">
        <x:v>43437</x:v>
      </x:c>
      <x:c r="C38" s="53" t="n">
        <x:v>43440</x:v>
      </x:c>
      <x:c r="D38" s="23" t="str">
        <x:v>TSL1PRE</x:v>
      </x:c>
      <x:c r="E38" s="54" t="n">
        <x:v>7092.869</x:v>
      </x:c>
      <x:c r="F38" s="54" t="n">
        <x:v>6827.869</x:v>
      </x:c>
      <x:c r="G38" s="55" t="n">
        <x:v>-0.03736</x:v>
      </x:c>
      <x:c r="H38" s="56" t="n">
        <x:f>SUM(T35:T37)</x:f>
        <x:v>-0.03088</x:v>
      </x:c>
      <x:c r="I38" s="57" t="b">
        <x:f>AND(A38&gt;3,H38&lt;='Assumptions'!$B$7)</x:f>
        <x:v>1</x:v>
      </x:c>
      <x:c r="J38" s="55" t="n">
        <x:v>0.021619616035043032</x:v>
      </x:c>
      <x:c r="K38" s="55" t="n">
        <x:v>-0.015623386484434287</x:v>
      </x:c>
      <x:c r="L38" s="55" t="n">
        <x:v>0.011878829765570531</x:v>
      </x:c>
      <x:c r="M38" s="57" t="b">
        <x:f>J38&gt;='Assumptions'!$B$8</x:f>
        <x:v>1</x:v>
      </x:c>
      <x:c r="N38" s="57" t="b">
        <x:f>AND(K38&lt;&gt;"",K38&lt;='Assumptions'!$B$9)</x:f>
        <x:v>1</x:v>
      </x:c>
      <x:c r="O38" s="57" t="b">
        <x:f>AND(P38&lt;&gt;"",ABS(L38)&lt;='Assumptions'!$B$10)</x:f>
        <x:v>0</x:v>
      </x:c>
      <x:c r="P38" s="53" t="n">
        <x:v>43438</x:v>
      </x:c>
      <x:c r="Q38" s="54" t="n">
        <x:v>7023.07</x:v>
      </x:c>
      <x:c r="R38" s="55" t="n">
        <x:v>-0.02779</x:v>
      </x:c>
      <x:c r="S38" s="57" t="str">
        <x:f>IF(I38,"DAMAGE SKIP",IF(AND(M38,N38),IF(O38,"TUESDAY RE-ENTRY","GAP/MOM SKIP"),"BASELINE"))</x:f>
        <x:v>DAMAGE SKIP</x:v>
      </x:c>
      <x:c r="T38" s="56" t="n">
        <x:f>IF(I38,0,IF(AND(M38,N38),IF(O38,R38,0),G38))</x:f>
        <x:v>0</x:v>
      </x:c>
      <x:c r="U38" s="56" t="n">
        <x:f>G38*'Assumptions'!$B$6</x:f>
        <x:v>-0.422168</x:v>
      </x:c>
      <x:c r="V38" s="56" t="n">
        <x:f>T38*'Assumptions'!$B$6</x:f>
        <x:v>0</x:v>
      </x:c>
      <x:c r="W38" s="56" t="n">
        <x:f>V38-U38</x:f>
        <x:v>0.422168</x:v>
      </x:c>
      <x:c r="X38" s="58" t="n">
        <x:f>X37*(1+U38)</x:f>
        <x:v>9.83012973869234</x:v>
      </x:c>
      <x:c r="Y38" s="58" t="n">
        <x:f>MAX(Y37,X38)</x:f>
        <x:v>309.6394159768338</x:v>
      </x:c>
      <x:c r="Z38" s="59" t="n">
        <x:f>X38/Y38-1</x:f>
        <x:v>-0.9682529767481934</x:v>
      </x:c>
      <x:c r="AA38" s="58" t="n">
        <x:f>AA37*(1+V38)</x:f>
        <x:v>91.07457208955064</x:v>
      </x:c>
      <x:c r="AB38" s="58" t="n">
        <x:f>MAX(AB37,AA38)</x:f>
        <x:v>309.6394159768338</x:v>
      </x:c>
      <x:c r="AC38" s="59" t="n">
        <x:f>AA38/AB38-1</x:f>
        <x:v>-0.7058689320859444</x:v>
      </x:c>
      <x:c r="AD38" s="60" t="n">
        <x:f>AA38-X38</x:f>
        <x:v>81.24444235085831</x:v>
      </x:c>
      <x:c r="AE38" s="28" t="str">
        <x:v>Skipped because the previous three rule outcomes totalled at or below the damage threshold.</x:v>
      </x:c>
    </x:row>
    <x:row r="39" ht="18" customHeight="1">
      <x:c r="A39" s="23" t="n">
        <x:v>35</x:v>
      </x:c>
      <x:c r="B39" s="53" t="n">
        <x:v>43444</x:v>
      </x:c>
      <x:c r="C39" s="53" t="n">
        <x:v>43444</x:v>
      </x:c>
      <x:c r="D39" s="23" t="str">
        <x:v>CH</x:v>
      </x:c>
      <x:c r="E39" s="54" t="n">
        <x:v>6601.269</x:v>
      </x:c>
      <x:c r="F39" s="54" t="n">
        <x:v>6690.17</x:v>
      </x:c>
      <x:c r="G39" s="55" t="n">
        <x:v>0.01346</x:v>
      </x:c>
      <x:c r="H39" s="56" t="n">
        <x:f>SUM(T36:T38)</x:f>
        <x:v>0</x:v>
      </x:c>
      <x:c r="I39" s="57" t="b">
        <x:f>AND(A39&gt;3,H39&lt;='Assumptions'!$B$7)</x:f>
        <x:v>0</x:v>
      </x:c>
      <x:c r="J39" s="55" t="n">
        <x:v>-0.0015414144530859764</x:v>
      </x:c>
      <x:c r="K39" s="55" t="n">
        <x:v>-0.08094192158193303</x:v>
      </x:c>
      <x:c r="L39" s="55" t="n">
        <x:v>0.02648333214593368</x:v>
      </x:c>
      <x:c r="M39" s="57" t="b">
        <x:f>J39&gt;='Assumptions'!$B$8</x:f>
        <x:v>0</x:v>
      </x:c>
      <x:c r="N39" s="57" t="b">
        <x:f>AND(K39&lt;&gt;"",K39&lt;='Assumptions'!$B$9)</x:f>
        <x:v>1</x:v>
      </x:c>
      <x:c r="O39" s="57" t="b">
        <x:f>AND(P39&lt;&gt;"",ABS(L39)&lt;='Assumptions'!$B$10)</x:f>
        <x:v>0</x:v>
      </x:c>
      <x:c r="P39" s="53" t="n">
        <x:v>43445</x:v>
      </x:c>
      <x:c r="Q39" s="54" t="n">
        <x:v>6785.66</x:v>
      </x:c>
      <x:c r="R39" s="55" t="n">
        <x:v>-0.01407</x:v>
      </x:c>
      <x:c r="S39" s="57" t="str">
        <x:f>IF(I39,"DAMAGE SKIP",IF(AND(M39,N39),IF(O39,"TUESDAY RE-ENTRY","GAP/MOM SKIP"),"BASELINE"))</x:f>
        <x:v>BASELINE</x:v>
      </x:c>
      <x:c r="T39" s="56" t="n">
        <x:f>IF(I39,0,IF(AND(M39,N39),IF(O39,R39,0),G39))</x:f>
        <x:v>0.01346</x:v>
      </x:c>
      <x:c r="U39" s="56" t="n">
        <x:f>G39*'Assumptions'!$B$6</x:f>
        <x:v>0.152098</x:v>
      </x:c>
      <x:c r="V39" s="56" t="n">
        <x:f>T39*'Assumptions'!$B$6</x:f>
        <x:v>0.152098</x:v>
      </x:c>
      <x:c r="W39" s="56" t="n">
        <x:f>V39-U39</x:f>
        <x:v>0</x:v>
      </x:c>
      <x:c r="X39" s="58" t="n">
        <x:f>X38*(1+U39)</x:f>
        <x:v>11.325272811687968</x:v>
      </x:c>
      <x:c r="Y39" s="58" t="n">
        <x:f>MAX(Y38,X39)</x:f>
        <x:v>309.6394159768338</x:v>
      </x:c>
      <x:c r="Z39" s="59" t="n">
        <x:f>X39/Y39-1</x:f>
        <x:v>-0.9634243180056402</x:v>
      </x:c>
      <x:c r="AA39" s="58" t="n">
        <x:f>AA38*(1+V39)</x:f>
        <x:v>104.92683235522712</x:v>
      </x:c>
      <x:c r="AB39" s="58" t="n">
        <x:f>MAX(AB38,AA39)</x:f>
        <x:v>309.6394159768338</x:v>
      </x:c>
      <x:c r="AC39" s="59" t="n">
        <x:f>AA39/AB39-1</x:f>
        <x:v>-0.6611321849183522</x:v>
      </x:c>
      <x:c r="AD39" s="60" t="n">
        <x:f>AA39-X39</x:f>
        <x:v>93.60155954353915</x:v>
      </x:c>
      <x:c r="AE39" s="28" t="str">
        <x:v>Baseline trade unchanged.</x:v>
      </x:c>
    </x:row>
    <x:row r="40" ht="18" customHeight="1">
      <x:c r="A40" s="23" t="n">
        <x:v>36</x:v>
      </x:c>
      <x:c r="B40" s="53" t="n">
        <x:v>43451</x:v>
      </x:c>
      <x:c r="C40" s="53" t="n">
        <x:v>43453</x:v>
      </x:c>
      <x:c r="D40" s="23" t="str">
        <x:v>BH</x:v>
      </x:c>
      <x:c r="E40" s="54" t="n">
        <x:v>6570.67</x:v>
      </x:c>
      <x:c r="F40" s="54" t="n">
        <x:v>6544.38732</x:v>
      </x:c>
      <x:c r="G40" s="55" t="n">
        <x:v>-0.004</x:v>
      </x:c>
      <x:c r="H40" s="56" t="n">
        <x:f>SUM(T37:T39)</x:f>
        <x:v>0.01346</x:v>
      </x:c>
      <x:c r="I40" s="57" t="b">
        <x:f>AND(A40&gt;3,H40&lt;='Assumptions'!$B$7)</x:f>
        <x:v>0</x:v>
      </x:c>
      <x:c r="J40" s="55" t="n">
        <x:v>-0.004394159101894446</x:v>
      </x:c>
      <x:c r="K40" s="55" t="n">
        <x:v>-0.024880406995874238</x:v>
      </x:c>
      <x:c r="L40" s="55" t="n">
        <x:v>-0.014756268494004021</x:v>
      </x:c>
      <x:c r="M40" s="57" t="b">
        <x:f>J40&gt;='Assumptions'!$B$8</x:f>
        <x:v>0</x:v>
      </x:c>
      <x:c r="N40" s="57" t="b">
        <x:f>AND(K40&lt;&gt;"",K40&lt;='Assumptions'!$B$9)</x:f>
        <x:v>1</x:v>
      </x:c>
      <x:c r="O40" s="57" t="b">
        <x:f>AND(P40&lt;&gt;"",ABS(L40)&lt;='Assumptions'!$B$10)</x:f>
        <x:v>0</x:v>
      </x:c>
      <x:c r="P40" s="53" t="n">
        <x:v>43452</x:v>
      </x:c>
      <x:c r="Q40" s="54" t="n">
        <x:v>6497.569</x:v>
      </x:c>
      <x:c r="R40" s="55" t="n">
        <x:v>0.0072</x:v>
      </x:c>
      <x:c r="S40" s="57" t="str">
        <x:f>IF(I40,"DAMAGE SKIP",IF(AND(M40,N40),IF(O40,"TUESDAY RE-ENTRY","GAP/MOM SKIP"),"BASELINE"))</x:f>
        <x:v>BASELINE</x:v>
      </x:c>
      <x:c r="T40" s="56" t="n">
        <x:f>IF(I40,0,IF(AND(M40,N40),IF(O40,R40,0),G40))</x:f>
        <x:v>-0.004</x:v>
      </x:c>
      <x:c r="U40" s="56" t="n">
        <x:f>G40*'Assumptions'!$B$6</x:f>
        <x:v>-0.045200000000000004</x:v>
      </x:c>
      <x:c r="V40" s="56" t="n">
        <x:f>T40*'Assumptions'!$B$6</x:f>
        <x:v>-0.045200000000000004</x:v>
      </x:c>
      <x:c r="W40" s="56" t="n">
        <x:f>V40-U40</x:f>
        <x:v>0</x:v>
      </x:c>
      <x:c r="X40" s="58" t="n">
        <x:f>X39*(1+U40)</x:f>
        <x:v>10.813370480599673</x:v>
      </x:c>
      <x:c r="Y40" s="58" t="n">
        <x:f>MAX(Y39,X40)</x:f>
        <x:v>309.6394159768338</x:v>
      </x:c>
      <x:c r="Z40" s="59" t="n">
        <x:f>X40/Y40-1</x:f>
        <x:v>-0.9650775388317853</x:v>
      </x:c>
      <x:c r="AA40" s="58" t="n">
        <x:f>AA39*(1+V40)</x:f>
        <x:v>100.18413953277086</x:v>
      </x:c>
      <x:c r="AB40" s="58" t="n">
        <x:f>MAX(AB39,AA40)</x:f>
        <x:v>309.6394159768338</x:v>
      </x:c>
      <x:c r="AC40" s="59" t="n">
        <x:f>AA40/AB40-1</x:f>
        <x:v>-0.6764490101600427</x:v>
      </x:c>
      <x:c r="AD40" s="60" t="n">
        <x:f>AA40-X40</x:f>
        <x:v>89.37076905217118</x:v>
      </x:c>
      <x:c r="AE40" s="28" t="str">
        <x:v>Baseline trade unchanged.</x:v>
      </x:c>
    </x:row>
    <x:row r="41" ht="18" customHeight="1">
      <x:c r="A41" s="23" t="n">
        <x:v>37</x:v>
      </x:c>
      <x:c r="B41" s="53" t="n">
        <x:v>43458</x:v>
      </x:c>
      <x:c r="C41" s="53" t="n">
        <x:v>43460</x:v>
      </x:c>
      <x:c r="D41" s="23" t="str">
        <x:v>CH</x:v>
      </x:c>
      <x:c r="E41" s="54" t="n">
        <x:v>6001.06</x:v>
      </x:c>
      <x:c r="F41" s="54" t="n">
        <x:v>6272.67</x:v>
      </x:c>
      <x:c r="G41" s="55" t="n">
        <x:v>0.04526</x:v>
      </x:c>
      <x:c r="H41" s="56" t="n">
        <x:f>SUM(T38:T40)</x:f>
        <x:v>0.00946</x:v>
      </x:c>
      <x:c r="I41" s="57" t="b">
        <x:f>AND(A41&gt;3,H41&lt;='Assumptions'!$B$7)</x:f>
        <x:v>0</x:v>
      </x:c>
      <x:c r="J41" s="55" t="n">
        <x:v>-0.007064973967360277</x:v>
      </x:c>
      <x:c r="K41" s="55" t="n">
        <x:v>-0.07971869358066053</x:v>
      </x:c>
      <x:c r="L41" s="55"/>
      <x:c r="M41" s="57" t="b">
        <x:f>J41&gt;='Assumptions'!$B$8</x:f>
        <x:v>0</x:v>
      </x:c>
      <x:c r="N41" s="57" t="b">
        <x:f>AND(K41&lt;&gt;"",K41&lt;='Assumptions'!$B$9)</x:f>
        <x:v>1</x:v>
      </x:c>
      <x:c r="O41" s="57" t="b">
        <x:f>AND(P41&lt;&gt;"",ABS(L41)&lt;='Assumptions'!$B$10)</x:f>
        <x:v>0</x:v>
      </x:c>
      <x:c r="P41" s="53"/>
      <x:c r="Q41" s="54"/>
      <x:c r="R41" s="55"/>
      <x:c r="S41" s="57" t="str">
        <x:f>IF(I41,"DAMAGE SKIP",IF(AND(M41,N41),IF(O41,"TUESDAY RE-ENTRY","GAP/MOM SKIP"),"BASELINE"))</x:f>
        <x:v>BASELINE</x:v>
      </x:c>
      <x:c r="T41" s="56" t="n">
        <x:f>IF(I41,0,IF(AND(M41,N41),IF(O41,R41,0),G41))</x:f>
        <x:v>0.04526</x:v>
      </x:c>
      <x:c r="U41" s="56" t="n">
        <x:f>G41*'Assumptions'!$B$6</x:f>
        <x:v>0.5114380000000001</x:v>
      </x:c>
      <x:c r="V41" s="56" t="n">
        <x:f>T41*'Assumptions'!$B$6</x:f>
        <x:v>0.5114380000000001</x:v>
      </x:c>
      <x:c r="W41" s="56" t="n">
        <x:f>V41-U41</x:f>
        <x:v>0</x:v>
      </x:c>
      <x:c r="X41" s="58" t="n">
        <x:f>X40*(1+U41)</x:f>
        <x:v>16.34373905245661</x:v>
      </x:c>
      <x:c r="Y41" s="58" t="n">
        <x:f>MAX(Y40,X41)</x:f>
        <x:v>309.6394159768338</x:v>
      </x:c>
      <x:c r="Z41" s="59" t="n">
        <x:f>X41/Y41-1</x:f>
        <x:v>-0.9472168651368358</x:v>
      </x:c>
      <x:c r="AA41" s="58" t="n">
        <x:f>AA40*(1+V41)</x:f>
        <x:v>151.42211548713212</x:v>
      </x:c>
      <x:c r="AB41" s="58" t="n">
        <x:f>MAX(AB40,AA41)</x:f>
        <x:v>309.6394159768338</x:v>
      </x:c>
      <x:c r="AC41" s="59" t="n">
        <x:f>AA41/AB41-1</x:f>
        <x:v>-0.5109727390182747</x:v>
      </x:c>
      <x:c r="AD41" s="60" t="n">
        <x:f>AA41-X41</x:f>
        <x:v>135.0783764346755</x:v>
      </x:c>
      <x:c r="AE41" s="28" t="str">
        <x:v>Baseline trade unchanged.</x:v>
      </x:c>
    </x:row>
    <x:row r="42" ht="18" customHeight="1">
      <x:c r="A42" s="23" t="n">
        <x:v>38</x:v>
      </x:c>
      <x:c r="B42" s="53" t="n">
        <x:v>43465</x:v>
      </x:c>
      <x:c r="C42" s="53" t="n">
        <x:v>43468</x:v>
      </x:c>
      <x:c r="D42" s="23" t="str">
        <x:v>TSL1PRE</x:v>
      </x:c>
      <x:c r="E42" s="54" t="n">
        <x:v>6340.659</x:v>
      </x:c>
      <x:c r="F42" s="54" t="n">
        <x:v>6221.77</x:v>
      </x:c>
      <x:c r="G42" s="55" t="n">
        <x:v>-0.01875</x:v>
      </x:c>
      <x:c r="H42" s="56" t="n">
        <x:f>SUM(T39:T41)</x:f>
        <x:v>0.054720000000000005</x:v>
      </x:c>
      <x:c r="I42" s="57" t="b">
        <x:f>AND(A42&gt;3,H42&lt;='Assumptions'!$B$7)</x:f>
        <x:v>0</x:v>
      </x:c>
      <x:c r="J42" s="55" t="n">
        <x:v>0.011000261652839072</x:v>
      </x:c>
      <x:c r="K42" s="55" t="n">
        <x:v>-0.09060383974426489</x:v>
      </x:c>
      <x:c r="L42" s="55"/>
      <x:c r="M42" s="57" t="b">
        <x:f>J42&gt;='Assumptions'!$B$8</x:f>
        <x:v>1</x:v>
      </x:c>
      <x:c r="N42" s="57" t="b">
        <x:f>AND(K42&lt;&gt;"",K42&lt;='Assumptions'!$B$9)</x:f>
        <x:v>1</x:v>
      </x:c>
      <x:c r="O42" s="57" t="b">
        <x:f>AND(P42&lt;&gt;"",ABS(L42)&lt;='Assumptions'!$B$10)</x:f>
        <x:v>0</x:v>
      </x:c>
      <x:c r="P42" s="53"/>
      <x:c r="Q42" s="54"/>
      <x:c r="R42" s="55"/>
      <x:c r="S42" s="57" t="str">
        <x:f>IF(I42,"DAMAGE SKIP",IF(AND(M42,N42),IF(O42,"TUESDAY RE-ENTRY","GAP/MOM SKIP"),"BASELINE"))</x:f>
        <x:v>GAP/MOM SKIP</x:v>
      </x:c>
      <x:c r="T42" s="56" t="n">
        <x:f>IF(I42,0,IF(AND(M42,N42),IF(O42,R42,0),G42))</x:f>
        <x:v>0</x:v>
      </x:c>
      <x:c r="U42" s="56" t="n">
        <x:f>G42*'Assumptions'!$B$6</x:f>
        <x:v>-0.211875</x:v>
      </x:c>
      <x:c r="V42" s="56" t="n">
        <x:f>T42*'Assumptions'!$B$6</x:f>
        <x:v>0</x:v>
      </x:c>
      <x:c r="W42" s="56" t="n">
        <x:f>V42-U42</x:f>
        <x:v>0.211875</x:v>
      </x:c>
      <x:c r="X42" s="58" t="n">
        <x:f>X41*(1+U42)</x:f>
        <x:v>12.880909340717364</x:v>
      </x:c>
      <x:c r="Y42" s="58" t="n">
        <x:f>MAX(Y41,X42)</x:f>
        <x:v>309.6394159768338</x:v>
      </x:c>
      <x:c r="Z42" s="59" t="n">
        <x:f>X42/Y42-1</x:f>
        <x:v>-0.9584002918359688</x:v>
      </x:c>
      <x:c r="AA42" s="58" t="n">
        <x:f>AA41*(1+V42)</x:f>
        <x:v>151.42211548713212</x:v>
      </x:c>
      <x:c r="AB42" s="58" t="n">
        <x:f>MAX(AB41,AA42)</x:f>
        <x:v>309.6394159768338</x:v>
      </x:c>
      <x:c r="AC42" s="59" t="n">
        <x:f>AA42/AB42-1</x:f>
        <x:v>-0.5109727390182747</x:v>
      </x:c>
      <x:c r="AD42" s="60" t="n">
        <x:f>AA42-X42</x:f>
        <x:v>138.54120614641477</x:v>
      </x:c>
      <x:c r="AE42" s="28" t="str">
        <x:v>Monday entry skipped; Tuesday did not normalize within the Friday-based tolerance.</x:v>
      </x:c>
    </x:row>
    <x:row r="43" ht="18" customHeight="1">
      <x:c r="A43" s="23" t="n">
        <x:v>39</x:v>
      </x:c>
      <x:c r="B43" s="53" t="n">
        <x:v>43472</x:v>
      </x:c>
      <x:c r="C43" s="53" t="n">
        <x:v>43472</x:v>
      </x:c>
      <x:c r="D43" s="23" t="str">
        <x:v>CH</x:v>
      </x:c>
      <x:c r="E43" s="54" t="n">
        <x:v>6423.459</x:v>
      </x:c>
      <x:c r="F43" s="54" t="n">
        <x:v>6488.859</x:v>
      </x:c>
      <x:c r="G43" s="55" t="n">
        <x:v>0.01018</x:v>
      </x:c>
      <x:c r="H43" s="56" t="n">
        <x:f>SUM(T40:T42)</x:f>
        <x:v>0.041260000000000005</x:v>
      </x:c>
      <x:c r="I43" s="57" t="b">
        <x:f>AND(A43&gt;3,H43&lt;='Assumptions'!$B$7)</x:f>
        <x:v>0</x:v>
      </x:c>
      <x:c r="J43" s="55" t="n">
        <x:v>0.0010753427187375486</x:v>
      </x:c>
      <x:c r="K43" s="55" t="n">
        <x:v>-0.05466517814906624</x:v>
      </x:c>
      <x:c r="L43" s="55" t="n">
        <x:v>0.021517213771016674</x:v>
      </x:c>
      <x:c r="M43" s="57" t="b">
        <x:f>J43&gt;='Assumptions'!$B$8</x:f>
        <x:v>0</x:v>
      </x:c>
      <x:c r="N43" s="57" t="b">
        <x:f>AND(K43&lt;&gt;"",K43&lt;='Assumptions'!$B$9)</x:f>
        <x:v>1</x:v>
      </x:c>
      <x:c r="O43" s="57" t="b">
        <x:f>AND(P43&lt;&gt;"",ABS(L43)&lt;='Assumptions'!$B$10)</x:f>
        <x:v>0</x:v>
      </x:c>
      <x:c r="P43" s="53" t="n">
        <x:v>43473</x:v>
      </x:c>
      <x:c r="Q43" s="54" t="n">
        <x:v>6550.07</x:v>
      </x:c>
      <x:c r="R43" s="55" t="n">
        <x:v>-0.00934</x:v>
      </x:c>
      <x:c r="S43" s="57" t="str">
        <x:f>IF(I43,"DAMAGE SKIP",IF(AND(M43,N43),IF(O43,"TUESDAY RE-ENTRY","GAP/MOM SKIP"),"BASELINE"))</x:f>
        <x:v>BASELINE</x:v>
      </x:c>
      <x:c r="T43" s="56" t="n">
        <x:f>IF(I43,0,IF(AND(M43,N43),IF(O43,R43,0),G43))</x:f>
        <x:v>0.01018</x:v>
      </x:c>
      <x:c r="U43" s="56" t="n">
        <x:f>G43*'Assumptions'!$B$6</x:f>
        <x:v>0.11503400000000001</x:v>
      </x:c>
      <x:c r="V43" s="56" t="n">
        <x:f>T43*'Assumptions'!$B$6</x:f>
        <x:v>0.11503400000000001</x:v>
      </x:c>
      <x:c r="W43" s="56" t="n">
        <x:f>V43-U43</x:f>
        <x:v>0</x:v>
      </x:c>
      <x:c r="X43" s="58" t="n">
        <x:f>X42*(1+U43)</x:f>
        <x:v>14.362651865817448</x:v>
      </x:c>
      <x:c r="Y43" s="58" t="n">
        <x:f>MAX(Y42,X43)</x:f>
        <x:v>309.6394159768338</x:v>
      </x:c>
      <x:c r="Z43" s="59" t="n">
        <x:f>X43/Y43-1</x:f>
        <x:v>-0.9536149110070276</x:v>
      </x:c>
      <x:c r="AA43" s="58" t="n">
        <x:f>AA42*(1+V43)</x:f>
        <x:v>168.8408071200789</x:v>
      </x:c>
      <x:c r="AB43" s="58" t="n">
        <x:f>MAX(AB42,AA43)</x:f>
        <x:v>309.6394159768338</x:v>
      </x:c>
      <x:c r="AC43" s="59" t="n">
        <x:f>AA43/AB43-1</x:f>
        <x:v>-0.4547179770785028</x:v>
      </x:c>
      <x:c r="AD43" s="60" t="n">
        <x:f>AA43-X43</x:f>
        <x:v>154.47815525426145</x:v>
      </x:c>
      <x:c r="AE43" s="28" t="str">
        <x:v>Baseline trade unchanged.</x:v>
      </x:c>
    </x:row>
    <x:row r="44" ht="18" customHeight="1">
      <x:c r="A44" s="23" t="n">
        <x:v>40</x:v>
      </x:c>
      <x:c r="B44" s="53" t="n">
        <x:v>43479</x:v>
      </x:c>
      <x:c r="C44" s="53" t="n">
        <x:v>43483</x:v>
      </x:c>
      <x:c r="D44" s="23" t="str">
        <x:v>TO</x:v>
      </x:c>
      <x:c r="E44" s="54" t="n">
        <x:v>6539.86</x:v>
      </x:c>
      <x:c r="F44" s="54" t="n">
        <x:v>6787.07</x:v>
      </x:c>
      <x:c r="G44" s="55" t="n">
        <x:v>0.0378</x:v>
      </x:c>
      <x:c r="H44" s="56" t="n">
        <x:f>SUM(T41:T43)</x:f>
        <x:v>0.05544</x:v>
      </x:c>
      <x:c r="I44" s="57" t="b">
        <x:f>AND(A44&gt;3,H44&lt;='Assumptions'!$B$7)</x:f>
        <x:v>0</x:v>
      </x:c>
      <x:c r="J44" s="55" t="n">
        <x:v>-0.009092603339156735</x:v>
      </x:c>
      <x:c r="K44" s="55" t="n">
        <x:v>-0.023523003648155627</x:v>
      </x:c>
      <x:c r="L44" s="55" t="n">
        <x:v>-0.004456004254932866</x:v>
      </x:c>
      <x:c r="M44" s="57" t="b">
        <x:f>J44&gt;='Assumptions'!$B$8</x:f>
        <x:v>0</x:v>
      </x:c>
      <x:c r="N44" s="57" t="b">
        <x:f>AND(K44&lt;&gt;"",K44&lt;='Assumptions'!$B$9)</x:f>
        <x:v>1</x:v>
      </x:c>
      <x:c r="O44" s="57" t="b">
        <x:f>AND(P44&lt;&gt;"",ABS(L44)&lt;='Assumptions'!$B$10)</x:f>
        <x:v>1</x:v>
      </x:c>
      <x:c r="P44" s="53" t="n">
        <x:v>43480</x:v>
      </x:c>
      <x:c r="Q44" s="54" t="n">
        <x:v>6565.47</x:v>
      </x:c>
      <x:c r="R44" s="55" t="n">
        <x:v>0.03375</x:v>
      </x:c>
      <x:c r="S44" s="57" t="str">
        <x:f>IF(I44,"DAMAGE SKIP",IF(AND(M44,N44),IF(O44,"TUESDAY RE-ENTRY","GAP/MOM SKIP"),"BASELINE"))</x:f>
        <x:v>BASELINE</x:v>
      </x:c>
      <x:c r="T44" s="56" t="n">
        <x:f>IF(I44,0,IF(AND(M44,N44),IF(O44,R44,0),G44))</x:f>
        <x:v>0.0378</x:v>
      </x:c>
      <x:c r="U44" s="56" t="n">
        <x:f>G44*'Assumptions'!$B$6</x:f>
        <x:v>0.42714</x:v>
      </x:c>
      <x:c r="V44" s="56" t="n">
        <x:f>T44*'Assumptions'!$B$6</x:f>
        <x:v>0.42714</x:v>
      </x:c>
      <x:c r="W44" s="56" t="n">
        <x:f>V44-U44</x:f>
        <x:v>0</x:v>
      </x:c>
      <x:c r="X44" s="58" t="n">
        <x:f>X43*(1+U44)</x:f>
        <x:v>20.497514983782715</x:v>
      </x:c>
      <x:c r="Y44" s="58" t="n">
        <x:f>MAX(Y43,X44)</x:f>
        <x:v>309.6394159768338</x:v>
      </x:c>
      <x:c r="Z44" s="59" t="n">
        <x:f>X44/Y44-1</x:f>
        <x:v>-0.9338019840945693</x:v>
      </x:c>
      <x:c r="AA44" s="58" t="n">
        <x:f>AA43*(1+V44)</x:f>
        <x:v>240.9594694733494</x:v>
      </x:c>
      <x:c r="AB44" s="58" t="n">
        <x:f>MAX(AB43,AA44)</x:f>
        <x:v>309.6394159768338</x:v>
      </x:c>
      <x:c r="AC44" s="59" t="n">
        <x:f>AA44/AB44-1</x:f>
        <x:v>-0.2218062138078144</x:v>
      </x:c>
      <x:c r="AD44" s="60" t="n">
        <x:f>AA44-X44</x:f>
        <x:v>220.4619544895667</x:v>
      </x:c>
      <x:c r="AE44" s="28" t="str">
        <x:v>Baseline trade unchanged.</x:v>
      </x:c>
    </x:row>
    <x:row r="45" ht="18" customHeight="1">
      <x:c r="A45" s="23" t="n">
        <x:v>41</x:v>
      </x:c>
      <x:c r="B45" s="53" t="n">
        <x:v>43487</x:v>
      </x:c>
      <x:c r="C45" s="53" t="n">
        <x:v>43489</x:v>
      </x:c>
      <x:c r="D45" s="23" t="str">
        <x:v>TSL1PRE</x:v>
      </x:c>
      <x:c r="E45" s="54" t="n">
        <x:v>6732.96</x:v>
      </x:c>
      <x:c r="F45" s="54" t="n">
        <x:v>6655.56</x:v>
      </x:c>
      <x:c r="G45" s="55" t="n">
        <x:v>-0.01149</x:v>
      </x:c>
      <x:c r="H45" s="56" t="n">
        <x:f>SUM(T42:T44)</x:f>
        <x:v>0.04798</x:v>
      </x:c>
      <x:c r="I45" s="57" t="b">
        <x:f>AND(A45&gt;3,H45&lt;='Assumptions'!$B$7)</x:f>
        <x:v>0</x:v>
      </x:c>
      <x:c r="J45" s="55" t="n">
        <x:v>-0.007972512439093693</x:v>
      </x:c>
      <x:c r="K45" s="55" t="n">
        <x:v>0.07227783038008906</x:v>
      </x:c>
      <x:c r="L45" s="55"/>
      <x:c r="M45" s="57" t="b">
        <x:f>J45&gt;='Assumptions'!$B$8</x:f>
        <x:v>0</x:v>
      </x:c>
      <x:c r="N45" s="57" t="b">
        <x:f>AND(K45&lt;&gt;"",K45&lt;='Assumptions'!$B$9)</x:f>
        <x:v>0</x:v>
      </x:c>
      <x:c r="O45" s="57" t="b">
        <x:f>AND(P45&lt;&gt;"",ABS(L45)&lt;='Assumptions'!$B$10)</x:f>
        <x:v>0</x:v>
      </x:c>
      <x:c r="P45" s="53"/>
      <x:c r="Q45" s="54"/>
      <x:c r="R45" s="55"/>
      <x:c r="S45" s="57" t="str">
        <x:f>IF(I45,"DAMAGE SKIP",IF(AND(M45,N45),IF(O45,"TUESDAY RE-ENTRY","GAP/MOM SKIP"),"BASELINE"))</x:f>
        <x:v>BASELINE</x:v>
      </x:c>
      <x:c r="T45" s="56" t="n">
        <x:f>IF(I45,0,IF(AND(M45,N45),IF(O45,R45,0),G45))</x:f>
        <x:v>-0.01149</x:v>
      </x:c>
      <x:c r="U45" s="56" t="n">
        <x:f>G45*'Assumptions'!$B$6</x:f>
        <x:v>-0.129837</x:v>
      </x:c>
      <x:c r="V45" s="56" t="n">
        <x:f>T45*'Assumptions'!$B$6</x:f>
        <x:v>-0.129837</x:v>
      </x:c>
      <x:c r="W45" s="56" t="n">
        <x:f>V45-U45</x:f>
        <x:v>0</x:v>
      </x:c>
      <x:c r="X45" s="58" t="n">
        <x:f>X44*(1+U45)</x:f>
        <x:v>17.83617913083332</x:v>
      </x:c>
      <x:c r="Y45" s="58" t="n">
        <x:f>MAX(Y44,X45)</x:f>
        <x:v>309.6394159768338</x:v>
      </x:c>
      <x:c r="Z45" s="59" t="n">
        <x:f>X45/Y45-1</x:f>
        <x:v>-0.9423969358856827</x:v>
      </x:c>
      <x:c r="AA45" s="58" t="n">
        <x:f>AA44*(1+V45)</x:f>
        <x:v>209.67401483533814</x:v>
      </x:c>
      <x:c r="AB45" s="58" t="n">
        <x:f>MAX(AB44,AA45)</x:f>
        <x:v>309.6394159768338</x:v>
      </x:c>
      <x:c r="AC45" s="59" t="n">
        <x:f>AA45/AB45-1</x:f>
        <x:v>-0.32284456042564924</x:v>
      </x:c>
      <x:c r="AD45" s="60" t="n">
        <x:f>AA45-X45</x:f>
        <x:v>191.8378357045048</x:v>
      </x:c>
      <x:c r="AE45" s="28" t="str">
        <x:v>Baseline trade unchanged.</x:v>
      </x:c>
    </x:row>
    <x:row r="46" ht="18" customHeight="1">
      <x:c r="A46" s="23" t="n">
        <x:v>42</x:v>
      </x:c>
      <x:c r="B46" s="53" t="n">
        <x:v>43493</x:v>
      </x:c>
      <x:c r="C46" s="53" t="n">
        <x:v>43495</x:v>
      </x:c>
      <x:c r="D46" s="23" t="str">
        <x:v>BEPRE</x:v>
      </x:c>
      <x:c r="E46" s="54" t="n">
        <x:v>6691.069</x:v>
      </x:c>
      <x:c r="F46" s="54" t="n">
        <x:v>6689.67</x:v>
      </x:c>
      <x:c r="G46" s="55" t="n">
        <x:v>-0.0002</x:v>
      </x:c>
      <x:c r="H46" s="56" t="n">
        <x:f>SUM(T43:T45)</x:f>
        <x:v>0.03649</x:v>
      </x:c>
      <x:c r="I46" s="57" t="b">
        <x:f>AND(A46&gt;3,H46&lt;='Assumptions'!$B$7)</x:f>
        <x:v>0</x:v>
      </x:c>
      <x:c r="J46" s="55" t="n">
        <x:v>-0.013708732368622245</x:v>
      </x:c>
      <x:c r="K46" s="55" t="n">
        <x:v>0.08308668220625726</x:v>
      </x:c>
      <x:c r="L46" s="55" t="n">
        <x:v>-0.011757800666464702</x:v>
      </x:c>
      <x:c r="M46" s="57" t="b">
        <x:f>J46&gt;='Assumptions'!$B$8</x:f>
        <x:v>0</x:v>
      </x:c>
      <x:c r="N46" s="57" t="b">
        <x:f>AND(K46&lt;&gt;"",K46&lt;='Assumptions'!$B$9)</x:f>
        <x:v>0</x:v>
      </x:c>
      <x:c r="O46" s="57" t="b">
        <x:f>AND(P46&lt;&gt;"",ABS(L46)&lt;='Assumptions'!$B$10)</x:f>
        <x:v>0</x:v>
      </x:c>
      <x:c r="P46" s="53" t="n">
        <x:v>43494</x:v>
      </x:c>
      <x:c r="Q46" s="54" t="n">
        <x:v>6699.87</x:v>
      </x:c>
      <x:c r="R46" s="55" t="n">
        <x:v>-0.00152</x:v>
      </x:c>
      <x:c r="S46" s="57" t="str">
        <x:f>IF(I46,"DAMAGE SKIP",IF(AND(M46,N46),IF(O46,"TUESDAY RE-ENTRY","GAP/MOM SKIP"),"BASELINE"))</x:f>
        <x:v>BASELINE</x:v>
      </x:c>
      <x:c r="T46" s="56" t="n">
        <x:f>IF(I46,0,IF(AND(M46,N46),IF(O46,R46,0),G46))</x:f>
        <x:v>-0.0002</x:v>
      </x:c>
      <x:c r="U46" s="56" t="n">
        <x:f>G46*'Assumptions'!$B$6</x:f>
        <x:v>-0.0022600000000000003</x:v>
      </x:c>
      <x:c r="V46" s="56" t="n">
        <x:f>T46*'Assumptions'!$B$6</x:f>
        <x:v>-0.0022600000000000003</x:v>
      </x:c>
      <x:c r="W46" s="56" t="n">
        <x:f>V46-U46</x:f>
        <x:v>0</x:v>
      </x:c>
      <x:c r="X46" s="58" t="n">
        <x:f>X45*(1+U46)</x:f>
        <x:v>17.795869365997635</x:v>
      </x:c>
      <x:c r="Y46" s="58" t="n">
        <x:f>MAX(Y45,X46)</x:f>
        <x:v>309.6394159768338</x:v>
      </x:c>
      <x:c r="Z46" s="59" t="n">
        <x:f>X46/Y46-1</x:f>
        <x:v>-0.942527118810581</x:v>
      </x:c>
      <x:c r="AA46" s="58" t="n">
        <x:f>AA45*(1+V46)</x:f>
        <x:v>209.20015156181026</x:v>
      </x:c>
      <x:c r="AB46" s="58" t="n">
        <x:f>MAX(AB45,AA46)</x:f>
        <x:v>309.6394159768338</x:v>
      </x:c>
      <x:c r="AC46" s="59" t="n">
        <x:f>AA46/AB46-1</x:f>
        <x:v>-0.32437493171908727</x:v>
      </x:c>
      <x:c r="AD46" s="60" t="n">
        <x:f>AA46-X46</x:f>
        <x:v>191.4042821958126</x:v>
      </x:c>
      <x:c r="AE46" s="28" t="str">
        <x:v>Baseline trade unchanged.</x:v>
      </x:c>
    </x:row>
    <x:row r="47" ht="18" customHeight="1">
      <x:c r="A47" s="23" t="n">
        <x:v>43</x:v>
      </x:c>
      <x:c r="B47" s="53" t="n">
        <x:v>43500</x:v>
      </x:c>
      <x:c r="C47" s="53" t="n">
        <x:v>43500</x:v>
      </x:c>
      <x:c r="D47" s="23" t="str">
        <x:v>CH</x:v>
      </x:c>
      <x:c r="E47" s="54" t="n">
        <x:v>6875.37</x:v>
      </x:c>
      <x:c r="F47" s="54" t="n">
        <x:v>6961.169</x:v>
      </x:c>
      <x:c r="G47" s="55" t="n">
        <x:v>0.01247</x:v>
      </x:c>
      <x:c r="H47" s="56" t="n">
        <x:f>SUM(T44:T46)</x:f>
        <x:v>0.02611</x:v>
      </x:c>
      <x:c r="I47" s="57" t="b">
        <x:f>AND(A47&gt;3,H47&lt;='Assumptions'!$B$7)</x:f>
        <x:v>0</x:v>
      </x:c>
      <x:c r="J47" s="55" t="n">
        <x:v>0.00019057151086832036</x:v>
      </x:c>
      <x:c r="K47" s="55" t="n">
        <x:v>0.11777105290618795</x:v>
      </x:c>
      <x:c r="L47" s="55" t="n">
        <x:v>0.013710992444328385</x:v>
      </x:c>
      <x:c r="M47" s="57" t="b">
        <x:f>J47&gt;='Assumptions'!$B$8</x:f>
        <x:v>0</x:v>
      </x:c>
      <x:c r="N47" s="57" t="b">
        <x:f>AND(K47&lt;&gt;"",K47&lt;='Assumptions'!$B$9)</x:f>
        <x:v>0</x:v>
      </x:c>
      <x:c r="O47" s="57" t="b">
        <x:f>AND(P47&lt;&gt;"",ABS(L47)&lt;='Assumptions'!$B$10)</x:f>
        <x:v>0</x:v>
      </x:c>
      <x:c r="P47" s="53" t="n">
        <x:v>43501</x:v>
      </x:c>
      <x:c r="Q47" s="54" t="n">
        <x:v>6968.469</x:v>
      </x:c>
      <x:c r="R47" s="55" t="n">
        <x:v>-0.00104</x:v>
      </x:c>
      <x:c r="S47" s="57" t="str">
        <x:f>IF(I47,"DAMAGE SKIP",IF(AND(M47,N47),IF(O47,"TUESDAY RE-ENTRY","GAP/MOM SKIP"),"BASELINE"))</x:f>
        <x:v>BASELINE</x:v>
      </x:c>
      <x:c r="T47" s="56" t="n">
        <x:f>IF(I47,0,IF(AND(M47,N47),IF(O47,R47,0),G47))</x:f>
        <x:v>0.01247</x:v>
      </x:c>
      <x:c r="U47" s="56" t="n">
        <x:f>G47*'Assumptions'!$B$6</x:f>
        <x:v>0.140911</x:v>
      </x:c>
      <x:c r="V47" s="56" t="n">
        <x:f>T47*'Assumptions'!$B$6</x:f>
        <x:v>0.140911</x:v>
      </x:c>
      <x:c r="W47" s="56" t="n">
        <x:f>V47-U47</x:f>
        <x:v>0</x:v>
      </x:c>
      <x:c r="X47" s="58" t="n">
        <x:f>X46*(1+U47)</x:f>
        <x:v>20.303503114229727</x:v>
      </x:c>
      <x:c r="Y47" s="58" t="n">
        <x:f>MAX(Y46,X47)</x:f>
        <x:v>309.6394159768338</x:v>
      </x:c>
      <x:c r="Z47" s="59" t="n">
        <x:f>X47/Y47-1</x:f>
        <x:v>-0.9344285576492989</x:v>
      </x:c>
      <x:c r="AA47" s="58" t="n">
        <x:f>AA46*(1+V47)</x:f>
        <x:v>238.67875411853652</x:v>
      </x:c>
      <x:c r="AB47" s="58" t="n">
        <x:f>MAX(AB46,AA47)</x:f>
        <x:v>309.6394159768338</x:v>
      </x:c>
      <x:c r="AC47" s="59" t="n">
        <x:f>AA47/AB47-1</x:f>
        <x:v>-0.22917192772255557</x:v>
      </x:c>
      <x:c r="AD47" s="60" t="n">
        <x:f>AA47-X47</x:f>
        <x:v>218.3752510043068</x:v>
      </x:c>
      <x:c r="AE47" s="28" t="str">
        <x:v>Baseline trade unchanged.</x:v>
      </x:c>
    </x:row>
    <x:row r="48" ht="18" customHeight="1">
      <x:c r="A48" s="23" t="n">
        <x:v>44</x:v>
      </x:c>
      <x:c r="B48" s="53" t="n">
        <x:v>43507</x:v>
      </x:c>
      <x:c r="C48" s="53" t="n">
        <x:v>43511</x:v>
      </x:c>
      <x:c r="D48" s="23" t="str">
        <x:v>TO</x:v>
      </x:c>
      <x:c r="E48" s="54" t="n">
        <x:v>6938.86</x:v>
      </x:c>
      <x:c r="F48" s="54" t="n">
        <x:v>7055.669</x:v>
      </x:c>
      <x:c r="G48" s="55" t="n">
        <x:v>0.01683</x:v>
      </x:c>
      <x:c r="H48" s="56" t="n">
        <x:f>SUM(T45:T47)</x:f>
        <x:v>0.0007799999999999994</x:v>
      </x:c>
      <x:c r="I48" s="57" t="b">
        <x:f>AND(A48&gt;3,H48&lt;='Assumptions'!$B$7)</x:f>
        <x:v>0</x:v>
      </x:c>
      <x:c r="J48" s="55" t="n">
        <x:v>0.004079199267220002</x:v>
      </x:c>
      <x:c r="K48" s="55" t="n">
        <x:v>0.04530150380312903</x:v>
      </x:c>
      <x:c r="L48" s="55" t="n">
        <x:v>0.006052512812903643</x:v>
      </x:c>
      <x:c r="M48" s="57" t="b">
        <x:f>J48&gt;='Assumptions'!$B$8</x:f>
        <x:v>0</x:v>
      </x:c>
      <x:c r="N48" s="57" t="b">
        <x:f>AND(K48&lt;&gt;"",K48&lt;='Assumptions'!$B$9)</x:f>
        <x:v>0</x:v>
      </x:c>
      <x:c r="O48" s="57" t="b">
        <x:f>AND(P48&lt;&gt;"",ABS(L48)&lt;='Assumptions'!$B$10)</x:f>
        <x:v>0</x:v>
      </x:c>
      <x:c r="P48" s="53" t="n">
        <x:v>43508</x:v>
      </x:c>
      <x:c r="Q48" s="54" t="n">
        <x:v>6956.37</x:v>
      </x:c>
      <x:c r="R48" s="55" t="n">
        <x:v>0.01427</x:v>
      </x:c>
      <x:c r="S48" s="57" t="str">
        <x:f>IF(I48,"DAMAGE SKIP",IF(AND(M48,N48),IF(O48,"TUESDAY RE-ENTRY","GAP/MOM SKIP"),"BASELINE"))</x:f>
        <x:v>BASELINE</x:v>
      </x:c>
      <x:c r="T48" s="56" t="n">
        <x:f>IF(I48,0,IF(AND(M48,N48),IF(O48,R48,0),G48))</x:f>
        <x:v>0.01683</x:v>
      </x:c>
      <x:c r="U48" s="56" t="n">
        <x:f>G48*'Assumptions'!$B$6</x:f>
        <x:v>0.19017900000000001</x:v>
      </x:c>
      <x:c r="V48" s="56" t="n">
        <x:f>T48*'Assumptions'!$B$6</x:f>
        <x:v>0.19017900000000001</x:v>
      </x:c>
      <x:c r="W48" s="56" t="n">
        <x:f>V48-U48</x:f>
        <x:v>0</x:v>
      </x:c>
      <x:c r="X48" s="58" t="n">
        <x:f>X47*(1+U48)</x:f>
        <x:v>24.164803032990825</x:v>
      </x:c>
      <x:c r="Y48" s="58" t="n">
        <x:f>MAX(Y47,X48)</x:f>
        <x:v>309.6394159768338</x:v>
      </x:c>
      <x:c r="Z48" s="59" t="n">
        <x:f>X48/Y48-1</x:f>
        <x:v>-0.9219582463144849</x:v>
      </x:c>
      <x:c r="AA48" s="58" t="n">
        <x:f>AA47*(1+V48)</x:f>
        <x:v>284.0704408980457</x:v>
      </x:c>
      <x:c r="AB48" s="58" t="n">
        <x:f>MAX(AB47,AA48)</x:f>
        <x:v>309.6394159768338</x:v>
      </x:c>
      <x:c r="AC48" s="59" t="n">
        <x:f>AA48/AB48-1</x:f>
        <x:v>-0.08257661576490327</x:v>
      </x:c>
      <x:c r="AD48" s="60" t="n">
        <x:f>AA48-X48</x:f>
        <x:v>259.90563786505487</x:v>
      </x:c>
      <x:c r="AE48" s="28" t="str">
        <x:v>Baseline trade unchanged.</x:v>
      </x:c>
    </x:row>
    <x:row r="49" ht="18" customHeight="1">
      <x:c r="A49" s="23" t="n">
        <x:v>45</x:v>
      </x:c>
      <x:c r="B49" s="53" t="n">
        <x:v>43515</x:v>
      </x:c>
      <x:c r="C49" s="53" t="n">
        <x:v>43517</x:v>
      </x:c>
      <x:c r="D49" s="23" t="str">
        <x:v>TSL2</x:v>
      </x:c>
      <x:c r="E49" s="54" t="n">
        <x:v>7029.169</x:v>
      </x:c>
      <x:c r="F49" s="54" t="n">
        <x:v>7001.052324</x:v>
      </x:c>
      <x:c r="G49" s="55" t="n">
        <x:v>-0.004</x:v>
      </x:c>
      <x:c r="H49" s="56" t="n">
        <x:f>SUM(T46:T48)</x:f>
        <x:v>0.0291</x:v>
      </x:c>
      <x:c r="I49" s="57" t="b">
        <x:f>AND(A49&gt;3,H49&lt;='Assumptions'!$B$7)</x:f>
        <x:v>0</x:v>
      </x:c>
      <x:c r="J49" s="55" t="n">
        <x:v>-0.0037558451225532252</x:v>
      </x:c>
      <x:c r="K49" s="55" t="n">
        <x:v>0.05068531539794141</x:v>
      </x:c>
      <x:c r="L49" s="55"/>
      <x:c r="M49" s="57" t="b">
        <x:f>J49&gt;='Assumptions'!$B$8</x:f>
        <x:v>0</x:v>
      </x:c>
      <x:c r="N49" s="57" t="b">
        <x:f>AND(K49&lt;&gt;"",K49&lt;='Assumptions'!$B$9)</x:f>
        <x:v>0</x:v>
      </x:c>
      <x:c r="O49" s="57" t="b">
        <x:f>AND(P49&lt;&gt;"",ABS(L49)&lt;='Assumptions'!$B$10)</x:f>
        <x:v>0</x:v>
      </x:c>
      <x:c r="P49" s="53"/>
      <x:c r="Q49" s="54"/>
      <x:c r="R49" s="55"/>
      <x:c r="S49" s="57" t="str">
        <x:f>IF(I49,"DAMAGE SKIP",IF(AND(M49,N49),IF(O49,"TUESDAY RE-ENTRY","GAP/MOM SKIP"),"BASELINE"))</x:f>
        <x:v>BASELINE</x:v>
      </x:c>
      <x:c r="T49" s="56" t="n">
        <x:f>IF(I49,0,IF(AND(M49,N49),IF(O49,R49,0),G49))</x:f>
        <x:v>-0.004</x:v>
      </x:c>
      <x:c r="U49" s="56" t="n">
        <x:f>G49*'Assumptions'!$B$6</x:f>
        <x:v>-0.045200000000000004</x:v>
      </x:c>
      <x:c r="V49" s="56" t="n">
        <x:f>T49*'Assumptions'!$B$6</x:f>
        <x:v>-0.045200000000000004</x:v>
      </x:c>
      <x:c r="W49" s="56" t="n">
        <x:f>V49-U49</x:f>
        <x:v>0</x:v>
      </x:c>
      <x:c r="X49" s="58" t="n">
        <x:f>X48*(1+U49)</x:f>
        <x:v>23.072553935899638</x:v>
      </x:c>
      <x:c r="Y49" s="58" t="n">
        <x:f>MAX(Y48,X49)</x:f>
        <x:v>309.6394159768338</x:v>
      </x:c>
      <x:c r="Z49" s="59" t="n">
        <x:f>X49/Y49-1</x:f>
        <x:v>-0.9254857335810701</x:v>
      </x:c>
      <x:c r="AA49" s="58" t="n">
        <x:f>AA48*(1+V49)</x:f>
        <x:v>271.23045696945405</x:v>
      </x:c>
      <x:c r="AB49" s="58" t="n">
        <x:f>MAX(AB48,AA49)</x:f>
        <x:v>309.6394159768338</x:v>
      </x:c>
      <x:c r="AC49" s="59" t="n">
        <x:f>AA49/AB49-1</x:f>
        <x:v>-0.12404415273232972</x:v>
      </x:c>
      <x:c r="AD49" s="60" t="n">
        <x:f>AA49-X49</x:f>
        <x:v>248.15790303355442</x:v>
      </x:c>
      <x:c r="AE49" s="28" t="str">
        <x:v>Baseline trade unchanged.</x:v>
      </x:c>
    </x:row>
    <x:row r="50" ht="18" customHeight="1">
      <x:c r="A50" s="23" t="n">
        <x:v>46</x:v>
      </x:c>
      <x:c r="B50" s="53" t="n">
        <x:v>43521</x:v>
      </x:c>
      <x:c r="C50" s="53" t="n">
        <x:v>43524</x:v>
      </x:c>
      <x:c r="D50" s="23" t="str">
        <x:v>TSL1PRE</x:v>
      </x:c>
      <x:c r="E50" s="54" t="n">
        <x:v>7141.37</x:v>
      </x:c>
      <x:c r="F50" s="54" t="n">
        <x:v>7110.559</x:v>
      </x:c>
      <x:c r="G50" s="55" t="n">
        <x:v>-0.00431</x:v>
      </x:c>
      <x:c r="H50" s="56" t="n">
        <x:f>SUM(T47:T49)</x:f>
        <x:v>0.0253</x:v>
      </x:c>
      <x:c r="I50" s="57" t="b">
        <x:f>AND(A50&gt;3,H50&lt;='Assumptions'!$B$7)</x:f>
        <x:v>0</x:v>
      </x:c>
      <x:c r="J50" s="55" t="n">
        <x:v>0.007734501328500842</x:v>
      </x:c>
      <x:c r="K50" s="55" t="n">
        <x:v>0.05934157167033871</x:v>
      </x:c>
      <x:c r="L50" s="55" t="n">
        <x:v>0.0009042844999607169</x:v>
      </x:c>
      <x:c r="M50" s="57" t="b">
        <x:f>J50&gt;='Assumptions'!$B$8</x:f>
        <x:v>0</x:v>
      </x:c>
      <x:c r="N50" s="57" t="b">
        <x:f>AND(K50&lt;&gt;"",K50&lt;='Assumptions'!$B$9)</x:f>
        <x:v>0</x:v>
      </x:c>
      <x:c r="O50" s="57" t="b">
        <x:f>AND(P50&lt;&gt;"",ABS(L50)&lt;='Assumptions'!$B$10)</x:f>
        <x:v>1</x:v>
      </x:c>
      <x:c r="P50" s="53" t="n">
        <x:v>43522</x:v>
      </x:c>
      <x:c r="Q50" s="54" t="n">
        <x:v>7092.86</x:v>
      </x:c>
      <x:c r="R50" s="55" t="n">
        <x:v>0.00249</x:v>
      </x:c>
      <x:c r="S50" s="57" t="str">
        <x:f>IF(I50,"DAMAGE SKIP",IF(AND(M50,N50),IF(O50,"TUESDAY RE-ENTRY","GAP/MOM SKIP"),"BASELINE"))</x:f>
        <x:v>BASELINE</x:v>
      </x:c>
      <x:c r="T50" s="56" t="n">
        <x:f>IF(I50,0,IF(AND(M50,N50),IF(O50,R50,0),G50))</x:f>
        <x:v>-0.00431</x:v>
      </x:c>
      <x:c r="U50" s="56" t="n">
        <x:f>G50*'Assumptions'!$B$6</x:f>
        <x:v>-0.048702999999999996</x:v>
      </x:c>
      <x:c r="V50" s="56" t="n">
        <x:f>T50*'Assumptions'!$B$6</x:f>
        <x:v>-0.048702999999999996</x:v>
      </x:c>
      <x:c r="W50" s="56" t="n">
        <x:f>V50-U50</x:f>
        <x:v>0</x:v>
      </x:c>
      <x:c r="X50" s="58" t="n">
        <x:f>X49*(1+U50)</x:f>
        <x:v>21.948851341559518</x:v>
      </x:c>
      <x:c r="Y50" s="58" t="n">
        <x:f>MAX(Y49,X50)</x:f>
        <x:v>309.6394159768338</x:v>
      </x:c>
      <x:c r="Z50" s="59" t="n">
        <x:f>X50/Y50-1</x:f>
        <x:v>-0.9291148018984713</x:v>
      </x:c>
      <x:c r="AA50" s="58" t="n">
        <x:f>AA49*(1+V50)</x:f>
        <x:v>258.0207200236708</x:v>
      </x:c>
      <x:c r="AB50" s="58" t="n">
        <x:f>MAX(AB49,AA50)</x:f>
        <x:v>309.6394159768338</x:v>
      </x:c>
      <x:c r="AC50" s="59" t="n">
        <x:f>AA50/AB50-1</x:f>
        <x:v>-0.16670583036180686</x:v>
      </x:c>
      <x:c r="AD50" s="60" t="n">
        <x:f>AA50-X50</x:f>
        <x:v>236.07186868211124</x:v>
      </x:c>
      <x:c r="AE50" s="28" t="str">
        <x:v>Baseline trade unchanged.</x:v>
      </x:c>
    </x:row>
    <x:row r="51" ht="18" customHeight="1">
      <x:c r="A51" s="23" t="n">
        <x:v>47</x:v>
      </x:c>
      <x:c r="B51" s="53" t="n">
        <x:v>43528</x:v>
      </x:c>
      <x:c r="C51" s="53" t="n">
        <x:v>43530</x:v>
      </x:c>
      <x:c r="D51" s="23" t="str">
        <x:v>BEPRE</x:v>
      </x:c>
      <x:c r="E51" s="54" t="n">
        <x:v>7188.659</x:v>
      </x:c>
      <x:c r="F51" s="54" t="n">
        <x:v>7160.06</x:v>
      </x:c>
      <x:c r="G51" s="55" t="n">
        <x:v>-0.00397</x:v>
      </x:c>
      <x:c r="H51" s="56" t="n">
        <x:f>SUM(T48:T50)</x:f>
        <x:v>0.008520000000000002</x:v>
      </x:c>
      <x:c r="I51" s="57" t="b">
        <x:f>AND(A51&gt;3,H51&lt;='Assumptions'!$B$7)</x:f>
        <x:v>0</x:v>
      </x:c>
      <x:c r="J51" s="55" t="n">
        <x:v>0.005440742827835132</x:v>
      </x:c>
      <x:c r="K51" s="55" t="n">
        <x:v>0.03694866725748169</x:v>
      </x:c>
      <x:c r="L51" s="55" t="n">
        <x:v>0.0007530435510187949</x:v>
      </x:c>
      <x:c r="M51" s="57" t="b">
        <x:f>J51&gt;='Assumptions'!$B$8</x:f>
        <x:v>0</x:v>
      </x:c>
      <x:c r="N51" s="57" t="b">
        <x:f>AND(K51&lt;&gt;"",K51&lt;='Assumptions'!$B$9)</x:f>
        <x:v>0</x:v>
      </x:c>
      <x:c r="O51" s="57" t="b">
        <x:f>AND(P51&lt;&gt;"",ABS(L51)&lt;='Assumptions'!$B$10)</x:f>
        <x:v>1</x:v>
      </x:c>
      <x:c r="P51" s="53" t="n">
        <x:v>43529</x:v>
      </x:c>
      <x:c r="Q51" s="54" t="n">
        <x:v>7151.96</x:v>
      </x:c>
      <x:c r="R51" s="55" t="n">
        <x:v>0.00113</x:v>
      </x:c>
      <x:c r="S51" s="57" t="str">
        <x:f>IF(I51,"DAMAGE SKIP",IF(AND(M51,N51),IF(O51,"TUESDAY RE-ENTRY","GAP/MOM SKIP"),"BASELINE"))</x:f>
        <x:v>BASELINE</x:v>
      </x:c>
      <x:c r="T51" s="56" t="n">
        <x:f>IF(I51,0,IF(AND(M51,N51),IF(O51,R51,0),G51))</x:f>
        <x:v>-0.00397</x:v>
      </x:c>
      <x:c r="U51" s="56" t="n">
        <x:f>G51*'Assumptions'!$B$6</x:f>
        <x:v>-0.044861</x:v>
      </x:c>
      <x:c r="V51" s="56" t="n">
        <x:f>T51*'Assumptions'!$B$6</x:f>
        <x:v>-0.044861</x:v>
      </x:c>
      <x:c r="W51" s="56" t="n">
        <x:f>V51-U51</x:f>
        <x:v>0</x:v>
      </x:c>
      <x:c r="X51" s="58" t="n">
        <x:f>X50*(1+U51)</x:f>
        <x:v>20.964203921525815</x:v>
      </x:c>
      <x:c r="Y51" s="58" t="n">
        <x:f>MAX(Y50,X51)</x:f>
        <x:v>309.6394159768338</x:v>
      </x:c>
      <x:c r="Z51" s="59" t="n">
        <x:f>X51/Y51-1</x:f>
        <x:v>-0.9322947827705039</x:v>
      </x:c>
      <x:c r="AA51" s="58" t="n">
        <x:f>AA50*(1+V51)</x:f>
        <x:v>246.44565250268886</x:v>
      </x:c>
      <x:c r="AB51" s="58" t="n">
        <x:f>MAX(AB50,AA51)</x:f>
        <x:v>309.6394159768338</x:v>
      </x:c>
      <x:c r="AC51" s="59" t="n">
        <x:f>AA51/AB51-1</x:f>
        <x:v>-0.20408824010594595</x:v>
      </x:c>
      <x:c r="AD51" s="60" t="n">
        <x:f>AA51-X51</x:f>
        <x:v>225.48144858116305</x:v>
      </x:c>
      <x:c r="AE51" s="28" t="str">
        <x:v>Baseline trade unchanged.</x:v>
      </x:c>
    </x:row>
    <x:row r="52" ht="18" customHeight="1">
      <x:c r="A52" s="23" t="n">
        <x:v>48</x:v>
      </x:c>
      <x:c r="B52" s="53" t="n">
        <x:v>43535</x:v>
      </x:c>
      <x:c r="C52" s="53" t="n">
        <x:v>43535</x:v>
      </x:c>
      <x:c r="D52" s="23" t="str">
        <x:v>CH</x:v>
      </x:c>
      <x:c r="E52" s="54" t="n">
        <x:v>7040.96</x:v>
      </x:c>
      <x:c r="F52" s="54" t="n">
        <x:v>7157.36</x:v>
      </x:c>
      <x:c r="G52" s="55" t="n">
        <x:v>0.01653</x:v>
      </x:c>
      <x:c r="H52" s="56" t="n">
        <x:f>SUM(T49:T51)</x:f>
        <x:v>-0.01228</x:v>
      </x:c>
      <x:c r="I52" s="57" t="b">
        <x:f>AND(A52&gt;3,H52&lt;='Assumptions'!$B$7)</x:f>
        <x:v>0</x:v>
      </x:c>
      <x:c r="J52" s="55" t="n">
        <x:v>0.003220125499404425</x:v>
      </x:c>
      <x:c r="K52" s="55" t="n">
        <x:v>0.017432136087123684</x:v>
      </x:c>
      <x:c r="L52" s="55" t="n">
        <x:v>0.023404773502191834</x:v>
      </x:c>
      <x:c r="M52" s="57" t="b">
        <x:f>J52&gt;='Assumptions'!$B$8</x:f>
        <x:v>0</x:v>
      </x:c>
      <x:c r="N52" s="57" t="b">
        <x:f>AND(K52&lt;&gt;"",K52&lt;='Assumptions'!$B$9)</x:f>
        <x:v>0</x:v>
      </x:c>
      <x:c r="O52" s="57" t="b">
        <x:f>AND(P52&lt;&gt;"",ABS(L52)&lt;='Assumptions'!$B$10)</x:f>
        <x:v>0</x:v>
      </x:c>
      <x:c r="P52" s="53" t="n">
        <x:v>43536</x:v>
      </x:c>
      <x:c r="Q52" s="54" t="n">
        <x:v>7177.26</x:v>
      </x:c>
      <x:c r="R52" s="55" t="n">
        <x:v>-0.00277</x:v>
      </x:c>
      <x:c r="S52" s="57" t="str">
        <x:f>IF(I52,"DAMAGE SKIP",IF(AND(M52,N52),IF(O52,"TUESDAY RE-ENTRY","GAP/MOM SKIP"),"BASELINE"))</x:f>
        <x:v>BASELINE</x:v>
      </x:c>
      <x:c r="T52" s="56" t="n">
        <x:f>IF(I52,0,IF(AND(M52,N52),IF(O52,R52,0),G52))</x:f>
        <x:v>0.01653</x:v>
      </x:c>
      <x:c r="U52" s="56" t="n">
        <x:f>G52*'Assumptions'!$B$6</x:f>
        <x:v>0.186789</x:v>
      </x:c>
      <x:c r="V52" s="56" t="n">
        <x:f>T52*'Assumptions'!$B$6</x:f>
        <x:v>0.186789</x:v>
      </x:c>
      <x:c r="W52" s="56" t="n">
        <x:f>V52-U52</x:f>
        <x:v>0</x:v>
      </x:c>
      <x:c r="X52" s="58" t="n">
        <x:f>X51*(1+U52)</x:f>
        <x:v>24.880086607823703</x:v>
      </x:c>
      <x:c r="Y52" s="58" t="n">
        <x:f>MAX(Y51,X52)</x:f>
        <x:v>309.6394159768338</x:v>
      </x:c>
      <x:c r="Z52" s="59" t="n">
        <x:f>X52/Y52-1</x:f>
        <x:v>-0.9196481929494236</x:v>
      </x:c>
      <x:c r="AA52" s="58" t="n">
        <x:f>AA51*(1+V52)</x:f>
        <x:v>292.4789894880136</x:v>
      </x:c>
      <x:c r="AB52" s="58" t="n">
        <x:f>MAX(AB51,AA52)</x:f>
        <x:v>309.6394159768338</x:v>
      </x:c>
      <x:c r="AC52" s="59" t="n">
        <x:f>AA52/AB52-1</x:f>
        <x:v>-0.05542067838709552</x:v>
      </x:c>
      <x:c r="AD52" s="60" t="n">
        <x:f>AA52-X52</x:f>
        <x:v>267.5989028801899</x:v>
      </x:c>
      <x:c r="AE52" s="28" t="str">
        <x:v>Baseline trade unchanged.</x:v>
      </x:c>
    </x:row>
    <x:row r="53" ht="18" customHeight="1">
      <x:c r="A53" s="23" t="n">
        <x:v>49</x:v>
      </x:c>
      <x:c r="B53" s="53" t="n">
        <x:v>43542</x:v>
      </x:c>
      <x:c r="C53" s="53" t="n">
        <x:v>43546</x:v>
      </x:c>
      <x:c r="D53" s="23" t="str">
        <x:v>TO</x:v>
      </x:c>
      <x:c r="E53" s="54" t="n">
        <x:v>7305.46</x:v>
      </x:c>
      <x:c r="F53" s="54" t="n">
        <x:v>7333.06</x:v>
      </x:c>
      <x:c r="G53" s="55" t="n">
        <x:v>0.00377</x:v>
      </x:c>
      <x:c r="H53" s="56" t="n">
        <x:f>SUM(T50:T52)</x:f>
        <x:v>0.00825</x:v>
      </x:c>
      <x:c r="I53" s="57" t="b">
        <x:f>AND(A53&gt;3,H53&lt;='Assumptions'!$B$7)</x:f>
        <x:v>0</x:v>
      </x:c>
      <x:c r="J53" s="55" t="n">
        <x:v>0.00043685045882990714</x:v>
      </x:c>
      <x:c r="K53" s="55" t="n">
        <x:v>0.041673261179220544</x:v>
      </x:c>
      <x:c r="L53" s="55" t="n">
        <x:v>0.006293681774619531</x:v>
      </x:c>
      <x:c r="M53" s="57" t="b">
        <x:f>J53&gt;='Assumptions'!$B$8</x:f>
        <x:v>0</x:v>
      </x:c>
      <x:c r="N53" s="57" t="b">
        <x:f>AND(K53&lt;&gt;"",K53&lt;='Assumptions'!$B$9)</x:f>
        <x:v>0</x:v>
      </x:c>
      <x:c r="O53" s="57" t="b">
        <x:f>AND(P53&lt;&gt;"",ABS(L53)&lt;='Assumptions'!$B$10)</x:f>
        <x:v>0</x:v>
      </x:c>
      <x:c r="P53" s="53" t="n">
        <x:v>43543</x:v>
      </x:c>
      <x:c r="Q53" s="54" t="n">
        <x:v>7355.16</x:v>
      </x:c>
      <x:c r="R53" s="55" t="n">
        <x:v>-0.003</x:v>
      </x:c>
      <x:c r="S53" s="57" t="str">
        <x:f>IF(I53,"DAMAGE SKIP",IF(AND(M53,N53),IF(O53,"TUESDAY RE-ENTRY","GAP/MOM SKIP"),"BASELINE"))</x:f>
        <x:v>BASELINE</x:v>
      </x:c>
      <x:c r="T53" s="56" t="n">
        <x:f>IF(I53,0,IF(AND(M53,N53),IF(O53,R53,0),G53))</x:f>
        <x:v>0.00377</x:v>
      </x:c>
      <x:c r="U53" s="56" t="n">
        <x:f>G53*'Assumptions'!$B$6</x:f>
        <x:v>0.042601</x:v>
      </x:c>
      <x:c r="V53" s="56" t="n">
        <x:f>T53*'Assumptions'!$B$6</x:f>
        <x:v>0.042601</x:v>
      </x:c>
      <x:c r="W53" s="56" t="n">
        <x:f>V53-U53</x:f>
        <x:v>0</x:v>
      </x:c>
      <x:c r="X53" s="58" t="n">
        <x:f>X52*(1+U53)</x:f>
        <x:v>25.940003177403597</x:v>
      </x:c>
      <x:c r="Y53" s="58" t="n">
        <x:f>MAX(Y52,X53)</x:f>
        <x:v>309.6394159768338</x:v>
      </x:c>
      <x:c r="Z53" s="59" t="n">
        <x:f>X53/Y53-1</x:f>
        <x:v>-0.916225125617262</x:v>
      </x:c>
      <x:c r="AA53" s="58" t="n">
        <x:f>AA52*(1+V53)</x:f>
        <x:v>304.93888691919244</x:v>
      </x:c>
      <x:c r="AB53" s="58" t="n">
        <x:f>MAX(AB52,AA53)</x:f>
        <x:v>309.6394159768338</x:v>
      </x:c>
      <x:c r="AC53" s="59" t="n">
        <x:f>AA53/AB53-1</x:f>
        <x:v>-0.0151806547070642</x:v>
      </x:c>
      <x:c r="AD53" s="60" t="n">
        <x:f>AA53-X53</x:f>
        <x:v>278.99888374178886</x:v>
      </x:c>
      <x:c r="AE53" s="28" t="str">
        <x:v>Baseline trade unchanged.</x:v>
      </x:c>
    </x:row>
    <x:row r="54" ht="18" customHeight="1">
      <x:c r="A54" s="23" t="n">
        <x:v>50</x:v>
      </x:c>
      <x:c r="B54" s="53" t="n">
        <x:v>43549</x:v>
      </x:c>
      <x:c r="C54" s="53" t="n">
        <x:v>43552</x:v>
      </x:c>
      <x:c r="D54" s="23" t="str">
        <x:v>TSL1PRE</x:v>
      </x:c>
      <x:c r="E54" s="54" t="n">
        <x:v>7302.059</x:v>
      </x:c>
      <x:c r="F54" s="54" t="n">
        <x:v>7267.87</x:v>
      </x:c>
      <x:c r="G54" s="55" t="n">
        <x:v>-0.00468</x:v>
      </x:c>
      <x:c r="H54" s="56" t="n">
        <x:f>SUM(T51:T53)</x:f>
        <x:v>0.01633</x:v>
      </x:c>
      <x:c r="I54" s="57" t="b">
        <x:f>AND(A54&gt;3,H54&lt;='Assumptions'!$B$7)</x:f>
        <x:v>0</x:v>
      </x:c>
      <x:c r="J54" s="55" t="n">
        <x:v>-0.004227566663848381</x:v>
      </x:c>
      <x:c r="K54" s="55" t="n">
        <x:v>0.03469438198182995</x:v>
      </x:c>
      <x:c r="L54" s="55" t="n">
        <x:v>0.0057215437680619985</x:v>
      </x:c>
      <x:c r="M54" s="57" t="b">
        <x:f>J54&gt;='Assumptions'!$B$8</x:f>
        <x:v>0</x:v>
      </x:c>
      <x:c r="N54" s="57" t="b">
        <x:f>AND(K54&lt;&gt;"",K54&lt;='Assumptions'!$B$9)</x:f>
        <x:v>0</x:v>
      </x:c>
      <x:c r="O54" s="57" t="b">
        <x:f>AND(P54&lt;&gt;"",ABS(L54)&lt;='Assumptions'!$B$10)</x:f>
        <x:v>0</x:v>
      </x:c>
      <x:c r="P54" s="53" t="n">
        <x:v>43550</x:v>
      </x:c>
      <x:c r="Q54" s="54" t="n">
        <x:v>7369.07</x:v>
      </x:c>
      <x:c r="R54" s="55" t="n">
        <x:v>-0.01373</x:v>
      </x:c>
      <x:c r="S54" s="57" t="str">
        <x:f>IF(I54,"DAMAGE SKIP",IF(AND(M54,N54),IF(O54,"TUESDAY RE-ENTRY","GAP/MOM SKIP"),"BASELINE"))</x:f>
        <x:v>BASELINE</x:v>
      </x:c>
      <x:c r="T54" s="56" t="n">
        <x:f>IF(I54,0,IF(AND(M54,N54),IF(O54,R54,0),G54))</x:f>
        <x:v>-0.00468</x:v>
      </x:c>
      <x:c r="U54" s="56" t="n">
        <x:f>G54*'Assumptions'!$B$6</x:f>
        <x:v>-0.05288400000000001</x:v>
      </x:c>
      <x:c r="V54" s="56" t="n">
        <x:f>T54*'Assumptions'!$B$6</x:f>
        <x:v>-0.05288400000000001</x:v>
      </x:c>
      <x:c r="W54" s="56" t="n">
        <x:f>V54-U54</x:f>
        <x:v>0</x:v>
      </x:c>
      <x:c r="X54" s="58" t="n">
        <x:f>X53*(1+U54)</x:f>
        <x:v>24.568192049369785</x:v>
      </x:c>
      <x:c r="Y54" s="58" t="n">
        <x:f>MAX(Y53,X54)</x:f>
        <x:v>309.6394159768338</x:v>
      </x:c>
      <x:c r="Z54" s="59" t="n">
        <x:f>X54/Y54-1</x:f>
        <x:v>-0.9206554760741188</x:v>
      </x:c>
      <x:c r="AA54" s="58" t="n">
        <x:f>AA53*(1+V54)</x:f>
        <x:v>288.8124988233578</x:v>
      </x:c>
      <x:c r="AB54" s="58" t="n">
        <x:f>MAX(AB53,AA54)</x:f>
        <x:v>309.6394159768338</x:v>
      </x:c>
      <x:c r="AC54" s="59" t="n">
        <x:f>AA54/AB54-1</x:f>
        <x:v>-0.06726184096353605</x:v>
      </x:c>
      <x:c r="AD54" s="60" t="n">
        <x:f>AA54-X54</x:f>
        <x:v>264.24430677398806</x:v>
      </x:c>
      <x:c r="AE54" s="28" t="str">
        <x:v>Baseline trade unchanged.</x:v>
      </x:c>
    </x:row>
    <x:row r="55" ht="18" customHeight="1">
      <x:c r="A55" s="23" t="n">
        <x:v>51</x:v>
      </x:c>
      <x:c r="B55" s="53" t="n">
        <x:v>43556</x:v>
      </x:c>
      <x:c r="C55" s="53" t="n">
        <x:v>43560</x:v>
      </x:c>
      <x:c r="D55" s="23" t="str">
        <x:v>TO</x:v>
      </x:c>
      <x:c r="E55" s="54" t="n">
        <x:v>7444.87</x:v>
      </x:c>
      <x:c r="F55" s="54" t="n">
        <x:v>7579.76</x:v>
      </x:c>
      <x:c r="G55" s="55" t="n">
        <x:v>0.01811</x:v>
      </x:c>
      <x:c r="H55" s="56" t="n">
        <x:f>SUM(T52:T54)</x:f>
        <x:v>0.015619999999999998</x:v>
      </x:c>
      <x:c r="I55" s="57" t="b">
        <x:f>AND(A55&gt;3,H55&lt;='Assumptions'!$B$7)</x:f>
        <x:v>0</x:v>
      </x:c>
      <x:c r="J55" s="55" t="n">
        <x:v>0.009561507710499573</x:v>
      </x:c>
      <x:c r="K55" s="55" t="n">
        <x:v>0.032099975496201916</x:v>
      </x:c>
      <x:c r="L55" s="55" t="n">
        <x:v>0.014297130150788595</x:v>
      </x:c>
      <x:c r="M55" s="57" t="b">
        <x:f>J55&gt;='Assumptions'!$B$8</x:f>
        <x:v>0</x:v>
      </x:c>
      <x:c r="N55" s="57" t="b">
        <x:f>AND(K55&lt;&gt;"",K55&lt;='Assumptions'!$B$9)</x:f>
        <x:v>0</x:v>
      </x:c>
      <x:c r="O55" s="57" t="b">
        <x:f>AND(P55&lt;&gt;"",ABS(L55)&lt;='Assumptions'!$B$10)</x:f>
        <x:v>0</x:v>
      </x:c>
      <x:c r="P55" s="53" t="n">
        <x:v>43557</x:v>
      </x:c>
      <x:c r="Q55" s="54" t="n">
        <x:v>7478.16</x:v>
      </x:c>
      <x:c r="R55" s="55" t="n">
        <x:v>0.01358</x:v>
      </x:c>
      <x:c r="S55" s="57" t="str">
        <x:f>IF(I55,"DAMAGE SKIP",IF(AND(M55,N55),IF(O55,"TUESDAY RE-ENTRY","GAP/MOM SKIP"),"BASELINE"))</x:f>
        <x:v>BASELINE</x:v>
      </x:c>
      <x:c r="T55" s="56" t="n">
        <x:f>IF(I55,0,IF(AND(M55,N55),IF(O55,R55,0),G55))</x:f>
        <x:v>0.01811</x:v>
      </x:c>
      <x:c r="U55" s="56" t="n">
        <x:f>G55*'Assumptions'!$B$6</x:f>
        <x:v>0.20464300000000002</x:v>
      </x:c>
      <x:c r="V55" s="56" t="n">
        <x:f>T55*'Assumptions'!$B$6</x:f>
        <x:v>0.20464300000000002</x:v>
      </x:c>
      <x:c r="W55" s="56" t="n">
        <x:f>V55-U55</x:f>
        <x:v>0</x:v>
      </x:c>
      <x:c r="X55" s="58" t="n">
        <x:f>X54*(1+U55)</x:f>
        <x:v>29.59590057492896</x:v>
      </x:c>
      <x:c r="Y55" s="58" t="n">
        <x:f>MAX(Y54,X55)</x:f>
        <x:v>309.6394159768338</x:v>
      </x:c>
      <x:c r="Z55" s="59" t="n">
        <x:f>X55/Y55-1</x:f>
        <x:v>-0.9044181746643547</x:v>
      </x:c>
      <x:c r="AA55" s="58" t="n">
        <x:f>AA54*(1+V55)</x:f>
        <x:v>347.91595502006624</x:v>
      </x:c>
      <x:c r="AB55" s="58" t="n">
        <x:f>MAX(AB54,AA55)</x:f>
        <x:v>347.91595502006624</x:v>
      </x:c>
      <x:c r="AC55" s="59" t="n">
        <x:f>AA55/AB55-1</x:f>
        <x:v>0</x:v>
      </x:c>
      <x:c r="AD55" s="60" t="n">
        <x:f>AA55-X55</x:f>
        <x:v>318.32005444513726</x:v>
      </x:c>
      <x:c r="AE55" s="28" t="str">
        <x:v>Baseline trade unchanged.</x:v>
      </x:c>
    </x:row>
    <x:row r="56" ht="18" customHeight="1">
      <x:c r="A56" s="23" t="n">
        <x:v>52</x:v>
      </x:c>
      <x:c r="B56" s="53" t="n">
        <x:v>43563</x:v>
      </x:c>
      <x:c r="C56" s="53" t="n">
        <x:v>43567</x:v>
      </x:c>
      <x:c r="D56" s="23" t="str">
        <x:v>TO</x:v>
      </x:c>
      <x:c r="E56" s="54" t="n">
        <x:v>7563.47</x:v>
      </x:c>
      <x:c r="F56" s="54" t="n">
        <x:v>7628.47</x:v>
      </x:c>
      <x:c r="G56" s="55" t="n">
        <x:v>0.00859</x:v>
      </x:c>
      <x:c r="H56" s="56" t="n">
        <x:f>SUM(T53:T55)</x:f>
        <x:v>0.0172</x:v>
      </x:c>
      <x:c r="I56" s="57" t="b">
        <x:f>AND(A56&gt;3,H56&lt;='Assumptions'!$B$7)</x:f>
        <x:v>0</x:v>
      </x:c>
      <x:c r="J56" s="55" t="n">
        <x:v>-0.0021491445639439943</x:v>
      </x:c>
      <x:c r="K56" s="55" t="n">
        <x:v>0.0807111544081831</x:v>
      </x:c>
      <x:c r="L56" s="55" t="n">
        <x:v>-0.000890160905034576</x:v>
      </x:c>
      <x:c r="M56" s="57" t="b">
        <x:f>J56&gt;='Assumptions'!$B$8</x:f>
        <x:v>0</x:v>
      </x:c>
      <x:c r="N56" s="57" t="b">
        <x:f>AND(K56&lt;&gt;"",K56&lt;='Assumptions'!$B$9)</x:f>
        <x:v>0</x:v>
      </x:c>
      <x:c r="O56" s="57" t="b">
        <x:f>AND(P56&lt;&gt;"",ABS(L56)&lt;='Assumptions'!$B$10)</x:f>
        <x:v>1</x:v>
      </x:c>
      <x:c r="P56" s="53" t="n">
        <x:v>43564</x:v>
      </x:c>
      <x:c r="Q56" s="54" t="n">
        <x:v>7568.86</x:v>
      </x:c>
      <x:c r="R56" s="55" t="n">
        <x:v>0.00787</x:v>
      </x:c>
      <x:c r="S56" s="57" t="str">
        <x:f>IF(I56,"DAMAGE SKIP",IF(AND(M56,N56),IF(O56,"TUESDAY RE-ENTRY","GAP/MOM SKIP"),"BASELINE"))</x:f>
        <x:v>BASELINE</x:v>
      </x:c>
      <x:c r="T56" s="56" t="n">
        <x:f>IF(I56,0,IF(AND(M56,N56),IF(O56,R56,0),G56))</x:f>
        <x:v>0.00859</x:v>
      </x:c>
      <x:c r="U56" s="56" t="n">
        <x:f>G56*'Assumptions'!$B$6</x:f>
        <x:v>0.09706700000000001</x:v>
      </x:c>
      <x:c r="V56" s="56" t="n">
        <x:f>T56*'Assumptions'!$B$6</x:f>
        <x:v>0.09706700000000001</x:v>
      </x:c>
      <x:c r="W56" s="56" t="n">
        <x:f>V56-U56</x:f>
        <x:v>0</x:v>
      </x:c>
      <x:c r="X56" s="58" t="n">
        <x:f>X55*(1+U56)</x:f>
        <x:v>32.46868585603559</x:v>
      </x:c>
      <x:c r="Y56" s="58" t="n">
        <x:f>MAX(Y55,X56)</x:f>
        <x:v>309.6394159768338</x:v>
      </x:c>
      <x:c r="Z56" s="59" t="n">
        <x:f>X56/Y56-1</x:f>
        <x:v>-0.8951403336244995</x:v>
      </x:c>
      <x:c r="AA56" s="58" t="n">
        <x:f>AA55*(1+V56)</x:f>
        <x:v>381.687113025999</x:v>
      </x:c>
      <x:c r="AB56" s="58" t="n">
        <x:f>MAX(AB55,AA56)</x:f>
        <x:v>381.687113025999</x:v>
      </x:c>
      <x:c r="AC56" s="59" t="n">
        <x:f>AA56/AB56-1</x:f>
        <x:v>0</x:v>
      </x:c>
      <x:c r="AD56" s="60" t="n">
        <x:f>AA56-X56</x:f>
        <x:v>349.21842716996343</x:v>
      </x:c>
      <x:c r="AE56" s="28" t="str">
        <x:v>Baseline trade unchanged.</x:v>
      </x:c>
    </x:row>
    <x:row r="57" ht="18" customHeight="1">
      <x:c r="A57" s="23" t="n">
        <x:v>53</x:v>
      </x:c>
      <x:c r="B57" s="53" t="n">
        <x:v>43570</x:v>
      </x:c>
      <x:c r="C57" s="53" t="n">
        <x:v>43573</x:v>
      </x:c>
      <x:c r="D57" s="23" t="str">
        <x:v>TO</x:v>
      </x:c>
      <x:c r="E57" s="54" t="n">
        <x:v>7624.769</x:v>
      </x:c>
      <x:c r="F57" s="54" t="n">
        <x:v>7689.67</x:v>
      </x:c>
      <x:c r="G57" s="55" t="n">
        <x:v>0.00851</x:v>
      </x:c>
      <x:c r="H57" s="56" t="n">
        <x:f>SUM(T54:T56)</x:f>
        <x:v>0.02202</x:v>
      </x:c>
      <x:c r="I57" s="57" t="b">
        <x:f>AND(A57&gt;3,H57&lt;='Assumptions'!$B$7)</x:f>
        <x:v>0</x:v>
      </x:c>
      <x:c r="J57" s="55" t="n">
        <x:v>-0.00048515626331357975</x:v>
      </x:c>
      <x:c r="K57" s="55" t="n">
        <x:v>0.04386877352095553</x:v>
      </x:c>
      <x:c r="L57" s="55" t="n">
        <x:v>0.003683571160660648</x:v>
      </x:c>
      <x:c r="M57" s="57" t="b">
        <x:f>J57&gt;='Assumptions'!$B$8</x:f>
        <x:v>0</x:v>
      </x:c>
      <x:c r="N57" s="57" t="b">
        <x:f>AND(K57&lt;&gt;"",K57&lt;='Assumptions'!$B$9)</x:f>
        <x:v>0</x:v>
      </x:c>
      <x:c r="O57" s="57" t="b">
        <x:f>AND(P57&lt;&gt;"",ABS(L57)&lt;='Assumptions'!$B$10)</x:f>
        <x:v>1</x:v>
      </x:c>
      <x:c r="P57" s="53" t="n">
        <x:v>43571</x:v>
      </x:c>
      <x:c r="Q57" s="54" t="n">
        <x:v>7653.069</x:v>
      </x:c>
      <x:c r="R57" s="55" t="n">
        <x:v>0.00478</x:v>
      </x:c>
      <x:c r="S57" s="57" t="str">
        <x:f>IF(I57,"DAMAGE SKIP",IF(AND(M57,N57),IF(O57,"TUESDAY RE-ENTRY","GAP/MOM SKIP"),"BASELINE"))</x:f>
        <x:v>BASELINE</x:v>
      </x:c>
      <x:c r="T57" s="56" t="n">
        <x:f>IF(I57,0,IF(AND(M57,N57),IF(O57,R57,0),G57))</x:f>
        <x:v>0.00851</x:v>
      </x:c>
      <x:c r="U57" s="56" t="n">
        <x:f>G57*'Assumptions'!$B$6</x:f>
        <x:v>0.09616300000000001</x:v>
      </x:c>
      <x:c r="V57" s="56" t="n">
        <x:f>T57*'Assumptions'!$B$6</x:f>
        <x:v>0.09616300000000001</x:v>
      </x:c>
      <x:c r="W57" s="56" t="n">
        <x:f>V57-U57</x:f>
        <x:v>0</x:v>
      </x:c>
      <x:c r="X57" s="58" t="n">
        <x:f>X56*(1+U57)</x:f>
        <x:v>35.590972094009544</x:v>
      </x:c>
      <x:c r="Y57" s="58" t="n">
        <x:f>MAX(Y56,X57)</x:f>
        <x:v>309.6394159768338</x:v>
      </x:c>
      <x:c r="Z57" s="59" t="n">
        <x:f>X57/Y57-1</x:f>
        <x:v>-0.8850567135268324</x:v>
      </x:c>
      <x:c r="AA57" s="58" t="n">
        <x:f>AA56*(1+V57)</x:f>
        <x:v>418.3912908759181</x:v>
      </x:c>
      <x:c r="AB57" s="58" t="n">
        <x:f>MAX(AB56,AA57)</x:f>
        <x:v>418.3912908759181</x:v>
      </x:c>
      <x:c r="AC57" s="59" t="n">
        <x:f>AA57/AB57-1</x:f>
        <x:v>0</x:v>
      </x:c>
      <x:c r="AD57" s="60" t="n">
        <x:f>AA57-X57</x:f>
        <x:v>382.8003187819086</x:v>
      </x:c>
      <x:c r="AE57" s="28" t="str">
        <x:v>Baseline trade unchanged.</x:v>
      </x:c>
    </x:row>
    <x:row r="58" ht="18" customHeight="1">
      <x:c r="A58" s="23" t="n">
        <x:v>54</x:v>
      </x:c>
      <x:c r="B58" s="53" t="n">
        <x:v>43577</x:v>
      </x:c>
      <x:c r="C58" s="53" t="n">
        <x:v>43577</x:v>
      </x:c>
      <x:c r="D58" s="23" t="str">
        <x:v>CH</x:v>
      </x:c>
      <x:c r="E58" s="54" t="n">
        <x:v>7654.769</x:v>
      </x:c>
      <x:c r="F58" s="54" t="n">
        <x:v>7713.37</x:v>
      </x:c>
      <x:c r="G58" s="55" t="n">
        <x:v>0.00765</x:v>
      </x:c>
      <x:c r="H58" s="56" t="n">
        <x:f>SUM(T55:T57)</x:f>
        <x:v>0.035210000000000005</x:v>
      </x:c>
      <x:c r="I58" s="57" t="b">
        <x:f>AND(A58&gt;3,H58&lt;='Assumptions'!$B$7)</x:f>
        <x:v>0</x:v>
      </x:c>
      <x:c r="J58" s="55" t="n">
        <x:v>-0.0045386863155375545</x:v>
      </x:c>
      <x:c r="K58" s="55" t="n">
        <x:v>0.026406514442665285</x:v>
      </x:c>
      <x:c r="L58" s="55" t="n">
        <x:v>0.0052409213806274835</x:v>
      </x:c>
      <x:c r="M58" s="57" t="b">
        <x:f>J58&gt;='Assumptions'!$B$8</x:f>
        <x:v>0</x:v>
      </x:c>
      <x:c r="N58" s="57" t="b">
        <x:f>AND(K58&lt;&gt;"",K58&lt;='Assumptions'!$B$9)</x:f>
        <x:v>0</x:v>
      </x:c>
      <x:c r="O58" s="57" t="b">
        <x:f>AND(P58&lt;&gt;"",ABS(L58)&lt;='Assumptions'!$B$10)</x:f>
        <x:v>0</x:v>
      </x:c>
      <x:c r="P58" s="53" t="n">
        <x:v>43578</x:v>
      </x:c>
      <x:c r="Q58" s="54" t="n">
        <x:v>7729.66</x:v>
      </x:c>
      <x:c r="R58" s="55" t="n">
        <x:v>-0.0021</x:v>
      </x:c>
      <x:c r="S58" s="57" t="str">
        <x:f>IF(I58,"DAMAGE SKIP",IF(AND(M58,N58),IF(O58,"TUESDAY RE-ENTRY","GAP/MOM SKIP"),"BASELINE"))</x:f>
        <x:v>BASELINE</x:v>
      </x:c>
      <x:c r="T58" s="56" t="n">
        <x:f>IF(I58,0,IF(AND(M58,N58),IF(O58,R58,0),G58))</x:f>
        <x:v>0.00765</x:v>
      </x:c>
      <x:c r="U58" s="56" t="n">
        <x:f>G58*'Assumptions'!$B$6</x:f>
        <x:v>0.08644500000000001</x:v>
      </x:c>
      <x:c r="V58" s="56" t="n">
        <x:f>T58*'Assumptions'!$B$6</x:f>
        <x:v>0.08644500000000001</x:v>
      </x:c>
      <x:c r="W58" s="56" t="n">
        <x:f>V58-U58</x:f>
        <x:v>0</x:v>
      </x:c>
      <x:c r="X58" s="58" t="n">
        <x:f>X57*(1+U58)</x:f>
        <x:v>38.6676336766762</x:v>
      </x:c>
      <x:c r="Y58" s="58" t="n">
        <x:f>MAX(Y57,X58)</x:f>
        <x:v>309.6394159768338</x:v>
      </x:c>
      <x:c r="Z58" s="59" t="n">
        <x:f>X58/Y58-1</x:f>
        <x:v>-0.8751204411276593</x:v>
      </x:c>
      <x:c r="AA58" s="58" t="n">
        <x:f>AA57*(1+V58)</x:f>
        <x:v>454.5591260156869</x:v>
      </x:c>
      <x:c r="AB58" s="58" t="n">
        <x:f>MAX(AB57,AA58)</x:f>
        <x:v>454.5591260156869</x:v>
      </x:c>
      <x:c r="AC58" s="59" t="n">
        <x:f>AA58/AB58-1</x:f>
        <x:v>0</x:v>
      </x:c>
      <x:c r="AD58" s="60" t="n">
        <x:f>AA58-X58</x:f>
        <x:v>415.8914923390107</x:v>
      </x:c>
      <x:c r="AE58" s="28" t="str">
        <x:v>Baseline trade unchanged.</x:v>
      </x:c>
    </x:row>
    <x:row r="59" ht="18" customHeight="1">
      <x:c r="A59" s="23" t="n">
        <x:v>55</x:v>
      </x:c>
      <x:c r="B59" s="53" t="n">
        <x:v>43584</x:v>
      </x:c>
      <x:c r="C59" s="53" t="n">
        <x:v>43586</x:v>
      </x:c>
      <x:c r="D59" s="23" t="str">
        <x:v>BEPRE</x:v>
      </x:c>
      <x:c r="E59" s="54" t="n">
        <x:v>7821.86</x:v>
      </x:c>
      <x:c r="F59" s="54" t="n">
        <x:v>7830.969</x:v>
      </x:c>
      <x:c r="G59" s="55" t="n">
        <x:v>0.00116</x:v>
      </x:c>
      <x:c r="H59" s="56" t="n">
        <x:f>SUM(T56:T58)</x:f>
        <x:v>0.02475</x:v>
      </x:c>
      <x:c r="I59" s="57" t="b">
        <x:f>AND(A59&gt;3,H59&lt;='Assumptions'!$B$7)</x:f>
        <x:v>0</x:v>
      </x:c>
      <x:c r="J59" s="55" t="n">
        <x:v>-0.0006401026208433525</x:v>
      </x:c>
      <x:c r="K59" s="55" t="n">
        <x:v>0.06921138002660632</x:v>
      </x:c>
      <x:c r="L59" s="55" t="n">
        <x:v>-0.006100954979536111</x:v>
      </x:c>
      <x:c r="M59" s="57" t="b">
        <x:f>J59&gt;='Assumptions'!$B$8</x:f>
        <x:v>0</x:v>
      </x:c>
      <x:c r="N59" s="57" t="b">
        <x:f>AND(K59&lt;&gt;"",K59&lt;='Assumptions'!$B$9)</x:f>
        <x:v>0</x:v>
      </x:c>
      <x:c r="O59" s="57" t="b">
        <x:f>AND(P59&lt;&gt;"",ABS(L59)&lt;='Assumptions'!$B$10)</x:f>
        <x:v>0</x:v>
      </x:c>
      <x:c r="P59" s="53" t="n">
        <x:v>43585</x:v>
      </x:c>
      <x:c r="Q59" s="54" t="n">
        <x:v>7774.76</x:v>
      </x:c>
      <x:c r="R59" s="55" t="n">
        <x:v>0.00722</x:v>
      </x:c>
      <x:c r="S59" s="57" t="str">
        <x:f>IF(I59,"DAMAGE SKIP",IF(AND(M59,N59),IF(O59,"TUESDAY RE-ENTRY","GAP/MOM SKIP"),"BASELINE"))</x:f>
        <x:v>BASELINE</x:v>
      </x:c>
      <x:c r="T59" s="56" t="n">
        <x:f>IF(I59,0,IF(AND(M59,N59),IF(O59,R59,0),G59))</x:f>
        <x:v>0.00116</x:v>
      </x:c>
      <x:c r="U59" s="56" t="n">
        <x:f>G59*'Assumptions'!$B$6</x:f>
        <x:v>0.013108000000000002</x:v>
      </x:c>
      <x:c r="V59" s="56" t="n">
        <x:f>T59*'Assumptions'!$B$6</x:f>
        <x:v>0.013108000000000002</x:v>
      </x:c>
      <x:c r="W59" s="56" t="n">
        <x:f>V59-U59</x:f>
        <x:v>0</x:v>
      </x:c>
      <x:c r="X59" s="58" t="n">
        <x:f>X58*(1+U59)</x:f>
        <x:v>39.17448901891007</x:v>
      </x:c>
      <x:c r="Y59" s="58" t="n">
        <x:f>MAX(Y58,X59)</x:f>
        <x:v>309.6394159768338</x:v>
      </x:c>
      <x:c r="Z59" s="59" t="n">
        <x:f>X59/Y59-1</x:f>
        <x:v>-0.8734835198699606</x:v>
      </x:c>
      <x:c r="AA59" s="58" t="n">
        <x:f>AA58*(1+V59)</x:f>
        <x:v>460.51748703950045</x:v>
      </x:c>
      <x:c r="AB59" s="58" t="n">
        <x:f>MAX(AB58,AA59)</x:f>
        <x:v>460.51748703950045</x:v>
      </x:c>
      <x:c r="AC59" s="59" t="n">
        <x:f>AA59/AB59-1</x:f>
        <x:v>0</x:v>
      </x:c>
      <x:c r="AD59" s="60" t="n">
        <x:f>AA59-X59</x:f>
        <x:v>421.34299802059036</x:v>
      </x:c>
      <x:c r="AE59" s="28" t="str">
        <x:v>Baseline trade unchanged.</x:v>
      </x:c>
    </x:row>
    <x:row r="60" ht="18" customHeight="1">
      <x:c r="A60" s="23" t="n">
        <x:v>56</x:v>
      </x:c>
      <x:c r="B60" s="53" t="n">
        <x:v>43591</x:v>
      </x:c>
      <x:c r="C60" s="53" t="n">
        <x:v>43591</x:v>
      </x:c>
      <x:c r="D60" s="23" t="str">
        <x:v>CH</x:v>
      </x:c>
      <x:c r="E60" s="54" t="n">
        <x:v>7673.57</x:v>
      </x:c>
      <x:c r="F60" s="54" t="n">
        <x:v>7796.46</x:v>
      </x:c>
      <x:c r="G60" s="55" t="n">
        <x:v>0.01601</x:v>
      </x:c>
      <x:c r="H60" s="56" t="n">
        <x:f>SUM(T57:T59)</x:f>
        <x:v>0.017320000000000002</x:v>
      </x:c>
      <x:c r="I60" s="57" t="b">
        <x:f>AND(A60&gt;3,H60&lt;='Assumptions'!$B$7)</x:f>
        <x:v>0</x:v>
      </x:c>
      <x:c r="J60" s="55" t="n">
        <x:v>-0.021810987587750685</x:v>
      </x:c>
      <x:c r="K60" s="55" t="n">
        <x:v>0.04036519542599537</x:v>
      </x:c>
      <x:c r="L60" s="55" t="n">
        <x:v>-0.01700691382220043</x:v>
      </x:c>
      <x:c r="M60" s="57" t="b">
        <x:f>J60&gt;='Assumptions'!$B$8</x:f>
        <x:v>0</x:v>
      </x:c>
      <x:c r="N60" s="57" t="b">
        <x:f>AND(K60&lt;&gt;"",K60&lt;='Assumptions'!$B$9)</x:f>
        <x:v>0</x:v>
      </x:c>
      <x:c r="O60" s="57" t="b">
        <x:f>AND(P60&lt;&gt;"",ABS(L60)&lt;='Assumptions'!$B$10)</x:f>
        <x:v>0</x:v>
      </x:c>
      <x:c r="P60" s="53" t="n">
        <x:v>43592</x:v>
      </x:c>
      <x:c r="Q60" s="54" t="n">
        <x:v>7706.169</x:v>
      </x:c>
      <x:c r="R60" s="55" t="n">
        <x:v>0.01171</x:v>
      </x:c>
      <x:c r="S60" s="57" t="str">
        <x:f>IF(I60,"DAMAGE SKIP",IF(AND(M60,N60),IF(O60,"TUESDAY RE-ENTRY","GAP/MOM SKIP"),"BASELINE"))</x:f>
        <x:v>BASELINE</x:v>
      </x:c>
      <x:c r="T60" s="56" t="n">
        <x:f>IF(I60,0,IF(AND(M60,N60),IF(O60,R60,0),G60))</x:f>
        <x:v>0.01601</x:v>
      </x:c>
      <x:c r="U60" s="56" t="n">
        <x:f>G60*'Assumptions'!$B$6</x:f>
        <x:v>0.18091300000000002</x:v>
      </x:c>
      <x:c r="V60" s="56" t="n">
        <x:f>T60*'Assumptions'!$B$6</x:f>
        <x:v>0.18091300000000002</x:v>
      </x:c>
      <x:c r="W60" s="56" t="n">
        <x:f>V60-U60</x:f>
        <x:v>0</x:v>
      </x:c>
      <x:c r="X60" s="58" t="n">
        <x:f>X59*(1+U60)</x:f>
        <x:v>46.261663350788155</x:v>
      </x:c>
      <x:c r="Y60" s="58" t="n">
        <x:f>MAX(Y59,X60)</x:f>
        <x:v>309.6394159768338</x:v>
      </x:c>
      <x:c r="Z60" s="59" t="n">
        <x:f>X60/Y60-1</x:f>
        <x:v>-0.8505950439001948</x:v>
      </x:c>
      <x:c r="AA60" s="58" t="n">
        <x:f>AA59*(1+V60)</x:f>
        <x:v>543.8310871722776</x:v>
      </x:c>
      <x:c r="AB60" s="58" t="n">
        <x:f>MAX(AB59,AA60)</x:f>
        <x:v>543.8310871722776</x:v>
      </x:c>
      <x:c r="AC60" s="59" t="n">
        <x:f>AA60/AB60-1</x:f>
        <x:v>0</x:v>
      </x:c>
      <x:c r="AD60" s="60" t="n">
        <x:f>AA60-X60</x:f>
        <x:v>497.5694238214895</x:v>
      </x:c>
      <x:c r="AE60" s="28" t="str">
        <x:v>Baseline trade unchanged.</x:v>
      </x:c>
    </x:row>
    <x:row r="61" ht="18" customHeight="1">
      <x:c r="A61" s="23" t="n">
        <x:v>57</x:v>
      </x:c>
      <x:c r="B61" s="53" t="n">
        <x:v>43598</x:v>
      </x:c>
      <x:c r="C61" s="53" t="n">
        <x:v>43602</x:v>
      </x:c>
      <x:c r="D61" s="23" t="str">
        <x:v>TO</x:v>
      </x:c>
      <x:c r="E61" s="54" t="n">
        <x:v>7392.66</x:v>
      </x:c>
      <x:c r="F61" s="54" t="n">
        <x:v>7496.569</x:v>
      </x:c>
      <x:c r="G61" s="55" t="n">
        <x:v>0.01405</x:v>
      </x:c>
      <x:c r="H61" s="56" t="n">
        <x:f>SUM(T58:T60)</x:f>
        <x:v>0.024820000000000002</x:v>
      </x:c>
      <x:c r="I61" s="57" t="b">
        <x:f>AND(A61&gt;3,H61&lt;='Assumptions'!$B$7)</x:f>
        <x:v>0</x:v>
      </x:c>
      <x:c r="J61" s="55" t="n">
        <x:v>-0.025829295515551465</x:v>
      </x:c>
      <x:c r="K61" s="55" t="n">
        <x:v>-0.00016867483427696062</x:v>
      </x:c>
      <x:c r="L61" s="55" t="n">
        <x:v>-0.029708649417692357</x:v>
      </x:c>
      <x:c r="M61" s="57" t="b">
        <x:f>J61&gt;='Assumptions'!$B$8</x:f>
        <x:v>0</x:v>
      </x:c>
      <x:c r="N61" s="57" t="b">
        <x:f>AND(K61&lt;&gt;"",K61&lt;='Assumptions'!$B$9)</x:f>
        <x:v>0</x:v>
      </x:c>
      <x:c r="O61" s="57" t="b">
        <x:f>AND(P61&lt;&gt;"",ABS(L61)&lt;='Assumptions'!$B$10)</x:f>
        <x:v>0</x:v>
      </x:c>
      <x:c r="P61" s="53" t="n">
        <x:v>43599</x:v>
      </x:c>
      <x:c r="Q61" s="54" t="n">
        <x:v>7362.76</x:v>
      </x:c>
      <x:c r="R61" s="55" t="n">
        <x:v>0.01817</x:v>
      </x:c>
      <x:c r="S61" s="57" t="str">
        <x:f>IF(I61,"DAMAGE SKIP",IF(AND(M61,N61),IF(O61,"TUESDAY RE-ENTRY","GAP/MOM SKIP"),"BASELINE"))</x:f>
        <x:v>BASELINE</x:v>
      </x:c>
      <x:c r="T61" s="56" t="n">
        <x:f>IF(I61,0,IF(AND(M61,N61),IF(O61,R61,0),G61))</x:f>
        <x:v>0.01405</x:v>
      </x:c>
      <x:c r="U61" s="56" t="n">
        <x:f>G61*'Assumptions'!$B$6</x:f>
        <x:v>0.15876500000000002</x:v>
      </x:c>
      <x:c r="V61" s="56" t="n">
        <x:f>T61*'Assumptions'!$B$6</x:f>
        <x:v>0.15876500000000002</x:v>
      </x:c>
      <x:c r="W61" s="56" t="n">
        <x:f>V61-U61</x:f>
        <x:v>0</x:v>
      </x:c>
      <x:c r="X61" s="58" t="n">
        <x:f>X60*(1+U61)</x:f>
        <x:v>53.606396332676034</x:v>
      </x:c>
      <x:c r="Y61" s="58" t="n">
        <x:f>MAX(Y60,X61)</x:f>
        <x:v>309.6394159768338</x:v>
      </x:c>
      <x:c r="Z61" s="59" t="n">
        <x:f>X61/Y61-1</x:f>
        <x:v>-0.8268747660450093</x:v>
      </x:c>
      <x:c r="AA61" s="58" t="n">
        <x:f>AA60*(1+V61)</x:f>
        <x:v>630.1724297271843</x:v>
      </x:c>
      <x:c r="AB61" s="58" t="n">
        <x:f>MAX(AB60,AA61)</x:f>
        <x:v>630.1724297271843</x:v>
      </x:c>
      <x:c r="AC61" s="59" t="n">
        <x:f>AA61/AB61-1</x:f>
        <x:v>0</x:v>
      </x:c>
      <x:c r="AD61" s="60" t="n">
        <x:f>AA61-X61</x:f>
        <x:v>576.5660333945083</x:v>
      </x:c>
      <x:c r="AE61" s="28" t="str">
        <x:v>Baseline trade unchanged.</x:v>
      </x:c>
    </x:row>
    <x:row r="62" ht="18" customHeight="1">
      <x:c r="A62" s="23" t="n">
        <x:v>58</x:v>
      </x:c>
      <x:c r="B62" s="53" t="n">
        <x:v>43605</x:v>
      </x:c>
      <x:c r="C62" s="53" t="n">
        <x:v>43608</x:v>
      </x:c>
      <x:c r="D62" s="23" t="str">
        <x:v>TSL1PRE</x:v>
      </x:c>
      <x:c r="E62" s="54" t="n">
        <x:v>7396.16</x:v>
      </x:c>
      <x:c r="F62" s="54" t="n">
        <x:v>7365.569</x:v>
      </x:c>
      <x:c r="G62" s="55" t="n">
        <x:v>-0.00413</x:v>
      </x:c>
      <x:c r="H62" s="56" t="n">
        <x:f>SUM(T59:T61)</x:f>
        <x:v>0.03122</x:v>
      </x:c>
      <x:c r="I62" s="57" t="b">
        <x:f>AND(A62&gt;3,H62&lt;='Assumptions'!$B$7)</x:f>
        <x:v>0</x:v>
      </x:c>
      <x:c r="J62" s="55" t="n">
        <x:v>-0.013393993972442675</x:v>
      </x:c>
      <x:c r="K62" s="55" t="n">
        <x:v>-0.02322882950905225</x:v>
      </x:c>
      <x:c r="L62" s="55" t="n">
        <x:v>-0.008360947384575157</x:v>
      </x:c>
      <x:c r="M62" s="57" t="b">
        <x:f>J62&gt;='Assumptions'!$B$8</x:f>
        <x:v>0</x:v>
      </x:c>
      <x:c r="N62" s="57" t="b">
        <x:f>AND(K62&lt;&gt;"",K62&lt;='Assumptions'!$B$9)</x:f>
        <x:v>1</x:v>
      </x:c>
      <x:c r="O62" s="57" t="b">
        <x:f>AND(P62&lt;&gt;"",ABS(L62)&lt;='Assumptions'!$B$10)</x:f>
        <x:v>0</x:v>
      </x:c>
      <x:c r="P62" s="53" t="n">
        <x:v>43606</x:v>
      </x:c>
      <x:c r="Q62" s="54" t="n">
        <x:v>7437.769</x:v>
      </x:c>
      <x:c r="R62" s="55" t="n">
        <x:v>-0.0097</x:v>
      </x:c>
      <x:c r="S62" s="57" t="str">
        <x:f>IF(I62,"DAMAGE SKIP",IF(AND(M62,N62),IF(O62,"TUESDAY RE-ENTRY","GAP/MOM SKIP"),"BASELINE"))</x:f>
        <x:v>BASELINE</x:v>
      </x:c>
      <x:c r="T62" s="56" t="n">
        <x:f>IF(I62,0,IF(AND(M62,N62),IF(O62,R62,0),G62))</x:f>
        <x:v>-0.00413</x:v>
      </x:c>
      <x:c r="U62" s="56" t="n">
        <x:f>G62*'Assumptions'!$B$6</x:f>
        <x:v>-0.046669</x:v>
      </x:c>
      <x:c r="V62" s="56" t="n">
        <x:f>T62*'Assumptions'!$B$6</x:f>
        <x:v>-0.046669</x:v>
      </x:c>
      <x:c r="W62" s="56" t="n">
        <x:f>V62-U62</x:f>
        <x:v>0</x:v>
      </x:c>
      <x:c r="X62" s="58" t="n">
        <x:f>X61*(1+U62)</x:f>
        <x:v>51.10463942222638</x:v>
      </x:c>
      <x:c r="Y62" s="58" t="n">
        <x:f>MAX(Y61,X62)</x:f>
        <x:v>309.6394159768338</x:v>
      </x:c>
      <x:c r="Z62" s="59" t="n">
        <x:f>X62/Y62-1</x:f>
        <x:v>-0.8349543475884548</x:v>
      </x:c>
      <x:c r="AA62" s="58" t="n">
        <x:f>AA61*(1+V62)</x:f>
        <x:v>600.7629126042464</x:v>
      </x:c>
      <x:c r="AB62" s="58" t="n">
        <x:f>MAX(AB61,AA62)</x:f>
        <x:v>630.1724297271843</x:v>
      </x:c>
      <x:c r="AC62" s="59" t="n">
        <x:f>AA62/AB62-1</x:f>
        <x:v>-0.04666899999999996</x:v>
      </x:c>
      <x:c r="AD62" s="60" t="n">
        <x:f>AA62-X62</x:f>
        <x:v>549.65827318202</x:v>
      </x:c>
      <x:c r="AE62" s="28" t="str">
        <x:v>Baseline trade unchanged.</x:v>
      </x:c>
    </x:row>
    <x:row r="63" ht="18" customHeight="1">
      <x:c r="A63" s="23" t="n">
        <x:v>59</x:v>
      </x:c>
      <x:c r="B63" s="53" t="n">
        <x:v>43613</x:v>
      </x:c>
      <x:c r="C63" s="53" t="n">
        <x:v>43615</x:v>
      </x:c>
      <x:c r="D63" s="23" t="str">
        <x:v>TSL1PRE</x:v>
      </x:c>
      <x:c r="E63" s="54" t="n">
        <x:v>7319.16</x:v>
      </x:c>
      <x:c r="F63" s="54" t="n">
        <x:v>7203.169</x:v>
      </x:c>
      <x:c r="G63" s="55" t="n">
        <x:v>-0.01584</x:v>
      </x:c>
      <x:c r="H63" s="56" t="n">
        <x:f>SUM(T60:T62)</x:f>
        <x:v>0.02593</x:v>
      </x:c>
      <x:c r="I63" s="57" t="b">
        <x:f>AND(A63&gt;3,H63&lt;='Assumptions'!$B$7)</x:f>
        <x:v>0</x:v>
      </x:c>
      <x:c r="J63" s="55" t="n">
        <x:v>0.0030974874594997814</x:v>
      </x:c>
      <x:c r="K63" s="55" t="n">
        <x:v>-0.06547339699863575</x:v>
      </x:c>
      <x:c r="L63" s="55"/>
      <x:c r="M63" s="57" t="b">
        <x:f>J63&gt;='Assumptions'!$B$8</x:f>
        <x:v>0</x:v>
      </x:c>
      <x:c r="N63" s="57" t="b">
        <x:f>AND(K63&lt;&gt;"",K63&lt;='Assumptions'!$B$9)</x:f>
        <x:v>1</x:v>
      </x:c>
      <x:c r="O63" s="57" t="b">
        <x:f>AND(P63&lt;&gt;"",ABS(L63)&lt;='Assumptions'!$B$10)</x:f>
        <x:v>0</x:v>
      </x:c>
      <x:c r="P63" s="53"/>
      <x:c r="Q63" s="54"/>
      <x:c r="R63" s="55"/>
      <x:c r="S63" s="57" t="str">
        <x:f>IF(I63,"DAMAGE SKIP",IF(AND(M63,N63),IF(O63,"TUESDAY RE-ENTRY","GAP/MOM SKIP"),"BASELINE"))</x:f>
        <x:v>BASELINE</x:v>
      </x:c>
      <x:c r="T63" s="56" t="n">
        <x:f>IF(I63,0,IF(AND(M63,N63),IF(O63,R63,0),G63))</x:f>
        <x:v>-0.01584</x:v>
      </x:c>
      <x:c r="U63" s="56" t="n">
        <x:f>G63*'Assumptions'!$B$6</x:f>
        <x:v>-0.178992</x:v>
      </x:c>
      <x:c r="V63" s="56" t="n">
        <x:f>T63*'Assumptions'!$B$6</x:f>
        <x:v>-0.178992</x:v>
      </x:c>
      <x:c r="W63" s="56" t="n">
        <x:f>V63-U63</x:f>
        <x:v>0</x:v>
      </x:c>
      <x:c r="X63" s="58" t="n">
        <x:f>X62*(1+U63)</x:f>
        <x:v>41.95731780276323</x:v>
      </x:c>
      <x:c r="Y63" s="58" t="n">
        <x:f>MAX(Y62,X63)</x:f>
        <x:v>309.6394159768338</x:v>
      </x:c>
      <x:c r="Z63" s="59" t="n">
        <x:f>X63/Y63-1</x:f>
        <x:v>-0.864496199004902</x:v>
      </x:c>
      <x:c r="AA63" s="58" t="n">
        <x:f>AA62*(1+V63)</x:f>
        <x:v>493.2311573513871</x:v>
      </x:c>
      <x:c r="AB63" s="58" t="n">
        <x:f>MAX(AB62,AA63)</x:f>
        <x:v>630.1724297271843</x:v>
      </x:c>
      <x:c r="AC63" s="59" t="n">
        <x:f>AA63/AB63-1</x:f>
        <x:v>-0.21730762235199996</x:v>
      </x:c>
      <x:c r="AD63" s="60" t="n">
        <x:f>AA63-X63</x:f>
        <x:v>451.27383954862387</x:v>
      </x:c>
      <x:c r="AE63" s="28" t="str">
        <x:v>Baseline trade unchanged.</x:v>
      </x:c>
    </x:row>
    <x:row r="64" ht="18" customHeight="1">
      <x:c r="A64" s="23" t="n">
        <x:v>60</x:v>
      </x:c>
      <x:c r="B64" s="53" t="n">
        <x:v>43619</x:v>
      </x:c>
      <x:c r="C64" s="53" t="n">
        <x:v>43623</x:v>
      </x:c>
      <x:c r="D64" s="23" t="str">
        <x:v>TO</x:v>
      </x:c>
      <x:c r="E64" s="54" t="n">
        <x:v>7108.26</x:v>
      </x:c>
      <x:c r="F64" s="54" t="n">
        <x:v>7408.369</x:v>
      </x:c>
      <x:c r="G64" s="55" t="n">
        <x:v>0.04221</x:v>
      </x:c>
      <x:c r="H64" s="56" t="n">
        <x:f>SUM(T61:T63)</x:f>
        <x:v>-0.00592</x:v>
      </x:c>
      <x:c r="I64" s="57" t="b">
        <x:f>AND(A64&gt;3,H64&lt;='Assumptions'!$B$7)</x:f>
        <x:v>0</x:v>
      </x:c>
      <x:c r="J64" s="55" t="n">
        <x:v>-0.003226634246074056</x:v>
      </x:c>
      <x:c r="K64" s="55" t="n">
        <x:v>-0.07531193310030526</x:v>
      </x:c>
      <x:c r="L64" s="55" t="n">
        <x:v>-0.011358266892356639</x:v>
      </x:c>
      <x:c r="M64" s="57" t="b">
        <x:f>J64&gt;='Assumptions'!$B$8</x:f>
        <x:v>0</x:v>
      </x:c>
      <x:c r="N64" s="57" t="b">
        <x:f>AND(K64&lt;&gt;"",K64&lt;='Assumptions'!$B$9)</x:f>
        <x:v>1</x:v>
      </x:c>
      <x:c r="O64" s="57" t="b">
        <x:f>AND(P64&lt;&gt;"",ABS(L64)&lt;='Assumptions'!$B$10)</x:f>
        <x:v>0</x:v>
      </x:c>
      <x:c r="P64" s="53" t="n">
        <x:v>43620</x:v>
      </x:c>
      <x:c r="Q64" s="54" t="n">
        <x:v>7046.26</x:v>
      </x:c>
      <x:c r="R64" s="55" t="n">
        <x:v>0.05139</x:v>
      </x:c>
      <x:c r="S64" s="57" t="str">
        <x:f>IF(I64,"DAMAGE SKIP",IF(AND(M64,N64),IF(O64,"TUESDAY RE-ENTRY","GAP/MOM SKIP"),"BASELINE"))</x:f>
        <x:v>BASELINE</x:v>
      </x:c>
      <x:c r="T64" s="56" t="n">
        <x:f>IF(I64,0,IF(AND(M64,N64),IF(O64,R64,0),G64))</x:f>
        <x:v>0.04221</x:v>
      </x:c>
      <x:c r="U64" s="56" t="n">
        <x:f>G64*'Assumptions'!$B$6</x:f>
        <x:v>0.476973</x:v>
      </x:c>
      <x:c r="V64" s="56" t="n">
        <x:f>T64*'Assumptions'!$B$6</x:f>
        <x:v>0.476973</x:v>
      </x:c>
      <x:c r="W64" s="56" t="n">
        <x:f>V64-U64</x:f>
        <x:v>0</x:v>
      </x:c>
      <x:c r="X64" s="58" t="n">
        <x:f>X63*(1+U64)</x:f>
        <x:v>61.96982554710062</x:v>
      </x:c>
      <x:c r="Y64" s="58" t="n">
        <x:f>MAX(Y63,X64)</x:f>
        <x:v>309.6394159768338</x:v>
      </x:c>
      <x:c r="Z64" s="59" t="n">
        <x:f>X64/Y64-1</x:f>
        <x:v>-0.7998645445328673</x:v>
      </x:c>
      <x:c r="AA64" s="58" t="n">
        <x:f>AA63*(1+V64)</x:f>
        <x:v>728.4891021667503</x:v>
      </x:c>
      <x:c r="AB64" s="58" t="n">
        <x:f>MAX(AB63,AA64)</x:f>
        <x:v>728.4891021667503</x:v>
      </x:c>
      <x:c r="AC64" s="59" t="n">
        <x:f>AA64/AB64-1</x:f>
        <x:v>0</x:v>
      </x:c>
      <x:c r="AD64" s="60" t="n">
        <x:f>AA64-X64</x:f>
        <x:v>666.5192766196496</x:v>
      </x:c>
      <x:c r="AE64" s="28" t="str">
        <x:v>Baseline trade unchanged.</x:v>
      </x:c>
    </x:row>
    <x:row r="65" ht="18" customHeight="1">
      <x:c r="A65" s="23" t="n">
        <x:v>61</x:v>
      </x:c>
      <x:c r="B65" s="53" t="n">
        <x:v>43626</x:v>
      </x:c>
      <x:c r="C65" s="53" t="n">
        <x:v>43629</x:v>
      </x:c>
      <x:c r="D65" s="23" t="str">
        <x:v>TSL1PRE</x:v>
      </x:c>
      <x:c r="E65" s="54" t="n">
        <x:v>7462.47</x:v>
      </x:c>
      <x:c r="F65" s="54" t="n">
        <x:v>7426.369</x:v>
      </x:c>
      <x:c r="G65" s="55" t="n">
        <x:v>-0.00483</x:v>
      </x:c>
      <x:c r="H65" s="56" t="n">
        <x:f>SUM(T62:T64)</x:f>
        <x:v>0.022239999999999996</x:v>
      </x:c>
      <x:c r="I65" s="57" t="b">
        <x:f>AND(A65&gt;3,H65&lt;='Assumptions'!$B$7)</x:f>
        <x:v>0</x:v>
      </x:c>
      <x:c r="J65" s="55" t="n">
        <x:v>0.007302687001687014</x:v>
      </x:c>
      <x:c r="K65" s="55" t="n">
        <x:v>-0.020213394893161762</x:v>
      </x:c>
      <x:c r="L65" s="55" t="n">
        <x:v>0.022302675056747878</x:v>
      </x:c>
      <x:c r="M65" s="57" t="b">
        <x:f>J65&gt;='Assumptions'!$B$8</x:f>
        <x:v>0</x:v>
      </x:c>
      <x:c r="N65" s="57" t="b">
        <x:f>AND(K65&lt;&gt;"",K65&lt;='Assumptions'!$B$9)</x:f>
        <x:v>1</x:v>
      </x:c>
      <x:c r="O65" s="57" t="b">
        <x:f>AND(P65&lt;&gt;"",ABS(L65)&lt;='Assumptions'!$B$10)</x:f>
        <x:v>0</x:v>
      </x:c>
      <x:c r="P65" s="53" t="n">
        <x:v>43627</x:v>
      </x:c>
      <x:c r="Q65" s="54" t="n">
        <x:v>7581.969</x:v>
      </x:c>
      <x:c r="R65" s="55" t="n">
        <x:v>-0.02052</x:v>
      </x:c>
      <x:c r="S65" s="57" t="str">
        <x:f>IF(I65,"DAMAGE SKIP",IF(AND(M65,N65),IF(O65,"TUESDAY RE-ENTRY","GAP/MOM SKIP"),"BASELINE"))</x:f>
        <x:v>BASELINE</x:v>
      </x:c>
      <x:c r="T65" s="56" t="n">
        <x:f>IF(I65,0,IF(AND(M65,N65),IF(O65,R65,0),G65))</x:f>
        <x:v>-0.00483</x:v>
      </x:c>
      <x:c r="U65" s="56" t="n">
        <x:f>G65*'Assumptions'!$B$6</x:f>
        <x:v>-0.054579</x:v>
      </x:c>
      <x:c r="V65" s="56" t="n">
        <x:f>T65*'Assumptions'!$B$6</x:f>
        <x:v>-0.054579</x:v>
      </x:c>
      <x:c r="W65" s="56" t="n">
        <x:f>V65-U65</x:f>
        <x:v>0</x:v>
      </x:c>
      <x:c r="X65" s="58" t="n">
        <x:f>X64*(1+U65)</x:f>
        <x:v>58.58757443856541</x:v>
      </x:c>
      <x:c r="Y65" s="58" t="n">
        <x:f>MAX(Y64,X65)</x:f>
        <x:v>309.6394159768338</x:v>
      </x:c>
      <x:c r="Z65" s="59" t="n">
        <x:f>X65/Y65-1</x:f>
        <x:v>-0.8107877375568079</x:v>
      </x:c>
      <x:c r="AA65" s="58" t="n">
        <x:f>AA64*(1+V65)</x:f>
        <x:v>688.7288954595912</x:v>
      </x:c>
      <x:c r="AB65" s="58" t="n">
        <x:f>MAX(AB64,AA65)</x:f>
        <x:v>728.4891021667503</x:v>
      </x:c>
      <x:c r="AC65" s="59" t="n">
        <x:f>AA65/AB65-1</x:f>
        <x:v>-0.054579000000000044</x:v>
      </x:c>
      <x:c r="AD65" s="60" t="n">
        <x:f>AA65-X65</x:f>
        <x:v>630.1413210210258</x:v>
      </x:c>
      <x:c r="AE65" s="28" t="str">
        <x:v>Baseline trade unchanged.</x:v>
      </x:c>
    </x:row>
    <x:row r="66" ht="18" customHeight="1">
      <x:c r="A66" s="23" t="n">
        <x:v>62</x:v>
      </x:c>
      <x:c r="B66" s="53" t="n">
        <x:v>43633</x:v>
      </x:c>
      <x:c r="C66" s="53" t="n">
        <x:v>43637</x:v>
      </x:c>
      <x:c r="D66" s="23" t="str">
        <x:v>TO</x:v>
      </x:c>
      <x:c r="E66" s="54" t="n">
        <x:v>7493.959</x:v>
      </x:c>
      <x:c r="F66" s="54" t="n">
        <x:v>7734.86</x:v>
      </x:c>
      <x:c r="G66" s="55" t="n">
        <x:v>0.03214</x:v>
      </x:c>
      <x:c r="H66" s="56" t="n">
        <x:f>SUM(T63:T65)</x:f>
        <x:v>0.021539999999999997</x:v>
      </x:c>
      <x:c r="I66" s="57" t="b">
        <x:f>AND(A66&gt;3,H66&lt;='Assumptions'!$B$7)</x:f>
        <x:v>0</x:v>
      </x:c>
      <x:c r="J66" s="55" t="n">
        <x:v>0.0021796925776245146</x:v>
      </x:c>
      <x:c r="K66" s="55" t="n">
        <x:v>-0.012387628123628702</x:v>
      </x:c>
      <x:c r="L66" s="55" t="n">
        <x:v>0.01780058784661298</x:v>
      </x:c>
      <x:c r="M66" s="57" t="b">
        <x:f>J66&gt;='Assumptions'!$B$8</x:f>
        <x:v>0</x:v>
      </x:c>
      <x:c r="N66" s="57" t="b">
        <x:f>AND(K66&lt;&gt;"",K66&lt;='Assumptions'!$B$9)</x:f>
        <x:v>1</x:v>
      </x:c>
      <x:c r="O66" s="57" t="b">
        <x:f>AND(P66&lt;&gt;"",ABS(L66)&lt;='Assumptions'!$B$10)</x:f>
        <x:v>0</x:v>
      </x:c>
      <x:c r="P66" s="53" t="n">
        <x:v>43634</x:v>
      </x:c>
      <x:c r="Q66" s="54" t="n">
        <x:v>7611.07</x:v>
      </x:c>
      <x:c r="R66" s="55" t="n">
        <x:v>0.01626</x:v>
      </x:c>
      <x:c r="S66" s="57" t="str">
        <x:f>IF(I66,"DAMAGE SKIP",IF(AND(M66,N66),IF(O66,"TUESDAY RE-ENTRY","GAP/MOM SKIP"),"BASELINE"))</x:f>
        <x:v>BASELINE</x:v>
      </x:c>
      <x:c r="T66" s="56" t="n">
        <x:f>IF(I66,0,IF(AND(M66,N66),IF(O66,R66,0),G66))</x:f>
        <x:v>0.03214</x:v>
      </x:c>
      <x:c r="U66" s="56" t="n">
        <x:f>G66*'Assumptions'!$B$6</x:f>
        <x:v>0.36318200000000006</x:v>
      </x:c>
      <x:c r="V66" s="56" t="n">
        <x:f>T66*'Assumptions'!$B$6</x:f>
        <x:v>0.36318200000000006</x:v>
      </x:c>
      <x:c r="W66" s="56" t="n">
        <x:f>V66-U66</x:f>
        <x:v>0</x:v>
      </x:c>
      <x:c r="X66" s="58" t="n">
        <x:f>X65*(1+U66)</x:f>
        <x:v>79.86552689831248</x:v>
      </x:c>
      <x:c r="Y66" s="58" t="n">
        <x:f>MAX(Y65,X66)</x:f>
        <x:v>309.6394159768338</x:v>
      </x:c>
      <x:c r="Z66" s="59" t="n">
        <x:f>X66/Y66-1</x:f>
        <x:v>-0.7420692496581645</x:v>
      </x:c>
      <x:c r="AA66" s="58" t="n">
        <x:f>AA65*(1+V66)</x:f>
        <x:v>938.8628331703965</x:v>
      </x:c>
      <x:c r="AB66" s="58" t="n">
        <x:f>MAX(AB65,AA66)</x:f>
        <x:v>938.8628331703965</x:v>
      </x:c>
      <x:c r="AC66" s="59" t="n">
        <x:f>AA66/AB66-1</x:f>
        <x:v>0</x:v>
      </x:c>
      <x:c r="AD66" s="60" t="n">
        <x:f>AA66-X66</x:f>
        <x:v>858.997306272084</x:v>
      </x:c>
      <x:c r="AE66" s="28" t="str">
        <x:v>Baseline trade unchanged.</x:v>
      </x:c>
    </x:row>
    <x:row r="67" ht="18" customHeight="1">
      <x:c r="A67" s="23" t="n">
        <x:v>63</x:v>
      </x:c>
      <x:c r="B67" s="53" t="n">
        <x:v>43640</x:v>
      </x:c>
      <x:c r="C67" s="53" t="n">
        <x:v>43643</x:v>
      </x:c>
      <x:c r="D67" s="23" t="str">
        <x:v>TSL1PRE</x:v>
      </x:c>
      <x:c r="E67" s="54" t="n">
        <x:v>7738.37</x:v>
      </x:c>
      <x:c r="F67" s="54" t="n">
        <x:v>7615.16</x:v>
      </x:c>
      <x:c r="G67" s="55" t="n">
        <x:v>-0.01592</x:v>
      </x:c>
      <x:c r="H67" s="56" t="n">
        <x:f>SUM(T64:T66)</x:f>
        <x:v>0.06952</x:v>
      </x:c>
      <x:c r="I67" s="57" t="b">
        <x:f>AND(A67&gt;3,H67&lt;='Assumptions'!$B$7)</x:f>
        <x:v>0</x:v>
      </x:c>
      <x:c r="J67" s="55" t="n">
        <x:v>0.00045378972599374734</x:v>
      </x:c>
      <x:c r="K67" s="55" t="n">
        <x:v>0.057964501047691686</x:v>
      </x:c>
      <x:c r="L67" s="55" t="n">
        <x:v>-0.000491007392695586</x:v>
      </x:c>
      <x:c r="M67" s="57" t="b">
        <x:f>J67&gt;='Assumptions'!$B$8</x:f>
        <x:v>0</x:v>
      </x:c>
      <x:c r="N67" s="57" t="b">
        <x:f>AND(K67&lt;&gt;"",K67&lt;='Assumptions'!$B$9)</x:f>
        <x:v>0</x:v>
      </x:c>
      <x:c r="O67" s="57" t="b">
        <x:f>AND(P67&lt;&gt;"",ABS(L67)&lt;='Assumptions'!$B$10)</x:f>
        <x:v>1</x:v>
      </x:c>
      <x:c r="P67" s="53" t="n">
        <x:v>43641</x:v>
      </x:c>
      <x:c r="Q67" s="54" t="n">
        <x:v>7718.259</x:v>
      </x:c>
      <x:c r="R67" s="55" t="n">
        <x:v>-0.01335</x:v>
      </x:c>
      <x:c r="S67" s="57" t="str">
        <x:f>IF(I67,"DAMAGE SKIP",IF(AND(M67,N67),IF(O67,"TUESDAY RE-ENTRY","GAP/MOM SKIP"),"BASELINE"))</x:f>
        <x:v>BASELINE</x:v>
      </x:c>
      <x:c r="T67" s="56" t="n">
        <x:f>IF(I67,0,IF(AND(M67,N67),IF(O67,R67,0),G67))</x:f>
        <x:v>-0.01592</x:v>
      </x:c>
      <x:c r="U67" s="56" t="n">
        <x:f>G67*'Assumptions'!$B$6</x:f>
        <x:v>-0.179896</x:v>
      </x:c>
      <x:c r="V67" s="56" t="n">
        <x:f>T67*'Assumptions'!$B$6</x:f>
        <x:v>-0.179896</x:v>
      </x:c>
      <x:c r="W67" s="56" t="n">
        <x:f>V67-U67</x:f>
        <x:v>0</x:v>
      </x:c>
      <x:c r="X67" s="58" t="n">
        <x:f>X66*(1+U67)</x:f>
        <x:v>65.49803807141366</x:v>
      </x:c>
      <x:c r="Y67" s="58" t="n">
        <x:f>MAX(Y66,X67)</x:f>
        <x:v>309.6394159768338</x:v>
      </x:c>
      <x:c r="Z67" s="59" t="n">
        <x:f>X67/Y67-1</x:f>
        <x:v>-0.7884699599216594</x:v>
      </x:c>
      <x:c r="AA67" s="58" t="n">
        <x:f>AA66*(1+V67)</x:f>
        <x:v>769.9651649343748</x:v>
      </x:c>
      <x:c r="AB67" s="58" t="n">
        <x:f>MAX(AB66,AA67)</x:f>
        <x:v>938.8628331703965</x:v>
      </x:c>
      <x:c r="AC67" s="59" t="n">
        <x:f>AA67/AB67-1</x:f>
        <x:v>-0.17989600000000006</x:v>
      </x:c>
      <x:c r="AD67" s="60" t="n">
        <x:f>AA67-X67</x:f>
        <x:v>704.4671268629611</x:v>
      </x:c>
      <x:c r="AE67" s="28" t="str">
        <x:v>Baseline trade unchanged.</x:v>
      </x:c>
    </x:row>
    <x:row r="68" ht="18" customHeight="1">
      <x:c r="A68" s="23" t="n">
        <x:v>64</x:v>
      </x:c>
      <x:c r="B68" s="53" t="n">
        <x:v>43647</x:v>
      </x:c>
      <x:c r="C68" s="53" t="n">
        <x:v>43651</x:v>
      </x:c>
      <x:c r="D68" s="23" t="str">
        <x:v>TSL4</x:v>
      </x:c>
      <x:c r="E68" s="54" t="n">
        <x:v>7811.059</x:v>
      </x:c>
      <x:c r="F68" s="54" t="n">
        <x:v>7779.814764</x:v>
      </x:c>
      <x:c r="G68" s="55" t="n">
        <x:v>-0.004</x:v>
      </x:c>
      <x:c r="H68" s="56" t="n">
        <x:f>SUM(T65:T67)</x:f>
        <x:v>0.01139</x:v>
      </x:c>
      <x:c r="I68" s="57" t="b">
        <x:f>AND(A68&gt;3,H68&lt;='Assumptions'!$B$7)</x:f>
        <x:v>0</x:v>
      </x:c>
      <x:c r="J68" s="55" t="n">
        <x:v>0.01775818920413119</x:v>
      </x:c>
      <x:c r="K68" s="55" t="n">
        <x:v>0.07611653737342317</x:v>
      </x:c>
      <x:c r="L68" s="55" t="n">
        <x:v>0.013005997209824649</x:v>
      </x:c>
      <x:c r="M68" s="57" t="b">
        <x:f>J68&gt;='Assumptions'!$B$8</x:f>
        <x:v>1</x:v>
      </x:c>
      <x:c r="N68" s="57" t="b">
        <x:f>AND(K68&lt;&gt;"",K68&lt;='Assumptions'!$B$9)</x:f>
        <x:v>0</x:v>
      </x:c>
      <x:c r="O68" s="57" t="b">
        <x:f>AND(P68&lt;&gt;"",ABS(L68)&lt;='Assumptions'!$B$10)</x:f>
        <x:v>0</x:v>
      </x:c>
      <x:c r="P68" s="53" t="n">
        <x:v>43648</x:v>
      </x:c>
      <x:c r="Q68" s="54" t="n">
        <x:v>7761.469</x:v>
      </x:c>
      <x:c r="R68" s="55" t="n">
        <x:v>0.00236</x:v>
      </x:c>
      <x:c r="S68" s="57" t="str">
        <x:f>IF(I68,"DAMAGE SKIP",IF(AND(M68,N68),IF(O68,"TUESDAY RE-ENTRY","GAP/MOM SKIP"),"BASELINE"))</x:f>
        <x:v>BASELINE</x:v>
      </x:c>
      <x:c r="T68" s="56" t="n">
        <x:f>IF(I68,0,IF(AND(M68,N68),IF(O68,R68,0),G68))</x:f>
        <x:v>-0.004</x:v>
      </x:c>
      <x:c r="U68" s="56" t="n">
        <x:f>G68*'Assumptions'!$B$6</x:f>
        <x:v>-0.045200000000000004</x:v>
      </x:c>
      <x:c r="V68" s="56" t="n">
        <x:f>T68*'Assumptions'!$B$6</x:f>
        <x:v>-0.045200000000000004</x:v>
      </x:c>
      <x:c r="W68" s="56" t="n">
        <x:f>V68-U68</x:f>
        <x:v>0</x:v>
      </x:c>
      <x:c r="X68" s="58" t="n">
        <x:f>X67*(1+U68)</x:f>
        <x:v>62.53752675058576</x:v>
      </x:c>
      <x:c r="Y68" s="58" t="n">
        <x:f>MAX(Y67,X68)</x:f>
        <x:v>309.6394159768338</x:v>
      </x:c>
      <x:c r="Z68" s="59" t="n">
        <x:f>X68/Y68-1</x:f>
        <x:v>-0.7980311177332002</x:v>
      </x:c>
      <x:c r="AA68" s="58" t="n">
        <x:f>AA67*(1+V68)</x:f>
        <x:v>735.1627394793411</x:v>
      </x:c>
      <x:c r="AB68" s="58" t="n">
        <x:f>MAX(AB67,AA68)</x:f>
        <x:v>938.8628331703965</x:v>
      </x:c>
      <x:c r="AC68" s="59" t="n">
        <x:f>AA68/AB68-1</x:f>
        <x:v>-0.21696470079999997</x:v>
      </x:c>
      <x:c r="AD68" s="60" t="n">
        <x:f>AA68-X68</x:f>
        <x:v>672.6252127287553</x:v>
      </x:c>
      <x:c r="AE68" s="28" t="str">
        <x:v>Baseline trade unchanged.</x:v>
      </x:c>
    </x:row>
    <x:row r="69" ht="18" customHeight="1">
      <x:c r="A69" s="23" t="n">
        <x:v>65</x:v>
      </x:c>
      <x:c r="B69" s="53" t="n">
        <x:v>43654</x:v>
      </x:c>
      <x:c r="C69" s="53" t="n">
        <x:v>43658</x:v>
      </x:c>
      <x:c r="D69" s="23" t="str">
        <x:v>TO</x:v>
      </x:c>
      <x:c r="E69" s="54" t="n">
        <x:v>7791.36</x:v>
      </x:c>
      <x:c r="F69" s="54" t="n">
        <x:v>7943.47</x:v>
      </x:c>
      <x:c r="G69" s="55" t="n">
        <x:v>0.01952</x:v>
      </x:c>
      <x:c r="H69" s="56" t="n">
        <x:f>SUM(T66:T68)</x:f>
        <x:v>0.012220000000000002</x:v>
      </x:c>
      <x:c r="I69" s="57" t="b">
        <x:f>AND(A69&gt;3,H69&lt;='Assumptions'!$B$7)</x:f>
        <x:v>0</x:v>
      </x:c>
      <x:c r="J69" s="55" t="n">
        <x:v>-0.0064017873994460794</x:v>
      </x:c>
      <x:c r="K69" s="55" t="n">
        <x:v>0.07803960848401781</x:v>
      </x:c>
      <x:c r="L69" s="55" t="n">
        <x:v>-0.011828693138597357</x:v>
      </x:c>
      <x:c r="M69" s="57" t="b">
        <x:f>J69&gt;='Assumptions'!$B$8</x:f>
        <x:v>0</x:v>
      </x:c>
      <x:c r="N69" s="57" t="b">
        <x:f>AND(K69&lt;&gt;"",K69&lt;='Assumptions'!$B$9)</x:f>
        <x:v>0</x:v>
      </x:c>
      <x:c r="O69" s="57" t="b">
        <x:f>AND(P69&lt;&gt;"",ABS(L69)&lt;='Assumptions'!$B$10)</x:f>
        <x:v>0</x:v>
      </x:c>
      <x:c r="P69" s="53" t="n">
        <x:v>43655</x:v>
      </x:c>
      <x:c r="Q69" s="54" t="n">
        <x:v>7747.37</x:v>
      </x:c>
      <x:c r="R69" s="55" t="n">
        <x:v>0.02531</x:v>
      </x:c>
      <x:c r="S69" s="57" t="str">
        <x:f>IF(I69,"DAMAGE SKIP",IF(AND(M69,N69),IF(O69,"TUESDAY RE-ENTRY","GAP/MOM SKIP"),"BASELINE"))</x:f>
        <x:v>BASELINE</x:v>
      </x:c>
      <x:c r="T69" s="56" t="n">
        <x:f>IF(I69,0,IF(AND(M69,N69),IF(O69,R69,0),G69))</x:f>
        <x:v>0.01952</x:v>
      </x:c>
      <x:c r="U69" s="56" t="n">
        <x:f>G69*'Assumptions'!$B$6</x:f>
        <x:v>0.220576</x:v>
      </x:c>
      <x:c r="V69" s="56" t="n">
        <x:f>T69*'Assumptions'!$B$6</x:f>
        <x:v>0.220576</x:v>
      </x:c>
      <x:c r="W69" s="56" t="n">
        <x:f>V69-U69</x:f>
        <x:v>0</x:v>
      </x:c>
      <x:c r="X69" s="58" t="n">
        <x:f>X68*(1+U69)</x:f>
        <x:v>76.33180425112296</x:v>
      </x:c>
      <x:c r="Y69" s="58" t="n">
        <x:f>MAX(Y68,X69)</x:f>
        <x:v>309.6394159768338</x:v>
      </x:c>
      <x:c r="Z69" s="59" t="n">
        <x:f>X69/Y69-1</x:f>
        <x:v>-0.7534816295583187</x:v>
      </x:c>
      <x:c r="AA69" s="58" t="n">
        <x:f>AA68*(1+V69)</x:f>
        <x:v>897.3219959027361</x:v>
      </x:c>
      <x:c r="AB69" s="58" t="n">
        <x:f>MAX(AB68,AA69)</x:f>
        <x:v>938.8628331703965</x:v>
      </x:c>
      <x:c r="AC69" s="59" t="n">
        <x:f>AA69/AB69-1</x:f>
        <x:v>-0.044245906643660904</x:v>
      </x:c>
      <x:c r="AD69" s="60" t="n">
        <x:f>AA69-X69</x:f>
        <x:v>820.9901916516131</x:v>
      </x:c>
      <x:c r="AE69" s="28" t="str">
        <x:v>Baseline trade unchanged.</x:v>
      </x:c>
    </x:row>
    <x:row r="70" ht="18" customHeight="1">
      <x:c r="A70" s="23" t="n">
        <x:v>66</x:v>
      </x:c>
      <x:c r="B70" s="53" t="n">
        <x:v>43661</x:v>
      </x:c>
      <x:c r="C70" s="53" t="n">
        <x:v>43663</x:v>
      </x:c>
      <x:c r="D70" s="23" t="str">
        <x:v>BEPRE</x:v>
      </x:c>
      <x:c r="E70" s="54" t="n">
        <x:v>7959.77</x:v>
      </x:c>
      <x:c r="F70" s="54" t="n">
        <x:v>7928.959</x:v>
      </x:c>
      <x:c r="G70" s="55" t="n">
        <x:v>-0.00387</x:v>
      </x:c>
      <x:c r="H70" s="56" t="n">
        <x:f>SUM(T67:T69)</x:f>
        <x:v>-0.00040000000000000105</x:v>
      </x:c>
      <x:c r="I70" s="57" t="b">
        <x:f>AND(A70&gt;3,H70&lt;='Assumptions'!$B$7)</x:f>
        <x:v>0</x:v>
      </x:c>
      <x:c r="J70" s="55" t="n">
        <x:v>0.0020519999446086956</x:v>
      </x:c>
      <x:c r="K70" s="55" t="n">
        <x:v>0.05760962051165697</x:v>
      </x:c>
      <x:c r="L70" s="55" t="n">
        <x:v>0.0016787702605578492</x:v>
      </x:c>
      <x:c r="M70" s="57" t="b">
        <x:f>J70&gt;='Assumptions'!$B$8</x:f>
        <x:v>0</x:v>
      </x:c>
      <x:c r="N70" s="57" t="b">
        <x:f>AND(K70&lt;&gt;"",K70&lt;='Assumptions'!$B$9)</x:f>
        <x:v>0</x:v>
      </x:c>
      <x:c r="O70" s="57" t="b">
        <x:f>AND(P70&lt;&gt;"",ABS(L70)&lt;='Assumptions'!$B$10)</x:f>
        <x:v>1</x:v>
      </x:c>
      <x:c r="P70" s="53" t="n">
        <x:v>43662</x:v>
      </x:c>
      <x:c r="Q70" s="54" t="n">
        <x:v>7954.359</x:v>
      </x:c>
      <x:c r="R70" s="55" t="n">
        <x:v>-0.00319</x:v>
      </x:c>
      <x:c r="S70" s="57" t="str">
        <x:f>IF(I70,"DAMAGE SKIP",IF(AND(M70,N70),IF(O70,"TUESDAY RE-ENTRY","GAP/MOM SKIP"),"BASELINE"))</x:f>
        <x:v>BASELINE</x:v>
      </x:c>
      <x:c r="T70" s="56" t="n">
        <x:f>IF(I70,0,IF(AND(M70,N70),IF(O70,R70,0),G70))</x:f>
        <x:v>-0.00387</x:v>
      </x:c>
      <x:c r="U70" s="56" t="n">
        <x:f>G70*'Assumptions'!$B$6</x:f>
        <x:v>-0.043731000000000006</x:v>
      </x:c>
      <x:c r="V70" s="56" t="n">
        <x:f>T70*'Assumptions'!$B$6</x:f>
        <x:v>-0.043731000000000006</x:v>
      </x:c>
      <x:c r="W70" s="56" t="n">
        <x:f>V70-U70</x:f>
        <x:v>0</x:v>
      </x:c>
      <x:c r="X70" s="58" t="n">
        <x:f>X69*(1+U70)</x:f>
        <x:v>72.9937381194171</x:v>
      </x:c>
      <x:c r="Y70" s="58" t="n">
        <x:f>MAX(Y69,X70)</x:f>
        <x:v>309.6394159768338</x:v>
      </x:c>
      <x:c r="Z70" s="59" t="n">
        <x:f>X70/Y70-1</x:f>
        <x:v>-0.7642621244161039</x:v>
      </x:c>
      <x:c r="AA70" s="58" t="n">
        <x:f>AA69*(1+V70)</x:f>
        <x:v>858.0812076999136</x:v>
      </x:c>
      <x:c r="AB70" s="58" t="n">
        <x:f>MAX(AB69,AA70)</x:f>
        <x:v>938.8628331703965</x:v>
      </x:c>
      <x:c r="AC70" s="59" t="n">
        <x:f>AA70/AB70-1</x:f>
        <x:v>-0.08604198890022685</x:v>
      </x:c>
      <x:c r="AD70" s="60" t="n">
        <x:f>AA70-X70</x:f>
        <x:v>785.0874695804965</x:v>
      </x:c>
      <x:c r="AE70" s="28" t="str">
        <x:v>Baseline trade unchanged.</x:v>
      </x:c>
    </x:row>
    <x:row r="71" ht="18" customHeight="1">
      <x:c r="A71" s="23" t="n">
        <x:v>67</x:v>
      </x:c>
      <x:c r="B71" s="53" t="n">
        <x:v>43668</x:v>
      </x:c>
      <x:c r="C71" s="53" t="n">
        <x:v>43672</x:v>
      </x:c>
      <x:c r="D71" s="23" t="str">
        <x:v>TO</x:v>
      </x:c>
      <x:c r="E71" s="54" t="n">
        <x:v>7859.96</x:v>
      </x:c>
      <x:c r="F71" s="54" t="n">
        <x:v>8013.259</x:v>
      </x:c>
      <x:c r="G71" s="55" t="n">
        <x:v>0.0195</x:v>
      </x:c>
      <x:c r="H71" s="56" t="n">
        <x:f>SUM(T68:T70)</x:f>
        <x:v>0.011649999999999999</x:v>
      </x:c>
      <x:c r="I71" s="57" t="b">
        <x:f>AND(A71&gt;3,H71&lt;='Assumptions'!$B$7)</x:f>
        <x:v>0</x:v>
      </x:c>
      <x:c r="J71" s="55" t="n">
        <x:v>0.003125658464094405</x:v>
      </x:c>
      <x:c r="K71" s="55" t="n">
        <x:v>0.01372353495341927</x:v>
      </x:c>
      <x:c r="L71" s="55" t="n">
        <x:v>0.013537749179365788</x:v>
      </x:c>
      <x:c r="M71" s="57" t="b">
        <x:f>J71&gt;='Assumptions'!$B$8</x:f>
        <x:v>0</x:v>
      </x:c>
      <x:c r="N71" s="57" t="b">
        <x:f>AND(K71&lt;&gt;"",K71&lt;='Assumptions'!$B$9)</x:f>
        <x:v>0</x:v>
      </x:c>
      <x:c r="O71" s="57" t="b">
        <x:f>AND(P71&lt;&gt;"",ABS(L71)&lt;='Assumptions'!$B$10)</x:f>
        <x:v>0</x:v>
      </x:c>
      <x:c r="P71" s="53" t="n">
        <x:v>43669</x:v>
      </x:c>
      <x:c r="Q71" s="54" t="n">
        <x:v>7943.86</x:v>
      </x:c>
      <x:c r="R71" s="55" t="n">
        <x:v>0.00873</x:v>
      </x:c>
      <x:c r="S71" s="57" t="str">
        <x:f>IF(I71,"DAMAGE SKIP",IF(AND(M71,N71),IF(O71,"TUESDAY RE-ENTRY","GAP/MOM SKIP"),"BASELINE"))</x:f>
        <x:v>BASELINE</x:v>
      </x:c>
      <x:c r="T71" s="56" t="n">
        <x:f>IF(I71,0,IF(AND(M71,N71),IF(O71,R71,0),G71))</x:f>
        <x:v>0.0195</x:v>
      </x:c>
      <x:c r="U71" s="56" t="n">
        <x:f>G71*'Assumptions'!$B$6</x:f>
        <x:v>0.22035000000000002</x:v>
      </x:c>
      <x:c r="V71" s="56" t="n">
        <x:f>T71*'Assumptions'!$B$6</x:f>
        <x:v>0.22035000000000002</x:v>
      </x:c>
      <x:c r="W71" s="56" t="n">
        <x:f>V71-U71</x:f>
        <x:v>0</x:v>
      </x:c>
      <x:c r="X71" s="58" t="n">
        <x:f>X70*(1+U71)</x:f>
        <x:v>89.07790831403067</x:v>
      </x:c>
      <x:c r="Y71" s="58" t="n">
        <x:f>MAX(Y70,X71)</x:f>
        <x:v>309.6394159768338</x:v>
      </x:c>
      <x:c r="Z71" s="59" t="n">
        <x:f>X71/Y71-1</x:f>
        <x:v>-0.7123172835311924</x:v>
      </x:c>
      <x:c r="AA71" s="58" t="n">
        <x:f>AA70*(1+V71)</x:f>
        <x:v>1047.1594018165897</x:v>
      </x:c>
      <x:c r="AB71" s="58" t="n">
        <x:f>MAX(AB70,AA71)</x:f>
        <x:v>1047.1594018165897</x:v>
      </x:c>
      <x:c r="AC71" s="59" t="n">
        <x:f>AA71/AB71-1</x:f>
        <x:v>0</x:v>
      </x:c>
      <x:c r="AD71" s="60" t="n">
        <x:f>AA71-X71</x:f>
        <x:v>958.081493502559</x:v>
      </x:c>
      <x:c r="AE71" s="28" t="str">
        <x:v>Baseline trade unchanged.</x:v>
      </x:c>
    </x:row>
    <x:row r="72" ht="18" customHeight="1">
      <x:c r="A72" s="23" t="n">
        <x:v>68</x:v>
      </x:c>
      <x:c r="B72" s="53" t="n">
        <x:v>43675</x:v>
      </x:c>
      <x:c r="C72" s="53" t="n">
        <x:v>43677</x:v>
      </x:c>
      <x:c r="D72" s="23" t="str">
        <x:v>BEPRE</x:v>
      </x:c>
      <x:c r="E72" s="54" t="n">
        <x:v>8009.57</x:v>
      </x:c>
      <x:c r="F72" s="54" t="n">
        <x:v>7978.86</x:v>
      </x:c>
      <x:c r="G72" s="55" t="n">
        <x:v>-0.00383</x:v>
      </x:c>
      <x:c r="H72" s="56" t="n">
        <x:f>SUM(T69:T71)</x:f>
        <x:v>0.03515</x:v>
      </x:c>
      <x:c r="I72" s="57" t="b">
        <x:f>AND(A72&gt;3,H72&lt;='Assumptions'!$B$7)</x:f>
        <x:v>0</x:v>
      </x:c>
      <x:c r="J72" s="55" t="n">
        <x:v>-0.00046036200751786716</x:v>
      </x:c>
      <x:c r="K72" s="55" t="n">
        <x:v>0.04697508500703984</x:v>
      </x:c>
      <x:c r="L72" s="55" t="n">
        <x:v>-0.01084345034337586</x:v>
      </x:c>
      <x:c r="M72" s="57" t="b">
        <x:f>J72&gt;='Assumptions'!$B$8</x:f>
        <x:v>0</x:v>
      </x:c>
      <x:c r="N72" s="57" t="b">
        <x:f>AND(K72&lt;&gt;"",K72&lt;='Assumptions'!$B$9)</x:f>
        <x:v>0</x:v>
      </x:c>
      <x:c r="O72" s="57" t="b">
        <x:f>AND(P72&lt;&gt;"",ABS(L72)&lt;='Assumptions'!$B$10)</x:f>
        <x:v>0</x:v>
      </x:c>
      <x:c r="P72" s="53" t="n">
        <x:v>43676</x:v>
      </x:c>
      <x:c r="Q72" s="54" t="n">
        <x:v>7925.47</x:v>
      </x:c>
      <x:c r="R72" s="55" t="n">
        <x:v>0.00673</x:v>
      </x:c>
      <x:c r="S72" s="57" t="str">
        <x:f>IF(I72,"DAMAGE SKIP",IF(AND(M72,N72),IF(O72,"TUESDAY RE-ENTRY","GAP/MOM SKIP"),"BASELINE"))</x:f>
        <x:v>BASELINE</x:v>
      </x:c>
      <x:c r="T72" s="56" t="n">
        <x:f>IF(I72,0,IF(AND(M72,N72),IF(O72,R72,0),G72))</x:f>
        <x:v>-0.00383</x:v>
      </x:c>
      <x:c r="U72" s="56" t="n">
        <x:f>G72*'Assumptions'!$B$6</x:f>
        <x:v>-0.043279000000000005</x:v>
      </x:c>
      <x:c r="V72" s="56" t="n">
        <x:f>T72*'Assumptions'!$B$6</x:f>
        <x:v>-0.043279000000000005</x:v>
      </x:c>
      <x:c r="W72" s="56" t="n">
        <x:f>V72-U72</x:f>
        <x:v>0</x:v>
      </x:c>
      <x:c r="X72" s="58" t="n">
        <x:f>X71*(1+U72)</x:f>
        <x:v>85.22270552010774</x:v>
      </x:c>
      <x:c r="Y72" s="58" t="n">
        <x:f>MAX(Y71,X72)</x:f>
        <x:v>309.6394159768338</x:v>
      </x:c>
      <x:c r="Z72" s="59" t="n">
        <x:f>X72/Y72-1</x:f>
        <x:v>-0.7247679038172459</x:v>
      </x:c>
      <x:c r="AA72" s="58" t="n">
        <x:f>AA71*(1+V72)</x:f>
        <x:v>1001.8393900653696</x:v>
      </x:c>
      <x:c r="AB72" s="58" t="n">
        <x:f>MAX(AB71,AA72)</x:f>
        <x:v>1047.1594018165897</x:v>
      </x:c>
      <x:c r="AC72" s="59" t="n">
        <x:f>AA72/AB72-1</x:f>
        <x:v>-0.043278999999999956</x:v>
      </x:c>
      <x:c r="AD72" s="60" t="n">
        <x:f>AA72-X72</x:f>
        <x:v>916.6166845452618</x:v>
      </x:c>
      <x:c r="AE72" s="28" t="str">
        <x:v>Baseline trade unchanged.</x:v>
      </x:c>
    </x:row>
    <x:row r="73" ht="18" customHeight="1">
      <x:c r="A73" s="23" t="n">
        <x:v>69</x:v>
      </x:c>
      <x:c r="B73" s="53" t="n">
        <x:v>43682</x:v>
      </x:c>
      <x:c r="C73" s="53" t="n">
        <x:v>43686</x:v>
      </x:c>
      <x:c r="D73" s="23" t="str">
        <x:v>TO</x:v>
      </x:c>
      <x:c r="E73" s="54" t="n">
        <x:v>7530.559</x:v>
      </x:c>
      <x:c r="F73" s="54" t="n">
        <x:v>7646.66</x:v>
      </x:c>
      <x:c r="G73" s="55" t="n">
        <x:v>0.01541</x:v>
      </x:c>
      <x:c r="H73" s="56" t="n">
        <x:f>SUM(T70:T72)</x:f>
        <x:v>0.011799999999999998</x:v>
      </x:c>
      <x:c r="I73" s="57" t="b">
        <x:f>AND(A73&gt;3,H73&lt;='Assumptions'!$B$7)</x:f>
        <x:v>0</x:v>
      </x:c>
      <x:c r="J73" s="55" t="n">
        <x:v>-0.020755197869487874</x:v>
      </x:c>
      <x:c r="K73" s="55" t="n">
        <x:v>-0.0193269000891092</x:v>
      </x:c>
      <x:c r="L73" s="55" t="n">
        <x:v>-0.02652822640965824</x:v>
      </x:c>
      <x:c r="M73" s="57" t="b">
        <x:f>J73&gt;='Assumptions'!$B$8</x:f>
        <x:v>0</x:v>
      </x:c>
      <x:c r="N73" s="57" t="b">
        <x:f>AND(K73&lt;&gt;"",K73&lt;='Assumptions'!$B$9)</x:f>
        <x:v>1</x:v>
      </x:c>
      <x:c r="O73" s="57" t="b">
        <x:f>AND(P73&lt;&gt;"",ABS(L73)&lt;='Assumptions'!$B$10)</x:f>
        <x:v>0</x:v>
      </x:c>
      <x:c r="P73" s="53" t="n">
        <x:v>43683</x:v>
      </x:c>
      <x:c r="Q73" s="54" t="n">
        <x:v>7482.659</x:v>
      </x:c>
      <x:c r="R73" s="55" t="n">
        <x:v>0.02191</x:v>
      </x:c>
      <x:c r="S73" s="57" t="str">
        <x:f>IF(I73,"DAMAGE SKIP",IF(AND(M73,N73),IF(O73,"TUESDAY RE-ENTRY","GAP/MOM SKIP"),"BASELINE"))</x:f>
        <x:v>BASELINE</x:v>
      </x:c>
      <x:c r="T73" s="56" t="n">
        <x:f>IF(I73,0,IF(AND(M73,N73),IF(O73,R73,0),G73))</x:f>
        <x:v>0.01541</x:v>
      </x:c>
      <x:c r="U73" s="56" t="n">
        <x:f>G73*'Assumptions'!$B$6</x:f>
        <x:v>0.174133</x:v>
      </x:c>
      <x:c r="V73" s="56" t="n">
        <x:f>T73*'Assumptions'!$B$6</x:f>
        <x:v>0.174133</x:v>
      </x:c>
      <x:c r="W73" s="56" t="n">
        <x:f>V73-U73</x:f>
        <x:v>0</x:v>
      </x:c>
      <x:c r="X73" s="58" t="n">
        <x:f>X72*(1+U73)</x:f>
        <x:v>100.06279090044066</x:v>
      </x:c>
      <x:c r="Y73" s="58" t="n">
        <x:f>MAX(Y72,X73)</x:f>
        <x:v>309.6394159768338</x:v>
      </x:c>
      <x:c r="Z73" s="59" t="n">
        <x:f>X73/Y73-1</x:f>
        <x:v>-0.6768409132126543</x:v>
      </x:c>
      <x:c r="AA73" s="58" t="n">
        <x:f>AA72*(1+V73)</x:f>
        <x:v>1176.2926885756226</x:v>
      </x:c>
      <x:c r="AB73" s="58" t="n">
        <x:f>MAX(AB72,AA73)</x:f>
        <x:v>1176.2926885756226</x:v>
      </x:c>
      <x:c r="AC73" s="59" t="n">
        <x:f>AA73/AB73-1</x:f>
        <x:v>0</x:v>
      </x:c>
      <x:c r="AD73" s="60" t="n">
        <x:f>AA73-X73</x:f>
        <x:v>1076.229897675182</x:v>
      </x:c>
      <x:c r="AE73" s="28" t="str">
        <x:v>Baseline trade unchanged.</x:v>
      </x:c>
    </x:row>
    <x:row r="74" ht="18" customHeight="1">
      <x:c r="A74" s="23" t="n">
        <x:v>70</x:v>
      </x:c>
      <x:c r="B74" s="53" t="n">
        <x:v>43689</x:v>
      </x:c>
      <x:c r="C74" s="53" t="n">
        <x:v>43692</x:v>
      </x:c>
      <x:c r="D74" s="23" t="str">
        <x:v>TSL1PRE</x:v>
      </x:c>
      <x:c r="E74" s="54" t="n">
        <x:v>7602.37</x:v>
      </x:c>
      <x:c r="F74" s="54" t="n">
        <x:v>7465.659</x:v>
      </x:c>
      <x:c r="G74" s="55" t="n">
        <x:v>-0.01798</x:v>
      </x:c>
      <x:c r="H74" s="56" t="n">
        <x:f>SUM(T71:T73)</x:f>
        <x:v>0.03108</x:v>
      </x:c>
      <x:c r="I74" s="57" t="b">
        <x:f>AND(A74&gt;3,H74&lt;='Assumptions'!$B$7)</x:f>
        <x:v>0</x:v>
      </x:c>
      <x:c r="J74" s="55" t="n">
        <x:v>-0.005792071309565272</x:v>
      </x:c>
      <x:c r="K74" s="55" t="n">
        <x:v>-0.03628396425774749</x:v>
      </x:c>
      <x:c r="L74" s="55" t="n">
        <x:v>-0.012049131516409739</x:v>
      </x:c>
      <x:c r="M74" s="57" t="b">
        <x:f>J74&gt;='Assumptions'!$B$8</x:f>
        <x:v>0</x:v>
      </x:c>
      <x:c r="N74" s="57" t="b">
        <x:f>AND(K74&lt;&gt;"",K74&lt;='Assumptions'!$B$9)</x:f>
        <x:v>1</x:v>
      </x:c>
      <x:c r="O74" s="57" t="b">
        <x:f>AND(P74&lt;&gt;"",ABS(L74)&lt;='Assumptions'!$B$10)</x:f>
        <x:v>0</x:v>
      </x:c>
      <x:c r="P74" s="53" t="n">
        <x:v>43690</x:v>
      </x:c>
      <x:c r="Q74" s="54" t="n">
        <x:v>7557.46</x:v>
      </x:c>
      <x:c r="R74" s="55" t="n">
        <x:v>-0.01214</x:v>
      </x:c>
      <x:c r="S74" s="57" t="str">
        <x:f>IF(I74,"DAMAGE SKIP",IF(AND(M74,N74),IF(O74,"TUESDAY RE-ENTRY","GAP/MOM SKIP"),"BASELINE"))</x:f>
        <x:v>BASELINE</x:v>
      </x:c>
      <x:c r="T74" s="56" t="n">
        <x:f>IF(I74,0,IF(AND(M74,N74),IF(O74,R74,0),G74))</x:f>
        <x:v>-0.01798</x:v>
      </x:c>
      <x:c r="U74" s="56" t="n">
        <x:f>G74*'Assumptions'!$B$6</x:f>
        <x:v>-0.203174</x:v>
      </x:c>
      <x:c r="V74" s="56" t="n">
        <x:f>T74*'Assumptions'!$B$6</x:f>
        <x:v>-0.203174</x:v>
      </x:c>
      <x:c r="W74" s="56" t="n">
        <x:f>V74-U74</x:f>
        <x:v>0</x:v>
      </x:c>
      <x:c r="X74" s="58" t="n">
        <x:f>X73*(1+U74)</x:f>
        <x:v>79.73263342203454</x:v>
      </x:c>
      <x:c r="Y74" s="58" t="n">
        <x:f>MAX(Y73,X74)</x:f>
        <x:v>309.6394159768338</x:v>
      </x:c>
      <x:c r="Z74" s="59" t="n">
        <x:f>X74/Y74-1</x:f>
        <x:v>-0.7424984375115864</x:v>
      </x:c>
      <x:c r="AA74" s="58" t="n">
        <x:f>AA73*(1+V74)</x:f>
        <x:v>937.3005978669592</x:v>
      </x:c>
      <x:c r="AB74" s="58" t="n">
        <x:f>MAX(AB73,AA74)</x:f>
        <x:v>1176.2926885756226</x:v>
      </x:c>
      <x:c r="AC74" s="59" t="n">
        <x:f>AA74/AB74-1</x:f>
        <x:v>-0.20317399999999997</x:v>
      </x:c>
      <x:c r="AD74" s="60" t="n">
        <x:f>AA74-X74</x:f>
        <x:v>857.5679644449247</x:v>
      </x:c>
      <x:c r="AE74" s="28" t="str">
        <x:v>Baseline trade unchanged.</x:v>
      </x:c>
    </x:row>
    <x:row r="75" ht="18" customHeight="1">
      <x:c r="A75" s="23" t="n">
        <x:v>71</x:v>
      </x:c>
      <x:c r="B75" s="53" t="n">
        <x:v>43696</x:v>
      </x:c>
      <x:c r="C75" s="53" t="n">
        <x:v>43698</x:v>
      </x:c>
      <x:c r="D75" s="23" t="str">
        <x:v>BEPRE</x:v>
      </x:c>
      <x:c r="E75" s="54" t="n">
        <x:v>7705.759</x:v>
      </x:c>
      <x:c r="F75" s="54" t="n">
        <x:v>7675.059</x:v>
      </x:c>
      <x:c r="G75" s="55" t="n">
        <x:v>-0.00398</x:v>
      </x:c>
      <x:c r="H75" s="56" t="n">
        <x:f>SUM(T72:T74)</x:f>
        <x:v>-0.0063999999999999994</x:v>
      </x:c>
      <x:c r="I75" s="57" t="b">
        <x:f>AND(A75&gt;3,H75&lt;='Assumptions'!$B$7)</x:f>
        <x:v>0</x:v>
      </x:c>
      <x:c r="J75" s="55" t="n">
        <x:v>0.014601982735953367</x:v>
      </x:c>
      <x:c r="K75" s="55" t="n">
        <x:v>-0.028874372296254336</x:v>
      </x:c>
      <x:c r="L75" s="55" t="n">
        <x:v>0.013559720411212561</x:v>
      </x:c>
      <x:c r="M75" s="57" t="b">
        <x:f>J75&gt;='Assumptions'!$B$8</x:f>
        <x:v>1</x:v>
      </x:c>
      <x:c r="N75" s="57" t="b">
        <x:f>AND(K75&lt;&gt;"",K75&lt;='Assumptions'!$B$9)</x:f>
        <x:v>1</x:v>
      </x:c>
      <x:c r="O75" s="57" t="b">
        <x:f>AND(P75&lt;&gt;"",ABS(L75)&lt;='Assumptions'!$B$10)</x:f>
        <x:v>0</x:v>
      </x:c>
      <x:c r="P75" s="53" t="n">
        <x:v>43697</x:v>
      </x:c>
      <x:c r="Q75" s="54" t="n">
        <x:v>7705.97</x:v>
      </x:c>
      <x:c r="R75" s="55" t="n">
        <x:v>-0.00401</x:v>
      </x:c>
      <x:c r="S75" s="57" t="str">
        <x:f>IF(I75,"DAMAGE SKIP",IF(AND(M75,N75),IF(O75,"TUESDAY RE-ENTRY","GAP/MOM SKIP"),"BASELINE"))</x:f>
        <x:v>GAP/MOM SKIP</x:v>
      </x:c>
      <x:c r="T75" s="56" t="n">
        <x:f>IF(I75,0,IF(AND(M75,N75),IF(O75,R75,0),G75))</x:f>
        <x:v>0</x:v>
      </x:c>
      <x:c r="U75" s="56" t="n">
        <x:f>G75*'Assumptions'!$B$6</x:f>
        <x:v>-0.044974</x:v>
      </x:c>
      <x:c r="V75" s="56" t="n">
        <x:f>T75*'Assumptions'!$B$6</x:f>
        <x:v>0</x:v>
      </x:c>
      <x:c r="W75" s="56" t="n">
        <x:f>V75-U75</x:f>
        <x:v>0.044974</x:v>
      </x:c>
      <x:c r="X75" s="58" t="n">
        <x:f>X74*(1+U75)</x:f>
        <x:v>76.14673796651196</x:v>
      </x:c>
      <x:c r="Y75" s="58" t="n">
        <x:f>MAX(Y74,X75)</x:f>
        <x:v>309.6394159768338</x:v>
      </x:c>
      <x:c r="Z75" s="59" t="n">
        <x:f>X75/Y75-1</x:f>
        <x:v>-0.7540793127829404</x:v>
      </x:c>
      <x:c r="AA75" s="58" t="n">
        <x:f>AA74*(1+V75)</x:f>
        <x:v>937.3005978669592</x:v>
      </x:c>
      <x:c r="AB75" s="58" t="n">
        <x:f>MAX(AB74,AA75)</x:f>
        <x:v>1176.2926885756226</x:v>
      </x:c>
      <x:c r="AC75" s="59" t="n">
        <x:f>AA75/AB75-1</x:f>
        <x:v>-0.20317399999999997</x:v>
      </x:c>
      <x:c r="AD75" s="60" t="n">
        <x:f>AA75-X75</x:f>
        <x:v>861.1538599004472</x:v>
      </x:c>
      <x:c r="AE75" s="28" t="str">
        <x:v>Monday entry skipped; Tuesday did not normalize within the Friday-based tolerance.</x:v>
      </x:c>
    </x:row>
    <x:row r="76" ht="18" customHeight="1">
      <x:c r="A76" s="23" t="n">
        <x:v>72</x:v>
      </x:c>
      <x:c r="B76" s="53" t="n">
        <x:v>43703</x:v>
      </x:c>
      <x:c r="C76" s="53" t="n">
        <x:v>43707</x:v>
      </x:c>
      <x:c r="D76" s="23" t="str">
        <x:v>TO</x:v>
      </x:c>
      <x:c r="E76" s="54" t="n">
        <x:v>7548.96</x:v>
      </x:c>
      <x:c r="F76" s="54" t="n">
        <x:v>7685.069</x:v>
      </x:c>
      <x:c r="G76" s="55" t="n">
        <x:v>0.01803</x:v>
      </x:c>
      <x:c r="H76" s="56" t="n">
        <x:f>SUM(T73:T75)</x:f>
        <x:v>-0.0025699999999999994</x:v>
      </x:c>
      <x:c r="I76" s="57" t="b">
        <x:f>AND(A76&gt;3,H76&lt;='Assumptions'!$B$7)</x:f>
        <x:v>0</x:v>
      </x:c>
      <x:c r="J76" s="55" t="n">
        <x:v>0.009655238826391521</x:v>
      </x:c>
      <x:c r="K76" s="55" t="n">
        <x:v>-0.06763336380838991</x:v>
      </x:c>
      <x:c r="L76" s="55" t="n">
        <x:v>0.022068548754902828</x:v>
      </x:c>
      <x:c r="M76" s="57" t="b">
        <x:f>J76&gt;='Assumptions'!$B$8</x:f>
        <x:v>0</x:v>
      </x:c>
      <x:c r="N76" s="57" t="b">
        <x:f>AND(K76&lt;&gt;"",K76&lt;='Assumptions'!$B$9)</x:f>
        <x:v>1</x:v>
      </x:c>
      <x:c r="O76" s="57" t="b">
        <x:f>AND(P76&lt;&gt;"",ABS(L76)&lt;='Assumptions'!$B$10)</x:f>
        <x:v>0</x:v>
      </x:c>
      <x:c r="P76" s="53" t="n">
        <x:v>43704</x:v>
      </x:c>
      <x:c r="Q76" s="54" t="n">
        <x:v>7626.659</x:v>
      </x:c>
      <x:c r="R76" s="55" t="n">
        <x:v>0.00765</x:v>
      </x:c>
      <x:c r="S76" s="57" t="str">
        <x:f>IF(I76,"DAMAGE SKIP",IF(AND(M76,N76),IF(O76,"TUESDAY RE-ENTRY","GAP/MOM SKIP"),"BASELINE"))</x:f>
        <x:v>BASELINE</x:v>
      </x:c>
      <x:c r="T76" s="56" t="n">
        <x:f>IF(I76,0,IF(AND(M76,N76),IF(O76,R76,0),G76))</x:f>
        <x:v>0.01803</x:v>
      </x:c>
      <x:c r="U76" s="56" t="n">
        <x:f>G76*'Assumptions'!$B$6</x:f>
        <x:v>0.20373900000000003</x:v>
      </x:c>
      <x:c r="V76" s="56" t="n">
        <x:f>T76*'Assumptions'!$B$6</x:f>
        <x:v>0.20373900000000003</x:v>
      </x:c>
      <x:c r="W76" s="56" t="n">
        <x:f>V76-U76</x:f>
        <x:v>0</x:v>
      </x:c>
      <x:c r="X76" s="58" t="n">
        <x:f>X75*(1+U76)</x:f>
        <x:v>91.66079821307115</x:v>
      </x:c>
      <x:c r="Y76" s="58" t="n">
        <x:f>MAX(Y75,X76)</x:f>
        <x:v>309.6394159768338</x:v>
      </x:c>
      <x:c r="Z76" s="59" t="n">
        <x:f>X76/Y76-1</x:f>
        <x:v>-0.7039756778900239</x:v>
      </x:c>
      <x:c r="AA76" s="58" t="n">
        <x:f>AA75*(1+V76)</x:f>
        <x:v>1128.2652843757755</x:v>
      </x:c>
      <x:c r="AB76" s="58" t="n">
        <x:f>MAX(AB75,AA76)</x:f>
        <x:v>1176.2926885756226</x:v>
      </x:c>
      <x:c r="AC76" s="59" t="n">
        <x:f>AA76/AB76-1</x:f>
        <x:v>-0.04082946758599992</x:v>
      </x:c>
      <x:c r="AD76" s="60" t="n">
        <x:f>AA76-X76</x:f>
        <x:v>1036.6044861627045</x:v>
      </x:c>
      <x:c r="AE76" s="28" t="str">
        <x:v>Baseline trade unchanged.</x:v>
      </x:c>
    </x:row>
    <x:row r="77" ht="18" customHeight="1">
      <x:c r="A77" s="23" t="n">
        <x:v>73</x:v>
      </x:c>
      <x:c r="B77" s="53" t="n">
        <x:v>43711</x:v>
      </x:c>
      <x:c r="C77" s="53" t="n">
        <x:v>43714</x:v>
      </x:c>
      <x:c r="D77" s="23" t="str">
        <x:v>TO</x:v>
      </x:c>
      <x:c r="E77" s="54" t="n">
        <x:v>7631.659</x:v>
      </x:c>
      <x:c r="F77" s="54" t="n">
        <x:v>7851.86</x:v>
      </x:c>
      <x:c r="G77" s="55" t="n">
        <x:v>0.02885</x:v>
      </x:c>
      <x:c r="H77" s="56" t="n">
        <x:f>SUM(T74:T76)</x:f>
        <x:v>0.00005000000000000143</x:v>
      </x:c>
      <x:c r="I77" s="57" t="b">
        <x:f>AND(A77&gt;3,H77&lt;='Assumptions'!$B$7)</x:f>
        <x:v>0</x:v>
      </x:c>
      <x:c r="J77" s="55" t="n">
        <x:v>-0.0069498400079427425</x:v>
      </x:c>
      <x:c r="K77" s="55" t="n">
        <x:v>0.0005872999163374359</x:v>
      </x:c>
      <x:c r="L77" s="55"/>
      <x:c r="M77" s="57" t="b">
        <x:f>J77&gt;='Assumptions'!$B$8</x:f>
        <x:v>0</x:v>
      </x:c>
      <x:c r="N77" s="57" t="b">
        <x:f>AND(K77&lt;&gt;"",K77&lt;='Assumptions'!$B$9)</x:f>
        <x:v>0</x:v>
      </x:c>
      <x:c r="O77" s="57" t="b">
        <x:f>AND(P77&lt;&gt;"",ABS(L77)&lt;='Assumptions'!$B$10)</x:f>
        <x:v>0</x:v>
      </x:c>
      <x:c r="P77" s="53"/>
      <x:c r="Q77" s="54"/>
      <x:c r="R77" s="55"/>
      <x:c r="S77" s="57" t="str">
        <x:f>IF(I77,"DAMAGE SKIP",IF(AND(M77,N77),IF(O77,"TUESDAY RE-ENTRY","GAP/MOM SKIP"),"BASELINE"))</x:f>
        <x:v>BASELINE</x:v>
      </x:c>
      <x:c r="T77" s="56" t="n">
        <x:f>IF(I77,0,IF(AND(M77,N77),IF(O77,R77,0),G77))</x:f>
        <x:v>0.02885</x:v>
      </x:c>
      <x:c r="U77" s="56" t="n">
        <x:f>G77*'Assumptions'!$B$6</x:f>
        <x:v>0.32600500000000004</x:v>
      </x:c>
      <x:c r="V77" s="56" t="n">
        <x:f>T77*'Assumptions'!$B$6</x:f>
        <x:v>0.32600500000000004</x:v>
      </x:c>
      <x:c r="W77" s="56" t="n">
        <x:f>V77-U77</x:f>
        <x:v>0</x:v>
      </x:c>
      <x:c r="X77" s="58" t="n">
        <x:f>X76*(1+U77)</x:f>
        <x:v>121.54267673452341</x:v>
      </x:c>
      <x:c r="Y77" s="58" t="n">
        <x:f>MAX(Y76,X77)</x:f>
        <x:v>309.6394159768338</x:v>
      </x:c>
      <x:c r="Z77" s="59" t="n">
        <x:f>X77/Y77-1</x:f>
        <x:v>-0.6074702687605611</x:v>
      </x:c>
      <x:c r="AA77" s="58" t="n">
        <x:f>AA76*(1+V77)</x:f>
        <x:v>1496.0854084087005</x:v>
      </x:c>
      <x:c r="AB77" s="58" t="n">
        <x:f>MAX(AB76,AA77)</x:f>
        <x:v>1496.0854084087005</x:v>
      </x:c>
      <x:c r="AC77" s="59" t="n">
        <x:f>AA77/AB77-1</x:f>
        <x:v>0</x:v>
      </x:c>
      <x:c r="AD77" s="60" t="n">
        <x:f>AA77-X77</x:f>
        <x:v>1374.542731674177</x:v>
      </x:c>
      <x:c r="AE77" s="28" t="str">
        <x:v>Baseline trade unchanged.</x:v>
      </x:c>
    </x:row>
    <x:row r="78" ht="18" customHeight="1">
      <x:c r="A78" s="23" t="n">
        <x:v>74</x:v>
      </x:c>
      <x:c r="B78" s="53" t="n">
        <x:v>43717</x:v>
      </x:c>
      <x:c r="C78" s="53" t="n">
        <x:v>43719</x:v>
      </x:c>
      <x:c r="D78" s="23" t="str">
        <x:v>BH</x:v>
      </x:c>
      <x:c r="E78" s="54" t="n">
        <x:v>7874.759</x:v>
      </x:c>
      <x:c r="F78" s="54" t="n">
        <x:v>7843.259964</x:v>
      </x:c>
      <x:c r="G78" s="55" t="n">
        <x:v>-0.004</x:v>
      </x:c>
      <x:c r="H78" s="56" t="n">
        <x:f>SUM(T75:T77)</x:f>
        <x:v>0.046880000000000005</x:v>
      </x:c>
      <x:c r="I78" s="57" t="b">
        <x:f>AND(A78&gt;3,H78&lt;='Assumptions'!$B$7)</x:f>
        <x:v>0</x:v>
      </x:c>
      <x:c r="J78" s="55" t="n">
        <x:v>0.0029163790490407404</x:v>
      </x:c>
      <x:c r="K78" s="55" t="n">
        <x:v>0.01762163115874915</x:v>
      </x:c>
      <x:c r="L78" s="55" t="n">
        <x:v>-0.007330790403328846</x:v>
      </x:c>
      <x:c r="M78" s="57" t="b">
        <x:f>J78&gt;='Assumptions'!$B$8</x:f>
        <x:v>0</x:v>
      </x:c>
      <x:c r="N78" s="57" t="b">
        <x:f>AND(K78&lt;&gt;"",K78&lt;='Assumptions'!$B$9)</x:f>
        <x:v>0</x:v>
      </x:c>
      <x:c r="O78" s="57" t="b">
        <x:f>AND(P78&lt;&gt;"",ABS(L78)&lt;='Assumptions'!$B$10)</x:f>
        <x:v>0</x:v>
      </x:c>
      <x:c r="P78" s="53" t="n">
        <x:v>43718</x:v>
      </x:c>
      <x:c r="Q78" s="54" t="n">
        <x:v>7791.87</x:v>
      </x:c>
      <x:c r="R78" s="55" t="n">
        <x:v>0.00659</x:v>
      </x:c>
      <x:c r="S78" s="57" t="str">
        <x:f>IF(I78,"DAMAGE SKIP",IF(AND(M78,N78),IF(O78,"TUESDAY RE-ENTRY","GAP/MOM SKIP"),"BASELINE"))</x:f>
        <x:v>BASELINE</x:v>
      </x:c>
      <x:c r="T78" s="56" t="n">
        <x:f>IF(I78,0,IF(AND(M78,N78),IF(O78,R78,0),G78))</x:f>
        <x:v>-0.004</x:v>
      </x:c>
      <x:c r="U78" s="56" t="n">
        <x:f>G78*'Assumptions'!$B$6</x:f>
        <x:v>-0.045200000000000004</x:v>
      </x:c>
      <x:c r="V78" s="56" t="n">
        <x:f>T78*'Assumptions'!$B$6</x:f>
        <x:v>-0.045200000000000004</x:v>
      </x:c>
      <x:c r="W78" s="56" t="n">
        <x:f>V78-U78</x:f>
        <x:v>0</x:v>
      </x:c>
      <x:c r="X78" s="58" t="n">
        <x:f>X77*(1+U78)</x:f>
        <x:v>116.04894774612295</x:v>
      </x:c>
      <x:c r="Y78" s="58" t="n">
        <x:f>MAX(Y77,X78)</x:f>
        <x:v>309.6394159768338</x:v>
      </x:c>
      <x:c r="Z78" s="59" t="n">
        <x:f>X78/Y78-1</x:f>
        <x:v>-0.6252126126125837</x:v>
      </x:c>
      <x:c r="AA78" s="58" t="n">
        <x:f>AA77*(1+V78)</x:f>
        <x:v>1428.4623479486272</x:v>
      </x:c>
      <x:c r="AB78" s="58" t="n">
        <x:f>MAX(AB77,AA78)</x:f>
        <x:v>1496.0854084087005</x:v>
      </x:c>
      <x:c r="AC78" s="59" t="n">
        <x:f>AA78/AB78-1</x:f>
        <x:v>-0.04520000000000002</x:v>
      </x:c>
      <x:c r="AD78" s="60" t="n">
        <x:f>AA78-X78</x:f>
        <x:v>1312.4134002025044</x:v>
      </x:c>
      <x:c r="AE78" s="28" t="str">
        <x:v>Baseline trade unchanged.</x:v>
      </x:c>
    </x:row>
    <x:row r="79" ht="18" customHeight="1">
      <x:c r="A79" s="23" t="n">
        <x:v>75</x:v>
      </x:c>
      <x:c r="B79" s="53" t="n">
        <x:v>43724</x:v>
      </x:c>
      <x:c r="C79" s="53" t="n">
        <x:v>43728</x:v>
      </x:c>
      <x:c r="D79" s="23" t="str">
        <x:v>TSL4</x:v>
      </x:c>
      <x:c r="E79" s="54" t="n">
        <x:v>7835.96</x:v>
      </x:c>
      <x:c r="F79" s="54" t="n">
        <x:v>7804.61616</x:v>
      </x:c>
      <x:c r="G79" s="55" t="n">
        <x:v>-0.004</x:v>
      </x:c>
      <x:c r="H79" s="56" t="n">
        <x:f>SUM(T76:T78)</x:f>
        <x:v>0.04288</x:v>
      </x:c>
      <x:c r="I79" s="57" t="b">
        <x:f>AND(A79&gt;3,H79&lt;='Assumptions'!$B$7)</x:f>
        <x:v>0</x:v>
      </x:c>
      <x:c r="J79" s="55" t="n">
        <x:v>-0.007296961991416051</x:v>
      </x:c>
      <x:c r="K79" s="55" t="n">
        <x:v>0.05480589342477127</x:v>
      </x:c>
      <x:c r="L79" s="55" t="n">
        <x:v>-0.004447559233402565</x:v>
      </x:c>
      <x:c r="M79" s="57" t="b">
        <x:f>J79&gt;='Assumptions'!$B$8</x:f>
        <x:v>0</x:v>
      </x:c>
      <x:c r="N79" s="57" t="b">
        <x:f>AND(K79&lt;&gt;"",K79&lt;='Assumptions'!$B$9)</x:f>
        <x:v>0</x:v>
      </x:c>
      <x:c r="O79" s="57" t="b">
        <x:f>AND(P79&lt;&gt;"",ABS(L79)&lt;='Assumptions'!$B$10)</x:f>
        <x:v>1</x:v>
      </x:c>
      <x:c r="P79" s="53" t="n">
        <x:v>43725</x:v>
      </x:c>
      <x:c r="Q79" s="54" t="n">
        <x:v>7852.869</x:v>
      </x:c>
      <x:c r="R79" s="55" t="n">
        <x:v>-0.00614</x:v>
      </x:c>
      <x:c r="S79" s="57" t="str">
        <x:f>IF(I79,"DAMAGE SKIP",IF(AND(M79,N79),IF(O79,"TUESDAY RE-ENTRY","GAP/MOM SKIP"),"BASELINE"))</x:f>
        <x:v>BASELINE</x:v>
      </x:c>
      <x:c r="T79" s="56" t="n">
        <x:f>IF(I79,0,IF(AND(M79,N79),IF(O79,R79,0),G79))</x:f>
        <x:v>-0.004</x:v>
      </x:c>
      <x:c r="U79" s="56" t="n">
        <x:f>G79*'Assumptions'!$B$6</x:f>
        <x:v>-0.045200000000000004</x:v>
      </x:c>
      <x:c r="V79" s="56" t="n">
        <x:f>T79*'Assumptions'!$B$6</x:f>
        <x:v>-0.045200000000000004</x:v>
      </x:c>
      <x:c r="W79" s="56" t="n">
        <x:f>V79-U79</x:f>
        <x:v>0</x:v>
      </x:c>
      <x:c r="X79" s="58" t="n">
        <x:f>X78*(1+U79)</x:f>
        <x:v>110.80353530799819</x:v>
      </x:c>
      <x:c r="Y79" s="58" t="n">
        <x:f>MAX(Y78,X79)</x:f>
        <x:v>309.6394159768338</x:v>
      </x:c>
      <x:c r="Z79" s="59" t="n">
        <x:f>X79/Y79-1</x:f>
        <x:v>-0.6421530025224949</x:v>
      </x:c>
      <x:c r="AA79" s="58" t="n">
        <x:f>AA78*(1+V79)</x:f>
        <x:v>1363.8958498213492</x:v>
      </x:c>
      <x:c r="AB79" s="58" t="n">
        <x:f>MAX(AB78,AA79)</x:f>
        <x:v>1496.0854084087005</x:v>
      </x:c>
      <x:c r="AC79" s="59" t="n">
        <x:f>AA79/AB79-1</x:f>
        <x:v>-0.08835696000000004</x:v>
      </x:c>
      <x:c r="AD79" s="60" t="n">
        <x:f>AA79-X79</x:f>
        <x:v>1253.092314513351</x:v>
      </x:c>
      <x:c r="AE79" s="28" t="str">
        <x:v>Baseline trade unchanged.</x:v>
      </x:c>
    </x:row>
    <x:row r="80" ht="18" customHeight="1">
      <x:c r="A80" s="23" t="n">
        <x:v>76</x:v>
      </x:c>
      <x:c r="B80" s="53" t="n">
        <x:v>43731</x:v>
      </x:c>
      <x:c r="C80" s="53" t="n">
        <x:v>43732</x:v>
      </x:c>
      <x:c r="D80" s="23" t="str">
        <x:v>PREOH</x:v>
      </x:c>
      <x:c r="E80" s="54" t="n">
        <x:v>7811.37</x:v>
      </x:c>
      <x:c r="F80" s="54" t="n">
        <x:v>7876.57</x:v>
      </x:c>
      <x:c r="G80" s="55" t="n">
        <x:v>0.00834</x:v>
      </x:c>
      <x:c r="H80" s="56" t="n">
        <x:f>SUM(T77:T79)</x:f>
        <x:v>0.02085</x:v>
      </x:c>
      <x:c r="I80" s="57" t="b">
        <x:f>AND(A80&gt;3,H80&lt;='Assumptions'!$B$7)</x:f>
        <x:v>0</x:v>
      </x:c>
      <x:c r="J80" s="55" t="n">
        <x:v>-0.0007930853193511833</x:v>
      </x:c>
      <x:c r="K80" s="55" t="n">
        <x:v>0.014768072255898934</x:v>
      </x:c>
      <x:c r="L80" s="55" t="n">
        <x:v>0.0049507913105451</x:v>
      </x:c>
      <x:c r="M80" s="57" t="b">
        <x:f>J80&gt;='Assumptions'!$B$8</x:f>
        <x:v>0</x:v>
      </x:c>
      <x:c r="N80" s="57" t="b">
        <x:f>AND(K80&lt;&gt;"",K80&lt;='Assumptions'!$B$9)</x:f>
        <x:v>0</x:v>
      </x:c>
      <x:c r="O80" s="57" t="b">
        <x:f>AND(P80&lt;&gt;"",ABS(L80)&lt;='Assumptions'!$B$10)</x:f>
        <x:v>1</x:v>
      </x:c>
      <x:c r="P80" s="53" t="n">
        <x:v>43732</x:v>
      </x:c>
      <x:c r="Q80" s="54" t="n">
        <x:v>7854.57</x:v>
      </x:c>
      <x:c r="R80" s="55" t="n">
        <x:v>0.0028</x:v>
      </x:c>
      <x:c r="S80" s="57" t="str">
        <x:f>IF(I80,"DAMAGE SKIP",IF(AND(M80,N80),IF(O80,"TUESDAY RE-ENTRY","GAP/MOM SKIP"),"BASELINE"))</x:f>
        <x:v>BASELINE</x:v>
      </x:c>
      <x:c r="T80" s="56" t="n">
        <x:f>IF(I80,0,IF(AND(M80,N80),IF(O80,R80,0),G80))</x:f>
        <x:v>0.00834</x:v>
      </x:c>
      <x:c r="U80" s="56" t="n">
        <x:f>G80*'Assumptions'!$B$6</x:f>
        <x:v>0.094242</x:v>
      </x:c>
      <x:c r="V80" s="56" t="n">
        <x:f>T80*'Assumptions'!$B$6</x:f>
        <x:v>0.094242</x:v>
      </x:c>
      <x:c r="W80" s="56" t="n">
        <x:f>V80-U80</x:f>
        <x:v>0</x:v>
      </x:c>
      <x:c r="X80" s="58" t="n">
        <x:f>X79*(1+U80)</x:f>
        <x:v>121.24588208249455</x:v>
      </x:c>
      <x:c r="Y80" s="58" t="n">
        <x:f>MAX(Y79,X80)</x:f>
        <x:v>309.6394159768338</x:v>
      </x:c>
      <x:c r="Z80" s="59" t="n">
        <x:f>X80/Y80-1</x:f>
        <x:v>-0.6084287857862198</x:v>
      </x:c>
      <x:c r="AA80" s="58" t="n">
        <x:f>AA79*(1+V80)</x:f>
        <x:v>1492.4321225002127</x:v>
      </x:c>
      <x:c r="AB80" s="58" t="n">
        <x:f>MAX(AB79,AA80)</x:f>
        <x:v>1496.0854084087005</x:v>
      </x:c>
      <x:c r="AC80" s="59" t="n">
        <x:f>AA80/AB80-1</x:f>
        <x:v>-0.00244189662432015</x:v>
      </x:c>
      <x:c r="AD80" s="60" t="n">
        <x:f>AA80-X80</x:f>
        <x:v>1371.1862404177182</x:v>
      </x:c>
      <x:c r="AE80" s="28" t="str">
        <x:v>Baseline trade unchanged.</x:v>
      </x:c>
    </x:row>
    <x:row r="81" ht="18" customHeight="1">
      <x:c r="A81" s="23" t="n">
        <x:v>77</x:v>
      </x:c>
      <x:c r="B81" s="53" t="n">
        <x:v>43738</x:v>
      </x:c>
      <x:c r="C81" s="53" t="n">
        <x:v>43739</x:v>
      </x:c>
      <x:c r="D81" s="23" t="str">
        <x:v>PREOH</x:v>
      </x:c>
      <x:c r="E81" s="54" t="n">
        <x:v>7707.17</x:v>
      </x:c>
      <x:c r="F81" s="54" t="n">
        <x:v>7762.669</x:v>
      </x:c>
      <x:c r="G81" s="55" t="n">
        <x:v>0.0072</x:v>
      </x:c>
      <x:c r="H81" s="56" t="n">
        <x:f>SUM(T78:T80)</x:f>
        <x:v>0.00034</x:v>
      </x:c>
      <x:c r="I81" s="57" t="b">
        <x:f>AND(A81&gt;3,H81&lt;='Assumptions'!$B$7)</x:f>
        <x:v>0</x:v>
      </x:c>
      <x:c r="J81" s="55" t="n">
        <x:v>0.002536659681888098</x:v>
      </x:c>
      <x:c r="K81" s="55" t="n">
        <x:v>-0.0028060872207031906</x:v>
      </x:c>
      <x:c r="L81" s="55" t="n">
        <x:v>0.013394118331329974</x:v>
      </x:c>
      <x:c r="M81" s="57" t="b">
        <x:f>J81&gt;='Assumptions'!$B$8</x:f>
        <x:v>0</x:v>
      </x:c>
      <x:c r="N81" s="57" t="b">
        <x:f>AND(K81&lt;&gt;"",K81&lt;='Assumptions'!$B$9)</x:f>
        <x:v>0</x:v>
      </x:c>
      <x:c r="O81" s="57" t="b">
        <x:f>AND(P81&lt;&gt;"",ABS(L81)&lt;='Assumptions'!$B$10)</x:f>
        <x:v>0</x:v>
      </x:c>
      <x:c r="P81" s="53" t="n">
        <x:v>43739</x:v>
      </x:c>
      <x:c r="Q81" s="54" t="n">
        <x:v>7777.269</x:v>
      </x:c>
      <x:c r="R81" s="55" t="n">
        <x:v>-0.00187</x:v>
      </x:c>
      <x:c r="S81" s="57" t="str">
        <x:f>IF(I81,"DAMAGE SKIP",IF(AND(M81,N81),IF(O81,"TUESDAY RE-ENTRY","GAP/MOM SKIP"),"BASELINE"))</x:f>
        <x:v>BASELINE</x:v>
      </x:c>
      <x:c r="T81" s="56" t="n">
        <x:f>IF(I81,0,IF(AND(M81,N81),IF(O81,R81,0),G81))</x:f>
        <x:v>0.0072</x:v>
      </x:c>
      <x:c r="U81" s="56" t="n">
        <x:f>G81*'Assumptions'!$B$6</x:f>
        <x:v>0.08136</x:v>
      </x:c>
      <x:c r="V81" s="56" t="n">
        <x:f>T81*'Assumptions'!$B$6</x:f>
        <x:v>0.08136</x:v>
      </x:c>
      <x:c r="W81" s="56" t="n">
        <x:f>V81-U81</x:f>
        <x:v>0</x:v>
      </x:c>
      <x:c r="X81" s="58" t="n">
        <x:f>X80*(1+U81)</x:f>
        <x:v>131.11044704872631</x:v>
      </x:c>
      <x:c r="Y81" s="58" t="n">
        <x:f>MAX(Y80,X81)</x:f>
        <x:v>309.6394159768338</x:v>
      </x:c>
      <x:c r="Z81" s="59" t="n">
        <x:f>X81/Y81-1</x:f>
        <x:v>-0.5765705517977867</x:v>
      </x:c>
      <x:c r="AA81" s="58" t="n">
        <x:f>AA80*(1+V81)</x:f>
        <x:v>1613.8563999868302</x:v>
      </x:c>
      <x:c r="AB81" s="58" t="n">
        <x:f>MAX(AB80,AA81)</x:f>
        <x:v>1613.8563999868302</x:v>
      </x:c>
      <x:c r="AC81" s="59" t="n">
        <x:f>AA81/AB81-1</x:f>
        <x:v>0</x:v>
      </x:c>
      <x:c r="AD81" s="60" t="n">
        <x:f>AA81-X81</x:f>
        <x:v>1482.745952938104</x:v>
      </x:c>
      <x:c r="AE81" s="28" t="str">
        <x:v>Baseline trade unchanged.</x:v>
      </x:c>
    </x:row>
    <x:row r="82" ht="18" customHeight="1">
      <x:c r="A82" s="23" t="n">
        <x:v>78</x:v>
      </x:c>
      <x:c r="B82" s="53" t="n">
        <x:v>43745</x:v>
      </x:c>
      <x:c r="C82" s="53" t="n">
        <x:v>43747</x:v>
      </x:c>
      <x:c r="D82" s="23" t="str">
        <x:v>BEPRE</x:v>
      </x:c>
      <x:c r="E82" s="54" t="n">
        <x:v>7722.46</x:v>
      </x:c>
      <x:c r="F82" s="54" t="n">
        <x:v>7693.66</x:v>
      </x:c>
      <x:c r="G82" s="55" t="n">
        <x:v>-0.00372</x:v>
      </x:c>
      <x:c r="H82" s="56" t="n">
        <x:f>SUM(T79:T81)</x:f>
        <x:v>0.01154</x:v>
      </x:c>
      <x:c r="I82" s="57" t="b">
        <x:f>AND(A82&gt;3,H82&lt;='Assumptions'!$B$7)</x:f>
        <x:v>0</x:v>
      </x:c>
      <x:c r="J82" s="55" t="n">
        <x:v>-0.002892240789375111</x:v>
      </x:c>
      <x:c r="K82" s="55" t="n">
        <x:v>-0.012499729091263623</x:v>
      </x:c>
      <x:c r="L82" s="55" t="n">
        <x:v>-0.009601825992965995</x:v>
      </x:c>
      <x:c r="M82" s="57" t="b">
        <x:f>J82&gt;='Assumptions'!$B$8</x:f>
        <x:v>0</x:v>
      </x:c>
      <x:c r="N82" s="57" t="b">
        <x:f>AND(K82&lt;&gt;"",K82&lt;='Assumptions'!$B$9)</x:f>
        <x:v>1</x:v>
      </x:c>
      <x:c r="O82" s="57" t="b">
        <x:f>AND(P82&lt;&gt;"",ABS(L82)&lt;='Assumptions'!$B$10)</x:f>
        <x:v>0</x:v>
      </x:c>
      <x:c r="P82" s="53" t="n">
        <x:v>43746</x:v>
      </x:c>
      <x:c r="Q82" s="54" t="n">
        <x:v>7671.669</x:v>
      </x:c>
      <x:c r="R82" s="55" t="n">
        <x:v>0.00286</x:v>
      </x:c>
      <x:c r="S82" s="57" t="str">
        <x:f>IF(I82,"DAMAGE SKIP",IF(AND(M82,N82),IF(O82,"TUESDAY RE-ENTRY","GAP/MOM SKIP"),"BASELINE"))</x:f>
        <x:v>BASELINE</x:v>
      </x:c>
      <x:c r="T82" s="56" t="n">
        <x:f>IF(I82,0,IF(AND(M82,N82),IF(O82,R82,0),G82))</x:f>
        <x:v>-0.00372</x:v>
      </x:c>
      <x:c r="U82" s="56" t="n">
        <x:f>G82*'Assumptions'!$B$6</x:f>
        <x:v>-0.042036000000000004</x:v>
      </x:c>
      <x:c r="V82" s="56" t="n">
        <x:f>T82*'Assumptions'!$B$6</x:f>
        <x:v>-0.042036000000000004</x:v>
      </x:c>
      <x:c r="W82" s="56" t="n">
        <x:f>V82-U82</x:f>
        <x:v>0</x:v>
      </x:c>
      <x:c r="X82" s="58" t="n">
        <x:f>X81*(1+U82)</x:f>
        <x:v>125.59908829658606</x:v>
      </x:c>
      <x:c r="Y82" s="58" t="n">
        <x:f>MAX(Y81,X82)</x:f>
        <x:v>309.6394159768338</x:v>
      </x:c>
      <x:c r="Z82" s="59" t="n">
        <x:f>X82/Y82-1</x:f>
        <x:v>-0.5943698320824149</x:v>
      </x:c>
      <x:c r="AA82" s="58" t="n">
        <x:f>AA81*(1+V82)</x:f>
        <x:v>1546.0163323569839</x:v>
      </x:c>
      <x:c r="AB82" s="58" t="n">
        <x:f>MAX(AB81,AA82)</x:f>
        <x:v>1613.8563999868302</x:v>
      </x:c>
      <x:c r="AC82" s="59" t="n">
        <x:f>AA82/AB82-1</x:f>
        <x:v>-0.04203599999999996</x:v>
      </x:c>
      <x:c r="AD82" s="60" t="n">
        <x:f>AA82-X82</x:f>
        <x:v>1420.4172440603977</x:v>
      </x:c>
      <x:c r="AE82" s="28" t="str">
        <x:v>Baseline trade unchanged.</x:v>
      </x:c>
    </x:row>
    <x:row r="83" ht="18" customHeight="1">
      <x:c r="A83" s="23" t="n">
        <x:v>79</x:v>
      </x:c>
      <x:c r="B83" s="53" t="n">
        <x:v>43752</x:v>
      </x:c>
      <x:c r="C83" s="53" t="n">
        <x:v>43756</x:v>
      </x:c>
      <x:c r="D83" s="23" t="str">
        <x:v>TO</x:v>
      </x:c>
      <x:c r="E83" s="54" t="n">
        <x:v>7828.77</x:v>
      </x:c>
      <x:c r="F83" s="54" t="n">
        <x:v>7866.459</x:v>
      </x:c>
      <x:c r="G83" s="55" t="n">
        <x:v>0.00481</x:v>
      </x:c>
      <x:c r="H83" s="56" t="n">
        <x:f>SUM(T80:T82)</x:f>
        <x:v>0.01182</x:v>
      </x:c>
      <x:c r="I83" s="57" t="b">
        <x:f>AND(A83&gt;3,H83&lt;='Assumptions'!$B$7)</x:f>
        <x:v>0</x:v>
      </x:c>
      <x:c r="J83" s="55" t="n">
        <x:v>0.0002569390471842681</x:v>
      </x:c>
      <x:c r="K83" s="55" t="n">
        <x:v>-0.005552710315641973</x:v>
      </x:c>
      <x:c r="L83" s="55" t="n">
        <x:v>0.002867752690212111</x:v>
      </x:c>
      <x:c r="M83" s="57" t="b">
        <x:f>J83&gt;='Assumptions'!$B$8</x:f>
        <x:v>0</x:v>
      </x:c>
      <x:c r="N83" s="57" t="b">
        <x:f>AND(K83&lt;&gt;"",K83&lt;='Assumptions'!$B$9)</x:f>
        <x:v>1</x:v>
      </x:c>
      <x:c r="O83" s="57" t="b">
        <x:f>AND(P83&lt;&gt;"",ABS(L83)&lt;='Assumptions'!$B$10)</x:f>
        <x:v>1</x:v>
      </x:c>
      <x:c r="P83" s="53" t="n">
        <x:v>43753</x:v>
      </x:c>
      <x:c r="Q83" s="54" t="n">
        <x:v>7862.859</x:v>
      </x:c>
      <x:c r="R83" s="55" t="n">
        <x:v>0.00045</x:v>
      </x:c>
      <x:c r="S83" s="57" t="str">
        <x:f>IF(I83,"DAMAGE SKIP",IF(AND(M83,N83),IF(O83,"TUESDAY RE-ENTRY","GAP/MOM SKIP"),"BASELINE"))</x:f>
        <x:v>BASELINE</x:v>
      </x:c>
      <x:c r="T83" s="56" t="n">
        <x:f>IF(I83,0,IF(AND(M83,N83),IF(O83,R83,0),G83))</x:f>
        <x:v>0.00481</x:v>
      </x:c>
      <x:c r="U83" s="56" t="n">
        <x:f>G83*'Assumptions'!$B$6</x:f>
        <x:v>0.054353000000000005</x:v>
      </x:c>
      <x:c r="V83" s="56" t="n">
        <x:f>T83*'Assumptions'!$B$6</x:f>
        <x:v>0.054353000000000005</x:v>
      </x:c>
      <x:c r="W83" s="56" t="n">
        <x:f>V83-U83</x:f>
        <x:v>0</x:v>
      </x:c>
      <x:c r="X83" s="58" t="n">
        <x:f>X82*(1+U83)</x:f>
        <x:v>132.42577554277042</x:v>
      </x:c>
      <x:c r="Y83" s="58" t="n">
        <x:f>MAX(Y82,X83)</x:f>
        <x:v>309.6394159768338</x:v>
      </x:c>
      <x:c r="Z83" s="59" t="n">
        <x:f>X83/Y83-1</x:f>
        <x:v>-0.5723226155655904</x:v>
      </x:c>
      <x:c r="AA83" s="58" t="n">
        <x:f>AA82*(1+V83)</x:f>
        <x:v>1630.046958069583</x:v>
      </x:c>
      <x:c r="AB83" s="58" t="n">
        <x:f>MAX(AB82,AA83)</x:f>
        <x:v>1630.046958069583</x:v>
      </x:c>
      <x:c r="AC83" s="59" t="n">
        <x:f>AA83/AB83-1</x:f>
        <x:v>0</x:v>
      </x:c>
      <x:c r="AD83" s="60" t="n">
        <x:f>AA83-X83</x:f>
        <x:v>1497.6211825268126</x:v>
      </x:c>
      <x:c r="AE83" s="28" t="str">
        <x:v>Baseline trade unchanged.</x:v>
      </x:c>
    </x:row>
    <x:row r="84" ht="18" customHeight="1">
      <x:c r="A84" s="23" t="n">
        <x:v>80</x:v>
      </x:c>
      <x:c r="B84" s="53" t="n">
        <x:v>43759</x:v>
      </x:c>
      <x:c r="C84" s="53" t="n">
        <x:v>43761</x:v>
      </x:c>
      <x:c r="D84" s="23" t="str">
        <x:v>BH</x:v>
      </x:c>
      <x:c r="E84" s="54" t="n">
        <x:v>7904.46</x:v>
      </x:c>
      <x:c r="F84" s="54" t="n">
        <x:v>7872.84216</x:v>
      </x:c>
      <x:c r="G84" s="55" t="n">
        <x:v>-0.004</x:v>
      </x:c>
      <x:c r="H84" s="56" t="n">
        <x:f>SUM(T81:T83)</x:f>
        <x:v>0.008289999999999999</x:v>
      </x:c>
      <x:c r="I84" s="57" t="b">
        <x:f>AND(A84&gt;3,H84&lt;='Assumptions'!$B$7)</x:f>
        <x:v>0</x:v>
      </x:c>
      <x:c r="J84" s="55" t="n">
        <x:v>0.004830763117178893</x:v>
      </x:c>
      <x:c r="K84" s="55" t="n">
        <x:v>0.006664526764195378</x:v>
      </x:c>
      <x:c r="L84" s="55" t="n">
        <x:v>0.012392317087670301</x:v>
      </x:c>
      <x:c r="M84" s="57" t="b">
        <x:f>J84&gt;='Assumptions'!$B$8</x:f>
        <x:v>0</x:v>
      </x:c>
      <x:c r="N84" s="57" t="b">
        <x:f>AND(K84&lt;&gt;"",K84&lt;='Assumptions'!$B$9)</x:f>
        <x:v>0</x:v>
      </x:c>
      <x:c r="O84" s="57" t="b">
        <x:f>AND(P84&lt;&gt;"",ABS(L84)&lt;='Assumptions'!$B$10)</x:f>
        <x:v>0</x:v>
      </x:c>
      <x:c r="P84" s="53" t="n">
        <x:v>43760</x:v>
      </x:c>
      <x:c r="Q84" s="54" t="n">
        <x:v>7961.859</x:v>
      </x:c>
      <x:c r="R84" s="55" t="n">
        <x:v>-0.01118</x:v>
      </x:c>
      <x:c r="S84" s="57" t="str">
        <x:f>IF(I84,"DAMAGE SKIP",IF(AND(M84,N84),IF(O84,"TUESDAY RE-ENTRY","GAP/MOM SKIP"),"BASELINE"))</x:f>
        <x:v>BASELINE</x:v>
      </x:c>
      <x:c r="T84" s="56" t="n">
        <x:f>IF(I84,0,IF(AND(M84,N84),IF(O84,R84,0),G84))</x:f>
        <x:v>-0.004</x:v>
      </x:c>
      <x:c r="U84" s="56" t="n">
        <x:f>G84*'Assumptions'!$B$6</x:f>
        <x:v>-0.045200000000000004</x:v>
      </x:c>
      <x:c r="V84" s="56" t="n">
        <x:f>T84*'Assumptions'!$B$6</x:f>
        <x:v>-0.045200000000000004</x:v>
      </x:c>
      <x:c r="W84" s="56" t="n">
        <x:f>V84-U84</x:f>
        <x:v>0</x:v>
      </x:c>
      <x:c r="X84" s="58" t="n">
        <x:f>X83*(1+U84)</x:f>
        <x:v>126.4401304882372</x:v>
      </x:c>
      <x:c r="Y84" s="58" t="n">
        <x:f>MAX(Y83,X84)</x:f>
        <x:v>309.6394159768338</x:v>
      </x:c>
      <x:c r="Z84" s="59" t="n">
        <x:f>X84/Y84-1</x:f>
        <x:v>-0.5916536333420257</x:v>
      </x:c>
      <x:c r="AA84" s="58" t="n">
        <x:f>AA83*(1+V84)</x:f>
        <x:v>1556.3688355648378</x:v>
      </x:c>
      <x:c r="AB84" s="58" t="n">
        <x:f>MAX(AB83,AA84)</x:f>
        <x:v>1630.046958069583</x:v>
      </x:c>
      <x:c r="AC84" s="59" t="n">
        <x:f>AA84/AB84-1</x:f>
        <x:v>-0.04520000000000002</x:v>
      </x:c>
      <x:c r="AD84" s="60" t="n">
        <x:f>AA84-X84</x:f>
        <x:v>1429.9287050766006</x:v>
      </x:c>
      <x:c r="AE84" s="28" t="str">
        <x:v>Baseline trade unchanged.</x:v>
      </x:c>
    </x:row>
    <x:row r="85" ht="18" customHeight="1">
      <x:c r="A85" s="23" t="n">
        <x:v>81</x:v>
      </x:c>
      <x:c r="B85" s="53" t="n">
        <x:v>43766</x:v>
      </x:c>
      <x:c r="C85" s="53" t="n">
        <x:v>43770</x:v>
      </x:c>
      <x:c r="D85" s="23" t="str">
        <x:v>TO</x:v>
      </x:c>
      <x:c r="E85" s="54" t="n">
        <x:v>8065.459</x:v>
      </x:c>
      <x:c r="F85" s="54" t="n">
        <x:v>8159.67</x:v>
      </x:c>
      <x:c r="G85" s="55" t="n">
        <x:v>0.01168</x:v>
      </x:c>
      <x:c r="H85" s="56" t="n">
        <x:f>SUM(T82:T84)</x:f>
        <x:v>-0.0029100000000000003</x:v>
      </x:c>
      <x:c r="I85" s="57" t="b">
        <x:f>AND(A85&gt;3,H85&lt;='Assumptions'!$B$7)</x:f>
        <x:v>0</x:v>
      </x:c>
      <x:c r="J85" s="55" t="n">
        <x:v>0.004694828078034119</x:v>
      </x:c>
      <x:c r="K85" s="55" t="n">
        <x:v>0.04603189550593534</x:v>
      </x:c>
      <x:c r="L85" s="55" t="n">
        <x:v>0.00826109290022603</x:v>
      </x:c>
      <x:c r="M85" s="57" t="b">
        <x:f>J85&gt;='Assumptions'!$B$8</x:f>
        <x:v>0</x:v>
      </x:c>
      <x:c r="N85" s="57" t="b">
        <x:f>AND(K85&lt;&gt;"",K85&lt;='Assumptions'!$B$9)</x:f>
        <x:v>0</x:v>
      </x:c>
      <x:c r="O85" s="57" t="b">
        <x:f>AND(P85&lt;&gt;"",ABS(L85)&lt;='Assumptions'!$B$10)</x:f>
        <x:v>0</x:v>
      </x:c>
      <x:c r="P85" s="53" t="n">
        <x:v>43767</x:v>
      </x:c>
      <x:c r="Q85" s="54" t="n">
        <x:v>8093.359</x:v>
      </x:c>
      <x:c r="R85" s="55" t="n">
        <x:v>0.00819</x:v>
      </x:c>
      <x:c r="S85" s="57" t="str">
        <x:f>IF(I85,"DAMAGE SKIP",IF(AND(M85,N85),IF(O85,"TUESDAY RE-ENTRY","GAP/MOM SKIP"),"BASELINE"))</x:f>
        <x:v>BASELINE</x:v>
      </x:c>
      <x:c r="T85" s="56" t="n">
        <x:f>IF(I85,0,IF(AND(M85,N85),IF(O85,R85,0),G85))</x:f>
        <x:v>0.01168</x:v>
      </x:c>
      <x:c r="U85" s="56" t="n">
        <x:f>G85*'Assumptions'!$B$6</x:f>
        <x:v>0.131984</x:v>
      </x:c>
      <x:c r="V85" s="56" t="n">
        <x:f>T85*'Assumptions'!$B$6</x:f>
        <x:v>0.131984</x:v>
      </x:c>
      <x:c r="W85" s="56" t="n">
        <x:f>V85-U85</x:f>
        <x:v>0</x:v>
      </x:c>
      <x:c r="X85" s="58" t="n">
        <x:f>X84*(1+U85)</x:f>
        <x:v>143.12820467059672</x:v>
      </x:c>
      <x:c r="Y85" s="58" t="n">
        <x:f>MAX(Y84,X85)</x:f>
        <x:v>309.6394159768338</x:v>
      </x:c>
      <x:c r="Z85" s="59" t="n">
        <x:f>X85/Y85-1</x:f>
        <x:v>-0.5377584464850396</x:v>
      </x:c>
      <x:c r="AA85" s="58" t="n">
        <x:f>AA84*(1+V85)</x:f>
        <x:v>1761.7846199580276</x:v>
      </x:c>
      <x:c r="AB85" s="58" t="n">
        <x:f>MAX(AB84,AA85)</x:f>
        <x:v>1761.7846199580276</x:v>
      </x:c>
      <x:c r="AC85" s="59" t="n">
        <x:f>AA85/AB85-1</x:f>
        <x:v>0</x:v>
      </x:c>
      <x:c r="AD85" s="60" t="n">
        <x:f>AA85-X85</x:f>
        <x:v>1618.656415287431</x:v>
      </x:c>
      <x:c r="AE85" s="28" t="str">
        <x:v>Baseline trade unchanged.</x:v>
      </x:c>
    </x:row>
    <x:row r="86" ht="18" customHeight="1">
      <x:c r="A86" s="23" t="n">
        <x:v>82</x:v>
      </x:c>
      <x:c r="B86" s="53" t="n">
        <x:v>43773</x:v>
      </x:c>
      <x:c r="C86" s="53" t="n">
        <x:v>43776</x:v>
      </x:c>
      <x:c r="D86" s="23" t="str">
        <x:v>TSL1PRE</x:v>
      </x:c>
      <x:c r="E86" s="54" t="n">
        <x:v>8214.37</x:v>
      </x:c>
      <x:c r="F86" s="54" t="n">
        <x:v>8181.27</x:v>
      </x:c>
      <x:c r="G86" s="55" t="n">
        <x:v>-0.00402</x:v>
      </x:c>
      <x:c r="H86" s="56" t="n">
        <x:f>SUM(T83:T85)</x:f>
        <x:v>0.01249</x:v>
      </x:c>
      <x:c r="I86" s="57" t="b">
        <x:f>AND(A86&gt;3,H86&lt;='Assumptions'!$B$7)</x:f>
        <x:v>0</x:v>
      </x:c>
      <x:c r="J86" s="55" t="n">
        <x:v>0.0067037024781639865</x:v>
      </x:c>
      <x:c r="K86" s="55" t="n">
        <x:v>0.05321057627416237</x:v>
      </x:c>
      <x:c r="L86" s="55" t="n">
        <x:v>0.007460081790002793</x:v>
      </x:c>
      <x:c r="M86" s="57" t="b">
        <x:f>J86&gt;='Assumptions'!$B$8</x:f>
        <x:v>0</x:v>
      </x:c>
      <x:c r="N86" s="57" t="b">
        <x:f>AND(K86&lt;&gt;"",K86&lt;='Assumptions'!$B$9)</x:f>
        <x:v>0</x:v>
      </x:c>
      <x:c r="O86" s="57" t="b">
        <x:f>AND(P86&lt;&gt;"",ABS(L86)&lt;='Assumptions'!$B$10)</x:f>
        <x:v>0</x:v>
      </x:c>
      <x:c r="P86" s="53" t="n">
        <x:v>43774</x:v>
      </x:c>
      <x:c r="Q86" s="54" t="n">
        <x:v>8222.559</x:v>
      </x:c>
      <x:c r="R86" s="55" t="n">
        <x:v>-0.00502</x:v>
      </x:c>
      <x:c r="S86" s="57" t="str">
        <x:f>IF(I86,"DAMAGE SKIP",IF(AND(M86,N86),IF(O86,"TUESDAY RE-ENTRY","GAP/MOM SKIP"),"BASELINE"))</x:f>
        <x:v>BASELINE</x:v>
      </x:c>
      <x:c r="T86" s="56" t="n">
        <x:f>IF(I86,0,IF(AND(M86,N86),IF(O86,R86,0),G86))</x:f>
        <x:v>-0.00402</x:v>
      </x:c>
      <x:c r="U86" s="56" t="n">
        <x:f>G86*'Assumptions'!$B$6</x:f>
        <x:v>-0.045426</x:v>
      </x:c>
      <x:c r="V86" s="56" t="n">
        <x:f>T86*'Assumptions'!$B$6</x:f>
        <x:v>-0.045426</x:v>
      </x:c>
      <x:c r="W86" s="56" t="n">
        <x:f>V86-U86</x:f>
        <x:v>0</x:v>
      </x:c>
      <x:c r="X86" s="58" t="n">
        <x:f>X85*(1+U86)</x:f>
        <x:v>136.6264628452302</x:v>
      </x:c>
      <x:c r="Y86" s="58" t="n">
        <x:f>MAX(Y85,X86)</x:f>
        <x:v>309.6394159768338</x:v>
      </x:c>
      <x:c r="Z86" s="59" t="n">
        <x:f>X86/Y86-1</x:f>
        <x:v>-0.5587562312950101</x:v>
      </x:c>
      <x:c r="AA86" s="58" t="n">
        <x:f>AA85*(1+V86)</x:f>
        <x:v>1681.7537918118144</x:v>
      </x:c>
      <x:c r="AB86" s="58" t="n">
        <x:f>MAX(AB85,AA86)</x:f>
        <x:v>1761.7846199580276</x:v>
      </x:c>
      <x:c r="AC86" s="59" t="n">
        <x:f>AA86/AB86-1</x:f>
        <x:v>-0.045425999999999966</x:v>
      </x:c>
      <x:c r="AD86" s="60" t="n">
        <x:f>AA86-X86</x:f>
        <x:v>1545.1273289665842</x:v>
      </x:c>
      <x:c r="AE86" s="28" t="str">
        <x:v>Baseline trade unchanged.</x:v>
      </x:c>
    </x:row>
    <x:row r="87" ht="18" customHeight="1">
      <x:c r="A87" s="23" t="n">
        <x:v>83</x:v>
      </x:c>
      <x:c r="B87" s="53" t="n">
        <x:v>43780</x:v>
      </x:c>
      <x:c r="C87" s="53" t="n">
        <x:v>43784</x:v>
      </x:c>
      <x:c r="D87" s="23" t="str">
        <x:v>TO</x:v>
      </x:c>
      <x:c r="E87" s="54" t="n">
        <x:v>8211.86</x:v>
      </x:c>
      <x:c r="F87" s="54" t="n">
        <x:v>8312.559</x:v>
      </x:c>
      <x:c r="G87" s="55" t="n">
        <x:v>0.01226</x:v>
      </x:c>
      <x:c r="H87" s="56" t="n">
        <x:f>SUM(T84:T86)</x:f>
        <x:v>0.003659999999999999</x:v>
      </x:c>
      <x:c r="I87" s="57" t="b">
        <x:f>AND(A87&gt;3,H87&lt;='Assumptions'!$B$7)</x:f>
        <x:v>0</x:v>
      </x:c>
      <x:c r="J87" s="55" t="n">
        <x:v>-0.005172898373747237</x:v>
      </x:c>
      <x:c r="K87" s="55" t="n">
        <x:v>0.05302902989727065</x:v>
      </x:c>
      <x:c r="L87" s="55" t="n">
        <x:v>-0.0004890680422350302</x:v>
      </x:c>
      <x:c r="M87" s="57" t="b">
        <x:f>J87&gt;='Assumptions'!$B$8</x:f>
        <x:v>0</x:v>
      </x:c>
      <x:c r="N87" s="57" t="b">
        <x:f>AND(K87&lt;&gt;"",K87&lt;='Assumptions'!$B$9)</x:f>
        <x:v>0</x:v>
      </x:c>
      <x:c r="O87" s="57" t="b">
        <x:f>AND(P87&lt;&gt;"",ABS(L87)&lt;='Assumptions'!$B$10)</x:f>
        <x:v>1</x:v>
      </x:c>
      <x:c r="P87" s="53" t="n">
        <x:v>43781</x:v>
      </x:c>
      <x:c r="Q87" s="54" t="n">
        <x:v>8247.359</x:v>
      </x:c>
      <x:c r="R87" s="55" t="n">
        <x:v>0.0079</x:v>
      </x:c>
      <x:c r="S87" s="57" t="str">
        <x:f>IF(I87,"DAMAGE SKIP",IF(AND(M87,N87),IF(O87,"TUESDAY RE-ENTRY","GAP/MOM SKIP"),"BASELINE"))</x:f>
        <x:v>BASELINE</x:v>
      </x:c>
      <x:c r="T87" s="56" t="n">
        <x:f>IF(I87,0,IF(AND(M87,N87),IF(O87,R87,0),G87))</x:f>
        <x:v>0.01226</x:v>
      </x:c>
      <x:c r="U87" s="56" t="n">
        <x:f>G87*'Assumptions'!$B$6</x:f>
        <x:v>0.13853800000000002</x:v>
      </x:c>
      <x:c r="V87" s="56" t="n">
        <x:f>T87*'Assumptions'!$B$6</x:f>
        <x:v>0.13853800000000002</x:v>
      </x:c>
      <x:c r="W87" s="56" t="n">
        <x:f>V87-U87</x:f>
        <x:v>0</x:v>
      </x:c>
      <x:c r="X87" s="58" t="n">
        <x:f>X86*(1+U87)</x:f>
        <x:v>155.55441975488273</x:v>
      </x:c>
      <x:c r="Y87" s="58" t="n">
        <x:f>MAX(Y86,X87)</x:f>
        <x:v>309.6394159768338</x:v>
      </x:c>
      <x:c r="Z87" s="59" t="n">
        <x:f>X87/Y87-1</x:f>
        <x:v>-0.4976272020661582</x:v>
      </x:c>
      <x:c r="AA87" s="58" t="n">
        <x:f>AA86*(1+V87)</x:f>
        <x:v>1914.7405986218396</x:v>
      </x:c>
      <x:c r="AB87" s="58" t="n">
        <x:f>MAX(AB86,AA87)</x:f>
        <x:v>1914.7405986218396</x:v>
      </x:c>
      <x:c r="AC87" s="59" t="n">
        <x:f>AA87/AB87-1</x:f>
        <x:v>0</x:v>
      </x:c>
      <x:c r="AD87" s="60" t="n">
        <x:f>AA87-X87</x:f>
        <x:v>1759.1861788669569</x:v>
      </x:c>
      <x:c r="AE87" s="28" t="str">
        <x:v>Baseline trade unchanged.</x:v>
      </x:c>
    </x:row>
    <x:row r="88" ht="18" customHeight="1">
      <x:c r="A88" s="23" t="n">
        <x:v>84</x:v>
      </x:c>
      <x:c r="B88" s="53" t="n">
        <x:v>43787</x:v>
      </x:c>
      <x:c r="C88" s="53" t="n">
        <x:v>43790</x:v>
      </x:c>
      <x:c r="D88" s="23" t="str">
        <x:v>TSL1PRE</x:v>
      </x:c>
      <x:c r="E88" s="54" t="n">
        <x:v>8306.359</x:v>
      </x:c>
      <x:c r="F88" s="54" t="n">
        <x:v>8234.359</x:v>
      </x:c>
      <x:c r="G88" s="55" t="n">
        <x:v>-0.00866</x:v>
      </x:c>
      <x:c r="H88" s="56" t="n">
        <x:f>SUM(T85:T87)</x:f>
        <x:v>0.01992</x:v>
      </x:c>
      <x:c r="I88" s="57" t="b">
        <x:f>AND(A88&gt;3,H88&lt;='Assumptions'!$B$7)</x:f>
        <x:v>0</x:v>
      </x:c>
      <x:c r="J88" s="55" t="n">
        <x:v>-0.000745859367734858</x:v>
      </x:c>
      <x:c r="K88" s="55" t="n">
        <x:v>0.05864868078299135</x:v>
      </x:c>
      <x:c r="L88" s="55" t="n">
        <x:v>0.004405623679078596</x:v>
      </x:c>
      <x:c r="M88" s="57" t="b">
        <x:f>J88&gt;='Assumptions'!$B$8</x:f>
        <x:v>0</x:v>
      </x:c>
      <x:c r="N88" s="57" t="b">
        <x:f>AND(K88&lt;&gt;"",K88&lt;='Assumptions'!$B$9)</x:f>
        <x:v>0</x:v>
      </x:c>
      <x:c r="O88" s="57" t="b">
        <x:f>AND(P88&lt;&gt;"",ABS(L88)&lt;='Assumptions'!$B$10)</x:f>
        <x:v>1</x:v>
      </x:c>
      <x:c r="P88" s="53" t="n">
        <x:v>43788</x:v>
      </x:c>
      <x:c r="Q88" s="54" t="n">
        <x:v>8357.06</x:v>
      </x:c>
      <x:c r="R88" s="55" t="n">
        <x:v>-0.01468</x:v>
      </x:c>
      <x:c r="S88" s="57" t="str">
        <x:f>IF(I88,"DAMAGE SKIP",IF(AND(M88,N88),IF(O88,"TUESDAY RE-ENTRY","GAP/MOM SKIP"),"BASELINE"))</x:f>
        <x:v>BASELINE</x:v>
      </x:c>
      <x:c r="T88" s="56" t="n">
        <x:f>IF(I88,0,IF(AND(M88,N88),IF(O88,R88,0),G88))</x:f>
        <x:v>-0.00866</x:v>
      </x:c>
      <x:c r="U88" s="56" t="n">
        <x:f>G88*'Assumptions'!$B$6</x:f>
        <x:v>-0.097858</x:v>
      </x:c>
      <x:c r="V88" s="56" t="n">
        <x:f>T88*'Assumptions'!$B$6</x:f>
        <x:v>-0.097858</x:v>
      </x:c>
      <x:c r="W88" s="56" t="n">
        <x:f>V88-U88</x:f>
        <x:v>0</x:v>
      </x:c>
      <x:c r="X88" s="58" t="n">
        <x:f>X87*(1+U88)</x:f>
        <x:v>140.33217534650942</x:v>
      </x:c>
      <x:c r="Y88" s="58" t="n">
        <x:f>MAX(Y87,X88)</x:f>
        <x:v>309.6394159768338</x:v>
      </x:c>
      <x:c r="Z88" s="59" t="n">
        <x:f>X88/Y88-1</x:f>
        <x:v>-0.546788399326368</x:v>
      </x:c>
      <x:c r="AA88" s="58" t="n">
        <x:f>AA87*(1+V88)</x:f>
        <x:v>1727.3679131219037</x:v>
      </x:c>
      <x:c r="AB88" s="58" t="n">
        <x:f>MAX(AB87,AA88)</x:f>
        <x:v>1914.7405986218396</x:v>
      </x:c>
      <x:c r="AC88" s="59" t="n">
        <x:f>AA88/AB88-1</x:f>
        <x:v>-0.09785799999999989</x:v>
      </x:c>
      <x:c r="AD88" s="60" t="n">
        <x:f>AA88-X88</x:f>
        <x:v>1587.0357377753944</x:v>
      </x:c>
      <x:c r="AE88" s="28" t="str">
        <x:v>Baseline trade unchanged.</x:v>
      </x:c>
    </x:row>
    <x:row r="89" ht="18" customHeight="1">
      <x:c r="A89" s="23" t="n">
        <x:v>85</x:v>
      </x:c>
      <x:c r="B89" s="53" t="n">
        <x:v>43794</x:v>
      </x:c>
      <x:c r="C89" s="53" t="n">
        <x:v>43794</x:v>
      </x:c>
      <x:c r="D89" s="23" t="str">
        <x:v>CH</x:v>
      </x:c>
      <x:c r="E89" s="54" t="n">
        <x:v>8305.27</x:v>
      </x:c>
      <x:c r="F89" s="54" t="n">
        <x:v>8367.97</x:v>
      </x:c>
      <x:c r="G89" s="55" t="n">
        <x:v>0.00754</x:v>
      </x:c>
      <x:c r="H89" s="56" t="n">
        <x:f>SUM(T86:T88)</x:f>
        <x:v>-0.0004199999999999985</x:v>
      </x:c>
      <x:c r="I89" s="57" t="b">
        <x:f>AND(A89&gt;3,H89&lt;='Assumptions'!$B$7)</x:f>
        <x:v>0</x:v>
      </x:c>
      <x:c r="J89" s="55" t="n">
        <x:v>0.003784161393093566</x:v>
      </x:c>
      <x:c r="K89" s="55" t="n">
        <x:v>0.03177872980401086</x:v>
      </x:c>
      <x:c r="L89" s="55" t="n">
        <x:v>0.012220408749833211</x:v>
      </x:c>
      <x:c r="M89" s="57" t="b">
        <x:f>J89&gt;='Assumptions'!$B$8</x:f>
        <x:v>0</x:v>
      </x:c>
      <x:c r="N89" s="57" t="b">
        <x:f>AND(K89&lt;&gt;"",K89&lt;='Assumptions'!$B$9)</x:f>
        <x:v>0</x:v>
      </x:c>
      <x:c r="O89" s="57" t="b">
        <x:f>AND(P89&lt;&gt;"",ABS(L89)&lt;='Assumptions'!$B$10)</x:f>
        <x:v>0</x:v>
      </x:c>
      <x:c r="P89" s="53" t="n">
        <x:v>43795</x:v>
      </x:c>
      <x:c r="Q89" s="54" t="n">
        <x:v>8374.069</x:v>
      </x:c>
      <x:c r="R89" s="55" t="n">
        <x:v>-0.00072</x:v>
      </x:c>
      <x:c r="S89" s="57" t="str">
        <x:f>IF(I89,"DAMAGE SKIP",IF(AND(M89,N89),IF(O89,"TUESDAY RE-ENTRY","GAP/MOM SKIP"),"BASELINE"))</x:f>
        <x:v>BASELINE</x:v>
      </x:c>
      <x:c r="T89" s="56" t="n">
        <x:f>IF(I89,0,IF(AND(M89,N89),IF(O89,R89,0),G89))</x:f>
        <x:v>0.00754</x:v>
      </x:c>
      <x:c r="U89" s="56" t="n">
        <x:f>G89*'Assumptions'!$B$6</x:f>
        <x:v>0.085202</x:v>
      </x:c>
      <x:c r="V89" s="56" t="n">
        <x:f>T89*'Assumptions'!$B$6</x:f>
        <x:v>0.085202</x:v>
      </x:c>
      <x:c r="W89" s="56" t="n">
        <x:f>V89-U89</x:f>
        <x:v>0</x:v>
      </x:c>
      <x:c r="X89" s="58" t="n">
        <x:f>X88*(1+U89)</x:f>
        <x:v>152.28875735038272</x:v>
      </x:c>
      <x:c r="Y89" s="58" t="n">
        <x:f>MAX(Y88,X89)</x:f>
        <x:v>309.6394159768338</x:v>
      </x:c>
      <x:c r="Z89" s="59" t="n">
        <x:f>X89/Y89-1</x:f>
        <x:v>-0.5081738645257732</x:v>
      </x:c>
      <x:c r="AA89" s="58" t="n">
        <x:f>AA88*(1+V89)</x:f>
        <x:v>1874.5431140557162</x:v>
      </x:c>
      <x:c r="AB89" s="58" t="n">
        <x:f>MAX(AB88,AA89)</x:f>
        <x:v>1914.7405986218396</x:v>
      </x:c>
      <x:c r="AC89" s="59" t="n">
        <x:f>AA89/AB89-1</x:f>
        <x:v>-0.020993697315999982</x:v>
      </x:c>
      <x:c r="AD89" s="60" t="n">
        <x:f>AA89-X89</x:f>
        <x:v>1722.2543567053335</x:v>
      </x:c>
      <x:c r="AE89" s="28" t="str">
        <x:v>Baseline trade unchanged.</x:v>
      </x:c>
    </x:row>
    <x:row r="90" ht="18" customHeight="1">
      <x:c r="A90" s="23" t="n">
        <x:v>86</x:v>
      </x:c>
      <x:c r="B90" s="53" t="n">
        <x:v>43801</x:v>
      </x:c>
      <x:c r="C90" s="53" t="n">
        <x:v>43804</x:v>
      </x:c>
      <x:c r="D90" s="23" t="str">
        <x:v>TSL1PRE</x:v>
      </x:c>
      <x:c r="E90" s="54" t="n">
        <x:v>8405.559</x:v>
      </x:c>
      <x:c r="F90" s="54" t="n">
        <x:v>8290.869</x:v>
      </x:c>
      <x:c r="G90" s="55" t="n">
        <x:v>-0.01364</x:v>
      </x:c>
      <x:c r="H90" s="56" t="n">
        <x:f>SUM(T87:T89)</x:f>
        <x:v>0.01114</x:v>
      </x:c>
      <x:c r="I90" s="57" t="b">
        <x:f>AND(A90&gt;3,H90&lt;='Assumptions'!$B$7)</x:f>
        <x:v>0</x:v>
      </x:c>
      <x:c r="J90" s="55" t="n">
        <x:v>-0.0014979504450434167</x:v>
      </x:c>
      <x:c r="K90" s="55" t="n">
        <x:v>0.04065938109430767</x:v>
      </x:c>
      <x:c r="L90" s="55" t="n">
        <x:v>-0.02332124420378434</x:v>
      </x:c>
      <x:c r="M90" s="57" t="b">
        <x:f>J90&gt;='Assumptions'!$B$8</x:f>
        <x:v>0</x:v>
      </x:c>
      <x:c r="N90" s="57" t="b">
        <x:f>AND(K90&lt;&gt;"",K90&lt;='Assumptions'!$B$9)</x:f>
        <x:v>0</x:v>
      </x:c>
      <x:c r="O90" s="57" t="b">
        <x:f>AND(P90&lt;&gt;"",ABS(L90)&lt;='Assumptions'!$B$10)</x:f>
        <x:v>0</x:v>
      </x:c>
      <x:c r="P90" s="53" t="n">
        <x:v>43802</x:v>
      </x:c>
      <x:c r="Q90" s="54" t="n">
        <x:v>8206.569</x:v>
      </x:c>
      <x:c r="R90" s="55" t="n">
        <x:v>0.01027</x:v>
      </x:c>
      <x:c r="S90" s="57" t="str">
        <x:f>IF(I90,"DAMAGE SKIP",IF(AND(M90,N90),IF(O90,"TUESDAY RE-ENTRY","GAP/MOM SKIP"),"BASELINE"))</x:f>
        <x:v>BASELINE</x:v>
      </x:c>
      <x:c r="T90" s="56" t="n">
        <x:f>IF(I90,0,IF(AND(M90,N90),IF(O90,R90,0),G90))</x:f>
        <x:v>-0.01364</x:v>
      </x:c>
      <x:c r="U90" s="56" t="n">
        <x:f>G90*'Assumptions'!$B$6</x:f>
        <x:v>-0.154132</x:v>
      </x:c>
      <x:c r="V90" s="56" t="n">
        <x:f>T90*'Assumptions'!$B$6</x:f>
        <x:v>-0.154132</x:v>
      </x:c>
      <x:c r="W90" s="56" t="n">
        <x:f>V90-U90</x:f>
        <x:v>0</x:v>
      </x:c>
      <x:c r="X90" s="58" t="n">
        <x:f>X89*(1+U90)</x:f>
        <x:v>128.81618660245354</x:v>
      </x:c>
      <x:c r="Y90" s="58" t="n">
        <x:f>MAX(Y89,X90)</x:f>
        <x:v>309.6394159768338</x:v>
      </x:c>
      <x:c r="Z90" s="59" t="n">
        <x:f>X90/Y90-1</x:f>
        <x:v>-0.5839800104386867</x:v>
      </x:c>
      <x:c r="AA90" s="58" t="n">
        <x:f>AA89*(1+V90)</x:f>
        <x:v>1585.6160348000806</x:v>
      </x:c>
      <x:c r="AB90" s="58" t="n">
        <x:f>MAX(AB89,AA90)</x:f>
        <x:v>1914.7405986218396</x:v>
      </x:c>
      <x:c r="AC90" s="59" t="n">
        <x:f>AA90/AB90-1</x:f>
        <x:v>-0.17188989676129018</x:v>
      </x:c>
      <x:c r="AD90" s="60" t="n">
        <x:f>AA90-X90</x:f>
        <x:v>1456.799848197627</x:v>
      </x:c>
      <x:c r="AE90" s="28" t="str">
        <x:v>Baseline trade unchanged.</x:v>
      </x:c>
    </x:row>
    <x:row r="91" ht="18" customHeight="1">
      <x:c r="A91" s="23" t="n">
        <x:v>87</x:v>
      </x:c>
      <x:c r="B91" s="53" t="n">
        <x:v>43808</x:v>
      </x:c>
      <x:c r="C91" s="53" t="n">
        <x:v>43812</x:v>
      </x:c>
      <x:c r="D91" s="23" t="str">
        <x:v>TO</x:v>
      </x:c>
      <x:c r="E91" s="54" t="n">
        <x:v>8381.669</x:v>
      </x:c>
      <x:c r="F91" s="54" t="n">
        <x:v>8488.17</x:v>
      </x:c>
      <x:c r="G91" s="55" t="n">
        <x:v>0.0127</x:v>
      </x:c>
      <x:c r="H91" s="56" t="n">
        <x:f>SUM(T88:T90)</x:f>
        <x:v>-0.014759999999999999</x:v>
      </x:c>
      <x:c r="I91" s="57" t="b">
        <x:f>AND(A91&gt;3,H91&lt;='Assumptions'!$B$7)</x:f>
        <x:v>0</x:v>
      </x:c>
      <x:c r="J91" s="55" t="n">
        <x:v>-0.0014761629056737613</x:v>
      </x:c>
      <x:c r="K91" s="55" t="n">
        <x:v>0.02280515855581111</x:v>
      </x:c>
      <x:c r="L91" s="55" t="n">
        <x:v>-0.004073237415161968</x:v>
      </x:c>
      <x:c r="M91" s="57" t="b">
        <x:f>J91&gt;='Assumptions'!$B$8</x:f>
        <x:v>0</x:v>
      </x:c>
      <x:c r="N91" s="57" t="b">
        <x:f>AND(K91&lt;&gt;"",K91&lt;='Assumptions'!$B$9)</x:f>
        <x:v>0</x:v>
      </x:c>
      <x:c r="O91" s="57" t="b">
        <x:f>AND(P91&lt;&gt;"",ABS(L91)&lt;='Assumptions'!$B$10)</x:f>
        <x:v>1</x:v>
      </x:c>
      <x:c r="P91" s="53" t="n">
        <x:v>43809</x:v>
      </x:c>
      <x:c r="Q91" s="54" t="n">
        <x:v>8363.07</x:v>
      </x:c>
      <x:c r="R91" s="55" t="n">
        <x:v>0.01495</x:v>
      </x:c>
      <x:c r="S91" s="57" t="str">
        <x:f>IF(I91,"DAMAGE SKIP",IF(AND(M91,N91),IF(O91,"TUESDAY RE-ENTRY","GAP/MOM SKIP"),"BASELINE"))</x:f>
        <x:v>BASELINE</x:v>
      </x:c>
      <x:c r="T91" s="56" t="n">
        <x:f>IF(I91,0,IF(AND(M91,N91),IF(O91,R91,0),G91))</x:f>
        <x:v>0.0127</x:v>
      </x:c>
      <x:c r="U91" s="56" t="n">
        <x:f>G91*'Assumptions'!$B$6</x:f>
        <x:v>0.14351</x:v>
      </x:c>
      <x:c r="V91" s="56" t="n">
        <x:f>T91*'Assumptions'!$B$6</x:f>
        <x:v>0.14351</x:v>
      </x:c>
      <x:c r="W91" s="56" t="n">
        <x:f>V91-U91</x:f>
        <x:v>0</x:v>
      </x:c>
      <x:c r="X91" s="58" t="n">
        <x:f>X90*(1+U91)</x:f>
        <x:v>147.30259754177166</x:v>
      </x:c>
      <x:c r="Y91" s="58" t="n">
        <x:f>MAX(Y90,X91)</x:f>
        <x:v>309.6394159768338</x:v>
      </x:c>
      <x:c r="Z91" s="59" t="n">
        <x:f>X91/Y91-1</x:f>
        <x:v>-0.5242769817367425</x:v>
      </x:c>
      <x:c r="AA91" s="58" t="n">
        <x:f>AA90*(1+V91)</x:f>
        <x:v>1813.16779195424</x:v>
      </x:c>
      <x:c r="AB91" s="58" t="n">
        <x:f>MAX(AB90,AA91)</x:f>
        <x:v>1914.7405986218396</x:v>
      </x:c>
      <x:c r="AC91" s="59" t="n">
        <x:f>AA91/AB91-1</x:f>
        <x:v>-0.053047815845503</x:v>
      </x:c>
      <x:c r="AD91" s="60" t="n">
        <x:f>AA91-X91</x:f>
        <x:v>1665.8651944124686</x:v>
      </x:c>
      <x:c r="AE91" s="28" t="str">
        <x:v>Baseline trade unchanged.</x:v>
      </x:c>
    </x:row>
    <x:row r="92" ht="18" customHeight="1">
      <x:c r="A92" s="23" t="n">
        <x:v>88</x:v>
      </x:c>
      <x:c r="B92" s="53" t="n">
        <x:v>43815</x:v>
      </x:c>
      <x:c r="C92" s="53" t="n">
        <x:v>43819</x:v>
      </x:c>
      <x:c r="D92" s="23" t="str">
        <x:v>TO</x:v>
      </x:c>
      <x:c r="E92" s="54" t="n">
        <x:v>8541.269</x:v>
      </x:c>
      <x:c r="F92" s="54" t="n">
        <x:v>8682.07</x:v>
      </x:c>
      <x:c r="G92" s="55" t="n">
        <x:v>0.01648</x:v>
      </x:c>
      <x:c r="H92" s="56" t="n">
        <x:f>SUM(T89:T91)</x:f>
        <x:v>0.0066</x:v>
      </x:c>
      <x:c r="I92" s="57" t="b">
        <x:f>AND(A92&gt;3,H92&lt;='Assumptions'!$B$7)</x:f>
        <x:v>0</x:v>
      </x:c>
      <x:c r="J92" s="55" t="n">
        <x:v>0.0062556475659654165</x:v>
      </x:c>
      <x:c r="K92" s="55" t="n">
        <x:v>0.028537779514924644</x:v>
      </x:c>
      <x:c r="L92" s="55" t="n">
        <x:v>0.011185391488702123</x:v>
      </x:c>
      <x:c r="M92" s="57" t="b">
        <x:f>J92&gt;='Assumptions'!$B$8</x:f>
        <x:v>0</x:v>
      </x:c>
      <x:c r="N92" s="57" t="b">
        <x:f>AND(K92&lt;&gt;"",K92&lt;='Assumptions'!$B$9)</x:f>
        <x:v>0</x:v>
      </x:c>
      <x:c r="O92" s="57" t="b">
        <x:f>AND(P92&lt;&gt;"",ABS(L92)&lt;='Assumptions'!$B$10)</x:f>
        <x:v>0</x:v>
      </x:c>
      <x:c r="P92" s="53" t="n">
        <x:v>43816</x:v>
      </x:c>
      <x:c r="Q92" s="54" t="n">
        <x:v>8583.859</x:v>
      </x:c>
      <x:c r="R92" s="55" t="n">
        <x:v>0.01144</x:v>
      </x:c>
      <x:c r="S92" s="57" t="str">
        <x:f>IF(I92,"DAMAGE SKIP",IF(AND(M92,N92),IF(O92,"TUESDAY RE-ENTRY","GAP/MOM SKIP"),"BASELINE"))</x:f>
        <x:v>BASELINE</x:v>
      </x:c>
      <x:c r="T92" s="56" t="n">
        <x:f>IF(I92,0,IF(AND(M92,N92),IF(O92,R92,0),G92))</x:f>
        <x:v>0.01648</x:v>
      </x:c>
      <x:c r="U92" s="56" t="n">
        <x:f>G92*'Assumptions'!$B$6</x:f>
        <x:v>0.18622400000000003</x:v>
      </x:c>
      <x:c r="V92" s="56" t="n">
        <x:f>T92*'Assumptions'!$B$6</x:f>
        <x:v>0.18622400000000003</x:v>
      </x:c>
      <x:c r="W92" s="56" t="n">
        <x:f>V92-U92</x:f>
        <x:v>0</x:v>
      </x:c>
      <x:c r="X92" s="58" t="n">
        <x:f>X91*(1+U92)</x:f>
        <x:v>174.73387646639054</x:v>
      </x:c>
      <x:c r="Y92" s="58" t="n">
        <x:f>MAX(Y91,X92)</x:f>
        <x:v>309.6394159768338</x:v>
      </x:c>
      <x:c r="Z92" s="59" t="n">
        <x:f>X92/Y92-1</x:f>
        <x:v>-0.43568593838368574</x:v>
      </x:c>
      <x:c r="AA92" s="58" t="n">
        <x:f>AA91*(1+V92)</x:f>
        <x:v>2150.8231508431263</x:v>
      </x:c>
      <x:c r="AB92" s="58" t="n">
        <x:f>MAX(AB91,AA92)</x:f>
        <x:v>2150.8231508431263</x:v>
      </x:c>
      <x:c r="AC92" s="59" t="n">
        <x:f>AA92/AB92-1</x:f>
        <x:v>0</x:v>
      </x:c>
      <x:c r="AD92" s="60" t="n">
        <x:f>AA92-X92</x:f>
        <x:v>1976.0892743767358</x:v>
      </x:c>
      <x:c r="AE92" s="28" t="str">
        <x:v>Baseline trade unchanged.</x:v>
      </x:c>
    </x:row>
    <x:row r="93" ht="18" customHeight="1">
      <x:c r="A93" s="23" t="n">
        <x:v>89</x:v>
      </x:c>
      <x:c r="B93" s="53" t="n">
        <x:v>43822</x:v>
      </x:c>
      <x:c r="C93" s="53" t="n">
        <x:v>43826</x:v>
      </x:c>
      <x:c r="D93" s="23" t="str">
        <x:v>TO</x:v>
      </x:c>
      <x:c r="E93" s="54" t="n">
        <x:v>8703.06</x:v>
      </x:c>
      <x:c r="F93" s="54" t="n">
        <x:v>8766.69</x:v>
      </x:c>
      <x:c r="G93" s="55" t="n">
        <x:v>0.00731</x:v>
      </x:c>
      <x:c r="H93" s="56" t="n">
        <x:f>SUM(T90:T92)</x:f>
        <x:v>0.015540000000000002</x:v>
      </x:c>
      <x:c r="I93" s="57" t="b">
        <x:f>AND(A93&gt;3,H93&lt;='Assumptions'!$B$7)</x:f>
        <x:v>0</x:v>
      </x:c>
      <x:c r="J93" s="55" t="n">
        <x:v>0.002417626211260737</x:v>
      </x:c>
      <x:c r="K93" s="55" t="n">
        <x:v>0.04948872945031346</x:v>
      </x:c>
      <x:c r="L93" s="55" t="n">
        <x:v>0.003405971215628245</x:v>
      </x:c>
      <x:c r="M93" s="57" t="b">
        <x:f>J93&gt;='Assumptions'!$B$8</x:f>
        <x:v>0</x:v>
      </x:c>
      <x:c r="N93" s="57" t="b">
        <x:f>AND(K93&lt;&gt;"",K93&lt;='Assumptions'!$B$9)</x:f>
        <x:v>0</x:v>
      </x:c>
      <x:c r="O93" s="57" t="b">
        <x:f>AND(P93&lt;&gt;"",ABS(L93)&lt;='Assumptions'!$B$10)</x:f>
        <x:v>1</x:v>
      </x:c>
      <x:c r="P93" s="53" t="n">
        <x:v>43823</x:v>
      </x:c>
      <x:c r="Q93" s="54" t="n">
        <x:v>8702.37</x:v>
      </x:c>
      <x:c r="R93" s="55" t="n">
        <x:v>0.00739</x:v>
      </x:c>
      <x:c r="S93" s="57" t="str">
        <x:f>IF(I93,"DAMAGE SKIP",IF(AND(M93,N93),IF(O93,"TUESDAY RE-ENTRY","GAP/MOM SKIP"),"BASELINE"))</x:f>
        <x:v>BASELINE</x:v>
      </x:c>
      <x:c r="T93" s="56" t="n">
        <x:f>IF(I93,0,IF(AND(M93,N93),IF(O93,R93,0),G93))</x:f>
        <x:v>0.00731</x:v>
      </x:c>
      <x:c r="U93" s="56" t="n">
        <x:f>G93*'Assumptions'!$B$6</x:f>
        <x:v>0.082603</x:v>
      </x:c>
      <x:c r="V93" s="56" t="n">
        <x:f>T93*'Assumptions'!$B$6</x:f>
        <x:v>0.082603</x:v>
      </x:c>
      <x:c r="W93" s="56" t="n">
        <x:f>V93-U93</x:f>
        <x:v>0</x:v>
      </x:c>
      <x:c r="X93" s="58" t="n">
        <x:f>X92*(1+U93)</x:f>
        <x:v>189.1674188641438</x:v>
      </x:c>
      <x:c r="Y93" s="58" t="n">
        <x:f>MAX(Y92,X93)</x:f>
        <x:v>309.6394159768338</x:v>
      </x:c>
      <x:c r="Z93" s="59" t="n">
        <x:f>X93/Y93-1</x:f>
        <x:v>-0.3890719039519933</x:v>
      </x:c>
      <x:c r="AA93" s="58" t="n">
        <x:f>AA92*(1+V93)</x:f>
        <x:v>2328.487595572221</x:v>
      </x:c>
      <x:c r="AB93" s="58" t="n">
        <x:f>MAX(AB92,AA93)</x:f>
        <x:v>2328.487595572221</x:v>
      </x:c>
      <x:c r="AC93" s="59" t="n">
        <x:f>AA93/AB93-1</x:f>
        <x:v>0</x:v>
      </x:c>
      <x:c r="AD93" s="60" t="n">
        <x:f>AA93-X93</x:f>
        <x:v>2139.3201767080773</x:v>
      </x:c>
      <x:c r="AE93" s="28" t="str">
        <x:v>Baseline trade unchanged.</x:v>
      </x:c>
    </x:row>
    <x:row r="94" ht="18" customHeight="1">
      <x:c r="A94" s="23" t="n">
        <x:v>90</x:v>
      </x:c>
      <x:c r="B94" s="53" t="n">
        <x:v>43829</x:v>
      </x:c>
      <x:c r="C94" s="53" t="n">
        <x:v>43832</x:v>
      </x:c>
      <x:c r="D94" s="23" t="str">
        <x:v>BEPRE</x:v>
      </x:c>
      <x:c r="E94" s="54" t="n">
        <x:v>8762.2</x:v>
      </x:c>
      <x:c r="F94" s="54" t="n">
        <x:v>8749.99</x:v>
      </x:c>
      <x:c r="G94" s="55" t="n">
        <x:v>-0.00139</x:v>
      </x:c>
      <x:c r="H94" s="56" t="n">
        <x:f>SUM(T91:T93)</x:f>
        <x:v>0.03649</x:v>
      </x:c>
      <x:c r="I94" s="57" t="b">
        <x:f>AND(A94&gt;3,H94&lt;='Assumptions'!$B$7)</x:f>
        <x:v>0</x:v>
      </x:c>
      <x:c r="J94" s="55" t="n">
        <x:v>-0.0005121659372009368</x:v>
      </x:c>
      <x:c r="K94" s="55" t="n">
        <x:v>0.03907943100509348</x:v>
      </x:c>
      <x:c r="L94" s="55" t="n">
        <x:v>-0.009392738411509338</x:v>
      </x:c>
      <x:c r="M94" s="57" t="b">
        <x:f>J94&gt;='Assumptions'!$B$8</x:f>
        <x:v>0</x:v>
      </x:c>
      <x:c r="N94" s="57" t="b">
        <x:f>AND(K94&lt;&gt;"",K94&lt;='Assumptions'!$B$9)</x:f>
        <x:v>0</x:v>
      </x:c>
      <x:c r="O94" s="57" t="b">
        <x:f>AND(P94&lt;&gt;"",ABS(L94)&lt;='Assumptions'!$B$10)</x:f>
        <x:v>0</x:v>
      </x:c>
      <x:c r="P94" s="53" t="n">
        <x:v>43830</x:v>
      </x:c>
      <x:c r="Q94" s="54" t="n">
        <x:v>8686.35</x:v>
      </x:c>
      <x:c r="R94" s="55" t="n">
        <x:v>0.00732</x:v>
      </x:c>
      <x:c r="S94" s="57" t="str">
        <x:f>IF(I94,"DAMAGE SKIP",IF(AND(M94,N94),IF(O94,"TUESDAY RE-ENTRY","GAP/MOM SKIP"),"BASELINE"))</x:f>
        <x:v>BASELINE</x:v>
      </x:c>
      <x:c r="T94" s="56" t="n">
        <x:f>IF(I94,0,IF(AND(M94,N94),IF(O94,R94,0),G94))</x:f>
        <x:v>-0.00139</x:v>
      </x:c>
      <x:c r="U94" s="56" t="n">
        <x:f>G94*'Assumptions'!$B$6</x:f>
        <x:v>-0.015707000000000002</x:v>
      </x:c>
      <x:c r="V94" s="56" t="n">
        <x:f>T94*'Assumptions'!$B$6</x:f>
        <x:v>-0.015707000000000002</x:v>
      </x:c>
      <x:c r="W94" s="56" t="n">
        <x:f>V94-U94</x:f>
        <x:v>0</x:v>
      </x:c>
      <x:c r="X94" s="58" t="n">
        <x:f>X93*(1+U94)</x:f>
        <x:v>186.19616621604467</x:v>
      </x:c>
      <x:c r="Y94" s="58" t="n">
        <x:f>MAX(Y93,X94)</x:f>
        <x:v>309.6394159768338</x:v>
      </x:c>
      <x:c r="Z94" s="59" t="n">
        <x:f>X94/Y94-1</x:f>
        <x:v>-0.3986677515566195</x:v>
      </x:c>
      <x:c r="AA94" s="58" t="n">
        <x:f>AA93*(1+V94)</x:f>
        <x:v>2291.914040908568</x:v>
      </x:c>
      <x:c r="AB94" s="58" t="n">
        <x:f>MAX(AB93,AA94)</x:f>
        <x:v>2328.487595572221</x:v>
      </x:c>
      <x:c r="AC94" s="59" t="n">
        <x:f>AA94/AB94-1</x:f>
        <x:v>-0.015707000000000026</x:v>
      </x:c>
      <x:c r="AD94" s="60" t="n">
        <x:f>AA94-X94</x:f>
        <x:v>2105.7178746925233</x:v>
      </x:c>
      <x:c r="AE94" s="28" t="str">
        <x:v>Baseline trade unchanged.</x:v>
      </x:c>
    </x:row>
    <x:row r="95" ht="18" customHeight="1">
      <x:c r="A95" s="23" t="n">
        <x:v>91</x:v>
      </x:c>
      <x:c r="B95" s="53" t="n">
        <x:v>43836</x:v>
      </x:c>
      <x:c r="C95" s="53" t="n">
        <x:v>43836</x:v>
      </x:c>
      <x:c r="D95" s="23" t="str">
        <x:v>CH</x:v>
      </x:c>
      <x:c r="E95" s="54" t="n">
        <x:v>8721.48</x:v>
      </x:c>
      <x:c r="F95" s="54" t="n">
        <x:v>8849.02</x:v>
      </x:c>
      <x:c r="G95" s="55" t="n">
        <x:v>0.01462</x:v>
      </x:c>
      <x:c r="H95" s="56" t="n">
        <x:f>SUM(T92:T94)</x:f>
        <x:v>0.022400000000000003</x:v>
      </x:c>
      <x:c r="I95" s="57" t="b">
        <x:f>AND(A95&gt;3,H95&lt;='Assumptions'!$B$7)</x:f>
        <x:v>0</x:v>
      </x:c>
      <x:c r="J95" s="55" t="n">
        <x:v>-0.008244276198035472</x:v>
      </x:c>
      <x:c r="K95" s="55" t="n">
        <x:v>0.060337636950725804</x:v>
      </x:c>
      <x:c r="L95" s="55" t="n">
        <x:v>0.006761321956681332</x:v>
      </x:c>
      <x:c r="M95" s="57" t="b">
        <x:f>J95&gt;='Assumptions'!$B$8</x:f>
        <x:v>0</x:v>
      </x:c>
      <x:c r="N95" s="57" t="b">
        <x:f>AND(K95&lt;&gt;"",K95&lt;='Assumptions'!$B$9)</x:f>
        <x:v>0</x:v>
      </x:c>
      <x:c r="O95" s="57" t="b">
        <x:f>AND(P95&lt;&gt;"",ABS(L95)&lt;='Assumptions'!$B$10)</x:f>
        <x:v>0</x:v>
      </x:c>
      <x:c r="P95" s="53" t="n">
        <x:v>43837</x:v>
      </x:c>
      <x:c r="Q95" s="54" t="n">
        <x:v>8848.22</x:v>
      </x:c>
      <x:c r="R95" s="55" t="n">
        <x:v>0.00009</x:v>
      </x:c>
      <x:c r="S95" s="57" t="str">
        <x:f>IF(I95,"DAMAGE SKIP",IF(AND(M95,N95),IF(O95,"TUESDAY RE-ENTRY","GAP/MOM SKIP"),"BASELINE"))</x:f>
        <x:v>BASELINE</x:v>
      </x:c>
      <x:c r="T95" s="56" t="n">
        <x:f>IF(I95,0,IF(AND(M95,N95),IF(O95,R95,0),G95))</x:f>
        <x:v>0.01462</x:v>
      </x:c>
      <x:c r="U95" s="56" t="n">
        <x:f>G95*'Assumptions'!$B$6</x:f>
        <x:v>0.165206</x:v>
      </x:c>
      <x:c r="V95" s="56" t="n">
        <x:f>T95*'Assumptions'!$B$6</x:f>
        <x:v>0.165206</x:v>
      </x:c>
      <x:c r="W95" s="56" t="n">
        <x:f>V95-U95</x:f>
        <x:v>0</x:v>
      </x:c>
      <x:c r="X95" s="58" t="n">
        <x:f>X94*(1+U95)</x:f>
        <x:v>216.95689005193253</x:v>
      </x:c>
      <x:c r="Y95" s="58" t="n">
        <x:f>MAX(Y94,X95)</x:f>
        <x:v>309.6394159768338</x:v>
      </x:c>
      <x:c r="Z95" s="59" t="n">
        <x:f>X95/Y95-1</x:f>
        <x:v>-0.29932405612028234</x:v>
      </x:c>
      <x:c r="AA95" s="58" t="n">
        <x:f>AA94*(1+V95)</x:f>
        <x:v>2670.551991950909</x:v>
      </x:c>
      <x:c r="AB95" s="58" t="n">
        <x:f>MAX(AB94,AA95)</x:f>
        <x:v>2670.551991950909</x:v>
      </x:c>
      <x:c r="AC95" s="59" t="n">
        <x:f>AA95/AB95-1</x:f>
        <x:v>0</x:v>
      </x:c>
      <x:c r="AD95" s="60" t="n">
        <x:f>AA95-X95</x:f>
        <x:v>2453.5951018989763</x:v>
      </x:c>
      <x:c r="AE95" s="28" t="str">
        <x:v>Baseline trade unchanged.</x:v>
      </x:c>
    </x:row>
    <x:row r="96" ht="18" customHeight="1">
      <x:c r="A96" s="23" t="n">
        <x:v>92</x:v>
      </x:c>
      <x:c r="B96" s="53" t="n">
        <x:v>43843</x:v>
      </x:c>
      <x:c r="C96" s="53" t="n">
        <x:v>43843</x:v>
      </x:c>
      <x:c r="D96" s="23" t="str">
        <x:v>CH</x:v>
      </x:c>
      <x:c r="E96" s="54" t="n">
        <x:v>9000</x:v>
      </x:c>
      <x:c r="F96" s="54" t="n">
        <x:v>9066.87</x:v>
      </x:c>
      <x:c r="G96" s="55" t="n">
        <x:v>0.00743</x:v>
      </x:c>
      <x:c r="H96" s="56" t="n">
        <x:f>SUM(T93:T95)</x:f>
        <x:v>0.02054</x:v>
      </x:c>
      <x:c r="I96" s="57" t="b">
        <x:f>AND(A96&gt;3,H96&lt;='Assumptions'!$B$7)</x:f>
        <x:v>0</x:v>
      </x:c>
      <x:c r="J96" s="55" t="n">
        <x:v>0.003951105350167072</x:v>
      </x:c>
      <x:c r="K96" s="55" t="n">
        <x:v>0.06797333427677565</x:v>
      </x:c>
      <x:c r="L96" s="55" t="n">
        <x:v>0.010572345319110665</x:v>
      </x:c>
      <x:c r="M96" s="57" t="b">
        <x:f>J96&gt;='Assumptions'!$B$8</x:f>
        <x:v>0</x:v>
      </x:c>
      <x:c r="N96" s="57" t="b">
        <x:f>AND(K96&lt;&gt;"",K96&lt;='Assumptions'!$B$9)</x:f>
        <x:v>0</x:v>
      </x:c>
      <x:c r="O96" s="57" t="b">
        <x:f>AND(P96&lt;&gt;"",ABS(L96)&lt;='Assumptions'!$B$10)</x:f>
        <x:v>0</x:v>
      </x:c>
      <x:c r="P96" s="53" t="n">
        <x:v>43844</x:v>
      </x:c>
      <x:c r="Q96" s="54" t="n">
        <x:v>9060.08</x:v>
      </x:c>
      <x:c r="R96" s="55" t="n">
        <x:v>0.00074</x:v>
      </x:c>
      <x:c r="S96" s="57" t="str">
        <x:f>IF(I96,"DAMAGE SKIP",IF(AND(M96,N96),IF(O96,"TUESDAY RE-ENTRY","GAP/MOM SKIP"),"BASELINE"))</x:f>
        <x:v>BASELINE</x:v>
      </x:c>
      <x:c r="T96" s="56" t="n">
        <x:f>IF(I96,0,IF(AND(M96,N96),IF(O96,R96,0),G96))</x:f>
        <x:v>0.00743</x:v>
      </x:c>
      <x:c r="U96" s="56" t="n">
        <x:f>G96*'Assumptions'!$B$6</x:f>
        <x:v>0.083959</x:v>
      </x:c>
      <x:c r="V96" s="56" t="n">
        <x:f>T96*'Assumptions'!$B$6</x:f>
        <x:v>0.083959</x:v>
      </x:c>
      <x:c r="W96" s="56" t="n">
        <x:f>V96-U96</x:f>
        <x:v>0</x:v>
      </x:c>
      <x:c r="X96" s="58" t="n">
        <x:f>X95*(1+U96)</x:f>
        <x:v>235.17237358380277</x:v>
      </x:c>
      <x:c r="Y96" s="58" t="n">
        <x:f>MAX(Y95,X96)</x:f>
        <x:v>309.6394159768338</x:v>
      </x:c>
      <x:c r="Z96" s="59" t="n">
        <x:f>X96/Y96-1</x:f>
        <x:v>-0.24049600454808506</x:v>
      </x:c>
      <x:c r="AA96" s="58" t="n">
        <x:f>AA95*(1+V96)</x:f>
        <x:v>2894.7688666431154</x:v>
      </x:c>
      <x:c r="AB96" s="58" t="n">
        <x:f>MAX(AB95,AA96)</x:f>
        <x:v>2894.7688666431154</x:v>
      </x:c>
      <x:c r="AC96" s="59" t="n">
        <x:f>AA96/AB96-1</x:f>
        <x:v>0</x:v>
      </x:c>
      <x:c r="AD96" s="60" t="n">
        <x:f>AA96-X96</x:f>
        <x:v>2659.5964930593127</x:v>
      </x:c>
      <x:c r="AE96" s="28" t="str">
        <x:v>Baseline trade unchanged.</x:v>
      </x:c>
    </x:row>
    <x:row r="97" ht="18" customHeight="1">
      <x:c r="A97" s="23" t="n">
        <x:v>93</x:v>
      </x:c>
      <x:c r="B97" s="53" t="n">
        <x:v>43851</x:v>
      </x:c>
      <x:c r="C97" s="53" t="n">
        <x:v>43854</x:v>
      </x:c>
      <x:c r="D97" s="23" t="str">
        <x:v>TSL4</x:v>
      </x:c>
      <x:c r="E97" s="54" t="n">
        <x:v>9140.49</x:v>
      </x:c>
      <x:c r="F97" s="54" t="n">
        <x:v>9103.928039999999</x:v>
      </x:c>
      <x:c r="G97" s="55" t="n">
        <x:v>-0.004</x:v>
      </x:c>
      <x:c r="H97" s="56" t="n">
        <x:f>SUM(T94:T96)</x:f>
        <x:v>0.020659999999999998</x:v>
      </x:c>
      <x:c r="I97" s="57" t="b">
        <x:f>AND(A97&gt;3,H97&lt;='Assumptions'!$B$7)</x:f>
        <x:v>0</x:v>
      </x:c>
      <x:c r="J97" s="55" t="n">
        <x:v>-0.0031583137483710555</x:v>
      </x:c>
      <x:c r="K97" s="55" t="n">
        <x:v>0.06827732131027608</x:v>
      </x:c>
      <x:c r="L97" s="55"/>
      <x:c r="M97" s="57" t="b">
        <x:f>J97&gt;='Assumptions'!$B$8</x:f>
        <x:v>0</x:v>
      </x:c>
      <x:c r="N97" s="57" t="b">
        <x:f>AND(K97&lt;&gt;"",K97&lt;='Assumptions'!$B$9)</x:f>
        <x:v>0</x:v>
      </x:c>
      <x:c r="O97" s="57" t="b">
        <x:f>AND(P97&lt;&gt;"",ABS(L97)&lt;='Assumptions'!$B$10)</x:f>
        <x:v>0</x:v>
      </x:c>
      <x:c r="P97" s="53"/>
      <x:c r="Q97" s="54"/>
      <x:c r="R97" s="55"/>
      <x:c r="S97" s="57" t="str">
        <x:f>IF(I97,"DAMAGE SKIP",IF(AND(M97,N97),IF(O97,"TUESDAY RE-ENTRY","GAP/MOM SKIP"),"BASELINE"))</x:f>
        <x:v>BASELINE</x:v>
      </x:c>
      <x:c r="T97" s="56" t="n">
        <x:f>IF(I97,0,IF(AND(M97,N97),IF(O97,R97,0),G97))</x:f>
        <x:v>-0.004</x:v>
      </x:c>
      <x:c r="U97" s="56" t="n">
        <x:f>G97*'Assumptions'!$B$6</x:f>
        <x:v>-0.045200000000000004</x:v>
      </x:c>
      <x:c r="V97" s="56" t="n">
        <x:f>T97*'Assumptions'!$B$6</x:f>
        <x:v>-0.045200000000000004</x:v>
      </x:c>
      <x:c r="W97" s="56" t="n">
        <x:f>V97-U97</x:f>
        <x:v>0</x:v>
      </x:c>
      <x:c r="X97" s="58" t="n">
        <x:f>X96*(1+U97)</x:f>
        <x:v>224.54258229781487</x:v>
      </x:c>
      <x:c r="Y97" s="58" t="n">
        <x:f>MAX(Y96,X97)</x:f>
        <x:v>309.6394159768338</x:v>
      </x:c>
      <x:c r="Z97" s="59" t="n">
        <x:f>X97/Y97-1</x:f>
        <x:v>-0.27482558514251165</x:v>
      </x:c>
      <x:c r="AA97" s="58" t="n">
        <x:f>AA96*(1+V97)</x:f>
        <x:v>2763.9253138708464</x:v>
      </x:c>
      <x:c r="AB97" s="58" t="n">
        <x:f>MAX(AB96,AA97)</x:f>
        <x:v>2894.7688666431154</x:v>
      </x:c>
      <x:c r="AC97" s="59" t="n">
        <x:f>AA97/AB97-1</x:f>
        <x:v>-0.04520000000000013</x:v>
      </x:c>
      <x:c r="AD97" s="60" t="n">
        <x:f>AA97-X97</x:f>
        <x:v>2539.3827315730314</x:v>
      </x:c>
      <x:c r="AE97" s="28" t="str">
        <x:v>Baseline trade unchanged.</x:v>
      </x:c>
    </x:row>
    <x:row r="98" ht="18" customHeight="1">
      <x:c r="A98" s="23" t="n">
        <x:v>94</x:v>
      </x:c>
      <x:c r="B98" s="53" t="n">
        <x:v>43857</x:v>
      </x:c>
      <x:c r="C98" s="53" t="n">
        <x:v>43861</x:v>
      </x:c>
      <x:c r="D98" s="23" t="str">
        <x:v>TO</x:v>
      </x:c>
      <x:c r="E98" s="54" t="n">
        <x:v>8935.59</x:v>
      </x:c>
      <x:c r="F98" s="54" t="n">
        <x:v>8994.3</x:v>
      </x:c>
      <x:c r="G98" s="55" t="n">
        <x:v>0.00657</x:v>
      </x:c>
      <x:c r="H98" s="56" t="n">
        <x:f>SUM(T95:T97)</x:f>
        <x:v>0.01805</x:v>
      </x:c>
      <x:c r="I98" s="57" t="b">
        <x:f>AND(A98&gt;3,H98&lt;='Assumptions'!$B$7)</x:f>
        <x:v>0</x:v>
      </x:c>
      <x:c r="J98" s="55" t="n">
        <x:v>-0.02244133941308768</x:v>
      </x:c>
      <x:c r="K98" s="55" t="n">
        <x:v>0.05091881186186864</x:v>
      </x:c>
      <x:c r="L98" s="55" t="n">
        <x:v>-0.013920930599588877</x:v>
      </x:c>
      <x:c r="M98" s="57" t="b">
        <x:f>J98&gt;='Assumptions'!$B$8</x:f>
        <x:v>0</x:v>
      </x:c>
      <x:c r="N98" s="57" t="b">
        <x:f>AND(K98&lt;&gt;"",K98&lt;='Assumptions'!$B$9)</x:f>
        <x:v>0</x:v>
      </x:c>
      <x:c r="O98" s="57" t="b">
        <x:f>AND(P98&lt;&gt;"",ABS(L98)&lt;='Assumptions'!$B$10)</x:f>
        <x:v>0</x:v>
      </x:c>
      <x:c r="P98" s="53" t="n">
        <x:v>43858</x:v>
      </x:c>
      <x:c r="Q98" s="54" t="n">
        <x:v>9013.56</x:v>
      </x:c>
      <x:c r="R98" s="55" t="n">
        <x:v>-0.00213</x:v>
      </x:c>
      <x:c r="S98" s="57" t="str">
        <x:f>IF(I98,"DAMAGE SKIP",IF(AND(M98,N98),IF(O98,"TUESDAY RE-ENTRY","GAP/MOM SKIP"),"BASELINE"))</x:f>
        <x:v>BASELINE</x:v>
      </x:c>
      <x:c r="T98" s="56" t="n">
        <x:f>IF(I98,0,IF(AND(M98,N98),IF(O98,R98,0),G98))</x:f>
        <x:v>0.00657</x:v>
      </x:c>
      <x:c r="U98" s="56" t="n">
        <x:f>G98*'Assumptions'!$B$6</x:f>
        <x:v>0.074241</x:v>
      </x:c>
      <x:c r="V98" s="56" t="n">
        <x:f>T98*'Assumptions'!$B$6</x:f>
        <x:v>0.074241</x:v>
      </x:c>
      <x:c r="W98" s="56" t="n">
        <x:f>V98-U98</x:f>
        <x:v>0</x:v>
      </x:c>
      <x:c r="X98" s="58" t="n">
        <x:f>X97*(1+U98)</x:f>
        <x:v>241.21284815018694</x:v>
      </x:c>
      <x:c r="Y98" s="58" t="n">
        <x:f>MAX(Y97,X98)</x:f>
        <x:v>309.6394159768338</x:v>
      </x:c>
      <x:c r="Z98" s="59" t="n">
        <x:f>X98/Y98-1</x:f>
        <x:v>-0.22098791140907692</x:v>
      </x:c>
      <x:c r="AA98" s="58" t="n">
        <x:f>AA97*(1+V98)</x:f>
        <x:v>2969.1218930979317</x:v>
      </x:c>
      <x:c r="AB98" s="58" t="n">
        <x:f>MAX(AB97,AA98)</x:f>
        <x:v>2969.1218930979317</x:v>
      </x:c>
      <x:c r="AC98" s="59" t="n">
        <x:f>AA98/AB98-1</x:f>
        <x:v>0</x:v>
      </x:c>
      <x:c r="AD98" s="60" t="n">
        <x:f>AA98-X98</x:f>
        <x:v>2727.909044947745</x:v>
      </x:c>
      <x:c r="AE98" s="28" t="str">
        <x:v>Baseline trade unchanged.</x:v>
      </x:c>
    </x:row>
    <x:row r="99" ht="18" customHeight="1">
      <x:c r="A99" s="23" t="n">
        <x:v>95</x:v>
      </x:c>
      <x:c r="B99" s="53" t="n">
        <x:v>43864</x:v>
      </x:c>
      <x:c r="C99" s="53" t="n">
        <x:v>43864</x:v>
      </x:c>
      <x:c r="D99" s="23" t="str">
        <x:v>CH</x:v>
      </x:c>
      <x:c r="E99" s="54" t="n">
        <x:v>9033.63</x:v>
      </x:c>
      <x:c r="F99" s="54" t="n">
        <x:v>9122.08</x:v>
      </x:c>
      <x:c r="G99" s="55" t="n">
        <x:v>0.00979</x:v>
      </x:c>
      <x:c r="H99" s="56" t="n">
        <x:f>SUM(T96:T98)</x:f>
        <x:v>0.01</x:v>
      </x:c>
      <x:c r="I99" s="57" t="b">
        <x:f>AND(A99&gt;3,H99&lt;='Assumptions'!$B$7)</x:f>
        <x:v>0</x:v>
      </x:c>
      <x:c r="J99" s="55" t="n">
        <x:v>0.004372769420633027</x:v>
      </x:c>
      <x:c r="K99" s="55" t="n">
        <x:v>0.013456453024354609</x:v>
      </x:c>
      <x:c r="L99" s="55" t="n">
        <x:v>0.02886761382134928</x:v>
      </x:c>
      <x:c r="M99" s="57" t="b">
        <x:f>J99&gt;='Assumptions'!$B$8</x:f>
        <x:v>0</x:v>
      </x:c>
      <x:c r="N99" s="57" t="b">
        <x:f>AND(K99&lt;&gt;"",K99&lt;='Assumptions'!$B$9)</x:f>
        <x:v>0</x:v>
      </x:c>
      <x:c r="O99" s="57" t="b">
        <x:f>AND(P99&lt;&gt;"",ABS(L99)&lt;='Assumptions'!$B$10)</x:f>
        <x:v>0</x:v>
      </x:c>
      <x:c r="P99" s="53" t="n">
        <x:v>43865</x:v>
      </x:c>
      <x:c r="Q99" s="54" t="n">
        <x:v>9249.45</x:v>
      </x:c>
      <x:c r="R99" s="55" t="n">
        <x:v>-0.01377</x:v>
      </x:c>
      <x:c r="S99" s="57" t="str">
        <x:f>IF(I99,"DAMAGE SKIP",IF(AND(M99,N99),IF(O99,"TUESDAY RE-ENTRY","GAP/MOM SKIP"),"BASELINE"))</x:f>
        <x:v>BASELINE</x:v>
      </x:c>
      <x:c r="T99" s="56" t="n">
        <x:f>IF(I99,0,IF(AND(M99,N99),IF(O99,R99,0),G99))</x:f>
        <x:v>0.00979</x:v>
      </x:c>
      <x:c r="U99" s="56" t="n">
        <x:f>G99*'Assumptions'!$B$6</x:f>
        <x:v>0.110627</x:v>
      </x:c>
      <x:c r="V99" s="56" t="n">
        <x:f>T99*'Assumptions'!$B$6</x:f>
        <x:v>0.110627</x:v>
      </x:c>
      <x:c r="W99" s="56" t="n">
        <x:f>V99-U99</x:f>
        <x:v>0</x:v>
      </x:c>
      <x:c r="X99" s="58" t="n">
        <x:f>X98*(1+U99)</x:f>
        <x:v>267.8975019024977</x:v>
      </x:c>
      <x:c r="Y99" s="58" t="n">
        <x:f>MAX(Y98,X99)</x:f>
        <x:v>309.6394159768338</x:v>
      </x:c>
      <x:c r="Z99" s="59" t="n">
        <x:f>X99/Y99-1</x:f>
        <x:v>-0.13480814108452865</x:v>
      </x:c>
      <x:c r="AA99" s="58" t="n">
        <x:f>AA98*(1+V99)</x:f>
        <x:v>3297.5869407656764</x:v>
      </x:c>
      <x:c r="AB99" s="58" t="n">
        <x:f>MAX(AB98,AA99)</x:f>
        <x:v>3297.5869407656764</x:v>
      </x:c>
      <x:c r="AC99" s="59" t="n">
        <x:f>AA99/AB99-1</x:f>
        <x:v>0</x:v>
      </x:c>
      <x:c r="AD99" s="60" t="n">
        <x:f>AA99-X99</x:f>
        <x:v>3029.6894388631786</x:v>
      </x:c>
      <x:c r="AE99" s="28" t="str">
        <x:v>Baseline trade unchanged.</x:v>
      </x:c>
    </x:row>
    <x:row r="100" ht="18" customHeight="1">
      <x:c r="A100" s="23" t="n">
        <x:v>96</x:v>
      </x:c>
      <x:c r="B100" s="53" t="n">
        <x:v>43871</x:v>
      </x:c>
      <x:c r="C100" s="53" t="n">
        <x:v>43871</x:v>
      </x:c>
      <x:c r="D100" s="23" t="str">
        <x:v>CH</x:v>
      </x:c>
      <x:c r="E100" s="54" t="n">
        <x:v>9369.98</x:v>
      </x:c>
      <x:c r="F100" s="54" t="n">
        <x:v>9511.62</x:v>
      </x:c>
      <x:c r="G100" s="55" t="n">
        <x:v>0.01511</x:v>
      </x:c>
      <x:c r="H100" s="56" t="n">
        <x:f>SUM(T97:T99)</x:f>
        <x:v>0.01236</x:v>
      </x:c>
      <x:c r="I100" s="57" t="b">
        <x:f>AND(A100&gt;3,H100&lt;='Assumptions'!$B$7)</x:f>
        <x:v>0</x:v>
      </x:c>
      <x:c r="J100" s="55" t="n">
        <x:v>-0.0028934242968894353</x:v>
      </x:c>
      <x:c r="K100" s="55" t="n">
        <x:v>0.04655564681337143</x:v>
      </x:c>
      <x:c r="L100" s="55" t="n">
        <x:v>0.017553908811683394</x:v>
      </x:c>
      <x:c r="M100" s="57" t="b">
        <x:f>J100&gt;='Assumptions'!$B$8</x:f>
        <x:v>0</x:v>
      </x:c>
      <x:c r="N100" s="57" t="b">
        <x:f>AND(K100&lt;&gt;"",K100&lt;='Assumptions'!$B$9)</x:f>
        <x:v>0</x:v>
      </x:c>
      <x:c r="O100" s="57" t="b">
        <x:f>AND(P100&lt;&gt;"",ABS(L100)&lt;='Assumptions'!$B$10)</x:f>
        <x:v>0</x:v>
      </x:c>
      <x:c r="P100" s="53" t="n">
        <x:v>43872</x:v>
      </x:c>
      <x:c r="Q100" s="54" t="n">
        <x:v>9566.11</x:v>
      </x:c>
      <x:c r="R100" s="55" t="n">
        <x:v>-0.00569</x:v>
      </x:c>
      <x:c r="S100" s="57" t="str">
        <x:f>IF(I100,"DAMAGE SKIP",IF(AND(M100,N100),IF(O100,"TUESDAY RE-ENTRY","GAP/MOM SKIP"),"BASELINE"))</x:f>
        <x:v>BASELINE</x:v>
      </x:c>
      <x:c r="T100" s="56" t="n">
        <x:f>IF(I100,0,IF(AND(M100,N100),IF(O100,R100,0),G100))</x:f>
        <x:v>0.01511</x:v>
      </x:c>
      <x:c r="U100" s="56" t="n">
        <x:f>G100*'Assumptions'!$B$6</x:f>
        <x:v>0.170743</x:v>
      </x:c>
      <x:c r="V100" s="56" t="n">
        <x:f>T100*'Assumptions'!$B$6</x:f>
        <x:v>0.170743</x:v>
      </x:c>
      <x:c r="W100" s="56" t="n">
        <x:f>V100-U100</x:f>
        <x:v>0</x:v>
      </x:c>
      <x:c r="X100" s="58" t="n">
        <x:f>X99*(1+U100)</x:f>
        <x:v>313.6391250698359</x:v>
      </x:c>
      <x:c r="Y100" s="58" t="n">
        <x:f>MAX(Y99,X100)</x:f>
        <x:v>313.6391250698359</x:v>
      </x:c>
      <x:c r="Z100" s="59" t="n">
        <x:f>X100/Y100-1</x:f>
        <x:v>0</x:v>
      </x:c>
      <x:c r="AA100" s="58" t="n">
        <x:f>AA99*(1+V100)</x:f>
        <x:v>3860.6268277928307</x:v>
      </x:c>
      <x:c r="AB100" s="58" t="n">
        <x:f>MAX(AB99,AA100)</x:f>
        <x:v>3860.6268277928307</x:v>
      </x:c>
      <x:c r="AC100" s="59" t="n">
        <x:f>AA100/AB100-1</x:f>
        <x:v>0</x:v>
      </x:c>
      <x:c r="AD100" s="60" t="n">
        <x:f>AA100-X100</x:f>
        <x:v>3546.987702722995</x:v>
      </x:c>
      <x:c r="AE100" s="28" t="str">
        <x:v>Baseline trade unchanged.</x:v>
      </x:c>
    </x:row>
    <x:row r="101" ht="18" customHeight="1">
      <x:c r="A101" s="23" t="n">
        <x:v>97</x:v>
      </x:c>
      <x:c r="B101" s="53" t="n">
        <x:v>43879</x:v>
      </x:c>
      <x:c r="C101" s="53" t="n">
        <x:v>43880</x:v>
      </x:c>
      <x:c r="D101" s="23" t="str">
        <x:v>PREOH</x:v>
      </x:c>
      <x:c r="E101" s="54" t="n">
        <x:v>9573.79</x:v>
      </x:c>
      <x:c r="F101" s="54" t="n">
        <x:v>9647.78</x:v>
      </x:c>
      <x:c r="G101" s="55" t="n">
        <x:v>0.00772</x:v>
      </x:c>
      <x:c r="H101" s="56" t="n">
        <x:f>SUM(T98:T100)</x:f>
        <x:v>0.03147</x:v>
      </x:c>
      <x:c r="I101" s="57" t="b">
        <x:f>AND(A101&gt;3,H101&lt;='Assumptions'!$B$7)</x:f>
        <x:v>0</x:v>
      </x:c>
      <x:c r="J101" s="55" t="n">
        <x:v>-0.004824224028606494</x:v>
      </x:c>
      <x:c r="K101" s="55" t="n">
        <x:v>0.055624279177052705</x:v>
      </x:c>
      <x:c r="L101" s="55"/>
      <x:c r="M101" s="57" t="b">
        <x:f>J101&gt;='Assumptions'!$B$8</x:f>
        <x:v>0</x:v>
      </x:c>
      <x:c r="N101" s="57" t="b">
        <x:f>AND(K101&lt;&gt;"",K101&lt;='Assumptions'!$B$9)</x:f>
        <x:v>0</x:v>
      </x:c>
      <x:c r="O101" s="57" t="b">
        <x:f>AND(P101&lt;&gt;"",ABS(L101)&lt;='Assumptions'!$B$10)</x:f>
        <x:v>0</x:v>
      </x:c>
      <x:c r="P101" s="53"/>
      <x:c r="Q101" s="54"/>
      <x:c r="R101" s="55"/>
      <x:c r="S101" s="57" t="str">
        <x:f>IF(I101,"DAMAGE SKIP",IF(AND(M101,N101),IF(O101,"TUESDAY RE-ENTRY","GAP/MOM SKIP"),"BASELINE"))</x:f>
        <x:v>BASELINE</x:v>
      </x:c>
      <x:c r="T101" s="56" t="n">
        <x:f>IF(I101,0,IF(AND(M101,N101),IF(O101,R101,0),G101))</x:f>
        <x:v>0.00772</x:v>
      </x:c>
      <x:c r="U101" s="56" t="n">
        <x:f>G101*'Assumptions'!$B$6</x:f>
        <x:v>0.08723600000000001</x:v>
      </x:c>
      <x:c r="V101" s="56" t="n">
        <x:f>T101*'Assumptions'!$B$6</x:f>
        <x:v>0.08723600000000001</x:v>
      </x:c>
      <x:c r="W101" s="56" t="n">
        <x:f>V101-U101</x:f>
        <x:v>0</x:v>
      </x:c>
      <x:c r="X101" s="58" t="n">
        <x:f>X100*(1+U101)</x:f>
        <x:v>340.99974778442817</x:v>
      </x:c>
      <x:c r="Y101" s="58" t="n">
        <x:f>MAX(Y100,X101)</x:f>
        <x:v>340.99974778442817</x:v>
      </x:c>
      <x:c r="Z101" s="59" t="n">
        <x:f>X101/Y101-1</x:f>
        <x:v>0</x:v>
      </x:c>
      <x:c r="AA101" s="58" t="n">
        <x:f>AA100*(1+V101)</x:f>
        <x:v>4197.412469742167</x:v>
      </x:c>
      <x:c r="AB101" s="58" t="n">
        <x:f>MAX(AB100,AA101)</x:f>
        <x:v>4197.412469742167</x:v>
      </x:c>
      <x:c r="AC101" s="59" t="n">
        <x:f>AA101/AB101-1</x:f>
        <x:v>0</x:v>
      </x:c>
      <x:c r="AD101" s="60" t="n">
        <x:f>AA101-X101</x:f>
        <x:v>3856.4127219577385</x:v>
      </x:c>
      <x:c r="AE101" s="28" t="str">
        <x:v>Baseline trade unchanged.</x:v>
      </x:c>
    </x:row>
    <x:row r="102" ht="18" customHeight="1">
      <x:c r="A102" s="23" t="n">
        <x:v>98</x:v>
      </x:c>
      <x:c r="B102" s="53" t="n">
        <x:v>43885</x:v>
      </x:c>
      <x:c r="C102" s="53" t="n">
        <x:v>43886</x:v>
      </x:c>
      <x:c r="D102" s="23" t="str">
        <x:v>PREOH</x:v>
      </x:c>
      <x:c r="E102" s="54" t="n">
        <x:v>9093.15</x:v>
      </x:c>
      <x:c r="F102" s="54" t="n">
        <x:v>9174.86</x:v>
      </x:c>
      <x:c r="G102" s="55" t="n">
        <x:v>0.00898</x:v>
      </x:c>
      <x:c r="H102" s="56" t="n">
        <x:f>SUM(T99:T101)</x:f>
        <x:v>0.032619999999999996</x:v>
      </x:c>
      <x:c r="I102" s="57" t="b">
        <x:f>AND(A102&gt;3,H102&lt;='Assumptions'!$B$7)</x:f>
        <x:v>0</x:v>
      </x:c>
      <x:c r="J102" s="55" t="n">
        <x:v>-0.037878988271268565</x:v>
      </x:c>
      <x:c r="K102" s="55" t="n">
        <x:v>0.025268564800751125</x:v>
      </x:c>
      <x:c r="L102" s="55" t="n">
        <x:v>-0.03071971125356887</x:v>
      </x:c>
      <x:c r="M102" s="57" t="b">
        <x:f>J102&gt;='Assumptions'!$B$8</x:f>
        <x:v>0</x:v>
      </x:c>
      <x:c r="N102" s="57" t="b">
        <x:f>AND(K102&lt;&gt;"",K102&lt;='Assumptions'!$B$9)</x:f>
        <x:v>0</x:v>
      </x:c>
      <x:c r="O102" s="57" t="b">
        <x:f>AND(P102&lt;&gt;"",ABS(L102)&lt;='Assumptions'!$B$10)</x:f>
        <x:v>0</x:v>
      </x:c>
      <x:c r="P102" s="53" t="n">
        <x:v>43886</x:v>
      </x:c>
      <x:c r="Q102" s="54" t="n">
        <x:v>9150.64</x:v>
      </x:c>
      <x:c r="R102" s="55" t="n">
        <x:v>0.00264</x:v>
      </x:c>
      <x:c r="S102" s="57" t="str">
        <x:f>IF(I102,"DAMAGE SKIP",IF(AND(M102,N102),IF(O102,"TUESDAY RE-ENTRY","GAP/MOM SKIP"),"BASELINE"))</x:f>
        <x:v>BASELINE</x:v>
      </x:c>
      <x:c r="T102" s="56" t="n">
        <x:f>IF(I102,0,IF(AND(M102,N102),IF(O102,R102,0),G102))</x:f>
        <x:v>0.00898</x:v>
      </x:c>
      <x:c r="U102" s="56" t="n">
        <x:f>G102*'Assumptions'!$B$6</x:f>
        <x:v>0.10147400000000001</x:v>
      </x:c>
      <x:c r="V102" s="56" t="n">
        <x:f>T102*'Assumptions'!$B$6</x:f>
        <x:v>0.10147400000000001</x:v>
      </x:c>
      <x:c r="W102" s="56" t="n">
        <x:f>V102-U102</x:f>
        <x:v>0</x:v>
      </x:c>
      <x:c r="X102" s="58" t="n">
        <x:f>X101*(1+U102)</x:f>
        <x:v>375.60235619110523</x:v>
      </x:c>
      <x:c r="Y102" s="58" t="n">
        <x:f>MAX(Y101,X102)</x:f>
        <x:v>375.60235619110523</x:v>
      </x:c>
      <x:c r="Z102" s="59" t="n">
        <x:f>X102/Y102-1</x:f>
        <x:v>0</x:v>
      </x:c>
      <x:c r="AA102" s="58" t="n">
        <x:f>AA101*(1+V102)</x:f>
        <x:v>4623.340702696783</x:v>
      </x:c>
      <x:c r="AB102" s="58" t="n">
        <x:f>MAX(AB101,AA102)</x:f>
        <x:v>4623.340702696783</x:v>
      </x:c>
      <x:c r="AC102" s="59" t="n">
        <x:f>AA102/AB102-1</x:f>
        <x:v>0</x:v>
      </x:c>
      <x:c r="AD102" s="60" t="n">
        <x:f>AA102-X102</x:f>
        <x:v>4247.738346505678</x:v>
      </x:c>
      <x:c r="AE102" s="28" t="str">
        <x:v>Baseline trade unchanged.</x:v>
      </x:c>
    </x:row>
    <x:row r="103" ht="18" customHeight="1">
      <x:c r="A103" s="23" t="n">
        <x:v>99</x:v>
      </x:c>
      <x:c r="B103" s="53" t="n">
        <x:v>43892</x:v>
      </x:c>
      <x:c r="C103" s="53" t="n">
        <x:v>43892</x:v>
      </x:c>
      <x:c r="D103" s="23" t="str">
        <x:v>CH</x:v>
      </x:c>
      <x:c r="E103" s="54" t="n">
        <x:v>8559.29</x:v>
      </x:c>
      <x:c r="F103" s="54" t="n">
        <x:v>8870.82</x:v>
      </x:c>
      <x:c r="G103" s="55" t="n">
        <x:v>0.03639</x:v>
      </x:c>
      <x:c r="H103" s="56" t="n">
        <x:f>SUM(T100:T102)</x:f>
        <x:v>0.03181</x:v>
      </x:c>
      <x:c r="I103" s="57" t="b">
        <x:f>AND(A103&gt;3,H103&lt;='Assumptions'!$B$7)</x:f>
        <x:v>0</x:v>
      </x:c>
      <x:c r="J103" s="55" t="n">
        <x:v>0.010849822023709876</x:v>
      </x:c>
      <x:c r="K103" s="55" t="n">
        <x:v>-0.07544059256507307</x:v>
      </x:c>
      <x:c r="L103" s="55" t="n">
        <x:v>0.05490983977095776</x:v>
      </x:c>
      <x:c r="M103" s="57" t="b">
        <x:f>J103&gt;='Assumptions'!$B$8</x:f>
        <x:v>1</x:v>
      </x:c>
      <x:c r="N103" s="57" t="b">
        <x:f>AND(K103&lt;&gt;"",K103&lt;='Assumptions'!$B$9)</x:f>
        <x:v>1</x:v>
      </x:c>
      <x:c r="O103" s="57" t="b">
        <x:f>AND(P103&lt;&gt;"",ABS(L103)&lt;='Assumptions'!$B$10)</x:f>
        <x:v>0</x:v>
      </x:c>
      <x:c r="P103" s="53" t="n">
        <x:v>43893</x:v>
      </x:c>
      <x:c r="Q103" s="54" t="n">
        <x:v>8900</x:v>
      </x:c>
      <x:c r="R103" s="55" t="n">
        <x:v>-0.00327</x:v>
      </x:c>
      <x:c r="S103" s="57" t="str">
        <x:f>IF(I103,"DAMAGE SKIP",IF(AND(M103,N103),IF(O103,"TUESDAY RE-ENTRY","GAP/MOM SKIP"),"BASELINE"))</x:f>
        <x:v>GAP/MOM SKIP</x:v>
      </x:c>
      <x:c r="T103" s="56" t="n">
        <x:f>IF(I103,0,IF(AND(M103,N103),IF(O103,R103,0),G103))</x:f>
        <x:v>0</x:v>
      </x:c>
      <x:c r="U103" s="56" t="n">
        <x:f>G103*'Assumptions'!$B$6</x:f>
        <x:v>0.411207</x:v>
      </x:c>
      <x:c r="V103" s="56" t="n">
        <x:f>T103*'Assumptions'!$B$6</x:f>
        <x:v>0</x:v>
      </x:c>
      <x:c r="W103" s="56" t="n">
        <x:f>V103-U103</x:f>
        <x:v>-0.411207</x:v>
      </x:c>
      <x:c r="X103" s="58" t="n">
        <x:f>X102*(1+U103)</x:f>
        <x:v>530.0526742733811</x:v>
      </x:c>
      <x:c r="Y103" s="58" t="n">
        <x:f>MAX(Y102,X103)</x:f>
        <x:v>530.0526742733811</x:v>
      </x:c>
      <x:c r="Z103" s="59" t="n">
        <x:f>X103/Y103-1</x:f>
        <x:v>0</x:v>
      </x:c>
      <x:c r="AA103" s="58" t="n">
        <x:f>AA102*(1+V103)</x:f>
        <x:v>4623.340702696783</x:v>
      </x:c>
      <x:c r="AB103" s="58" t="n">
        <x:f>MAX(AB102,AA103)</x:f>
        <x:v>4623.340702696783</x:v>
      </x:c>
      <x:c r="AC103" s="59" t="n">
        <x:f>AA103/AB103-1</x:f>
        <x:v>0</x:v>
      </x:c>
      <x:c r="AD103" s="60" t="n">
        <x:f>AA103-X103</x:f>
        <x:v>4093.2880284234025</x:v>
      </x:c>
      <x:c r="AE103" s="28" t="str">
        <x:v>Monday entry skipped; Tuesday did not normalize within the Friday-based tolerance.</x:v>
      </x:c>
    </x:row>
    <x:row r="104" ht="18" customHeight="1">
      <x:c r="A104" s="23" t="n">
        <x:v>100</x:v>
      </x:c>
      <x:c r="B104" s="53" t="n">
        <x:v>43913</x:v>
      </x:c>
      <x:c r="C104" s="53" t="n">
        <x:v>43914</x:v>
      </x:c>
      <x:c r="D104" s="23" t="str">
        <x:v>PREOH</x:v>
      </x:c>
      <x:c r="E104" s="54" t="n">
        <x:v>7011.51</x:v>
      </x:c>
      <x:c r="F104" s="54" t="n">
        <x:v>7083.05</x:v>
      </x:c>
      <x:c r="G104" s="55" t="n">
        <x:v>0.0102</x:v>
      </x:c>
      <x:c r="H104" s="56" t="n">
        <x:f>SUM(T101:T103)</x:f>
        <x:v>0.0167</x:v>
      </x:c>
      <x:c r="I104" s="57" t="b">
        <x:f>AND(A104&gt;3,H104&lt;='Assumptions'!$B$7)</x:f>
        <x:v>0</x:v>
      </x:c>
      <x:c r="J104" s="55" t="n">
        <x:v>-0.17652509706924868</x:v>
      </x:c>
      <x:c r="K104" s="55" t="n">
        <x:v>-0.09629107369801382</x:v>
      </x:c>
      <x:c r="L104" s="55" t="n">
        <x:v>-0.13318127382141454</x:v>
      </x:c>
      <x:c r="M104" s="57" t="b">
        <x:f>J104&gt;='Assumptions'!$B$8</x:f>
        <x:v>0</x:v>
      </x:c>
      <x:c r="N104" s="57" t="b">
        <x:f>AND(K104&lt;&gt;"",K104&lt;='Assumptions'!$B$9)</x:f>
        <x:v>1</x:v>
      </x:c>
      <x:c r="O104" s="57" t="b">
        <x:f>AND(P104&lt;&gt;"",ABS(L104)&lt;='Assumptions'!$B$10)</x:f>
        <x:v>0</x:v>
      </x:c>
      <x:c r="P104" s="53" t="n">
        <x:v>43914</x:v>
      </x:c>
      <x:c r="Q104" s="54" t="n">
        <x:v>7355.34</x:v>
      </x:c>
      <x:c r="R104" s="55" t="n">
        <x:v>-0.03701</x:v>
      </x:c>
      <x:c r="S104" s="57" t="str">
        <x:f>IF(I104,"DAMAGE SKIP",IF(AND(M104,N104),IF(O104,"TUESDAY RE-ENTRY","GAP/MOM SKIP"),"BASELINE"))</x:f>
        <x:v>BASELINE</x:v>
      </x:c>
      <x:c r="T104" s="56" t="n">
        <x:f>IF(I104,0,IF(AND(M104,N104),IF(O104,R104,0),G104))</x:f>
        <x:v>0.0102</x:v>
      </x:c>
      <x:c r="U104" s="56" t="n">
        <x:f>G104*'Assumptions'!$B$6</x:f>
        <x:v>0.11526000000000002</x:v>
      </x:c>
      <x:c r="V104" s="56" t="n">
        <x:f>T104*'Assumptions'!$B$6</x:f>
        <x:v>0.11526000000000002</x:v>
      </x:c>
      <x:c r="W104" s="56" t="n">
        <x:f>V104-U104</x:f>
        <x:v>0</x:v>
      </x:c>
      <x:c r="X104" s="58" t="n">
        <x:f>X103*(1+U104)</x:f>
        <x:v>591.1465455101309</x:v>
      </x:c>
      <x:c r="Y104" s="58" t="n">
        <x:f>MAX(Y103,X104)</x:f>
        <x:v>591.1465455101309</x:v>
      </x:c>
      <x:c r="Z104" s="59" t="n">
        <x:f>X104/Y104-1</x:f>
        <x:v>0</x:v>
      </x:c>
      <x:c r="AA104" s="58" t="n">
        <x:f>AA103*(1+V104)</x:f>
        <x:v>5156.226952089614</x:v>
      </x:c>
      <x:c r="AB104" s="58" t="n">
        <x:f>MAX(AB103,AA104)</x:f>
        <x:v>5156.226952089614</x:v>
      </x:c>
      <x:c r="AC104" s="59" t="n">
        <x:f>AA104/AB104-1</x:f>
        <x:v>0</x:v>
      </x:c>
      <x:c r="AD104" s="60" t="n">
        <x:f>AA104-X104</x:f>
        <x:v>4565.080406579484</x:v>
      </x:c>
      <x:c r="AE104" s="28" t="str">
        <x:v>Baseline trade unchanged.</x:v>
      </x:c>
    </x:row>
    <x:row r="105" ht="18" customHeight="1">
      <x:c r="A105" s="23" t="n">
        <x:v>101</x:v>
      </x:c>
      <x:c r="B105" s="53" t="n">
        <x:v>43920</x:v>
      </x:c>
      <x:c r="C105" s="53" t="n">
        <x:v>43920</x:v>
      </x:c>
      <x:c r="D105" s="23" t="str">
        <x:v>CH</x:v>
      </x:c>
      <x:c r="E105" s="54" t="n">
        <x:v>7678.92</x:v>
      </x:c>
      <x:c r="F105" s="54" t="n">
        <x:v>7874.7</x:v>
      </x:c>
      <x:c r="G105" s="55" t="n">
        <x:v>0.02549</x:v>
      </x:c>
      <x:c r="H105" s="56" t="n">
        <x:f>SUM(T102:T104)</x:f>
        <x:v>0.019180000000000003</x:v>
      </x:c>
      <x:c r="I105" s="57" t="b">
        <x:f>AND(A105&gt;3,H105&lt;='Assumptions'!$B$7)</x:f>
        <x:v>0</x:v>
      </x:c>
      <x:c r="J105" s="55" t="n">
        <x:v>0.010775220940732355</x:v>
      </x:c>
      <x:c r="K105" s="55" t="n">
        <x:v>-0.20616315801100082</x:v>
      </x:c>
      <x:c r="L105" s="55" t="n">
        <x:v>0.03355947484709021</x:v>
      </x:c>
      <x:c r="M105" s="57" t="b">
        <x:f>J105&gt;='Assumptions'!$B$8</x:f>
        <x:v>1</x:v>
      </x:c>
      <x:c r="N105" s="57" t="b">
        <x:f>AND(K105&lt;&gt;"",K105&lt;='Assumptions'!$B$9)</x:f>
        <x:v>1</x:v>
      </x:c>
      <x:c r="O105" s="57" t="b">
        <x:f>AND(P105&lt;&gt;"",ABS(L105)&lt;='Assumptions'!$B$10)</x:f>
        <x:v>0</x:v>
      </x:c>
      <x:c r="P105" s="53" t="n">
        <x:v>43921</x:v>
      </x:c>
      <x:c r="Q105" s="54" t="n">
        <x:v>7860.8</x:v>
      </x:c>
      <x:c r="R105" s="55" t="n">
        <x:v>0.00176</x:v>
      </x:c>
      <x:c r="S105" s="57" t="str">
        <x:f>IF(I105,"DAMAGE SKIP",IF(AND(M105,N105),IF(O105,"TUESDAY RE-ENTRY","GAP/MOM SKIP"),"BASELINE"))</x:f>
        <x:v>GAP/MOM SKIP</x:v>
      </x:c>
      <x:c r="T105" s="56" t="n">
        <x:f>IF(I105,0,IF(AND(M105,N105),IF(O105,R105,0),G105))</x:f>
        <x:v>0</x:v>
      </x:c>
      <x:c r="U105" s="56" t="n">
        <x:f>G105*'Assumptions'!$B$6</x:f>
        <x:v>0.288037</x:v>
      </x:c>
      <x:c r="V105" s="56" t="n">
        <x:f>T105*'Assumptions'!$B$6</x:f>
        <x:v>0</x:v>
      </x:c>
      <x:c r="W105" s="56" t="n">
        <x:f>V105-U105</x:f>
        <x:v>-0.288037</x:v>
      </x:c>
      <x:c r="X105" s="58" t="n">
        <x:f>X104*(1+U105)</x:f>
        <x:v>761.4186230392324</x:v>
      </x:c>
      <x:c r="Y105" s="58" t="n">
        <x:f>MAX(Y104,X105)</x:f>
        <x:v>761.4186230392324</x:v>
      </x:c>
      <x:c r="Z105" s="59" t="n">
        <x:f>X105/Y105-1</x:f>
        <x:v>0</x:v>
      </x:c>
      <x:c r="AA105" s="58" t="n">
        <x:f>AA104*(1+V105)</x:f>
        <x:v>5156.226952089614</x:v>
      </x:c>
      <x:c r="AB105" s="58" t="n">
        <x:f>MAX(AB104,AA105)</x:f>
        <x:v>5156.226952089614</x:v>
      </x:c>
      <x:c r="AC105" s="59" t="n">
        <x:f>AA105/AB105-1</x:f>
        <x:v>0</x:v>
      </x:c>
      <x:c r="AD105" s="60" t="n">
        <x:f>AA105-X105</x:f>
        <x:v>4394.808329050382</x:v>
      </x:c>
      <x:c r="AE105" s="28" t="str">
        <x:v>Monday entry skipped; Tuesday did not normalize within the Friday-based tolerance.</x:v>
      </x:c>
    </x:row>
    <x:row r="106" ht="18" customHeight="1">
      <x:c r="A106" s="23" t="n">
        <x:v>102</x:v>
      </x:c>
      <x:c r="B106" s="53" t="n">
        <x:v>43927</x:v>
      </x:c>
      <x:c r="C106" s="53" t="n">
        <x:v>43927</x:v>
      </x:c>
      <x:c r="D106" s="23" t="str">
        <x:v>CH</x:v>
      </x:c>
      <x:c r="E106" s="54" t="n">
        <x:v>7813.69</x:v>
      </x:c>
      <x:c r="F106" s="54" t="n">
        <x:v>8031.7</x:v>
      </x:c>
      <x:c r="G106" s="55" t="n">
        <x:v>0.0279</x:v>
      </x:c>
      <x:c r="H106" s="56" t="n">
        <x:f>SUM(T103:T105)</x:f>
        <x:v>0.0102</x:v>
      </x:c>
      <x:c r="I106" s="57" t="b">
        <x:f>AND(A106&gt;3,H106&lt;='Assumptions'!$B$7)</x:f>
        <x:v>0</x:v>
      </x:c>
      <x:c r="J106" s="55" t="n">
        <x:v>0.03763467276824661</x:v>
      </x:c>
      <x:c r="K106" s="55" t="n">
        <x:v>-0.2018755948212394</x:v>
      </x:c>
      <x:c r="L106" s="55" t="n">
        <x:v>0.1024596849038455</x:v>
      </x:c>
      <x:c r="M106" s="57" t="b">
        <x:f>J106&gt;='Assumptions'!$B$8</x:f>
        <x:v>1</x:v>
      </x:c>
      <x:c r="N106" s="57" t="b">
        <x:f>AND(K106&lt;&gt;"",K106&lt;='Assumptions'!$B$9)</x:f>
        <x:v>1</x:v>
      </x:c>
      <x:c r="O106" s="57" t="b">
        <x:f>AND(P106&lt;&gt;"",ABS(L106)&lt;='Assumptions'!$B$10)</x:f>
        <x:v>0</x:v>
      </x:c>
      <x:c r="P106" s="53" t="n">
        <x:v>43928</x:v>
      </x:c>
      <x:c r="Q106" s="54" t="n">
        <x:v>8291.63</x:v>
      </x:c>
      <x:c r="R106" s="55" t="n">
        <x:v>-0.03134</x:v>
      </x:c>
      <x:c r="S106" s="57" t="str">
        <x:f>IF(I106,"DAMAGE SKIP",IF(AND(M106,N106),IF(O106,"TUESDAY RE-ENTRY","GAP/MOM SKIP"),"BASELINE"))</x:f>
        <x:v>GAP/MOM SKIP</x:v>
      </x:c>
      <x:c r="T106" s="56" t="n">
        <x:f>IF(I106,0,IF(AND(M106,N106),IF(O106,R106,0),G106))</x:f>
        <x:v>0</x:v>
      </x:c>
      <x:c r="U106" s="56" t="n">
        <x:f>G106*'Assumptions'!$B$6</x:f>
        <x:v>0.31527000000000005</x:v>
      </x:c>
      <x:c r="V106" s="56" t="n">
        <x:f>T106*'Assumptions'!$B$6</x:f>
        <x:v>0</x:v>
      </x:c>
      <x:c r="W106" s="56" t="n">
        <x:f>V106-U106</x:f>
        <x:v>-0.31527000000000005</x:v>
      </x:c>
      <x:c r="X106" s="58" t="n">
        <x:f>X105*(1+U106)</x:f>
        <x:v>1001.4710723248112</x:v>
      </x:c>
      <x:c r="Y106" s="58" t="n">
        <x:f>MAX(Y105,X106)</x:f>
        <x:v>1001.4710723248112</x:v>
      </x:c>
      <x:c r="Z106" s="59" t="n">
        <x:f>X106/Y106-1</x:f>
        <x:v>0</x:v>
      </x:c>
      <x:c r="AA106" s="58" t="n">
        <x:f>AA105*(1+V106)</x:f>
        <x:v>5156.226952089614</x:v>
      </x:c>
      <x:c r="AB106" s="58" t="n">
        <x:f>MAX(AB105,AA106)</x:f>
        <x:v>5156.226952089614</x:v>
      </x:c>
      <x:c r="AC106" s="59" t="n">
        <x:f>AA106/AB106-1</x:f>
        <x:v>0</x:v>
      </x:c>
      <x:c r="AD106" s="60" t="n">
        <x:f>AA106-X106</x:f>
        <x:v>4154.7558797648035</x:v>
      </x:c>
      <x:c r="AE106" s="28" t="str">
        <x:v>Monday entry skipped; Tuesday did not normalize within the Friday-based tolerance.</x:v>
      </x:c>
    </x:row>
    <x:row r="107" ht="18" customHeight="1">
      <x:c r="A107" s="23" t="n">
        <x:v>103</x:v>
      </x:c>
      <x:c r="B107" s="53" t="n">
        <x:v>43934</x:v>
      </x:c>
      <x:c r="C107" s="53" t="n">
        <x:v>43934</x:v>
      </x:c>
      <x:c r="D107" s="23" t="str">
        <x:v>CH</x:v>
      </x:c>
      <x:c r="E107" s="54" t="n">
        <x:v>8201.06</x:v>
      </x:c>
      <x:c r="F107" s="54" t="n">
        <x:v>8335.26</x:v>
      </x:c>
      <x:c r="G107" s="55" t="n">
        <x:v>0.01636</x:v>
      </x:c>
      <x:c r="H107" s="56" t="n">
        <x:f>SUM(T104:T106)</x:f>
        <x:v>0.0102</x:v>
      </x:c>
      <x:c r="I107" s="57" t="b">
        <x:f>AND(A107&gt;3,H107&lt;='Assumptions'!$B$7)</x:f>
        <x:v>0</x:v>
      </x:c>
      <x:c r="J107" s="55" t="n">
        <x:v>-0.003615678632262642</x:v>
      </x:c>
      <x:c r="K107" s="55" t="n">
        <x:v>-0.020986648972533883</x:v>
      </x:c>
      <x:c r="L107" s="55" t="n">
        <x:v>0.03135124588598326</x:v>
      </x:c>
      <x:c r="M107" s="57" t="b">
        <x:f>J107&gt;='Assumptions'!$B$8</x:f>
        <x:v>0</x:v>
      </x:c>
      <x:c r="N107" s="57" t="b">
        <x:f>AND(K107&lt;&gt;"",K107&lt;='Assumptions'!$B$9)</x:f>
        <x:v>1</x:v>
      </x:c>
      <x:c r="O107" s="57" t="b">
        <x:f>AND(P107&lt;&gt;"",ABS(L107)&lt;='Assumptions'!$B$10)</x:f>
        <x:v>0</x:v>
      </x:c>
      <x:c r="P107" s="53" t="n">
        <x:v>43935</x:v>
      </x:c>
      <x:c r="Q107" s="54" t="n">
        <x:v>8498.46</x:v>
      </x:c>
      <x:c r="R107" s="55" t="n">
        <x:v>-0.0192</x:v>
      </x:c>
      <x:c r="S107" s="57" t="str">
        <x:f>IF(I107,"DAMAGE SKIP",IF(AND(M107,N107),IF(O107,"TUESDAY RE-ENTRY","GAP/MOM SKIP"),"BASELINE"))</x:f>
        <x:v>BASELINE</x:v>
      </x:c>
      <x:c r="T107" s="56" t="n">
        <x:f>IF(I107,0,IF(AND(M107,N107),IF(O107,R107,0),G107))</x:f>
        <x:v>0.01636</x:v>
      </x:c>
      <x:c r="U107" s="56" t="n">
        <x:f>G107*'Assumptions'!$B$6</x:f>
        <x:v>0.184868</x:v>
      </x:c>
      <x:c r="V107" s="56" t="n">
        <x:f>T107*'Assumptions'!$B$6</x:f>
        <x:v>0.184868</x:v>
      </x:c>
      <x:c r="W107" s="56" t="n">
        <x:f>V107-U107</x:f>
        <x:v>0</x:v>
      </x:c>
      <x:c r="X107" s="58" t="n">
        <x:f>X106*(1+U107)</x:f>
        <x:v>1186.6110265233544</x:v>
      </x:c>
      <x:c r="Y107" s="58" t="n">
        <x:f>MAX(Y106,X107)</x:f>
        <x:v>1186.6110265233544</x:v>
      </x:c>
      <x:c r="Z107" s="59" t="n">
        <x:f>X107/Y107-1</x:f>
        <x:v>0</x:v>
      </x:c>
      <x:c r="AA107" s="58" t="n">
        <x:f>AA106*(1+V107)</x:f>
        <x:v>6109.448316268517</x:v>
      </x:c>
      <x:c r="AB107" s="58" t="n">
        <x:f>MAX(AB106,AA107)</x:f>
        <x:v>6109.448316268517</x:v>
      </x:c>
      <x:c r="AC107" s="59" t="n">
        <x:f>AA107/AB107-1</x:f>
        <x:v>0</x:v>
      </x:c>
      <x:c r="AD107" s="60" t="n">
        <x:f>AA107-X107</x:f>
        <x:v>4922.837289745163</x:v>
      </x:c>
      <x:c r="AE107" s="28" t="str">
        <x:v>Baseline trade unchanged.</x:v>
      </x:c>
    </x:row>
    <x:row r="108" ht="18" customHeight="1">
      <x:c r="A108" s="23" t="n">
        <x:v>104</x:v>
      </x:c>
      <x:c r="B108" s="53" t="n">
        <x:v>43941</x:v>
      </x:c>
      <x:c r="C108" s="53" t="n">
        <x:v>43944</x:v>
      </x:c>
      <x:c r="D108" s="23" t="str">
        <x:v>TSL1PRE</x:v>
      </x:c>
      <x:c r="E108" s="54" t="n">
        <x:v>8747.21</x:v>
      </x:c>
      <x:c r="F108" s="54" t="n">
        <x:v>8647.37</x:v>
      </x:c>
      <x:c r="G108" s="55" t="n">
        <x:v>-0.01141</x:v>
      </x:c>
      <x:c r="H108" s="56" t="n">
        <x:f>SUM(T105:T107)</x:f>
        <x:v>0.01636</x:v>
      </x:c>
      <x:c r="I108" s="57" t="b">
        <x:f>AND(A108&gt;3,H108&lt;='Assumptions'!$B$7)</x:f>
        <x:v>0</x:v>
      </x:c>
      <x:c r="J108" s="55" t="n">
        <x:v>-0.007812987390101611</x:v>
      </x:c>
      <x:c r="K108" s="55" t="n">
        <x:v>0.019884892367523666</x:v>
      </x:c>
      <x:c r="L108" s="55" t="n">
        <x:v>-0.02174871136489931</x:v>
      </x:c>
      <x:c r="M108" s="57" t="b">
        <x:f>J108&gt;='Assumptions'!$B$8</x:f>
        <x:v>0</x:v>
      </x:c>
      <x:c r="N108" s="57" t="b">
        <x:f>AND(K108&lt;&gt;"",K108&lt;='Assumptions'!$B$9)</x:f>
        <x:v>0</x:v>
      </x:c>
      <x:c r="O108" s="57" t="b">
        <x:f>AND(P108&lt;&gt;"",ABS(L108)&lt;='Assumptions'!$B$10)</x:f>
        <x:v>0</x:v>
      </x:c>
      <x:c r="P108" s="53" t="n">
        <x:v>43942</x:v>
      </x:c>
      <x:c r="Q108" s="54" t="n">
        <x:v>8641.4</x:v>
      </x:c>
      <x:c r="R108" s="55" t="n">
        <x:v>0.00069</x:v>
      </x:c>
      <x:c r="S108" s="57" t="str">
        <x:f>IF(I108,"DAMAGE SKIP",IF(AND(M108,N108),IF(O108,"TUESDAY RE-ENTRY","GAP/MOM SKIP"),"BASELINE"))</x:f>
        <x:v>BASELINE</x:v>
      </x:c>
      <x:c r="T108" s="56" t="n">
        <x:f>IF(I108,0,IF(AND(M108,N108),IF(O108,R108,0),G108))</x:f>
        <x:v>-0.01141</x:v>
      </x:c>
      <x:c r="U108" s="56" t="n">
        <x:f>G108*'Assumptions'!$B$6</x:f>
        <x:v>-0.12893300000000002</x:v>
      </x:c>
      <x:c r="V108" s="56" t="n">
        <x:f>T108*'Assumptions'!$B$6</x:f>
        <x:v>-0.12893300000000002</x:v>
      </x:c>
      <x:c r="W108" s="56" t="n">
        <x:f>V108-U108</x:f>
        <x:v>0</x:v>
      </x:c>
      <x:c r="X108" s="58" t="n">
        <x:f>X107*(1+U108)</x:f>
        <x:v>1033.6177070406188</x:v>
      </x:c>
      <x:c r="Y108" s="58" t="n">
        <x:f>MAX(Y107,X108)</x:f>
        <x:v>1186.6110265233544</x:v>
      </x:c>
      <x:c r="Z108" s="59" t="n">
        <x:f>X108/Y108-1</x:f>
        <x:v>-0.12893299999999996</x:v>
      </x:c>
      <x:c r="AA108" s="58" t="n">
        <x:f>AA107*(1+V108)</x:f>
        <x:v>5321.738816507069</x:v>
      </x:c>
      <x:c r="AB108" s="58" t="n">
        <x:f>MAX(AB107,AA108)</x:f>
        <x:v>6109.448316268517</x:v>
      </x:c>
      <x:c r="AC108" s="59" t="n">
        <x:f>AA108/AB108-1</x:f>
        <x:v>-0.12893299999999996</x:v>
      </x:c>
      <x:c r="AD108" s="60" t="n">
        <x:f>AA108-X108</x:f>
        <x:v>4288.12110946645</x:v>
      </x:c>
      <x:c r="AE108" s="28" t="str">
        <x:v>Baseline trade unchanged.</x:v>
      </x:c>
    </x:row>
    <x:row r="109" ht="18" customHeight="1">
      <x:c r="A109" s="23" t="n">
        <x:v>105</x:v>
      </x:c>
      <x:c r="B109" s="53" t="n">
        <x:v>43948</x:v>
      </x:c>
      <x:c r="C109" s="53" t="n">
        <x:v>43950</x:v>
      </x:c>
      <x:c r="D109" s="23" t="str">
        <x:v>BEPRE</x:v>
      </x:c>
      <x:c r="E109" s="54" t="n">
        <x:v>8868.41</x:v>
      </x:c>
      <x:c r="F109" s="54" t="n">
        <x:v>8838.6</x:v>
      </x:c>
      <x:c r="G109" s="55" t="n">
        <x:v>-0.00336</x:v>
      </x:c>
      <x:c r="H109" s="56" t="n">
        <x:f>SUM(T106:T108)</x:f>
        <x:v>0.0049499999999999995</x:v>
      </x:c>
      <x:c r="I109" s="57" t="b">
        <x:f>AND(A109&gt;3,H109&lt;='Assumptions'!$B$7)</x:f>
        <x:v>0</x:v>
      </x:c>
      <x:c r="J109" s="55" t="n">
        <x:v>0.00925333727851041</x:v>
      </x:c>
      <x:c r="K109" s="55" t="n">
        <x:v>0.11433224230502592</x:v>
      </x:c>
      <x:c r="L109" s="55" t="n">
        <x:v>0.016031948142146035</x:v>
      </x:c>
      <x:c r="M109" s="57" t="b">
        <x:f>J109&gt;='Assumptions'!$B$8</x:f>
        <x:v>0</x:v>
      </x:c>
      <x:c r="N109" s="57" t="b">
        <x:f>AND(K109&lt;&gt;"",K109&lt;='Assumptions'!$B$9)</x:f>
        <x:v>0</x:v>
      </x:c>
      <x:c r="O109" s="57" t="b">
        <x:f>AND(P109&lt;&gt;"",ABS(L109)&lt;='Assumptions'!$B$10)</x:f>
        <x:v>0</x:v>
      </x:c>
      <x:c r="P109" s="53" t="n">
        <x:v>43949</x:v>
      </x:c>
      <x:c r="Q109" s="54" t="n">
        <x:v>8914.23</x:v>
      </x:c>
      <x:c r="R109" s="55" t="n">
        <x:v>-0.00848</x:v>
      </x:c>
      <x:c r="S109" s="57" t="str">
        <x:f>IF(I109,"DAMAGE SKIP",IF(AND(M109,N109),IF(O109,"TUESDAY RE-ENTRY","GAP/MOM SKIP"),"BASELINE"))</x:f>
        <x:v>BASELINE</x:v>
      </x:c>
      <x:c r="T109" s="56" t="n">
        <x:f>IF(I109,0,IF(AND(M109,N109),IF(O109,R109,0),G109))</x:f>
        <x:v>-0.00336</x:v>
      </x:c>
      <x:c r="U109" s="56" t="n">
        <x:f>G109*'Assumptions'!$B$6</x:f>
        <x:v>-0.037968</x:v>
      </x:c>
      <x:c r="V109" s="56" t="n">
        <x:f>T109*'Assumptions'!$B$6</x:f>
        <x:v>-0.037968</x:v>
      </x:c>
      <x:c r="W109" s="56" t="n">
        <x:f>V109-U109</x:f>
        <x:v>0</x:v>
      </x:c>
      <x:c r="X109" s="58" t="n">
        <x:f>X108*(1+U109)</x:f>
        <x:v>994.3733099397006</x:v>
      </x:c>
      <x:c r="Y109" s="58" t="n">
        <x:f>MAX(Y108,X109)</x:f>
        <x:v>1186.6110265233544</x:v>
      </x:c>
      <x:c r="Z109" s="59" t="n">
        <x:f>X109/Y109-1</x:f>
        <x:v>-0.162005671856</x:v>
      </x:c>
      <x:c r="AA109" s="58" t="n">
        <x:f>AA108*(1+V109)</x:f>
        <x:v>5119.6830371219285</x:v>
      </x:c>
      <x:c r="AB109" s="58" t="n">
        <x:f>MAX(AB108,AA109)</x:f>
        <x:v>6109.448316268517</x:v>
      </x:c>
      <x:c r="AC109" s="59" t="n">
        <x:f>AA109/AB109-1</x:f>
        <x:v>-0.162005671856</x:v>
      </x:c>
      <x:c r="AD109" s="60" t="n">
        <x:f>AA109-X109</x:f>
        <x:v>4125.309727182228</x:v>
      </x:c>
      <x:c r="AE109" s="28" t="str">
        <x:v>Baseline trade unchanged.</x:v>
      </x:c>
    </x:row>
    <x:row r="110" ht="18" customHeight="1">
      <x:c r="A110" s="23" t="n">
        <x:v>106</x:v>
      </x:c>
      <x:c r="B110" s="53" t="n">
        <x:v>43955</x:v>
      </x:c>
      <x:c r="C110" s="53" t="n">
        <x:v>43955</x:v>
      </x:c>
      <x:c r="D110" s="23" t="str">
        <x:v>CH</x:v>
      </x:c>
      <x:c r="E110" s="54" t="n">
        <x:v>8680.62</x:v>
      </x:c>
      <x:c r="F110" s="54" t="n">
        <x:v>8825.69</x:v>
      </x:c>
      <x:c r="G110" s="55" t="n">
        <x:v>0.01671</x:v>
      </x:c>
      <x:c r="H110" s="56" t="n">
        <x:f>SUM(T107:T109)</x:f>
        <x:v>0.0015899999999999994</x:v>
      </x:c>
      <x:c r="I110" s="57" t="b">
        <x:f>AND(A110&gt;3,H110&lt;='Assumptions'!$B$7)</x:f>
        <x:v>0</x:v>
      </x:c>
      <x:c r="J110" s="55" t="n">
        <x:v>-0.005736080726631343</x:v>
      </x:c>
      <x:c r="K110" s="55" t="n">
        <x:v>0.14365872320606798</x:v>
      </x:c>
      <x:c r="L110" s="55" t="n">
        <x:v>0.021908391025268203</x:v>
      </x:c>
      <x:c r="M110" s="57" t="b">
        <x:f>J110&gt;='Assumptions'!$B$8</x:f>
        <x:v>0</x:v>
      </x:c>
      <x:c r="N110" s="57" t="b">
        <x:f>AND(K110&lt;&gt;"",K110&lt;='Assumptions'!$B$9)</x:f>
        <x:v>0</x:v>
      </x:c>
      <x:c r="O110" s="57" t="b">
        <x:f>AND(P110&lt;&gt;"",ABS(L110)&lt;='Assumptions'!$B$10)</x:f>
        <x:v>0</x:v>
      </x:c>
      <x:c r="P110" s="53" t="n">
        <x:v>43956</x:v>
      </x:c>
      <x:c r="Q110" s="54" t="n">
        <x:v>8916.77</x:v>
      </x:c>
      <x:c r="R110" s="55" t="n">
        <x:v>-0.01021</x:v>
      </x:c>
      <x:c r="S110" s="57" t="str">
        <x:f>IF(I110,"DAMAGE SKIP",IF(AND(M110,N110),IF(O110,"TUESDAY RE-ENTRY","GAP/MOM SKIP"),"BASELINE"))</x:f>
        <x:v>BASELINE</x:v>
      </x:c>
      <x:c r="T110" s="56" t="n">
        <x:f>IF(I110,0,IF(AND(M110,N110),IF(O110,R110,0),G110))</x:f>
        <x:v>0.01671</x:v>
      </x:c>
      <x:c r="U110" s="56" t="n">
        <x:f>G110*'Assumptions'!$B$6</x:f>
        <x:v>0.188823</x:v>
      </x:c>
      <x:c r="V110" s="56" t="n">
        <x:f>T110*'Assumptions'!$B$6</x:f>
        <x:v>0.188823</x:v>
      </x:c>
      <x:c r="W110" s="56" t="n">
        <x:f>V110-U110</x:f>
        <x:v>0</x:v>
      </x:c>
      <x:c r="X110" s="58" t="n">
        <x:f>X109*(1+U110)</x:f>
        <x:v>1182.1338614424446</x:v>
      </x:c>
      <x:c r="Y110" s="58" t="n">
        <x:f>MAX(Y109,X110)</x:f>
        <x:v>1186.6110265233544</x:v>
      </x:c>
      <x:c r="Z110" s="59" t="n">
        <x:f>X110/Y110-1</x:f>
        <x:v>-0.003773068832865545</x:v>
      </x:c>
      <x:c r="AA110" s="58" t="n">
        <x:f>AA109*(1+V110)</x:f>
        <x:v>6086.396947240402</x:v>
      </x:c>
      <x:c r="AB110" s="58" t="n">
        <x:f>MAX(AB109,AA110)</x:f>
        <x:v>6109.448316268517</x:v>
      </x:c>
      <x:c r="AC110" s="59" t="n">
        <x:f>AA110/AB110-1</x:f>
        <x:v>-0.003773068832865434</x:v>
      </x:c>
      <x:c r="AD110" s="60" t="n">
        <x:f>AA110-X110</x:f>
        <x:v>4904.2630857979575</x:v>
      </x:c>
      <x:c r="AE110" s="28" t="str">
        <x:v>Baseline trade unchanged.</x:v>
      </x:c>
    </x:row>
    <x:row r="111" ht="18" customHeight="1">
      <x:c r="A111" s="23" t="n">
        <x:v>107</x:v>
      </x:c>
      <x:c r="B111" s="53" t="n">
        <x:v>43962</x:v>
      </x:c>
      <x:c r="C111" s="53" t="n">
        <x:v>43962</x:v>
      </x:c>
      <x:c r="D111" s="23" t="str">
        <x:v>CH</x:v>
      </x:c>
      <x:c r="E111" s="54" t="n">
        <x:v>9163.57</x:v>
      </x:c>
      <x:c r="F111" s="54" t="n">
        <x:v>9302.59</x:v>
      </x:c>
      <x:c r="G111" s="55" t="n">
        <x:v>0.01517</x:v>
      </x:c>
      <x:c r="H111" s="56" t="n">
        <x:f>SUM(T108:T110)</x:f>
        <x:v>0.001939999999999999</x:v>
      </x:c>
      <x:c r="I111" s="57" t="b">
        <x:f>AND(A111&gt;3,H111&lt;='Assumptions'!$B$7)</x:f>
        <x:v>0</x:v>
      </x:c>
      <x:c r="J111" s="55" t="n">
        <x:v>-0.00659446684879228</x:v>
      </x:c>
      <x:c r="K111" s="55" t="n">
        <x:v>0.11947977264442056</x:v>
      </x:c>
      <x:c r="L111" s="55" t="n">
        <x:v>0.0115442299489521</x:v>
      </x:c>
      <x:c r="M111" s="57" t="b">
        <x:f>J111&gt;='Assumptions'!$B$8</x:f>
        <x:v>0</x:v>
      </x:c>
      <x:c r="N111" s="57" t="b">
        <x:f>AND(K111&lt;&gt;"",K111&lt;='Assumptions'!$B$9)</x:f>
        <x:v>0</x:v>
      </x:c>
      <x:c r="O111" s="57" t="b">
        <x:f>AND(P111&lt;&gt;"",ABS(L111)&lt;='Assumptions'!$B$10)</x:f>
        <x:v>0</x:v>
      </x:c>
      <x:c r="P111" s="53" t="n">
        <x:v>43963</x:v>
      </x:c>
      <x:c r="Q111" s="54" t="n">
        <x:v>9326.32</x:v>
      </x:c>
      <x:c r="R111" s="55" t="n">
        <x:v>-0.00254</x:v>
      </x:c>
      <x:c r="S111" s="57" t="str">
        <x:f>IF(I111,"DAMAGE SKIP",IF(AND(M111,N111),IF(O111,"TUESDAY RE-ENTRY","GAP/MOM SKIP"),"BASELINE"))</x:f>
        <x:v>BASELINE</x:v>
      </x:c>
      <x:c r="T111" s="56" t="n">
        <x:f>IF(I111,0,IF(AND(M111,N111),IF(O111,R111,0),G111))</x:f>
        <x:v>0.01517</x:v>
      </x:c>
      <x:c r="U111" s="56" t="n">
        <x:f>G111*'Assumptions'!$B$6</x:f>
        <x:v>0.17142100000000002</x:v>
      </x:c>
      <x:c r="V111" s="56" t="n">
        <x:f>T111*'Assumptions'!$B$6</x:f>
        <x:v>0.17142100000000002</x:v>
      </x:c>
      <x:c r="W111" s="56" t="n">
        <x:f>V111-U111</x:f>
        <x:v>0</x:v>
      </x:c>
      <x:c r="X111" s="58" t="n">
        <x:f>X110*(1+U111)</x:f>
        <x:v>1384.77643010477</x:v>
      </x:c>
      <x:c r="Y111" s="58" t="n">
        <x:f>MAX(Y110,X111)</x:f>
        <x:v>1384.77643010477</x:v>
      </x:c>
      <x:c r="Z111" s="59" t="n">
        <x:f>X111/Y111-1</x:f>
        <x:v>0</x:v>
      </x:c>
      <x:c r="AA111" s="58" t="n">
        <x:f>AA110*(1+V111)</x:f>
        <x:v>7129.7331983333</x:v>
      </x:c>
      <x:c r="AB111" s="58" t="n">
        <x:f>MAX(AB110,AA111)</x:f>
        <x:v>7129.7331983333</x:v>
      </x:c>
      <x:c r="AC111" s="59" t="n">
        <x:f>AA111/AB111-1</x:f>
        <x:v>0</x:v>
      </x:c>
      <x:c r="AD111" s="60" t="n">
        <x:f>AA111-X111</x:f>
        <x:v>5744.95676822853</x:v>
      </x:c>
      <x:c r="AE111" s="28" t="str">
        <x:v>Baseline trade unchanged.</x:v>
      </x:c>
    </x:row>
    <x:row r="112" ht="18" customHeight="1">
      <x:c r="A112" s="23" t="n">
        <x:v>108</x:v>
      </x:c>
      <x:c r="B112" s="53" t="n">
        <x:v>43969</x:v>
      </x:c>
      <x:c r="C112" s="53" t="n">
        <x:v>43970</x:v>
      </x:c>
      <x:c r="D112" s="23" t="str">
        <x:v>PREOH</x:v>
      </x:c>
      <x:c r="E112" s="54" t="n">
        <x:v>9275.51</x:v>
      </x:c>
      <x:c r="F112" s="54" t="n">
        <x:v>9341.89</x:v>
      </x:c>
      <x:c r="G112" s="55" t="n">
        <x:v>0.00715</x:v>
      </x:c>
      <x:c r="H112" s="56" t="n">
        <x:f>SUM(T109:T111)</x:f>
        <x:v>0.028519999999999997</x:v>
      </x:c>
      <x:c r="I112" s="57" t="b">
        <x:f>AND(A112&gt;3,H112&lt;='Assumptions'!$B$7)</x:f>
        <x:v>0</x:v>
      </x:c>
      <x:c r="J112" s="55" t="n">
        <x:v>0.014103740115082086</x:v>
      </x:c>
      <x:c r="K112" s="55" t="n">
        <x:v>0.03700634257573743</x:v>
      </x:c>
      <x:c r="L112" s="55" t="n">
        <x:v>0.01965603100617619</x:v>
      </x:c>
      <x:c r="M112" s="57" t="b">
        <x:f>J112&gt;='Assumptions'!$B$8</x:f>
        <x:v>1</x:v>
      </x:c>
      <x:c r="N112" s="57" t="b">
        <x:f>AND(K112&lt;&gt;"",K112&lt;='Assumptions'!$B$9)</x:f>
        <x:v>0</x:v>
      </x:c>
      <x:c r="O112" s="57" t="b">
        <x:f>AND(P112&lt;&gt;"",ABS(L112)&lt;='Assumptions'!$B$10)</x:f>
        <x:v>0</x:v>
      </x:c>
      <x:c r="P112" s="53" t="n">
        <x:v>43970</x:v>
      </x:c>
      <x:c r="Q112" s="54" t="n">
        <x:v>9333.35</x:v>
      </x:c>
      <x:c r="R112" s="55" t="n">
        <x:v>0.00091</x:v>
      </x:c>
      <x:c r="S112" s="57" t="str">
        <x:f>IF(I112,"DAMAGE SKIP",IF(AND(M112,N112),IF(O112,"TUESDAY RE-ENTRY","GAP/MOM SKIP"),"BASELINE"))</x:f>
        <x:v>BASELINE</x:v>
      </x:c>
      <x:c r="T112" s="56" t="n">
        <x:f>IF(I112,0,IF(AND(M112,N112),IF(O112,R112,0),G112))</x:f>
        <x:v>0.00715</x:v>
      </x:c>
      <x:c r="U112" s="56" t="n">
        <x:f>G112*'Assumptions'!$B$6</x:f>
        <x:v>0.080795</x:v>
      </x:c>
      <x:c r="V112" s="56" t="n">
        <x:f>T112*'Assumptions'!$B$6</x:f>
        <x:v>0.080795</x:v>
      </x:c>
      <x:c r="W112" s="56" t="n">
        <x:f>V112-U112</x:f>
        <x:v>0</x:v>
      </x:c>
      <x:c r="X112" s="58" t="n">
        <x:f>X111*(1+U112)</x:f>
        <x:v>1496.6594417750848</x:v>
      </x:c>
      <x:c r="Y112" s="58" t="n">
        <x:f>MAX(Y111,X112)</x:f>
        <x:v>1496.6594417750848</x:v>
      </x:c>
      <x:c r="Z112" s="59" t="n">
        <x:f>X112/Y112-1</x:f>
        <x:v>0</x:v>
      </x:c>
      <x:c r="AA112" s="58" t="n">
        <x:f>AA111*(1+V112)</x:f>
        <x:v>7705.779992092638</x:v>
      </x:c>
      <x:c r="AB112" s="58" t="n">
        <x:f>MAX(AB111,AA112)</x:f>
        <x:v>7705.779992092638</x:v>
      </x:c>
      <x:c r="AC112" s="59" t="n">
        <x:f>AA112/AB112-1</x:f>
        <x:v>0</x:v>
      </x:c>
      <x:c r="AD112" s="60" t="n">
        <x:f>AA112-X112</x:f>
        <x:v>6209.120550317553</x:v>
      </x:c>
      <x:c r="AE112" s="28" t="str">
        <x:v>Baseline trade unchanged.</x:v>
      </x:c>
    </x:row>
    <x:row r="113" ht="18" customHeight="1">
      <x:c r="A113" s="23" t="n">
        <x:v>109</x:v>
      </x:c>
      <x:c r="B113" s="53" t="n">
        <x:v>43977</x:v>
      </x:c>
      <x:c r="C113" s="53" t="n">
        <x:v>43979</x:v>
      </x:c>
      <x:c r="D113" s="23" t="str">
        <x:v>TSL1PRE</x:v>
      </x:c>
      <x:c r="E113" s="54" t="n">
        <x:v>9562.16</x:v>
      </x:c>
      <x:c r="F113" s="54" t="n">
        <x:v>9433.69</x:v>
      </x:c>
      <x:c r="G113" s="55" t="n">
        <x:v>-0.01343</x:v>
      </x:c>
      <x:c r="H113" s="56" t="n">
        <x:f>SUM(T110:T112)</x:f>
        <x:v>0.039029999999999995</x:v>
      </x:c>
      <x:c r="I113" s="57" t="b">
        <x:f>AND(A113&gt;3,H113&lt;='Assumptions'!$B$7)</x:f>
        <x:v>0</x:v>
      </x:c>
      <x:c r="J113" s="55" t="n">
        <x:v>0.015793292392088487</x:v>
      </x:c>
      <x:c r="K113" s="55" t="n">
        <x:v>0.07395242504919541</x:v>
      </x:c>
      <x:c r="L113" s="55"/>
      <x:c r="M113" s="57" t="b">
        <x:f>J113&gt;='Assumptions'!$B$8</x:f>
        <x:v>1</x:v>
      </x:c>
      <x:c r="N113" s="57" t="b">
        <x:f>AND(K113&lt;&gt;"",K113&lt;='Assumptions'!$B$9)</x:f>
        <x:v>0</x:v>
      </x:c>
      <x:c r="O113" s="57" t="b">
        <x:f>AND(P113&lt;&gt;"",ABS(L113)&lt;='Assumptions'!$B$10)</x:f>
        <x:v>0</x:v>
      </x:c>
      <x:c r="P113" s="53"/>
      <x:c r="Q113" s="54"/>
      <x:c r="R113" s="55"/>
      <x:c r="S113" s="57" t="str">
        <x:f>IF(I113,"DAMAGE SKIP",IF(AND(M113,N113),IF(O113,"TUESDAY RE-ENTRY","GAP/MOM SKIP"),"BASELINE"))</x:f>
        <x:v>BASELINE</x:v>
      </x:c>
      <x:c r="T113" s="56" t="n">
        <x:f>IF(I113,0,IF(AND(M113,N113),IF(O113,R113,0),G113))</x:f>
        <x:v>-0.01343</x:v>
      </x:c>
      <x:c r="U113" s="56" t="n">
        <x:f>G113*'Assumptions'!$B$6</x:f>
        <x:v>-0.151759</x:v>
      </x:c>
      <x:c r="V113" s="56" t="n">
        <x:f>T113*'Assumptions'!$B$6</x:f>
        <x:v>-0.151759</x:v>
      </x:c>
      <x:c r="W113" s="56" t="n">
        <x:f>V113-U113</x:f>
        <x:v>0</x:v>
      </x:c>
      <x:c r="X113" s="58" t="n">
        <x:f>X112*(1+U113)</x:f>
        <x:v>1269.5279015507397</x:v>
      </x:c>
      <x:c r="Y113" s="58" t="n">
        <x:f>MAX(Y112,X113)</x:f>
        <x:v>1496.6594417750848</x:v>
      </x:c>
      <x:c r="Z113" s="59" t="n">
        <x:f>X113/Y113-1</x:f>
        <x:v>-0.15175899999999998</x:v>
      </x:c>
      <x:c r="AA113" s="58" t="n">
        <x:f>AA112*(1+V113)</x:f>
        <x:v>6536.358526272652</x:v>
      </x:c>
      <x:c r="AB113" s="58" t="n">
        <x:f>MAX(AB112,AA113)</x:f>
        <x:v>7705.779992092638</x:v>
      </x:c>
      <x:c r="AC113" s="59" t="n">
        <x:f>AA113/AB113-1</x:f>
        <x:v>-0.15175899999999998</x:v>
      </x:c>
      <x:c r="AD113" s="60" t="n">
        <x:f>AA113-X113</x:f>
        <x:v>5266.8306247219125</x:v>
      </x:c>
      <x:c r="AE113" s="28" t="str">
        <x:v>Baseline trade unchanged.</x:v>
      </x:c>
    </x:row>
    <x:row r="114" ht="18" customHeight="1">
      <x:c r="A114" s="23" t="n">
        <x:v>110</x:v>
      </x:c>
      <x:c r="B114" s="53" t="n">
        <x:v>43983</x:v>
      </x:c>
      <x:c r="C114" s="53" t="n">
        <x:v>43984</x:v>
      </x:c>
      <x:c r="D114" s="23" t="str">
        <x:v>PREOH</x:v>
      </x:c>
      <x:c r="E114" s="54" t="n">
        <x:v>9522.79</x:v>
      </x:c>
      <x:c r="F114" s="54" t="n">
        <x:v>9596.51</x:v>
      </x:c>
      <x:c r="G114" s="55" t="n">
        <x:v>0.00774</x:v>
      </x:c>
      <x:c r="H114" s="56" t="n">
        <x:f>SUM(T111:T113)</x:f>
        <x:v>0.00889</x:v>
      </x:c>
      <x:c r="I114" s="57" t="b">
        <x:f>AND(A114&gt;3,H114&lt;='Assumptions'!$B$7)</x:f>
        <x:v>0</x:v>
      </x:c>
      <x:c r="J114" s="55" t="n">
        <x:v>-0.004538892623097146</x:v>
      </x:c>
      <x:c r="K114" s="55" t="n">
        <x:v>0.0660504035392726</x:v>
      </x:c>
      <x:c r="L114" s="55" t="n">
        <x:v>0.004503548920297362</x:v>
      </x:c>
      <x:c r="M114" s="57" t="b">
        <x:f>J114&gt;='Assumptions'!$B$8</x:f>
        <x:v>0</x:v>
      </x:c>
      <x:c r="N114" s="57" t="b">
        <x:f>AND(K114&lt;&gt;"",K114&lt;='Assumptions'!$B$9)</x:f>
        <x:v>0</x:v>
      </x:c>
      <x:c r="O114" s="57" t="b">
        <x:f>AND(P114&lt;&gt;"",ABS(L114)&lt;='Assumptions'!$B$10)</x:f>
        <x:v>1</x:v>
      </x:c>
      <x:c r="P114" s="53" t="n">
        <x:v>43984</x:v>
      </x:c>
      <x:c r="Q114" s="54" t="n">
        <x:v>9606.92</x:v>
      </x:c>
      <x:c r="R114" s="55" t="n">
        <x:v>-0.00108</x:v>
      </x:c>
      <x:c r="S114" s="57" t="str">
        <x:f>IF(I114,"DAMAGE SKIP",IF(AND(M114,N114),IF(O114,"TUESDAY RE-ENTRY","GAP/MOM SKIP"),"BASELINE"))</x:f>
        <x:v>BASELINE</x:v>
      </x:c>
      <x:c r="T114" s="56" t="n">
        <x:f>IF(I114,0,IF(AND(M114,N114),IF(O114,R114,0),G114))</x:f>
        <x:v>0.00774</x:v>
      </x:c>
      <x:c r="U114" s="56" t="n">
        <x:f>G114*'Assumptions'!$B$6</x:f>
        <x:v>0.08746200000000001</x:v>
      </x:c>
      <x:c r="V114" s="56" t="n">
        <x:f>T114*'Assumptions'!$B$6</x:f>
        <x:v>0.08746200000000001</x:v>
      </x:c>
      <x:c r="W114" s="56" t="n">
        <x:f>V114-U114</x:f>
        <x:v>0</x:v>
      </x:c>
      <x:c r="X114" s="58" t="n">
        <x:f>X113*(1+U114)</x:f>
        <x:v>1380.5633508761703</x:v>
      </x:c>
      <x:c r="Y114" s="58" t="n">
        <x:f>MAX(Y113,X114)</x:f>
        <x:v>1496.6594417750848</x:v>
      </x:c>
      <x:c r="Z114" s="59" t="n">
        <x:f>X114/Y114-1</x:f>
        <x:v>-0.07757014565800013</x:v>
      </x:c>
      <x:c r="AA114" s="58" t="n">
        <x:f>AA113*(1+V114)</x:f>
        <x:v>7108.0415156975105</x:v>
      </x:c>
      <x:c r="AB114" s="58" t="n">
        <x:f>MAX(AB113,AA114)</x:f>
        <x:v>7705.779992092638</x:v>
      </x:c>
      <x:c r="AC114" s="59" t="n">
        <x:f>AA114/AB114-1</x:f>
        <x:v>-0.07757014565799991</x:v>
      </x:c>
      <x:c r="AD114" s="60" t="n">
        <x:f>AA114-X114</x:f>
        <x:v>5727.47816482134</x:v>
      </x:c>
      <x:c r="AE114" s="28" t="str">
        <x:v>Baseline trade unchanged.</x:v>
      </x:c>
    </x:row>
    <x:row r="115" ht="18" customHeight="1">
      <x:c r="A115" s="23" t="n">
        <x:v>111</x:v>
      </x:c>
      <x:c r="B115" s="53" t="n">
        <x:v>43990</x:v>
      </x:c>
      <x:c r="C115" s="53" t="n">
        <x:v>43990</x:v>
      </x:c>
      <x:c r="D115" s="23" t="str">
        <x:v>CH</x:v>
      </x:c>
      <x:c r="E115" s="54" t="n">
        <x:v>9809.81</x:v>
      </x:c>
      <x:c r="F115" s="54" t="n">
        <x:v>9892.72</x:v>
      </x:c>
      <x:c r="G115" s="55" t="n">
        <x:v>0.00845</x:v>
      </x:c>
      <x:c r="H115" s="56" t="n">
        <x:f>SUM(T112:T114)</x:f>
        <x:v>0.0014600000000000012</x:v>
      </x:c>
      <x:c r="I115" s="57" t="b">
        <x:f>AND(A115&gt;3,H115&lt;='Assumptions'!$B$7)</x:f>
        <x:v>0</x:v>
      </x:c>
      <x:c r="J115" s="55" t="n">
        <x:v>-0.0002588574602415683</x:v>
      </x:c>
      <x:c r="K115" s="55" t="n">
        <x:v>0.08054549427863367</x:v>
      </x:c>
      <x:c r="L115" s="55" t="n">
        <x:v>0.0040749761181442246</x:v>
      </x:c>
      <x:c r="M115" s="57" t="b">
        <x:f>J115&gt;='Assumptions'!$B$8</x:f>
        <x:v>0</x:v>
      </x:c>
      <x:c r="N115" s="57" t="b">
        <x:f>AND(K115&lt;&gt;"",K115&lt;='Assumptions'!$B$9)</x:f>
        <x:v>0</x:v>
      </x:c>
      <x:c r="O115" s="57" t="b">
        <x:f>AND(P115&lt;&gt;"",ABS(L115)&lt;='Assumptions'!$B$10)</x:f>
        <x:v>1</x:v>
      </x:c>
      <x:c r="P115" s="53" t="n">
        <x:v>43991</x:v>
      </x:c>
      <x:c r="Q115" s="54" t="n">
        <x:v>9858.85</x:v>
      </x:c>
      <x:c r="R115" s="55" t="n">
        <x:v>0.00343</x:v>
      </x:c>
      <x:c r="S115" s="57" t="str">
        <x:f>IF(I115,"DAMAGE SKIP",IF(AND(M115,N115),IF(O115,"TUESDAY RE-ENTRY","GAP/MOM SKIP"),"BASELINE"))</x:f>
        <x:v>BASELINE</x:v>
      </x:c>
      <x:c r="T115" s="56" t="n">
        <x:f>IF(I115,0,IF(AND(M115,N115),IF(O115,R115,0),G115))</x:f>
        <x:v>0.00845</x:v>
      </x:c>
      <x:c r="U115" s="56" t="n">
        <x:f>G115*'Assumptions'!$B$6</x:f>
        <x:v>0.095485</x:v>
      </x:c>
      <x:c r="V115" s="56" t="n">
        <x:f>T115*'Assumptions'!$B$6</x:f>
        <x:v>0.095485</x:v>
      </x:c>
      <x:c r="W115" s="56" t="n">
        <x:f>V115-U115</x:f>
        <x:v>0</x:v>
      </x:c>
      <x:c r="X115" s="58" t="n">
        <x:f>X114*(1+U115)</x:f>
        <x:v>1512.3864424345813</x:v>
      </x:c>
      <x:c r="Y115" s="58" t="n">
        <x:f>MAX(Y114,X115)</x:f>
        <x:v>1512.3864424345813</x:v>
      </x:c>
      <x:c r="Z115" s="59" t="n">
        <x:f>X115/Y115-1</x:f>
        <x:v>0</x:v>
      </x:c>
      <x:c r="AA115" s="58" t="n">
        <x:f>AA114*(1+V115)</x:f>
        <x:v>7786.752859823888</x:v>
      </x:c>
      <x:c r="AB115" s="58" t="n">
        <x:f>MAX(AB114,AA115)</x:f>
        <x:v>7786.752859823888</x:v>
      </x:c>
      <x:c r="AC115" s="59" t="n">
        <x:f>AA115/AB115-1</x:f>
        <x:v>0</x:v>
      </x:c>
      <x:c r="AD115" s="60" t="n">
        <x:f>AA115-X115</x:f>
        <x:v>6274.366417389307</x:v>
      </x:c>
      <x:c r="AE115" s="28" t="str">
        <x:v>Baseline trade unchanged.</x:v>
      </x:c>
    </x:row>
    <x:row r="116" ht="18" customHeight="1">
      <x:c r="A116" s="23" t="n">
        <x:v>112</x:v>
      </x:c>
      <x:c r="B116" s="53" t="n">
        <x:v>43997</x:v>
      </x:c>
      <x:c r="C116" s="53" t="n">
        <x:v>43997</x:v>
      </x:c>
      <x:c r="D116" s="23" t="str">
        <x:v>CH</x:v>
      </x:c>
      <x:c r="E116" s="54" t="n">
        <x:v>9521.61</x:v>
      </x:c>
      <x:c r="F116" s="54" t="n">
        <x:v>9784.55</x:v>
      </x:c>
      <x:c r="G116" s="55" t="n">
        <x:v>0.02761</x:v>
      </x:c>
      <x:c r="H116" s="56" t="n">
        <x:f>SUM(T113:T115)</x:f>
        <x:v>0.0027600000000000003</x:v>
      </x:c>
      <x:c r="I116" s="57" t="b">
        <x:f>AND(A116&gt;3,H116&lt;='Assumptions'!$B$7)</x:f>
        <x:v>0</x:v>
      </x:c>
      <x:c r="J116" s="55" t="n">
        <x:v>-0.014378122894132872</x:v>
      </x:c>
      <x:c r="K116" s="55" t="n">
        <x:v>0.06335287635820919</x:v>
      </x:c>
      <x:c r="L116" s="55" t="n">
        <x:v>0.03342267617519368</x:v>
      </x:c>
      <x:c r="M116" s="57" t="b">
        <x:f>J116&gt;='Assumptions'!$B$8</x:f>
        <x:v>0</x:v>
      </x:c>
      <x:c r="N116" s="57" t="b">
        <x:f>AND(K116&lt;&gt;"",K116&lt;='Assumptions'!$B$9)</x:f>
        <x:v>0</x:v>
      </x:c>
      <x:c r="O116" s="57" t="b">
        <x:f>AND(P116&lt;&gt;"",ABS(L116)&lt;='Assumptions'!$B$10)</x:f>
        <x:v>0</x:v>
      </x:c>
      <x:c r="P116" s="53" t="n">
        <x:v>43998</x:v>
      </x:c>
      <x:c r="Q116" s="54" t="n">
        <x:v>9988.28</x:v>
      </x:c>
      <x:c r="R116" s="55" t="n">
        <x:v>-0.02039</x:v>
      </x:c>
      <x:c r="S116" s="57" t="str">
        <x:f>IF(I116,"DAMAGE SKIP",IF(AND(M116,N116),IF(O116,"TUESDAY RE-ENTRY","GAP/MOM SKIP"),"BASELINE"))</x:f>
        <x:v>BASELINE</x:v>
      </x:c>
      <x:c r="T116" s="56" t="n">
        <x:f>IF(I116,0,IF(AND(M116,N116),IF(O116,R116,0),G116))</x:f>
        <x:v>0.02761</x:v>
      </x:c>
      <x:c r="U116" s="56" t="n">
        <x:f>G116*'Assumptions'!$B$6</x:f>
        <x:v>0.311993</x:v>
      </x:c>
      <x:c r="V116" s="56" t="n">
        <x:f>T116*'Assumptions'!$B$6</x:f>
        <x:v>0.311993</x:v>
      </x:c>
      <x:c r="W116" s="56" t="n">
        <x:f>V116-U116</x:f>
        <x:v>0</x:v>
      </x:c>
      <x:c r="X116" s="58" t="n">
        <x:f>X115*(1+U116)</x:f>
        <x:v>1984.2404257690737</x:v>
      </x:c>
      <x:c r="Y116" s="58" t="n">
        <x:f>MAX(Y115,X116)</x:f>
        <x:v>1984.2404257690737</x:v>
      </x:c>
      <x:c r="Z116" s="59" t="n">
        <x:f>X116/Y116-1</x:f>
        <x:v>0</x:v>
      </x:c>
      <x:c r="AA116" s="58" t="n">
        <x:f>AA115*(1+V116)</x:f>
        <x:v>10216.165244818922</x:v>
      </x:c>
      <x:c r="AB116" s="58" t="n">
        <x:f>MAX(AB115,AA116)</x:f>
        <x:v>10216.165244818922</x:v>
      </x:c>
      <x:c r="AC116" s="59" t="n">
        <x:f>AA116/AB116-1</x:f>
        <x:v>0</x:v>
      </x:c>
      <x:c r="AD116" s="60" t="n">
        <x:f>AA116-X116</x:f>
        <x:v>8231.924819049847</x:v>
      </x:c>
      <x:c r="AE116" s="28" t="str">
        <x:v>Baseline trade unchanged.</x:v>
      </x:c>
    </x:row>
    <x:row r="117" ht="18" customHeight="1">
      <x:c r="A117" s="23" t="n">
        <x:v>113</x:v>
      </x:c>
      <x:c r="B117" s="53" t="n">
        <x:v>44004</x:v>
      </x:c>
      <x:c r="C117" s="53" t="n">
        <x:v>44004</x:v>
      </x:c>
      <x:c r="D117" s="23" t="str">
        <x:v>CH</x:v>
      </x:c>
      <x:c r="E117" s="54" t="n">
        <x:v>10000.37</x:v>
      </x:c>
      <x:c r="F117" s="54" t="n">
        <x:v>10127.51</x:v>
      </x:c>
      <x:c r="G117" s="55" t="n">
        <x:v>0.01271</x:v>
      </x:c>
      <x:c r="H117" s="56" t="n">
        <x:f>SUM(T114:T116)</x:f>
        <x:v>0.0438</x:v>
      </x:c>
      <x:c r="I117" s="57" t="b">
        <x:f>AND(A117&gt;3,H117&lt;='Assumptions'!$B$7)</x:f>
        <x:v>0</x:v>
      </x:c>
      <x:c r="J117" s="55" t="n">
        <x:v>0.0017570167978420148</x:v>
      </x:c>
      <x:c r="K117" s="55" t="n">
        <x:v>0.06715546883097567</x:v>
      </x:c>
      <x:c r="L117" s="55" t="n">
        <x:v>0.01879183294271658</x:v>
      </x:c>
      <x:c r="M117" s="57" t="b">
        <x:f>J117&gt;='Assumptions'!$B$8</x:f>
        <x:v>0</x:v>
      </x:c>
      <x:c r="N117" s="57" t="b">
        <x:f>AND(K117&lt;&gt;"",K117&lt;='Assumptions'!$B$9)</x:f>
        <x:v>0</x:v>
      </x:c>
      <x:c r="O117" s="57" t="b">
        <x:f>AND(P117&lt;&gt;"",ABS(L117)&lt;='Assumptions'!$B$10)</x:f>
        <x:v>0</x:v>
      </x:c>
      <x:c r="P117" s="53" t="n">
        <x:v>44005</x:v>
      </x:c>
      <x:c r="Q117" s="54" t="n">
        <x:v>10192.67</x:v>
      </x:c>
      <x:c r="R117" s="55" t="n">
        <x:v>-0.00639</x:v>
      </x:c>
      <x:c r="S117" s="57" t="str">
        <x:f>IF(I117,"DAMAGE SKIP",IF(AND(M117,N117),IF(O117,"TUESDAY RE-ENTRY","GAP/MOM SKIP"),"BASELINE"))</x:f>
        <x:v>BASELINE</x:v>
      </x:c>
      <x:c r="T117" s="56" t="n">
        <x:f>IF(I117,0,IF(AND(M117,N117),IF(O117,R117,0),G117))</x:f>
        <x:v>0.01271</x:v>
      </x:c>
      <x:c r="U117" s="56" t="n">
        <x:f>G117*'Assumptions'!$B$6</x:f>
        <x:v>0.14362300000000003</x:v>
      </x:c>
      <x:c r="V117" s="56" t="n">
        <x:f>T117*'Assumptions'!$B$6</x:f>
        <x:v>0.14362300000000003</x:v>
      </x:c>
      <x:c r="W117" s="56" t="n">
        <x:f>V117-U117</x:f>
        <x:v>0</x:v>
      </x:c>
      <x:c r="X117" s="58" t="n">
        <x:f>X116*(1+U117)</x:f>
        <x:v>2269.2229884393055</x:v>
      </x:c>
      <x:c r="Y117" s="58" t="n">
        <x:f>MAX(Y116,X117)</x:f>
        <x:v>2269.2229884393055</x:v>
      </x:c>
      <x:c r="Z117" s="59" t="n">
        <x:f>X117/Y117-1</x:f>
        <x:v>0</x:v>
      </x:c>
      <x:c r="AA117" s="58" t="n">
        <x:f>AA116*(1+V117)</x:f>
        <x:v>11683.44154577555</x:v>
      </x:c>
      <x:c r="AB117" s="58" t="n">
        <x:f>MAX(AB116,AA117)</x:f>
        <x:v>11683.44154577555</x:v>
      </x:c>
      <x:c r="AC117" s="59" t="n">
        <x:f>AA117/AB117-1</x:f>
        <x:v>0</x:v>
      </x:c>
      <x:c r="AD117" s="60" t="n">
        <x:f>AA117-X117</x:f>
        <x:v>9414.218557336244</x:v>
      </x:c>
      <x:c r="AE117" s="28" t="str">
        <x:v>Baseline trade unchanged.</x:v>
      </x:c>
    </x:row>
    <x:row r="118" ht="18" customHeight="1">
      <x:c r="A118" s="23" t="n">
        <x:v>114</x:v>
      </x:c>
      <x:c r="B118" s="53" t="n">
        <x:v>44011</x:v>
      </x:c>
      <x:c r="C118" s="53" t="n">
        <x:v>44011</x:v>
      </x:c>
      <x:c r="D118" s="23" t="str">
        <x:v>CH</x:v>
      </x:c>
      <x:c r="E118" s="54" t="n">
        <x:v>9846.26</x:v>
      </x:c>
      <x:c r="F118" s="54" t="n">
        <x:v>9970.81</x:v>
      </x:c>
      <x:c r="G118" s="55" t="n">
        <x:v>0.01264</x:v>
      </x:c>
      <x:c r="H118" s="56" t="n">
        <x:f>SUM(T115:T117)</x:f>
        <x:v>0.048769999999999994</x:v>
      </x:c>
      <x:c r="I118" s="57" t="b">
        <x:f>AND(A118&gt;3,H118&lt;='Assumptions'!$B$7)</x:f>
        <x:v>0</x:v>
      </x:c>
      <x:c r="J118" s="55" t="n">
        <x:v>-0.0035450836884658443</x:v>
      </x:c>
      <x:c r="K118" s="55" t="n">
        <x:v>0.031180115439350287</x:v>
      </x:c>
      <x:c r="L118" s="55" t="n">
        <x:v>0.010641991076671298</x:v>
      </x:c>
      <x:c r="M118" s="57" t="b">
        <x:f>J118&gt;='Assumptions'!$B$8</x:f>
        <x:v>0</x:v>
      </x:c>
      <x:c r="N118" s="57" t="b">
        <x:f>AND(K118&lt;&gt;"",K118&lt;='Assumptions'!$B$9)</x:f>
        <x:v>0</x:v>
      </x:c>
      <x:c r="O118" s="57" t="b">
        <x:f>AND(P118&lt;&gt;"",ABS(L118)&lt;='Assumptions'!$B$10)</x:f>
        <x:v>0</x:v>
      </x:c>
      <x:c r="P118" s="53" t="n">
        <x:v>44012</x:v>
      </x:c>
      <x:c r="Q118" s="54" t="n">
        <x:v>9958.22</x:v>
      </x:c>
      <x:c r="R118" s="55" t="n">
        <x:v>0.00126</x:v>
      </x:c>
      <x:c r="S118" s="57" t="str">
        <x:f>IF(I118,"DAMAGE SKIP",IF(AND(M118,N118),IF(O118,"TUESDAY RE-ENTRY","GAP/MOM SKIP"),"BASELINE"))</x:f>
        <x:v>BASELINE</x:v>
      </x:c>
      <x:c r="T118" s="56" t="n">
        <x:f>IF(I118,0,IF(AND(M118,N118),IF(O118,R118,0),G118))</x:f>
        <x:v>0.01264</x:v>
      </x:c>
      <x:c r="U118" s="56" t="n">
        <x:f>G118*'Assumptions'!$B$6</x:f>
        <x:v>0.14283200000000001</x:v>
      </x:c>
      <x:c r="V118" s="56" t="n">
        <x:f>T118*'Assumptions'!$B$6</x:f>
        <x:v>0.14283200000000001</x:v>
      </x:c>
      <x:c r="W118" s="56" t="n">
        <x:f>V118-U118</x:f>
        <x:v>0</x:v>
      </x:c>
      <x:c r="X118" s="58" t="n">
        <x:f>X117*(1+U118)</x:f>
        <x:v>2593.3406463240685</x:v>
      </x:c>
      <x:c r="Y118" s="58" t="n">
        <x:f>MAX(Y117,X118)</x:f>
        <x:v>2593.3406463240685</x:v>
      </x:c>
      <x:c r="Z118" s="59" t="n">
        <x:f>X118/Y118-1</x:f>
        <x:v>0</x:v>
      </x:c>
      <x:c r="AA118" s="58" t="n">
        <x:f>AA117*(1+V118)</x:f>
        <x:v>13352.210868641763</x:v>
      </x:c>
      <x:c r="AB118" s="58" t="n">
        <x:f>MAX(AB117,AA118)</x:f>
        <x:v>13352.210868641763</x:v>
      </x:c>
      <x:c r="AC118" s="59" t="n">
        <x:f>AA118/AB118-1</x:f>
        <x:v>0</x:v>
      </x:c>
      <x:c r="AD118" s="60" t="n">
        <x:f>AA118-X118</x:f>
        <x:v>10758.870222317695</x:v>
      </x:c>
      <x:c r="AE118" s="28" t="str">
        <x:v>Baseline trade unchanged.</x:v>
      </x:c>
    </x:row>
    <x:row r="119" ht="18" customHeight="1">
      <x:c r="A119" s="23" t="n">
        <x:v>115</x:v>
      </x:c>
      <x:c r="B119" s="53" t="n">
        <x:v>44018</x:v>
      </x:c>
      <x:c r="C119" s="53" t="n">
        <x:v>44018</x:v>
      </x:c>
      <x:c r="D119" s="23" t="str">
        <x:v>CH</x:v>
      </x:c>
      <x:c r="E119" s="54" t="n">
        <x:v>10478.85</x:v>
      </x:c>
      <x:c r="F119" s="54" t="n">
        <x:v>10601.74</x:v>
      </x:c>
      <x:c r="G119" s="55" t="n">
        <x:v>0.01172</x:v>
      </x:c>
      <x:c r="H119" s="56" t="n">
        <x:f>SUM(T116:T118)</x:f>
        <x:v>0.05296</x:v>
      </x:c>
      <x:c r="I119" s="57" t="b">
        <x:f>AND(A119&gt;3,H119&lt;='Assumptions'!$B$7)</x:f>
        <x:v>0</x:v>
      </x:c>
      <x:c r="J119" s="55" t="n">
        <x:v>0.012682143333442752</x:v>
      </x:c>
      <x:c r="K119" s="55" t="n">
        <x:v>0.07485420149813726</x:v>
      </x:c>
      <x:c r="L119" s="55" t="n">
        <x:v>0.02340155384357856</x:v>
      </x:c>
      <x:c r="M119" s="57" t="b">
        <x:f>J119&gt;='Assumptions'!$B$8</x:f>
        <x:v>1</x:v>
      </x:c>
      <x:c r="N119" s="57" t="b">
        <x:f>AND(K119&lt;&gt;"",K119&lt;='Assumptions'!$B$9)</x:f>
        <x:v>0</x:v>
      </x:c>
      <x:c r="O119" s="57" t="b">
        <x:f>AND(P119&lt;&gt;"",ABS(L119)&lt;='Assumptions'!$B$10)</x:f>
        <x:v>0</x:v>
      </x:c>
      <x:c r="P119" s="53" t="n">
        <x:v>44019</x:v>
      </x:c>
      <x:c r="Q119" s="54" t="n">
        <x:v>10587.54</x:v>
      </x:c>
      <x:c r="R119" s="55" t="n">
        <x:v>0.00134</x:v>
      </x:c>
      <x:c r="S119" s="57" t="str">
        <x:f>IF(I119,"DAMAGE SKIP",IF(AND(M119,N119),IF(O119,"TUESDAY RE-ENTRY","GAP/MOM SKIP"),"BASELINE"))</x:f>
        <x:v>BASELINE</x:v>
      </x:c>
      <x:c r="T119" s="56" t="n">
        <x:f>IF(I119,0,IF(AND(M119,N119),IF(O119,R119,0),G119))</x:f>
        <x:v>0.01172</x:v>
      </x:c>
      <x:c r="U119" s="56" t="n">
        <x:f>G119*'Assumptions'!$B$6</x:f>
        <x:v>0.132436</x:v>
      </x:c>
      <x:c r="V119" s="56" t="n">
        <x:f>T119*'Assumptions'!$B$6</x:f>
        <x:v>0.132436</x:v>
      </x:c>
      <x:c r="W119" s="56" t="n">
        <x:f>V119-U119</x:f>
        <x:v>0</x:v>
      </x:c>
      <x:c r="X119" s="58" t="n">
        <x:f>X118*(1+U119)</x:f>
        <x:v>2936.7923081606427</x:v>
      </x:c>
      <x:c r="Y119" s="58" t="n">
        <x:f>MAX(Y118,X119)</x:f>
        <x:v>2936.7923081606427</x:v>
      </x:c>
      <x:c r="Z119" s="59" t="n">
        <x:f>X119/Y119-1</x:f>
        <x:v>0</x:v>
      </x:c>
      <x:c r="AA119" s="58" t="n">
        <x:f>AA118*(1+V119)</x:f>
        <x:v>15120.524267241204</x:v>
      </x:c>
      <x:c r="AB119" s="58" t="n">
        <x:f>MAX(AB118,AA119)</x:f>
        <x:v>15120.524267241204</x:v>
      </x:c>
      <x:c r="AC119" s="59" t="n">
        <x:f>AA119/AB119-1</x:f>
        <x:v>0</x:v>
      </x:c>
      <x:c r="AD119" s="60" t="n">
        <x:f>AA119-X119</x:f>
        <x:v>12183.731959080562</x:v>
      </x:c>
      <x:c r="AE119" s="28" t="str">
        <x:v>Baseline trade unchanged.</x:v>
      </x:c>
    </x:row>
    <x:row r="120" ht="18" customHeight="1">
      <x:c r="A120" s="23" t="n">
        <x:v>116</x:v>
      </x:c>
      <x:c r="B120" s="53" t="n">
        <x:v>44025</x:v>
      </x:c>
      <x:c r="C120" s="53" t="n">
        <x:v>44028</x:v>
      </x:c>
      <x:c r="D120" s="23" t="str">
        <x:v>TSL1PRE</x:v>
      </x:c>
      <x:c r="E120" s="54" t="n">
        <x:v>10949.02</x:v>
      </x:c>
      <x:c r="F120" s="54" t="n">
        <x:v>10700.5</x:v>
      </x:c>
      <x:c r="G120" s="55" t="n">
        <x:v>-0.02269</x:v>
      </x:c>
      <x:c r="H120" s="56" t="n">
        <x:f>SUM(T117:T119)</x:f>
        <x:v>0.03707</x:v>
      </x:c>
      <x:c r="I120" s="57" t="b">
        <x:f>AND(A120&gt;3,H120&lt;='Assumptions'!$B$7)</x:f>
        <x:v>0</x:v>
      </x:c>
      <x:c r="J120" s="55" t="n">
        <x:v>0.01048320186646956</x:v>
      </x:c>
      <x:c r="K120" s="55" t="n">
        <x:v>0.1298748804555252</x:v>
      </x:c>
      <x:c r="L120" s="55" t="n">
        <x:v>-0.02987065670197997</x:v>
      </x:c>
      <x:c r="M120" s="57" t="b">
        <x:f>J120&gt;='Assumptions'!$B$8</x:f>
        <x:v>1</x:v>
      </x:c>
      <x:c r="N120" s="57" t="b">
        <x:f>AND(K120&lt;&gt;"",K120&lt;='Assumptions'!$B$9)</x:f>
        <x:v>0</x:v>
      </x:c>
      <x:c r="O120" s="57" t="b">
        <x:f>AND(P120&lt;&gt;"",ABS(L120)&lt;='Assumptions'!$B$10)</x:f>
        <x:v>0</x:v>
      </x:c>
      <x:c r="P120" s="53" t="n">
        <x:v>44026</x:v>
      </x:c>
      <x:c r="Q120" s="54" t="n">
        <x:v>10503.6</x:v>
      </x:c>
      <x:c r="R120" s="55" t="n">
        <x:v>0.01874</x:v>
      </x:c>
      <x:c r="S120" s="57" t="str">
        <x:f>IF(I120,"DAMAGE SKIP",IF(AND(M120,N120),IF(O120,"TUESDAY RE-ENTRY","GAP/MOM SKIP"),"BASELINE"))</x:f>
        <x:v>BASELINE</x:v>
      </x:c>
      <x:c r="T120" s="56" t="n">
        <x:f>IF(I120,0,IF(AND(M120,N120),IF(O120,R120,0),G120))</x:f>
        <x:v>-0.02269</x:v>
      </x:c>
      <x:c r="U120" s="56" t="n">
        <x:f>G120*'Assumptions'!$B$6</x:f>
        <x:v>-0.256397</x:v>
      </x:c>
      <x:c r="V120" s="56" t="n">
        <x:f>T120*'Assumptions'!$B$6</x:f>
        <x:v>-0.256397</x:v>
      </x:c>
      <x:c r="W120" s="56" t="n">
        <x:f>V120-U120</x:f>
        <x:v>0</x:v>
      </x:c>
      <x:c r="X120" s="58" t="n">
        <x:f>X119*(1+U120)</x:f>
        <x:v>2183.8075707251783</x:v>
      </x:c>
      <x:c r="Y120" s="58" t="n">
        <x:f>MAX(Y119,X120)</x:f>
        <x:v>2936.7923081606427</x:v>
      </x:c>
      <x:c r="Z120" s="59" t="n">
        <x:f>X120/Y120-1</x:f>
        <x:v>-0.2563970000000001</x:v>
      </x:c>
      <x:c r="AA120" s="58" t="n">
        <x:f>AA119*(1+V120)</x:f>
        <x:v>11243.66720669336</x:v>
      </x:c>
      <x:c r="AB120" s="58" t="n">
        <x:f>MAX(AB119,AA120)</x:f>
        <x:v>15120.524267241204</x:v>
      </x:c>
      <x:c r="AC120" s="59" t="n">
        <x:f>AA120/AB120-1</x:f>
        <x:v>-0.256397</x:v>
      </x:c>
      <x:c r="AD120" s="60" t="n">
        <x:f>AA120-X120</x:f>
        <x:v>9059.859635968183</x:v>
      </x:c>
      <x:c r="AE120" s="28" t="str">
        <x:v>Baseline trade unchanged.</x:v>
      </x:c>
    </x:row>
    <x:row r="121" ht="18" customHeight="1">
      <x:c r="A121" s="23" t="n">
        <x:v>117</x:v>
      </x:c>
      <x:c r="B121" s="53" t="n">
        <x:v>44032</x:v>
      </x:c>
      <x:c r="C121" s="53" t="n">
        <x:v>44032</x:v>
      </x:c>
      <x:c r="D121" s="23" t="str">
        <x:v>CH</x:v>
      </x:c>
      <x:c r="E121" s="54" t="n">
        <x:v>10673.79</x:v>
      </x:c>
      <x:c r="F121" s="54" t="n">
        <x:v>10953.25</x:v>
      </x:c>
      <x:c r="G121" s="55" t="n">
        <x:v>0.02618</x:v>
      </x:c>
      <x:c r="H121" s="56" t="n">
        <x:f>SUM(T118:T120)</x:f>
        <x:v>0.0016700000000000013</x:v>
      </x:c>
      <x:c r="I121" s="57" t="b">
        <x:f>AND(A121&gt;3,H121&lt;='Assumptions'!$B$7)</x:f>
        <x:v>0</x:v>
      </x:c>
      <x:c r="J121" s="55" t="n">
        <x:v>0.0024389969026525904</x:v>
      </x:c>
      <x:c r="K121" s="55" t="n">
        <x:v>0.063864822414754</x:v>
      </x:c>
      <x:c r="L121" s="55" t="n">
        <x:v>0.03466285668928837</x:v>
      </x:c>
      <x:c r="M121" s="57" t="b">
        <x:f>J121&gt;='Assumptions'!$B$8</x:f>
        <x:v>0</x:v>
      </x:c>
      <x:c r="N121" s="57" t="b">
        <x:f>AND(K121&lt;&gt;"",K121&lt;='Assumptions'!$B$9)</x:f>
        <x:v>0</x:v>
      </x:c>
      <x:c r="O121" s="57" t="b">
        <x:f>AND(P121&lt;&gt;"",ABS(L121)&lt;='Assumptions'!$B$10)</x:f>
        <x:v>0</x:v>
      </x:c>
      <x:c r="P121" s="53" t="n">
        <x:v>44033</x:v>
      </x:c>
      <x:c r="Q121" s="54" t="n">
        <x:v>11013.8</x:v>
      </x:c>
      <x:c r="R121" s="55" t="n">
        <x:v>-0.00549</x:v>
      </x:c>
      <x:c r="S121" s="57" t="str">
        <x:f>IF(I121,"DAMAGE SKIP",IF(AND(M121,N121),IF(O121,"TUESDAY RE-ENTRY","GAP/MOM SKIP"),"BASELINE"))</x:f>
        <x:v>BASELINE</x:v>
      </x:c>
      <x:c r="T121" s="56" t="n">
        <x:f>IF(I121,0,IF(AND(M121,N121),IF(O121,R121,0),G121))</x:f>
        <x:v>0.02618</x:v>
      </x:c>
      <x:c r="U121" s="56" t="n">
        <x:f>G121*'Assumptions'!$B$6</x:f>
        <x:v>0.295834</x:v>
      </x:c>
      <x:c r="V121" s="56" t="n">
        <x:f>T121*'Assumptions'!$B$6</x:f>
        <x:v>0.295834</x:v>
      </x:c>
      <x:c r="W121" s="56" t="n">
        <x:f>V121-U121</x:f>
        <x:v>0</x:v>
      </x:c>
      <x:c r="X121" s="58" t="n">
        <x:f>X120*(1+U121)</x:f>
        <x:v>2829.8520996030907</x:v>
      </x:c>
      <x:c r="Y121" s="58" t="n">
        <x:f>MAX(Y120,X121)</x:f>
        <x:v>2936.7923081606427</x:v>
      </x:c>
      <x:c r="Z121" s="59" t="n">
        <x:f>X121/Y121-1</x:f>
        <x:v>-0.03641395009800008</x:v>
      </x:c>
      <x:c r="AA121" s="58" t="n">
        <x:f>AA120*(1+V121)</x:f>
        <x:v>14569.926251118284</x:v>
      </x:c>
      <x:c r="AB121" s="58" t="n">
        <x:f>MAX(AB120,AA121)</x:f>
        <x:v>15120.524267241204</x:v>
      </x:c>
      <x:c r="AC121" s="59" t="n">
        <x:f>AA121/AB121-1</x:f>
        <x:v>-0.03641395009800008</x:v>
      </x:c>
      <x:c r="AD121" s="60" t="n">
        <x:f>AA121-X121</x:f>
        <x:v>11740.074151515193</x:v>
      </x:c>
      <x:c r="AE121" s="28" t="str">
        <x:v>Baseline trade unchanged.</x:v>
      </x:c>
    </x:row>
    <x:row r="122" ht="18" customHeight="1">
      <x:c r="A122" s="23" t="n">
        <x:v>118</x:v>
      </x:c>
      <x:c r="B122" s="53" t="n">
        <x:v>44039</x:v>
      </x:c>
      <x:c r="C122" s="53" t="n">
        <x:v>44039</x:v>
      </x:c>
      <x:c r="D122" s="23" t="str">
        <x:v>CH</x:v>
      </x:c>
      <x:c r="E122" s="54" t="n">
        <x:v>10558.25</x:v>
      </x:c>
      <x:c r="F122" s="54" t="n">
        <x:v>10673.79</x:v>
      </x:c>
      <x:c r="G122" s="55" t="n">
        <x:v>0.01094</x:v>
      </x:c>
      <x:c r="H122" s="56" t="n">
        <x:f>SUM(T119:T121)</x:f>
        <x:v>0.01521</x:v>
      </x:c>
      <x:c r="I122" s="57" t="b">
        <x:f>AND(A122&gt;3,H122&lt;='Assumptions'!$B$7)</x:f>
        <x:v>0</x:v>
      </x:c>
      <x:c r="J122" s="55" t="n">
        <x:v>0.0070937477346173505</x:v>
      </x:c>
      <x:c r="K122" s="55" t="n">
        <x:v>0.038769454825466454</x:v>
      </x:c>
      <x:c r="L122" s="55" t="n">
        <x:v>0.014769453900852048</x:v>
      </x:c>
      <x:c r="M122" s="57" t="b">
        <x:f>J122&gt;='Assumptions'!$B$8</x:f>
        <x:v>0</x:v>
      </x:c>
      <x:c r="N122" s="57" t="b">
        <x:f>AND(K122&lt;&gt;"",K122&lt;='Assumptions'!$B$9)</x:f>
        <x:v>0</x:v>
      </x:c>
      <x:c r="O122" s="57" t="b">
        <x:f>AND(P122&lt;&gt;"",ABS(L122)&lt;='Assumptions'!$B$10)</x:f>
        <x:v>0</x:v>
      </x:c>
      <x:c r="P122" s="53" t="n">
        <x:v>44040</x:v>
      </x:c>
      <x:c r="Q122" s="54" t="n">
        <x:v>10641.58</x:v>
      </x:c>
      <x:c r="R122" s="55" t="n">
        <x:v>0.00302</x:v>
      </x:c>
      <x:c r="S122" s="57" t="str">
        <x:f>IF(I122,"DAMAGE SKIP",IF(AND(M122,N122),IF(O122,"TUESDAY RE-ENTRY","GAP/MOM SKIP"),"BASELINE"))</x:f>
        <x:v>BASELINE</x:v>
      </x:c>
      <x:c r="T122" s="56" t="n">
        <x:f>IF(I122,0,IF(AND(M122,N122),IF(O122,R122,0),G122))</x:f>
        <x:v>0.01094</x:v>
      </x:c>
      <x:c r="U122" s="56" t="n">
        <x:f>G122*'Assumptions'!$B$6</x:f>
        <x:v>0.12362200000000001</x:v>
      </x:c>
      <x:c r="V122" s="56" t="n">
        <x:f>T122*'Assumptions'!$B$6</x:f>
        <x:v>0.12362200000000001</x:v>
      </x:c>
      <x:c r="W122" s="56" t="n">
        <x:f>V122-U122</x:f>
        <x:v>0</x:v>
      </x:c>
      <x:c r="X122" s="58" t="n">
        <x:f>X121*(1+U122)</x:f>
        <x:v>3179.6840758602243</x:v>
      </x:c>
      <x:c r="Y122" s="58" t="n">
        <x:f>MAX(Y121,X122)</x:f>
        <x:v>3179.6840758602243</x:v>
      </x:c>
      <x:c r="Z122" s="59" t="n">
        <x:f>X122/Y122-1</x:f>
        <x:v>0</x:v>
      </x:c>
      <x:c r="AA122" s="58" t="n">
        <x:f>AA121*(1+V122)</x:f>
        <x:v>16371.089674134031</x:v>
      </x:c>
      <x:c r="AB122" s="58" t="n">
        <x:f>MAX(AB121,AA122)</x:f>
        <x:v>16371.089674134031</x:v>
      </x:c>
      <x:c r="AC122" s="59" t="n">
        <x:f>AA122/AB122-1</x:f>
        <x:v>0</x:v>
      </x:c>
      <x:c r="AD122" s="60" t="n">
        <x:f>AA122-X122</x:f>
        <x:v>13191.405598273806</x:v>
      </x:c>
      <x:c r="AE122" s="28" t="str">
        <x:v>Baseline trade unchanged.</x:v>
      </x:c>
    </x:row>
    <x:row r="123" ht="18" customHeight="1">
      <x:c r="A123" s="23" t="n">
        <x:v>119</x:v>
      </x:c>
      <x:c r="B123" s="53" t="n">
        <x:v>44046</x:v>
      </x:c>
      <x:c r="C123" s="53" t="n">
        <x:v>44050</x:v>
      </x:c>
      <x:c r="D123" s="23" t="str">
        <x:v>TO</x:v>
      </x:c>
      <x:c r="E123" s="54" t="n">
        <x:v>10998.54</x:v>
      </x:c>
      <x:c r="F123" s="54" t="n">
        <x:v>11133.22</x:v>
      </x:c>
      <x:c r="G123" s="55" t="n">
        <x:v>0.01224</x:v>
      </x:c>
      <x:c r="H123" s="56" t="n">
        <x:f>SUM(T120:T122)</x:f>
        <x:v>0.01443</x:v>
      </x:c>
      <x:c r="I123" s="57" t="b">
        <x:f>AND(A123&gt;3,H123&lt;='Assumptions'!$B$7)</x:f>
        <x:v>0</x:v>
      </x:c>
      <x:c r="J123" s="55" t="n">
        <x:v>0.008089618231612805</x:v>
      </x:c>
      <x:c r="K123" s="55" t="n">
        <x:v>0.05390277658701481</x:v>
      </x:c>
      <x:c r="L123" s="55" t="n">
        <x:v>0.011172059005826185</x:v>
      </x:c>
      <x:c r="M123" s="57" t="b">
        <x:f>J123&gt;='Assumptions'!$B$8</x:f>
        <x:v>0</x:v>
      </x:c>
      <x:c r="N123" s="57" t="b">
        <x:f>AND(K123&lt;&gt;"",K123&lt;='Assumptions'!$B$9)</x:f>
        <x:v>0</x:v>
      </x:c>
      <x:c r="O123" s="57" t="b">
        <x:f>AND(P123&lt;&gt;"",ABS(L123)&lt;='Assumptions'!$B$10)</x:f>
        <x:v>0</x:v>
      </x:c>
      <x:c r="P123" s="53" t="n">
        <x:v>44047</x:v>
      </x:c>
      <x:c r="Q123" s="54" t="n">
        <x:v>11026.31</x:v>
      </x:c>
      <x:c r="R123" s="55" t="n">
        <x:v>0.00969</x:v>
      </x:c>
      <x:c r="S123" s="57" t="str">
        <x:f>IF(I123,"DAMAGE SKIP",IF(AND(M123,N123),IF(O123,"TUESDAY RE-ENTRY","GAP/MOM SKIP"),"BASELINE"))</x:f>
        <x:v>BASELINE</x:v>
      </x:c>
      <x:c r="T123" s="56" t="n">
        <x:f>IF(I123,0,IF(AND(M123,N123),IF(O123,R123,0),G123))</x:f>
        <x:v>0.01224</x:v>
      </x:c>
      <x:c r="U123" s="56" t="n">
        <x:f>G123*'Assumptions'!$B$6</x:f>
        <x:v>0.138312</x:v>
      </x:c>
      <x:c r="V123" s="56" t="n">
        <x:f>T123*'Assumptions'!$B$6</x:f>
        <x:v>0.138312</x:v>
      </x:c>
      <x:c r="W123" s="56" t="n">
        <x:f>V123-U123</x:f>
        <x:v>0</x:v>
      </x:c>
      <x:c r="X123" s="58" t="n">
        <x:f>X122*(1+U123)</x:f>
        <x:v>3619.4725397606035</x:v>
      </x:c>
      <x:c r="Y123" s="58" t="n">
        <x:f>MAX(Y122,X123)</x:f>
        <x:v>3619.4725397606035</x:v>
      </x:c>
      <x:c r="Z123" s="59" t="n">
        <x:f>X123/Y123-1</x:f>
        <x:v>0</x:v>
      </x:c>
      <x:c r="AA123" s="58" t="n">
        <x:f>AA122*(1+V123)</x:f>
        <x:v>18635.407829142856</x:v>
      </x:c>
      <x:c r="AB123" s="58" t="n">
        <x:f>MAX(AB122,AA123)</x:f>
        <x:v>18635.407829142856</x:v>
      </x:c>
      <x:c r="AC123" s="59" t="n">
        <x:f>AA123/AB123-1</x:f>
        <x:v>0</x:v>
      </x:c>
      <x:c r="AD123" s="60" t="n">
        <x:f>AA123-X123</x:f>
        <x:v>15015.935289382252</x:v>
      </x:c>
      <x:c r="AE123" s="28" t="str">
        <x:v>Baseline trade unchanged.</x:v>
      </x:c>
    </x:row>
    <x:row r="124" ht="18" customHeight="1">
      <x:c r="A124" s="23" t="n">
        <x:v>120</x:v>
      </x:c>
      <x:c r="B124" s="53" t="n">
        <x:v>44053</x:v>
      </x:c>
      <x:c r="C124" s="53" t="n">
        <x:v>44055</x:v>
      </x:c>
      <x:c r="D124" s="23" t="str">
        <x:v>BH</x:v>
      </x:c>
      <x:c r="E124" s="54" t="n">
        <x:v>11144.85</x:v>
      </x:c>
      <x:c r="F124" s="54" t="n">
        <x:v>11100.2706</x:v>
      </x:c>
      <x:c r="G124" s="55" t="n">
        <x:v>-0.004</x:v>
      </x:c>
      <x:c r="H124" s="56" t="n">
        <x:f>SUM(T121:T123)</x:f>
        <x:v>0.04936</x:v>
      </x:c>
      <x:c r="I124" s="57" t="b">
        <x:f>AND(A124&gt;3,H124&lt;='Assumptions'!$B$7)</x:f>
        <x:v>0</x:v>
      </x:c>
      <x:c r="J124" s="55" t="n">
        <x:v>0.001044621412313873</x:v>
      </x:c>
      <x:c r="K124" s="55" t="n">
        <x:v>0.028404037882451938</x:v>
      </x:c>
      <x:c r="L124" s="55" t="n">
        <x:v>-0.008662868759813924</x:v>
      </x:c>
      <x:c r="M124" s="57" t="b">
        <x:f>J124&gt;='Assumptions'!$B$8</x:f>
        <x:v>0</x:v>
      </x:c>
      <x:c r="N124" s="57" t="b">
        <x:f>AND(K124&lt;&gt;"",K124&lt;='Assumptions'!$B$9)</x:f>
        <x:v>0</x:v>
      </x:c>
      <x:c r="O124" s="57" t="b">
        <x:f>AND(P124&lt;&gt;"",ABS(L124)&lt;='Assumptions'!$B$10)</x:f>
        <x:v>0</x:v>
      </x:c>
      <x:c r="P124" s="53" t="n">
        <x:v>44054</x:v>
      </x:c>
      <x:c r="Q124" s="54" t="n">
        <x:v>11034.89</x:v>
      </x:c>
      <x:c r="R124" s="55" t="n">
        <x:v>0.00592</x:v>
      </x:c>
      <x:c r="S124" s="57" t="str">
        <x:f>IF(I124,"DAMAGE SKIP",IF(AND(M124,N124),IF(O124,"TUESDAY RE-ENTRY","GAP/MOM SKIP"),"BASELINE"))</x:f>
        <x:v>BASELINE</x:v>
      </x:c>
      <x:c r="T124" s="56" t="n">
        <x:f>IF(I124,0,IF(AND(M124,N124),IF(O124,R124,0),G124))</x:f>
        <x:v>-0.004</x:v>
      </x:c>
      <x:c r="U124" s="56" t="n">
        <x:f>G124*'Assumptions'!$B$6</x:f>
        <x:v>-0.045200000000000004</x:v>
      </x:c>
      <x:c r="V124" s="56" t="n">
        <x:f>T124*'Assumptions'!$B$6</x:f>
        <x:v>-0.045200000000000004</x:v>
      </x:c>
      <x:c r="W124" s="56" t="n">
        <x:f>V124-U124</x:f>
        <x:v>0</x:v>
      </x:c>
      <x:c r="X124" s="58" t="n">
        <x:f>X123*(1+U124)</x:f>
        <x:v>3455.8723809634243</x:v>
      </x:c>
      <x:c r="Y124" s="58" t="n">
        <x:f>MAX(Y123,X124)</x:f>
        <x:v>3619.4725397606035</x:v>
      </x:c>
      <x:c r="Z124" s="59" t="n">
        <x:f>X124/Y124-1</x:f>
        <x:v>-0.04519999999999991</x:v>
      </x:c>
      <x:c r="AA124" s="58" t="n">
        <x:f>AA123*(1+V124)</x:f>
        <x:v>17793.0873952656</x:v>
      </x:c>
      <x:c r="AB124" s="58" t="n">
        <x:f>MAX(AB123,AA124)</x:f>
        <x:v>18635.407829142856</x:v>
      </x:c>
      <x:c r="AC124" s="59" t="n">
        <x:f>AA124/AB124-1</x:f>
        <x:v>-0.04519999999999991</x:v>
      </x:c>
      <x:c r="AD124" s="60" t="n">
        <x:f>AA124-X124</x:f>
        <x:v>14337.215014302175</x:v>
      </x:c>
      <x:c r="AE124" s="28" t="str">
        <x:v>Baseline trade unchanged.</x:v>
      </x:c>
    </x:row>
    <x:row r="125" ht="18" customHeight="1">
      <x:c r="A125" s="23" t="n">
        <x:v>121</x:v>
      </x:c>
      <x:c r="B125" s="53" t="n">
        <x:v>44060</x:v>
      </x:c>
      <x:c r="C125" s="53" t="n">
        <x:v>44064</x:v>
      </x:c>
      <x:c r="D125" s="23" t="str">
        <x:v>TO</x:v>
      </x:c>
      <x:c r="E125" s="54" t="n">
        <x:v>11233.59</x:v>
      </x:c>
      <x:c r="F125" s="54" t="n">
        <x:v>11561.62</x:v>
      </x:c>
      <x:c r="G125" s="55" t="n">
        <x:v>0.0292</x:v>
      </x:c>
      <x:c r="H125" s="56" t="n">
        <x:f>SUM(T122:T124)</x:f>
        <x:v>0.01918</x:v>
      </x:c>
      <x:c r="I125" s="57" t="b">
        <x:f>AND(A125&gt;3,H125&lt;='Assumptions'!$B$7)</x:f>
        <x:v>0</x:v>
      </x:c>
      <x:c r="J125" s="55" t="n">
        <x:v>0.006512013805325845</x:v>
      </x:c>
      <x:c r="K125" s="55" t="n">
        <x:v>0.049053458745088596</x:v>
      </x:c>
      <x:c r="L125" s="55" t="n">
        <x:v>0.015666023531192064</x:v>
      </x:c>
      <x:c r="M125" s="57" t="b">
        <x:f>J125&gt;='Assumptions'!$B$8</x:f>
        <x:v>0</x:v>
      </x:c>
      <x:c r="N125" s="57" t="b">
        <x:f>AND(K125&lt;&gt;"",K125&lt;='Assumptions'!$B$9)</x:f>
        <x:v>0</x:v>
      </x:c>
      <x:c r="O125" s="57" t="b">
        <x:f>AND(P125&lt;&gt;"",ABS(L125)&lt;='Assumptions'!$B$10)</x:f>
        <x:v>0</x:v>
      </x:c>
      <x:c r="P125" s="53" t="n">
        <x:v>44061</x:v>
      </x:c>
      <x:c r="Q125" s="54" t="n">
        <x:v>11334</x:v>
      </x:c>
      <x:c r="R125" s="55" t="n">
        <x:v>0.02008</x:v>
      </x:c>
      <x:c r="S125" s="57" t="str">
        <x:f>IF(I125,"DAMAGE SKIP",IF(AND(M125,N125),IF(O125,"TUESDAY RE-ENTRY","GAP/MOM SKIP"),"BASELINE"))</x:f>
        <x:v>BASELINE</x:v>
      </x:c>
      <x:c r="T125" s="56" t="n">
        <x:f>IF(I125,0,IF(AND(M125,N125),IF(O125,R125,0),G125))</x:f>
        <x:v>0.0292</x:v>
      </x:c>
      <x:c r="U125" s="56" t="n">
        <x:f>G125*'Assumptions'!$B$6</x:f>
        <x:v>0.32996000000000003</x:v>
      </x:c>
      <x:c r="V125" s="56" t="n">
        <x:f>T125*'Assumptions'!$B$6</x:f>
        <x:v>0.32996000000000003</x:v>
      </x:c>
      <x:c r="W125" s="56" t="n">
        <x:f>V125-U125</x:f>
        <x:v>0</x:v>
      </x:c>
      <x:c r="X125" s="58" t="n">
        <x:f>X124*(1+U125)</x:f>
        <x:v>4596.172031786116</x:v>
      </x:c>
      <x:c r="Y125" s="58" t="n">
        <x:f>MAX(Y124,X125)</x:f>
        <x:v>4596.172031786116</x:v>
      </x:c>
      <x:c r="Z125" s="59" t="n">
        <x:f>X125/Y125-1</x:f>
        <x:v>0</x:v>
      </x:c>
      <x:c r="AA125" s="58" t="n">
        <x:f>AA124*(1+V125)</x:f>
        <x:v>23664.094512207437</x:v>
      </x:c>
      <x:c r="AB125" s="58" t="n">
        <x:f>MAX(AB124,AA125)</x:f>
        <x:v>23664.094512207437</x:v>
      </x:c>
      <x:c r="AC125" s="59" t="n">
        <x:f>AA125/AB125-1</x:f>
        <x:v>0</x:v>
      </x:c>
      <x:c r="AD125" s="60" t="n">
        <x:f>AA125-X125</x:f>
        <x:v>19067.922480421323</x:v>
      </x:c>
      <x:c r="AE125" s="28" t="str">
        <x:v>Baseline trade unchanged.</x:v>
      </x:c>
    </x:row>
    <x:row r="126" ht="18" customHeight="1">
      <x:c r="A126" s="23" t="n">
        <x:v>122</x:v>
      </x:c>
      <x:c r="B126" s="53" t="n">
        <x:v>44067</x:v>
      </x:c>
      <x:c r="C126" s="53" t="n">
        <x:v>44071</x:v>
      </x:c>
      <x:c r="D126" s="23" t="str">
        <x:v>TO</x:v>
      </x:c>
      <x:c r="E126" s="54" t="n">
        <x:v>11690</x:v>
      </x:c>
      <x:c r="F126" s="54" t="n">
        <x:v>11993.21</x:v>
      </x:c>
      <x:c r="G126" s="55" t="n">
        <x:v>0.02593</x:v>
      </x:c>
      <x:c r="H126" s="56" t="n">
        <x:f>SUM(T123:T125)</x:f>
        <x:v>0.03744</x:v>
      </x:c>
      <x:c r="I126" s="57" t="b">
        <x:f>AND(A126&gt;3,H126&lt;='Assumptions'!$B$7)</x:f>
        <x:v>0</x:v>
      </x:c>
      <x:c r="J126" s="55" t="n">
        <x:v>0.011103980238063471</x:v>
      </x:c>
      <x:c r="K126" s="55" t="n">
        <x:v>0.10291884052132239</x:v>
      </x:c>
      <x:c r="L126" s="55" t="n">
        <x:v>0.003258316560795782</x:v>
      </x:c>
      <x:c r="M126" s="57" t="b">
        <x:f>J126&gt;='Assumptions'!$B$8</x:f>
        <x:v>1</x:v>
      </x:c>
      <x:c r="N126" s="57" t="b">
        <x:f>AND(K126&lt;&gt;"",K126&lt;='Assumptions'!$B$9)</x:f>
        <x:v>0</x:v>
      </x:c>
      <x:c r="O126" s="57" t="b">
        <x:f>AND(P126&lt;&gt;"",ABS(L126)&lt;='Assumptions'!$B$10)</x:f>
        <x:v>1</x:v>
      </x:c>
      <x:c r="P126" s="53" t="n">
        <x:v>44068</x:v>
      </x:c>
      <x:c r="Q126" s="54" t="n">
        <x:v>11593.77</x:v>
      </x:c>
      <x:c r="R126" s="55" t="n">
        <x:v>0.03445</x:v>
      </x:c>
      <x:c r="S126" s="57" t="str">
        <x:f>IF(I126,"DAMAGE SKIP",IF(AND(M126,N126),IF(O126,"TUESDAY RE-ENTRY","GAP/MOM SKIP"),"BASELINE"))</x:f>
        <x:v>BASELINE</x:v>
      </x:c>
      <x:c r="T126" s="56" t="n">
        <x:f>IF(I126,0,IF(AND(M126,N126),IF(O126,R126,0),G126))</x:f>
        <x:v>0.02593</x:v>
      </x:c>
      <x:c r="U126" s="56" t="n">
        <x:f>G126*'Assumptions'!$B$6</x:f>
        <x:v>0.293009</x:v>
      </x:c>
      <x:c r="V126" s="56" t="n">
        <x:f>T126*'Assumptions'!$B$6</x:f>
        <x:v>0.293009</x:v>
      </x:c>
      <x:c r="W126" s="56" t="n">
        <x:f>V126-U126</x:f>
        <x:v>0</x:v>
      </x:c>
      <x:c r="X126" s="58" t="n">
        <x:f>X125*(1+U126)</x:f>
        <x:v>5942.891802647735</x:v>
      </x:c>
      <x:c r="Y126" s="58" t="n">
        <x:f>MAX(Y125,X126)</x:f>
        <x:v>5942.891802647735</x:v>
      </x:c>
      <x:c r="Z126" s="59" t="n">
        <x:f>X126/Y126-1</x:f>
        <x:v>0</x:v>
      </x:c>
      <x:c r="AA126" s="58" t="n">
        <x:f>AA125*(1+V126)</x:f>
        <x:v>30597.88718113483</x:v>
      </x:c>
      <x:c r="AB126" s="58" t="n">
        <x:f>MAX(AB125,AA126)</x:f>
        <x:v>30597.88718113483</x:v>
      </x:c>
      <x:c r="AC126" s="59" t="n">
        <x:f>AA126/AB126-1</x:f>
        <x:v>0</x:v>
      </x:c>
      <x:c r="AD126" s="60" t="n">
        <x:f>AA126-X126</x:f>
        <x:v>24654.995378487096</x:v>
      </x:c>
      <x:c r="AE126" s="28" t="str">
        <x:v>Baseline trade unchanged.</x:v>
      </x:c>
    </x:row>
    <x:row r="127" ht="18" customHeight="1">
      <x:c r="A127" s="23" t="n">
        <x:v>123</x:v>
      </x:c>
      <x:c r="B127" s="53" t="n">
        <x:v>44074</x:v>
      </x:c>
      <x:c r="C127" s="53" t="n">
        <x:v>44074</x:v>
      </x:c>
      <x:c r="D127" s="23" t="str">
        <x:v>CH</x:v>
      </x:c>
      <x:c r="E127" s="54" t="n">
        <x:v>12018.66</x:v>
      </x:c>
      <x:c r="F127" s="54" t="n">
        <x:v>12105.8</x:v>
      </x:c>
      <x:c r="G127" s="55" t="n">
        <x:v>0.00725</x:v>
      </x:c>
      <x:c r="H127" s="56" t="n">
        <x:f>SUM(T124:T126)</x:f>
        <x:v>0.05113</x:v>
      </x:c>
      <x:c r="I127" s="57" t="b">
        <x:f>AND(A127&gt;3,H127&lt;='Assumptions'!$B$7)</x:f>
        <x:v>0</x:v>
      </x:c>
      <x:c r="J127" s="55" t="n">
        <x:v>0.0021220340509338076</x:v>
      </x:c>
      <x:c r="K127" s="55" t="n">
        <x:v>0.10064150241725556</x:v>
      </x:c>
      <x:c r="L127" s="55" t="n">
        <x:v>0.017316382987709433</x:v>
      </x:c>
      <x:c r="M127" s="57" t="b">
        <x:f>J127&gt;='Assumptions'!$B$8</x:f>
        <x:v>0</x:v>
      </x:c>
      <x:c r="N127" s="57" t="b">
        <x:f>AND(K127&lt;&gt;"",K127&lt;='Assumptions'!$B$9)</x:f>
        <x:v>0</x:v>
      </x:c>
      <x:c r="O127" s="57" t="b">
        <x:f>AND(P127&lt;&gt;"",ABS(L127)&lt;='Assumptions'!$B$10)</x:f>
        <x:v>0</x:v>
      </x:c>
      <x:c r="P127" s="53" t="n">
        <x:v>44075</x:v>
      </x:c>
      <x:c r="Q127" s="54" t="n">
        <x:v>12201.1</x:v>
      </x:c>
      <x:c r="R127" s="55" t="n">
        <x:v>-0.00781</x:v>
      </x:c>
      <x:c r="S127" s="57" t="str">
        <x:f>IF(I127,"DAMAGE SKIP",IF(AND(M127,N127),IF(O127,"TUESDAY RE-ENTRY","GAP/MOM SKIP"),"BASELINE"))</x:f>
        <x:v>BASELINE</x:v>
      </x:c>
      <x:c r="T127" s="56" t="n">
        <x:f>IF(I127,0,IF(AND(M127,N127),IF(O127,R127,0),G127))</x:f>
        <x:v>0.00725</x:v>
      </x:c>
      <x:c r="U127" s="56" t="n">
        <x:f>G127*'Assumptions'!$B$6</x:f>
        <x:v>0.08192500000000001</x:v>
      </x:c>
      <x:c r="V127" s="56" t="n">
        <x:f>T127*'Assumptions'!$B$6</x:f>
        <x:v>0.08192500000000001</x:v>
      </x:c>
      <x:c r="W127" s="56" t="n">
        <x:f>V127-U127</x:f>
        <x:v>0</x:v>
      </x:c>
      <x:c r="X127" s="58" t="n">
        <x:f>X126*(1+U127)</x:f>
        <x:v>6429.763213579651</x:v>
      </x:c>
      <x:c r="Y127" s="58" t="n">
        <x:f>MAX(Y126,X127)</x:f>
        <x:v>6429.763213579651</x:v>
      </x:c>
      <x:c r="Z127" s="59" t="n">
        <x:f>X127/Y127-1</x:f>
        <x:v>0</x:v>
      </x:c>
      <x:c r="AA127" s="58" t="n">
        <x:f>AA126*(1+V127)</x:f>
        <x:v>33104.6190884493</x:v>
      </x:c>
      <x:c r="AB127" s="58" t="n">
        <x:f>MAX(AB126,AA127)</x:f>
        <x:v>33104.6190884493</x:v>
      </x:c>
      <x:c r="AC127" s="59" t="n">
        <x:f>AA127/AB127-1</x:f>
        <x:v>0</x:v>
      </x:c>
      <x:c r="AD127" s="60" t="n">
        <x:f>AA127-X127</x:f>
        <x:v>26674.855874869645</x:v>
      </x:c>
      <x:c r="AE127" s="28" t="str">
        <x:v>Baseline trade unchanged.</x:v>
      </x:c>
    </x:row>
    <x:row r="128" ht="18" customHeight="1">
      <x:c r="A128" s="23" t="n">
        <x:v>124</x:v>
      </x:c>
      <x:c r="B128" s="53" t="n">
        <x:v>44082</x:v>
      </x:c>
      <x:c r="C128" s="53" t="n">
        <x:v>44084</x:v>
      </x:c>
      <x:c r="D128" s="23" t="str">
        <x:v>TSL2</x:v>
      </x:c>
      <x:c r="E128" s="54" t="n">
        <x:v>11158.3</x:v>
      </x:c>
      <x:c r="F128" s="54" t="n">
        <x:v>11113.666799999999</x:v>
      </x:c>
      <x:c r="G128" s="55" t="n">
        <x:v>-0.004</x:v>
      </x:c>
      <x:c r="H128" s="56" t="n">
        <x:f>SUM(T125:T127)</x:f>
        <x:v>0.06238</x:v>
      </x:c>
      <x:c r="I128" s="57" t="b">
        <x:f>AND(A128&gt;3,H128&lt;='Assumptions'!$B$7)</x:f>
        <x:v>0</x:v>
      </x:c>
      <x:c r="J128" s="55" t="n">
        <x:v>-0.03884402523849528</x:v>
      </x:c>
      <x:c r="K128" s="55" t="n">
        <x:v>0.04469494109704386</x:v>
      </x:c>
      <x:c r="L128" s="55"/>
      <x:c r="M128" s="57" t="b">
        <x:f>J128&gt;='Assumptions'!$B$8</x:f>
        <x:v>0</x:v>
      </x:c>
      <x:c r="N128" s="57" t="b">
        <x:f>AND(K128&lt;&gt;"",K128&lt;='Assumptions'!$B$9)</x:f>
        <x:v>0</x:v>
      </x:c>
      <x:c r="O128" s="57" t="b">
        <x:f>AND(P128&lt;&gt;"",ABS(L128)&lt;='Assumptions'!$B$10)</x:f>
        <x:v>0</x:v>
      </x:c>
      <x:c r="P128" s="53"/>
      <x:c r="Q128" s="54"/>
      <x:c r="R128" s="55"/>
      <x:c r="S128" s="57" t="str">
        <x:f>IF(I128,"DAMAGE SKIP",IF(AND(M128,N128),IF(O128,"TUESDAY RE-ENTRY","GAP/MOM SKIP"),"BASELINE"))</x:f>
        <x:v>BASELINE</x:v>
      </x:c>
      <x:c r="T128" s="56" t="n">
        <x:f>IF(I128,0,IF(AND(M128,N128),IF(O128,R128,0),G128))</x:f>
        <x:v>-0.004</x:v>
      </x:c>
      <x:c r="U128" s="56" t="n">
        <x:f>G128*'Assumptions'!$B$6</x:f>
        <x:v>-0.045200000000000004</x:v>
      </x:c>
      <x:c r="V128" s="56" t="n">
        <x:f>T128*'Assumptions'!$B$6</x:f>
        <x:v>-0.045200000000000004</x:v>
      </x:c>
      <x:c r="W128" s="56" t="n">
        <x:f>V128-U128</x:f>
        <x:v>0</x:v>
      </x:c>
      <x:c r="X128" s="58" t="n">
        <x:f>X127*(1+U128)</x:f>
        <x:v>6139.137916325851</x:v>
      </x:c>
      <x:c r="Y128" s="58" t="n">
        <x:f>MAX(Y127,X128)</x:f>
        <x:v>6429.763213579651</x:v>
      </x:c>
      <x:c r="Z128" s="59" t="n">
        <x:f>X128/Y128-1</x:f>
        <x:v>-0.04520000000000002</x:v>
      </x:c>
      <x:c r="AA128" s="58" t="n">
        <x:f>AA127*(1+V128)</x:f>
        <x:v>31608.29030565139</x:v>
      </x:c>
      <x:c r="AB128" s="58" t="n">
        <x:f>MAX(AB127,AA128)</x:f>
        <x:v>33104.6190884493</x:v>
      </x:c>
      <x:c r="AC128" s="59" t="n">
        <x:f>AA128/AB128-1</x:f>
        <x:v>-0.04520000000000002</x:v>
      </x:c>
      <x:c r="AD128" s="60" t="n">
        <x:f>AA128-X128</x:f>
        <x:v>25469.15238932554</x:v>
      </x:c>
      <x:c r="AE128" s="28" t="str">
        <x:v>Baseline trade unchanged.</x:v>
      </x:c>
    </x:row>
    <x:row r="129" ht="18" customHeight="1">
      <x:c r="A129" s="23" t="n">
        <x:v>125</x:v>
      </x:c>
      <x:c r="B129" s="53" t="n">
        <x:v>44088</x:v>
      </x:c>
      <x:c r="C129" s="53" t="n">
        <x:v>44091</x:v>
      </x:c>
      <x:c r="D129" s="23" t="str">
        <x:v>TSL1PRE</x:v>
      </x:c>
      <x:c r="E129" s="54" t="n">
        <x:v>11243.89</x:v>
      </x:c>
      <x:c r="F129" s="54" t="n">
        <x:v>11198.69</x:v>
      </x:c>
      <x:c r="G129" s="55" t="n">
        <x:v>-0.00401</x:v>
      </x:c>
      <x:c r="H129" s="56" t="n">
        <x:f>SUM(T126:T128)</x:f>
        <x:v>0.02918</x:v>
      </x:c>
      <x:c r="I129" s="57" t="b">
        <x:f>AND(A129&gt;3,H129&lt;='Assumptions'!$B$7)</x:f>
        <x:v>0</x:v>
      </x:c>
      <x:c r="J129" s="55" t="n">
        <x:v>0.013580342623074948</x:v>
      </x:c>
      <x:c r="K129" s="55" t="n">
        <x:v>-0.007451491620850459</x:v>
      </x:c>
      <x:c r="L129" s="55" t="n">
        <x:v>0.03127462662702296</x:v>
      </x:c>
      <x:c r="M129" s="57" t="b">
        <x:f>J129&gt;='Assumptions'!$B$8</x:f>
        <x:v>1</x:v>
      </x:c>
      <x:c r="N129" s="57" t="b">
        <x:f>AND(K129&lt;&gt;"",K129&lt;='Assumptions'!$B$9)</x:f>
        <x:v>1</x:v>
      </x:c>
      <x:c r="O129" s="57" t="b">
        <x:f>AND(P129&lt;&gt;"",ABS(L129)&lt;='Assumptions'!$B$10)</x:f>
        <x:v>0</x:v>
      </x:c>
      <x:c r="P129" s="53" t="n">
        <x:v>44089</x:v>
      </x:c>
      <x:c r="Q129" s="54" t="n">
        <x:v>11430.57</x:v>
      </x:c>
      <x:c r="R129" s="55" t="n">
        <x:v>-0.02028</x:v>
      </x:c>
      <x:c r="S129" s="57" t="str">
        <x:f>IF(I129,"DAMAGE SKIP",IF(AND(M129,N129),IF(O129,"TUESDAY RE-ENTRY","GAP/MOM SKIP"),"BASELINE"))</x:f>
        <x:v>GAP/MOM SKIP</x:v>
      </x:c>
      <x:c r="T129" s="56" t="n">
        <x:f>IF(I129,0,IF(AND(M129,N129),IF(O129,R129,0),G129))</x:f>
        <x:v>0</x:v>
      </x:c>
      <x:c r="U129" s="56" t="n">
        <x:f>G129*'Assumptions'!$B$6</x:f>
        <x:v>-0.045313</x:v>
      </x:c>
      <x:c r="V129" s="56" t="n">
        <x:f>T129*'Assumptions'!$B$6</x:f>
        <x:v>0</x:v>
      </x:c>
      <x:c r="W129" s="56" t="n">
        <x:f>V129-U129</x:f>
        <x:v>0.045313</x:v>
      </x:c>
      <x:c r="X129" s="58" t="n">
        <x:f>X128*(1+U129)</x:f>
        <x:v>5860.955159923377</x:v>
      </x:c>
      <x:c r="Y129" s="58" t="n">
        <x:f>MAX(Y128,X129)</x:f>
        <x:v>6429.763213579651</x:v>
      </x:c>
      <x:c r="Z129" s="59" t="n">
        <x:f>X129/Y129-1</x:f>
        <x:v>-0.08846485240000002</x:v>
      </x:c>
      <x:c r="AA129" s="58" t="n">
        <x:f>AA128*(1+V129)</x:f>
        <x:v>31608.29030565139</x:v>
      </x:c>
      <x:c r="AB129" s="58" t="n">
        <x:f>MAX(AB128,AA129)</x:f>
        <x:v>33104.6190884493</x:v>
      </x:c>
      <x:c r="AC129" s="59" t="n">
        <x:f>AA129/AB129-1</x:f>
        <x:v>-0.04520000000000002</x:v>
      </x:c>
      <x:c r="AD129" s="60" t="n">
        <x:f>AA129-X129</x:f>
        <x:v>25747.33514572801</x:v>
      </x:c>
      <x:c r="AE129" s="28" t="str">
        <x:v>Monday entry skipped; Tuesday did not normalize within the Friday-based tolerance.</x:v>
      </x:c>
    </x:row>
    <x:row r="130" ht="18" customHeight="1">
      <x:c r="A130" s="23" t="n">
        <x:v>126</x:v>
      </x:c>
      <x:c r="B130" s="53" t="n">
        <x:v>44095</x:v>
      </x:c>
      <x:c r="C130" s="53" t="n">
        <x:v>44095</x:v>
      </x:c>
      <x:c r="D130" s="23" t="str">
        <x:v>CH</x:v>
      </x:c>
      <x:c r="E130" s="54" t="n">
        <x:v>10778.62</x:v>
      </x:c>
      <x:c r="F130" s="54" t="n">
        <x:v>10991.41</x:v>
      </x:c>
      <x:c r="G130" s="55" t="n">
        <x:v>0.01974</x:v>
      </x:c>
      <x:c r="H130" s="56" t="n">
        <x:f>SUM(T127:T129)</x:f>
        <x:v>0.0032500000000000003</x:v>
      </x:c>
      <x:c r="I130" s="57" t="b">
        <x:f>AND(A130&gt;3,H130&lt;='Assumptions'!$B$7)</x:f>
        <x:v>0</x:v>
      </x:c>
      <x:c r="J130" s="55" t="n">
        <x:v>-0.013745283122453933</x:v>
      </x:c>
      <x:c r="K130" s="55" t="n">
        <x:v>-0.04661615418567011</x:v>
      </x:c>
      <x:c r="L130" s="55" t="n">
        <x:v>0.013375461987762627</x:v>
      </x:c>
      <x:c r="M130" s="57" t="b">
        <x:f>J130&gt;='Assumptions'!$B$8</x:f>
        <x:v>0</x:v>
      </x:c>
      <x:c r="N130" s="57" t="b">
        <x:f>AND(K130&lt;&gt;"",K130&lt;='Assumptions'!$B$9)</x:f>
        <x:v>1</x:v>
      </x:c>
      <x:c r="O130" s="57" t="b">
        <x:f>AND(P130&lt;&gt;"",ABS(L130)&lt;='Assumptions'!$B$10)</x:f>
        <x:v>0</x:v>
      </x:c>
      <x:c r="P130" s="53" t="n">
        <x:v>44096</x:v>
      </x:c>
      <x:c r="Q130" s="54" t="n">
        <x:v>11084.54</x:v>
      </x:c>
      <x:c r="R130" s="55" t="n">
        <x:v>-0.0084</x:v>
      </x:c>
      <x:c r="S130" s="57" t="str">
        <x:f>IF(I130,"DAMAGE SKIP",IF(AND(M130,N130),IF(O130,"TUESDAY RE-ENTRY","GAP/MOM SKIP"),"BASELINE"))</x:f>
        <x:v>BASELINE</x:v>
      </x:c>
      <x:c r="T130" s="56" t="n">
        <x:f>IF(I130,0,IF(AND(M130,N130),IF(O130,R130,0),G130))</x:f>
        <x:v>0.01974</x:v>
      </x:c>
      <x:c r="U130" s="56" t="n">
        <x:f>G130*'Assumptions'!$B$6</x:f>
        <x:v>0.223062</x:v>
      </x:c>
      <x:c r="V130" s="56" t="n">
        <x:f>T130*'Assumptions'!$B$6</x:f>
        <x:v>0.223062</x:v>
      </x:c>
      <x:c r="W130" s="56" t="n">
        <x:f>V130-U130</x:f>
        <x:v>0</x:v>
      </x:c>
      <x:c r="X130" s="58" t="n">
        <x:f>X129*(1+U130)</x:f>
        <x:v>7168.311539806206</x:v>
      </x:c>
      <x:c r="Y130" s="58" t="n">
        <x:f>MAX(Y129,X130)</x:f>
        <x:v>7168.311539806206</x:v>
      </x:c>
      <x:c r="Z130" s="59" t="n">
        <x:f>X130/Y130-1</x:f>
        <x:v>0</x:v>
      </x:c>
      <x:c r="AA130" s="58" t="n">
        <x:f>AA129*(1+V130)</x:f>
        <x:v>38658.8987578106</x:v>
      </x:c>
      <x:c r="AB130" s="58" t="n">
        <x:f>MAX(AB129,AA130)</x:f>
        <x:v>38658.8987578106</x:v>
      </x:c>
      <x:c r="AC130" s="59" t="n">
        <x:f>AA130/AB130-1</x:f>
        <x:v>0</x:v>
      </x:c>
      <x:c r="AD130" s="60" t="n">
        <x:f>AA130-X130</x:f>
        <x:v>31490.587218004395</x:v>
      </x:c>
      <x:c r="AE130" s="28" t="str">
        <x:v>Baseline trade unchanged.</x:v>
      </x:c>
    </x:row>
    <x:row r="131" ht="18" customHeight="1">
      <x:c r="A131" s="23" t="n">
        <x:v>127</x:v>
      </x:c>
      <x:c r="B131" s="53" t="n">
        <x:v>44102</x:v>
      </x:c>
      <x:c r="C131" s="53" t="n">
        <x:v>44106</x:v>
      </x:c>
      <x:c r="D131" s="23" t="str">
        <x:v>TSL4</x:v>
      </x:c>
      <x:c r="E131" s="54" t="n">
        <x:v>11356.1</x:v>
      </x:c>
      <x:c r="F131" s="54" t="n">
        <x:v>11310.6756</x:v>
      </x:c>
      <x:c r="G131" s="55" t="n">
        <x:v>-0.004</x:v>
      </x:c>
      <x:c r="H131" s="56" t="n">
        <x:f>SUM(T128:T130)</x:f>
        <x:v>0.01574</x:v>
      </x:c>
      <x:c r="I131" s="57" t="b">
        <x:f>AND(A131&gt;3,H131&lt;='Assumptions'!$B$7)</x:f>
        <x:v>0</x:v>
      </x:c>
      <x:c r="J131" s="55" t="n">
        <x:v>0.019048208739724126</x:v>
      </x:c>
      <x:c r="K131" s="55" t="n">
        <x:v>-0.06561743855329638</x:v>
      </x:c>
      <x:c r="L131" s="55" t="n">
        <x:v>0.019039506313059507</x:v>
      </x:c>
      <x:c r="M131" s="57" t="b">
        <x:f>J131&gt;='Assumptions'!$B$8</x:f>
        <x:v>1</x:v>
      </x:c>
      <x:c r="N131" s="57" t="b">
        <x:f>AND(K131&lt;&gt;"",K131&lt;='Assumptions'!$B$9)</x:f>
        <x:v>1</x:v>
      </x:c>
      <x:c r="O131" s="57" t="b">
        <x:f>AND(P131&lt;&gt;"",ABS(L131)&lt;='Assumptions'!$B$10)</x:f>
        <x:v>0</x:v>
      </x:c>
      <x:c r="P131" s="53" t="n">
        <x:v>44103</x:v>
      </x:c>
      <x:c r="Q131" s="54" t="n">
        <x:v>11356.18</x:v>
      </x:c>
      <x:c r="R131" s="55" t="n">
        <x:v>-0.004</x:v>
      </x:c>
      <x:c r="S131" s="57" t="str">
        <x:f>IF(I131,"DAMAGE SKIP",IF(AND(M131,N131),IF(O131,"TUESDAY RE-ENTRY","GAP/MOM SKIP"),"BASELINE"))</x:f>
        <x:v>GAP/MOM SKIP</x:v>
      </x:c>
      <x:c r="T131" s="56" t="n">
        <x:f>IF(I131,0,IF(AND(M131,N131),IF(O131,R131,0),G131))</x:f>
        <x:v>0</x:v>
      </x:c>
      <x:c r="U131" s="56" t="n">
        <x:f>G131*'Assumptions'!$B$6</x:f>
        <x:v>-0.045200000000000004</x:v>
      </x:c>
      <x:c r="V131" s="56" t="n">
        <x:f>T131*'Assumptions'!$B$6</x:f>
        <x:v>0</x:v>
      </x:c>
      <x:c r="W131" s="56" t="n">
        <x:f>V131-U131</x:f>
        <x:v>0.045200000000000004</x:v>
      </x:c>
      <x:c r="X131" s="58" t="n">
        <x:f>X130*(1+U131)</x:f>
        <x:v>6844.303858206966</x:v>
      </x:c>
      <x:c r="Y131" s="58" t="n">
        <x:f>MAX(Y130,X131)</x:f>
        <x:v>7168.311539806206</x:v>
      </x:c>
      <x:c r="Z131" s="59" t="n">
        <x:f>X131/Y131-1</x:f>
        <x:v>-0.04520000000000002</x:v>
      </x:c>
      <x:c r="AA131" s="58" t="n">
        <x:f>AA130*(1+V131)</x:f>
        <x:v>38658.8987578106</x:v>
      </x:c>
      <x:c r="AB131" s="58" t="n">
        <x:f>MAX(AB130,AA131)</x:f>
        <x:v>38658.8987578106</x:v>
      </x:c>
      <x:c r="AC131" s="59" t="n">
        <x:f>AA131/AB131-1</x:f>
        <x:v>0</x:v>
      </x:c>
      <x:c r="AD131" s="60" t="n">
        <x:f>AA131-X131</x:f>
        <x:v>31814.59489960364</x:v>
      </x:c>
      <x:c r="AE131" s="28" t="str">
        <x:v>Monday entry skipped; Tuesday did not normalize within the Friday-based tolerance.</x:v>
      </x:c>
    </x:row>
    <x:row r="132" ht="18" customHeight="1">
      <x:c r="A132" s="23" t="n">
        <x:v>128</x:v>
      </x:c>
      <x:c r="B132" s="53" t="n">
        <x:v>44109</x:v>
      </x:c>
      <x:c r="C132" s="53" t="n">
        <x:v>44109</x:v>
      </x:c>
      <x:c r="D132" s="23" t="str">
        <x:v>CH</x:v>
      </x:c>
      <x:c r="E132" s="54" t="n">
        <x:v>11339.09</x:v>
      </x:c>
      <x:c r="F132" s="54" t="n">
        <x:v>11491.65</x:v>
      </x:c>
      <x:c r="G132" s="55" t="n">
        <x:v>0.01345</x:v>
      </x:c>
      <x:c r="H132" s="56" t="n">
        <x:f>SUM(T129:T131)</x:f>
        <x:v>0.01974</x:v>
      </x:c>
      <x:c r="I132" s="57" t="b">
        <x:f>AND(A132&gt;3,H132&lt;='Assumptions'!$B$7)</x:f>
        <x:v>0</x:v>
      </x:c>
      <x:c r="J132" s="55" t="n">
        <x:v>0.007151885186129414</x:v>
      </x:c>
      <x:c r="K132" s="55" t="n">
        <x:v>-0.044212313677445825</x:v>
      </x:c>
      <x:c r="L132" s="55" t="n">
        <x:v>0.018143929598104958</x:v>
      </x:c>
      <x:c r="M132" s="57" t="b">
        <x:f>J132&gt;='Assumptions'!$B$8</x:f>
        <x:v>0</x:v>
      </x:c>
      <x:c r="N132" s="57" t="b">
        <x:f>AND(K132&lt;&gt;"",K132&lt;='Assumptions'!$B$9)</x:f>
        <x:v>1</x:v>
      </x:c>
      <x:c r="O132" s="57" t="b">
        <x:f>AND(P132&lt;&gt;"",ABS(L132)&lt;='Assumptions'!$B$10)</x:f>
        <x:v>0</x:v>
      </x:c>
      <x:c r="P132" s="53" t="n">
        <x:v>44110</x:v>
      </x:c>
      <x:c r="Q132" s="54" t="n">
        <x:v>11459.25</x:v>
      </x:c>
      <x:c r="R132" s="55" t="n">
        <x:v>0.00282</x:v>
      </x:c>
      <x:c r="S132" s="57" t="str">
        <x:f>IF(I132,"DAMAGE SKIP",IF(AND(M132,N132),IF(O132,"TUESDAY RE-ENTRY","GAP/MOM SKIP"),"BASELINE"))</x:f>
        <x:v>BASELINE</x:v>
      </x:c>
      <x:c r="T132" s="56" t="n">
        <x:f>IF(I132,0,IF(AND(M132,N132),IF(O132,R132,0),G132))</x:f>
        <x:v>0.01345</x:v>
      </x:c>
      <x:c r="U132" s="56" t="n">
        <x:f>G132*'Assumptions'!$B$6</x:f>
        <x:v>0.151985</x:v>
      </x:c>
      <x:c r="V132" s="56" t="n">
        <x:f>T132*'Assumptions'!$B$6</x:f>
        <x:v>0.151985</x:v>
      </x:c>
      <x:c r="W132" s="56" t="n">
        <x:f>V132-U132</x:f>
        <x:v>0</x:v>
      </x:c>
      <x:c r="X132" s="58" t="n">
        <x:f>X131*(1+U132)</x:f>
        <x:v>7884.535380096551</x:v>
      </x:c>
      <x:c r="Y132" s="58" t="n">
        <x:f>MAX(Y131,X132)</x:f>
        <x:v>7884.535380096551</x:v>
      </x:c>
      <x:c r="Z132" s="59" t="n">
        <x:f>X132/Y132-1</x:f>
        <x:v>0</x:v>
      </x:c>
      <x:c r="AA132" s="58" t="n">
        <x:f>AA131*(1+V132)</x:f>
        <x:v>44534.47148551645</x:v>
      </x:c>
      <x:c r="AB132" s="58" t="n">
        <x:f>MAX(AB131,AA132)</x:f>
        <x:v>44534.47148551645</x:v>
      </x:c>
      <x:c r="AC132" s="59" t="n">
        <x:f>AA132/AB132-1</x:f>
        <x:v>0</x:v>
      </x:c>
      <x:c r="AD132" s="60" t="n">
        <x:f>AA132-X132</x:f>
        <x:v>36649.936105419896</x:v>
      </x:c>
      <x:c r="AE132" s="28" t="str">
        <x:v>Baseline trade unchanged.</x:v>
      </x:c>
    </x:row>
    <x:row r="133" ht="18" customHeight="1">
      <x:c r="A133" s="23" t="n">
        <x:v>129</x:v>
      </x:c>
      <x:c r="B133" s="53" t="n">
        <x:v>44116</x:v>
      </x:c>
      <x:c r="C133" s="53" t="n">
        <x:v>44116</x:v>
      </x:c>
      <x:c r="D133" s="23" t="str">
        <x:v>CH</x:v>
      </x:c>
      <x:c r="E133" s="54" t="n">
        <x:v>11922.83</x:v>
      </x:c>
      <x:c r="F133" s="54" t="n">
        <x:v>12078.96</x:v>
      </x:c>
      <x:c r="G133" s="55" t="n">
        <x:v>0.01309</x:v>
      </x:c>
      <x:c r="H133" s="56" t="n">
        <x:f>SUM(T130:T132)</x:f>
        <x:v>0.03319</x:v>
      </x:c>
      <x:c r="I133" s="57" t="b">
        <x:f>AND(A133&gt;3,H133&lt;='Assumptions'!$B$7)</x:f>
        <x:v>0</x:v>
      </x:c>
      <x:c r="J133" s="55" t="n">
        <x:v>0.01611160256967481</x:v>
      </x:c>
      <x:c r="K133" s="55" t="n">
        <x:v>0.0579618004134419</x:v>
      </x:c>
      <x:c r="L133" s="55" t="n">
        <x:v>0.03721869175021042</x:v>
      </x:c>
      <x:c r="M133" s="57" t="b">
        <x:f>J133&gt;='Assumptions'!$B$8</x:f>
        <x:v>1</x:v>
      </x:c>
      <x:c r="N133" s="57" t="b">
        <x:f>AND(K133&lt;&gt;"",K133&lt;='Assumptions'!$B$9)</x:f>
        <x:v>0</x:v>
      </x:c>
      <x:c r="O133" s="57" t="b">
        <x:f>AND(P133&lt;&gt;"",ABS(L133)&lt;='Assumptions'!$B$10)</x:f>
        <x:v>0</x:v>
      </x:c>
      <x:c r="P133" s="53" t="n">
        <x:v>44117</x:v>
      </x:c>
      <x:c r="Q133" s="54" t="n">
        <x:v>12158.28</x:v>
      </x:c>
      <x:c r="R133" s="55" t="n">
        <x:v>-0.00652</x:v>
      </x:c>
      <x:c r="S133" s="57" t="str">
        <x:f>IF(I133,"DAMAGE SKIP",IF(AND(M133,N133),IF(O133,"TUESDAY RE-ENTRY","GAP/MOM SKIP"),"BASELINE"))</x:f>
        <x:v>BASELINE</x:v>
      </x:c>
      <x:c r="T133" s="56" t="n">
        <x:f>IF(I133,0,IF(AND(M133,N133),IF(O133,R133,0),G133))</x:f>
        <x:v>0.01309</x:v>
      </x:c>
      <x:c r="U133" s="56" t="n">
        <x:f>G133*'Assumptions'!$B$6</x:f>
        <x:v>0.147917</x:v>
      </x:c>
      <x:c r="V133" s="56" t="n">
        <x:f>T133*'Assumptions'!$B$6</x:f>
        <x:v>0.147917</x:v>
      </x:c>
      <x:c r="W133" s="56" t="n">
        <x:f>V133-U133</x:f>
        <x:v>0</x:v>
      </x:c>
      <x:c r="X133" s="58" t="n">
        <x:f>X132*(1+U133)</x:f>
        <x:v>9050.792199914293</x:v>
      </x:c>
      <x:c r="Y133" s="58" t="n">
        <x:f>MAX(Y132,X133)</x:f>
        <x:v>9050.792199914293</x:v>
      </x:c>
      <x:c r="Z133" s="59" t="n">
        <x:f>X133/Y133-1</x:f>
        <x:v>0</x:v>
      </x:c>
      <x:c r="AA133" s="58" t="n">
        <x:f>AA132*(1+V133)</x:f>
        <x:v>51121.87690423959</x:v>
      </x:c>
      <x:c r="AB133" s="58" t="n">
        <x:f>MAX(AB132,AA133)</x:f>
        <x:v>51121.87690423959</x:v>
      </x:c>
      <x:c r="AC133" s="59" t="n">
        <x:f>AA133/AB133-1</x:f>
        <x:v>0</x:v>
      </x:c>
      <x:c r="AD133" s="60" t="n">
        <x:f>AA133-X133</x:f>
        <x:v>42071.084704325294</x:v>
      </x:c>
      <x:c r="AE133" s="28" t="str">
        <x:v>Baseline trade unchanged.</x:v>
      </x:c>
    </x:row>
    <x:row r="134" ht="18" customHeight="1">
      <x:c r="A134" s="23" t="n">
        <x:v>130</x:v>
      </x:c>
      <x:c r="B134" s="53" t="n">
        <x:v>44123</x:v>
      </x:c>
      <x:c r="C134" s="53" t="n">
        <x:v>44126</x:v>
      </x:c>
      <x:c r="D134" s="23" t="str">
        <x:v>TSL1PRE</x:v>
      </x:c>
      <x:c r="E134" s="54" t="n">
        <x:v>11921.02</x:v>
      </x:c>
      <x:c r="F134" s="54" t="n">
        <x:v>11690.359</x:v>
      </x:c>
      <x:c r="G134" s="55" t="n">
        <x:v>-0.01934</x:v>
      </x:c>
      <x:c r="H134" s="56" t="n">
        <x:f>SUM(T131:T133)</x:f>
        <x:v>0.02654</x:v>
      </x:c>
      <x:c r="I134" s="57" t="b">
        <x:f>AND(A134&gt;3,H134&lt;='Assumptions'!$B$7)</x:f>
        <x:v>0</x:v>
      </x:c>
      <x:c r="J134" s="55" t="n">
        <x:v>0.007115098675317677</x:v>
      </x:c>
      <x:c r="K134" s="55" t="n">
        <x:v>0.08259068077127818</x:v>
      </x:c>
      <x:c r="L134" s="55" t="n">
        <x:v>-0.013627260222226822</x:v>
      </x:c>
      <x:c r="M134" s="57" t="b">
        <x:f>J134&gt;='Assumptions'!$B$8</x:f>
        <x:v>0</x:v>
      </x:c>
      <x:c r="N134" s="57" t="b">
        <x:f>AND(K134&lt;&gt;"",K134&lt;='Assumptions'!$B$9)</x:f>
        <x:v>0</x:v>
      </x:c>
      <x:c r="O134" s="57" t="b">
        <x:f>AND(P134&lt;&gt;"",ABS(L134)&lt;='Assumptions'!$B$10)</x:f>
        <x:v>0</x:v>
      </x:c>
      <x:c r="P134" s="53" t="n">
        <x:v>44124</x:v>
      </x:c>
      <x:c r="Q134" s="54" t="n">
        <x:v>11677.86</x:v>
      </x:c>
      <x:c r="R134" s="55" t="n">
        <x:v>0.00107</x:v>
      </x:c>
      <x:c r="S134" s="57" t="str">
        <x:f>IF(I134,"DAMAGE SKIP",IF(AND(M134,N134),IF(O134,"TUESDAY RE-ENTRY","GAP/MOM SKIP"),"BASELINE"))</x:f>
        <x:v>BASELINE</x:v>
      </x:c>
      <x:c r="T134" s="56" t="n">
        <x:f>IF(I134,0,IF(AND(M134,N134),IF(O134,R134,0),G134))</x:f>
        <x:v>-0.01934</x:v>
      </x:c>
      <x:c r="U134" s="56" t="n">
        <x:f>G134*'Assumptions'!$B$6</x:f>
        <x:v>-0.21854200000000001</x:v>
      </x:c>
      <x:c r="V134" s="56" t="n">
        <x:f>T134*'Assumptions'!$B$6</x:f>
        <x:v>-0.21854200000000001</x:v>
      </x:c>
      <x:c r="W134" s="56" t="n">
        <x:f>V134-U134</x:f>
        <x:v>0</x:v>
      </x:c>
      <x:c r="X134" s="58" t="n">
        <x:f>X133*(1+U134)</x:f>
        <x:v>7072.813970960623</x:v>
      </x:c>
      <x:c r="Y134" s="58" t="n">
        <x:f>MAX(Y133,X134)</x:f>
        <x:v>9050.792199914293</x:v>
      </x:c>
      <x:c r="Z134" s="59" t="n">
        <x:f>X134/Y134-1</x:f>
        <x:v>-0.21854200000000001</x:v>
      </x:c>
      <x:c r="AA134" s="58" t="n">
        <x:f>AA133*(1+V134)</x:f>
        <x:v>39949.59968183326</x:v>
      </x:c>
      <x:c r="AB134" s="58" t="n">
        <x:f>MAX(AB133,AA134)</x:f>
        <x:v>51121.87690423959</x:v>
      </x:c>
      <x:c r="AC134" s="59" t="n">
        <x:f>AA134/AB134-1</x:f>
        <x:v>-0.21854200000000001</x:v>
      </x:c>
      <x:c r="AD134" s="60" t="n">
        <x:f>AA134-X134</x:f>
        <x:v>32876.78571087263</x:v>
      </x:c>
      <x:c r="AE134" s="28" t="str">
        <x:v>Baseline trade unchanged.</x:v>
      </x:c>
    </x:row>
    <x:row r="135" ht="18" customHeight="1">
      <x:c r="A135" s="23" t="n">
        <x:v>131</x:v>
      </x:c>
      <x:c r="B135" s="53" t="n">
        <x:v>44130</x:v>
      </x:c>
      <x:c r="C135" s="53" t="n">
        <x:v>44133</x:v>
      </x:c>
      <x:c r="D135" s="23" t="str">
        <x:v>TSL1PRE</x:v>
      </x:c>
      <x:c r="E135" s="54" t="n">
        <x:v>11587.689</x:v>
      </x:c>
      <x:c r="F135" s="54" t="n">
        <x:v>11198.399</x:v>
      </x:c>
      <x:c r="G135" s="55" t="n">
        <x:v>-0.03359</x:v>
      </x:c>
      <x:c r="H135" s="56" t="n">
        <x:f>SUM(T132:T134)</x:f>
        <x:v>0.0072000000000000015</x:v>
      </x:c>
      <x:c r="I135" s="57" t="b">
        <x:f>AND(A135&gt;3,H135&lt;='Assumptions'!$B$7)</x:f>
        <x:v>0</x:v>
      </x:c>
      <x:c r="J135" s="55" t="n">
        <x:v>-0.007461370427019776</x:v>
      </x:c>
      <x:c r="K135" s="55" t="n">
        <x:v>0.048581217937796906</x:v>
      </x:c>
      <x:c r="L135" s="55" t="n">
        <x:v>-0.011719807774933422</x:v>
      </x:c>
      <x:c r="M135" s="57" t="b">
        <x:f>J135&gt;='Assumptions'!$B$8</x:f>
        <x:v>0</x:v>
      </x:c>
      <x:c r="N135" s="57" t="b">
        <x:f>AND(K135&lt;&gt;"",K135&lt;='Assumptions'!$B$9)</x:f>
        <x:v>0</x:v>
      </x:c>
      <x:c r="O135" s="57" t="b">
        <x:f>AND(P135&lt;&gt;"",ABS(L135)&lt;='Assumptions'!$B$10)</x:f>
        <x:v>0</x:v>
      </x:c>
      <x:c r="P135" s="53" t="n">
        <x:v>44131</x:v>
      </x:c>
      <x:c r="Q135" s="54" t="n">
        <x:v>11548.459</x:v>
      </x:c>
      <x:c r="R135" s="55" t="n">
        <x:v>-0.03031</x:v>
      </x:c>
      <x:c r="S135" s="57" t="str">
        <x:f>IF(I135,"DAMAGE SKIP",IF(AND(M135,N135),IF(O135,"TUESDAY RE-ENTRY","GAP/MOM SKIP"),"BASELINE"))</x:f>
        <x:v>BASELINE</x:v>
      </x:c>
      <x:c r="T135" s="56" t="n">
        <x:f>IF(I135,0,IF(AND(M135,N135),IF(O135,R135,0),G135))</x:f>
        <x:v>-0.03359</x:v>
      </x:c>
      <x:c r="U135" s="56" t="n">
        <x:f>G135*'Assumptions'!$B$6</x:f>
        <x:v>-0.37956700000000004</x:v>
      </x:c>
      <x:c r="V135" s="56" t="n">
        <x:f>T135*'Assumptions'!$B$6</x:f>
        <x:v>-0.37956700000000004</x:v>
      </x:c>
      <x:c r="W135" s="56" t="n">
        <x:f>V135-U135</x:f>
        <x:v>0</x:v>
      </x:c>
      <x:c r="X135" s="58" t="n">
        <x:f>X134*(1+U135)</x:f>
        <x:v>4388.207190445012</x:v>
      </x:c>
      <x:c r="Y135" s="58" t="n">
        <x:f>MAX(Y134,X135)</x:f>
        <x:v>9050.792199914293</x:v>
      </x:c>
      <x:c r="Z135" s="59" t="n">
        <x:f>X135/Y135-1</x:f>
        <x:v>-0.515157668686</x:v>
      </x:c>
      <x:c r="AA135" s="58" t="n">
        <x:f>AA134*(1+V135)</x:f>
        <x:v>24786.049979398853</x:v>
      </x:c>
      <x:c r="AB135" s="58" t="n">
        <x:f>MAX(AB134,AA135)</x:f>
        <x:v>51121.87690423959</x:v>
      </x:c>
      <x:c r="AC135" s="59" t="n">
        <x:f>AA135/AB135-1</x:f>
        <x:v>-0.515157668686</x:v>
      </x:c>
      <x:c r="AD135" s="60" t="n">
        <x:f>AA135-X135</x:f>
        <x:v>20397.84278895384</x:v>
      </x:c>
      <x:c r="AE135" s="28" t="str">
        <x:v>Baseline trade unchanged.</x:v>
      </x:c>
    </x:row>
    <x:row r="136" ht="18" customHeight="1">
      <x:c r="A136" s="23" t="n">
        <x:v>132</x:v>
      </x:c>
      <x:c r="B136" s="53" t="n">
        <x:v>44137</x:v>
      </x:c>
      <x:c r="C136" s="53" t="n">
        <x:v>44139</x:v>
      </x:c>
      <x:c r="D136" s="23" t="str">
        <x:v>CH</x:v>
      </x:c>
      <x:c r="E136" s="54" t="n">
        <x:v>11152.799</x:v>
      </x:c>
      <x:c r="F136" s="54" t="n">
        <x:v>11776.629</x:v>
      </x:c>
      <x:c r="G136" s="55" t="n">
        <x:v>0.05593</x:v>
      </x:c>
      <x:c r="H136" s="56" t="n">
        <x:f>SUM(T133:T135)</x:f>
        <x:v>-0.03984</x:v>
      </x:c>
      <x:c r="I136" s="57" t="b">
        <x:f>AND(A136&gt;3,H136&lt;='Assumptions'!$B$7)</x:f>
        <x:v>1</x:v>
      </x:c>
      <x:c r="J136" s="55" t="n">
        <x:v>0.006033876521436277</x:v>
      </x:c>
      <x:c r="K136" s="55" t="n">
        <x:v>-0.017926547256297387</x:v>
      </x:c>
      <x:c r="L136" s="55" t="n">
        <x:v>0.009159326484192487</x:v>
      </x:c>
      <x:c r="M136" s="57" t="b">
        <x:f>J136&gt;='Assumptions'!$B$8</x:f>
        <x:v>0</x:v>
      </x:c>
      <x:c r="N136" s="57" t="b">
        <x:f>AND(K136&lt;&gt;"",K136&lt;='Assumptions'!$B$9)</x:f>
        <x:v>1</x:v>
      </x:c>
      <x:c r="O136" s="57" t="b">
        <x:f>AND(P136&lt;&gt;"",ABS(L136)&lt;='Assumptions'!$B$10)</x:f>
        <x:v>0</x:v>
      </x:c>
      <x:c r="P136" s="53" t="n">
        <x:v>44138</x:v>
      </x:c>
      <x:c r="Q136" s="54" t="n">
        <x:v>11156.708</x:v>
      </x:c>
      <x:c r="R136" s="55" t="n">
        <x:v>0.05556</x:v>
      </x:c>
      <x:c r="S136" s="57" t="str">
        <x:f>IF(I136,"DAMAGE SKIP",IF(AND(M136,N136),IF(O136,"TUESDAY RE-ENTRY","GAP/MOM SKIP"),"BASELINE"))</x:f>
        <x:v>DAMAGE SKIP</x:v>
      </x:c>
      <x:c r="T136" s="56" t="n">
        <x:f>IF(I136,0,IF(AND(M136,N136),IF(O136,R136,0),G136))</x:f>
        <x:v>0</x:v>
      </x:c>
      <x:c r="U136" s="56" t="n">
        <x:f>G136*'Assumptions'!$B$6</x:f>
        <x:v>0.632009</x:v>
      </x:c>
      <x:c r="V136" s="56" t="n">
        <x:f>T136*'Assumptions'!$B$6</x:f>
        <x:v>0</x:v>
      </x:c>
      <x:c r="W136" s="56" t="n">
        <x:f>V136-U136</x:f>
        <x:v>-0.632009</x:v>
      </x:c>
      <x:c r="X136" s="58" t="n">
        <x:f>X135*(1+U136)</x:f>
        <x:v>7161.593628670974</x:v>
      </x:c>
      <x:c r="Y136" s="58" t="n">
        <x:f>MAX(Y135,X136)</x:f>
        <x:v>9050.792199914293</x:v>
      </x:c>
      <x:c r="Z136" s="59" t="n">
        <x:f>X136/Y136-1</x:f>
        <x:v>-0.20873295171457018</x:v>
      </x:c>
      <x:c r="AA136" s="58" t="n">
        <x:f>AA135*(1+V136)</x:f>
        <x:v>24786.049979398853</x:v>
      </x:c>
      <x:c r="AB136" s="58" t="n">
        <x:f>MAX(AB135,AA136)</x:f>
        <x:v>51121.87690423959</x:v>
      </x:c>
      <x:c r="AC136" s="59" t="n">
        <x:f>AA136/AB136-1</x:f>
        <x:v>-0.515157668686</x:v>
      </x:c>
      <x:c r="AD136" s="60" t="n">
        <x:f>AA136-X136</x:f>
        <x:v>17624.45635072788</x:v>
      </x:c>
      <x:c r="AE136" s="28" t="str">
        <x:v>Skipped because the previous three rule outcomes totalled at or below the damage threshold.</x:v>
      </x:c>
    </x:row>
    <x:row r="137" ht="18" customHeight="1">
      <x:c r="A137" s="23" t="n">
        <x:v>133</x:v>
      </x:c>
      <x:c r="B137" s="53" t="n">
        <x:v>44144</x:v>
      </x:c>
      <x:c r="C137" s="53" t="n">
        <x:v>44147</x:v>
      </x:c>
      <x:c r="D137" s="23" t="str">
        <x:v>TSL1PRE</x:v>
      </x:c>
      <x:c r="E137" s="54" t="n">
        <x:v>12193.679</x:v>
      </x:c>
      <x:c r="F137" s="54" t="n">
        <x:v>11906.049</x:v>
      </x:c>
      <x:c r="G137" s="55" t="n">
        <x:v>-0.02358</x:v>
      </x:c>
      <x:c r="H137" s="56" t="n">
        <x:f>SUM(T134:T136)</x:f>
        <x:v>-0.052930000000000005</x:v>
      </x:c>
      <x:c r="I137" s="57" t="b">
        <x:f>AND(A137&gt;3,H137&lt;='Assumptions'!$B$7)</x:f>
        <x:v>1</x:v>
      </x:c>
      <x:c r="J137" s="55" t="n">
        <x:v>0.009116549574672783</x:v>
      </x:c>
      <x:c r="K137" s="55" t="n">
        <x:v>0.031187701962590575</x:v>
      </x:c>
      <x:c r="L137" s="55" t="n">
        <x:v>-0.03175195854343693</x:v>
      </x:c>
      <x:c r="M137" s="57" t="b">
        <x:f>J137&gt;='Assumptions'!$B$8</x:f>
        <x:v>0</x:v>
      </x:c>
      <x:c r="N137" s="57" t="b">
        <x:f>AND(K137&lt;&gt;"",K137&lt;='Assumptions'!$B$9)</x:f>
        <x:v>0</x:v>
      </x:c>
      <x:c r="O137" s="57" t="b">
        <x:f>AND(P137&lt;&gt;"",ABS(L137)&lt;='Assumptions'!$B$10)</x:f>
        <x:v>0</x:v>
      </x:c>
      <x:c r="P137" s="53" t="n">
        <x:v>44145</x:v>
      </x:c>
      <x:c r="Q137" s="54" t="n">
        <x:v>11699.639</x:v>
      </x:c>
      <x:c r="R137" s="55" t="n">
        <x:v>0.01764</x:v>
      </x:c>
      <x:c r="S137" s="57" t="str">
        <x:f>IF(I137,"DAMAGE SKIP",IF(AND(M137,N137),IF(O137,"TUESDAY RE-ENTRY","GAP/MOM SKIP"),"BASELINE"))</x:f>
        <x:v>DAMAGE SKIP</x:v>
      </x:c>
      <x:c r="T137" s="56" t="n">
        <x:f>IF(I137,0,IF(AND(M137,N137),IF(O137,R137,0),G137))</x:f>
        <x:v>0</x:v>
      </x:c>
      <x:c r="U137" s="56" t="n">
        <x:f>G137*'Assumptions'!$B$6</x:f>
        <x:v>-0.266454</x:v>
      </x:c>
      <x:c r="V137" s="56" t="n">
        <x:f>T137*'Assumptions'!$B$6</x:f>
        <x:v>0</x:v>
      </x:c>
      <x:c r="W137" s="56" t="n">
        <x:f>V137-U137</x:f>
        <x:v>0.266454</x:v>
      </x:c>
      <x:c r="X137" s="58" t="n">
        <x:f>X136*(1+U137)</x:f>
        <x:v>5253.358359937079</x:v>
      </x:c>
      <x:c r="Y137" s="58" t="n">
        <x:f>MAX(Y136,X137)</x:f>
        <x:v>9050.792199914293</x:v>
      </x:c>
      <x:c r="Z137" s="59" t="n">
        <x:f>X137/Y137-1</x:f>
        <x:v>-0.41956922179841605</x:v>
      </x:c>
      <x:c r="AA137" s="58" t="n">
        <x:f>AA136*(1+V137)</x:f>
        <x:v>24786.049979398853</x:v>
      </x:c>
      <x:c r="AB137" s="58" t="n">
        <x:f>MAX(AB136,AA137)</x:f>
        <x:v>51121.87690423959</x:v>
      </x:c>
      <x:c r="AC137" s="59" t="n">
        <x:f>AA137/AB137-1</x:f>
        <x:v>-0.515157668686</x:v>
      </x:c>
      <x:c r="AD137" s="60" t="n">
        <x:f>AA137-X137</x:f>
        <x:v>19532.691619461773</x:v>
      </x:c>
      <x:c r="AE137" s="28" t="str">
        <x:v>Skipped because the previous three rule outcomes totalled at or below the damage threshold.</x:v>
      </x:c>
    </x:row>
    <x:row r="138" ht="18" customHeight="1">
      <x:c r="A138" s="23" t="n">
        <x:v>134</x:v>
      </x:c>
      <x:c r="B138" s="53" t="n">
        <x:v>44151</x:v>
      </x:c>
      <x:c r="C138" s="53" t="n">
        <x:v>44151</x:v>
      </x:c>
      <x:c r="D138" s="23" t="str">
        <x:v>CH</x:v>
      </x:c>
      <x:c r="E138" s="54" t="n">
        <x:v>11917.289</x:v>
      </x:c>
      <x:c r="F138" s="54" t="n">
        <x:v>12018.999</x:v>
      </x:c>
      <x:c r="G138" s="55" t="n">
        <x:v>0.00853</x:v>
      </x:c>
      <x:c r="H138" s="56" t="n">
        <x:f>SUM(T135:T137)</x:f>
        <x:v>-0.03359</x:v>
      </x:c>
      <x:c r="I138" s="57" t="b">
        <x:f>AND(A138&gt;3,H138&lt;='Assumptions'!$B$7)</x:f>
        <x:v>1</x:v>
      </x:c>
      <x:c r="J138" s="55" t="n">
        <x:v>-0.0018543600368158275</x:v>
      </x:c>
      <x:c r="K138" s="55" t="n">
        <x:v>0.008413692830721464</x:v>
      </x:c>
      <x:c r="L138" s="55" t="n">
        <x:v>0.008530788938952094</x:v>
      </x:c>
      <x:c r="M138" s="57" t="b">
        <x:f>J138&gt;='Assumptions'!$B$8</x:f>
        <x:v>0</x:v>
      </x:c>
      <x:c r="N138" s="57" t="b">
        <x:f>AND(K138&lt;&gt;"",K138&lt;='Assumptions'!$B$9)</x:f>
        <x:v>0</x:v>
      </x:c>
      <x:c r="O138" s="57" t="b">
        <x:f>AND(P138&lt;&gt;"",ABS(L138)&lt;='Assumptions'!$B$10)</x:f>
        <x:v>0</x:v>
      </x:c>
      <x:c r="P138" s="53" t="n">
        <x:v>44152</x:v>
      </x:c>
      <x:c r="Q138" s="54" t="n">
        <x:v>12031.879</x:v>
      </x:c>
      <x:c r="R138" s="55" t="n">
        <x:v>-0.00107</x:v>
      </x:c>
      <x:c r="S138" s="57" t="str">
        <x:f>IF(I138,"DAMAGE SKIP",IF(AND(M138,N138),IF(O138,"TUESDAY RE-ENTRY","GAP/MOM SKIP"),"BASELINE"))</x:f>
        <x:v>DAMAGE SKIP</x:v>
      </x:c>
      <x:c r="T138" s="56" t="n">
        <x:f>IF(I138,0,IF(AND(M138,N138),IF(O138,R138,0),G138))</x:f>
        <x:v>0</x:v>
      </x:c>
      <x:c r="U138" s="56" t="n">
        <x:f>G138*'Assumptions'!$B$6</x:f>
        <x:v>0.096389</x:v>
      </x:c>
      <x:c r="V138" s="56" t="n">
        <x:f>T138*'Assumptions'!$B$6</x:f>
        <x:v>0</x:v>
      </x:c>
      <x:c r="W138" s="56" t="n">
        <x:f>V138-U138</x:f>
        <x:v>-0.096389</x:v>
      </x:c>
      <x:c r="X138" s="58" t="n">
        <x:f>X137*(1+U138)</x:f>
        <x:v>5759.724318893054</x:v>
      </x:c>
      <x:c r="Y138" s="58" t="n">
        <x:f>MAX(Y137,X138)</x:f>
        <x:v>9050.792199914293</x:v>
      </x:c>
      <x:c r="Z138" s="59" t="n">
        <x:f>X138/Y138-1</x:f>
        <x:v>-0.3636220795183436</x:v>
      </x:c>
      <x:c r="AA138" s="58" t="n">
        <x:f>AA137*(1+V138)</x:f>
        <x:v>24786.049979398853</x:v>
      </x:c>
      <x:c r="AB138" s="58" t="n">
        <x:f>MAX(AB137,AA138)</x:f>
        <x:v>51121.87690423959</x:v>
      </x:c>
      <x:c r="AC138" s="59" t="n">
        <x:f>AA138/AB138-1</x:f>
        <x:v>-0.515157668686</x:v>
      </x:c>
      <x:c r="AD138" s="60" t="n">
        <x:f>AA138-X138</x:f>
        <x:v>19026.325660505798</x:v>
      </x:c>
      <x:c r="AE138" s="28" t="str">
        <x:v>Skipped because the previous three rule outcomes totalled at or below the damage threshold.</x:v>
      </x:c>
    </x:row>
    <x:row r="139" ht="18" customHeight="1">
      <x:c r="A139" s="23" t="n">
        <x:v>135</x:v>
      </x:c>
      <x:c r="B139" s="53" t="n">
        <x:v>44158</x:v>
      </x:c>
      <x:c r="C139" s="53" t="n">
        <x:v>44162</x:v>
      </x:c>
      <x:c r="D139" s="23" t="str">
        <x:v>TO</x:v>
      </x:c>
      <x:c r="E139" s="54" t="n">
        <x:v>11947.809</x:v>
      </x:c>
      <x:c r="F139" s="54" t="n">
        <x:v>12272.029</x:v>
      </x:c>
      <x:c r="G139" s="55" t="n">
        <x:v>0.02713</x:v>
      </x:c>
      <x:c r="H139" s="56" t="n">
        <x:f>SUM(T136:T138)</x:f>
        <x:v>0</x:v>
      </x:c>
      <x:c r="I139" s="57" t="b">
        <x:f>AND(A139&gt;3,H139&lt;='Assumptions'!$B$7)</x:f>
        <x:v>0</x:v>
      </x:c>
      <x:c r="J139" s="55" t="n">
        <x:v>0.0035968113872260066</x:v>
      </x:c>
      <x:c r="K139" s="55" t="n">
        <x:v>0.019782140110554902</x:v>
      </x:c>
      <x:c r="L139" s="55" t="n">
        <x:v>0.0038166587595505064</x:v>
      </x:c>
      <x:c r="M139" s="57" t="b">
        <x:f>J139&gt;='Assumptions'!$B$8</x:f>
        <x:v>0</x:v>
      </x:c>
      <x:c r="N139" s="57" t="b">
        <x:f>AND(K139&lt;&gt;"",K139&lt;='Assumptions'!$B$9)</x:f>
        <x:v>0</x:v>
      </x:c>
      <x:c r="O139" s="57" t="b">
        <x:f>AND(P139&lt;&gt;"",ABS(L139)&lt;='Assumptions'!$B$10)</x:f>
        <x:v>1</x:v>
      </x:c>
      <x:c r="P139" s="53" t="n">
        <x:v>44159</x:v>
      </x:c>
      <x:c r="Q139" s="54" t="n">
        <x:v>11950.497</x:v>
      </x:c>
      <x:c r="R139" s="55" t="n">
        <x:v>0.0269</x:v>
      </x:c>
      <x:c r="S139" s="57" t="str">
        <x:f>IF(I139,"DAMAGE SKIP",IF(AND(M139,N139),IF(O139,"TUESDAY RE-ENTRY","GAP/MOM SKIP"),"BASELINE"))</x:f>
        <x:v>BASELINE</x:v>
      </x:c>
      <x:c r="T139" s="56" t="n">
        <x:f>IF(I139,0,IF(AND(M139,N139),IF(O139,R139,0),G139))</x:f>
        <x:v>0.02713</x:v>
      </x:c>
      <x:c r="U139" s="56" t="n">
        <x:f>G139*'Assumptions'!$B$6</x:f>
        <x:v>0.30656900000000004</x:v>
      </x:c>
      <x:c r="V139" s="56" t="n">
        <x:f>T139*'Assumptions'!$B$6</x:f>
        <x:v>0.30656900000000004</x:v>
      </x:c>
      <x:c r="W139" s="56" t="n">
        <x:f>V139-U139</x:f>
        <x:v>0</x:v>
      </x:c>
      <x:c r="X139" s="58" t="n">
        <x:f>X138*(1+U139)</x:f>
        <x:v>7525.477243611779</x:v>
      </x:c>
      <x:c r="Y139" s="58" t="n">
        <x:f>MAX(Y138,X139)</x:f>
        <x:v>9050.792199914293</x:v>
      </x:c>
      <x:c r="Z139" s="59" t="n">
        <x:f>X139/Y139-1</x:f>
        <x:v>-0.16852833681420254</x:v>
      </x:c>
      <x:c r="AA139" s="58" t="n">
        <x:f>AA138*(1+V139)</x:f>
        <x:v>32384.684535533182</x:v>
      </x:c>
      <x:c r="AB139" s="58" t="n">
        <x:f>MAX(AB138,AA139)</x:f>
        <x:v>51121.87690423959</x:v>
      </x:c>
      <x:c r="AC139" s="59" t="n">
        <x:f>AA139/AB139-1</x:f>
        <x:v>-0.36652004001739835</x:v>
      </x:c>
      <x:c r="AD139" s="60" t="n">
        <x:f>AA139-X139</x:f>
        <x:v>24859.207291921404</x:v>
      </x:c>
      <x:c r="AE139" s="28" t="str">
        <x:v>Baseline trade unchanged.</x:v>
      </x:c>
    </x:row>
    <x:row r="140" ht="18" customHeight="1">
      <x:c r="A140" s="23" t="n">
        <x:v>136</x:v>
      </x:c>
      <x:c r="B140" s="53" t="n">
        <x:v>44165</x:v>
      </x:c>
      <x:c r="C140" s="53" t="n">
        <x:v>44169</x:v>
      </x:c>
      <x:c r="D140" s="23" t="str">
        <x:v>TO</x:v>
      </x:c>
      <x:c r="E140" s="54" t="n">
        <x:v>12272.047</x:v>
      </x:c>
      <x:c r="F140" s="54" t="n">
        <x:v>12529.559</x:v>
      </x:c>
      <x:c r="G140" s="55" t="n">
        <x:v>0.02098</x:v>
      </x:c>
      <x:c r="H140" s="56" t="n">
        <x:f>SUM(T137:T139)</x:f>
        <x:v>0.02713</x:v>
      </x:c>
      <x:c r="I140" s="57" t="b">
        <x:f>AND(A140&gt;3,H140&lt;='Assumptions'!$B$7)</x:f>
        <x:v>0</x:v>
      </x:c>
      <x:c r="J140" s="55" t="n">
        <x:v>0.0000014667501193610377</x:v>
      </x:c>
      <x:c r="K140" s="55" t="n">
        <x:v>0.0818370846491765</x:v>
      </x:c>
      <x:c r="L140" s="55" t="n">
        <x:v>0.009534451932333932</x:v>
      </x:c>
      <x:c r="M140" s="57" t="b">
        <x:f>J140&gt;='Assumptions'!$B$8</x:f>
        <x:v>0</x:v>
      </x:c>
      <x:c r="N140" s="57" t="b">
        <x:f>AND(K140&lt;&gt;"",K140&lt;='Assumptions'!$B$9)</x:f>
        <x:v>0</x:v>
      </x:c>
      <x:c r="O140" s="57" t="b">
        <x:f>AND(P140&lt;&gt;"",ABS(L140)&lt;='Assumptions'!$B$10)</x:f>
        <x:v>0</x:v>
      </x:c>
      <x:c r="P140" s="53" t="n">
        <x:v>44166</x:v>
      </x:c>
      <x:c r="Q140" s="54" t="n">
        <x:v>12372.219</x:v>
      </x:c>
      <x:c r="R140" s="55" t="n">
        <x:v>0.01271</x:v>
      </x:c>
      <x:c r="S140" s="57" t="str">
        <x:f>IF(I140,"DAMAGE SKIP",IF(AND(M140,N140),IF(O140,"TUESDAY RE-ENTRY","GAP/MOM SKIP"),"BASELINE"))</x:f>
        <x:v>BASELINE</x:v>
      </x:c>
      <x:c r="T140" s="56" t="n">
        <x:f>IF(I140,0,IF(AND(M140,N140),IF(O140,R140,0),G140))</x:f>
        <x:v>0.02098</x:v>
      </x:c>
      <x:c r="U140" s="56" t="n">
        <x:f>G140*'Assumptions'!$B$6</x:f>
        <x:v>0.237074</x:v>
      </x:c>
      <x:c r="V140" s="56" t="n">
        <x:f>T140*'Assumptions'!$B$6</x:f>
        <x:v>0.237074</x:v>
      </x:c>
      <x:c r="W140" s="56" t="n">
        <x:f>V140-U140</x:f>
        <x:v>0</x:v>
      </x:c>
      <x:c r="X140" s="58" t="n">
        <x:f>X139*(1+U140)</x:f>
        <x:v>9309.572235663798</x:v>
      </x:c>
      <x:c r="Y140" s="58" t="n">
        <x:f>MAX(Y139,X140)</x:f>
        <x:v>9309.572235663798</x:v>
      </x:c>
      <x:c r="Z140" s="59" t="n">
        <x:f>X140/Y140-1</x:f>
        <x:v>0</x:v>
      </x:c>
      <x:c r="AA140" s="58" t="n">
        <x:f>AA139*(1+V140)</x:f>
        <x:v>40062.25123711018</x:v>
      </x:c>
      <x:c r="AB140" s="58" t="n">
        <x:f>MAX(AB139,AA140)</x:f>
        <x:v>51121.87690423959</x:v>
      </x:c>
      <x:c r="AC140" s="59" t="n">
        <x:f>AA140/AB140-1</x:f>
        <x:v>-0.216338411984483</x:v>
      </x:c>
      <x:c r="AD140" s="60" t="n">
        <x:f>AA140-X140</x:f>
        <x:v>30752.679001446377</x:v>
      </x:c>
      <x:c r="AE140" s="28" t="str">
        <x:v>Baseline trade unchanged.</x:v>
      </x:c>
    </x:row>
    <x:row r="141" ht="18" customHeight="1">
      <x:c r="A141" s="23" t="n">
        <x:v>137</x:v>
      </x:c>
      <x:c r="B141" s="53" t="n">
        <x:v>44172</x:v>
      </x:c>
      <x:c r="C141" s="53" t="n">
        <x:v>44175</x:v>
      </x:c>
      <x:c r="D141" s="23" t="str">
        <x:v>TSL1PRE</x:v>
      </x:c>
      <x:c r="E141" s="54" t="n">
        <x:v>12530.889</x:v>
      </x:c>
      <x:c r="F141" s="54" t="n">
        <x:v>12342.889</x:v>
      </x:c>
      <x:c r="G141" s="55" t="n">
        <x:v>-0.015</x:v>
      </x:c>
      <x:c r="H141" s="56" t="n">
        <x:f>SUM(T138:T140)</x:f>
        <x:v>0.04811</x:v>
      </x:c>
      <x:c r="I141" s="57" t="b">
        <x:f>AND(A141&gt;3,H141&lt;='Assumptions'!$B$7)</x:f>
        <x:v>0</x:v>
      </x:c>
      <x:c r="J141" s="55" t="n">
        <x:v>0.0001061489873666055</x:v>
      </x:c>
      <x:c r="K141" s="55" t="n">
        <x:v>0.0377859263139515</x:v>
      </x:c>
      <x:c r="L141" s="55" t="n">
        <x:v>0.004054918060369506</x:v>
      </x:c>
      <x:c r="M141" s="57" t="b">
        <x:f>J141&gt;='Assumptions'!$B$8</x:f>
        <x:v>0</x:v>
      </x:c>
      <x:c r="N141" s="57" t="b">
        <x:f>AND(K141&lt;&gt;"",K141&lt;='Assumptions'!$B$9)</x:f>
        <x:v>0</x:v>
      </x:c>
      <x:c r="O141" s="57" t="b">
        <x:f>AND(P141&lt;&gt;"",ABS(L141)&lt;='Assumptions'!$B$10)</x:f>
        <x:v>1</x:v>
      </x:c>
      <x:c r="P141" s="53" t="n">
        <x:v>44173</x:v>
      </x:c>
      <x:c r="Q141" s="54" t="n">
        <x:v>12575.507</x:v>
      </x:c>
      <x:c r="R141" s="55" t="n">
        <x:v>-0.01849</x:v>
      </x:c>
      <x:c r="S141" s="57" t="str">
        <x:f>IF(I141,"DAMAGE SKIP",IF(AND(M141,N141),IF(O141,"TUESDAY RE-ENTRY","GAP/MOM SKIP"),"BASELINE"))</x:f>
        <x:v>BASELINE</x:v>
      </x:c>
      <x:c r="T141" s="56" t="n">
        <x:f>IF(I141,0,IF(AND(M141,N141),IF(O141,R141,0),G141))</x:f>
        <x:v>-0.015</x:v>
      </x:c>
      <x:c r="U141" s="56" t="n">
        <x:f>G141*'Assumptions'!$B$6</x:f>
        <x:v>-0.1695</x:v>
      </x:c>
      <x:c r="V141" s="56" t="n">
        <x:f>T141*'Assumptions'!$B$6</x:f>
        <x:v>-0.1695</x:v>
      </x:c>
      <x:c r="W141" s="56" t="n">
        <x:f>V141-U141</x:f>
        <x:v>0</x:v>
      </x:c>
      <x:c r="X141" s="58" t="n">
        <x:f>X140*(1+U141)</x:f>
        <x:v>7731.599741718785</x:v>
      </x:c>
      <x:c r="Y141" s="58" t="n">
        <x:f>MAX(Y140,X141)</x:f>
        <x:v>9309.572235663798</x:v>
      </x:c>
      <x:c r="Z141" s="59" t="n">
        <x:f>X141/Y141-1</x:f>
        <x:v>-0.16949999999999998</x:v>
      </x:c>
      <x:c r="AA141" s="58" t="n">
        <x:f>AA140*(1+V141)</x:f>
        <x:v>33271.69965242</x:v>
      </x:c>
      <x:c r="AB141" s="58" t="n">
        <x:f>MAX(AB140,AA141)</x:f>
        <x:v>51121.87690423959</x:v>
      </x:c>
      <x:c r="AC141" s="59" t="n">
        <x:f>AA141/AB141-1</x:f>
        <x:v>-0.34916905115311314</x:v>
      </x:c>
      <x:c r="AD141" s="60" t="n">
        <x:f>AA141-X141</x:f>
        <x:v>25540.099910701218</x:v>
      </x:c>
      <x:c r="AE141" s="28" t="str">
        <x:v>Baseline trade unchanged.</x:v>
      </x:c>
    </x:row>
    <x:row r="142" ht="18" customHeight="1">
      <x:c r="A142" s="23" t="n">
        <x:v>138</x:v>
      </x:c>
      <x:c r="B142" s="53" t="n">
        <x:v>44179</x:v>
      </x:c>
      <x:c r="C142" s="53" t="n">
        <x:v>44183</x:v>
      </x:c>
      <x:c r="D142" s="23" t="str">
        <x:v>TO</x:v>
      </x:c>
      <x:c r="E142" s="54" t="n">
        <x:v>12420.369</x:v>
      </x:c>
      <x:c r="F142" s="54" t="n">
        <x:v>12721.779</x:v>
      </x:c>
      <x:c r="G142" s="55" t="n">
        <x:v>0.02426</x:v>
      </x:c>
      <x:c r="H142" s="56" t="n">
        <x:f>SUM(T139:T141)</x:f>
        <x:v>0.03311</x:v>
      </x:c>
      <x:c r="I142" s="57" t="b">
        <x:f>AND(A142&gt;3,H142&lt;='Assumptions'!$B$7)</x:f>
        <x:v>0</x:v>
      </x:c>
      <x:c r="J142" s="55" t="n">
        <x:v>0.004942031859599627</x:v>
      </x:c>
      <x:c r="K142" s="55" t="n">
        <x:v>0.0466176617376548</x:v>
      </x:c>
      <x:c r="L142" s="55" t="n">
        <x:v>0.015031012319775883</x:v>
      </x:c>
      <x:c r="M142" s="57" t="b">
        <x:f>J142&gt;='Assumptions'!$B$8</x:f>
        <x:v>0</x:v>
      </x:c>
      <x:c r="N142" s="57" t="b">
        <x:f>AND(K142&lt;&gt;"",K142&lt;='Assumptions'!$B$9)</x:f>
        <x:v>0</x:v>
      </x:c>
      <x:c r="O142" s="57" t="b">
        <x:f>AND(P142&lt;&gt;"",ABS(L142)&lt;='Assumptions'!$B$10)</x:f>
        <x:v>0</x:v>
      </x:c>
      <x:c r="P142" s="53" t="n">
        <x:v>44180</x:v>
      </x:c>
      <x:c r="Q142" s="54" t="n">
        <x:v>12559.799</x:v>
      </x:c>
      <x:c r="R142" s="55" t="n">
        <x:v>0.01289</x:v>
      </x:c>
      <x:c r="S142" s="57" t="str">
        <x:f>IF(I142,"DAMAGE SKIP",IF(AND(M142,N142),IF(O142,"TUESDAY RE-ENTRY","GAP/MOM SKIP"),"BASELINE"))</x:f>
        <x:v>BASELINE</x:v>
      </x:c>
      <x:c r="T142" s="56" t="n">
        <x:f>IF(I142,0,IF(AND(M142,N142),IF(O142,R142,0),G142))</x:f>
        <x:v>0.02426</x:v>
      </x:c>
      <x:c r="U142" s="56" t="n">
        <x:f>G142*'Assumptions'!$B$6</x:f>
        <x:v>0.27413800000000005</x:v>
      </x:c>
      <x:c r="V142" s="56" t="n">
        <x:f>T142*'Assumptions'!$B$6</x:f>
        <x:v>0.27413800000000005</x:v>
      </x:c>
      <x:c r="W142" s="56" t="n">
        <x:f>V142-U142</x:f>
        <x:v>0</x:v>
      </x:c>
      <x:c r="X142" s="58" t="n">
        <x:f>X141*(1+U142)</x:f>
        <x:v>9851.12503171409</x:v>
      </x:c>
      <x:c r="Y142" s="58" t="n">
        <x:f>MAX(Y141,X142)</x:f>
        <x:v>9851.12503171409</x:v>
      </x:c>
      <x:c r="Z142" s="59" t="n">
        <x:f>X142/Y142-1</x:f>
        <x:v>0</x:v>
      </x:c>
      <x:c r="AA142" s="58" t="n">
        <x:f>AA141*(1+V142)</x:f>
        <x:v>42392.73685173511</x:v>
      </x:c>
      <x:c r="AB142" s="58" t="n">
        <x:f>MAX(AB141,AA142)</x:f>
        <x:v>51121.87690423959</x:v>
      </x:c>
      <x:c r="AC142" s="59" t="n">
        <x:f>AA142/AB142-1</x:f>
        <x:v>-0.17075155649812535</x:v>
      </x:c>
      <x:c r="AD142" s="60" t="n">
        <x:f>AA142-X142</x:f>
        <x:v>32541.611820021026</x:v>
      </x:c>
      <x:c r="AE142" s="28" t="str">
        <x:v>Baseline trade unchanged.</x:v>
      </x:c>
    </x:row>
    <x:row r="143" ht="18" customHeight="1">
      <x:c r="A143" s="23" t="n">
        <x:v>139</x:v>
      </x:c>
      <x:c r="B143" s="53" t="n">
        <x:v>44186</x:v>
      </x:c>
      <x:c r="C143" s="53" t="n">
        <x:v>44186</x:v>
      </x:c>
      <x:c r="D143" s="23" t="str">
        <x:v>CH</x:v>
      </x:c>
      <x:c r="E143" s="54" t="n">
        <x:v>12580.689</x:v>
      </x:c>
      <x:c r="F143" s="54" t="n">
        <x:v>12675.039</x:v>
      </x:c>
      <x:c r="G143" s="55" t="n">
        <x:v>0.00749</x:v>
      </x:c>
      <x:c r="H143" s="56" t="n">
        <x:f>SUM(T140:T142)</x:f>
        <x:v>0.03024</x:v>
      </x:c>
      <x:c r="I143" s="57" t="b">
        <x:f>AND(A143&gt;3,H143&lt;='Assumptions'!$B$7)</x:f>
        <x:v>0</x:v>
      </x:c>
      <x:c r="J143" s="55" t="n">
        <x:v>-0.011090430041270194</x:v>
      </x:c>
      <x:c r="K143" s="55" t="n">
        <x:v>0.06046317003530399</x:v>
      </x:c>
      <x:c r="L143" s="55" t="n">
        <x:v>0.001137332011419634</x:v>
      </x:c>
      <x:c r="M143" s="57" t="b">
        <x:f>J143&gt;='Assumptions'!$B$8</x:f>
        <x:v>0</x:v>
      </x:c>
      <x:c r="N143" s="57" t="b">
        <x:f>AND(K143&lt;&gt;"",K143&lt;='Assumptions'!$B$9)</x:f>
        <x:v>0</x:v>
      </x:c>
      <x:c r="O143" s="57" t="b">
        <x:f>AND(P143&lt;&gt;"",ABS(L143)&lt;='Assumptions'!$B$10)</x:f>
        <x:v>1</x:v>
      </x:c>
      <x:c r="P143" s="53" t="n">
        <x:v>44187</x:v>
      </x:c>
      <x:c r="Q143" s="54" t="n">
        <x:v>12720.699</x:v>
      </x:c>
      <x:c r="R143" s="55" t="n">
        <x:v>-0.00358</x:v>
      </x:c>
      <x:c r="S143" s="57" t="str">
        <x:f>IF(I143,"DAMAGE SKIP",IF(AND(M143,N143),IF(O143,"TUESDAY RE-ENTRY","GAP/MOM SKIP"),"BASELINE"))</x:f>
        <x:v>BASELINE</x:v>
      </x:c>
      <x:c r="T143" s="56" t="n">
        <x:f>IF(I143,0,IF(AND(M143,N143),IF(O143,R143,0),G143))</x:f>
        <x:v>0.00749</x:v>
      </x:c>
      <x:c r="U143" s="56" t="n">
        <x:f>G143*'Assumptions'!$B$6</x:f>
        <x:v>0.084637</x:v>
      </x:c>
      <x:c r="V143" s="56" t="n">
        <x:f>T143*'Assumptions'!$B$6</x:f>
        <x:v>0.084637</x:v>
      </x:c>
      <x:c r="W143" s="56" t="n">
        <x:f>V143-U143</x:f>
        <x:v>0</x:v>
      </x:c>
      <x:c r="X143" s="58" t="n">
        <x:f>X142*(1+U143)</x:f>
        <x:v>10684.894701023275</x:v>
      </x:c>
      <x:c r="Y143" s="58" t="n">
        <x:f>MAX(Y142,X143)</x:f>
        <x:v>10684.894701023275</x:v>
      </x:c>
      <x:c r="Z143" s="59" t="n">
        <x:f>X143/Y143-1</x:f>
        <x:v>0</x:v>
      </x:c>
      <x:c r="AA143" s="58" t="n">
        <x:f>AA142*(1+V143)</x:f>
        <x:v>45980.73092065542</x:v>
      </x:c>
      <x:c r="AB143" s="58" t="n">
        <x:f>MAX(AB142,AA143)</x:f>
        <x:v>51121.87690423959</x:v>
      </x:c>
      <x:c r="AC143" s="59" t="n">
        <x:f>AA143/AB143-1</x:f>
        <x:v>-0.1005664559854571</x:v>
      </x:c>
      <x:c r="AD143" s="60" t="n">
        <x:f>AA143-X143</x:f>
        <x:v>35295.83621963215</x:v>
      </x:c>
      <x:c r="AE143" s="28" t="str">
        <x:v>Baseline trade unchanged.</x:v>
      </x:c>
    </x:row>
    <x:row r="144" ht="18" customHeight="1">
      <x:c r="A144" s="23" t="n">
        <x:v>140</x:v>
      </x:c>
      <x:c r="B144" s="53" t="n">
        <x:v>44193</x:v>
      </x:c>
      <x:c r="C144" s="53" t="n">
        <x:v>44196</x:v>
      </x:c>
      <x:c r="D144" s="23" t="str">
        <x:v>TO</x:v>
      </x:c>
      <x:c r="E144" s="54" t="n">
        <x:v>12819.939</x:v>
      </x:c>
      <x:c r="F144" s="54" t="n">
        <x:v>12896.159</x:v>
      </x:c>
      <x:c r="G144" s="55" t="n">
        <x:v>0.00594</x:v>
      </x:c>
      <x:c r="H144" s="56" t="n">
        <x:f>SUM(T141:T143)</x:f>
        <x:v>0.01675</x:v>
      </x:c>
      <x:c r="I144" s="57" t="b">
        <x:f>AND(A144&gt;3,H144&lt;='Assumptions'!$B$7)</x:f>
        <x:v>0</x:v>
      </x:c>
      <x:c r="J144" s="55" t="n">
        <x:v>0.008906276646722722</x:v>
      </x:c>
      <x:c r="K144" s="55" t="n">
        <x:v>0.046710227253011105</x:v>
      </x:c>
      <x:c r="L144" s="55" t="n">
        <x:v>0.01453046989477591</x:v>
      </x:c>
      <x:c r="M144" s="57" t="b">
        <x:f>J144&gt;='Assumptions'!$B$8</x:f>
        <x:v>0</x:v>
      </x:c>
      <x:c r="N144" s="57" t="b">
        <x:f>AND(K144&lt;&gt;"",K144&lt;='Assumptions'!$B$9)</x:f>
        <x:v>0</x:v>
      </x:c>
      <x:c r="O144" s="57" t="b">
        <x:f>AND(P144&lt;&gt;"",ABS(L144)&lt;='Assumptions'!$B$10)</x:f>
        <x:v>0</x:v>
      </x:c>
      <x:c r="P144" s="53" t="n">
        <x:v>44194</x:v>
      </x:c>
      <x:c r="Q144" s="54" t="n">
        <x:v>12896.659</x:v>
      </x:c>
      <x:c r="R144" s="55" t="n">
        <x:v>-0.00003</x:v>
      </x:c>
      <x:c r="S144" s="57" t="str">
        <x:f>IF(I144,"DAMAGE SKIP",IF(AND(M144,N144),IF(O144,"TUESDAY RE-ENTRY","GAP/MOM SKIP"),"BASELINE"))</x:f>
        <x:v>BASELINE</x:v>
      </x:c>
      <x:c r="T144" s="56" t="n">
        <x:f>IF(I144,0,IF(AND(M144,N144),IF(O144,R144,0),G144))</x:f>
        <x:v>0.00594</x:v>
      </x:c>
      <x:c r="U144" s="56" t="n">
        <x:f>G144*'Assumptions'!$B$6</x:f>
        <x:v>0.067122</x:v>
      </x:c>
      <x:c r="V144" s="56" t="n">
        <x:f>T144*'Assumptions'!$B$6</x:f>
        <x:v>0.067122</x:v>
      </x:c>
      <x:c r="W144" s="56" t="n">
        <x:f>V144-U144</x:f>
        <x:v>0</x:v>
      </x:c>
      <x:c r="X144" s="58" t="n">
        <x:f>X143*(1+U144)</x:f>
        <x:v>11402.086203145358</x:v>
      </x:c>
      <x:c r="Y144" s="58" t="n">
        <x:f>MAX(Y143,X144)</x:f>
        <x:v>11402.086203145358</x:v>
      </x:c>
      <x:c r="Z144" s="59" t="n">
        <x:f>X144/Y144-1</x:f>
        <x:v>0</x:v>
      </x:c>
      <x:c r="AA144" s="58" t="n">
        <x:f>AA143*(1+V144)</x:f>
        <x:v>49067.049541511646</x:v>
      </x:c>
      <x:c r="AB144" s="58" t="n">
        <x:f>MAX(AB143,AA144)</x:f>
        <x:v>51121.87690423959</x:v>
      </x:c>
      <x:c r="AC144" s="59" t="n">
        <x:f>AA144/AB144-1</x:f>
        <x:v>-0.04019467764411311</x:v>
      </x:c>
      <x:c r="AD144" s="60" t="n">
        <x:f>AA144-X144</x:f>
        <x:v>37664.96333836629</x:v>
      </x:c>
      <x:c r="AE144" s="28" t="str">
        <x:v>Baseline trade unchanged.</x:v>
      </x:c>
    </x:row>
    <x:row r="145" ht="18" customHeight="1">
      <x:c r="A145" s="23" t="n">
        <x:v>141</x:v>
      </x:c>
      <x:c r="B145" s="53" t="n">
        <x:v>44200</x:v>
      </x:c>
      <x:c r="C145" s="53" t="n">
        <x:v>44203</x:v>
      </x:c>
      <x:c r="D145" s="23" t="str">
        <x:v>TSL1PRE</x:v>
      </x:c>
      <x:c r="E145" s="54" t="n">
        <x:v>12936.179</x:v>
      </x:c>
      <x:c r="F145" s="54" t="n">
        <x:v>12668.327</x:v>
      </x:c>
      <x:c r="G145" s="55" t="n">
        <x:v>-0.0207</x:v>
      </x:c>
      <x:c r="H145" s="56" t="n">
        <x:f>SUM(T142:T144)</x:f>
        <x:v>0.03769</x:v>
      </x:c>
      <x:c r="I145" s="57" t="b">
        <x:f>AND(A145&gt;3,H145&lt;='Assumptions'!$B$7)</x:f>
        <x:v>0</x:v>
      </x:c>
      <x:c r="J145" s="55" t="n">
        <x:v>0.0031032495799718784</x:v>
      </x:c>
      <x:c r="K145" s="55" t="n">
        <x:v>0.0343999215030808</x:v>
      </x:c>
      <x:c r="L145" s="55" t="n">
        <x:v>-0.017385189061886908</x:v>
      </x:c>
      <x:c r="M145" s="57" t="b">
        <x:f>J145&gt;='Assumptions'!$B$8</x:f>
        <x:v>0</x:v>
      </x:c>
      <x:c r="N145" s="57" t="b">
        <x:f>AND(K145&lt;&gt;"",K145&lt;='Assumptions'!$B$9)</x:f>
        <x:v>0</x:v>
      </x:c>
      <x:c r="O145" s="57" t="b">
        <x:f>AND(P145&lt;&gt;"",ABS(L145)&lt;='Assumptions'!$B$10)</x:f>
        <x:v>0</x:v>
      </x:c>
      <x:c r="P145" s="53" t="n">
        <x:v>44201</x:v>
      </x:c>
      <x:c r="Q145" s="54" t="n">
        <x:v>12657.299</x:v>
      </x:c>
      <x:c r="R145" s="55" t="n">
        <x:v>0.00087</x:v>
      </x:c>
      <x:c r="S145" s="57" t="str">
        <x:f>IF(I145,"DAMAGE SKIP",IF(AND(M145,N145),IF(O145,"TUESDAY RE-ENTRY","GAP/MOM SKIP"),"BASELINE"))</x:f>
        <x:v>BASELINE</x:v>
      </x:c>
      <x:c r="T145" s="56" t="n">
        <x:f>IF(I145,0,IF(AND(M145,N145),IF(O145,R145,0),G145))</x:f>
        <x:v>-0.0207</x:v>
      </x:c>
      <x:c r="U145" s="56" t="n">
        <x:f>G145*'Assumptions'!$B$6</x:f>
        <x:v>-0.23391</x:v>
      </x:c>
      <x:c r="V145" s="56" t="n">
        <x:f>T145*'Assumptions'!$B$6</x:f>
        <x:v>-0.23391</x:v>
      </x:c>
      <x:c r="W145" s="56" t="n">
        <x:f>V145-U145</x:f>
        <x:v>0</x:v>
      </x:c>
      <x:c r="X145" s="58" t="n">
        <x:f>X144*(1+U145)</x:f>
        <x:v>8735.024219367626</x:v>
      </x:c>
      <x:c r="Y145" s="58" t="n">
        <x:f>MAX(Y144,X145)</x:f>
        <x:v>11402.086203145358</x:v>
      </x:c>
      <x:c r="Z145" s="59" t="n">
        <x:f>X145/Y145-1</x:f>
        <x:v>-0.23391000000000017</x:v>
      </x:c>
      <x:c r="AA145" s="58" t="n">
        <x:f>AA144*(1+V145)</x:f>
        <x:v>37589.77598325665</x:v>
      </x:c>
      <x:c r="AB145" s="58" t="n">
        <x:f>MAX(AB144,AA145)</x:f>
        <x:v>51121.87690423959</x:v>
      </x:c>
      <x:c r="AC145" s="59" t="n">
        <x:f>AA145/AB145-1</x:f>
        <x:v>-0.26470274059637866</x:v>
      </x:c>
      <x:c r="AD145" s="60" t="n">
        <x:f>AA145-X145</x:f>
        <x:v>28854.751763889028</x:v>
      </x:c>
      <x:c r="AE145" s="28" t="str">
        <x:v>Baseline trade unchanged.</x:v>
      </x:c>
    </x:row>
    <x:row r="146" ht="18" customHeight="1">
      <x:c r="A146" s="23" t="n">
        <x:v>142</x:v>
      </x:c>
      <x:c r="B146" s="53" t="n">
        <x:v>44207</x:v>
      </x:c>
      <x:c r="C146" s="53" t="n">
        <x:v>44209</x:v>
      </x:c>
      <x:c r="D146" s="23" t="str">
        <x:v>BEPRE</x:v>
      </x:c>
      <x:c r="E146" s="54" t="n">
        <x:v>12972.219</x:v>
      </x:c>
      <x:c r="F146" s="54" t="n">
        <x:v>12922.409</x:v>
      </x:c>
      <x:c r="G146" s="55" t="n">
        <x:v>-0.00383</x:v>
      </x:c>
      <x:c r="H146" s="56" t="n">
        <x:f>SUM(T143:T145)</x:f>
        <x:v>-0.007269999999999999</x:v>
      </x:c>
      <x:c r="I146" s="57" t="b">
        <x:f>AND(A146&gt;3,H146&lt;='Assumptions'!$B$7)</x:f>
        <x:v>0</x:v>
      </x:c>
      <x:c r="J146" s="55" t="n">
        <x:v>-0.011254676967676458</x:v>
      </x:c>
      <x:c r="K146" s="55" t="n">
        <x:v>0.060713176813394165</x:v>
      </x:c>
      <x:c r="L146" s="55" t="n">
        <x:v>-0.014320776384229128</x:v>
      </x:c>
      <x:c r="M146" s="57" t="b">
        <x:f>J146&gt;='Assumptions'!$B$8</x:f>
        <x:v>0</x:v>
      </x:c>
      <x:c r="N146" s="57" t="b">
        <x:f>AND(K146&lt;&gt;"",K146&lt;='Assumptions'!$B$9)</x:f>
        <x:v>0</x:v>
      </x:c>
      <x:c r="O146" s="57" t="b">
        <x:f>AND(P146&lt;&gt;"",ABS(L146)&lt;='Assumptions'!$B$10)</x:f>
        <x:v>0</x:v>
      </x:c>
      <x:c r="P146" s="53" t="n">
        <x:v>44208</x:v>
      </x:c>
      <x:c r="Q146" s="54" t="n">
        <x:v>12913.147</x:v>
      </x:c>
      <x:c r="R146" s="55" t="n">
        <x:v>0.00071</x:v>
      </x:c>
      <x:c r="S146" s="57" t="str">
        <x:f>IF(I146,"DAMAGE SKIP",IF(AND(M146,N146),IF(O146,"TUESDAY RE-ENTRY","GAP/MOM SKIP"),"BASELINE"))</x:f>
        <x:v>BASELINE</x:v>
      </x:c>
      <x:c r="T146" s="56" t="n">
        <x:f>IF(I146,0,IF(AND(M146,N146),IF(O146,R146,0),G146))</x:f>
        <x:v>-0.00383</x:v>
      </x:c>
      <x:c r="U146" s="56" t="n">
        <x:f>G146*'Assumptions'!$B$6</x:f>
        <x:v>-0.043279000000000005</x:v>
      </x:c>
      <x:c r="V146" s="56" t="n">
        <x:f>T146*'Assumptions'!$B$6</x:f>
        <x:v>-0.043279000000000005</x:v>
      </x:c>
      <x:c r="W146" s="56" t="n">
        <x:f>V146-U146</x:f>
        <x:v>0</x:v>
      </x:c>
      <x:c r="X146" s="58" t="n">
        <x:f>X145*(1+U146)</x:f>
        <x:v>8356.981106177614</x:v>
      </x:c>
      <x:c r="Y146" s="58" t="n">
        <x:f>MAX(Y145,X146)</x:f>
        <x:v>11402.086203145358</x:v>
      </x:c>
      <x:c r="Z146" s="59" t="n">
        <x:f>X146/Y146-1</x:f>
        <x:v>-0.2670656091100001</x:v>
      </x:c>
      <x:c r="AA146" s="58" t="n">
        <x:f>AA145*(1+V146)</x:f>
        <x:v>35962.92806847729</x:v>
      </x:c>
      <x:c r="AB146" s="58" t="n">
        <x:f>MAX(AB145,AA146)</x:f>
        <x:v>51121.87690423959</x:v>
      </x:c>
      <x:c r="AC146" s="59" t="n">
        <x:f>AA146/AB146-1</x:f>
        <x:v>-0.296525670686108</x:v>
      </x:c>
      <x:c r="AD146" s="60" t="n">
        <x:f>AA146-X146</x:f>
        <x:v>27605.946962299677</x:v>
      </x:c>
      <x:c r="AE146" s="28" t="str">
        <x:v>Baseline trade unchanged.</x:v>
      </x:c>
    </x:row>
    <x:row r="147" ht="18" customHeight="1">
      <x:c r="A147" s="23" t="n">
        <x:v>143</x:v>
      </x:c>
      <x:c r="B147" s="53" t="n">
        <x:v>44215</x:v>
      </x:c>
      <x:c r="C147" s="53" t="n">
        <x:v>44216</x:v>
      </x:c>
      <x:c r="D147" s="23" t="str">
        <x:v>PREOH</x:v>
      </x:c>
      <x:c r="E147" s="54" t="n">
        <x:v>12901.659</x:v>
      </x:c>
      <x:c r="F147" s="54" t="n">
        <x:v>13036.009</x:v>
      </x:c>
      <x:c r="G147" s="55" t="n">
        <x:v>0.01041</x:v>
      </x:c>
      <x:c r="H147" s="56" t="n">
        <x:f>SUM(T144:T146)</x:f>
        <x:v>-0.01859</x:v>
      </x:c>
      <x:c r="I147" s="57" t="b">
        <x:f>AND(A147&gt;3,H147&lt;='Assumptions'!$B$7)</x:f>
        <x:v>0</x:v>
      </x:c>
      <x:c r="J147" s="55" t="n">
        <x:v>0.008491343215121239</x:v>
      </x:c>
      <x:c r="K147" s="55" t="n">
        <x:v>0.01115684467263156</x:v>
      </x:c>
      <x:c r="L147" s="55"/>
      <x:c r="M147" s="57" t="b">
        <x:f>J147&gt;='Assumptions'!$B$8</x:f>
        <x:v>0</x:v>
      </x:c>
      <x:c r="N147" s="57" t="b">
        <x:f>AND(K147&lt;&gt;"",K147&lt;='Assumptions'!$B$9)</x:f>
        <x:v>0</x:v>
      </x:c>
      <x:c r="O147" s="57" t="b">
        <x:f>AND(P147&lt;&gt;"",ABS(L147)&lt;='Assumptions'!$B$10)</x:f>
        <x:v>0</x:v>
      </x:c>
      <x:c r="P147" s="53"/>
      <x:c r="Q147" s="54"/>
      <x:c r="R147" s="55"/>
      <x:c r="S147" s="57" t="str">
        <x:f>IF(I147,"DAMAGE SKIP",IF(AND(M147,N147),IF(O147,"TUESDAY RE-ENTRY","GAP/MOM SKIP"),"BASELINE"))</x:f>
        <x:v>BASELINE</x:v>
      </x:c>
      <x:c r="T147" s="56" t="n">
        <x:f>IF(I147,0,IF(AND(M147,N147),IF(O147,R147,0),G147))</x:f>
        <x:v>0.01041</x:v>
      </x:c>
      <x:c r="U147" s="56" t="n">
        <x:f>G147*'Assumptions'!$B$6</x:f>
        <x:v>0.11763300000000002</x:v>
      </x:c>
      <x:c r="V147" s="56" t="n">
        <x:f>T147*'Assumptions'!$B$6</x:f>
        <x:v>0.11763300000000002</x:v>
      </x:c>
      <x:c r="W147" s="56" t="n">
        <x:f>V147-U147</x:f>
        <x:v>0</x:v>
      </x:c>
      <x:c r="X147" s="58" t="n">
        <x:f>X146*(1+U147)</x:f>
        <x:v>9340.037864640606</x:v>
      </x:c>
      <x:c r="Y147" s="58" t="n">
        <x:f>MAX(Y146,X147)</x:f>
        <x:v>11402.086203145358</x:v>
      </x:c>
      <x:c r="Z147" s="59" t="n">
        <x:f>X147/Y147-1</x:f>
        <x:v>-0.18084833790643673</x:v>
      </x:c>
      <x:c r="AA147" s="58" t="n">
        <x:f>AA146*(1+V147)</x:f>
        <x:v>40193.35518595648</x:v>
      </x:c>
      <x:c r="AB147" s="58" t="n">
        <x:f>MAX(AB146,AA147)</x:f>
        <x:v>51121.87690423959</x:v>
      </x:c>
      <x:c r="AC147" s="59" t="n">
        <x:f>AA147/AB147-1</x:f>
        <x:v>-0.2137738749059268</x:v>
      </x:c>
      <x:c r="AD147" s="60" t="n">
        <x:f>AA147-X147</x:f>
        <x:v>30853.317321315877</x:v>
      </x:c>
      <x:c r="AE147" s="28" t="str">
        <x:v>Baseline trade unchanged.</x:v>
      </x:c>
    </x:row>
    <x:row r="148" ht="18" customHeight="1">
      <x:c r="A148" s="23" t="n">
        <x:v>144</x:v>
      </x:c>
      <x:c r="B148" s="53" t="n">
        <x:v>44221</x:v>
      </x:c>
      <x:c r="C148" s="53" t="n">
        <x:v>44224</x:v>
      </x:c>
      <x:c r="D148" s="23" t="str">
        <x:v>TSL1PRE</x:v>
      </x:c>
      <x:c r="E148" s="54" t="n">
        <x:v>13506.987</x:v>
      </x:c>
      <x:c r="F148" s="54" t="n">
        <x:v>13047.927</x:v>
      </x:c>
      <x:c r="G148" s="55" t="n">
        <x:v>-0.03398</x:v>
      </x:c>
      <x:c r="H148" s="56" t="n">
        <x:f>SUM(T145:T147)</x:f>
        <x:v>-0.014119999999999999</x:v>
      </x:c>
      <x:c r="I148" s="57" t="b">
        <x:f>AND(A148&gt;3,H148&lt;='Assumptions'!$B$7)</x:f>
        <x:v>0</x:v>
      </x:c>
      <x:c r="J148" s="55" t="n">
        <x:v>0.011207971324099564</x:v>
      </x:c>
      <x:c r="K148" s="55" t="n">
        <x:v>0.050537210481153894</x:v>
      </x:c>
      <x:c r="L148" s="55" t="n">
        <x:v>0.010577405224367675</x:v>
      </x:c>
      <x:c r="M148" s="57" t="b">
        <x:f>J148&gt;='Assumptions'!$B$8</x:f>
        <x:v>1</x:v>
      </x:c>
      <x:c r="N148" s="57" t="b">
        <x:f>AND(K148&lt;&gt;"",K148&lt;='Assumptions'!$B$9)</x:f>
        <x:v>0</x:v>
      </x:c>
      <x:c r="O148" s="57" t="b">
        <x:f>AND(P148&lt;&gt;"",ABS(L148)&lt;='Assumptions'!$B$10)</x:f>
        <x:v>0</x:v>
      </x:c>
      <x:c r="P148" s="53" t="n">
        <x:v>44222</x:v>
      </x:c>
      <x:c r="Q148" s="54" t="n">
        <x:v>13503.209</x:v>
      </x:c>
      <x:c r="R148" s="55" t="n">
        <x:v>-0.03371</x:v>
      </x:c>
      <x:c r="S148" s="57" t="str">
        <x:f>IF(I148,"DAMAGE SKIP",IF(AND(M148,N148),IF(O148,"TUESDAY RE-ENTRY","GAP/MOM SKIP"),"BASELINE"))</x:f>
        <x:v>BASELINE</x:v>
      </x:c>
      <x:c r="T148" s="56" t="n">
        <x:f>IF(I148,0,IF(AND(M148,N148),IF(O148,R148,0),G148))</x:f>
        <x:v>-0.03398</x:v>
      </x:c>
      <x:c r="U148" s="56" t="n">
        <x:f>G148*'Assumptions'!$B$6</x:f>
        <x:v>-0.38397400000000004</x:v>
      </x:c>
      <x:c r="V148" s="56" t="n">
        <x:f>T148*'Assumptions'!$B$6</x:f>
        <x:v>-0.38397400000000004</x:v>
      </x:c>
      <x:c r="W148" s="56" t="n">
        <x:f>V148-U148</x:f>
        <x:v>0</x:v>
      </x:c>
      <x:c r="X148" s="58" t="n">
        <x:f>X147*(1+U148)</x:f>
        <x:v>5753.706165603094</x:v>
      </x:c>
      <x:c r="Y148" s="58" t="n">
        <x:f>MAX(Y147,X148)</x:f>
        <x:v>11402.086203145358</x:v>
      </x:c>
      <x:c r="Z148" s="59" t="n">
        <x:f>X148/Y148-1</x:f>
        <x:v>-0.4953812782071506</x:v>
      </x:c>
      <x:c r="AA148" s="58" t="n">
        <x:f>AA147*(1+V148)</x:f>
        <x:v>24760.151821784028</x:v>
      </x:c>
      <x:c r="AB148" s="58" t="n">
        <x:f>MAX(AB147,AA148)</x:f>
        <x:v>51121.87690423959</x:v>
      </x:c>
      <x:c r="AC148" s="59" t="n">
        <x:f>AA148/AB148-1</x:f>
        <x:v>-0.5156642650627985</x:v>
      </x:c>
      <x:c r="AD148" s="60" t="n">
        <x:f>AA148-X148</x:f>
        <x:v>19006.445656180935</x:v>
      </x:c>
      <x:c r="AE148" s="28" t="str">
        <x:v>Baseline trade unchanged.</x:v>
      </x:c>
    </x:row>
    <x:row r="149" ht="18" customHeight="1">
      <x:c r="A149" s="23" t="n">
        <x:v>145</x:v>
      </x:c>
      <x:c r="B149" s="53" t="n">
        <x:v>44228</x:v>
      </x:c>
      <x:c r="C149" s="53" t="n">
        <x:v>44228</x:v>
      </x:c>
      <x:c r="D149" s="23" t="str">
        <x:v>CH</x:v>
      </x:c>
      <x:c r="E149" s="54" t="n">
        <x:v>13061.439</x:v>
      </x:c>
      <x:c r="F149" s="54" t="n">
        <x:v>13233.969</x:v>
      </x:c>
      <x:c r="G149" s="55" t="n">
        <x:v>0.0132</x:v>
      </x:c>
      <x:c r="H149" s="56" t="n">
        <x:f>SUM(T146:T148)</x:f>
        <x:v>-0.0274</x:v>
      </x:c>
      <x:c r="I149" s="57" t="b">
        <x:f>AND(A149&gt;3,H149&lt;='Assumptions'!$B$7)</x:f>
        <x:v>1</x:v>
      </x:c>
      <x:c r="J149" s="55" t="n">
        <x:v>0.010049894524825964</x:v>
      </x:c>
      <x:c r="K149" s="55" t="n">
        <x:v>0.0050791214988819</x:v>
      </x:c>
      <x:c r="L149" s="55" t="n">
        <x:v>0.0346727651758596</x:v>
      </x:c>
      <x:c r="M149" s="57" t="b">
        <x:f>J149&gt;='Assumptions'!$B$8</x:f>
        <x:v>1</x:v>
      </x:c>
      <x:c r="N149" s="57" t="b">
        <x:f>AND(K149&lt;&gt;"",K149&lt;='Assumptions'!$B$9)</x:f>
        <x:v>0</x:v>
      </x:c>
      <x:c r="O149" s="57" t="b">
        <x:f>AND(P149&lt;&gt;"",ABS(L149)&lt;='Assumptions'!$B$10)</x:f>
        <x:v>0</x:v>
      </x:c>
      <x:c r="P149" s="53" t="n">
        <x:v>44229</x:v>
      </x:c>
      <x:c r="Q149" s="54" t="n">
        <x:v>13361.909</x:v>
      </x:c>
      <x:c r="R149" s="55" t="n">
        <x:v>-0.00957</x:v>
      </x:c>
      <x:c r="S149" s="57" t="str">
        <x:f>IF(I149,"DAMAGE SKIP",IF(AND(M149,N149),IF(O149,"TUESDAY RE-ENTRY","GAP/MOM SKIP"),"BASELINE"))</x:f>
        <x:v>DAMAGE SKIP</x:v>
      </x:c>
      <x:c r="T149" s="56" t="n">
        <x:f>IF(I149,0,IF(AND(M149,N149),IF(O149,R149,0),G149))</x:f>
        <x:v>0</x:v>
      </x:c>
      <x:c r="U149" s="56" t="n">
        <x:f>G149*'Assumptions'!$B$6</x:f>
        <x:v>0.14916000000000001</x:v>
      </x:c>
      <x:c r="V149" s="56" t="n">
        <x:f>T149*'Assumptions'!$B$6</x:f>
        <x:v>0</x:v>
      </x:c>
      <x:c r="W149" s="56" t="n">
        <x:f>V149-U149</x:f>
        <x:v>-0.14916000000000001</x:v>
      </x:c>
      <x:c r="X149" s="58" t="n">
        <x:f>X148*(1+U149)</x:f>
        <x:v>6611.928977264451</x:v>
      </x:c>
      <x:c r="Y149" s="58" t="n">
        <x:f>MAX(Y148,X149)</x:f>
        <x:v>11402.086203145358</x:v>
      </x:c>
      <x:c r="Z149" s="59" t="n">
        <x:f>X149/Y149-1</x:f>
        <x:v>-0.42011234966452926</x:v>
      </x:c>
      <x:c r="AA149" s="58" t="n">
        <x:f>AA148*(1+V149)</x:f>
        <x:v>24760.151821784028</x:v>
      </x:c>
      <x:c r="AB149" s="58" t="n">
        <x:f>MAX(AB148,AA149)</x:f>
        <x:v>51121.87690423959</x:v>
      </x:c>
      <x:c r="AC149" s="59" t="n">
        <x:f>AA149/AB149-1</x:f>
        <x:v>-0.5156642650627985</x:v>
      </x:c>
      <x:c r="AD149" s="60" t="n">
        <x:f>AA149-X149</x:f>
        <x:v>18148.222844519576</x:v>
      </x:c>
      <x:c r="AE149" s="28" t="str">
        <x:v>Skipped because the previous three rule outcomes totalled at or below the damage threshold.</x:v>
      </x:c>
    </x:row>
    <x:row r="150" ht="18" customHeight="1">
      <x:c r="A150" s="23" t="n">
        <x:v>146</x:v>
      </x:c>
      <x:c r="B150" s="53" t="n">
        <x:v>44235</x:v>
      </x:c>
      <x:c r="C150" s="53" t="n">
        <x:v>44239</x:v>
      </x:c>
      <x:c r="D150" s="23" t="str">
        <x:v>TO</x:v>
      </x:c>
      <x:c r="E150" s="54" t="n">
        <x:v>13671.809</x:v>
      </x:c>
      <x:c r="F150" s="54" t="n">
        <x:v>13815.579</x:v>
      </x:c>
      <x:c r="G150" s="55" t="n">
        <x:v>0.01051</x:v>
      </x:c>
      <x:c r="H150" s="56" t="n">
        <x:f>SUM(T147:T149)</x:f>
        <x:v>-0.02357</x:v>
      </x:c>
      <x:c r="I150" s="57" t="b">
        <x:f>AND(A150&gt;3,H150&lt;='Assumptions'!$B$7)</x:f>
        <x:v>1</x:v>
      </x:c>
      <x:c r="J150" s="55" t="n">
        <x:v>0.005065093062079473</x:v>
      </x:c>
      <x:c r="K150" s="55" t="n">
        <x:v>0.052004665498120106</x:v>
      </x:c>
      <x:c r="L150" s="55" t="n">
        <x:v>0.0038278578861303814</x:v>
      </x:c>
      <x:c r="M150" s="57" t="b">
        <x:f>J150&gt;='Assumptions'!$B$8</x:f>
        <x:v>0</x:v>
      </x:c>
      <x:c r="N150" s="57" t="b">
        <x:f>AND(K150&lt;&gt;"",K150&lt;='Assumptions'!$B$9)</x:f>
        <x:v>0</x:v>
      </x:c>
      <x:c r="O150" s="57" t="b">
        <x:f>AND(P150&lt;&gt;"",ABS(L150)&lt;='Assumptions'!$B$10)</x:f>
        <x:v>1</x:v>
      </x:c>
      <x:c r="P150" s="53" t="n">
        <x:v>44236</x:v>
      </x:c>
      <x:c r="Q150" s="54" t="n">
        <x:v>13651.489</x:v>
      </x:c>
      <x:c r="R150" s="55" t="n">
        <x:v>0.01201</x:v>
      </x:c>
      <x:c r="S150" s="57" t="str">
        <x:f>IF(I150,"DAMAGE SKIP",IF(AND(M150,N150),IF(O150,"TUESDAY RE-ENTRY","GAP/MOM SKIP"),"BASELINE"))</x:f>
        <x:v>DAMAGE SKIP</x:v>
      </x:c>
      <x:c r="T150" s="56" t="n">
        <x:f>IF(I150,0,IF(AND(M150,N150),IF(O150,R150,0),G150))</x:f>
        <x:v>0</x:v>
      </x:c>
      <x:c r="U150" s="56" t="n">
        <x:f>G150*'Assumptions'!$B$6</x:f>
        <x:v>0.11876300000000001</x:v>
      </x:c>
      <x:c r="V150" s="56" t="n">
        <x:f>T150*'Assumptions'!$B$6</x:f>
        <x:v>0</x:v>
      </x:c>
      <x:c r="W150" s="56" t="n">
        <x:f>V150-U150</x:f>
        <x:v>-0.11876300000000001</x:v>
      </x:c>
      <x:c r="X150" s="58" t="n">
        <x:f>X149*(1+U150)</x:f>
        <x:v>7397.181498391308</x:v>
      </x:c>
      <x:c r="Y150" s="58" t="n">
        <x:f>MAX(Y149,X150)</x:f>
        <x:v>11402.086203145358</x:v>
      </x:c>
      <x:c r="Z150" s="59" t="n">
        <x:f>X150/Y150-1</x:f>
        <x:v>-0.35124315264773776</x:v>
      </x:c>
      <x:c r="AA150" s="58" t="n">
        <x:f>AA149*(1+V150)</x:f>
        <x:v>24760.151821784028</x:v>
      </x:c>
      <x:c r="AB150" s="58" t="n">
        <x:f>MAX(AB149,AA150)</x:f>
        <x:v>51121.87690423959</x:v>
      </x:c>
      <x:c r="AC150" s="59" t="n">
        <x:f>AA150/AB150-1</x:f>
        <x:v>-0.5156642650627985</x:v>
      </x:c>
      <x:c r="AD150" s="60" t="n">
        <x:f>AA150-X150</x:f>
        <x:v>17362.97032339272</x:v>
      </x:c>
      <x:c r="AE150" s="28" t="str">
        <x:v>Skipped because the previous three rule outcomes totalled at or below the damage threshold.</x:v>
      </x:c>
    </x:row>
    <x:row r="151" ht="18" customHeight="1">
      <x:c r="A151" s="23" t="n">
        <x:v>147</x:v>
      </x:c>
      <x:c r="B151" s="53" t="n">
        <x:v>44243</x:v>
      </x:c>
      <x:c r="C151" s="53" t="n">
        <x:v>44245</x:v>
      </x:c>
      <x:c r="D151" s="23" t="str">
        <x:v>TSL1PRE</x:v>
      </x:c>
      <x:c r="E151" s="54" t="n">
        <x:v>13840.849</x:v>
      </x:c>
      <x:c r="F151" s="54" t="n">
        <x:v>13703.397</x:v>
      </x:c>
      <x:c r="G151" s="55" t="n">
        <x:v>-0.00993</x:v>
      </x:c>
      <x:c r="H151" s="56" t="n">
        <x:f>SUM(T148:T150)</x:f>
        <x:v>-0.03398</x:v>
      </x:c>
      <x:c r="I151" s="57" t="b">
        <x:f>AND(A151&gt;3,H151&lt;='Assumptions'!$B$7)</x:f>
        <x:v>1</x:v>
      </x:c>
      <x:c r="J151" s="55" t="n">
        <x:v>0.001829094531615283</x:v>
      </x:c>
      <x:c r="K151" s="55" t="n">
        <x:v>0.07028013463177052</x:v>
      </x:c>
      <x:c r="L151" s="55"/>
      <x:c r="M151" s="57" t="b">
        <x:f>J151&gt;='Assumptions'!$B$8</x:f>
        <x:v>0</x:v>
      </x:c>
      <x:c r="N151" s="57" t="b">
        <x:f>AND(K151&lt;&gt;"",K151&lt;='Assumptions'!$B$9)</x:f>
        <x:v>0</x:v>
      </x:c>
      <x:c r="O151" s="57" t="b">
        <x:f>AND(P151&lt;&gt;"",ABS(L151)&lt;='Assumptions'!$B$10)</x:f>
        <x:v>0</x:v>
      </x:c>
      <x:c r="P151" s="53"/>
      <x:c r="Q151" s="54"/>
      <x:c r="R151" s="55"/>
      <x:c r="S151" s="57" t="str">
        <x:f>IF(I151,"DAMAGE SKIP",IF(AND(M151,N151),IF(O151,"TUESDAY RE-ENTRY","GAP/MOM SKIP"),"BASELINE"))</x:f>
        <x:v>DAMAGE SKIP</x:v>
      </x:c>
      <x:c r="T151" s="56" t="n">
        <x:f>IF(I151,0,IF(AND(M151,N151),IF(O151,R151,0),G151))</x:f>
        <x:v>0</x:v>
      </x:c>
      <x:c r="U151" s="56" t="n">
        <x:f>G151*'Assumptions'!$B$6</x:f>
        <x:v>-0.112209</x:v>
      </x:c>
      <x:c r="V151" s="56" t="n">
        <x:f>T151*'Assumptions'!$B$6</x:f>
        <x:v>0</x:v>
      </x:c>
      <x:c r="W151" s="56" t="n">
        <x:f>V151-U151</x:f>
        <x:v>0.112209</x:v>
      </x:c>
      <x:c r="X151" s="58" t="n">
        <x:f>X150*(1+U151)</x:f>
        <x:v>6567.151159638318</x:v>
      </x:c>
      <x:c r="Y151" s="58" t="n">
        <x:f>MAX(Y150,X151)</x:f>
        <x:v>11402.086203145358</x:v>
      </x:c>
      <x:c r="Z151" s="59" t="n">
        <x:f>X151/Y151-1</x:f>
        <x:v>-0.42403950973228777</x:v>
      </x:c>
      <x:c r="AA151" s="58" t="n">
        <x:f>AA150*(1+V151)</x:f>
        <x:v>24760.151821784028</x:v>
      </x:c>
      <x:c r="AB151" s="58" t="n">
        <x:f>MAX(AB150,AA151)</x:f>
        <x:v>51121.87690423959</x:v>
      </x:c>
      <x:c r="AC151" s="59" t="n">
        <x:f>AA151/AB151-1</x:f>
        <x:v>-0.5156642650627985</x:v>
      </x:c>
      <x:c r="AD151" s="60" t="n">
        <x:f>AA151-X151</x:f>
        <x:v>18193.00066214571</x:v>
      </x:c>
      <x:c r="AE151" s="28" t="str">
        <x:v>Skipped because the previous three rule outcomes totalled at or below the damage threshold.</x:v>
      </x:c>
    </x:row>
    <x:row r="152" ht="18" customHeight="1">
      <x:c r="A152" s="23" t="n">
        <x:v>148</x:v>
      </x:c>
      <x:c r="B152" s="53" t="n">
        <x:v>44249</x:v>
      </x:c>
      <x:c r="C152" s="53" t="n">
        <x:v>44252</x:v>
      </x:c>
      <x:c r="D152" s="23" t="str">
        <x:v>TSL1PRE</x:v>
      </x:c>
      <x:c r="E152" s="54" t="n">
        <x:v>13394.209</x:v>
      </x:c>
      <x:c r="F152" s="54" t="n">
        <x:v>13305.319</x:v>
      </x:c>
      <x:c r="G152" s="55" t="n">
        <x:v>-0.00663</x:v>
      </x:c>
      <x:c r="H152" s="56" t="n">
        <x:f>SUM(T149:T151)</x:f>
        <x:v>0</x:v>
      </x:c>
      <x:c r="I152" s="57" t="b">
        <x:f>AND(A152&gt;3,H152&lt;='Assumptions'!$B$7)</x:f>
        <x:v>0</x:v>
      </x:c>
      <x:c r="J152" s="55" t="n">
        <x:v>-0.013374554786137804</x:v>
      </x:c>
      <x:c r="K152" s="55" t="n">
        <x:v>0.014298067701209227</x:v>
      </x:c>
      <x:c r="L152" s="55" t="n">
        <x:v>-0.042363948636231274</x:v>
      </x:c>
      <x:c r="M152" s="57" t="b">
        <x:f>J152&gt;='Assumptions'!$B$8</x:f>
        <x:v>0</x:v>
      </x:c>
      <x:c r="N152" s="57" t="b">
        <x:f>AND(K152&lt;&gt;"",K152&lt;='Assumptions'!$B$9)</x:f>
        <x:v>0</x:v>
      </x:c>
      <x:c r="O152" s="57" t="b">
        <x:f>AND(P152&lt;&gt;"",ABS(L152)&lt;='Assumptions'!$B$10)</x:f>
        <x:v>0</x:v>
      </x:c>
      <x:c r="P152" s="53" t="n">
        <x:v>44250</x:v>
      </x:c>
      <x:c r="Q152" s="54" t="n">
        <x:v>13003.559</x:v>
      </x:c>
      <x:c r="R152" s="55" t="n">
        <x:v>0.0232</x:v>
      </x:c>
      <x:c r="S152" s="57" t="str">
        <x:f>IF(I152,"DAMAGE SKIP",IF(AND(M152,N152),IF(O152,"TUESDAY RE-ENTRY","GAP/MOM SKIP"),"BASELINE"))</x:f>
        <x:v>BASELINE</x:v>
      </x:c>
      <x:c r="T152" s="56" t="n">
        <x:f>IF(I152,0,IF(AND(M152,N152),IF(O152,R152,0),G152))</x:f>
        <x:v>-0.00663</x:v>
      </x:c>
      <x:c r="U152" s="56" t="n">
        <x:f>G152*'Assumptions'!$B$6</x:f>
        <x:v>-0.074919</x:v>
      </x:c>
      <x:c r="V152" s="56" t="n">
        <x:f>T152*'Assumptions'!$B$6</x:f>
        <x:v>-0.074919</x:v>
      </x:c>
      <x:c r="W152" s="56" t="n">
        <x:f>V152-U152</x:f>
        <x:v>0</x:v>
      </x:c>
      <x:c r="X152" s="58" t="n">
        <x:f>X151*(1+U152)</x:f>
        <x:v>6075.1467619093755</x:v>
      </x:c>
      <x:c r="Y152" s="58" t="n">
        <x:f>MAX(Y151,X152)</x:f>
        <x:v>11402.086203145358</x:v>
      </x:c>
      <x:c r="Z152" s="59" t="n">
        <x:f>X152/Y152-1</x:f>
        <x:v>-0.4671898937026544</x:v>
      </x:c>
      <x:c r="AA152" s="58" t="n">
        <x:f>AA151*(1+V152)</x:f>
        <x:v>22905.14600744779</x:v>
      </x:c>
      <x:c r="AB152" s="58" t="n">
        <x:f>MAX(AB151,AA152)</x:f>
        <x:v>51121.87690423959</x:v>
      </x:c>
      <x:c r="AC152" s="59" t="n">
        <x:f>AA152/AB152-1</x:f>
        <x:v>-0.5519502139885587</x:v>
      </x:c>
      <x:c r="AD152" s="60" t="n">
        <x:f>AA152-X152</x:f>
        <x:v>16829.999245538416</x:v>
      </x:c>
      <x:c r="AE152" s="28" t="str">
        <x:v>Baseline trade unchanged.</x:v>
      </x:c>
    </x:row>
    <x:row r="153" ht="18" customHeight="1">
      <x:c r="A153" s="23" t="n">
        <x:v>149</x:v>
      </x:c>
      <x:c r="B153" s="53" t="n">
        <x:v>44256</x:v>
      </x:c>
      <x:c r="C153" s="53" t="n">
        <x:v>44256</x:v>
      </x:c>
      <x:c r="D153" s="23" t="str">
        <x:v>CH</x:v>
      </x:c>
      <x:c r="E153" s="54" t="n">
        <x:v>13099.019</x:v>
      </x:c>
      <x:c r="F153" s="54" t="n">
        <x:v>13271.319</x:v>
      </x:c>
      <x:c r="G153" s="55" t="n">
        <x:v>0.01315</x:v>
      </x:c>
      <x:c r="H153" s="56" t="n">
        <x:f>SUM(T150:T152)</x:f>
        <x:v>-0.00663</x:v>
      </x:c>
      <x:c r="I153" s="57" t="b">
        <x:f>AND(A153&gt;3,H153&lt;='Assumptions'!$B$7)</x:f>
        <x:v>0</x:v>
      </x:c>
      <x:c r="J153" s="55" t="n">
        <x:v>0.015032910838798541</x:v>
      </x:c>
      <x:c r="K153" s="55" t="n">
        <x:v>-0.022349830092746492</x:v>
      </x:c>
      <x:c r="L153" s="55" t="n">
        <x:v>0.0322167558491282</x:v>
      </x:c>
      <x:c r="M153" s="57" t="b">
        <x:f>J153&gt;='Assumptions'!$B$8</x:f>
        <x:v>1</x:v>
      </x:c>
      <x:c r="N153" s="57" t="b">
        <x:f>AND(K153&lt;&gt;"",K153&lt;='Assumptions'!$B$9)</x:f>
        <x:v>1</x:v>
      </x:c>
      <x:c r="O153" s="57" t="b">
        <x:f>AND(P153&lt;&gt;"",ABS(L153)&lt;='Assumptions'!$B$10)</x:f>
        <x:v>0</x:v>
      </x:c>
      <x:c r="P153" s="53" t="n">
        <x:v>44257</x:v>
      </x:c>
      <x:c r="Q153" s="54" t="n">
        <x:v>13299.709</x:v>
      </x:c>
      <x:c r="R153" s="55" t="n">
        <x:v>-0.00213</x:v>
      </x:c>
      <x:c r="S153" s="57" t="str">
        <x:f>IF(I153,"DAMAGE SKIP",IF(AND(M153,N153),IF(O153,"TUESDAY RE-ENTRY","GAP/MOM SKIP"),"BASELINE"))</x:f>
        <x:v>GAP/MOM SKIP</x:v>
      </x:c>
      <x:c r="T153" s="56" t="n">
        <x:f>IF(I153,0,IF(AND(M153,N153),IF(O153,R153,0),G153))</x:f>
        <x:v>0</x:v>
      </x:c>
      <x:c r="U153" s="56" t="n">
        <x:f>G153*'Assumptions'!$B$6</x:f>
        <x:v>0.148595</x:v>
      </x:c>
      <x:c r="V153" s="56" t="n">
        <x:f>T153*'Assumptions'!$B$6</x:f>
        <x:v>0</x:v>
      </x:c>
      <x:c r="W153" s="56" t="n">
        <x:f>V153-U153</x:f>
        <x:v>-0.148595</x:v>
      </x:c>
      <x:c r="X153" s="58" t="n">
        <x:f>X152*(1+U153)</x:f>
        <x:v>6977.883194995299</x:v>
      </x:c>
      <x:c r="Y153" s="58" t="n">
        <x:f>MAX(Y152,X153)</x:f>
        <x:v>11402.086203145358</x:v>
      </x:c>
      <x:c r="Z153" s="59" t="n">
        <x:f>X153/Y153-1</x:f>
        <x:v>-0.38801697595740037</x:v>
      </x:c>
      <x:c r="AA153" s="58" t="n">
        <x:f>AA152*(1+V153)</x:f>
        <x:v>22905.14600744779</x:v>
      </x:c>
      <x:c r="AB153" s="58" t="n">
        <x:f>MAX(AB152,AA153)</x:f>
        <x:v>51121.87690423959</x:v>
      </x:c>
      <x:c r="AC153" s="59" t="n">
        <x:f>AA153/AB153-1</x:f>
        <x:v>-0.5519502139885587</x:v>
      </x:c>
      <x:c r="AD153" s="60" t="n">
        <x:f>AA153-X153</x:f>
        <x:v>15927.262812452493</x:v>
      </x:c>
      <x:c r="AE153" s="28" t="str">
        <x:v>Monday entry skipped; Tuesday did not normalize within the Friday-based tolerance.</x:v>
      </x:c>
    </x:row>
    <x:row r="154" ht="18" customHeight="1">
      <x:c r="A154" s="23" t="n">
        <x:v>150</x:v>
      </x:c>
      <x:c r="B154" s="53" t="n">
        <x:v>44263</x:v>
      </x:c>
      <x:c r="C154" s="53" t="n">
        <x:v>44267</x:v>
      </x:c>
      <x:c r="D154" s="23" t="str">
        <x:v>TO</x:v>
      </x:c>
      <x:c r="E154" s="54" t="n">
        <x:v>12638.489</x:v>
      </x:c>
      <x:c r="F154" s="54" t="n">
        <x:v>12934.589</x:v>
      </x:c>
      <x:c r="G154" s="55" t="n">
        <x:v>0.02342</x:v>
      </x:c>
      <x:c r="H154" s="56" t="n">
        <x:f>SUM(T151:T153)</x:f>
        <x:v>-0.00663</x:v>
      </x:c>
      <x:c r="I154" s="57" t="b">
        <x:f>AND(A154&gt;3,H154&lt;='Assumptions'!$B$7)</x:f>
        <x:v>0</x:v>
      </x:c>
      <x:c r="J154" s="55" t="n">
        <x:v>-0.001999398443232936</x:v>
      </x:c>
      <x:c r="K154" s="55" t="n">
        <x:v>-0.06528048825964272</x:v>
      </x:c>
      <x:c r="L154" s="55" t="n">
        <x:v>-0.003909717443124516</x:v>
      </x:c>
      <x:c r="M154" s="57" t="b">
        <x:f>J154&gt;='Assumptions'!$B$8</x:f>
        <x:v>0</x:v>
      </x:c>
      <x:c r="N154" s="57" t="b">
        <x:f>AND(K154&lt;&gt;"",K154&lt;='Assumptions'!$B$9)</x:f>
        <x:v>1</x:v>
      </x:c>
      <x:c r="O154" s="57" t="b">
        <x:f>AND(P154&lt;&gt;"",ABS(L154)&lt;='Assumptions'!$B$10)</x:f>
        <x:v>1</x:v>
      </x:c>
      <x:c r="P154" s="53" t="n">
        <x:v>44264</x:v>
      </x:c>
      <x:c r="Q154" s="54" t="n">
        <x:v>12613.487</x:v>
      </x:c>
      <x:c r="R154" s="55" t="n">
        <x:v>0.02545</x:v>
      </x:c>
      <x:c r="S154" s="57" t="str">
        <x:f>IF(I154,"DAMAGE SKIP",IF(AND(M154,N154),IF(O154,"TUESDAY RE-ENTRY","GAP/MOM SKIP"),"BASELINE"))</x:f>
        <x:v>BASELINE</x:v>
      </x:c>
      <x:c r="T154" s="56" t="n">
        <x:f>IF(I154,0,IF(AND(M154,N154),IF(O154,R154,0),G154))</x:f>
        <x:v>0.02342</x:v>
      </x:c>
      <x:c r="U154" s="56" t="n">
        <x:f>G154*'Assumptions'!$B$6</x:f>
        <x:v>0.264646</x:v>
      </x:c>
      <x:c r="V154" s="56" t="n">
        <x:f>T154*'Assumptions'!$B$6</x:f>
        <x:v>0.264646</x:v>
      </x:c>
      <x:c r="W154" s="56" t="n">
        <x:f>V154-U154</x:f>
        <x:v>0</x:v>
      </x:c>
      <x:c r="X154" s="58" t="n">
        <x:f>X153*(1+U154)</x:f>
        <x:v>8824.552071018024</x:v>
      </x:c>
      <x:c r="Y154" s="58" t="n">
        <x:f>MAX(Y153,X154)</x:f>
        <x:v>11402.086203145358</x:v>
      </x:c>
      <x:c r="Z154" s="59" t="n">
        <x:f>X154/Y154-1</x:f>
        <x:v>-0.22605811657662256</x:v>
      </x:c>
      <x:c r="AA154" s="58" t="n">
        <x:f>AA153*(1+V154)</x:f>
        <x:v>28966.901277734818</x:v>
      </x:c>
      <x:c r="AB154" s="58" t="n">
        <x:f>MAX(AB153,AA154)</x:f>
        <x:v>51121.87690423959</x:v>
      </x:c>
      <x:c r="AC154" s="59" t="n">
        <x:f>AA154/AB154-1</x:f>
        <x:v>-0.4333756303197748</x:v>
      </x:c>
      <x:c r="AD154" s="60" t="n">
        <x:f>AA154-X154</x:f>
        <x:v>20142.349206716794</x:v>
      </x:c>
      <x:c r="AE154" s="28" t="str">
        <x:v>Baseline trade unchanged.</x:v>
      </x:c>
    </x:row>
    <x:row r="155" ht="18" customHeight="1">
      <x:c r="A155" s="23" t="n">
        <x:v>151</x:v>
      </x:c>
      <x:c r="B155" s="53" t="n">
        <x:v>44270</x:v>
      </x:c>
      <x:c r="C155" s="53" t="n">
        <x:v>44270</x:v>
      </x:c>
      <x:c r="D155" s="23" t="str">
        <x:v>CH</x:v>
      </x:c>
      <x:c r="E155" s="54" t="n">
        <x:v>12951.159</x:v>
      </x:c>
      <x:c r="F155" s="54" t="n">
        <x:v>13083.059</x:v>
      </x:c>
      <x:c r="G155" s="55" t="n">
        <x:v>0.01018</x:v>
      </x:c>
      <x:c r="H155" s="56" t="n">
        <x:f>SUM(T152:T154)</x:f>
        <x:v>0.01679</x:v>
      </x:c>
      <x:c r="I155" s="57" t="b">
        <x:f>AND(A155&gt;3,H155&lt;='Assumptions'!$B$7)</x:f>
        <x:v>0</x:v>
      </x:c>
      <x:c r="J155" s="55" t="n">
        <x:v>0.0012810611918168124</x:v>
      </x:c>
      <x:c r="K155" s="55" t="n">
        <x:v>-0.05713400588302053</x:v>
      </x:c>
      <x:c r="L155" s="55" t="n">
        <x:v>0.017856445757264083</x:v>
      </x:c>
      <x:c r="M155" s="57" t="b">
        <x:f>J155&gt;='Assumptions'!$B$8</x:f>
        <x:v>0</x:v>
      </x:c>
      <x:c r="N155" s="57" t="b">
        <x:f>AND(K155&lt;&gt;"",K155&lt;='Assumptions'!$B$9)</x:f>
        <x:v>1</x:v>
      </x:c>
      <x:c r="O155" s="57" t="b">
        <x:f>AND(P155&lt;&gt;"",ABS(L155)&lt;='Assumptions'!$B$10)</x:f>
        <x:v>0</x:v>
      </x:c>
      <x:c r="P155" s="53" t="n">
        <x:v>44271</x:v>
      </x:c>
      <x:c r="Q155" s="54" t="n">
        <x:v>13168.879</x:v>
      </x:c>
      <x:c r="R155" s="55" t="n">
        <x:v>-0.00651</x:v>
      </x:c>
      <x:c r="S155" s="57" t="str">
        <x:f>IF(I155,"DAMAGE SKIP",IF(AND(M155,N155),IF(O155,"TUESDAY RE-ENTRY","GAP/MOM SKIP"),"BASELINE"))</x:f>
        <x:v>BASELINE</x:v>
      </x:c>
      <x:c r="T155" s="56" t="n">
        <x:f>IF(I155,0,IF(AND(M155,N155),IF(O155,R155,0),G155))</x:f>
        <x:v>0.01018</x:v>
      </x:c>
      <x:c r="U155" s="56" t="n">
        <x:f>G155*'Assumptions'!$B$6</x:f>
        <x:v>0.11503400000000001</x:v>
      </x:c>
      <x:c r="V155" s="56" t="n">
        <x:f>T155*'Assumptions'!$B$6</x:f>
        <x:v>0.11503400000000001</x:v>
      </x:c>
      <x:c r="W155" s="56" t="n">
        <x:f>V155-U155</x:f>
        <x:v>0</x:v>
      </x:c>
      <x:c r="X155" s="58" t="n">
        <x:f>X154*(1+U155)</x:f>
        <x:v>9839.675593955513</x:v>
      </x:c>
      <x:c r="Y155" s="58" t="n">
        <x:f>MAX(Y154,X155)</x:f>
        <x:v>11402.086203145358</x:v>
      </x:c>
      <x:c r="Z155" s="59" t="n">
        <x:f>X155/Y155-1</x:f>
        <x:v>-0.13702848595889772</x:v>
      </x:c>
      <x:c r="AA155" s="58" t="n">
        <x:f>AA154*(1+V155)</x:f>
        <x:v>32299.079799317766</x:v>
      </x:c>
      <x:c r="AB155" s="58" t="n">
        <x:f>MAX(AB154,AA155)</x:f>
        <x:v>51121.87690423959</x:v>
      </x:c>
      <x:c r="AC155" s="59" t="n">
        <x:f>AA155/AB155-1</x:f>
        <x:v>-0.3681945625779798</x:v>
      </x:c>
      <x:c r="AD155" s="60" t="n">
        <x:f>AA155-X155</x:f>
        <x:v>22459.404205362254</x:v>
      </x:c>
      <x:c r="AE155" s="28" t="str">
        <x:v>Baseline trade unchanged.</x:v>
      </x:c>
    </x:row>
    <x:row r="156" ht="18" customHeight="1">
      <x:c r="A156" s="23" t="n">
        <x:v>152</x:v>
      </x:c>
      <x:c r="B156" s="53" t="n">
        <x:v>44277</x:v>
      </x:c>
      <x:c r="C156" s="53" t="n">
        <x:v>44277</x:v>
      </x:c>
      <x:c r="D156" s="23" t="str">
        <x:v>CH</x:v>
      </x:c>
      <x:c r="E156" s="54" t="n">
        <x:v>12945.217</x:v>
      </x:c>
      <x:c r="F156" s="54" t="n">
        <x:v>13090.519</x:v>
      </x:c>
      <x:c r="G156" s="55" t="n">
        <x:v>0.01122</x:v>
      </x:c>
      <x:c r="H156" s="56" t="n">
        <x:f>SUM(T153:T155)</x:f>
        <x:v>0.0336</x:v>
      </x:c>
      <x:c r="I156" s="57" t="b">
        <x:f>AND(A156&gt;3,H156&lt;='Assumptions'!$B$7)</x:f>
        <x:v>0</x:v>
      </x:c>
      <x:c r="J156" s="55" t="n">
        <x:v>0.006855994939437782</x:v>
      </x:c>
      <x:c r="K156" s="55" t="n">
        <x:v>-0.05403612328792606</x:v>
      </x:c>
      <x:c r="L156" s="55" t="n">
        <x:v>0.022324764364275218</x:v>
      </x:c>
      <x:c r="M156" s="57" t="b">
        <x:f>J156&gt;='Assumptions'!$B$8</x:f>
        <x:v>0</x:v>
      </x:c>
      <x:c r="N156" s="57" t="b">
        <x:f>AND(K156&lt;&gt;"",K156&lt;='Assumptions'!$B$9)</x:f>
        <x:v>1</x:v>
      </x:c>
      <x:c r="O156" s="57" t="b">
        <x:f>AND(P156&lt;&gt;"",ABS(L156)&lt;='Assumptions'!$B$10)</x:f>
        <x:v>0</x:v>
      </x:c>
      <x:c r="P156" s="53" t="n">
        <x:v>44278</x:v>
      </x:c>
      <x:c r="Q156" s="54" t="n">
        <x:v>13124.707</x:v>
      </x:c>
      <x:c r="R156" s="55" t="n">
        <x:v>-0.0026</x:v>
      </x:c>
      <x:c r="S156" s="57" t="str">
        <x:f>IF(I156,"DAMAGE SKIP",IF(AND(M156,N156),IF(O156,"TUESDAY RE-ENTRY","GAP/MOM SKIP"),"BASELINE"))</x:f>
        <x:v>BASELINE</x:v>
      </x:c>
      <x:c r="T156" s="56" t="n">
        <x:f>IF(I156,0,IF(AND(M156,N156),IF(O156,R156,0),G156))</x:f>
        <x:v>0.01122</x:v>
      </x:c>
      <x:c r="U156" s="56" t="n">
        <x:f>G156*'Assumptions'!$B$6</x:f>
        <x:v>0.126786</x:v>
      </x:c>
      <x:c r="V156" s="56" t="n">
        <x:f>T156*'Assumptions'!$B$6</x:f>
        <x:v>0.126786</x:v>
      </x:c>
      <x:c r="W156" s="56" t="n">
        <x:f>V156-U156</x:f>
        <x:v>0</x:v>
      </x:c>
      <x:c r="X156" s="58" t="n">
        <x:f>X155*(1+U156)</x:f>
        <x:v>11087.208703810758</x:v>
      </x:c>
      <x:c r="Y156" s="58" t="n">
        <x:f>MAX(Y155,X156)</x:f>
        <x:v>11402.086203145358</x:v>
      </x:c>
      <x:c r="Z156" s="59" t="n">
        <x:f>X156/Y156-1</x:f>
        <x:v>-0.02761577957968242</x:v>
      </x:c>
      <x:c r="AA156" s="58" t="n">
        <x:f>AA155*(1+V156)</x:f>
        <x:v>36394.15093075407</x:v>
      </x:c>
      <x:c r="AB156" s="58" t="n">
        <x:f>MAX(AB155,AA156)</x:f>
        <x:v>51121.87690423959</x:v>
      </x:c>
      <x:c r="AC156" s="59" t="n">
        <x:f>AA156/AB156-1</x:f>
        <x:v>-0.2880904783889915</x:v>
      </x:c>
      <x:c r="AD156" s="60" t="n">
        <x:f>AA156-X156</x:f>
        <x:v>25306.942226943313</x:v>
      </x:c>
      <x:c r="AE156" s="28" t="str">
        <x:v>Baseline trade unchanged.</x:v>
      </x:c>
    </x:row>
    <x:row r="157" ht="18" customHeight="1">
      <x:c r="A157" s="23" t="n">
        <x:v>153</x:v>
      </x:c>
      <x:c r="B157" s="53" t="n">
        <x:v>44284</x:v>
      </x:c>
      <x:c r="C157" s="53" t="n">
        <x:v>44287</x:v>
      </x:c>
      <x:c r="D157" s="23" t="str">
        <x:v>TO</x:v>
      </x:c>
      <x:c r="E157" s="54" t="n">
        <x:v>12954.179</x:v>
      </x:c>
      <x:c r="F157" s="54" t="n">
        <x:v>13329.689</x:v>
      </x:c>
      <x:c r="G157" s="55" t="n">
        <x:v>0.02898</x:v>
      </x:c>
      <x:c r="H157" s="56" t="n">
        <x:f>SUM(T154:T156)</x:f>
        <x:v>0.04482</x:v>
      </x:c>
      <x:c r="I157" s="57" t="b">
        <x:f>AND(A157&gt;3,H157&lt;='Assumptions'!$B$7)</x:f>
        <x:v>0</x:v>
      </x:c>
      <x:c r="J157" s="55" t="n">
        <x:v>-0.001302898548378284</x:v>
      </x:c>
      <x:c r="K157" s="55" t="n">
        <x:v>0.007137863671704103</x:v>
      </x:c>
      <x:c r="L157" s="55" t="n">
        <x:v>-0.00664938906710677</x:v>
      </x:c>
      <x:c r="M157" s="57" t="b">
        <x:f>J157&gt;='Assumptions'!$B$8</x:f>
        <x:v>0</x:v>
      </x:c>
      <x:c r="N157" s="57" t="b">
        <x:f>AND(K157&lt;&gt;"",K157&lt;='Assumptions'!$B$9)</x:f>
        <x:v>0</x:v>
      </x:c>
      <x:c r="O157" s="57" t="b">
        <x:f>AND(P157&lt;&gt;"",ABS(L157)&lt;='Assumptions'!$B$10)</x:f>
        <x:v>0</x:v>
      </x:c>
      <x:c r="P157" s="53" t="n">
        <x:v>44285</x:v>
      </x:c>
      <x:c r="Q157" s="54" t="n">
        <x:v>12887.387</x:v>
      </x:c>
      <x:c r="R157" s="55" t="n">
        <x:v>0.03432</x:v>
      </x:c>
      <x:c r="S157" s="57" t="str">
        <x:f>IF(I157,"DAMAGE SKIP",IF(AND(M157,N157),IF(O157,"TUESDAY RE-ENTRY","GAP/MOM SKIP"),"BASELINE"))</x:f>
        <x:v>BASELINE</x:v>
      </x:c>
      <x:c r="T157" s="56" t="n">
        <x:f>IF(I157,0,IF(AND(M157,N157),IF(O157,R157,0),G157))</x:f>
        <x:v>0.02898</x:v>
      </x:c>
      <x:c r="U157" s="56" t="n">
        <x:f>G157*'Assumptions'!$B$6</x:f>
        <x:v>0.327474</x:v>
      </x:c>
      <x:c r="V157" s="56" t="n">
        <x:f>T157*'Assumptions'!$B$6</x:f>
        <x:v>0.327474</x:v>
      </x:c>
      <x:c r="W157" s="56" t="n">
        <x:f>V157-U157</x:f>
        <x:v>0</x:v>
      </x:c>
      <x:c r="X157" s="58" t="n">
        <x:f>X156*(1+U157)</x:f>
        <x:v>14717.981286882483</x:v>
      </x:c>
      <x:c r="Y157" s="58" t="n">
        <x:f>MAX(Y156,X157)</x:f>
        <x:v>14717.981286882483</x:v>
      </x:c>
      <x:c r="Z157" s="59" t="n">
        <x:f>X157/Y157-1</x:f>
        <x:v>0</x:v>
      </x:c>
      <x:c r="AA157" s="58" t="n">
        <x:f>AA156*(1+V157)</x:f>
        <x:v>48312.28911265183</x:v>
      </x:c>
      <x:c r="AB157" s="58" t="n">
        <x:f>MAX(AB156,AA157)</x:f>
        <x:v>51121.87690423959</x:v>
      </x:c>
      <x:c r="AC157" s="59" t="n">
        <x:f>AA157/AB157-1</x:f>
        <x:v>-0.054958619708948</x:v>
      </x:c>
      <x:c r="AD157" s="60" t="n">
        <x:f>AA157-X157</x:f>
        <x:v>33594.30782576935</x:v>
      </x:c>
      <x:c r="AE157" s="28" t="str">
        <x:v>Baseline trade unchanged.</x:v>
      </x:c>
    </x:row>
    <x:row r="158" ht="18" customHeight="1">
      <x:c r="A158" s="23" t="n">
        <x:v>154</x:v>
      </x:c>
      <x:c r="B158" s="53" t="n">
        <x:v>44291</x:v>
      </x:c>
      <x:c r="C158" s="53" t="n">
        <x:v>44291</x:v>
      </x:c>
      <x:c r="D158" s="23" t="str">
        <x:v>CH</x:v>
      </x:c>
      <x:c r="E158" s="54" t="n">
        <x:v>13427.229</x:v>
      </x:c>
      <x:c r="F158" s="54" t="n">
        <x:v>13593.579</x:v>
      </x:c>
      <x:c r="G158" s="55" t="n">
        <x:v>0.01238</x:v>
      </x:c>
      <x:c r="H158" s="56" t="n">
        <x:f>SUM(T155:T157)</x:f>
        <x:v>0.05038</x:v>
      </x:c>
      <x:c r="I158" s="57" t="b">
        <x:f>AND(A158&gt;3,H158&lt;='Assumptions'!$B$7)</x:f>
        <x:v>0</x:v>
      </x:c>
      <x:c r="J158" s="55" t="n">
        <x:v>0.0073175000557026415</x:v>
      </x:c>
      <x:c r="K158" s="55" t="n">
        <x:v>0.06862351388837329</x:v>
      </x:c>
      <x:c r="L158" s="55" t="n">
        <x:v>0.01899817470994325</x:v>
      </x:c>
      <x:c r="M158" s="57" t="b">
        <x:f>J158&gt;='Assumptions'!$B$8</x:f>
        <x:v>0</x:v>
      </x:c>
      <x:c r="N158" s="57" t="b">
        <x:f>AND(K158&lt;&gt;"",K158&lt;='Assumptions'!$B$9)</x:f>
        <x:v>0</x:v>
      </x:c>
      <x:c r="O158" s="57" t="b">
        <x:f>AND(P158&lt;&gt;"",ABS(L158)&lt;='Assumptions'!$B$10)</x:f>
        <x:v>0</x:v>
      </x:c>
      <x:c r="P158" s="53" t="n">
        <x:v>44292</x:v>
      </x:c>
      <x:c r="Q158" s="54" t="n">
        <x:v>13576.199</x:v>
      </x:c>
      <x:c r="R158" s="55" t="n">
        <x:v>0.00128</x:v>
      </x:c>
      <x:c r="S158" s="57" t="str">
        <x:f>IF(I158,"DAMAGE SKIP",IF(AND(M158,N158),IF(O158,"TUESDAY RE-ENTRY","GAP/MOM SKIP"),"BASELINE"))</x:f>
        <x:v>BASELINE</x:v>
      </x:c>
      <x:c r="T158" s="56" t="n">
        <x:f>IF(I158,0,IF(AND(M158,N158),IF(O158,R158,0),G158))</x:f>
        <x:v>0.01238</x:v>
      </x:c>
      <x:c r="U158" s="56" t="n">
        <x:f>G158*'Assumptions'!$B$6</x:f>
        <x:v>0.13989400000000002</x:v>
      </x:c>
      <x:c r="V158" s="56" t="n">
        <x:f>T158*'Assumptions'!$B$6</x:f>
        <x:v>0.13989400000000002</x:v>
      </x:c>
      <x:c r="W158" s="56" t="n">
        <x:f>V158-U158</x:f>
        <x:v>0</x:v>
      </x:c>
      <x:c r="X158" s="58" t="n">
        <x:f>X157*(1+U158)</x:f>
        <x:v>16776.93856102962</x:v>
      </x:c>
      <x:c r="Y158" s="58" t="n">
        <x:f>MAX(Y157,X158)</x:f>
        <x:v>16776.93856102962</x:v>
      </x:c>
      <x:c r="Z158" s="59" t="n">
        <x:f>X158/Y158-1</x:f>
        <x:v>0</x:v>
      </x:c>
      <x:c r="AA158" s="58" t="n">
        <x:f>AA157*(1+V158)</x:f>
        <x:v>55070.88848577714</x:v>
      </x:c>
      <x:c r="AB158" s="58" t="n">
        <x:f>MAX(AB157,AA158)</x:f>
        <x:v>55070.88848577714</x:v>
      </x:c>
      <x:c r="AC158" s="59" t="n">
        <x:f>AA158/AB158-1</x:f>
        <x:v>0</x:v>
      </x:c>
      <x:c r="AD158" s="60" t="n">
        <x:f>AA158-X158</x:f>
        <x:v>38293.94992474752</x:v>
      </x:c>
      <x:c r="AE158" s="28" t="str">
        <x:v>Baseline trade unchanged.</x:v>
      </x:c>
    </x:row>
    <x:row r="159" ht="18" customHeight="1">
      <x:c r="A159" s="23" t="n">
        <x:v>155</x:v>
      </x:c>
      <x:c r="B159" s="53" t="n">
        <x:v>44298</x:v>
      </x:c>
      <x:c r="C159" s="53" t="n">
        <x:v>44302</x:v>
      </x:c>
      <x:c r="D159" s="23" t="str">
        <x:v>TO</x:v>
      </x:c>
      <x:c r="E159" s="54" t="n">
        <x:v>13793.217</x:v>
      </x:c>
      <x:c r="F159" s="54" t="n">
        <x:v>14036.109</x:v>
      </x:c>
      <x:c r="G159" s="55" t="n">
        <x:v>0.0176</x:v>
      </x:c>
      <x:c r="H159" s="56" t="n">
        <x:f>SUM(T156:T158)</x:f>
        <x:v>0.05258</x:v>
      </x:c>
      <x:c r="I159" s="57" t="b">
        <x:f>AND(A159&gt;3,H159&lt;='Assumptions'!$B$7)</x:f>
        <x:v>0</x:v>
      </x:c>
      <x:c r="J159" s="55" t="n">
        <x:v>-0.0036048234505533516</x:v>
      </x:c>
      <x:c r="K159" s="55" t="n">
        <x:v>0.06130265726593653</x:v>
      </x:c>
      <x:c r="L159" s="55" t="n">
        <x:v>0.003368774380288375</x:v>
      </x:c>
      <x:c r="M159" s="57" t="b">
        <x:f>J159&gt;='Assumptions'!$B$8</x:f>
        <x:v>0</x:v>
      </x:c>
      <x:c r="N159" s="57" t="b">
        <x:f>AND(K159&lt;&gt;"",K159&lt;='Assumptions'!$B$9)</x:f>
        <x:v>0</x:v>
      </x:c>
      <x:c r="O159" s="57" t="b">
        <x:f>AND(P159&lt;&gt;"",ABS(L159)&lt;='Assumptions'!$B$10)</x:f>
        <x:v>1</x:v>
      </x:c>
      <x:c r="P159" s="53" t="n">
        <x:v>44299</x:v>
      </x:c>
      <x:c r="Q159" s="54" t="n">
        <x:v>13886.309</x:v>
      </x:c>
      <x:c r="R159" s="55" t="n">
        <x:v>0.01078</x:v>
      </x:c>
      <x:c r="S159" s="57" t="str">
        <x:f>IF(I159,"DAMAGE SKIP",IF(AND(M159,N159),IF(O159,"TUESDAY RE-ENTRY","GAP/MOM SKIP"),"BASELINE"))</x:f>
        <x:v>BASELINE</x:v>
      </x:c>
      <x:c r="T159" s="56" t="n">
        <x:f>IF(I159,0,IF(AND(M159,N159),IF(O159,R159,0),G159))</x:f>
        <x:v>0.0176</x:v>
      </x:c>
      <x:c r="U159" s="56" t="n">
        <x:f>G159*'Assumptions'!$B$6</x:f>
        <x:v>0.19888000000000003</x:v>
      </x:c>
      <x:c r="V159" s="56" t="n">
        <x:f>T159*'Assumptions'!$B$6</x:f>
        <x:v>0.19888000000000003</x:v>
      </x:c>
      <x:c r="W159" s="56" t="n">
        <x:f>V159-U159</x:f>
        <x:v>0</x:v>
      </x:c>
      <x:c r="X159" s="58" t="n">
        <x:f>X158*(1+U159)</x:f>
        <x:v>20113.53610204719</x:v>
      </x:c>
      <x:c r="Y159" s="58" t="n">
        <x:f>MAX(Y158,X159)</x:f>
        <x:v>20113.53610204719</x:v>
      </x:c>
      <x:c r="Z159" s="59" t="n">
        <x:f>X159/Y159-1</x:f>
        <x:v>0</x:v>
      </x:c>
      <x:c r="AA159" s="58" t="n">
        <x:f>AA158*(1+V159)</x:f>
        <x:v>66023.3867878285</x:v>
      </x:c>
      <x:c r="AB159" s="58" t="n">
        <x:f>MAX(AB158,AA159)</x:f>
        <x:v>66023.3867878285</x:v>
      </x:c>
      <x:c r="AC159" s="59" t="n">
        <x:f>AA159/AB159-1</x:f>
        <x:v>0</x:v>
      </x:c>
      <x:c r="AD159" s="60" t="n">
        <x:f>AA159-X159</x:f>
        <x:v>45909.850685781304</x:v>
      </x:c>
      <x:c r="AE159" s="28" t="str">
        <x:v>Baseline trade unchanged.</x:v>
      </x:c>
    </x:row>
    <x:row r="160" ht="18" customHeight="1">
      <x:c r="A160" s="23" t="n">
        <x:v>156</x:v>
      </x:c>
      <x:c r="B160" s="53" t="n">
        <x:v>44305</x:v>
      </x:c>
      <x:c r="C160" s="53" t="n">
        <x:v>44307</x:v>
      </x:c>
      <x:c r="D160" s="23" t="str">
        <x:v>BH</x:v>
      </x:c>
      <x:c r="E160" s="54" t="n">
        <x:v>13971.197</x:v>
      </x:c>
      <x:c r="F160" s="54" t="n">
        <x:v>13915.312212</x:v>
      </x:c>
      <x:c r="G160" s="55" t="n">
        <x:v>-0.004</x:v>
      </x:c>
      <x:c r="H160" s="56" t="n">
        <x:f>SUM(T157:T159)</x:f>
        <x:v>0.05896</x:v>
      </x:c>
      <x:c r="I160" s="57" t="b">
        <x:f>AND(A160&gt;3,H160&lt;='Assumptions'!$B$7)</x:f>
        <x:v>0</x:v>
      </x:c>
      <x:c r="J160" s="55" t="n">
        <x:v>-0.004624643482036284</x:v>
      </x:c>
      <x:c r="K160" s="55" t="n">
        <x:v>0.09743736474797915</x:v>
      </x:c>
      <x:c r="L160" s="55" t="n">
        <x:v>-0.011136117762347575</x:v>
      </x:c>
      <x:c r="M160" s="57" t="b">
        <x:f>J160&gt;='Assumptions'!$B$8</x:f>
        <x:v>0</x:v>
      </x:c>
      <x:c r="N160" s="57" t="b">
        <x:f>AND(K160&lt;&gt;"",K160&lt;='Assumptions'!$B$9)</x:f>
        <x:v>0</x:v>
      </x:c>
      <x:c r="O160" s="57" t="b">
        <x:f>AND(P160&lt;&gt;"",ABS(L160)&lt;='Assumptions'!$B$10)</x:f>
        <x:v>0</x:v>
      </x:c>
      <x:c r="P160" s="53" t="n">
        <x:v>44306</x:v>
      </x:c>
      <x:c r="Q160" s="54" t="n">
        <x:v>13881.657</x:v>
      </x:c>
      <x:c r="R160" s="55" t="n">
        <x:v>0.00242</x:v>
      </x:c>
      <x:c r="S160" s="57" t="str">
        <x:f>IF(I160,"DAMAGE SKIP",IF(AND(M160,N160),IF(O160,"TUESDAY RE-ENTRY","GAP/MOM SKIP"),"BASELINE"))</x:f>
        <x:v>BASELINE</x:v>
      </x:c>
      <x:c r="T160" s="56" t="n">
        <x:f>IF(I160,0,IF(AND(M160,N160),IF(O160,R160,0),G160))</x:f>
        <x:v>-0.004</x:v>
      </x:c>
      <x:c r="U160" s="56" t="n">
        <x:f>G160*'Assumptions'!$B$6</x:f>
        <x:v>-0.045200000000000004</x:v>
      </x:c>
      <x:c r="V160" s="56" t="n">
        <x:f>T160*'Assumptions'!$B$6</x:f>
        <x:v>-0.045200000000000004</x:v>
      </x:c>
      <x:c r="W160" s="56" t="n">
        <x:f>V160-U160</x:f>
        <x:v>0</x:v>
      </x:c>
      <x:c r="X160" s="58" t="n">
        <x:f>X159*(1+U160)</x:f>
        <x:v>19204.404270234656</x:v>
      </x:c>
      <x:c r="Y160" s="58" t="n">
        <x:f>MAX(Y159,X160)</x:f>
        <x:v>20113.53610204719</x:v>
      </x:c>
      <x:c r="Z160" s="59" t="n">
        <x:f>X160/Y160-1</x:f>
        <x:v>-0.04520000000000002</x:v>
      </x:c>
      <x:c r="AA160" s="58" t="n">
        <x:f>AA159*(1+V160)</x:f>
        <x:v>63039.12970501865</x:v>
      </x:c>
      <x:c r="AB160" s="58" t="n">
        <x:f>MAX(AB159,AA160)</x:f>
        <x:v>66023.3867878285</x:v>
      </x:c>
      <x:c r="AC160" s="59" t="n">
        <x:f>AA160/AB160-1</x:f>
        <x:v>-0.04520000000000002</x:v>
      </x:c>
      <x:c r="AD160" s="60" t="n">
        <x:f>AA160-X160</x:f>
        <x:v>43834.72543478399</x:v>
      </x:c>
      <x:c r="AE160" s="28" t="str">
        <x:v>Baseline trade unchanged.</x:v>
      </x:c>
    </x:row>
    <x:row r="161" ht="18" customHeight="1">
      <x:c r="A161" s="23" t="n">
        <x:v>157</x:v>
      </x:c>
      <x:c r="B161" s="53" t="n">
        <x:v>44312</x:v>
      </x:c>
      <x:c r="C161" s="53" t="n">
        <x:v>44315</x:v>
      </x:c>
      <x:c r="D161" s="23" t="str">
        <x:v>TSL2</x:v>
      </x:c>
      <x:c r="E161" s="54" t="n">
        <x:v>13941.349</x:v>
      </x:c>
      <x:c r="F161" s="54" t="n">
        <x:v>13885.583604</x:v>
      </x:c>
      <x:c r="G161" s="55" t="n">
        <x:v>-0.004</x:v>
      </x:c>
      <x:c r="H161" s="56" t="n">
        <x:f>SUM(T158:T160)</x:f>
        <x:v>0.02598</x:v>
      </x:c>
      <x:c r="I161" s="57" t="b">
        <x:f>AND(A161&gt;3,H161&lt;='Assumptions'!$B$7)</x:f>
        <x:v>0</x:v>
      </x:c>
      <x:c r="J161" s="55" t="n">
        <x:v>0.0007020027679582874</x:v>
      </x:c>
      <x:c r="K161" s="55" t="n">
        <x:v>0.0902285095357711</x:v>
      </x:c>
      <x:c r="L161" s="55" t="n">
        <x:v>0.007404320596210878</x:v>
      </x:c>
      <x:c r="M161" s="57" t="b">
        <x:f>J161&gt;='Assumptions'!$B$8</x:f>
        <x:v>0</x:v>
      </x:c>
      <x:c r="N161" s="57" t="b">
        <x:f>AND(K161&lt;&gt;"",K161&lt;='Assumptions'!$B$9)</x:f>
        <x:v>0</x:v>
      </x:c>
      <x:c r="O161" s="57" t="b">
        <x:f>AND(P161&lt;&gt;"",ABS(L161)&lt;='Assumptions'!$B$10)</x:f>
        <x:v>0</x:v>
      </x:c>
      <x:c r="P161" s="53" t="n">
        <x:v>44313</x:v>
      </x:c>
      <x:c r="Q161" s="54" t="n">
        <x:v>14033.999</x:v>
      </x:c>
      <x:c r="R161" s="55" t="n">
        <x:v>-0.01057</x:v>
      </x:c>
      <x:c r="S161" s="57" t="str">
        <x:f>IF(I161,"DAMAGE SKIP",IF(AND(M161,N161),IF(O161,"TUESDAY RE-ENTRY","GAP/MOM SKIP"),"BASELINE"))</x:f>
        <x:v>BASELINE</x:v>
      </x:c>
      <x:c r="T161" s="56" t="n">
        <x:f>IF(I161,0,IF(AND(M161,N161),IF(O161,R161,0),G161))</x:f>
        <x:v>-0.004</x:v>
      </x:c>
      <x:c r="U161" s="56" t="n">
        <x:f>G161*'Assumptions'!$B$6</x:f>
        <x:v>-0.045200000000000004</x:v>
      </x:c>
      <x:c r="V161" s="56" t="n">
        <x:f>T161*'Assumptions'!$B$6</x:f>
        <x:v>-0.045200000000000004</x:v>
      </x:c>
      <x:c r="W161" s="56" t="n">
        <x:f>V161-U161</x:f>
        <x:v>0</x:v>
      </x:c>
      <x:c r="X161" s="58" t="n">
        <x:f>X160*(1+U161)</x:f>
        <x:v>18336.36519722005</x:v>
      </x:c>
      <x:c r="Y161" s="58" t="n">
        <x:f>MAX(Y160,X161)</x:f>
        <x:v>20113.53610204719</x:v>
      </x:c>
      <x:c r="Z161" s="59" t="n">
        <x:f>X161/Y161-1</x:f>
        <x:v>-0.08835696000000004</x:v>
      </x:c>
      <x:c r="AA161" s="58" t="n">
        <x:f>AA160*(1+V161)</x:f>
        <x:v>60189.761042351805</x:v>
      </x:c>
      <x:c r="AB161" s="58" t="n">
        <x:f>MAX(AB160,AA161)</x:f>
        <x:v>66023.3867878285</x:v>
      </x:c>
      <x:c r="AC161" s="59" t="n">
        <x:f>AA161/AB161-1</x:f>
        <x:v>-0.08835695999999993</x:v>
      </x:c>
      <x:c r="AD161" s="60" t="n">
        <x:f>AA161-X161</x:f>
        <x:v>41853.39584513176</x:v>
      </x:c>
      <x:c r="AE161" s="28" t="str">
        <x:v>Baseline trade unchanged.</x:v>
      </x:c>
    </x:row>
    <x:row r="162" ht="18" customHeight="1">
      <x:c r="A162" s="23" t="n">
        <x:v>158</x:v>
      </x:c>
      <x:c r="B162" s="53" t="n">
        <x:v>44319</x:v>
      </x:c>
      <x:c r="C162" s="53" t="n">
        <x:v>44322</x:v>
      </x:c>
      <x:c r="D162" s="23" t="str">
        <x:v>TSL1PRE</x:v>
      </x:c>
      <x:c r="E162" s="54" t="n">
        <x:v>13926.877</x:v>
      </x:c>
      <x:c r="F162" s="54" t="n">
        <x:v>13499.447</x:v>
      </x:c>
      <x:c r="G162" s="55" t="n">
        <x:v>-0.03069</x:v>
      </x:c>
      <x:c r="H162" s="56" t="n">
        <x:f>SUM(T159:T161)</x:f>
        <x:v>0.009600000000000001</x:v>
      </x:c>
      <x:c r="I162" s="57" t="b">
        <x:f>AND(A162&gt;3,H162&lt;='Assumptions'!$B$7)</x:f>
        <x:v>0</x:v>
      </x:c>
      <x:c r="J162" s="55" t="n">
        <x:v>0.0032993112423034265</x:v>
      </x:c>
      <x:c r="K162" s="55" t="n">
        <x:v>0.04138797834915464</x:v>
      </x:c>
      <x:c r="L162" s="55" t="n">
        <x:v>-0.01313954052546018</x:v>
      </x:c>
      <x:c r="M162" s="57" t="b">
        <x:f>J162&gt;='Assumptions'!$B$8</x:f>
        <x:v>0</x:v>
      </x:c>
      <x:c r="N162" s="57" t="b">
        <x:f>AND(K162&lt;&gt;"",K162&lt;='Assumptions'!$B$9)</x:f>
        <x:v>0</x:v>
      </x:c>
      <x:c r="O162" s="57" t="b">
        <x:f>AND(P162&lt;&gt;"",ABS(L162)&lt;='Assumptions'!$B$10)</x:f>
        <x:v>0</x:v>
      </x:c>
      <x:c r="P162" s="53" t="n">
        <x:v>44320</x:v>
      </x:c>
      <x:c r="Q162" s="54" t="n">
        <x:v>13692.039</x:v>
      </x:c>
      <x:c r="R162" s="55" t="n">
        <x:v>-0.01406</x:v>
      </x:c>
      <x:c r="S162" s="57" t="str">
        <x:f>IF(I162,"DAMAGE SKIP",IF(AND(M162,N162),IF(O162,"TUESDAY RE-ENTRY","GAP/MOM SKIP"),"BASELINE"))</x:f>
        <x:v>BASELINE</x:v>
      </x:c>
      <x:c r="T162" s="56" t="n">
        <x:f>IF(I162,0,IF(AND(M162,N162),IF(O162,R162,0),G162))</x:f>
        <x:v>-0.03069</x:v>
      </x:c>
      <x:c r="U162" s="56" t="n">
        <x:f>G162*'Assumptions'!$B$6</x:f>
        <x:v>-0.346797</x:v>
      </x:c>
      <x:c r="V162" s="56" t="n">
        <x:f>T162*'Assumptions'!$B$6</x:f>
        <x:v>-0.346797</x:v>
      </x:c>
      <x:c r="W162" s="56" t="n">
        <x:f>V162-U162</x:f>
        <x:v>0</x:v>
      </x:c>
      <x:c r="X162" s="58" t="n">
        <x:f>X161*(1+U162)</x:f>
        <x:v>11977.368755919728</x:v>
      </x:c>
      <x:c r="Y162" s="58" t="n">
        <x:f>MAX(Y161,X162)</x:f>
        <x:v>20113.53610204719</x:v>
      </x:c>
      <x:c r="Z162" s="59" t="n">
        <x:f>X162/Y162-1</x:f>
        <x:v>-0.40451203134288005</x:v>
      </x:c>
      <x:c r="AA162" s="58" t="n">
        <x:f>AA161*(1+V162)</x:f>
        <x:v>39316.132482147324</x:v>
      </x:c>
      <x:c r="AB162" s="58" t="n">
        <x:f>MAX(AB161,AA162)</x:f>
        <x:v>66023.3867878285</x:v>
      </x:c>
      <x:c r="AC162" s="59" t="n">
        <x:f>AA162/AB162-1</x:f>
        <x:v>-0.40451203134288005</x:v>
      </x:c>
      <x:c r="AD162" s="60" t="n">
        <x:f>AA162-X162</x:f>
        <x:v>27338.763726227597</x:v>
      </x:c>
      <x:c r="AE162" s="28" t="str">
        <x:v>Baseline trade unchanged.</x:v>
      </x:c>
    </x:row>
    <x:row r="163" ht="18" customHeight="1">
      <x:c r="A163" s="23" t="n">
        <x:v>159</x:v>
      </x:c>
      <x:c r="B163" s="53" t="n">
        <x:v>44326</x:v>
      </x:c>
      <x:c r="C163" s="53" t="n">
        <x:v>44328</x:v>
      </x:c>
      <x:c r="D163" s="23" t="str">
        <x:v>SL</x:v>
      </x:c>
      <x:c r="E163" s="54" t="n">
        <x:v>13656.387</x:v>
      </x:c>
      <x:c r="F163" s="54" t="n">
        <x:v>12968.019</x:v>
      </x:c>
      <x:c r="G163" s="55" t="n">
        <x:v>-0.0504</x:v>
      </x:c>
      <x:c r="H163" s="56" t="n">
        <x:f>SUM(T160:T162)</x:f>
        <x:v>-0.03869</x:v>
      </x:c>
      <x:c r="I163" s="57" t="b">
        <x:f>AND(A163&gt;3,H163&lt;='Assumptions'!$B$7)</x:f>
        <x:v>1</x:v>
      </x:c>
      <x:c r="J163" s="55" t="n">
        <x:v>-0.004494954056513456</x:v>
      </x:c>
      <x:c r="K163" s="55" t="n">
        <x:v>-0.008637805067147508</x:v>
      </x:c>
      <x:c r="L163" s="55" t="n">
        <x:v>-0.043387453919806585</x:v>
      </x:c>
      <x:c r="M163" s="57" t="b">
        <x:f>J163&gt;='Assumptions'!$B$8</x:f>
        <x:v>0</x:v>
      </x:c>
      <x:c r="N163" s="57" t="b">
        <x:f>AND(K163&lt;&gt;"",K163&lt;='Assumptions'!$B$9)</x:f>
        <x:v>1</x:v>
      </x:c>
      <x:c r="O163" s="57" t="b">
        <x:f>AND(P163&lt;&gt;"",ABS(L163)&lt;='Assumptions'!$B$10)</x:f>
        <x:v>0</x:v>
      </x:c>
      <x:c r="P163" s="53" t="n">
        <x:v>44327</x:v>
      </x:c>
      <x:c r="Q163" s="54" t="n">
        <x:v>13117.819</x:v>
      </x:c>
      <x:c r="R163" s="55" t="n">
        <x:v>-0.01141</x:v>
      </x:c>
      <x:c r="S163" s="57" t="str">
        <x:f>IF(I163,"DAMAGE SKIP",IF(AND(M163,N163),IF(O163,"TUESDAY RE-ENTRY","GAP/MOM SKIP"),"BASELINE"))</x:f>
        <x:v>DAMAGE SKIP</x:v>
      </x:c>
      <x:c r="T163" s="56" t="n">
        <x:f>IF(I163,0,IF(AND(M163,N163),IF(O163,R163,0),G163))</x:f>
        <x:v>0</x:v>
      </x:c>
      <x:c r="U163" s="56" t="n">
        <x:f>G163*'Assumptions'!$B$6</x:f>
        <x:v>-0.56952</x:v>
      </x:c>
      <x:c r="V163" s="56" t="n">
        <x:f>T163*'Assumptions'!$B$6</x:f>
        <x:v>0</x:v>
      </x:c>
      <x:c r="W163" s="56" t="n">
        <x:f>V163-U163</x:f>
        <x:v>0.56952</x:v>
      </x:c>
      <x:c r="X163" s="58" t="n">
        <x:f>X162*(1+U163)</x:f>
        <x:v>5156.017702048324</x:v>
      </x:c>
      <x:c r="Y163" s="58" t="n">
        <x:f>MAX(Y162,X163)</x:f>
        <x:v>20113.53610204719</x:v>
      </x:c>
      <x:c r="Z163" s="59" t="n">
        <x:f>X163/Y163-1</x:f>
        <x:v>-0.743654339252483</x:v>
      </x:c>
      <x:c r="AA163" s="58" t="n">
        <x:f>AA162*(1+V163)</x:f>
        <x:v>39316.132482147324</x:v>
      </x:c>
      <x:c r="AB163" s="58" t="n">
        <x:f>MAX(AB162,AA163)</x:f>
        <x:v>66023.3867878285</x:v>
      </x:c>
      <x:c r="AC163" s="59" t="n">
        <x:f>AA163/AB163-1</x:f>
        <x:v>-0.40451203134288005</x:v>
      </x:c>
      <x:c r="AD163" s="60" t="n">
        <x:f>AA163-X163</x:f>
        <x:v>34160.114780099</x:v>
      </x:c>
      <x:c r="AE163" s="28" t="str">
        <x:v>Skipped because the previous three rule outcomes totalled at or below the damage threshold.</x:v>
      </x:c>
    </x:row>
    <x:row r="164" ht="18" customHeight="1">
      <x:c r="A164" s="23" t="n">
        <x:v>160</x:v>
      </x:c>
      <x:c r="B164" s="53" t="n">
        <x:v>44333</x:v>
      </x:c>
      <x:c r="C164" s="53" t="n">
        <x:v>44336</x:v>
      </x:c>
      <x:c r="D164" s="23" t="str">
        <x:v>TSL1PRE</x:v>
      </x:c>
      <x:c r="E164" s="54" t="n">
        <x:v>13317.099</x:v>
      </x:c>
      <x:c r="F164" s="54" t="n">
        <x:v>13223.389</x:v>
      </x:c>
      <x:c r="G164" s="55" t="n">
        <x:v>-0.00703</x:v>
      </x:c>
      <x:c r="H164" s="56" t="n">
        <x:f>SUM(T161:T163)</x:f>
        <x:v>-0.03469</x:v>
      </x:c>
      <x:c r="I164" s="57" t="b">
        <x:f>AND(A164&gt;3,H164&lt;='Assumptions'!$B$7)</x:f>
        <x:v>1</x:v>
      </x:c>
      <x:c r="J164" s="55" t="n">
        <x:v>-0.006127231933789501</x:v>
      </x:c>
      <x:c r="K164" s="55" t="n">
        <x:v>-0.04568625276829619</x:v>
      </x:c>
      <x:c r="L164" s="55" t="n">
        <x:v>-0.0030774641695243687</x:v>
      </x:c>
      <x:c r="M164" s="57" t="b">
        <x:f>J164&gt;='Assumptions'!$B$8</x:f>
        <x:v>0</x:v>
      </x:c>
      <x:c r="N164" s="57" t="b">
        <x:f>AND(K164&lt;&gt;"",K164&lt;='Assumptions'!$B$9)</x:f>
        <x:v>1</x:v>
      </x:c>
      <x:c r="O164" s="57" t="b">
        <x:f>AND(P164&lt;&gt;"",ABS(L164)&lt;='Assumptions'!$B$10)</x:f>
        <x:v>1</x:v>
      </x:c>
      <x:c r="P164" s="53" t="n">
        <x:v>44334</x:v>
      </x:c>
      <x:c r="Q164" s="54" t="n">
        <x:v>13352.399</x:v>
      </x:c>
      <x:c r="R164" s="55" t="n">
        <x:v>-0.00966</x:v>
      </x:c>
      <x:c r="S164" s="57" t="str">
        <x:f>IF(I164,"DAMAGE SKIP",IF(AND(M164,N164),IF(O164,"TUESDAY RE-ENTRY","GAP/MOM SKIP"),"BASELINE"))</x:f>
        <x:v>DAMAGE SKIP</x:v>
      </x:c>
      <x:c r="T164" s="56" t="n">
        <x:f>IF(I164,0,IF(AND(M164,N164),IF(O164,R164,0),G164))</x:f>
        <x:v>0</x:v>
      </x:c>
      <x:c r="U164" s="56" t="n">
        <x:f>G164*'Assumptions'!$B$6</x:f>
        <x:v>-0.079439</x:v>
      </x:c>
      <x:c r="V164" s="56" t="n">
        <x:f>T164*'Assumptions'!$B$6</x:f>
        <x:v>0</x:v>
      </x:c>
      <x:c r="W164" s="56" t="n">
        <x:f>V164-U164</x:f>
        <x:v>0.079439</x:v>
      </x:c>
      <x:c r="X164" s="58" t="n">
        <x:f>X163*(1+U164)</x:f>
        <x:v>4746.428811815307</x:v>
      </x:c>
      <x:c r="Y164" s="58" t="n">
        <x:f>MAX(Y163,X164)</x:f>
        <x:v>20113.53610204719</x:v>
      </x:c>
      <x:c r="Z164" s="59" t="n">
        <x:f>X164/Y164-1</x:f>
        <x:v>-0.764018182196605</x:v>
      </x:c>
      <x:c r="AA164" s="58" t="n">
        <x:f>AA163*(1+V164)</x:f>
        <x:v>39316.132482147324</x:v>
      </x:c>
      <x:c r="AB164" s="58" t="n">
        <x:f>MAX(AB163,AA164)</x:f>
        <x:v>66023.3867878285</x:v>
      </x:c>
      <x:c r="AC164" s="59" t="n">
        <x:f>AA164/AB164-1</x:f>
        <x:v>-0.40451203134288005</x:v>
      </x:c>
      <x:c r="AD164" s="60" t="n">
        <x:f>AA164-X164</x:f>
        <x:v>34569.70367033202</x:v>
      </x:c>
      <x:c r="AE164" s="28" t="str">
        <x:v>Skipped because the previous three rule outcomes totalled at or below the damage threshold.</x:v>
      </x:c>
    </x:row>
    <x:row r="165" ht="18" customHeight="1">
      <x:c r="A165" s="23" t="n">
        <x:v>161</x:v>
      </x:c>
      <x:c r="B165" s="53" t="n">
        <x:v>44340</x:v>
      </x:c>
      <x:c r="C165" s="53" t="n">
        <x:v>44340</x:v>
      </x:c>
      <x:c r="D165" s="23" t="str">
        <x:v>CH</x:v>
      </x:c>
      <x:c r="E165" s="54" t="n">
        <x:v>13512.667</x:v>
      </x:c>
      <x:c r="F165" s="54" t="n">
        <x:v>13639.259</x:v>
      </x:c>
      <x:c r="G165" s="55" t="n">
        <x:v>0.00936</x:v>
      </x:c>
      <x:c r="H165" s="56" t="n">
        <x:f>SUM(T162:T164)</x:f>
        <x:v>-0.03069</x:v>
      </x:c>
      <x:c r="I165" s="57" t="b">
        <x:f>AND(A165&gt;3,H165&lt;='Assumptions'!$B$7)</x:f>
        <x:v>1</x:v>
      </x:c>
      <x:c r="J165" s="55" t="n">
        <x:v>0.006520608706345854</x:v>
      </x:c>
      <x:c r="K165" s="55" t="n">
        <x:v>-0.03658676522989035</x:v>
      </x:c>
      <x:c r="L165" s="55" t="n">
        <x:v>0.021602171500931133</x:v>
      </x:c>
      <x:c r="M165" s="57" t="b">
        <x:f>J165&gt;='Assumptions'!$B$8</x:f>
        <x:v>0</x:v>
      </x:c>
      <x:c r="N165" s="57" t="b">
        <x:f>AND(K165&lt;&gt;"",K165&lt;='Assumptions'!$B$9)</x:f>
        <x:v>1</x:v>
      </x:c>
      <x:c r="O165" s="57" t="b">
        <x:f>AND(P165&lt;&gt;"",ABS(L165)&lt;='Assumptions'!$B$10)</x:f>
        <x:v>0</x:v>
      </x:c>
      <x:c r="P165" s="53" t="n">
        <x:v>44341</x:v>
      </x:c>
      <x:c r="Q165" s="54" t="n">
        <x:v>13701.397</x:v>
      </x:c>
      <x:c r="R165" s="55" t="n">
        <x:v>-0.00453</x:v>
      </x:c>
      <x:c r="S165" s="57" t="str">
        <x:f>IF(I165,"DAMAGE SKIP",IF(AND(M165,N165),IF(O165,"TUESDAY RE-ENTRY","GAP/MOM SKIP"),"BASELINE"))</x:f>
        <x:v>DAMAGE SKIP</x:v>
      </x:c>
      <x:c r="T165" s="56" t="n">
        <x:f>IF(I165,0,IF(AND(M165,N165),IF(O165,R165,0),G165))</x:f>
        <x:v>0</x:v>
      </x:c>
      <x:c r="U165" s="56" t="n">
        <x:f>G165*'Assumptions'!$B$6</x:f>
        <x:v>0.10576800000000001</x:v>
      </x:c>
      <x:c r="V165" s="56" t="n">
        <x:f>T165*'Assumptions'!$B$6</x:f>
        <x:v>0</x:v>
      </x:c>
      <x:c r="W165" s="56" t="n">
        <x:f>V165-U165</x:f>
        <x:v>-0.10576800000000001</x:v>
      </x:c>
      <x:c r="X165" s="58" t="n">
        <x:f>X164*(1+U165)</x:f>
        <x:v>5248.449094383389</x:v>
      </x:c>
      <x:c r="Y165" s="58" t="n">
        <x:f>MAX(Y164,X165)</x:f>
        <x:v>20113.53610204719</x:v>
      </x:c>
      <x:c r="Z165" s="59" t="n">
        <x:f>X165/Y165-1</x:f>
        <x:v>-0.7390588572911756</x:v>
      </x:c>
      <x:c r="AA165" s="58" t="n">
        <x:f>AA164*(1+V165)</x:f>
        <x:v>39316.132482147324</x:v>
      </x:c>
      <x:c r="AB165" s="58" t="n">
        <x:f>MAX(AB164,AA165)</x:f>
        <x:v>66023.3867878285</x:v>
      </x:c>
      <x:c r="AC165" s="59" t="n">
        <x:f>AA165/AB165-1</x:f>
        <x:v>-0.40451203134288005</x:v>
      </x:c>
      <x:c r="AD165" s="60" t="n">
        <x:f>AA165-X165</x:f>
        <x:v>34067.68338776394</x:v>
      </x:c>
      <x:c r="AE165" s="28" t="str">
        <x:v>Skipped because the previous three rule outcomes totalled at or below the damage threshold.</x:v>
      </x:c>
    </x:row>
    <x:row r="166" ht="18" customHeight="1">
      <x:c r="A166" s="23" t="n">
        <x:v>162</x:v>
      </x:c>
      <x:c r="B166" s="53" t="n">
        <x:v>44348</x:v>
      </x:c>
      <x:c r="C166" s="53" t="n">
        <x:v>44350</x:v>
      </x:c>
      <x:c r="D166" s="23" t="str">
        <x:v>TSL1PRE</x:v>
      </x:c>
      <x:c r="E166" s="54" t="n">
        <x:v>13755.019</x:v>
      </x:c>
      <x:c r="F166" s="54" t="n">
        <x:v>13684.019</x:v>
      </x:c>
      <x:c r="G166" s="55" t="n">
        <x:v>-0.00516</x:v>
      </x:c>
      <x:c r="H166" s="56" t="n">
        <x:f>SUM(T163:T165)</x:f>
        <x:v>0</x:v>
      </x:c>
      <x:c r="I166" s="57" t="b">
        <x:f>AND(A166&gt;3,H166&lt;='Assumptions'!$B$7)</x:f>
        <x:v>0</x:v>
      </x:c>
      <x:c r="J166" s="55" t="n">
        <x:v>0.004038044923468709</x:v>
      </x:c>
      <x:c r="K166" s="55" t="n">
        <x:v>-0.01204786395283941</x:v>
      </x:c>
      <x:c r="L166" s="55"/>
      <x:c r="M166" s="57" t="b">
        <x:f>J166&gt;='Assumptions'!$B$8</x:f>
        <x:v>0</x:v>
      </x:c>
      <x:c r="N166" s="57" t="b">
        <x:f>AND(K166&lt;&gt;"",K166&lt;='Assumptions'!$B$9)</x:f>
        <x:v>1</x:v>
      </x:c>
      <x:c r="O166" s="57" t="b">
        <x:f>AND(P166&lt;&gt;"",ABS(L166)&lt;='Assumptions'!$B$10)</x:f>
        <x:v>0</x:v>
      </x:c>
      <x:c r="P166" s="53"/>
      <x:c r="Q166" s="54"/>
      <x:c r="R166" s="55"/>
      <x:c r="S166" s="57" t="str">
        <x:f>IF(I166,"DAMAGE SKIP",IF(AND(M166,N166),IF(O166,"TUESDAY RE-ENTRY","GAP/MOM SKIP"),"BASELINE"))</x:f>
        <x:v>BASELINE</x:v>
      </x:c>
      <x:c r="T166" s="56" t="n">
        <x:f>IF(I166,0,IF(AND(M166,N166),IF(O166,R166,0),G166))</x:f>
        <x:v>-0.00516</x:v>
      </x:c>
      <x:c r="U166" s="56" t="n">
        <x:f>G166*'Assumptions'!$B$6</x:f>
        <x:v>-0.058308</x:v>
      </x:c>
      <x:c r="V166" s="56" t="n">
        <x:f>T166*'Assumptions'!$B$6</x:f>
        <x:v>-0.058308</x:v>
      </x:c>
      <x:c r="W166" s="56" t="n">
        <x:f>V166-U166</x:f>
        <x:v>0</x:v>
      </x:c>
      <x:c r="X166" s="58" t="n">
        <x:f>X165*(1+U166)</x:f>
        <x:v>4942.4225245880825</x:v>
      </x:c>
      <x:c r="Y166" s="58" t="n">
        <x:f>MAX(Y165,X166)</x:f>
        <x:v>20113.53610204719</x:v>
      </x:c>
      <x:c r="Z166" s="59" t="n">
        <x:f>X166/Y166-1</x:f>
        <x:v>-0.7542738134402417</x:v>
      </x:c>
      <x:c r="AA166" s="58" t="n">
        <x:f>AA165*(1+V166)</x:f>
        <x:v>37023.687429378275</x:v>
      </x:c>
      <x:c r="AB166" s="58" t="n">
        <x:f>MAX(AB165,AA166)</x:f>
        <x:v>66023.3867878285</x:v>
      </x:c>
      <x:c r="AC166" s="59" t="n">
        <x:f>AA166/AB166-1</x:f>
        <x:v>-0.43923374381933944</x:v>
      </x:c>
      <x:c r="AD166" s="60" t="n">
        <x:f>AA166-X166</x:f>
        <x:v>32081.264904790194</x:v>
      </x:c>
      <x:c r="AE166" s="28" t="str">
        <x:v>Baseline trade unchanged.</x:v>
      </x:c>
    </x:row>
    <x:row r="167" ht="18" customHeight="1">
      <x:c r="A167" s="23" t="n">
        <x:v>163</x:v>
      </x:c>
      <x:c r="B167" s="53" t="n">
        <x:v>44354</x:v>
      </x:c>
      <x:c r="C167" s="53" t="n">
        <x:v>44358</x:v>
      </x:c>
      <x:c r="D167" s="23" t="str">
        <x:v>TO</x:v>
      </x:c>
      <x:c r="E167" s="54" t="n">
        <x:v>13738.199</x:v>
      </x:c>
      <x:c r="F167" s="54" t="n">
        <x:v>13990.889</x:v>
      </x:c>
      <x:c r="G167" s="55" t="n">
        <x:v>0.01839</x:v>
      </x:c>
      <x:c r="H167" s="56" t="n">
        <x:f>SUM(T164:T166)</x:f>
        <x:v>-0.00516</x:v>
      </x:c>
      <x:c r="I167" s="57" t="b">
        <x:f>AND(A167&gt;3,H167&lt;='Assumptions'!$B$7)</x:f>
        <x:v>0</x:v>
      </x:c>
      <x:c r="J167" s="55" t="n">
        <x:v>-0.0018447223322346495</x:v>
      </x:c>
      <x:c r="K167" s="55" t="n">
        <x:v>0.012308158444738426</x:v>
      </x:c>
      <x:c r="L167" s="55" t="n">
        <x:v>0.008346949683133653</x:v>
      </x:c>
      <x:c r="M167" s="57" t="b">
        <x:f>J167&gt;='Assumptions'!$B$8</x:f>
        <x:v>0</x:v>
      </x:c>
      <x:c r="N167" s="57" t="b">
        <x:f>AND(K167&lt;&gt;"",K167&lt;='Assumptions'!$B$9)</x:f>
        <x:v>0</x:v>
      </x:c>
      <x:c r="O167" s="57" t="b">
        <x:f>AND(P167&lt;&gt;"",ABS(L167)&lt;='Assumptions'!$B$10)</x:f>
        <x:v>0</x:v>
      </x:c>
      <x:c r="P167" s="53" t="n">
        <x:v>44355</x:v>
      </x:c>
      <x:c r="Q167" s="54" t="n">
        <x:v>13881.107</x:v>
      </x:c>
      <x:c r="R167" s="55" t="n">
        <x:v>0.0079</x:v>
      </x:c>
      <x:c r="S167" s="57" t="str">
        <x:f>IF(I167,"DAMAGE SKIP",IF(AND(M167,N167),IF(O167,"TUESDAY RE-ENTRY","GAP/MOM SKIP"),"BASELINE"))</x:f>
        <x:v>BASELINE</x:v>
      </x:c>
      <x:c r="T167" s="56" t="n">
        <x:f>IF(I167,0,IF(AND(M167,N167),IF(O167,R167,0),G167))</x:f>
        <x:v>0.01839</x:v>
      </x:c>
      <x:c r="U167" s="56" t="n">
        <x:f>G167*'Assumptions'!$B$6</x:f>
        <x:v>0.20780700000000002</x:v>
      </x:c>
      <x:c r="V167" s="56" t="n">
        <x:f>T167*'Assumptions'!$B$6</x:f>
        <x:v>0.20780700000000002</x:v>
      </x:c>
      <x:c r="W167" s="56" t="n">
        <x:f>V167-U167</x:f>
        <x:v>0</x:v>
      </x:c>
      <x:c r="X167" s="58" t="n">
        <x:f>X166*(1+U167)</x:f>
        <x:v>5969.492522155158</x:v>
      </x:c>
      <x:c r="Y167" s="58" t="n">
        <x:f>MAX(Y166,X167)</x:f>
        <x:v>20113.53610204719</x:v>
      </x:c>
      <x:c r="Z167" s="59" t="n">
        <x:f>X167/Y167-1</x:f>
        <x:v>-0.7032101917898179</x:v>
      </x:c>
      <x:c r="AA167" s="58" t="n">
        <x:f>AA166*(1+V167)</x:f>
        <x:v>44717.468843015085</x:v>
      </x:c>
      <x:c r="AB167" s="58" t="n">
        <x:f>MAX(AB166,AA167)</x:f>
        <x:v>66023.3867878285</x:v>
      </x:c>
      <x:c r="AC167" s="59" t="n">
        <x:f>AA167/AB167-1</x:f>
        <x:v>-0.32270259042120486</x:v>
      </x:c>
      <x:c r="AD167" s="60" t="n">
        <x:f>AA167-X167</x:f>
        <x:v>38747.976320859925</x:v>
      </x:c>
      <x:c r="AE167" s="28" t="str">
        <x:v>Baseline trade unchanged.</x:v>
      </x:c>
    </x:row>
    <x:row r="168" ht="18" customHeight="1">
      <x:c r="A168" s="23" t="n">
        <x:v>164</x:v>
      </x:c>
      <x:c r="B168" s="53" t="n">
        <x:v>44361</x:v>
      </x:c>
      <x:c r="C168" s="53" t="n">
        <x:v>44361</x:v>
      </x:c>
      <x:c r="D168" s="23" t="str">
        <x:v>CH</x:v>
      </x:c>
      <x:c r="E168" s="54" t="n">
        <x:v>14013.459</x:v>
      </x:c>
      <x:c r="F168" s="54" t="n">
        <x:v>14128.759</x:v>
      </x:c>
      <x:c r="G168" s="55" t="n">
        <x:v>0.00822</x:v>
      </x:c>
      <x:c r="H168" s="56" t="n">
        <x:f>SUM(T165:T167)</x:f>
        <x:v>0.01323</x:v>
      </x:c>
      <x:c r="I168" s="57" t="b">
        <x:f>AND(A168&gt;3,H168&lt;='Assumptions'!$B$7)</x:f>
        <x:v>0</x:v>
      </x:c>
      <x:c r="J168" s="55" t="n">
        <x:v>0.0016131926999065627</x:v>
      </x:c>
      <x:c r="K168" s="55" t="n">
        <x:v>0.06859629865002792</x:v>
      </x:c>
      <x:c r="L168" s="55" t="n">
        <x:v>0.008506190416118553</x:v>
      </x:c>
      <x:c r="M168" s="57" t="b">
        <x:f>J168&gt;='Assumptions'!$B$8</x:f>
        <x:v>0</x:v>
      </x:c>
      <x:c r="N168" s="57" t="b">
        <x:f>AND(K168&lt;&gt;"",K168&lt;='Assumptions'!$B$9)</x:f>
        <x:v>0</x:v>
      </x:c>
      <x:c r="O168" s="57" t="b">
        <x:f>AND(P168&lt;&gt;"",ABS(L168)&lt;='Assumptions'!$B$10)</x:f>
        <x:v>0</x:v>
      </x:c>
      <x:c r="P168" s="53" t="n">
        <x:v>44362</x:v>
      </x:c>
      <x:c r="Q168" s="54" t="n">
        <x:v>14115.869</x:v>
      </x:c>
      <x:c r="R168" s="55" t="n">
        <x:v>0.00091</x:v>
      </x:c>
      <x:c r="S168" s="57" t="str">
        <x:f>IF(I168,"DAMAGE SKIP",IF(AND(M168,N168),IF(O168,"TUESDAY RE-ENTRY","GAP/MOM SKIP"),"BASELINE"))</x:f>
        <x:v>BASELINE</x:v>
      </x:c>
      <x:c r="T168" s="56" t="n">
        <x:f>IF(I168,0,IF(AND(M168,N168),IF(O168,R168,0),G168))</x:f>
        <x:v>0.00822</x:v>
      </x:c>
      <x:c r="U168" s="56" t="n">
        <x:f>G168*'Assumptions'!$B$6</x:f>
        <x:v>0.09288600000000001</x:v>
      </x:c>
      <x:c r="V168" s="56" t="n">
        <x:f>T168*'Assumptions'!$B$6</x:f>
        <x:v>0.09288600000000001</x:v>
      </x:c>
      <x:c r="W168" s="56" t="n">
        <x:f>V168-U168</x:f>
        <x:v>0</x:v>
      </x:c>
      <x:c r="X168" s="58" t="n">
        <x:f>X167*(1+U168)</x:f>
        <x:v>6523.974804568063</x:v>
      </x:c>
      <x:c r="Y168" s="58" t="n">
        <x:f>MAX(Y167,X168)</x:f>
        <x:v>20113.53610204719</x:v>
      </x:c>
      <x:c r="Z168" s="59" t="n">
        <x:f>X168/Y168-1</x:f>
        <x:v>-0.6756425736644069</x:v>
      </x:c>
      <x:c r="AA168" s="58" t="n">
        <x:f>AA167*(1+V168)</x:f>
        <x:v>48871.095653967386</x:v>
      </x:c>
      <x:c r="AB168" s="58" t="n">
        <x:f>MAX(AB167,AA168)</x:f>
        <x:v>66023.3867878285</x:v>
      </x:c>
      <x:c r="AC168" s="59" t="n">
        <x:f>AA168/AB168-1</x:f>
        <x:v>-0.2597911432350689</x:v>
      </x:c>
      <x:c r="AD168" s="60" t="n">
        <x:f>AA168-X168</x:f>
        <x:v>42347.120849399325</x:v>
      </x:c>
      <x:c r="AE168" s="28" t="str">
        <x:v>Baseline trade unchanged.</x:v>
      </x:c>
    </x:row>
    <x:row r="169" ht="18" customHeight="1">
      <x:c r="A169" s="23" t="n">
        <x:v>165</x:v>
      </x:c>
      <x:c r="B169" s="53" t="n">
        <x:v>44368</x:v>
      </x:c>
      <x:c r="C169" s="53" t="n">
        <x:v>44372</x:v>
      </x:c>
      <x:c r="D169" s="23" t="str">
        <x:v>TO</x:v>
      </x:c>
      <x:c r="E169" s="54" t="n">
        <x:v>14060.907</x:v>
      </x:c>
      <x:c r="F169" s="54" t="n">
        <x:v>14350.639</x:v>
      </x:c>
      <x:c r="G169" s="55" t="n">
        <x:v>0.0206</x:v>
      </x:c>
      <x:c r="H169" s="56" t="n">
        <x:f>SUM(T166:T168)</x:f>
        <x:v>0.02145</x:v>
      </x:c>
      <x:c r="I169" s="57" t="b">
        <x:f>AND(A169&gt;3,H169&lt;='Assumptions'!$B$7)</x:f>
        <x:v>0</x:v>
      </x:c>
      <x:c r="J169" s="55" t="n">
        <x:v>0.001225318201422576</x:v>
      </x:c>
      <x:c r="K169" s="55" t="n">
        <x:v>0.04192290549112143</x:v>
      </x:c>
      <x:c r="L169" s="55" t="n">
        <x:v>0.005627069765493875</x:v>
      </x:c>
      <x:c r="M169" s="57" t="b">
        <x:f>J169&gt;='Assumptions'!$B$8</x:f>
        <x:v>0</x:v>
      </x:c>
      <x:c r="N169" s="57" t="b">
        <x:f>AND(K169&lt;&gt;"",K169&lt;='Assumptions'!$B$9)</x:f>
        <x:v>0</x:v>
      </x:c>
      <x:c r="O169" s="57" t="b">
        <x:f>AND(P169&lt;&gt;"",ABS(L169)&lt;='Assumptions'!$B$10)</x:f>
        <x:v>0</x:v>
      </x:c>
      <x:c r="P169" s="53" t="n">
        <x:v>44369</x:v>
      </x:c>
      <x:c r="Q169" s="54" t="n">
        <x:v>14127.759</x:v>
      </x:c>
      <x:c r="R169" s="55" t="n">
        <x:v>0.01577</x:v>
      </x:c>
      <x:c r="S169" s="57" t="str">
        <x:f>IF(I169,"DAMAGE SKIP",IF(AND(M169,N169),IF(O169,"TUESDAY RE-ENTRY","GAP/MOM SKIP"),"BASELINE"))</x:f>
        <x:v>BASELINE</x:v>
      </x:c>
      <x:c r="T169" s="56" t="n">
        <x:f>IF(I169,0,IF(AND(M169,N169),IF(O169,R169,0),G169))</x:f>
        <x:v>0.0206</x:v>
      </x:c>
      <x:c r="U169" s="56" t="n">
        <x:f>G169*'Assumptions'!$B$6</x:f>
        <x:v>0.23278000000000001</x:v>
      </x:c>
      <x:c r="V169" s="56" t="n">
        <x:f>T169*'Assumptions'!$B$6</x:f>
        <x:v>0.23278000000000001</x:v>
      </x:c>
      <x:c r="W169" s="56" t="n">
        <x:f>V169-U169</x:f>
        <x:v>0</x:v>
      </x:c>
      <x:c r="X169" s="58" t="n">
        <x:f>X168*(1+U169)</x:f>
        <x:v>8042.625659575416</x:v>
      </x:c>
      <x:c r="Y169" s="58" t="n">
        <x:f>MAX(Y168,X169)</x:f>
        <x:v>20113.53610204719</x:v>
      </x:c>
      <x:c r="Z169" s="59" t="n">
        <x:f>X169/Y169-1</x:f>
        <x:v>-0.6001386519620077</x:v>
      </x:c>
      <x:c r="AA169" s="58" t="n">
        <x:f>AA168*(1+V169)</x:f>
        <x:v>60247.309300297915</x:v>
      </x:c>
      <x:c r="AB169" s="58" t="n">
        <x:f>MAX(AB168,AA169)</x:f>
        <x:v>66023.3867878285</x:v>
      </x:c>
      <x:c r="AC169" s="59" t="n">
        <x:f>AA169/AB169-1</x:f>
        <x:v>-0.08748532555732824</x:v>
      </x:c>
      <x:c r="AD169" s="60" t="n">
        <x:f>AA169-X169</x:f>
        <x:v>52204.6836407225</x:v>
      </x:c>
      <x:c r="AE169" s="28" t="str">
        <x:v>Baseline trade unchanged.</x:v>
      </x:c>
    </x:row>
    <x:row r="170" ht="18" customHeight="1">
      <x:c r="A170" s="23" t="n">
        <x:v>166</x:v>
      </x:c>
      <x:c r="B170" s="53" t="n">
        <x:v>44375</x:v>
      </x:c>
      <x:c r="C170" s="53" t="n">
        <x:v>44375</x:v>
      </x:c>
      <x:c r="D170" s="23" t="str">
        <x:v>CH</x:v>
      </x:c>
      <x:c r="E170" s="54" t="n">
        <x:v>14403.347</x:v>
      </x:c>
      <x:c r="F170" s="54" t="n">
        <x:v>14516.049</x:v>
      </x:c>
      <x:c r="G170" s="55" t="n">
        <x:v>0.00782</x:v>
      </x:c>
      <x:c r="H170" s="56" t="n">
        <x:f>SUM(T167:T169)</x:f>
        <x:v>0.04721</x:v>
      </x:c>
      <x:c r="I170" s="57" t="b">
        <x:f>AND(A170&gt;3,H170&lt;='Assumptions'!$B$7)</x:f>
        <x:v>0</x:v>
      </x:c>
      <x:c r="J170" s="55" t="n">
        <x:v>0.0036728678074893217</x:v>
      </x:c>
      <x:c r="K170" s="55" t="n">
        <x:v>0.05104101878821843</x:v>
      </x:c>
      <x:c r="L170" s="55" t="n">
        <x:v>0.01162719163334347</x:v>
      </x:c>
      <x:c r="M170" s="57" t="b">
        <x:f>J170&gt;='Assumptions'!$B$8</x:f>
        <x:v>0</x:v>
      </x:c>
      <x:c r="N170" s="57" t="b">
        <x:f>AND(K170&lt;&gt;"",K170&lt;='Assumptions'!$B$9)</x:f>
        <x:v>0</x:v>
      </x:c>
      <x:c r="O170" s="57" t="b">
        <x:f>AND(P170&lt;&gt;"",ABS(L170)&lt;='Assumptions'!$B$10)</x:f>
        <x:v>0</x:v>
      </x:c>
      <x:c r="P170" s="53" t="n">
        <x:v>44376</x:v>
      </x:c>
      <x:c r="Q170" s="54" t="n">
        <x:v>14512.447</x:v>
      </x:c>
      <x:c r="R170" s="55" t="n">
        <x:v>0.00024</x:v>
      </x:c>
      <x:c r="S170" s="57" t="str">
        <x:f>IF(I170,"DAMAGE SKIP",IF(AND(M170,N170),IF(O170,"TUESDAY RE-ENTRY","GAP/MOM SKIP"),"BASELINE"))</x:f>
        <x:v>BASELINE</x:v>
      </x:c>
      <x:c r="T170" s="56" t="n">
        <x:f>IF(I170,0,IF(AND(M170,N170),IF(O170,R170,0),G170))</x:f>
        <x:v>0.00782</x:v>
      </x:c>
      <x:c r="U170" s="56" t="n">
        <x:f>G170*'Assumptions'!$B$6</x:f>
        <x:v>0.08836600000000001</x:v>
      </x:c>
      <x:c r="V170" s="56" t="n">
        <x:f>T170*'Assumptions'!$B$6</x:f>
        <x:v>0.08836600000000001</x:v>
      </x:c>
      <x:c r="W170" s="56" t="n">
        <x:f>V170-U170</x:f>
        <x:v>0</x:v>
      </x:c>
      <x:c r="X170" s="58" t="n">
        <x:f>X169*(1+U170)</x:f>
        <x:v>8753.320318609456</x:v>
      </x:c>
      <x:c r="Y170" s="58" t="n">
        <x:f>MAX(Y169,X170)</x:f>
        <x:v>20113.53610204719</x:v>
      </x:c>
      <x:c r="Z170" s="59" t="n">
        <x:f>X170/Y170-1</x:f>
        <x:v>-0.5648045040812825</x:v>
      </x:c>
      <x:c r="AA170" s="58" t="n">
        <x:f>AA169*(1+V170)</x:f>
        <x:v>65571.12303392803</x:v>
      </x:c>
      <x:c r="AB170" s="58" t="n">
        <x:f>MAX(AB169,AA170)</x:f>
        <x:v>66023.3867878285</x:v>
      </x:c>
      <x:c r="AC170" s="59" t="n">
        <x:f>AA170/AB170-1</x:f>
        <x:v>-0.006850053835527281</x:v>
      </x:c>
      <x:c r="AD170" s="60" t="n">
        <x:f>AA170-X170</x:f>
        <x:v>56817.802715318576</x:v>
      </x:c>
      <x:c r="AE170" s="28" t="str">
        <x:v>Baseline trade unchanged.</x:v>
      </x:c>
    </x:row>
    <x:row r="171" ht="18" customHeight="1">
      <x:c r="A171" s="23" t="n">
        <x:v>167</x:v>
      </x:c>
      <x:c r="B171" s="53" t="n">
        <x:v>44383</x:v>
      </x:c>
      <x:c r="C171" s="53" t="n">
        <x:v>44385</x:v>
      </x:c>
      <x:c r="D171" s="23" t="str">
        <x:v>TSL1PRE</x:v>
      </x:c>
      <x:c r="E171" s="54" t="n">
        <x:v>14746.619</x:v>
      </x:c>
      <x:c r="F171" s="54" t="n">
        <x:v>14680.079</x:v>
      </x:c>
      <x:c r="G171" s="55" t="n">
        <x:v>-0.00451</x:v>
      </x:c>
      <x:c r="H171" s="56" t="n">
        <x:f>SUM(T168:T170)</x:f>
        <x:v>0.03664</x:v>
      </x:c>
      <x:c r="I171" s="57" t="b">
        <x:f>AND(A171&gt;3,H171&lt;='Assumptions'!$B$7)</x:f>
        <x:v>0</x:v>
      </x:c>
      <x:c r="J171" s="55" t="n">
        <x:v>0.0018628731087879657</x:v>
      </x:c>
      <x:c r="K171" s="55" t="n">
        <x:v>0.06990913949759481</x:v>
      </x:c>
      <x:c r="L171" s="55"/>
      <x:c r="M171" s="57" t="b">
        <x:f>J171&gt;='Assumptions'!$B$8</x:f>
        <x:v>0</x:v>
      </x:c>
      <x:c r="N171" s="57" t="b">
        <x:f>AND(K171&lt;&gt;"",K171&lt;='Assumptions'!$B$9)</x:f>
        <x:v>0</x:v>
      </x:c>
      <x:c r="O171" s="57" t="b">
        <x:f>AND(P171&lt;&gt;"",ABS(L171)&lt;='Assumptions'!$B$10)</x:f>
        <x:v>0</x:v>
      </x:c>
      <x:c r="P171" s="53"/>
      <x:c r="Q171" s="54"/>
      <x:c r="R171" s="55"/>
      <x:c r="S171" s="57" t="str">
        <x:f>IF(I171,"DAMAGE SKIP",IF(AND(M171,N171),IF(O171,"TUESDAY RE-ENTRY","GAP/MOM SKIP"),"BASELINE"))</x:f>
        <x:v>BASELINE</x:v>
      </x:c>
      <x:c r="T171" s="56" t="n">
        <x:f>IF(I171,0,IF(AND(M171,N171),IF(O171,R171,0),G171))</x:f>
        <x:v>-0.00451</x:v>
      </x:c>
      <x:c r="U171" s="56" t="n">
        <x:f>G171*'Assumptions'!$B$6</x:f>
        <x:v>-0.050963</x:v>
      </x:c>
      <x:c r="V171" s="56" t="n">
        <x:f>T171*'Assumptions'!$B$6</x:f>
        <x:v>-0.050963</x:v>
      </x:c>
      <x:c r="W171" s="56" t="n">
        <x:f>V171-U171</x:f>
        <x:v>0</x:v>
      </x:c>
      <x:c r="X171" s="58" t="n">
        <x:f>X170*(1+U171)</x:f>
        <x:v>8307.224855212162</x:v>
      </x:c>
      <x:c r="Y171" s="58" t="n">
        <x:f>MAX(Y170,X171)</x:f>
        <x:v>20113.53610204719</x:v>
      </x:c>
      <x:c r="Z171" s="59" t="n">
        <x:f>X171/Y171-1</x:f>
        <x:v>-0.5869833721397881</x:v>
      </x:c>
      <x:c r="AA171" s="58" t="n">
        <x:f>AA170*(1+V171)</x:f>
        <x:v>62229.42189074996</x:v>
      </x:c>
      <x:c r="AB171" s="58" t="n">
        <x:f>MAX(AB170,AA171)</x:f>
        <x:v>66023.3867878285</x:v>
      </x:c>
      <x:c r="AC171" s="59" t="n">
        <x:f>AA171/AB171-1</x:f>
        <x:v>-0.057463954541907225</x:v>
      </x:c>
      <x:c r="AD171" s="60" t="n">
        <x:f>AA171-X171</x:f>
        <x:v>53922.1970355378</x:v>
      </x:c>
      <x:c r="AE171" s="28" t="str">
        <x:v>Baseline trade unchanged.</x:v>
      </x:c>
    </x:row>
    <x:row r="172" ht="18" customHeight="1">
      <x:c r="A172" s="23" t="n">
        <x:v>168</x:v>
      </x:c>
      <x:c r="B172" s="53" t="n">
        <x:v>44389</x:v>
      </x:c>
      <x:c r="C172" s="53" t="n">
        <x:v>44392</x:v>
      </x:c>
      <x:c r="D172" s="23" t="str">
        <x:v>TSL2</x:v>
      </x:c>
      <x:c r="E172" s="54" t="n">
        <x:v>14877.499</x:v>
      </x:c>
      <x:c r="F172" s="54" t="n">
        <x:v>14817.989004</x:v>
      </x:c>
      <x:c r="G172" s="55" t="n">
        <x:v>-0.004</x:v>
      </x:c>
      <x:c r="H172" s="56" t="n">
        <x:f>SUM(T169:T171)</x:f>
        <x:v>0.02391</x:v>
      </x:c>
      <x:c r="I172" s="57" t="b">
        <x:f>AND(A172&gt;3,H172&lt;='Assumptions'!$B$7)</x:f>
        <x:v>0</x:v>
      </x:c>
      <x:c r="J172" s="55" t="n">
        <x:v>0.004276452771799777</x:v>
      </x:c>
      <x:c r="K172" s="55" t="n">
        <x:v>0.06190863372180555</x:v>
      </x:c>
      <x:c r="L172" s="55" t="n">
        <x:v>0.0028386855269577627</x:v>
      </x:c>
      <x:c r="M172" s="57" t="b">
        <x:f>J172&gt;='Assumptions'!$B$8</x:f>
        <x:v>0</x:v>
      </x:c>
      <x:c r="N172" s="57" t="b">
        <x:f>AND(K172&lt;&gt;"",K172&lt;='Assumptions'!$B$9)</x:f>
        <x:v>0</x:v>
      </x:c>
      <x:c r="O172" s="57" t="b">
        <x:f>AND(P172&lt;&gt;"",ABS(L172)&lt;='Assumptions'!$B$10)</x:f>
        <x:v>1</x:v>
      </x:c>
      <x:c r="P172" s="53" t="n">
        <x:v>44390</x:v>
      </x:c>
      <x:c r="Q172" s="54" t="n">
        <x:v>14862.949</x:v>
      </x:c>
      <x:c r="R172" s="55" t="n">
        <x:v>-0.00302</x:v>
      </x:c>
      <x:c r="S172" s="57" t="str">
        <x:f>IF(I172,"DAMAGE SKIP",IF(AND(M172,N172),IF(O172,"TUESDAY RE-ENTRY","GAP/MOM SKIP"),"BASELINE"))</x:f>
        <x:v>BASELINE</x:v>
      </x:c>
      <x:c r="T172" s="56" t="n">
        <x:f>IF(I172,0,IF(AND(M172,N172),IF(O172,R172,0),G172))</x:f>
        <x:v>-0.004</x:v>
      </x:c>
      <x:c r="U172" s="56" t="n">
        <x:f>G172*'Assumptions'!$B$6</x:f>
        <x:v>-0.045200000000000004</x:v>
      </x:c>
      <x:c r="V172" s="56" t="n">
        <x:f>T172*'Assumptions'!$B$6</x:f>
        <x:v>-0.045200000000000004</x:v>
      </x:c>
      <x:c r="W172" s="56" t="n">
        <x:f>V172-U172</x:f>
        <x:v>0</x:v>
      </x:c>
      <x:c r="X172" s="58" t="n">
        <x:f>X171*(1+U172)</x:f>
        <x:v>7931.738291756572</x:v>
      </x:c>
      <x:c r="Y172" s="58" t="n">
        <x:f>MAX(Y171,X172)</x:f>
        <x:v>20113.53610204719</x:v>
      </x:c>
      <x:c r="Z172" s="59" t="n">
        <x:f>X172/Y172-1</x:f>
        <x:v>-0.6056517237190697</x:v>
      </x:c>
      <x:c r="AA172" s="58" t="n">
        <x:f>AA171*(1+V172)</x:f>
        <x:v>59416.652021288064</x:v>
      </x:c>
      <x:c r="AB172" s="58" t="n">
        <x:f>MAX(AB171,AA172)</x:f>
        <x:v>66023.3867878285</x:v>
      </x:c>
      <x:c r="AC172" s="59" t="n">
        <x:f>AA172/AB172-1</x:f>
        <x:v>-0.10006658379661293</x:v>
      </x:c>
      <x:c r="AD172" s="60" t="n">
        <x:f>AA172-X172</x:f>
        <x:v>51484.913729531494</x:v>
      </x:c>
      <x:c r="AE172" s="28" t="str">
        <x:v>Baseline trade unchanged.</x:v>
      </x:c>
    </x:row>
    <x:row r="173" ht="18" customHeight="1">
      <x:c r="A173" s="23" t="n">
        <x:v>169</x:v>
      </x:c>
      <x:c r="B173" s="53" t="n">
        <x:v>44396</x:v>
      </x:c>
      <x:c r="C173" s="53" t="n">
        <x:v>44400</x:v>
      </x:c>
      <x:c r="D173" s="23" t="str">
        <x:v>TO</x:v>
      </x:c>
      <x:c r="E173" s="54" t="n">
        <x:v>14533.917</x:v>
      </x:c>
      <x:c r="F173" s="54" t="n">
        <x:v>15107.079</x:v>
      </x:c>
      <x:c r="G173" s="55" t="n">
        <x:v>0.03943</x:v>
      </x:c>
      <x:c r="H173" s="56" t="n">
        <x:f>SUM(T170:T172)</x:f>
        <x:v>-0.0006899999999999996</x:v>
      </x:c>
      <x:c r="I173" s="57" t="b">
        <x:f>AND(A173&gt;3,H173&lt;='Assumptions'!$B$7)</x:f>
        <x:v>0</x:v>
      </x:c>
      <x:c r="J173" s="55" t="n">
        <x:v>-0.010408136460690276</x:v>
      </x:c>
      <x:c r="K173" s="55" t="n">
        <x:v>0.036719466481466734</x:v>
      </x:c>
      <x:c r="L173" s="55" t="n">
        <x:v>-0.005508080330942966</x:v>
      </x:c>
      <x:c r="M173" s="57" t="b">
        <x:f>J173&gt;='Assumptions'!$B$8</x:f>
        <x:v>0</x:v>
      </x:c>
      <x:c r="N173" s="57" t="b">
        <x:f>AND(K173&lt;&gt;"",K173&lt;='Assumptions'!$B$9)</x:f>
        <x:v>0</x:v>
      </x:c>
      <x:c r="O173" s="57" t="b">
        <x:f>AND(P173&lt;&gt;"",ABS(L173)&lt;='Assumptions'!$B$10)</x:f>
        <x:v>0</x:v>
      </x:c>
      <x:c r="P173" s="53" t="n">
        <x:v>44397</x:v>
      </x:c>
      <x:c r="Q173" s="54" t="n">
        <x:v>14595.687</x:v>
      </x:c>
      <x:c r="R173" s="55" t="n">
        <x:v>0.03503</x:v>
      </x:c>
      <x:c r="S173" s="57" t="str">
        <x:f>IF(I173,"DAMAGE SKIP",IF(AND(M173,N173),IF(O173,"TUESDAY RE-ENTRY","GAP/MOM SKIP"),"BASELINE"))</x:f>
        <x:v>BASELINE</x:v>
      </x:c>
      <x:c r="T173" s="56" t="n">
        <x:f>IF(I173,0,IF(AND(M173,N173),IF(O173,R173,0),G173))</x:f>
        <x:v>0.03943</x:v>
      </x:c>
      <x:c r="U173" s="56" t="n">
        <x:f>G173*'Assumptions'!$B$6</x:f>
        <x:v>0.44555900000000004</x:v>
      </x:c>
      <x:c r="V173" s="56" t="n">
        <x:f>T173*'Assumptions'!$B$6</x:f>
        <x:v>0.44555900000000004</x:v>
      </x:c>
      <x:c r="W173" s="56" t="n">
        <x:f>V173-U173</x:f>
        <x:v>0</x:v>
      </x:c>
      <x:c r="X173" s="58" t="n">
        <x:f>X172*(1+U173)</x:f>
        <x:v>11465.795673293338</x:v>
      </x:c>
      <x:c r="Y173" s="58" t="n">
        <x:f>MAX(Y172,X173)</x:f>
        <x:v>20113.53610204719</x:v>
      </x:c>
      <x:c r="Z173" s="59" t="n">
        <x:f>X173/Y173-1</x:f>
        <x:v>-0.4299463000876146</x:v>
      </x:c>
      <x:c r="AA173" s="58" t="n">
        <x:f>AA172*(1+V173)</x:f>
        <x:v>85890.27607924116</x:v>
      </x:c>
      <x:c r="AB173" s="58" t="n">
        <x:f>MAX(AB172,AA173)</x:f>
        <x:v>85890.27607924116</x:v>
      </x:c>
      <x:c r="AC173" s="59" t="n">
        <x:f>AA173/AB173-1</x:f>
        <x:v>0</x:v>
      </x:c>
      <x:c r="AD173" s="60" t="n">
        <x:f>AA173-X173</x:f>
        <x:v>74424.48040594782</x:v>
      </x:c>
      <x:c r="AE173" s="28" t="str">
        <x:v>Baseline trade unchanged.</x:v>
      </x:c>
    </x:row>
    <x:row r="174" ht="18" customHeight="1">
      <x:c r="A174" s="23" t="n">
        <x:v>170</x:v>
      </x:c>
      <x:c r="B174" s="53" t="n">
        <x:v>44403</x:v>
      </x:c>
      <x:c r="C174" s="53" t="n">
        <x:v>44405</x:v>
      </x:c>
      <x:c r="D174" s="23" t="str">
        <x:v>BEPRE</x:v>
      </x:c>
      <x:c r="E174" s="54" t="n">
        <x:v>15083.599</x:v>
      </x:c>
      <x:c r="F174" s="54" t="n">
        <x:v>15025.957</x:v>
      </x:c>
      <x:c r="G174" s="55" t="n">
        <x:v>-0.00382</x:v>
      </x:c>
      <x:c r="H174" s="56" t="n">
        <x:f>SUM(T171:T173)</x:f>
        <x:v>0.03092</x:v>
      </x:c>
      <x:c r="I174" s="57" t="b">
        <x:f>AND(A174&gt;3,H174&lt;='Assumptions'!$B$7)</x:f>
        <x:v>0</x:v>
      </x:c>
      <x:c r="J174" s="55" t="n">
        <x:v>-0.0015542382481749106</x:v>
      </x:c>
      <x:c r="K174" s="55" t="n">
        <x:v>0.05231204063480166</x:v>
      </x:c>
      <x:c r="L174" s="55" t="n">
        <x:v>0.00005560884736777183</x:v>
      </x:c>
      <x:c r="M174" s="57" t="b">
        <x:f>J174&gt;='Assumptions'!$B$8</x:f>
        <x:v>0</x:v>
      </x:c>
      <x:c r="N174" s="57" t="b">
        <x:f>AND(K174&lt;&gt;"",K174&lt;='Assumptions'!$B$9)</x:f>
        <x:v>0</x:v>
      </x:c>
      <x:c r="O174" s="57" t="b">
        <x:f>AND(P174&lt;&gt;"",ABS(L174)&lt;='Assumptions'!$B$10)</x:f>
        <x:v>1</x:v>
      </x:c>
      <x:c r="P174" s="53" t="n">
        <x:v>44404</x:v>
      </x:c>
      <x:c r="Q174" s="54" t="n">
        <x:v>15112.889</x:v>
      </x:c>
      <x:c r="R174" s="55" t="n">
        <x:v>-0.00575</x:v>
      </x:c>
      <x:c r="S174" s="57" t="str">
        <x:f>IF(I174,"DAMAGE SKIP",IF(AND(M174,N174),IF(O174,"TUESDAY RE-ENTRY","GAP/MOM SKIP"),"BASELINE"))</x:f>
        <x:v>BASELINE</x:v>
      </x:c>
      <x:c r="T174" s="56" t="n">
        <x:f>IF(I174,0,IF(AND(M174,N174),IF(O174,R174,0),G174))</x:f>
        <x:v>-0.00382</x:v>
      </x:c>
      <x:c r="U174" s="56" t="n">
        <x:f>G174*'Assumptions'!$B$6</x:f>
        <x:v>-0.043166</x:v>
      </x:c>
      <x:c r="V174" s="56" t="n">
        <x:f>T174*'Assumptions'!$B$6</x:f>
        <x:v>-0.043166</x:v>
      </x:c>
      <x:c r="W174" s="56" t="n">
        <x:f>V174-U174</x:f>
        <x:v>0</x:v>
      </x:c>
      <x:c r="X174" s="58" t="n">
        <x:f>X173*(1+U174)</x:f>
        <x:v>10970.863137259958</x:v>
      </x:c>
      <x:c r="Y174" s="58" t="n">
        <x:f>MAX(Y173,X174)</x:f>
        <x:v>20113.53610204719</x:v>
      </x:c>
      <x:c r="Z174" s="59" t="n">
        <x:f>X174/Y174-1</x:f>
        <x:v>-0.4545532380980327</x:v>
      </x:c>
      <x:c r="AA174" s="58" t="n">
        <x:f>AA173*(1+V174)</x:f>
        <x:v>82182.73642200463</x:v>
      </x:c>
      <x:c r="AB174" s="58" t="n">
        <x:f>MAX(AB173,AA174)</x:f>
        <x:v>85890.27607924116</x:v>
      </x:c>
      <x:c r="AC174" s="59" t="n">
        <x:f>AA174/AB174-1</x:f>
        <x:v>-0.04316600000000004</x:v>
      </x:c>
      <x:c r="AD174" s="60" t="n">
        <x:f>AA174-X174</x:f>
        <x:v>71211.87328474467</x:v>
      </x:c>
      <x:c r="AE174" s="28" t="str">
        <x:v>Baseline trade unchanged.</x:v>
      </x:c>
    </x:row>
    <x:row r="175" ht="18" customHeight="1">
      <x:c r="A175" s="23" t="n">
        <x:v>171</x:v>
      </x:c>
      <x:c r="B175" s="53" t="n">
        <x:v>44410</x:v>
      </x:c>
      <x:c r="C175" s="53" t="n">
        <x:v>44414</x:v>
      </x:c>
      <x:c r="D175" s="23" t="str">
        <x:v>TO</x:v>
      </x:c>
      <x:c r="E175" s="54" t="n">
        <x:v>15036.197</x:v>
      </x:c>
      <x:c r="F175" s="54" t="n">
        <x:v>15107.029</x:v>
      </x:c>
      <x:c r="G175" s="55" t="n">
        <x:v>0.00471</x:v>
      </x:c>
      <x:c r="H175" s="56" t="n">
        <x:f>SUM(T172:T174)</x:f>
        <x:v>0.031610000000000006</x:v>
      </x:c>
      <x:c r="I175" s="57" t="b">
        <x:f>AND(A175&gt;3,H175&lt;='Assumptions'!$B$7)</x:f>
        <x:v>0</x:v>
      </x:c>
      <x:c r="J175" s="55" t="n">
        <x:v>0.003886906237483778</x:v>
      </x:c>
      <x:c r="K175" s="55" t="n">
        <x:v>0.028217610237220914</x:v>
      </x:c>
      <x:c r="L175" s="55" t="n">
        <x:v>0.001929141265370582</x:v>
      </x:c>
      <x:c r="M175" s="57" t="b">
        <x:f>J175&gt;='Assumptions'!$B$8</x:f>
        <x:v>0</x:v>
      </x:c>
      <x:c r="N175" s="57" t="b">
        <x:f>AND(K175&lt;&gt;"",K175&lt;='Assumptions'!$B$9)</x:f>
        <x:v>0</x:v>
      </x:c>
      <x:c r="O175" s="57" t="b">
        <x:f>AND(P175&lt;&gt;"",ABS(L175)&lt;='Assumptions'!$B$10)</x:f>
        <x:v>1</x:v>
      </x:c>
      <x:c r="P175" s="53" t="n">
        <x:v>44411</x:v>
      </x:c>
      <x:c r="Q175" s="54" t="n">
        <x:v>14998.509</x:v>
      </x:c>
      <x:c r="R175" s="55" t="n">
        <x:v>0.00723</x:v>
      </x:c>
      <x:c r="S175" s="57" t="str">
        <x:f>IF(I175,"DAMAGE SKIP",IF(AND(M175,N175),IF(O175,"TUESDAY RE-ENTRY","GAP/MOM SKIP"),"BASELINE"))</x:f>
        <x:v>BASELINE</x:v>
      </x:c>
      <x:c r="T175" s="56" t="n">
        <x:f>IF(I175,0,IF(AND(M175,N175),IF(O175,R175,0),G175))</x:f>
        <x:v>0.00471</x:v>
      </x:c>
      <x:c r="U175" s="56" t="n">
        <x:f>G175*'Assumptions'!$B$6</x:f>
        <x:v>0.053223</x:v>
      </x:c>
      <x:c r="V175" s="56" t="n">
        <x:f>T175*'Assumptions'!$B$6</x:f>
        <x:v>0.053223</x:v>
      </x:c>
      <x:c r="W175" s="56" t="n">
        <x:f>V175-U175</x:f>
        <x:v>0</x:v>
      </x:c>
      <x:c r="X175" s="58" t="n">
        <x:f>X174*(1+U175)</x:f>
        <x:v>11554.765386014344</x:v>
      </x:c>
      <x:c r="Y175" s="58" t="n">
        <x:f>MAX(Y174,X175)</x:f>
        <x:v>20113.53610204719</x:v>
      </x:c>
      <x:c r="Z175" s="59" t="n">
        <x:f>X175/Y175-1</x:f>
        <x:v>-0.4255229250893243</x:v>
      </x:c>
      <x:c r="AA175" s="58" t="n">
        <x:f>AA174*(1+V175)</x:f>
        <x:v>86556.74820259298</x:v>
      </x:c>
      <x:c r="AB175" s="58" t="n">
        <x:f>MAX(AB174,AA175)</x:f>
        <x:v>86556.74820259298</x:v>
      </x:c>
      <x:c r="AC175" s="59" t="n">
        <x:f>AA175/AB175-1</x:f>
        <x:v>0</x:v>
      </x:c>
      <x:c r="AD175" s="60" t="n">
        <x:f>AA175-X175</x:f>
        <x:v>75001.98281657863</x:v>
      </x:c>
      <x:c r="AE175" s="28" t="str">
        <x:v>Baseline trade unchanged.</x:v>
      </x:c>
    </x:row>
    <x:row r="176" ht="18" customHeight="1">
      <x:c r="A176" s="23" t="n">
        <x:v>172</x:v>
      </x:c>
      <x:c r="B176" s="53" t="n">
        <x:v>44417</x:v>
      </x:c>
      <x:c r="C176" s="53" t="n">
        <x:v>44419</x:v>
      </x:c>
      <x:c r="D176" s="23" t="str">
        <x:v>BEPRE</x:v>
      </x:c>
      <x:c r="E176" s="54" t="n">
        <x:v>15123.189</x:v>
      </x:c>
      <x:c r="F176" s="54" t="n">
        <x:v>15079.547</x:v>
      </x:c>
      <x:c r="G176" s="55" t="n">
        <x:v>-0.00288</x:v>
      </x:c>
      <x:c r="H176" s="56" t="n">
        <x:f>SUM(T173:T175)</x:f>
        <x:v>0.04032</x:v>
      </x:c>
      <x:c r="I176" s="57" t="b">
        <x:f>AND(A176&gt;3,H176&lt;='Assumptions'!$B$7)</x:f>
        <x:v>0</x:v>
      </x:c>
      <x:c r="J176" s="55" t="n">
        <x:v>0.001069700733347334</x:v>
      </x:c>
      <x:c r="K176" s="55" t="n">
        <x:v>0.01951064577968853</x:v>
      </x:c>
      <x:c r="L176" s="55" t="n">
        <x:v>0.0033017345928325614</x:v>
      </x:c>
      <x:c r="M176" s="57" t="b">
        <x:f>J176&gt;='Assumptions'!$B$8</x:f>
        <x:v>0</x:v>
      </x:c>
      <x:c r="N176" s="57" t="b">
        <x:f>AND(K176&lt;&gt;"",K176&lt;='Assumptions'!$B$9)</x:f>
        <x:v>0</x:v>
      </x:c>
      <x:c r="O176" s="57" t="b">
        <x:f>AND(P176&lt;&gt;"",ABS(L176)&lt;='Assumptions'!$B$10)</x:f>
        <x:v>1</x:v>
      </x:c>
      <x:c r="P176" s="53" t="n">
        <x:v>44418</x:v>
      </x:c>
      <x:c r="Q176" s="54" t="n">
        <x:v>15154.357</x:v>
      </x:c>
      <x:c r="R176" s="55" t="n">
        <x:v>-0.00493</x:v>
      </x:c>
      <x:c r="S176" s="57" t="str">
        <x:f>IF(I176,"DAMAGE SKIP",IF(AND(M176,N176),IF(O176,"TUESDAY RE-ENTRY","GAP/MOM SKIP"),"BASELINE"))</x:f>
        <x:v>BASELINE</x:v>
      </x:c>
      <x:c r="T176" s="56" t="n">
        <x:f>IF(I176,0,IF(AND(M176,N176),IF(O176,R176,0),G176))</x:f>
        <x:v>-0.00288</x:v>
      </x:c>
      <x:c r="U176" s="56" t="n">
        <x:f>G176*'Assumptions'!$B$6</x:f>
        <x:v>-0.032544000000000003</x:v>
      </x:c>
      <x:c r="V176" s="56" t="n">
        <x:f>T176*'Assumptions'!$B$6</x:f>
        <x:v>-0.032544000000000003</x:v>
      </x:c>
      <x:c r="W176" s="56" t="n">
        <x:f>V176-U176</x:f>
        <x:v>0</x:v>
      </x:c>
      <x:c r="X176" s="58" t="n">
        <x:f>X175*(1+U176)</x:f>
        <x:v>11178.727101291892</x:v>
      </x:c>
      <x:c r="Y176" s="58" t="n">
        <x:f>MAX(Y175,X176)</x:f>
        <x:v>20113.53610204719</x:v>
      </x:c>
      <x:c r="Z176" s="59" t="n">
        <x:f>X176/Y176-1</x:f>
        <x:v>-0.4442187070152174</x:v>
      </x:c>
      <x:c r="AA176" s="58" t="n">
        <x:f>AA175*(1+V176)</x:f>
        <x:v>83739.84538908779</x:v>
      </x:c>
      <x:c r="AB176" s="58" t="n">
        <x:f>MAX(AB175,AA176)</x:f>
        <x:v>86556.74820259298</x:v>
      </x:c>
      <x:c r="AC176" s="59" t="n">
        <x:f>AA176/AB176-1</x:f>
        <x:v>-0.03254400000000002</x:v>
      </x:c>
      <x:c r="AD176" s="60" t="n">
        <x:f>AA176-X176</x:f>
        <x:v>72561.11828779589</x:v>
      </x:c>
      <x:c r="AE176" s="28" t="str">
        <x:v>Baseline trade unchanged.</x:v>
      </x:c>
    </x:row>
    <x:row r="177" ht="18" customHeight="1">
      <x:c r="A177" s="23" t="n">
        <x:v>173</x:v>
      </x:c>
      <x:c r="B177" s="53" t="n">
        <x:v>44424</x:v>
      </x:c>
      <x:c r="C177" s="53" t="n">
        <x:v>44426</x:v>
      </x:c>
      <x:c r="D177" s="23" t="str">
        <x:v>BEPRE</x:v>
      </x:c>
      <x:c r="E177" s="54" t="n">
        <x:v>15087.579</x:v>
      </x:c>
      <x:c r="F177" s="54" t="n">
        <x:v>15027.337</x:v>
      </x:c>
      <x:c r="G177" s="55" t="n">
        <x:v>-0.00399</x:v>
      </x:c>
      <x:c r="H177" s="56" t="n">
        <x:f>SUM(T174:T176)</x:f>
        <x:v>-0.0019900000000000004</x:v>
      </x:c>
      <x:c r="I177" s="57" t="b">
        <x:f>AND(A177&gt;3,H177&lt;='Assumptions'!$B$7)</x:f>
        <x:v>0</x:v>
      </x:c>
      <x:c r="J177" s="55" t="n">
        <x:v>-0.0029368189400238442</x:v>
      </x:c>
      <x:c r="K177" s="55" t="n">
        <x:v>0.031370865003363724</x:v>
      </x:c>
      <x:c r="L177" s="55" t="n">
        <x:v>-0.007261361838434621</x:v>
      </x:c>
      <x:c r="M177" s="57" t="b">
        <x:f>J177&gt;='Assumptions'!$B$8</x:f>
        <x:v>0</x:v>
      </x:c>
      <x:c r="N177" s="57" t="b">
        <x:f>AND(K177&lt;&gt;"",K177&lt;='Assumptions'!$B$9)</x:f>
        <x:v>0</x:v>
      </x:c>
      <x:c r="O177" s="57" t="b">
        <x:f>AND(P177&lt;&gt;"",ABS(L177)&lt;='Assumptions'!$B$10)</x:f>
        <x:v>0</x:v>
      </x:c>
      <x:c r="P177" s="53" t="n">
        <x:v>44425</x:v>
      </x:c>
      <x:c r="Q177" s="54" t="n">
        <x:v>15022.597</x:v>
      </x:c>
      <x:c r="R177" s="55" t="n">
        <x:v>0.00031</x:v>
      </x:c>
      <x:c r="S177" s="57" t="str">
        <x:f>IF(I177,"DAMAGE SKIP",IF(AND(M177,N177),IF(O177,"TUESDAY RE-ENTRY","GAP/MOM SKIP"),"BASELINE"))</x:f>
        <x:v>BASELINE</x:v>
      </x:c>
      <x:c r="T177" s="56" t="n">
        <x:f>IF(I177,0,IF(AND(M177,N177),IF(O177,R177,0),G177))</x:f>
        <x:v>-0.00399</x:v>
      </x:c>
      <x:c r="U177" s="56" t="n">
        <x:f>G177*'Assumptions'!$B$6</x:f>
        <x:v>-0.045086999999999995</x:v>
      </x:c>
      <x:c r="V177" s="56" t="n">
        <x:f>T177*'Assumptions'!$B$6</x:f>
        <x:v>-0.045086999999999995</x:v>
      </x:c>
      <x:c r="W177" s="56" t="n">
        <x:f>V177-U177</x:f>
        <x:v>0</x:v>
      </x:c>
      <x:c r="X177" s="58" t="n">
        <x:f>X176*(1+U177)</x:f>
        <x:v>10674.711832475945</x:v>
      </x:c>
      <x:c r="Y177" s="58" t="n">
        <x:f>MAX(Y176,X177)</x:f>
        <x:v>20113.53610204719</x:v>
      </x:c>
      <x:c r="Z177" s="59" t="n">
        <x:f>X177/Y177-1</x:f>
        <x:v>-0.4692772181720223</x:v>
      </x:c>
      <x:c r="AA177" s="58" t="n">
        <x:f>AA176*(1+V177)</x:f>
        <x:v>79964.26698002999</x:v>
      </x:c>
      <x:c r="AB177" s="58" t="n">
        <x:f>MAX(AB176,AA177)</x:f>
        <x:v>86556.74820259298</x:v>
      </x:c>
      <x:c r="AC177" s="59" t="n">
        <x:f>AA177/AB177-1</x:f>
        <x:v>-0.07616368867199996</x:v>
      </x:c>
      <x:c r="AD177" s="60" t="n">
        <x:f>AA177-X177</x:f>
        <x:v>69289.55514755404</x:v>
      </x:c>
      <x:c r="AE177" s="28" t="str">
        <x:v>Baseline trade unchanged.</x:v>
      </x:c>
    </x:row>
    <x:row r="178" ht="18" customHeight="1">
      <x:c r="A178" s="23" t="n">
        <x:v>174</x:v>
      </x:c>
      <x:c r="B178" s="53" t="n">
        <x:v>44431</x:v>
      </x:c>
      <x:c r="C178" s="53" t="n">
        <x:v>44431</x:v>
      </x:c>
      <x:c r="D178" s="23" t="str">
        <x:v>CH</x:v>
      </x:c>
      <x:c r="E178" s="54" t="n">
        <x:v>15125.769</x:v>
      </x:c>
      <x:c r="F178" s="54" t="n">
        <x:v>15314.099</x:v>
      </x:c>
      <x:c r="G178" s="55" t="n">
        <x:v>0.01245</x:v>
      </x:c>
      <x:c r="H178" s="56" t="n">
        <x:f>SUM(T175:T177)</x:f>
        <x:v>-0.00216</x:v>
      </x:c>
      <x:c r="I178" s="57" t="b">
        <x:f>AND(A178&gt;3,H178&lt;='Assumptions'!$B$7)</x:f>
        <x:v>0</x:v>
      </x:c>
      <x:c r="J178" s="55" t="n">
        <x:v>0.0026820796312492234</x:v>
      </x:c>
      <x:c r="K178" s="55" t="n">
        <x:v>-0.0012706621623500558</x:v>
      </x:c>
      <x:c r="L178" s="55" t="n">
        <x:v>0.01658695204316296</x:v>
      </x:c>
      <x:c r="M178" s="57" t="b">
        <x:f>J178&gt;='Assumptions'!$B$8</x:f>
        <x:v>0</x:v>
      </x:c>
      <x:c r="N178" s="57" t="b">
        <x:f>AND(K178&lt;&gt;"",K178&lt;='Assumptions'!$B$9)</x:f>
        <x:v>0</x:v>
      </x:c>
      <x:c r="O178" s="57" t="b">
        <x:f>AND(P178&lt;&gt;"",ABS(L178)&lt;='Assumptions'!$B$10)</x:f>
        <x:v>0</x:v>
      </x:c>
      <x:c r="P178" s="53" t="n">
        <x:v>44432</x:v>
      </x:c>
      <x:c r="Q178" s="54" t="n">
        <x:v>15335.047</x:v>
      </x:c>
      <x:c r="R178" s="55" t="n">
        <x:v>-0.00136</x:v>
      </x:c>
      <x:c r="S178" s="57" t="str">
        <x:f>IF(I178,"DAMAGE SKIP",IF(AND(M178,N178),IF(O178,"TUESDAY RE-ENTRY","GAP/MOM SKIP"),"BASELINE"))</x:f>
        <x:v>BASELINE</x:v>
      </x:c>
      <x:c r="T178" s="56" t="n">
        <x:f>IF(I178,0,IF(AND(M178,N178),IF(O178,R178,0),G178))</x:f>
        <x:v>0.01245</x:v>
      </x:c>
      <x:c r="U178" s="56" t="n">
        <x:f>G178*'Assumptions'!$B$6</x:f>
        <x:v>0.140685</x:v>
      </x:c>
      <x:c r="V178" s="56" t="n">
        <x:f>T178*'Assumptions'!$B$6</x:f>
        <x:v>0.140685</x:v>
      </x:c>
      <x:c r="W178" s="56" t="n">
        <x:f>V178-U178</x:f>
        <x:v>0</x:v>
      </x:c>
      <x:c r="X178" s="58" t="n">
        <x:f>X177*(1+U178)</x:f>
        <x:v>12176.483666627822</x:v>
      </x:c>
      <x:c r="Y178" s="58" t="n">
        <x:f>MAX(Y177,X178)</x:f>
        <x:v>20113.53610204719</x:v>
      </x:c>
      <x:c r="Z178" s="59" t="n">
        <x:f>X178/Y178-1</x:f>
        <x:v>-0.39461248361055323</x:v>
      </x:c>
      <x:c r="AA178" s="58" t="n">
        <x:f>AA177*(1+V178)</x:f>
        <x:v>91214.03988011551</x:v>
      </x:c>
      <x:c r="AB178" s="58" t="n">
        <x:f>MAX(AB177,AA178)</x:f>
        <x:v>91214.03988011551</x:v>
      </x:c>
      <x:c r="AC178" s="59" t="n">
        <x:f>AA178/AB178-1</x:f>
        <x:v>0</x:v>
      </x:c>
      <x:c r="AD178" s="60" t="n">
        <x:f>AA178-X178</x:f>
        <x:v>79037.55621348768</x:v>
      </x:c>
      <x:c r="AE178" s="28" t="str">
        <x:v>Baseline trade unchanged.</x:v>
      </x:c>
    </x:row>
    <x:row r="179" ht="18" customHeight="1">
      <x:c r="A179" s="23" t="n">
        <x:v>175</x:v>
      </x:c>
      <x:c r="B179" s="53" t="n">
        <x:v>44438</x:v>
      </x:c>
      <x:c r="C179" s="53" t="n">
        <x:v>44438</x:v>
      </x:c>
      <x:c r="D179" s="23" t="str">
        <x:v>CH</x:v>
      </x:c>
      <x:c r="E179" s="54" t="n">
        <x:v>15456.927</x:v>
      </x:c>
      <x:c r="F179" s="54" t="n">
        <x:v>15601.859</x:v>
      </x:c>
      <x:c r="G179" s="55" t="n">
        <x:v>0.00937</x:v>
      </x:c>
      <x:c r="H179" s="56" t="n">
        <x:f>SUM(T176:T178)</x:f>
        <x:v>0.00558</x:v>
      </x:c>
      <x:c r="I179" s="57" t="b">
        <x:f>AND(A179&gt;3,H179&lt;='Assumptions'!$B$7)</x:f>
        <x:v>0</x:v>
      </x:c>
      <x:c r="J179" s="55" t="n">
        <x:v>0.0018003585291710422</x:v>
      </x:c>
      <x:c r="K179" s="55" t="n">
        <x:v>0.03143910568717567</x:v>
      </x:c>
      <x:c r="L179" s="55" t="n">
        <x:v>0.011902655228646974</x:v>
      </x:c>
      <x:c r="M179" s="57" t="b">
        <x:f>J179&gt;='Assumptions'!$B$8</x:f>
        <x:v>0</x:v>
      </x:c>
      <x:c r="N179" s="57" t="b">
        <x:f>AND(K179&lt;&gt;"",K179&lt;='Assumptions'!$B$9)</x:f>
        <x:v>0</x:v>
      </x:c>
      <x:c r="O179" s="57" t="b">
        <x:f>AND(P179&lt;&gt;"",ABS(L179)&lt;='Assumptions'!$B$10)</x:f>
        <x:v>0</x:v>
      </x:c>
      <x:c r="P179" s="53" t="n">
        <x:v>44439</x:v>
      </x:c>
      <x:c r="Q179" s="54" t="n">
        <x:v>15609.109</x:v>
      </x:c>
      <x:c r="R179" s="55" t="n">
        <x:v>-0.00046</x:v>
      </x:c>
      <x:c r="S179" s="57" t="str">
        <x:f>IF(I179,"DAMAGE SKIP",IF(AND(M179,N179),IF(O179,"TUESDAY RE-ENTRY","GAP/MOM SKIP"),"BASELINE"))</x:f>
        <x:v>BASELINE</x:v>
      </x:c>
      <x:c r="T179" s="56" t="n">
        <x:f>IF(I179,0,IF(AND(M179,N179),IF(O179,R179,0),G179))</x:f>
        <x:v>0.00937</x:v>
      </x:c>
      <x:c r="U179" s="56" t="n">
        <x:f>G179*'Assumptions'!$B$6</x:f>
        <x:v>0.105881</x:v>
      </x:c>
      <x:c r="V179" s="56" t="n">
        <x:f>T179*'Assumptions'!$B$6</x:f>
        <x:v>0.105881</x:v>
      </x:c>
      <x:c r="W179" s="56" t="n">
        <x:f>V179-U179</x:f>
        <x:v>0</x:v>
      </x:c>
      <x:c r="X179" s="58" t="n">
        <x:f>X178*(1+U179)</x:f>
        <x:v>13465.741933734043</x:v>
      </x:c>
      <x:c r="Y179" s="58" t="n">
        <x:f>MAX(Y178,X179)</x:f>
        <x:v>20113.53610204719</x:v>
      </x:c>
      <x:c r="Z179" s="59" t="n">
        <x:f>X179/Y179-1</x:f>
        <x:v>-0.3305134479877222</x:v>
      </x:c>
      <x:c r="AA179" s="58" t="n">
        <x:f>AA178*(1+V179)</x:f>
        <x:v>100871.87363666203</x:v>
      </x:c>
      <x:c r="AB179" s="58" t="n">
        <x:f>MAX(AB178,AA179)</x:f>
        <x:v>100871.87363666203</x:v>
      </x:c>
      <x:c r="AC179" s="59" t="n">
        <x:f>AA179/AB179-1</x:f>
        <x:v>0</x:v>
      </x:c>
      <x:c r="AD179" s="60" t="n">
        <x:f>AA179-X179</x:f>
        <x:v>87406.13170292799</x:v>
      </x:c>
      <x:c r="AE179" s="28" t="str">
        <x:v>Baseline trade unchanged.</x:v>
      </x:c>
    </x:row>
    <x:row r="180" ht="18" customHeight="1">
      <x:c r="A180" s="23" t="n">
        <x:v>176</x:v>
      </x:c>
      <x:c r="B180" s="53" t="n">
        <x:v>44446</x:v>
      </x:c>
      <x:c r="C180" s="53" t="n">
        <x:v>44448</x:v>
      </x:c>
      <x:c r="D180" s="23" t="str">
        <x:v>TSL1PRE</x:v>
      </x:c>
      <x:c r="E180" s="54" t="n">
        <x:v>15653.789</x:v>
      </x:c>
      <x:c r="F180" s="54" t="n">
        <x:v>15585.369</x:v>
      </x:c>
      <x:c r="G180" s="55" t="n">
        <x:v>-0.00437</x:v>
      </x:c>
      <x:c r="H180" s="56" t="n">
        <x:f>SUM(T177:T179)</x:f>
        <x:v>0.01783</x:v>
      </x:c>
      <x:c r="I180" s="57" t="b">
        <x:f>AND(A180&gt;3,H180&lt;='Assumptions'!$B$7)</x:f>
        <x:v>0</x:v>
      </x:c>
      <x:c r="J180" s="55" t="n">
        <x:v>0.00045888537254312745</x:v>
      </x:c>
      <x:c r="K180" s="55" t="n">
        <x:v>0.036708501618879064</x:v>
      </x:c>
      <x:c r="L180" s="55"/>
      <x:c r="M180" s="57" t="b">
        <x:f>J180&gt;='Assumptions'!$B$8</x:f>
        <x:v>0</x:v>
      </x:c>
      <x:c r="N180" s="57" t="b">
        <x:f>AND(K180&lt;&gt;"",K180&lt;='Assumptions'!$B$9)</x:f>
        <x:v>0</x:v>
      </x:c>
      <x:c r="O180" s="57" t="b">
        <x:f>AND(P180&lt;&gt;"",ABS(L180)&lt;='Assumptions'!$B$10)</x:f>
        <x:v>0</x:v>
      </x:c>
      <x:c r="P180" s="53"/>
      <x:c r="Q180" s="54"/>
      <x:c r="R180" s="55"/>
      <x:c r="S180" s="57" t="str">
        <x:f>IF(I180,"DAMAGE SKIP",IF(AND(M180,N180),IF(O180,"TUESDAY RE-ENTRY","GAP/MOM SKIP"),"BASELINE"))</x:f>
        <x:v>BASELINE</x:v>
      </x:c>
      <x:c r="T180" s="56" t="n">
        <x:f>IF(I180,0,IF(AND(M180,N180),IF(O180,R180,0),G180))</x:f>
        <x:v>-0.00437</x:v>
      </x:c>
      <x:c r="U180" s="56" t="n">
        <x:f>G180*'Assumptions'!$B$6</x:f>
        <x:v>-0.049381</x:v>
      </x:c>
      <x:c r="V180" s="56" t="n">
        <x:f>T180*'Assumptions'!$B$6</x:f>
        <x:v>-0.049381</x:v>
      </x:c>
      <x:c r="W180" s="56" t="n">
        <x:f>V180-U180</x:f>
        <x:v>0</x:v>
      </x:c>
      <x:c r="X180" s="58" t="n">
        <x:f>X179*(1+U180)</x:f>
        <x:v>12800.790131304322</x:v>
      </x:c>
      <x:c r="Y180" s="58" t="n">
        <x:f>MAX(Y179,X180)</x:f>
        <x:v>20113.53610204719</x:v>
      </x:c>
      <x:c r="Z180" s="59" t="n">
        <x:f>X180/Y180-1</x:f>
        <x:v>-0.36357336341264046</x:v>
      </x:c>
      <x:c r="AA180" s="58" t="n">
        <x:f>AA179*(1+V180)</x:f>
        <x:v>95890.71964461001</x:v>
      </x:c>
      <x:c r="AB180" s="58" t="n">
        <x:f>MAX(AB179,AA180)</x:f>
        <x:v>100871.87363666203</x:v>
      </x:c>
      <x:c r="AC180" s="59" t="n">
        <x:f>AA180/AB180-1</x:f>
        <x:v>-0.04938100000000012</x:v>
      </x:c>
      <x:c r="AD180" s="60" t="n">
        <x:f>AA180-X180</x:f>
        <x:v>83089.92951330569</x:v>
      </x:c>
      <x:c r="AE180" s="28" t="str">
        <x:v>Baseline trade unchanged.</x:v>
      </x:c>
    </x:row>
    <x:row r="181" ht="18" customHeight="1">
      <x:c r="A181" s="23" t="n">
        <x:v>177</x:v>
      </x:c>
      <x:c r="B181" s="53" t="n">
        <x:v>44452</x:v>
      </x:c>
      <x:c r="C181" s="53" t="n">
        <x:v>44454</x:v>
      </x:c>
      <x:c r="D181" s="23" t="str">
        <x:v>BH</x:v>
      </x:c>
      <x:c r="E181" s="54" t="n">
        <x:v>15545.797</x:v>
      </x:c>
      <x:c r="F181" s="54" t="n">
        <x:v>15483.613812</x:v>
      </x:c>
      <x:c r="G181" s="55" t="n">
        <x:v>-0.004</x:v>
      </x:c>
      <x:c r="H181" s="56" t="n">
        <x:f>SUM(T178:T180)</x:f>
        <x:v>0.01745</x:v>
      </x:c>
      <x:c r="I181" s="57" t="b">
        <x:f>AND(A181&gt;3,H181&lt;='Assumptions'!$B$7)</x:f>
        <x:v>0</x:v>
      </x:c>
      <x:c r="J181" s="55" t="n">
        <x:v>0.005919251440325679</x:v>
      </x:c>
      <x:c r="K181" s="55" t="n">
        <x:v>0.024665875575908602</x:v>
      </x:c>
      <x:c r="L181" s="55" t="n">
        <x:v>0.003384504136163091</x:v>
      </x:c>
      <x:c r="M181" s="57" t="b">
        <x:f>J181&gt;='Assumptions'!$B$8</x:f>
        <x:v>0</x:v>
      </x:c>
      <x:c r="N181" s="57" t="b">
        <x:f>AND(K181&lt;&gt;"",K181&lt;='Assumptions'!$B$9)</x:f>
        <x:v>0</x:v>
      </x:c>
      <x:c r="O181" s="57" t="b">
        <x:f>AND(P181&lt;&gt;"",ABS(L181)&lt;='Assumptions'!$B$10)</x:f>
        <x:v>1</x:v>
      </x:c>
      <x:c r="P181" s="53" t="n">
        <x:v>44453</x:v>
      </x:c>
      <x:c r="Q181" s="54" t="n">
        <x:v>15496.099</x:v>
      </x:c>
      <x:c r="R181" s="55" t="n">
        <x:v>-0.0008</x:v>
      </x:c>
      <x:c r="S181" s="57" t="str">
        <x:f>IF(I181,"DAMAGE SKIP",IF(AND(M181,N181),IF(O181,"TUESDAY RE-ENTRY","GAP/MOM SKIP"),"BASELINE"))</x:f>
        <x:v>BASELINE</x:v>
      </x:c>
      <x:c r="T181" s="56" t="n">
        <x:f>IF(I181,0,IF(AND(M181,N181),IF(O181,R181,0),G181))</x:f>
        <x:v>-0.004</x:v>
      </x:c>
      <x:c r="U181" s="56" t="n">
        <x:f>G181*'Assumptions'!$B$6</x:f>
        <x:v>-0.045200000000000004</x:v>
      </x:c>
      <x:c r="V181" s="56" t="n">
        <x:f>T181*'Assumptions'!$B$6</x:f>
        <x:v>-0.045200000000000004</x:v>
      </x:c>
      <x:c r="W181" s="56" t="n">
        <x:f>V181-U181</x:f>
        <x:v>0</x:v>
      </x:c>
      <x:c r="X181" s="58" t="n">
        <x:f>X180*(1+U181)</x:f>
        <x:v>12222.194417369366</x:v>
      </x:c>
      <x:c r="Y181" s="58" t="n">
        <x:f>MAX(Y180,X181)</x:f>
        <x:v>20113.53610204719</x:v>
      </x:c>
      <x:c r="Z181" s="59" t="n">
        <x:f>X181/Y181-1</x:f>
        <x:v>-0.39233984738638916</x:v>
      </x:c>
      <x:c r="AA181" s="58" t="n">
        <x:f>AA180*(1+V181)</x:f>
        <x:v>91556.45911667364</x:v>
      </x:c>
      <x:c r="AB181" s="58" t="n">
        <x:f>MAX(AB180,AA181)</x:f>
        <x:v>100871.87363666203</x:v>
      </x:c>
      <x:c r="AC181" s="59" t="n">
        <x:f>AA181/AB181-1</x:f>
        <x:v>-0.09234897880000015</x:v>
      </x:c>
      <x:c r="AD181" s="60" t="n">
        <x:f>AA181-X181</x:f>
        <x:v>79334.26469930427</x:v>
      </x:c>
      <x:c r="AE181" s="28" t="str">
        <x:v>Baseline trade unchanged.</x:v>
      </x:c>
    </x:row>
    <x:row r="182" ht="18" customHeight="1">
      <x:c r="A182" s="23" t="n">
        <x:v>178</x:v>
      </x:c>
      <x:c r="B182" s="53" t="n">
        <x:v>44459</x:v>
      </x:c>
      <x:c r="C182" s="53" t="n">
        <x:v>44463</x:v>
      </x:c>
      <x:c r="D182" s="23" t="str">
        <x:v>TO</x:v>
      </x:c>
      <x:c r="E182" s="54" t="n">
        <x:v>15086.819</x:v>
      </x:c>
      <x:c r="F182" s="54" t="n">
        <x:v>15334.619</x:v>
      </x:c>
      <x:c r="G182" s="55" t="n">
        <x:v>0.01642</x:v>
      </x:c>
      <x:c r="H182" s="56" t="n">
        <x:f>SUM(T179:T181)</x:f>
        <x:v>0.001</x:v>
      </x:c>
      <x:c r="I182" s="57" t="b">
        <x:f>AND(A182&gt;3,H182&lt;='Assumptions'!$B$7)</x:f>
        <x:v>0</x:v>
      </x:c>
      <x:c r="J182" s="55" t="n">
        <x:v>-0.015189129103289178</x:v>
      </x:c>
      <x:c r="K182" s="55" t="n">
        <x:v>0.02707583258325852</x:v>
      </x:c>
      <x:c r="L182" s="55" t="n">
        <x:v>-0.01562936469247911</x:v>
      </x:c>
      <x:c r="M182" s="57" t="b">
        <x:f>J182&gt;='Assumptions'!$B$8</x:f>
        <x:v>0</x:v>
      </x:c>
      <x:c r="N182" s="57" t="b">
        <x:f>AND(K182&lt;&gt;"",K182&lt;='Assumptions'!$B$9)</x:f>
        <x:v>0</x:v>
      </x:c>
      <x:c r="O182" s="57" t="b">
        <x:f>AND(P182&lt;&gt;"",ABS(L182)&lt;='Assumptions'!$B$10)</x:f>
        <x:v>0</x:v>
      </x:c>
      <x:c r="P182" s="53" t="n">
        <x:v>44460</x:v>
      </x:c>
      <x:c r="Q182" s="54" t="n">
        <x:v>15090.097</x:v>
      </x:c>
      <x:c r="R182" s="55" t="n">
        <x:v>0.0162</x:v>
      </x:c>
      <x:c r="S182" s="57" t="str">
        <x:f>IF(I182,"DAMAGE SKIP",IF(AND(M182,N182),IF(O182,"TUESDAY RE-ENTRY","GAP/MOM SKIP"),"BASELINE"))</x:f>
        <x:v>BASELINE</x:v>
      </x:c>
      <x:c r="T182" s="56" t="n">
        <x:f>IF(I182,0,IF(AND(M182,N182),IF(O182,R182,0),G182))</x:f>
        <x:v>0.01642</x:v>
      </x:c>
      <x:c r="U182" s="56" t="n">
        <x:f>G182*'Assumptions'!$B$6</x:f>
        <x:v>0.18554600000000002</x:v>
      </x:c>
      <x:c r="V182" s="56" t="n">
        <x:f>T182*'Assumptions'!$B$6</x:f>
        <x:v>0.18554600000000002</x:v>
      </x:c>
      <x:c r="W182" s="56" t="n">
        <x:f>V182-U182</x:f>
        <x:v>0</x:v>
      </x:c>
      <x:c r="X182" s="58" t="n">
        <x:f>X181*(1+U182)</x:f>
        <x:v>14489.973702734584</x:v>
      </x:c>
      <x:c r="Y182" s="58" t="n">
        <x:f>MAX(Y181,X182)</x:f>
        <x:v>20113.53610204719</x:v>
      </x:c>
      <x:c r="Z182" s="59" t="n">
        <x:f>X182/Y182-1</x:f>
        <x:v>-0.27959093670954416</x:v>
      </x:c>
      <x:c r="AA182" s="58" t="n">
        <x:f>AA181*(1+V182)</x:f>
        <x:v>108544.39387993596</x:v>
      </x:c>
      <x:c r="AB182" s="58" t="n">
        <x:f>MAX(AB181,AA182)</x:f>
        <x:v>108544.39387993596</x:v>
      </x:c>
      <x:c r="AC182" s="59" t="n">
        <x:f>AA182/AB182-1</x:f>
        <x:v>0</x:v>
      </x:c>
      <x:c r="AD182" s="60" t="n">
        <x:f>AA182-X182</x:f>
        <x:v>94054.42017720138</x:v>
      </x:c>
      <x:c r="AE182" s="28" t="str">
        <x:v>Baseline trade unchanged.</x:v>
      </x:c>
    </x:row>
    <x:row r="183" ht="18" customHeight="1">
      <x:c r="A183" s="23" t="n">
        <x:v>179</x:v>
      </x:c>
      <x:c r="B183" s="53" t="n">
        <x:v>44466</x:v>
      </x:c>
      <x:c r="C183" s="53" t="n">
        <x:v>44469</x:v>
      </x:c>
      <x:c r="D183" s="23" t="str">
        <x:v>TSL1PRE</x:v>
      </x:c>
      <x:c r="E183" s="54" t="n">
        <x:v>15198.497</x:v>
      </x:c>
      <x:c r="F183" s="54" t="n">
        <x:v>14784.009</x:v>
      </x:c>
      <x:c r="G183" s="55" t="n">
        <x:v>-0.02727</x:v>
      </x:c>
      <x:c r="H183" s="56" t="n">
        <x:f>SUM(T180:T182)</x:f>
        <x:v>0.008050000000000002</x:v>
      </x:c>
      <x:c r="I183" s="57" t="b">
        <x:f>AND(A183&gt;3,H183&lt;='Assumptions'!$B$7)</x:f>
        <x:v>0</x:v>
      </x:c>
      <x:c r="J183" s="55" t="n">
        <x:v>-0.008876777440639416</x:v>
      </x:c>
      <x:c r="K183" s="55" t="n">
        <x:v>0.0035048174058853743</x:v>
      </x:c>
      <x:c r="L183" s="55" t="n">
        <x:v>-0.02052265381033258</x:v>
      </x:c>
      <x:c r="M183" s="57" t="b">
        <x:f>J183&gt;='Assumptions'!$B$8</x:f>
        <x:v>0</x:v>
      </x:c>
      <x:c r="N183" s="57" t="b">
        <x:f>AND(K183&lt;&gt;"",K183&lt;='Assumptions'!$B$9)</x:f>
        <x:v>0</x:v>
      </x:c>
      <x:c r="O183" s="57" t="b">
        <x:f>AND(P183&lt;&gt;"",ABS(L183)&lt;='Assumptions'!$B$10)</x:f>
        <x:v>0</x:v>
      </x:c>
      <x:c r="P183" s="53" t="n">
        <x:v>44467</x:v>
      </x:c>
      <x:c r="Q183" s="54" t="n">
        <x:v>15012.089</x:v>
      </x:c>
      <x:c r="R183" s="55" t="n">
        <x:v>-0.01519</x:v>
      </x:c>
      <x:c r="S183" s="57" t="str">
        <x:f>IF(I183,"DAMAGE SKIP",IF(AND(M183,N183),IF(O183,"TUESDAY RE-ENTRY","GAP/MOM SKIP"),"BASELINE"))</x:f>
        <x:v>BASELINE</x:v>
      </x:c>
      <x:c r="T183" s="56" t="n">
        <x:f>IF(I183,0,IF(AND(M183,N183),IF(O183,R183,0),G183))</x:f>
        <x:v>-0.02727</x:v>
      </x:c>
      <x:c r="U183" s="56" t="n">
        <x:f>G183*'Assumptions'!$B$6</x:f>
        <x:v>-0.308151</x:v>
      </x:c>
      <x:c r="V183" s="56" t="n">
        <x:f>T183*'Assumptions'!$B$6</x:f>
        <x:v>-0.308151</x:v>
      </x:c>
      <x:c r="W183" s="56" t="n">
        <x:f>V183-U183</x:f>
        <x:v>0</x:v>
      </x:c>
      <x:c r="X183" s="58" t="n">
        <x:f>X182*(1+U183)</x:f>
        <x:v>10024.873816263218</x:v>
      </x:c>
      <x:c r="Y183" s="58" t="n">
        <x:f>MAX(Y182,X183)</x:f>
        <x:v>20113.53610204719</x:v>
      </x:c>
      <x:c r="Z183" s="59" t="n">
        <x:f>X183/Y183-1</x:f>
        <x:v>-0.5015857099715615</x:v>
      </x:c>
      <x:c r="AA183" s="58" t="n">
        <x:f>AA182*(1+V183)</x:f>
        <x:v>75096.3303614398</x:v>
      </x:c>
      <x:c r="AB183" s="58" t="n">
        <x:f>MAX(AB182,AA183)</x:f>
        <x:v>108544.39387993596</x:v>
      </x:c>
      <x:c r="AC183" s="59" t="n">
        <x:f>AA183/AB183-1</x:f>
        <x:v>-0.30815100000000006</x:v>
      </x:c>
      <x:c r="AD183" s="60" t="n">
        <x:f>AA183-X183</x:f>
        <x:v>65071.45654517658</x:v>
      </x:c>
      <x:c r="AE183" s="28" t="str">
        <x:v>Baseline trade unchanged.</x:v>
      </x:c>
    </x:row>
    <x:row r="184" ht="18" customHeight="1">
      <x:c r="A184" s="23" t="n">
        <x:v>180</x:v>
      </x:c>
      <x:c r="B184" s="53" t="n">
        <x:v>44473</x:v>
      </x:c>
      <x:c r="C184" s="53" t="n">
        <x:v>44477</x:v>
      </x:c>
      <x:c r="D184" s="23" t="str">
        <x:v>TO</x:v>
      </x:c>
      <x:c r="E184" s="54" t="n">
        <x:v>14714.219</x:v>
      </x:c>
      <x:c r="F184" s="54" t="n">
        <x:v>14820.209</x:v>
      </x:c>
      <x:c r="G184" s="55" t="n">
        <x:v>0.0072</x:v>
      </x:c>
      <x:c r="H184" s="56" t="n">
        <x:f>SUM(T181:T183)</x:f>
        <x:v>-0.014849999999999999</x:v>
      </x:c>
      <x:c r="I184" s="57" t="b">
        <x:f>AND(A184&gt;3,H184&lt;='Assumptions'!$B$7)</x:f>
        <x:v>0</x:v>
      </x:c>
      <x:c r="J184" s="55" t="n">
        <x:v>-0.004736124733914271</x:v>
      </x:c>
      <x:c r="K184" s="55" t="n">
        <x:v>-0.05212661743492586</x:v>
      </x:c>
      <x:c r="L184" s="55" t="n">
        <x:v>-0.01795535012080962</x:v>
      </x:c>
      <x:c r="M184" s="57" t="b">
        <x:f>J184&gt;='Assumptions'!$B$8</x:f>
        <x:v>0</x:v>
      </x:c>
      <x:c r="N184" s="57" t="b">
        <x:f>AND(K184&lt;&gt;"",K184&lt;='Assumptions'!$B$9)</x:f>
        <x:v>1</x:v>
      </x:c>
      <x:c r="O184" s="57" t="b">
        <x:f>AND(P184&lt;&gt;"",ABS(L184)&lt;='Assumptions'!$B$10)</x:f>
        <x:v>0</x:v>
      </x:c>
      <x:c r="P184" s="53" t="n">
        <x:v>44474</x:v>
      </x:c>
      <x:c r="Q184" s="54" t="n">
        <x:v>14517.389</x:v>
      </x:c>
      <x:c r="R184" s="55" t="n">
        <x:v>0.02085</x:v>
      </x:c>
      <x:c r="S184" s="57" t="str">
        <x:f>IF(I184,"DAMAGE SKIP",IF(AND(M184,N184),IF(O184,"TUESDAY RE-ENTRY","GAP/MOM SKIP"),"BASELINE"))</x:f>
        <x:v>BASELINE</x:v>
      </x:c>
      <x:c r="T184" s="56" t="n">
        <x:f>IF(I184,0,IF(AND(M184,N184),IF(O184,R184,0),G184))</x:f>
        <x:v>0.0072</x:v>
      </x:c>
      <x:c r="U184" s="56" t="n">
        <x:f>G184*'Assumptions'!$B$6</x:f>
        <x:v>0.08136</x:v>
      </x:c>
      <x:c r="V184" s="56" t="n">
        <x:f>T184*'Assumptions'!$B$6</x:f>
        <x:v>0.08136</x:v>
      </x:c>
      <x:c r="W184" s="56" t="n">
        <x:f>V184-U184</x:f>
        <x:v>0</x:v>
      </x:c>
      <x:c r="X184" s="58" t="n">
        <x:f>X183*(1+U184)</x:f>
        <x:v>10840.497549954394</x:v>
      </x:c>
      <x:c r="Y184" s="58" t="n">
        <x:f>MAX(Y183,X184)</x:f>
        <x:v>20113.53610204719</x:v>
      </x:c>
      <x:c r="Z184" s="59" t="n">
        <x:f>X184/Y184-1</x:f>
        <x:v>-0.46103472333484763</x:v>
      </x:c>
      <x:c r="AA184" s="58" t="n">
        <x:f>AA183*(1+V184)</x:f>
        <x:v>81206.16779964656</x:v>
      </x:c>
      <x:c r="AB184" s="58" t="n">
        <x:f>MAX(AB183,AA184)</x:f>
        <x:v>108544.39387993596</x:v>
      </x:c>
      <x:c r="AC184" s="59" t="n">
        <x:f>AA184/AB184-1</x:f>
        <x:v>-0.25186216535999995</x:v>
      </x:c>
      <x:c r="AD184" s="60" t="n">
        <x:f>AA184-X184</x:f>
        <x:v>70365.67024969216</x:v>
      </x:c>
      <x:c r="AE184" s="28" t="str">
        <x:v>Baseline trade unchanged.</x:v>
      </x:c>
    </x:row>
    <x:row r="185" ht="18" customHeight="1">
      <x:c r="A185" s="23" t="n">
        <x:v>181</x:v>
      </x:c>
      <x:c r="B185" s="53" t="n">
        <x:v>44480</x:v>
      </x:c>
      <x:c r="C185" s="53" t="n">
        <x:v>44482</x:v>
      </x:c>
      <x:c r="D185" s="23" t="str">
        <x:v>BEPRE</x:v>
      </x:c>
      <x:c r="E185" s="54" t="n">
        <x:v>14759.129</x:v>
      </x:c>
      <x:c r="F185" s="54" t="n">
        <x:v>14701.229</x:v>
      </x:c>
      <x:c r="G185" s="55" t="n">
        <x:v>-0.00392</x:v>
      </x:c>
      <x:c r="H185" s="56" t="n">
        <x:f>SUM(T182:T184)</x:f>
        <x:v>-0.0036499999999999987</x:v>
      </x:c>
      <x:c r="I185" s="57" t="b">
        <x:f>AND(A185&gt;3,H185&lt;='Assumptions'!$B$7)</x:f>
        <x:v>0</x:v>
      </x:c>
      <x:c r="J185" s="55" t="n">
        <x:v>-0.0041213993675797145</x:v>
      </x:c>
      <x:c r="K185" s="55" t="n">
        <x:v>-0.0399235564206355</x:v>
      </x:c>
      <x:c r="L185" s="55" t="n">
        <x:v>-0.003556391169050266</x:v>
      </x:c>
      <x:c r="M185" s="57" t="b">
        <x:f>J185&gt;='Assumptions'!$B$8</x:f>
        <x:v>0</x:v>
      </x:c>
      <x:c r="N185" s="57" t="b">
        <x:f>AND(K185&lt;&gt;"",K185&lt;='Assumptions'!$B$9)</x:f>
        <x:v>1</x:v>
      </x:c>
      <x:c r="O185" s="57" t="b">
        <x:f>AND(P185&lt;&gt;"",ABS(L185)&lt;='Assumptions'!$B$10)</x:f>
        <x:v>1</x:v>
      </x:c>
      <x:c r="P185" s="53" t="n">
        <x:v>44481</x:v>
      </x:c>
      <x:c r="Q185" s="54" t="n">
        <x:v>14771.409</x:v>
      </x:c>
      <x:c r="R185" s="55" t="n">
        <x:v>-0.00475</x:v>
      </x:c>
      <x:c r="S185" s="57" t="str">
        <x:f>IF(I185,"DAMAGE SKIP",IF(AND(M185,N185),IF(O185,"TUESDAY RE-ENTRY","GAP/MOM SKIP"),"BASELINE"))</x:f>
        <x:v>BASELINE</x:v>
      </x:c>
      <x:c r="T185" s="56" t="n">
        <x:f>IF(I185,0,IF(AND(M185,N185),IF(O185,R185,0),G185))</x:f>
        <x:v>-0.00392</x:v>
      </x:c>
      <x:c r="U185" s="56" t="n">
        <x:f>G185*'Assumptions'!$B$6</x:f>
        <x:v>-0.044296</x:v>
      </x:c>
      <x:c r="V185" s="56" t="n">
        <x:f>T185*'Assumptions'!$B$6</x:f>
        <x:v>-0.044296</x:v>
      </x:c>
      <x:c r="W185" s="56" t="n">
        <x:f>V185-U185</x:f>
        <x:v>0</x:v>
      </x:c>
      <x:c r="X185" s="58" t="n">
        <x:f>X184*(1+U185)</x:f>
        <x:v>10360.306870481614</x:v>
      </x:c>
      <x:c r="Y185" s="58" t="n">
        <x:f>MAX(Y184,X185)</x:f>
        <x:v>20113.53610204719</x:v>
      </x:c>
      <x:c r="Z185" s="59" t="n">
        <x:f>X185/Y185-1</x:f>
        <x:v>-0.4849087292300073</x:v>
      </x:c>
      <x:c r="AA185" s="58" t="n">
        <x:f>AA184*(1+V185)</x:f>
        <x:v>77609.05939079341</x:v>
      </x:c>
      <x:c r="AB185" s="58" t="n">
        <x:f>MAX(AB184,AA185)</x:f>
        <x:v>108544.39387993596</x:v>
      </x:c>
      <x:c r="AC185" s="59" t="n">
        <x:f>AA185/AB185-1</x:f>
        <x:v>-0.2850016788832135</x:v>
      </x:c>
      <x:c r="AD185" s="60" t="n">
        <x:f>AA185-X185</x:f>
        <x:v>67248.7525203118</x:v>
      </x:c>
      <x:c r="AE185" s="28" t="str">
        <x:v>Baseline trade unchanged.</x:v>
      </x:c>
    </x:row>
    <x:row r="186" ht="18" customHeight="1">
      <x:c r="A186" s="23" t="n">
        <x:v>182</x:v>
      </x:c>
      <x:c r="B186" s="53" t="n">
        <x:v>44487</x:v>
      </x:c>
      <x:c r="C186" s="53" t="n">
        <x:v>44487</x:v>
      </x:c>
      <x:c r="D186" s="23" t="str">
        <x:v>CH</x:v>
      </x:c>
      <x:c r="E186" s="54" t="n">
        <x:v>15089.809</x:v>
      </x:c>
      <x:c r="F186" s="54" t="n">
        <x:v>15303.509</x:v>
      </x:c>
      <x:c r="G186" s="55" t="n">
        <x:v>0.01416</x:v>
      </x:c>
      <x:c r="H186" s="56" t="n">
        <x:f>SUM(T183:T185)</x:f>
        <x:v>-0.023989999999999997</x:v>
      </x:c>
      <x:c r="I186" s="57" t="b">
        <x:f>AND(A186&gt;3,H186&lt;='Assumptions'!$B$7)</x:f>
        <x:v>1</x:v>
      </x:c>
      <x:c r="J186" s="55" t="n">
        <x:v>-0.003789476992098084</x:v>
      </x:c>
      <x:c r="K186" s="55" t="n">
        <x:v>-0.011970554244055909</x:v>
      </x:c>
      <x:c r="L186" s="55" t="n">
        <x:v>0.013008107546254699</x:v>
      </x:c>
      <x:c r="M186" s="57" t="b">
        <x:f>J186&gt;='Assumptions'!$B$8</x:f>
        <x:v>0</x:v>
      </x:c>
      <x:c r="N186" s="57" t="b">
        <x:f>AND(K186&lt;&gt;"",K186&lt;='Assumptions'!$B$9)</x:f>
        <x:v>1</x:v>
      </x:c>
      <x:c r="O186" s="57" t="b">
        <x:f>AND(P186&lt;&gt;"",ABS(L186)&lt;='Assumptions'!$B$10)</x:f>
        <x:v>0</x:v>
      </x:c>
      <x:c r="P186" s="53" t="n">
        <x:v>44488</x:v>
      </x:c>
      <x:c r="Q186" s="54" t="n">
        <x:v>15342.669</x:v>
      </x:c>
      <x:c r="R186" s="55" t="n">
        <x:v>-0.00255</x:v>
      </x:c>
      <x:c r="S186" s="57" t="str">
        <x:f>IF(I186,"DAMAGE SKIP",IF(AND(M186,N186),IF(O186,"TUESDAY RE-ENTRY","GAP/MOM SKIP"),"BASELINE"))</x:f>
        <x:v>DAMAGE SKIP</x:v>
      </x:c>
      <x:c r="T186" s="56" t="n">
        <x:f>IF(I186,0,IF(AND(M186,N186),IF(O186,R186,0),G186))</x:f>
        <x:v>0</x:v>
      </x:c>
      <x:c r="U186" s="56" t="n">
        <x:f>G186*'Assumptions'!$B$6</x:f>
        <x:v>0.160008</x:v>
      </x:c>
      <x:c r="V186" s="56" t="n">
        <x:f>T186*'Assumptions'!$B$6</x:f>
        <x:v>0</x:v>
      </x:c>
      <x:c r="W186" s="56" t="n">
        <x:f>V186-U186</x:f>
        <x:v>-0.160008</x:v>
      </x:c>
      <x:c r="X186" s="58" t="n">
        <x:f>X185*(1+U186)</x:f>
        <x:v>12018.038852213636</x:v>
      </x:c>
      <x:c r="Y186" s="58" t="n">
        <x:f>MAX(Y185,X186)</x:f>
        <x:v>20113.53610204719</x:v>
      </x:c>
      <x:c r="Z186" s="59" t="n">
        <x:f>X186/Y186-1</x:f>
        <x:v>-0.40249000517664224</x:v>
      </x:c>
      <x:c r="AA186" s="58" t="n">
        <x:f>AA185*(1+V186)</x:f>
        <x:v>77609.05939079341</x:v>
      </x:c>
      <x:c r="AB186" s="58" t="n">
        <x:f>MAX(AB185,AA186)</x:f>
        <x:v>108544.39387993596</x:v>
      </x:c>
      <x:c r="AC186" s="59" t="n">
        <x:f>AA186/AB186-1</x:f>
        <x:v>-0.2850016788832135</x:v>
      </x:c>
      <x:c r="AD186" s="60" t="n">
        <x:f>AA186-X186</x:f>
        <x:v>65591.02053857977</x:v>
      </x:c>
      <x:c r="AE186" s="28" t="str">
        <x:v>Skipped because the previous three rule outcomes totalled at or below the damage threshold.</x:v>
      </x:c>
    </x:row>
    <x:row r="187" ht="18" customHeight="1">
      <x:c r="A187" s="23" t="n">
        <x:v>183</x:v>
      </x:c>
      <x:c r="B187" s="53" t="n">
        <x:v>44494</x:v>
      </x:c>
      <x:c r="C187" s="53" t="n">
        <x:v>44495</x:v>
      </x:c>
      <x:c r="D187" s="23" t="str">
        <x:v>PREOH</x:v>
      </x:c>
      <x:c r="E187" s="54" t="n">
        <x:v>15417.969</x:v>
      </x:c>
      <x:c r="F187" s="54" t="n">
        <x:v>15547.289</x:v>
      </x:c>
      <x:c r="G187" s="55" t="n">
        <x:v>0.00838</x:v>
      </x:c>
      <x:c r="H187" s="56" t="n">
        <x:f>SUM(T184:T186)</x:f>
        <x:v>0.00328</x:v>
      </x:c>
      <x:c r="I187" s="57" t="b">
        <x:f>AND(A187&gt;3,H187&lt;='Assumptions'!$B$7)</x:f>
        <x:v>0</x:v>
      </x:c>
      <x:c r="J187" s="55" t="n">
        <x:v>0.004791964046388264</x:v>
      </x:c>
      <x:c r="K187" s="55" t="n">
        <x:v>0.002062674628828143</x:v>
      </x:c>
      <x:c r="L187" s="55" t="n">
        <x:v>0.016429159160554763</x:v>
      </x:c>
      <x:c r="M187" s="57" t="b">
        <x:f>J187&gt;='Assumptions'!$B$8</x:f>
        <x:v>0</x:v>
      </x:c>
      <x:c r="N187" s="57" t="b">
        <x:f>AND(K187&lt;&gt;"",K187&lt;='Assumptions'!$B$9)</x:f>
        <x:v>0</x:v>
      </x:c>
      <x:c r="O187" s="57" t="b">
        <x:f>AND(P187&lt;&gt;"",ABS(L187)&lt;='Assumptions'!$B$10)</x:f>
        <x:v>0</x:v>
      </x:c>
      <x:c r="P187" s="53" t="n">
        <x:v>44495</x:v>
      </x:c>
      <x:c r="Q187" s="54" t="n">
        <x:v>15608.889</x:v>
      </x:c>
      <x:c r="R187" s="55" t="n">
        <x:v>-0.00394</x:v>
      </x:c>
      <x:c r="S187" s="57" t="str">
        <x:f>IF(I187,"DAMAGE SKIP",IF(AND(M187,N187),IF(O187,"TUESDAY RE-ENTRY","GAP/MOM SKIP"),"BASELINE"))</x:f>
        <x:v>BASELINE</x:v>
      </x:c>
      <x:c r="T187" s="56" t="n">
        <x:f>IF(I187,0,IF(AND(M187,N187),IF(O187,R187,0),G187))</x:f>
        <x:v>0.00838</x:v>
      </x:c>
      <x:c r="U187" s="56" t="n">
        <x:f>G187*'Assumptions'!$B$6</x:f>
        <x:v>0.09469400000000001</x:v>
      </x:c>
      <x:c r="V187" s="56" t="n">
        <x:f>T187*'Assumptions'!$B$6</x:f>
        <x:v>0.09469400000000001</x:v>
      </x:c>
      <x:c r="W187" s="56" t="n">
        <x:f>V187-U187</x:f>
        <x:v>0</x:v>
      </x:c>
      <x:c r="X187" s="58" t="n">
        <x:f>X186*(1+U187)</x:f>
        <x:v>13156.075023285155</x:v>
      </x:c>
      <x:c r="Y187" s="58" t="n">
        <x:f>MAX(Y186,X187)</x:f>
        <x:v>20113.53610204719</x:v>
      </x:c>
      <x:c r="Z187" s="59" t="n">
        <x:f>X187/Y187-1</x:f>
        <x:v>-0.34590939372683915</x:v>
      </x:c>
      <x:c r="AA187" s="58" t="n">
        <x:f>AA186*(1+V187)</x:f>
        <x:v>84958.17166074521</x:v>
      </x:c>
      <x:c r="AB187" s="58" t="n">
        <x:f>MAX(AB186,AA187)</x:f>
        <x:v>108544.39387993596</x:v>
      </x:c>
      <x:c r="AC187" s="59" t="n">
        <x:f>AA187/AB187-1</x:f>
        <x:v>-0.21729562786338041</x:v>
      </x:c>
      <x:c r="AD187" s="60" t="n">
        <x:f>AA187-X187</x:f>
        <x:v>71802.09663746005</x:v>
      </x:c>
      <x:c r="AE187" s="28" t="str">
        <x:v>Baseline trade unchanged.</x:v>
      </x:c>
    </x:row>
    <x:row r="188" ht="18" customHeight="1">
      <x:c r="A188" s="23" t="n">
        <x:v>184</x:v>
      </x:c>
      <x:c r="B188" s="53" t="n">
        <x:v>44501</x:v>
      </x:c>
      <x:c r="C188" s="53" t="n">
        <x:v>44505</x:v>
      </x:c>
      <x:c r="D188" s="23" t="str">
        <x:v>TO</x:v>
      </x:c>
      <x:c r="E188" s="54" t="n">
        <x:v>15867.699</x:v>
      </x:c>
      <x:c r="F188" s="54" t="n">
        <x:v>16347.659</x:v>
      </x:c>
      <x:c r="G188" s="55" t="n">
        <x:v>0.03024</x:v>
      </x:c>
      <x:c r="H188" s="56" t="n">
        <x:f>SUM(T185:T187)</x:f>
        <x:v>0.00446</x:v>
      </x:c>
      <x:c r="I188" s="57" t="b">
        <x:f>AND(A188&gt;3,H188&lt;='Assumptions'!$B$7)</x:f>
        <x:v>0</x:v>
      </x:c>
      <x:c r="J188" s="55" t="n">
        <x:v>0.0012676991210471833</x:v>
      </x:c>
      <x:c r="K188" s="55" t="n">
        <x:v>0.07200311180640928</x:v>
      </x:c>
      <x:c r="L188" s="55" t="n">
        <x:v>0.001790410708562895</x:v>
      </x:c>
      <x:c r="M188" s="57" t="b">
        <x:f>J188&gt;='Assumptions'!$B$8</x:f>
        <x:v>0</x:v>
      </x:c>
      <x:c r="N188" s="57" t="b">
        <x:f>AND(K188&lt;&gt;"",K188&lt;='Assumptions'!$B$9)</x:f>
        <x:v>0</x:v>
      </x:c>
      <x:c r="O188" s="57" t="b">
        <x:f>AND(P188&lt;&gt;"",ABS(L188)&lt;='Assumptions'!$B$10)</x:f>
        <x:v>1</x:v>
      </x:c>
      <x:c r="P188" s="53" t="n">
        <x:v>44502</x:v>
      </x:c>
      <x:c r="Q188" s="54" t="n">
        <x:v>15878</x:v>
      </x:c>
      <x:c r="R188" s="55" t="n">
        <x:v>0.02957</x:v>
      </x:c>
      <x:c r="S188" s="57" t="str">
        <x:f>IF(I188,"DAMAGE SKIP",IF(AND(M188,N188),IF(O188,"TUESDAY RE-ENTRY","GAP/MOM SKIP"),"BASELINE"))</x:f>
        <x:v>BASELINE</x:v>
      </x:c>
      <x:c r="T188" s="56" t="n">
        <x:f>IF(I188,0,IF(AND(M188,N188),IF(O188,R188,0),G188))</x:f>
        <x:v>0.03024</x:v>
      </x:c>
      <x:c r="U188" s="56" t="n">
        <x:f>G188*'Assumptions'!$B$6</x:f>
        <x:v>0.341712</x:v>
      </x:c>
      <x:c r="V188" s="56" t="n">
        <x:f>T188*'Assumptions'!$B$6</x:f>
        <x:v>0.341712</x:v>
      </x:c>
      <x:c r="W188" s="56" t="n">
        <x:f>V188-U188</x:f>
        <x:v>0</x:v>
      </x:c>
      <x:c r="X188" s="58" t="n">
        <x:f>X187*(1+U188)</x:f>
        <x:v>17651.663731641973</x:v>
      </x:c>
      <x:c r="Y188" s="58" t="n">
        <x:f>MAX(Y187,X188)</x:f>
        <x:v>20113.53610204719</x:v>
      </x:c>
      <x:c r="Z188" s="59" t="n">
        <x:f>X188/Y188-1</x:f>
        <x:v>-0.12239878447602481</x:v>
      </x:c>
      <x:c r="AA188" s="58" t="n">
        <x:f>AA187*(1+V188)</x:f>
        <x:v>113989.39841528179</x:v>
      </x:c>
      <x:c r="AB188" s="58" t="n">
        <x:f>MAX(AB187,AA188)</x:f>
        <x:v>113989.39841528179</x:v>
      </x:c>
      <x:c r="AC188" s="59" t="n">
        <x:f>AA188/AB188-1</x:f>
        <x:v>0</x:v>
      </x:c>
      <x:c r="AD188" s="60" t="n">
        <x:f>AA188-X188</x:f>
        <x:v>96337.7346836398</x:v>
      </x:c>
      <x:c r="AE188" s="28" t="str">
        <x:v>Baseline trade unchanged.</x:v>
      </x:c>
    </x:row>
    <x:row r="189" ht="18" customHeight="1">
      <x:c r="A189" s="23" t="n">
        <x:v>185</x:v>
      </x:c>
      <x:c r="B189" s="53" t="n">
        <x:v>44508</x:v>
      </x:c>
      <x:c r="C189" s="53" t="n">
        <x:v>44511</x:v>
      </x:c>
      <x:c r="D189" s="23" t="str">
        <x:v>TSL1PRE</x:v>
      </x:c>
      <x:c r="E189" s="54" t="n">
        <x:v>16356.807</x:v>
      </x:c>
      <x:c r="F189" s="54" t="n">
        <x:v>15995.309</x:v>
      </x:c>
      <x:c r="G189" s="55" t="n">
        <x:v>-0.0221</x:v>
      </x:c>
      <x:c r="H189" s="56" t="n">
        <x:f>SUM(T186:T188)</x:f>
        <x:v>0.03862</x:v>
      </x:c>
      <x:c r="I189" s="57" t="b">
        <x:f>AND(A189&gt;3,H189&lt;='Assumptions'!$B$7)</x:f>
        <x:v>0</x:v>
      </x:c>
      <x:c r="J189" s="55" t="n">
        <x:v>0.0005595908258180238</x:v>
      </x:c>
      <x:c r="K189" s="55" t="n">
        <x:v>0.10364784931774484</x:v>
      </x:c>
      <x:c r="L189" s="55" t="n">
        <x:v>0.001405950145213053</x:v>
      </x:c>
      <x:c r="M189" s="57" t="b">
        <x:f>J189&gt;='Assumptions'!$B$8</x:f>
        <x:v>0</x:v>
      </x:c>
      <x:c r="N189" s="57" t="b">
        <x:f>AND(K189&lt;&gt;"",K189&lt;='Assumptions'!$B$9)</x:f>
        <x:v>0</x:v>
      </x:c>
      <x:c r="O189" s="57" t="b">
        <x:f>AND(P189&lt;&gt;"",ABS(L189)&lt;='Assumptions'!$B$10)</x:f>
        <x:v>1</x:v>
      </x:c>
      <x:c r="P189" s="53" t="n">
        <x:v>44509</x:v>
      </x:c>
      <x:c r="Q189" s="54" t="n">
        <x:v>16384.237</x:v>
      </x:c>
      <x:c r="R189" s="55" t="n">
        <x:v>-0.02373</x:v>
      </x:c>
      <x:c r="S189" s="57" t="str">
        <x:f>IF(I189,"DAMAGE SKIP",IF(AND(M189,N189),IF(O189,"TUESDAY RE-ENTRY","GAP/MOM SKIP"),"BASELINE"))</x:f>
        <x:v>BASELINE</x:v>
      </x:c>
      <x:c r="T189" s="56" t="n">
        <x:f>IF(I189,0,IF(AND(M189,N189),IF(O189,R189,0),G189))</x:f>
        <x:v>-0.0221</x:v>
      </x:c>
      <x:c r="U189" s="56" t="n">
        <x:f>G189*'Assumptions'!$B$6</x:f>
        <x:v>-0.24973000000000004</x:v>
      </x:c>
      <x:c r="V189" s="56" t="n">
        <x:f>T189*'Assumptions'!$B$6</x:f>
        <x:v>-0.24973000000000004</x:v>
      </x:c>
      <x:c r="W189" s="56" t="n">
        <x:f>V189-U189</x:f>
        <x:v>0</x:v>
      </x:c>
      <x:c r="X189" s="58" t="n">
        <x:f>X188*(1+U189)</x:f>
        <x:v>13243.513747939023</x:v>
      </x:c>
      <x:c r="Y189" s="58" t="n">
        <x:f>MAX(Y188,X189)</x:f>
        <x:v>20113.53610204719</x:v>
      </x:c>
      <x:c r="Z189" s="59" t="n">
        <x:f>X189/Y189-1</x:f>
        <x:v>-0.3415621360288271</x:v>
      </x:c>
      <x:c r="AA189" s="58" t="n">
        <x:f>AA188*(1+V189)</x:f>
        <x:v>85522.82594903346</x:v>
      </x:c>
      <x:c r="AB189" s="58" t="n">
        <x:f>MAX(AB188,AA189)</x:f>
        <x:v>113989.39841528179</x:v>
      </x:c>
      <x:c r="AC189" s="59" t="n">
        <x:f>AA189/AB189-1</x:f>
        <x:v>-0.24973</x:v>
      </x:c>
      <x:c r="AD189" s="60" t="n">
        <x:f>AA189-X189</x:f>
        <x:v>72279.31220109444</x:v>
      </x:c>
      <x:c r="AE189" s="28" t="str">
        <x:v>Baseline trade unchanged.</x:v>
      </x:c>
    </x:row>
    <x:row r="190" ht="18" customHeight="1">
      <x:c r="A190" s="23" t="n">
        <x:v>186</x:v>
      </x:c>
      <x:c r="B190" s="53" t="n">
        <x:v>44515</x:v>
      </x:c>
      <x:c r="C190" s="53" t="n">
        <x:v>44519</x:v>
      </x:c>
      <x:c r="D190" s="23" t="str">
        <x:v>TO</x:v>
      </x:c>
      <x:c r="E190" s="54" t="n">
        <x:v>16244.249</x:v>
      </x:c>
      <x:c r="F190" s="54" t="n">
        <x:v>16574.589</x:v>
      </x:c>
      <x:c r="G190" s="55" t="n">
        <x:v>0.02033</x:v>
      </x:c>
      <x:c r="H190" s="56" t="n">
        <x:f>SUM(T187:T189)</x:f>
        <x:v>0.01652</x:v>
      </x:c>
      <x:c r="I190" s="57" t="b">
        <x:f>AND(A190&gt;3,H190&lt;='Assumptions'!$B$7)</x:f>
        <x:v>0</x:v>
      </x:c>
      <x:c r="J190" s="55" t="n">
        <x:v>0.0028100970144016024</x:v>
      </x:c>
      <x:c r="K190" s="55" t="n">
        <x:v>0.06983299840620893</x:v>
      </x:c>
      <x:c r="L190" s="55" t="n">
        <x:v>-0.0021374773621715137</x:v>
      </x:c>
      <x:c r="M190" s="57" t="b">
        <x:f>J190&gt;='Assumptions'!$B$8</x:f>
        <x:v>0</x:v>
      </x:c>
      <x:c r="N190" s="57" t="b">
        <x:f>AND(K190&lt;&gt;"",K190&lt;='Assumptions'!$B$9)</x:f>
        <x:v>0</x:v>
      </x:c>
      <x:c r="O190" s="57" t="b">
        <x:f>AND(P190&lt;&gt;"",ABS(L190)&lt;='Assumptions'!$B$10)</x:f>
        <x:v>1</x:v>
      </x:c>
      <x:c r="P190" s="53" t="n">
        <x:v>44516</x:v>
      </x:c>
      <x:c r="Q190" s="54" t="n">
        <x:v>16161.289</x:v>
      </x:c>
      <x:c r="R190" s="55" t="n">
        <x:v>0.02557</x:v>
      </x:c>
      <x:c r="S190" s="57" t="str">
        <x:f>IF(I190,"DAMAGE SKIP",IF(AND(M190,N190),IF(O190,"TUESDAY RE-ENTRY","GAP/MOM SKIP"),"BASELINE"))</x:f>
        <x:v>BASELINE</x:v>
      </x:c>
      <x:c r="T190" s="56" t="n">
        <x:f>IF(I190,0,IF(AND(M190,N190),IF(O190,R190,0),G190))</x:f>
        <x:v>0.02033</x:v>
      </x:c>
      <x:c r="U190" s="56" t="n">
        <x:f>G190*'Assumptions'!$B$6</x:f>
        <x:v>0.22972900000000002</x:v>
      </x:c>
      <x:c r="V190" s="56" t="n">
        <x:f>T190*'Assumptions'!$B$6</x:f>
        <x:v>0.22972900000000002</x:v>
      </x:c>
      <x:c r="W190" s="56" t="n">
        <x:f>V190-U190</x:f>
        <x:v>0</x:v>
      </x:c>
      <x:c r="X190" s="58" t="n">
        <x:f>X189*(1+U190)</x:f>
        <x:v>16285.932917739308</x:v>
      </x:c>
      <x:c r="Y190" s="58" t="n">
        <x:f>MAX(Y189,X190)</x:f>
        <x:v>20113.53610204719</x:v>
      </x:c>
      <x:c r="Z190" s="59" t="n">
        <x:f>X190/Y190-1</x:f>
        <x:v>-0.1902998639765935</x:v>
      </x:c>
      <x:c r="AA190" s="58" t="n">
        <x:f>AA189*(1+V190)</x:f>
        <x:v>105169.89923147898</x:v>
      </x:c>
      <x:c r="AB190" s="58" t="n">
        <x:f>MAX(AB189,AA190)</x:f>
        <x:v>113989.39841528179</x:v>
      </x:c>
      <x:c r="AC190" s="59" t="n">
        <x:f>AA190/AB190-1</x:f>
        <x:v>-0.07737122317</x:v>
      </x:c>
      <x:c r="AD190" s="60" t="n">
        <x:f>AA190-X190</x:f>
        <x:v>88883.96631373967</x:v>
      </x:c>
      <x:c r="AE190" s="28" t="str">
        <x:v>Baseline trade unchanged.</x:v>
      </x:c>
    </x:row>
    <x:row r="191" ht="18" customHeight="1">
      <x:c r="A191" s="23" t="n">
        <x:v>187</x:v>
      </x:c>
      <x:c r="B191" s="53" t="n">
        <x:v>44522</x:v>
      </x:c>
      <x:c r="C191" s="53" t="n">
        <x:v>44526</x:v>
      </x:c>
      <x:c r="D191" s="23" t="str">
        <x:v>TSL3</x:v>
      </x:c>
      <x:c r="E191" s="54" t="n">
        <x:v>16638.729</x:v>
      </x:c>
      <x:c r="F191" s="54" t="n">
        <x:v>16249.559</x:v>
      </x:c>
      <x:c r="G191" s="55" t="n">
        <x:v>-0.02338</x:v>
      </x:c>
      <x:c r="H191" s="56" t="n">
        <x:f>SUM(T188:T190)</x:f>
        <x:v>0.02847</x:v>
      </x:c>
      <x:c r="I191" s="57" t="b">
        <x:f>AND(A191&gt;3,H191&lt;='Assumptions'!$B$7)</x:f>
        <x:v>0</x:v>
      </x:c>
      <x:c r="J191" s="55" t="n">
        <x:v>0.0038697792144348764</x:v>
      </x:c>
      <x:c r="K191" s="55" t="n">
        <x:v>0.07993701700048939</x:v>
      </x:c>
      <x:c r="L191" s="55" t="n">
        <x:v>-0.014587842199187517</x:v>
      </x:c>
      <x:c r="M191" s="57" t="b">
        <x:f>J191&gt;='Assumptions'!$B$8</x:f>
        <x:v>0</x:v>
      </x:c>
      <x:c r="N191" s="57" t="b">
        <x:f>AND(K191&lt;&gt;"",K191&lt;='Assumptions'!$B$9)</x:f>
        <x:v>0</x:v>
      </x:c>
      <x:c r="O191" s="57" t="b">
        <x:f>AND(P191&lt;&gt;"",ABS(L191)&lt;='Assumptions'!$B$10)</x:f>
        <x:v>0</x:v>
      </x:c>
      <x:c r="P191" s="53" t="n">
        <x:v>44523</x:v>
      </x:c>
      <x:c r="Q191" s="54" t="n">
        <x:v>16329.777</x:v>
      </x:c>
      <x:c r="R191" s="55" t="n">
        <x:v>-0.00491</x:v>
      </x:c>
      <x:c r="S191" s="57" t="str">
        <x:f>IF(I191,"DAMAGE SKIP",IF(AND(M191,N191),IF(O191,"TUESDAY RE-ENTRY","GAP/MOM SKIP"),"BASELINE"))</x:f>
        <x:v>BASELINE</x:v>
      </x:c>
      <x:c r="T191" s="56" t="n">
        <x:f>IF(I191,0,IF(AND(M191,N191),IF(O191,R191,0),G191))</x:f>
        <x:v>-0.02338</x:v>
      </x:c>
      <x:c r="U191" s="56" t="n">
        <x:f>G191*'Assumptions'!$B$6</x:f>
        <x:v>-0.26419400000000004</x:v>
      </x:c>
      <x:c r="V191" s="56" t="n">
        <x:f>T191*'Assumptions'!$B$6</x:f>
        <x:v>-0.26419400000000004</x:v>
      </x:c>
      <x:c r="W191" s="56" t="n">
        <x:f>V191-U191</x:f>
        <x:v>0</x:v>
      </x:c>
      <x:c r="X191" s="58" t="n">
        <x:f>X190*(1+U191)</x:f>
        <x:v>11983.287156470089</x:v>
      </x:c>
      <x:c r="Y191" s="58" t="n">
        <x:f>MAX(Y190,X191)</x:f>
        <x:v>20113.53610204719</x:v>
      </x:c>
      <x:c r="Z191" s="59" t="n">
        <x:f>X191/Y191-1</x:f>
        <x:v>-0.40421778171316136</x:v>
      </x:c>
      <x:c r="AA191" s="58" t="n">
        <x:f>AA190*(1+V191)</x:f>
        <x:v>77384.64287391762</x:v>
      </x:c>
      <x:c r="AB191" s="58" t="n">
        <x:f>MAX(AB190,AA191)</x:f>
        <x:v>113989.39841528179</x:v>
      </x:c>
      <x:c r="AC191" s="59" t="n">
        <x:f>AA191/AB191-1</x:f>
        <x:v>-0.32112421023582505</x:v>
      </x:c>
      <x:c r="AD191" s="60" t="n">
        <x:f>AA191-X191</x:f>
        <x:v>65401.35571744753</x:v>
      </x:c>
      <x:c r="AE191" s="28" t="str">
        <x:v>Baseline trade unchanged.</x:v>
      </x:c>
    </x:row>
    <x:row r="192" ht="18" customHeight="1">
      <x:c r="A192" s="23" t="n">
        <x:v>188</x:v>
      </x:c>
      <x:c r="B192" s="53" t="n">
        <x:v>44529</x:v>
      </x:c>
      <x:c r="C192" s="53" t="n">
        <x:v>44529</x:v>
      </x:c>
      <x:c r="D192" s="23" t="str">
        <x:v>CH</x:v>
      </x:c>
      <x:c r="E192" s="54" t="n">
        <x:v>16238.409</x:v>
      </x:c>
      <x:c r="F192" s="54" t="n">
        <x:v>16394.769</x:v>
      </x:c>
      <x:c r="G192" s="55" t="n">
        <x:v>0.00962</x:v>
      </x:c>
      <x:c r="H192" s="56" t="n">
        <x:f>SUM(T189:T191)</x:f>
        <x:v>-0.025150000000000002</x:v>
      </x:c>
      <x:c r="I192" s="57" t="b">
        <x:f>AND(A192&gt;3,H192&lt;='Assumptions'!$B$7)</x:f>
        <x:v>1</x:v>
      </x:c>
      <x:c r="J192" s="55" t="n">
        <x:v>0.012232759797007553</x:v>
      </x:c>
      <x:c r="K192" s="55" t="n">
        <x:v>0.018160089855581596</x:v>
      </x:c>
      <x:c r="L192" s="55" t="n">
        <x:v>0.019375903507373282</x:v>
      </x:c>
      <x:c r="M192" s="57" t="b">
        <x:f>J192&gt;='Assumptions'!$B$8</x:f>
        <x:v>1</x:v>
      </x:c>
      <x:c r="N192" s="57" t="b">
        <x:f>AND(K192&lt;&gt;"",K192&lt;='Assumptions'!$B$9)</x:f>
        <x:v>0</x:v>
      </x:c>
      <x:c r="O192" s="57" t="b">
        <x:f>AND(P192&lt;&gt;"",ABS(L192)&lt;='Assumptions'!$B$10)</x:f>
        <x:v>0</x:v>
      </x:c>
      <x:c r="P192" s="53" t="n">
        <x:v>44530</x:v>
      </x:c>
      <x:c r="Q192" s="54" t="n">
        <x:v>16356.609</x:v>
      </x:c>
      <x:c r="R192" s="55" t="n">
        <x:v>0.00233</x:v>
      </x:c>
      <x:c r="S192" s="57" t="str">
        <x:f>IF(I192,"DAMAGE SKIP",IF(AND(M192,N192),IF(O192,"TUESDAY RE-ENTRY","GAP/MOM SKIP"),"BASELINE"))</x:f>
        <x:v>DAMAGE SKIP</x:v>
      </x:c>
      <x:c r="T192" s="56" t="n">
        <x:f>IF(I192,0,IF(AND(M192,N192),IF(O192,R192,0),G192))</x:f>
        <x:v>0</x:v>
      </x:c>
      <x:c r="U192" s="56" t="n">
        <x:f>G192*'Assumptions'!$B$6</x:f>
        <x:v>0.10870600000000001</x:v>
      </x:c>
      <x:c r="V192" s="56" t="n">
        <x:f>T192*'Assumptions'!$B$6</x:f>
        <x:v>0</x:v>
      </x:c>
      <x:c r="W192" s="56" t="n">
        <x:f>V192-U192</x:f>
        <x:v>-0.10870600000000001</x:v>
      </x:c>
      <x:c r="X192" s="58" t="n">
        <x:f>X191*(1+U192)</x:f>
        <x:v>13285.942370101326</x:v>
      </x:c>
      <x:c r="Y192" s="58" t="n">
        <x:f>MAX(Y191,X192)</x:f>
        <x:v>20113.53610204719</x:v>
      </x:c>
      <x:c r="Z192" s="59" t="n">
        <x:f>X192/Y192-1</x:f>
        <x:v>-0.3394526798920723</x:v>
      </x:c>
      <x:c r="AA192" s="58" t="n">
        <x:f>AA191*(1+V192)</x:f>
        <x:v>77384.64287391762</x:v>
      </x:c>
      <x:c r="AB192" s="58" t="n">
        <x:f>MAX(AB191,AA192)</x:f>
        <x:v>113989.39841528179</x:v>
      </x:c>
      <x:c r="AC192" s="59" t="n">
        <x:f>AA192/AB192-1</x:f>
        <x:v>-0.32112421023582505</x:v>
      </x:c>
      <x:c r="AD192" s="60" t="n">
        <x:f>AA192-X192</x:f>
        <x:v>64098.70050381629</x:v>
      </x:c>
      <x:c r="AE192" s="28" t="str">
        <x:v>Skipped because the previous three rule outcomes totalled at or below the damage threshold.</x:v>
      </x:c>
    </x:row>
    <x:row r="193" ht="18" customHeight="1">
      <x:c r="A193" s="23" t="n">
        <x:v>189</x:v>
      </x:c>
      <x:c r="B193" s="53" t="n">
        <x:v>44536</x:v>
      </x:c>
      <x:c r="C193" s="53" t="n">
        <x:v>44537</x:v>
      </x:c>
      <x:c r="D193" s="23" t="str">
        <x:v>PREOH</x:v>
      </x:c>
      <x:c r="E193" s="54" t="n">
        <x:v>15731.989</x:v>
      </x:c>
      <x:c r="F193" s="54" t="n">
        <x:v>15846.929</x:v>
      </x:c>
      <x:c r="G193" s="55" t="n">
        <x:v>0.0073</x:v>
      </x:c>
      <x:c r="H193" s="56" t="n">
        <x:f>SUM(T190:T192)</x:f>
        <x:v>-0.0030500000000000006</x:v>
      </x:c>
      <x:c r="I193" s="57" t="b">
        <x:f>AND(A193&gt;3,H193&lt;='Assumptions'!$B$7)</x:f>
        <x:v>0</x:v>
      </x:c>
      <x:c r="J193" s="55" t="n">
        <x:v>0.0007830948710847441</x:v>
      </x:c>
      <x:c r="K193" s="55" t="n">
        <x:v>-0.03788411856249907</x:v>
      </x:c>
      <x:c r="L193" s="55" t="n">
        <x:v>0.025851070076819083</x:v>
      </x:c>
      <x:c r="M193" s="57" t="b">
        <x:f>J193&gt;='Assumptions'!$B$8</x:f>
        <x:v>0</x:v>
      </x:c>
      <x:c r="N193" s="57" t="b">
        <x:f>AND(K193&lt;&gt;"",K193&lt;='Assumptions'!$B$9)</x:f>
        <x:v>1</x:v>
      </x:c>
      <x:c r="O193" s="57" t="b">
        <x:f>AND(P193&lt;&gt;"",ABS(L193)&lt;='Assumptions'!$B$10)</x:f>
        <x:v>0</x:v>
      </x:c>
      <x:c r="P193" s="53" t="n">
        <x:v>44537</x:v>
      </x:c>
      <x:c r="Q193" s="54" t="n">
        <x:v>16119.609</x:v>
      </x:c>
      <x:c r="R193" s="55" t="n">
        <x:v>-0.01691</x:v>
      </x:c>
      <x:c r="S193" s="57" t="str">
        <x:f>IF(I193,"DAMAGE SKIP",IF(AND(M193,N193),IF(O193,"TUESDAY RE-ENTRY","GAP/MOM SKIP"),"BASELINE"))</x:f>
        <x:v>BASELINE</x:v>
      </x:c>
      <x:c r="T193" s="56" t="n">
        <x:f>IF(I193,0,IF(AND(M193,N193),IF(O193,R193,0),G193))</x:f>
        <x:v>0.0073</x:v>
      </x:c>
      <x:c r="U193" s="56" t="n">
        <x:f>G193*'Assumptions'!$B$6</x:f>
        <x:v>0.08249000000000001</x:v>
      </x:c>
      <x:c r="V193" s="56" t="n">
        <x:f>T193*'Assumptions'!$B$6</x:f>
        <x:v>0.08249000000000001</x:v>
      </x:c>
      <x:c r="W193" s="56" t="n">
        <x:f>V193-U193</x:f>
        <x:v>0</x:v>
      </x:c>
      <x:c r="X193" s="58" t="n">
        <x:f>X192*(1+U193)</x:f>
        <x:v>14381.899756210983</x:v>
      </x:c>
      <x:c r="Y193" s="58" t="n">
        <x:f>MAX(Y192,X193)</x:f>
        <x:v>20113.53610204719</x:v>
      </x:c>
      <x:c r="Z193" s="59" t="n">
        <x:f>X193/Y193-1</x:f>
        <x:v>-0.28496413145636934</x:v>
      </x:c>
      <x:c r="AA193" s="58" t="n">
        <x:f>AA192*(1+V193)</x:f>
        <x:v>83768.10206458707</x:v>
      </x:c>
      <x:c r="AB193" s="58" t="n">
        <x:f>MAX(AB192,AA193)</x:f>
        <x:v>113989.39841528179</x:v>
      </x:c>
      <x:c r="AC193" s="59" t="n">
        <x:f>AA193/AB193-1</x:f>
        <x:v>-0.26512374633817826</x:v>
      </x:c>
      <x:c r="AD193" s="60" t="n">
        <x:f>AA193-X193</x:f>
        <x:v>69386.20230837609</x:v>
      </x:c>
      <x:c r="AE193" s="28" t="str">
        <x:v>Baseline trade unchanged.</x:v>
      </x:c>
    </x:row>
    <x:row r="194" ht="18" customHeight="1">
      <x:c r="A194" s="23" t="n">
        <x:v>190</x:v>
      </x:c>
      <x:c r="B194" s="53" t="n">
        <x:v>44543</x:v>
      </x:c>
      <x:c r="C194" s="53" t="n">
        <x:v>44545</x:v>
      </x:c>
      <x:c r="D194" s="23" t="str">
        <x:v>BH</x:v>
      </x:c>
      <x:c r="E194" s="54" t="n">
        <x:v>16324.289</x:v>
      </x:c>
      <x:c r="F194" s="54" t="n">
        <x:v>16258.991844</x:v>
      </x:c>
      <x:c r="G194" s="55" t="n">
        <x:v>-0.004</x:v>
      </x:c>
      <x:c r="H194" s="56" t="n">
        <x:f>SUM(T191:T193)</x:f>
        <x:v>-0.01608</x:v>
      </x:c>
      <x:c r="I194" s="57" t="b">
        <x:f>AND(A194&gt;3,H194&lt;='Assumptions'!$B$7)</x:f>
        <x:v>0</x:v>
      </x:c>
      <x:c r="J194" s="55" t="n">
        <x:v>0.0006584711467101378</x:v>
      </x:c>
      <x:c r="K194" s="55" t="n">
        <x:v>0.01899784781823244</x:v>
      </x:c>
      <x:c r="L194" s="55" t="n">
        <x:v>-0.026876056670966264</x:v>
      </x:c>
      <x:c r="M194" s="57" t="b">
        <x:f>J194&gt;='Assumptions'!$B$8</x:f>
        <x:v>0</x:v>
      </x:c>
      <x:c r="N194" s="57" t="b">
        <x:f>AND(K194&lt;&gt;"",K194&lt;='Assumptions'!$B$9)</x:f>
        <x:v>0</x:v>
      </x:c>
      <x:c r="O194" s="57" t="b">
        <x:f>AND(P194&lt;&gt;"",ABS(L194)&lt;='Assumptions'!$B$10)</x:f>
        <x:v>0</x:v>
      </x:c>
      <x:c r="P194" s="53" t="n">
        <x:v>44544</x:v>
      </x:c>
      <x:c r="Q194" s="54" t="n">
        <x:v>15880.699</x:v>
      </x:c>
      <x:c r="R194" s="55" t="n">
        <x:v>0.02382</x:v>
      </x:c>
      <x:c r="S194" s="57" t="str">
        <x:f>IF(I194,"DAMAGE SKIP",IF(AND(M194,N194),IF(O194,"TUESDAY RE-ENTRY","GAP/MOM SKIP"),"BASELINE"))</x:f>
        <x:v>BASELINE</x:v>
      </x:c>
      <x:c r="T194" s="56" t="n">
        <x:f>IF(I194,0,IF(AND(M194,N194),IF(O194,R194,0),G194))</x:f>
        <x:v>-0.004</x:v>
      </x:c>
      <x:c r="U194" s="56" t="n">
        <x:f>G194*'Assumptions'!$B$6</x:f>
        <x:v>-0.045200000000000004</x:v>
      </x:c>
      <x:c r="V194" s="56" t="n">
        <x:f>T194*'Assumptions'!$B$6</x:f>
        <x:v>-0.045200000000000004</x:v>
      </x:c>
      <x:c r="W194" s="56" t="n">
        <x:f>V194-U194</x:f>
        <x:v>0</x:v>
      </x:c>
      <x:c r="X194" s="58" t="n">
        <x:f>X193*(1+U194)</x:f>
        <x:v>13731.837887230247</x:v>
      </x:c>
      <x:c r="Y194" s="58" t="n">
        <x:f>MAX(Y193,X194)</x:f>
        <x:v>20113.53610204719</x:v>
      </x:c>
      <x:c r="Z194" s="59" t="n">
        <x:f>X194/Y194-1</x:f>
        <x:v>-0.31728375271454146</x:v>
      </x:c>
      <x:c r="AA194" s="58" t="n">
        <x:f>AA193*(1+V194)</x:f>
        <x:v>79981.78385126774</x:v>
      </x:c>
      <x:c r="AB194" s="58" t="n">
        <x:f>MAX(AB193,AA194)</x:f>
        <x:v>113989.39841528179</x:v>
      </x:c>
      <x:c r="AC194" s="59" t="n">
        <x:f>AA194/AB194-1</x:f>
        <x:v>-0.29834015300369265</x:v>
      </x:c>
      <x:c r="AD194" s="60" t="n">
        <x:f>AA194-X194</x:f>
        <x:v>66249.9459640375</x:v>
      </x:c>
      <x:c r="AE194" s="28" t="str">
        <x:v>Baseline trade unchanged.</x:v>
      </x:c>
    </x:row>
    <x:row r="195" ht="18" customHeight="1">
      <x:c r="A195" s="23" t="n">
        <x:v>191</x:v>
      </x:c>
      <x:c r="B195" s="53" t="n">
        <x:v>44550</x:v>
      </x:c>
      <x:c r="C195" s="53" t="n">
        <x:v>44551</x:v>
      </x:c>
      <x:c r="D195" s="23" t="str">
        <x:v>PREOH</x:v>
      </x:c>
      <x:c r="E195" s="54" t="n">
        <x:v>15582.619</x:v>
      </x:c>
      <x:c r="F195" s="54" t="n">
        <x:v>15695.389</x:v>
      </x:c>
      <x:c r="G195" s="55" t="n">
        <x:v>0.00723</x:v>
      </x:c>
      <x:c r="H195" s="56" t="n">
        <x:f>SUM(T192:T194)</x:f>
        <x:v>0.0033</x:v>
      </x:c>
      <x:c r="I195" s="57" t="b">
        <x:f>AND(A195&gt;3,H195&lt;='Assumptions'!$B$7)</x:f>
        <x:v>0</x:v>
      </x:c>
      <x:c r="J195" s="55" t="n">
        <x:v>-0.0132936023857817</x:v>
      </x:c>
      <x:c r="K195" s="55" t="n">
        <x:v>-0.04192099944509209</x:v>
      </x:c>
      <x:c r="L195" s="55" t="n">
        <x:v>-0.0009617709337945701</x:v>
      </x:c>
      <x:c r="M195" s="57" t="b">
        <x:f>J195&gt;='Assumptions'!$B$8</x:f>
        <x:v>0</x:v>
      </x:c>
      <x:c r="N195" s="57" t="b">
        <x:f>AND(K195&lt;&gt;"",K195&lt;='Assumptions'!$B$9)</x:f>
        <x:v>1</x:v>
      </x:c>
      <x:c r="O195" s="57" t="b">
        <x:f>AND(P195&lt;&gt;"",ABS(L195)&lt;='Assumptions'!$B$10)</x:f>
        <x:v>1</x:v>
      </x:c>
      <x:c r="P195" s="53" t="n">
        <x:v>44551</x:v>
      </x:c>
      <x:c r="Q195" s="54" t="n">
        <x:v>15766.319</x:v>
      </x:c>
      <x:c r="R195" s="55" t="n">
        <x:v>-0.00449</x:v>
      </x:c>
      <x:c r="S195" s="57" t="str">
        <x:f>IF(I195,"DAMAGE SKIP",IF(AND(M195,N195),IF(O195,"TUESDAY RE-ENTRY","GAP/MOM SKIP"),"BASELINE"))</x:f>
        <x:v>BASELINE</x:v>
      </x:c>
      <x:c r="T195" s="56" t="n">
        <x:f>IF(I195,0,IF(AND(M195,N195),IF(O195,R195,0),G195))</x:f>
        <x:v>0.00723</x:v>
      </x:c>
      <x:c r="U195" s="56" t="n">
        <x:f>G195*'Assumptions'!$B$6</x:f>
        <x:v>0.08169900000000001</x:v>
      </x:c>
      <x:c r="V195" s="56" t="n">
        <x:f>T195*'Assumptions'!$B$6</x:f>
        <x:v>0.08169900000000001</x:v>
      </x:c>
      <x:c r="W195" s="56" t="n">
        <x:f>V195-U195</x:f>
        <x:v>0</x:v>
      </x:c>
      <x:c r="X195" s="58" t="n">
        <x:f>X194*(1+U195)</x:f>
        <x:v>14853.715310779071</x:v>
      </x:c>
      <x:c r="Y195" s="58" t="n">
        <x:f>MAX(Y194,X195)</x:f>
        <x:v>20113.53610204719</x:v>
      </x:c>
      <x:c r="Z195" s="59" t="n">
        <x:f>X195/Y195-1</x:f>
        <x:v>-0.26150651802756675</x:v>
      </x:c>
      <x:c r="AA195" s="58" t="n">
        <x:f>AA194*(1+V195)</x:f>
        <x:v>86516.21561013247</x:v>
      </x:c>
      <x:c r="AB195" s="58" t="n">
        <x:f>MAX(AB194,AA195)</x:f>
        <x:v>113989.39841528179</x:v>
      </x:c>
      <x:c r="AC195" s="59" t="n">
        <x:f>AA195/AB195-1</x:f>
        <x:v>-0.24101524516394135</x:v>
      </x:c>
      <x:c r="AD195" s="60" t="n">
        <x:f>AA195-X195</x:f>
        <x:v>71662.5002993534</x:v>
      </x:c>
      <x:c r="AE195" s="28" t="str">
        <x:v>Baseline trade unchanged.</x:v>
      </x:c>
    </x:row>
    <x:row r="196" ht="18" customHeight="1">
      <x:c r="A196" s="23" t="n">
        <x:v>192</x:v>
      </x:c>
      <x:c r="B196" s="53" t="n">
        <x:v>44557</x:v>
      </x:c>
      <x:c r="C196" s="53" t="n">
        <x:v>44557</x:v>
      </x:c>
      <x:c r="D196" s="23" t="str">
        <x:v>CH</x:v>
      </x:c>
      <x:c r="E196" s="54" t="n">
        <x:v>16351.549</x:v>
      </x:c>
      <x:c r="F196" s="54" t="n">
        <x:v>16567.037</x:v>
      </x:c>
      <x:c r="G196" s="55" t="n">
        <x:v>0.01317</x:v>
      </x:c>
      <x:c r="H196" s="56" t="n">
        <x:f>SUM(T193:T195)</x:f>
        <x:v>0.010530000000000001</x:v>
      </x:c>
      <x:c r="I196" s="57" t="b">
        <x:f>AND(A196&gt;3,H196&lt;='Assumptions'!$B$7)</x:f>
        <x:v>0</x:v>
      </x:c>
      <x:c r="J196" s="55" t="n">
        <x:v>0.002749296501558307</x:v>
      </x:c>
      <x:c r="K196" s="55" t="n">
        <x:v>-0.0033416339897776037</x:v>
      </x:c>
      <x:c r="L196" s="55" t="n">
        <x:v>0.018863894850061458</x:v>
      </x:c>
      <x:c r="M196" s="57" t="b">
        <x:f>J196&gt;='Assumptions'!$B$8</x:f>
        <x:v>0</x:v>
      </x:c>
      <x:c r="N196" s="57" t="b">
        <x:f>AND(K196&lt;&gt;"",K196&lt;='Assumptions'!$B$9)</x:f>
        <x:v>0</x:v>
      </x:c>
      <x:c r="O196" s="57" t="b">
        <x:f>AND(P196&lt;&gt;"",ABS(L196)&lt;='Assumptions'!$B$10)</x:f>
        <x:v>0</x:v>
      </x:c>
      <x:c r="P196" s="53" t="n">
        <x:v>44558</x:v>
      </x:c>
      <x:c r="Q196" s="54" t="n">
        <x:v>16603.519</x:v>
      </x:c>
      <x:c r="R196" s="55" t="n">
        <x:v>-0.00219</x:v>
      </x:c>
      <x:c r="S196" s="57" t="str">
        <x:f>IF(I196,"DAMAGE SKIP",IF(AND(M196,N196),IF(O196,"TUESDAY RE-ENTRY","GAP/MOM SKIP"),"BASELINE"))</x:f>
        <x:v>BASELINE</x:v>
      </x:c>
      <x:c r="T196" s="56" t="n">
        <x:f>IF(I196,0,IF(AND(M196,N196),IF(O196,R196,0),G196))</x:f>
        <x:v>0.01317</x:v>
      </x:c>
      <x:c r="U196" s="56" t="n">
        <x:f>G196*'Assumptions'!$B$6</x:f>
        <x:v>0.148821</x:v>
      </x:c>
      <x:c r="V196" s="56" t="n">
        <x:f>T196*'Assumptions'!$B$6</x:f>
        <x:v>0.148821</x:v>
      </x:c>
      <x:c r="W196" s="56" t="n">
        <x:f>V196-U196</x:f>
        <x:v>0</x:v>
      </x:c>
      <x:c r="X196" s="58" t="n">
        <x:f>X195*(1+U196)</x:f>
        <x:v>17064.260077044524</x:v>
      </x:c>
      <x:c r="Y196" s="58" t="n">
        <x:f>MAX(Y195,X196)</x:f>
        <x:v>20113.53610204719</x:v>
      </x:c>
      <x:c r="Z196" s="59" t="n">
        <x:f>X196/Y196-1</x:f>
        <x:v>-0.15160317954694724</x:v>
      </x:c>
      <x:c r="AA196" s="58" t="n">
        <x:f>AA195*(1+V196)</x:f>
        <x:v>99391.645333448</x:v>
      </x:c>
      <x:c r="AB196" s="58" t="n">
        <x:f>MAX(AB195,AA196)</x:f>
        <x:v>113989.39841528179</x:v>
      </x:c>
      <x:c r="AC196" s="59" t="n">
        <x:f>AA196/AB196-1</x:f>
        <x:v>-0.12806237496448403</x:v>
      </x:c>
      <x:c r="AD196" s="60" t="n">
        <x:f>AA196-X196</x:f>
        <x:v>82327.38525640348</x:v>
      </x:c>
      <x:c r="AE196" s="28" t="str">
        <x:v>Baseline trade unchanged.</x:v>
      </x:c>
    </x:row>
    <x:row r="197" ht="18" customHeight="1">
      <x:c r="A197" s="23" t="n">
        <x:v>193</x:v>
      </x:c>
      <x:c r="B197" s="53" t="n">
        <x:v>44564</x:v>
      </x:c>
      <x:c r="C197" s="53" t="n">
        <x:v>44565</x:v>
      </x:c>
      <x:c r="D197" s="23" t="str">
        <x:v>PREOH</x:v>
      </x:c>
      <x:c r="E197" s="54" t="n">
        <x:v>16384.109</x:v>
      </x:c>
      <x:c r="F197" s="54" t="n">
        <x:v>16501.569</x:v>
      </x:c>
      <x:c r="G197" s="55" t="n">
        <x:v>0.00716</x:v>
      </x:c>
      <x:c r="H197" s="56" t="n">
        <x:f>SUM(T194:T196)</x:f>
        <x:v>0.016399999999999998</x:v>
      </x:c>
      <x:c r="I197" s="57" t="b">
        <x:f>AND(A197&gt;3,H197&lt;='Assumptions'!$B$7)</x:f>
        <x:v>0</x:v>
      </x:c>
      <x:c r="J197" s="55" t="n">
        <x:v>0.0018680948899258976</x:v>
      </x:c>
      <x:c r="K197" s="55" t="n">
        <x:v>0.021669512396629287</x:v>
      </x:c>
      <x:c r="L197" s="55" t="n">
        <x:v>0.011049071328635307</x:v>
      </x:c>
      <x:c r="M197" s="57" t="b">
        <x:f>J197&gt;='Assumptions'!$B$8</x:f>
        <x:v>0</x:v>
      </x:c>
      <x:c r="N197" s="57" t="b">
        <x:f>AND(K197&lt;&gt;"",K197&lt;='Assumptions'!$B$9)</x:f>
        <x:v>0</x:v>
      </x:c>
      <x:c r="O197" s="57" t="b">
        <x:f>AND(P197&lt;&gt;"",ABS(L197)&lt;='Assumptions'!$B$10)</x:f>
        <x:v>0</x:v>
      </x:c>
      <x:c r="P197" s="53" t="n">
        <x:v>44565</x:v>
      </x:c>
      <x:c r="Q197" s="54" t="n">
        <x:v>16512.799</x:v>
      </x:c>
      <x:c r="R197" s="55" t="n">
        <x:v>-0.00068</x:v>
      </x:c>
      <x:c r="S197" s="57" t="str">
        <x:f>IF(I197,"DAMAGE SKIP",IF(AND(M197,N197),IF(O197,"TUESDAY RE-ENTRY","GAP/MOM SKIP"),"BASELINE"))</x:f>
        <x:v>BASELINE</x:v>
      </x:c>
      <x:c r="T197" s="56" t="n">
        <x:f>IF(I197,0,IF(AND(M197,N197),IF(O197,R197,0),G197))</x:f>
        <x:v>0.00716</x:v>
      </x:c>
      <x:c r="U197" s="56" t="n">
        <x:f>G197*'Assumptions'!$B$6</x:f>
        <x:v>0.08090800000000001</x:v>
      </x:c>
      <x:c r="V197" s="56" t="n">
        <x:f>T197*'Assumptions'!$B$6</x:f>
        <x:v>0.08090800000000001</x:v>
      </x:c>
      <x:c r="W197" s="56" t="n">
        <x:f>V197-U197</x:f>
        <x:v>0</x:v>
      </x:c>
      <x:c r="X197" s="58" t="n">
        <x:f>X196*(1+U197)</x:f>
        <x:v>18444.89523135804</x:v>
      </x:c>
      <x:c r="Y197" s="58" t="n">
        <x:f>MAX(Y196,X197)</x:f>
        <x:v>20113.53610204719</x:v>
      </x:c>
      <x:c r="Z197" s="59" t="n">
        <x:f>X197/Y197-1</x:f>
        <x:v>-0.08296108959773174</x:v>
      </x:c>
      <x:c r="AA197" s="58" t="n">
        <x:f>AA196*(1+V197)</x:f>
        <x:v>107433.2245740866</x:v>
      </x:c>
      <x:c r="AB197" s="58" t="n">
        <x:f>MAX(AB196,AA197)</x:f>
        <x:v>113989.39841528179</x:v>
      </x:c>
      <x:c r="AC197" s="59" t="n">
        <x:f>AA197/AB197-1</x:f>
        <x:v>-0.05751564559811062</x:v>
      </x:c>
      <x:c r="AD197" s="60" t="n">
        <x:f>AA197-X197</x:f>
        <x:v>88988.32934272857</x:v>
      </x:c>
      <x:c r="AE197" s="28" t="str">
        <x:v>Baseline trade unchanged.</x:v>
      </x:c>
    </x:row>
    <x:row r="198" ht="18" customHeight="1">
      <x:c r="A198" s="23" t="n">
        <x:v>194</x:v>
      </x:c>
      <x:c r="B198" s="53" t="n">
        <x:v>44571</x:v>
      </x:c>
      <x:c r="C198" s="53" t="n">
        <x:v>44571</x:v>
      </x:c>
      <x:c r="D198" s="23" t="str">
        <x:v>CH</x:v>
      </x:c>
      <x:c r="E198" s="54" t="n">
        <x:v>15388.497</x:v>
      </x:c>
      <x:c r="F198" s="54" t="n">
        <x:v>15612.849</x:v>
      </x:c>
      <x:c r="G198" s="55" t="n">
        <x:v>0.01457</x:v>
      </x:c>
      <x:c r="H198" s="56" t="n">
        <x:f>SUM(T195:T197)</x:f>
        <x:v>0.02756</x:v>
      </x:c>
      <x:c r="I198" s="57" t="b">
        <x:f>AND(A198&gt;3,H198&lt;='Assumptions'!$B$7)</x:f>
        <x:v>0</x:v>
      </x:c>
      <x:c r="J198" s="55" t="n">
        <x:v>-0.013621683059089396</x:v>
      </x:c>
      <x:c r="K198" s="55" t="n">
        <x:v>-0.03398309156786106</x:v>
      </x:c>
      <x:c r="L198" s="55" t="n">
        <x:v>-0.0013497127155306377</x:v>
      </x:c>
      <x:c r="M198" s="57" t="b">
        <x:f>J198&gt;='Assumptions'!$B$8</x:f>
        <x:v>0</x:v>
      </x:c>
      <x:c r="N198" s="57" t="b">
        <x:f>AND(K198&lt;&gt;"",K198&lt;='Assumptions'!$B$9)</x:f>
        <x:v>1</x:v>
      </x:c>
      <x:c r="O198" s="57" t="b">
        <x:f>AND(P198&lt;&gt;"",ABS(L198)&lt;='Assumptions'!$B$10)</x:f>
        <x:v>1</x:v>
      </x:c>
      <x:c r="P198" s="53" t="n">
        <x:v>44572</x:v>
      </x:c>
      <x:c r="Q198" s="54" t="n">
        <x:v>15574.409</x:v>
      </x:c>
      <x:c r="R198" s="55" t="n">
        <x:v>0.00246</x:v>
      </x:c>
      <x:c r="S198" s="57" t="str">
        <x:f>IF(I198,"DAMAGE SKIP",IF(AND(M198,N198),IF(O198,"TUESDAY RE-ENTRY","GAP/MOM SKIP"),"BASELINE"))</x:f>
        <x:v>BASELINE</x:v>
      </x:c>
      <x:c r="T198" s="56" t="n">
        <x:f>IF(I198,0,IF(AND(M198,N198),IF(O198,R198,0),G198))</x:f>
        <x:v>0.01457</x:v>
      </x:c>
      <x:c r="U198" s="56" t="n">
        <x:f>G198*'Assumptions'!$B$6</x:f>
        <x:v>0.164641</x:v>
      </x:c>
      <x:c r="V198" s="56" t="n">
        <x:f>T198*'Assumptions'!$B$6</x:f>
        <x:v>0.164641</x:v>
      </x:c>
      <x:c r="W198" s="56" t="n">
        <x:f>V198-U198</x:f>
        <x:v>0</x:v>
      </x:c>
      <x:c r="X198" s="58" t="n">
        <x:f>X197*(1+U198)</x:f>
        <x:v>21481.68122714406</x:v>
      </x:c>
      <x:c r="Y198" s="58" t="n">
        <x:f>MAX(Y197,X198)</x:f>
        <x:v>21481.68122714406</x:v>
      </x:c>
      <x:c r="Z198" s="59" t="n">
        <x:f>X198/Y198-1</x:f>
        <x:v>0</x:v>
      </x:c>
      <x:c r="AA198" s="58" t="n">
        <x:f>AA197*(1+V198)</x:f>
        <x:v>125121.1381011888</x:v>
      </x:c>
      <x:c r="AB198" s="58" t="n">
        <x:f>MAX(AB197,AA198)</x:f>
        <x:v>125121.1381011888</x:v>
      </x:c>
      <x:c r="AC198" s="59" t="n">
        <x:f>AA198/AB198-1</x:f>
        <x:v>0</x:v>
      </x:c>
      <x:c r="AD198" s="60" t="n">
        <x:f>AA198-X198</x:f>
        <x:v>103639.45687404474</x:v>
      </x:c>
      <x:c r="AE198" s="28" t="str">
        <x:v>Baseline trade unchanged.</x:v>
      </x:c>
    </x:row>
    <x:row r="199" ht="18" customHeight="1">
      <x:c r="A199" s="23" t="n">
        <x:v>195</x:v>
      </x:c>
      <x:c r="B199" s="53" t="n">
        <x:v>44579</x:v>
      </x:c>
      <x:c r="C199" s="53" t="n">
        <x:v>44581</x:v>
      </x:c>
      <x:c r="D199" s="23" t="str">
        <x:v>TSL1PRE</x:v>
      </x:c>
      <x:c r="E199" s="54" t="n">
        <x:v>15355.849</x:v>
      </x:c>
      <x:c r="F199" s="54" t="n">
        <x:v>15051.899</x:v>
      </x:c>
      <x:c r="G199" s="55" t="n">
        <x:v>-0.01979</x:v>
      </x:c>
      <x:c r="H199" s="56" t="n">
        <x:f>SUM(T196:T198)</x:f>
        <x:v>0.0349</x:v>
      </x:c>
      <x:c r="I199" s="57" t="b">
        <x:f>AND(A199&gt;3,H199&lt;='Assumptions'!$B$7)</x:f>
        <x:v>0</x:v>
      </x:c>
      <x:c r="J199" s="55" t="n">
        <x:v>-0.015850626241374455</x:v>
      </x:c>
      <x:c r="K199" s="55" t="n">
        <x:v>-0.016403106677029267</x:v>
      </x:c>
      <x:c r="L199" s="55"/>
      <x:c r="M199" s="57" t="b">
        <x:f>J199&gt;='Assumptions'!$B$8</x:f>
        <x:v>0</x:v>
      </x:c>
      <x:c r="N199" s="57" t="b">
        <x:f>AND(K199&lt;&gt;"",K199&lt;='Assumptions'!$B$9)</x:f>
        <x:v>1</x:v>
      </x:c>
      <x:c r="O199" s="57" t="b">
        <x:f>AND(P199&lt;&gt;"",ABS(L199)&lt;='Assumptions'!$B$10)</x:f>
        <x:v>0</x:v>
      </x:c>
      <x:c r="P199" s="53"/>
      <x:c r="Q199" s="54"/>
      <x:c r="R199" s="55"/>
      <x:c r="S199" s="57" t="str">
        <x:f>IF(I199,"DAMAGE SKIP",IF(AND(M199,N199),IF(O199,"TUESDAY RE-ENTRY","GAP/MOM SKIP"),"BASELINE"))</x:f>
        <x:v>BASELINE</x:v>
      </x:c>
      <x:c r="T199" s="56" t="n">
        <x:f>IF(I199,0,IF(AND(M199,N199),IF(O199,R199,0),G199))</x:f>
        <x:v>-0.01979</x:v>
      </x:c>
      <x:c r="U199" s="56" t="n">
        <x:f>G199*'Assumptions'!$B$6</x:f>
        <x:v>-0.223627</x:v>
      </x:c>
      <x:c r="V199" s="56" t="n">
        <x:f>T199*'Assumptions'!$B$6</x:f>
        <x:v>-0.223627</x:v>
      </x:c>
      <x:c r="W199" s="56" t="n">
        <x:f>V199-U199</x:f>
        <x:v>0</x:v>
      </x:c>
      <x:c r="X199" s="58" t="n">
        <x:f>X198*(1+U199)</x:f>
        <x:v>16677.797299361515</x:v>
      </x:c>
      <x:c r="Y199" s="58" t="n">
        <x:f>MAX(Y198,X199)</x:f>
        <x:v>21481.68122714406</x:v>
      </x:c>
      <x:c r="Z199" s="59" t="n">
        <x:f>X199/Y199-1</x:f>
        <x:v>-0.22362700000000002</x:v>
      </x:c>
      <x:c r="AA199" s="58" t="n">
        <x:f>AA198*(1+V199)</x:f>
        <x:v>97140.67335103425</x:v>
      </x:c>
      <x:c r="AB199" s="58" t="n">
        <x:f>MAX(AB198,AA199)</x:f>
        <x:v>125121.1381011888</x:v>
      </x:c>
      <x:c r="AC199" s="59" t="n">
        <x:f>AA199/AB199-1</x:f>
        <x:v>-0.22362700000000002</x:v>
      </x:c>
      <x:c r="AD199" s="60" t="n">
        <x:f>AA199-X199</x:f>
        <x:v>80462.87605167273</x:v>
      </x:c>
      <x:c r="AE199" s="28" t="str">
        <x:v>Baseline trade unchanged.</x:v>
      </x:c>
    </x:row>
    <x:row r="200" ht="18" customHeight="1">
      <x:c r="A200" s="23" t="n">
        <x:v>196</x:v>
      </x:c>
      <x:c r="B200" s="53" t="n">
        <x:v>44585</x:v>
      </x:c>
      <x:c r="C200" s="53" t="n">
        <x:v>44585</x:v>
      </x:c>
      <x:c r="D200" s="23" t="str">
        <x:v>CH</x:v>
      </x:c>
      <x:c r="E200" s="54" t="n">
        <x:v>14198.809</x:v>
      </x:c>
      <x:c r="F200" s="54" t="n">
        <x:v>14508.349</x:v>
      </x:c>
      <x:c r="G200" s="55" t="n">
        <x:v>0.0218</x:v>
      </x:c>
      <x:c r="H200" s="56" t="n">
        <x:f>SUM(T197:T199)</x:f>
        <x:v>0.0019400000000000008</x:v>
      </x:c>
      <x:c r="I200" s="57" t="b">
        <x:f>AND(A200&gt;3,H200&lt;='Assumptions'!$B$7)</x:f>
        <x:v>0</x:v>
      </x:c>
      <x:c r="J200" s="55" t="n">
        <x:v>-0.016677032821987958</x:v>
      </x:c>
      <x:c r="K200" s="55" t="n">
        <x:v>-0.10726896573179645</x:v>
      </x:c>
      <x:c r="L200" s="55" t="n">
        <x:v>-0.014267626166704406</x:v>
      </x:c>
      <x:c r="M200" s="57" t="b">
        <x:f>J200&gt;='Assumptions'!$B$8</x:f>
        <x:v>0</x:v>
      </x:c>
      <x:c r="N200" s="57" t="b">
        <x:f>AND(K200&lt;&gt;"",K200&lt;='Assumptions'!$B$9)</x:f>
        <x:v>1</x:v>
      </x:c>
      <x:c r="O200" s="57" t="b">
        <x:f>AND(P200&lt;&gt;"",ABS(L200)&lt;='Assumptions'!$B$10)</x:f>
        <x:v>0</x:v>
      </x:c>
      <x:c r="P200" s="53" t="n">
        <x:v>44586</x:v>
      </x:c>
      <x:c r="Q200" s="54" t="n">
        <x:v>14230.889</x:v>
      </x:c>
      <x:c r="R200" s="55" t="n">
        <x:v>0.01949</x:v>
      </x:c>
      <x:c r="S200" s="57" t="str">
        <x:f>IF(I200,"DAMAGE SKIP",IF(AND(M200,N200),IF(O200,"TUESDAY RE-ENTRY","GAP/MOM SKIP"),"BASELINE"))</x:f>
        <x:v>BASELINE</x:v>
      </x:c>
      <x:c r="T200" s="56" t="n">
        <x:f>IF(I200,0,IF(AND(M200,N200),IF(O200,R200,0),G200))</x:f>
        <x:v>0.0218</x:v>
      </x:c>
      <x:c r="U200" s="56" t="n">
        <x:f>G200*'Assumptions'!$B$6</x:f>
        <x:v>0.24634</x:v>
      </x:c>
      <x:c r="V200" s="56" t="n">
        <x:f>T200*'Assumptions'!$B$6</x:f>
        <x:v>0.24634</x:v>
      </x:c>
      <x:c r="W200" s="56" t="n">
        <x:f>V200-U200</x:f>
        <x:v>0</x:v>
      </x:c>
      <x:c r="X200" s="58" t="n">
        <x:f>X199*(1+U200)</x:f>
        <x:v>20786.20588608623</x:v>
      </x:c>
      <x:c r="Y200" s="58" t="n">
        <x:f>MAX(Y199,X200)</x:f>
        <x:v>21481.68122714406</x:v>
      </x:c>
      <x:c r="Z200" s="59" t="n">
        <x:f>X200/Y200-1</x:f>
        <x:v>-0.03237527518000005</x:v>
      </x:c>
      <x:c r="AA200" s="58" t="n">
        <x:f>AA199*(1+V200)</x:f>
        <x:v>121070.30682432803</x:v>
      </x:c>
      <x:c r="AB200" s="58" t="n">
        <x:f>MAX(AB199,AA200)</x:f>
        <x:v>125121.1381011888</x:v>
      </x:c>
      <x:c r="AC200" s="59" t="n">
        <x:f>AA200/AB200-1</x:f>
        <x:v>-0.03237527518000005</x:v>
      </x:c>
      <x:c r="AD200" s="60" t="n">
        <x:f>AA200-X200</x:f>
        <x:v>100284.1009382418</x:v>
      </x:c>
      <x:c r="AE200" s="28" t="str">
        <x:v>Baseline trade unchanged.</x:v>
      </x:c>
    </x:row>
    <x:row r="201" ht="18" customHeight="1">
      <x:c r="A201" s="23" t="n">
        <x:v>197</x:v>
      </x:c>
      <x:c r="B201" s="53" t="n">
        <x:v>44592</x:v>
      </x:c>
      <x:c r="C201" s="53" t="n">
        <x:v>44592</x:v>
      </x:c>
      <x:c r="D201" s="23" t="str">
        <x:v>CH</x:v>
      </x:c>
      <x:c r="E201" s="54" t="n">
        <x:v>14499.369</x:v>
      </x:c>
      <x:c r="F201" s="54" t="n">
        <x:v>14898.039</x:v>
      </x:c>
      <x:c r="G201" s="55" t="n">
        <x:v>0.02749</x:v>
      </x:c>
      <x:c r="H201" s="56" t="n">
        <x:f>SUM(T198:T200)</x:f>
        <x:v>0.01658</x:v>
      </x:c>
      <x:c r="I201" s="57" t="b">
        <x:f>AND(A201&gt;3,H201&lt;='Assumptions'!$B$7)</x:f>
        <x:v>0</x:v>
      </x:c>
      <x:c r="J201" s="55" t="n">
        <x:v>0.005150755258085837</x:v>
      </x:c>
      <x:c r="K201" s="55" t="n">
        <x:v>-0.12126901843934002</x:v>
      </x:c>
      <x:c r="L201" s="55" t="n">
        <x:v>0.035888890179183175</x:v>
      </x:c>
      <x:c r="M201" s="57" t="b">
        <x:f>J201&gt;='Assumptions'!$B$8</x:f>
        <x:v>0</x:v>
      </x:c>
      <x:c r="N201" s="57" t="b">
        <x:f>AND(K201&lt;&gt;"",K201&lt;='Assumptions'!$B$9)</x:f>
        <x:v>1</x:v>
      </x:c>
      <x:c r="O201" s="57" t="b">
        <x:f>AND(P201&lt;&gt;"",ABS(L201)&lt;='Assumptions'!$B$10)</x:f>
        <x:v>0</x:v>
      </x:c>
      <x:c r="P201" s="53" t="n">
        <x:v>44593</x:v>
      </x:c>
      <x:c r="Q201" s="54" t="n">
        <x:v>14960.059</x:v>
      </x:c>
      <x:c r="R201" s="55" t="n">
        <x:v>-0.00414</x:v>
      </x:c>
      <x:c r="S201" s="57" t="str">
        <x:f>IF(I201,"DAMAGE SKIP",IF(AND(M201,N201),IF(O201,"TUESDAY RE-ENTRY","GAP/MOM SKIP"),"BASELINE"))</x:f>
        <x:v>BASELINE</x:v>
      </x:c>
      <x:c r="T201" s="56" t="n">
        <x:f>IF(I201,0,IF(AND(M201,N201),IF(O201,R201,0),G201))</x:f>
        <x:v>0.02749</x:v>
      </x:c>
      <x:c r="U201" s="56" t="n">
        <x:f>G201*'Assumptions'!$B$6</x:f>
        <x:v>0.31063700000000005</x:v>
      </x:c>
      <x:c r="V201" s="56" t="n">
        <x:f>T201*'Assumptions'!$B$6</x:f>
        <x:v>0.31063700000000005</x:v>
      </x:c>
      <x:c r="W201" s="56" t="n">
        <x:f>V201-U201</x:f>
        <x:v>0</x:v>
      </x:c>
      <x:c r="X201" s="58" t="n">
        <x:f>X200*(1+U201)</x:f>
        <x:v>27243.1705239224</x:v>
      </x:c>
      <x:c r="Y201" s="58" t="n">
        <x:f>MAX(Y200,X201)</x:f>
        <x:v>27243.1705239224</x:v>
      </x:c>
      <x:c r="Z201" s="59" t="n">
        <x:f>X201/Y201-1</x:f>
        <x:v>0</x:v>
      </x:c>
      <x:c r="AA201" s="58" t="n">
        <x:f>AA200*(1+V201)</x:f>
        <x:v>158679.2237253168</x:v>
      </x:c>
      <x:c r="AB201" s="58" t="n">
        <x:f>MAX(AB200,AA201)</x:f>
        <x:v>158679.2237253168</x:v>
      </x:c>
      <x:c r="AC201" s="59" t="n">
        <x:f>AA201/AB201-1</x:f>
        <x:v>0</x:v>
      </x:c>
      <x:c r="AD201" s="60" t="n">
        <x:f>AA201-X201</x:f>
        <x:v>131436.05320139442</x:v>
      </x:c>
      <x:c r="AE201" s="28" t="str">
        <x:v>Baseline trade unchanged.</x:v>
      </x:c>
    </x:row>
    <x:row r="202" ht="18" customHeight="1">
      <x:c r="A202" s="23" t="n">
        <x:v>198</x:v>
      </x:c>
      <x:c r="B202" s="53" t="n">
        <x:v>44599</x:v>
      </x:c>
      <x:c r="C202" s="53" t="n">
        <x:v>44602</x:v>
      </x:c>
      <x:c r="D202" s="23" t="str">
        <x:v>TSL2</x:v>
      </x:c>
      <x:c r="E202" s="54" t="n">
        <x:v>14721.389</x:v>
      </x:c>
      <x:c r="F202" s="54" t="n">
        <x:v>14662.503444</x:v>
      </x:c>
      <x:c r="G202" s="55" t="n">
        <x:v>-0.004</x:v>
      </x:c>
      <x:c r="H202" s="56" t="n">
        <x:f>SUM(T199:T201)</x:f>
        <x:v>0.029500000000000002</x:v>
      </x:c>
      <x:c r="I202" s="57" t="b">
        <x:f>AND(A202&gt;3,H202&lt;='Assumptions'!$B$7)</x:f>
        <x:v>0</x:v>
      </x:c>
      <x:c r="J202" s="55" t="n">
        <x:v>0.0013284034352389895</x:v>
      </x:c>
      <x:c r="K202" s="55" t="n">
        <x:v>-0.06773706243118316</x:v>
      </x:c>
      <x:c r="L202" s="55" t="n">
        <x:v>-0.011294357956117773</x:v>
      </x:c>
      <x:c r="M202" s="57" t="b">
        <x:f>J202&gt;='Assumptions'!$B$8</x:f>
        <x:v>0</x:v>
      </x:c>
      <x:c r="N202" s="57" t="b">
        <x:f>AND(K202&lt;&gt;"",K202&lt;='Assumptions'!$B$9)</x:f>
        <x:v>1</x:v>
      </x:c>
      <x:c r="O202" s="57" t="b">
        <x:f>AND(P202&lt;&gt;"",ABS(L202)&lt;='Assumptions'!$B$10)</x:f>
        <x:v>0</x:v>
      </x:c>
      <x:c r="P202" s="53" t="n">
        <x:v>44600</x:v>
      </x:c>
      <x:c r="Q202" s="54" t="n">
        <x:v>14527.519</x:v>
      </x:c>
      <x:c r="R202" s="55" t="n">
        <x:v>0.00929</x:v>
      </x:c>
      <x:c r="S202" s="57" t="str">
        <x:f>IF(I202,"DAMAGE SKIP",IF(AND(M202,N202),IF(O202,"TUESDAY RE-ENTRY","GAP/MOM SKIP"),"BASELINE"))</x:f>
        <x:v>BASELINE</x:v>
      </x:c>
      <x:c r="T202" s="56" t="n">
        <x:f>IF(I202,0,IF(AND(M202,N202),IF(O202,R202,0),G202))</x:f>
        <x:v>-0.004</x:v>
      </x:c>
      <x:c r="U202" s="56" t="n">
        <x:f>G202*'Assumptions'!$B$6</x:f>
        <x:v>-0.045200000000000004</x:v>
      </x:c>
      <x:c r="V202" s="56" t="n">
        <x:f>T202*'Assumptions'!$B$6</x:f>
        <x:v>-0.045200000000000004</x:v>
      </x:c>
      <x:c r="W202" s="56" t="n">
        <x:f>V202-U202</x:f>
        <x:v>0</x:v>
      </x:c>
      <x:c r="X202" s="58" t="n">
        <x:f>X201*(1+U202)</x:f>
        <x:v>26011.779216241106</x:v>
      </x:c>
      <x:c r="Y202" s="58" t="n">
        <x:f>MAX(Y201,X202)</x:f>
        <x:v>27243.1705239224</x:v>
      </x:c>
      <x:c r="Z202" s="59" t="n">
        <x:f>X202/Y202-1</x:f>
        <x:v>-0.04520000000000002</x:v>
      </x:c>
      <x:c r="AA202" s="58" t="n">
        <x:f>AA201*(1+V202)</x:f>
        <x:v>151506.9228129325</x:v>
      </x:c>
      <x:c r="AB202" s="58" t="n">
        <x:f>MAX(AB201,AA202)</x:f>
        <x:v>158679.2237253168</x:v>
      </x:c>
      <x:c r="AC202" s="59" t="n">
        <x:f>AA202/AB202-1</x:f>
        <x:v>-0.04520000000000002</x:v>
      </x:c>
      <x:c r="AD202" s="60" t="n">
        <x:f>AA202-X202</x:f>
        <x:v>125495.14359669139</x:v>
      </x:c>
      <x:c r="AE202" s="28" t="str">
        <x:v>Baseline trade unchanged.</x:v>
      </x:c>
    </x:row>
    <x:row r="203" ht="18" customHeight="1">
      <x:c r="A203" s="23" t="n">
        <x:v>199</x:v>
      </x:c>
      <x:c r="B203" s="53" t="n">
        <x:v>44606</x:v>
      </x:c>
      <x:c r="C203" s="53" t="n">
        <x:v>44607</x:v>
      </x:c>
      <x:c r="D203" s="23" t="str">
        <x:v>PREOH</x:v>
      </x:c>
      <x:c r="E203" s="54" t="n">
        <x:v>14217.117</x:v>
      </x:c>
      <x:c r="F203" s="54" t="n">
        <x:v>14449.289</x:v>
      </x:c>
      <x:c r="G203" s="55" t="n">
        <x:v>0.01633</x:v>
      </x:c>
      <x:c r="H203" s="56" t="n">
        <x:f>SUM(T200:T202)</x:f>
        <x:v>0.04529</x:v>
      </x:c>
      <x:c r="I203" s="57" t="b">
        <x:f>AND(A203&gt;3,H203&lt;='Assumptions'!$B$7)</x:f>
        <x:v>0</x:v>
      </x:c>
      <x:c r="J203" s="55" t="n">
        <x:v>-0.0019054694245590476</x:v>
      </x:c>
      <x:c r="K203" s="55" t="n">
        <x:v>-0.08101727275923343</x:v>
      </x:c>
      <x:c r="L203" s="55" t="n">
        <x:v>0.01684740226299608</x:v>
      </x:c>
      <x:c r="M203" s="57" t="b">
        <x:f>J203&gt;='Assumptions'!$B$8</x:f>
        <x:v>0</x:v>
      </x:c>
      <x:c r="N203" s="57" t="b">
        <x:f>AND(K203&lt;&gt;"",K203&lt;='Assumptions'!$B$9)</x:f>
        <x:v>1</x:v>
      </x:c>
      <x:c r="O203" s="57" t="b">
        <x:f>AND(P203&lt;&gt;"",ABS(L203)&lt;='Assumptions'!$B$10)</x:f>
        <x:v>0</x:v>
      </x:c>
      <x:c r="P203" s="53" t="n">
        <x:v>44607</x:v>
      </x:c>
      <x:c r="Q203" s="54" t="n">
        <x:v>14480.517</x:v>
      </x:c>
      <x:c r="R203" s="55" t="n">
        <x:v>-0.00215</x:v>
      </x:c>
      <x:c r="S203" s="57" t="str">
        <x:f>IF(I203,"DAMAGE SKIP",IF(AND(M203,N203),IF(O203,"TUESDAY RE-ENTRY","GAP/MOM SKIP"),"BASELINE"))</x:f>
        <x:v>BASELINE</x:v>
      </x:c>
      <x:c r="T203" s="56" t="n">
        <x:f>IF(I203,0,IF(AND(M203,N203),IF(O203,R203,0),G203))</x:f>
        <x:v>0.01633</x:v>
      </x:c>
      <x:c r="U203" s="56" t="n">
        <x:f>G203*'Assumptions'!$B$6</x:f>
        <x:v>0.18452900000000003</x:v>
      </x:c>
      <x:c r="V203" s="56" t="n">
        <x:f>T203*'Assumptions'!$B$6</x:f>
        <x:v>0.18452900000000003</x:v>
      </x:c>
      <x:c r="W203" s="56" t="n">
        <x:f>V203-U203</x:f>
        <x:v>0</x:v>
      </x:c>
      <x:c r="X203" s="58" t="n">
        <x:f>X202*(1+U203)</x:f>
        <x:v>30811.70682323486</x:v>
      </x:c>
      <x:c r="Y203" s="58" t="n">
        <x:f>MAX(Y202,X203)</x:f>
        <x:v>30811.70682323486</x:v>
      </x:c>
      <x:c r="Z203" s="59" t="n">
        <x:f>X203/Y203-1</x:f>
        <x:v>0</x:v>
      </x:c>
      <x:c r="AA203" s="58" t="n">
        <x:f>AA202*(1+V203)</x:f>
        <x:v>179464.3437726801</x:v>
      </x:c>
      <x:c r="AB203" s="58" t="n">
        <x:f>MAX(AB202,AA203)</x:f>
        <x:v>179464.3437726801</x:v>
      </x:c>
      <x:c r="AC203" s="59" t="n">
        <x:f>AA203/AB203-1</x:f>
        <x:v>0</x:v>
      </x:c>
      <x:c r="AD203" s="60" t="n">
        <x:f>AA203-X203</x:f>
        <x:v>148652.63694944524</x:v>
      </x:c>
      <x:c r="AE203" s="28" t="str">
        <x:v>Baseline trade unchanged.</x:v>
      </x:c>
    </x:row>
    <x:row r="204" ht="18" customHeight="1">
      <x:c r="A204" s="23" t="n">
        <x:v>200</x:v>
      </x:c>
      <x:c r="B204" s="53" t="n">
        <x:v>44614</x:v>
      </x:c>
      <x:c r="C204" s="53" t="n">
        <x:v>44616</x:v>
      </x:c>
      <x:c r="D204" s="23" t="str">
        <x:v>TSL1PRE</x:v>
      </x:c>
      <x:c r="E204" s="54" t="n">
        <x:v>13890.319</x:v>
      </x:c>
      <x:c r="F204" s="54" t="n">
        <x:v>13490.029</x:v>
      </x:c>
      <x:c r="G204" s="55" t="n">
        <x:v>-0.02881</x:v>
      </x:c>
      <x:c r="H204" s="56" t="n">
        <x:f>SUM(T201:T203)</x:f>
        <x:v>0.03982</x:v>
      </x:c>
      <x:c r="I204" s="57" t="b">
        <x:f>AND(A204&gt;3,H204&lt;='Assumptions'!$B$7)</x:f>
        <x:v>0</x:v>
      </x:c>
      <x:c r="J204" s="55" t="n">
        <x:v>-0.008995884751936134</x:v>
      </x:c>
      <x:c r="K204" s="55" t="n">
        <x:v>-0.028956340425037586</x:v>
      </x:c>
      <x:c r="L204" s="55"/>
      <x:c r="M204" s="57" t="b">
        <x:f>J204&gt;='Assumptions'!$B$8</x:f>
        <x:v>0</x:v>
      </x:c>
      <x:c r="N204" s="57" t="b">
        <x:f>AND(K204&lt;&gt;"",K204&lt;='Assumptions'!$B$9)</x:f>
        <x:v>1</x:v>
      </x:c>
      <x:c r="O204" s="57" t="b">
        <x:f>AND(P204&lt;&gt;"",ABS(L204)&lt;='Assumptions'!$B$10)</x:f>
        <x:v>0</x:v>
      </x:c>
      <x:c r="P204" s="53"/>
      <x:c r="Q204" s="54"/>
      <x:c r="R204" s="55"/>
      <x:c r="S204" s="57" t="str">
        <x:f>IF(I204,"DAMAGE SKIP",IF(AND(M204,N204),IF(O204,"TUESDAY RE-ENTRY","GAP/MOM SKIP"),"BASELINE"))</x:f>
        <x:v>BASELINE</x:v>
      </x:c>
      <x:c r="T204" s="56" t="n">
        <x:f>IF(I204,0,IF(AND(M204,N204),IF(O204,R204,0),G204))</x:f>
        <x:v>-0.02881</x:v>
      </x:c>
      <x:c r="U204" s="56" t="n">
        <x:f>G204*'Assumptions'!$B$6</x:f>
        <x:v>-0.325553</x:v>
      </x:c>
      <x:c r="V204" s="56" t="n">
        <x:f>T204*'Assumptions'!$B$6</x:f>
        <x:v>-0.325553</x:v>
      </x:c>
      <x:c r="W204" s="56" t="n">
        <x:f>V204-U204</x:f>
        <x:v>0</x:v>
      </x:c>
      <x:c r="X204" s="58" t="n">
        <x:f>X203*(1+U204)</x:f>
        <x:v>20780.863231810283</x:v>
      </x:c>
      <x:c r="Y204" s="58" t="n">
        <x:f>MAX(Y203,X204)</x:f>
        <x:v>30811.70682323486</x:v>
      </x:c>
      <x:c r="Z204" s="59" t="n">
        <x:f>X204/Y204-1</x:f>
        <x:v>-0.325553</x:v>
      </x:c>
      <x:c r="AA204" s="58" t="n">
        <x:f>AA203*(1+V204)</x:f>
        <x:v>121039.18826445278</x:v>
      </x:c>
      <x:c r="AB204" s="58" t="n">
        <x:f>MAX(AB203,AA204)</x:f>
        <x:v>179464.3437726801</x:v>
      </x:c>
      <x:c r="AC204" s="59" t="n">
        <x:f>AA204/AB204-1</x:f>
        <x:v>-0.325553</x:v>
      </x:c>
      <x:c r="AD204" s="60" t="n">
        <x:f>AA204-X204</x:f>
        <x:v>100258.32503264249</x:v>
      </x:c>
      <x:c r="AE204" s="28" t="str">
        <x:v>Baseline trade unchanged.</x:v>
      </x:c>
    </x:row>
    <x:row r="205" ht="18" customHeight="1">
      <x:c r="A205" s="23" t="n">
        <x:v>201</x:v>
      </x:c>
      <x:c r="B205" s="53" t="n">
        <x:v>44620</x:v>
      </x:c>
      <x:c r="C205" s="53" t="n">
        <x:v>44620</x:v>
      </x:c>
      <x:c r="D205" s="23" t="str">
        <x:v>CH</x:v>
      </x:c>
      <x:c r="E205" s="54" t="n">
        <x:v>14049.549</x:v>
      </x:c>
      <x:c r="F205" s="54" t="n">
        <x:v>14229.089</x:v>
      </x:c>
      <x:c r="G205" s="55" t="n">
        <x:v>0.01277</x:v>
      </x:c>
      <x:c r="H205" s="56" t="n">
        <x:f>SUM(T202:T204)</x:f>
        <x:v>-0.016479999999999998</x:v>
      </x:c>
      <x:c r="I205" s="57" t="b">
        <x:f>AND(A205&gt;3,H205&lt;='Assumptions'!$B$7)</x:f>
        <x:v>0</x:v>
      </x:c>
      <x:c r="J205" s="55" t="n">
        <x:v>-0.010654292570817403</x:v>
      </x:c>
      <x:c r="K205" s="55" t="n">
        <x:v>0.013710771294513702</x:v>
      </x:c>
      <x:c r="L205" s="55" t="n">
        <x:v>-0.000053167922020480596</x:v>
      </x:c>
      <x:c r="M205" s="57" t="b">
        <x:f>J205&gt;='Assumptions'!$B$8</x:f>
        <x:v>0</x:v>
      </x:c>
      <x:c r="N205" s="57" t="b">
        <x:f>AND(K205&lt;&gt;"",K205&lt;='Assumptions'!$B$9)</x:f>
        <x:v>0</x:v>
      </x:c>
      <x:c r="O205" s="57" t="b">
        <x:f>AND(P205&lt;&gt;"",ABS(L205)&lt;='Assumptions'!$B$10)</x:f>
        <x:v>1</x:v>
      </x:c>
      <x:c r="P205" s="53" t="n">
        <x:v>44621</x:v>
      </x:c>
      <x:c r="Q205" s="54" t="n">
        <x:v>14181.169</x:v>
      </x:c>
      <x:c r="R205" s="55" t="n">
        <x:v>0.00337</x:v>
      </x:c>
      <x:c r="S205" s="57" t="str">
        <x:f>IF(I205,"DAMAGE SKIP",IF(AND(M205,N205),IF(O205,"TUESDAY RE-ENTRY","GAP/MOM SKIP"),"BASELINE"))</x:f>
        <x:v>BASELINE</x:v>
      </x:c>
      <x:c r="T205" s="56" t="n">
        <x:f>IF(I205,0,IF(AND(M205,N205),IF(O205,R205,0),G205))</x:f>
        <x:v>0.01277</x:v>
      </x:c>
      <x:c r="U205" s="56" t="n">
        <x:f>G205*'Assumptions'!$B$6</x:f>
        <x:v>0.144301</x:v>
      </x:c>
      <x:c r="V205" s="56" t="n">
        <x:f>T205*'Assumptions'!$B$6</x:f>
        <x:v>0.144301</x:v>
      </x:c>
      <x:c r="W205" s="56" t="n">
        <x:f>V205-U205</x:f>
        <x:v>0</x:v>
      </x:c>
      <x:c r="X205" s="58" t="n">
        <x:f>X204*(1+U205)</x:f>
        <x:v>23779.56257702374</x:v>
      </x:c>
      <x:c r="Y205" s="58" t="n">
        <x:f>MAX(Y204,X205)</x:f>
        <x:v>30811.70682323486</x:v>
      </x:c>
      <x:c r="Z205" s="59" t="n">
        <x:f>X205/Y205-1</x:f>
        <x:v>-0.22822962345300002</x:v>
      </x:c>
      <x:c r="AA205" s="58" t="n">
        <x:f>AA204*(1+V205)</x:f>
        <x:v>138505.26417020158</x:v>
      </x:c>
      <x:c r="AB205" s="58" t="n">
        <x:f>MAX(AB204,AA205)</x:f>
        <x:v>179464.3437726801</x:v>
      </x:c>
      <x:c r="AC205" s="59" t="n">
        <x:f>AA205/AB205-1</x:f>
        <x:v>-0.2282296234529999</x:v>
      </x:c>
      <x:c r="AD205" s="60" t="n">
        <x:f>AA205-X205</x:f>
        <x:v>114725.70159317784</x:v>
      </x:c>
      <x:c r="AE205" s="28" t="str">
        <x:v>Baseline trade unchanged.</x:v>
      </x:c>
    </x:row>
    <x:row r="206" ht="18" customHeight="1">
      <x:c r="A206" s="23" t="n">
        <x:v>202</x:v>
      </x:c>
      <x:c r="B206" s="53" t="n">
        <x:v>44627</x:v>
      </x:c>
      <x:c r="C206" s="53" t="n">
        <x:v>44629</x:v>
      </x:c>
      <x:c r="D206" s="23" t="str">
        <x:v>BH</x:v>
      </x:c>
      <x:c r="E206" s="54" t="n">
        <x:v>13832.309</x:v>
      </x:c>
      <x:c r="F206" s="54" t="n">
        <x:v>13776.979764</x:v>
      </x:c>
      <x:c r="G206" s="55" t="n">
        <x:v>-0.004</x:v>
      </x:c>
      <x:c r="H206" s="56" t="n">
        <x:f>SUM(T203:T205)</x:f>
        <x:v>0.00029000000000000206</x:v>
      </x:c>
      <x:c r="I206" s="57" t="b">
        <x:f>AND(A206&gt;3,H206&lt;='Assumptions'!$B$7)</x:f>
        <x:v>0</x:v>
      </x:c>
      <x:c r="J206" s="55" t="n">
        <x:v>0.0003695614708372208</x:v>
      </x:c>
      <x:c r="K206" s="55" t="n">
        <x:v>-0.04596034295486595</x:v>
      </x:c>
      <x:c r="L206" s="55" t="n">
        <x:v>-0.039302605841493476</x:v>
      </x:c>
      <x:c r="M206" s="57" t="b">
        <x:f>J206&gt;='Assumptions'!$B$8</x:f>
        <x:v>0</x:v>
      </x:c>
      <x:c r="N206" s="57" t="b">
        <x:f>AND(K206&lt;&gt;"",K206&lt;='Assumptions'!$B$9)</x:f>
        <x:v>1</x:v>
      </x:c>
      <x:c r="O206" s="57" t="b">
        <x:f>AND(P206&lt;&gt;"",ABS(L206)&lt;='Assumptions'!$B$10)</x:f>
        <x:v>0</x:v>
      </x:c>
      <x:c r="P206" s="53" t="n">
        <x:v>44628</x:v>
      </x:c>
      <x:c r="Q206" s="54" t="n">
        <x:v>13286.279</x:v>
      </x:c>
      <x:c r="R206" s="55" t="n">
        <x:v>0.03693</x:v>
      </x:c>
      <x:c r="S206" s="57" t="str">
        <x:f>IF(I206,"DAMAGE SKIP",IF(AND(M206,N206),IF(O206,"TUESDAY RE-ENTRY","GAP/MOM SKIP"),"BASELINE"))</x:f>
        <x:v>BASELINE</x:v>
      </x:c>
      <x:c r="T206" s="56" t="n">
        <x:f>IF(I206,0,IF(AND(M206,N206),IF(O206,R206,0),G206))</x:f>
        <x:v>-0.004</x:v>
      </x:c>
      <x:c r="U206" s="56" t="n">
        <x:f>G206*'Assumptions'!$B$6</x:f>
        <x:v>-0.045200000000000004</x:v>
      </x:c>
      <x:c r="V206" s="56" t="n">
        <x:f>T206*'Assumptions'!$B$6</x:f>
        <x:v>-0.045200000000000004</x:v>
      </x:c>
      <x:c r="W206" s="56" t="n">
        <x:f>V206-U206</x:f>
        <x:v>0</x:v>
      </x:c>
      <x:c r="X206" s="58" t="n">
        <x:f>X205*(1+U206)</x:f>
        <x:v>22704.726348542266</x:v>
      </x:c>
      <x:c r="Y206" s="58" t="n">
        <x:f>MAX(Y205,X206)</x:f>
        <x:v>30811.70682323486</x:v>
      </x:c>
      <x:c r="Z206" s="59" t="n">
        <x:f>X206/Y206-1</x:f>
        <x:v>-0.2631136444729244</x:v>
      </x:c>
      <x:c r="AA206" s="58" t="n">
        <x:f>AA205*(1+V206)</x:f>
        <x:v>132244.82622970847</x:v>
      </x:c>
      <x:c r="AB206" s="58" t="n">
        <x:f>MAX(AB205,AA206)</x:f>
        <x:v>179464.3437726801</x:v>
      </x:c>
      <x:c r="AC206" s="59" t="n">
        <x:f>AA206/AB206-1</x:f>
        <x:v>-0.2631136444729243</x:v>
      </x:c>
      <x:c r="AD206" s="60" t="n">
        <x:f>AA206-X206</x:f>
        <x:v>109540.09988116621</x:v>
      </x:c>
      <x:c r="AE206" s="28" t="str">
        <x:v>Baseline trade unchanged.</x:v>
      </x:c>
    </x:row>
    <x:row r="207" ht="18" customHeight="1">
      <x:c r="A207" s="23" t="n">
        <x:v>203</x:v>
      </x:c>
      <x:c r="B207" s="53" t="n">
        <x:v>44634</x:v>
      </x:c>
      <x:c r="C207" s="53" t="n">
        <x:v>44636</x:v>
      </x:c>
      <x:c r="D207" s="23" t="str">
        <x:v>CH</x:v>
      </x:c>
      <x:c r="E207" s="54" t="n">
        <x:v>13248.209</x:v>
      </x:c>
      <x:c r="F207" s="54" t="n">
        <x:v>13948.439</x:v>
      </x:c>
      <x:c r="G207" s="55" t="n">
        <x:v>0.05285</x:v>
      </x:c>
      <x:c r="H207" s="56" t="n">
        <x:f>SUM(T204:T206)</x:f>
        <x:v>-0.02004</x:v>
      </x:c>
      <x:c r="I207" s="57" t="b">
        <x:f>AND(A207&gt;3,H207&lt;='Assumptions'!$B$7)</x:f>
        <x:v>1</x:v>
      </x:c>
      <x:c r="J207" s="55" t="n">
        <x:v>-0.004910771993937857</x:v>
      </x:c>
      <x:c r="K207" s="55" t="n">
        <x:v>-0.09494731323124628</x:v>
      </x:c>
      <x:c r="L207" s="55" t="n">
        <x:v>-0.010833666539680875</x:v>
      </x:c>
      <x:c r="M207" s="57" t="b">
        <x:f>J207&gt;='Assumptions'!$B$8</x:f>
        <x:v>0</x:v>
      </x:c>
      <x:c r="N207" s="57" t="b">
        <x:f>AND(K207&lt;&gt;"",K207&lt;='Assumptions'!$B$9)</x:f>
        <x:v>1</x:v>
      </x:c>
      <x:c r="O207" s="57" t="b">
        <x:f>AND(P207&lt;&gt;"",ABS(L207)&lt;='Assumptions'!$B$10)</x:f>
        <x:v>0</x:v>
      </x:c>
      <x:c r="P207" s="53" t="n">
        <x:v>44635</x:v>
      </x:c>
      <x:c r="Q207" s="54" t="n">
        <x:v>13157.707</x:v>
      </x:c>
      <x:c r="R207" s="55" t="n">
        <x:v>0.06009</x:v>
      </x:c>
      <x:c r="S207" s="57" t="str">
        <x:f>IF(I207,"DAMAGE SKIP",IF(AND(M207,N207),IF(O207,"TUESDAY RE-ENTRY","GAP/MOM SKIP"),"BASELINE"))</x:f>
        <x:v>DAMAGE SKIP</x:v>
      </x:c>
      <x:c r="T207" s="56" t="n">
        <x:f>IF(I207,0,IF(AND(M207,N207),IF(O207,R207,0),G207))</x:f>
        <x:v>0</x:v>
      </x:c>
      <x:c r="U207" s="56" t="n">
        <x:f>G207*'Assumptions'!$B$6</x:f>
        <x:v>0.5972050000000001</x:v>
      </x:c>
      <x:c r="V207" s="56" t="n">
        <x:f>T207*'Assumptions'!$B$6</x:f>
        <x:v>0</x:v>
      </x:c>
      <x:c r="W207" s="56" t="n">
        <x:f>V207-U207</x:f>
        <x:v>-0.5972050000000001</x:v>
      </x:c>
      <x:c r="X207" s="58" t="n">
        <x:f>X206*(1+U207)</x:f>
        <x:v>36264.10244752345</x:v>
      </x:c>
      <x:c r="Y207" s="58" t="n">
        <x:f>MAX(Y206,X207)</x:f>
        <x:v>36264.10244752345</x:v>
      </x:c>
      <x:c r="Z207" s="59" t="n">
        <x:f>X207/Y207-1</x:f>
        <x:v>0</x:v>
      </x:c>
      <x:c r="AA207" s="58" t="n">
        <x:f>AA206*(1+V207)</x:f>
        <x:v>132244.82622970847</x:v>
      </x:c>
      <x:c r="AB207" s="58" t="n">
        <x:f>MAX(AB206,AA207)</x:f>
        <x:v>179464.3437726801</x:v>
      </x:c>
      <x:c r="AC207" s="59" t="n">
        <x:f>AA207/AB207-1</x:f>
        <x:v>-0.2631136444729243</x:v>
      </x:c>
      <x:c r="AD207" s="60" t="n">
        <x:f>AA207-X207</x:f>
        <x:v>95980.72378218503</x:v>
      </x:c>
      <x:c r="AE207" s="28" t="str">
        <x:v>Skipped because the previous three rule outcomes totalled at or below the damage threshold.</x:v>
      </x:c>
    </x:row>
    <x:row r="208" ht="18" customHeight="1">
      <x:c r="A208" s="23" t="n">
        <x:v>204</x:v>
      </x:c>
      <x:c r="B208" s="53" t="n">
        <x:v>44641</x:v>
      </x:c>
      <x:c r="C208" s="53" t="n">
        <x:v>44645</x:v>
      </x:c>
      <x:c r="D208" s="23" t="str">
        <x:v>TO</x:v>
      </x:c>
      <x:c r="E208" s="54" t="n">
        <x:v>14377.499</x:v>
      </x:c>
      <x:c r="F208" s="54" t="n">
        <x:v>14752.169</x:v>
      </x:c>
      <x:c r="G208" s="55" t="n">
        <x:v>0.02605</x:v>
      </x:c>
      <x:c r="H208" s="56" t="n">
        <x:f>SUM(T205:T207)</x:f>
        <x:v>0.00877</x:v>
      </x:c>
      <x:c r="I208" s="57" t="b">
        <x:f>AND(A208&gt;3,H208&lt;='Assumptions'!$B$7)</x:f>
        <x:v>0</x:v>
      </x:c>
      <x:c r="J208" s="55" t="n">
        <x:v>-0.0030301229502655014</x:v>
      </x:c>
      <x:c r="K208" s="55" t="n">
        <x:v>0.017475963528423843</x:v>
      </x:c>
      <x:c r="L208" s="55" t="n">
        <x:v>-0.0013395438577119556</x:v>
      </x:c>
      <x:c r="M208" s="57" t="b">
        <x:f>J208&gt;='Assumptions'!$B$8</x:f>
        <x:v>0</x:v>
      </x:c>
      <x:c r="N208" s="57" t="b">
        <x:f>AND(K208&lt;&gt;"",K208&lt;='Assumptions'!$B$9)</x:f>
        <x:v>0</x:v>
      </x:c>
      <x:c r="O208" s="57" t="b">
        <x:f>AND(P208&lt;&gt;"",ABS(L208)&lt;='Assumptions'!$B$10)</x:f>
        <x:v>1</x:v>
      </x:c>
      <x:c r="P208" s="53" t="n">
        <x:v>44642</x:v>
      </x:c>
      <x:c r="Q208" s="54" t="n">
        <x:v>14392.717</x:v>
      </x:c>
      <x:c r="R208" s="55" t="n">
        <x:v>0.02497</x:v>
      </x:c>
      <x:c r="S208" s="57" t="str">
        <x:f>IF(I208,"DAMAGE SKIP",IF(AND(M208,N208),IF(O208,"TUESDAY RE-ENTRY","GAP/MOM SKIP"),"BASELINE"))</x:f>
        <x:v>BASELINE</x:v>
      </x:c>
      <x:c r="T208" s="56" t="n">
        <x:f>IF(I208,0,IF(AND(M208,N208),IF(O208,R208,0),G208))</x:f>
        <x:v>0.02605</x:v>
      </x:c>
      <x:c r="U208" s="56" t="n">
        <x:f>G208*'Assumptions'!$B$6</x:f>
        <x:v>0.29436500000000004</x:v>
      </x:c>
      <x:c r="V208" s="56" t="n">
        <x:f>T208*'Assumptions'!$B$6</x:f>
        <x:v>0.29436500000000004</x:v>
      </x:c>
      <x:c r="W208" s="56" t="n">
        <x:f>V208-U208</x:f>
        <x:v>0</x:v>
      </x:c>
      <x:c r="X208" s="58" t="n">
        <x:f>X207*(1+U208)</x:f>
        <x:v>46938.98496448869</x:v>
      </x:c>
      <x:c r="Y208" s="58" t="n">
        <x:f>MAX(Y207,X208)</x:f>
        <x:v>46938.98496448869</x:v>
      </x:c>
      <x:c r="Z208" s="59" t="n">
        <x:f>X208/Y208-1</x:f>
        <x:v>0</x:v>
      </x:c>
      <x:c r="AA208" s="58" t="n">
        <x:f>AA207*(1+V208)</x:f>
        <x:v>171173.0745028166</x:v>
      </x:c>
      <x:c r="AB208" s="58" t="n">
        <x:f>MAX(AB207,AA208)</x:f>
        <x:v>179464.3437726801</x:v>
      </x:c>
      <x:c r="AC208" s="59" t="n">
        <x:f>AA208/AB208-1</x:f>
        <x:v>-0.04620009242819678</x:v>
      </x:c>
      <x:c r="AD208" s="60" t="n">
        <x:f>AA208-X208</x:f>
        <x:v>124234.08953832791</x:v>
      </x:c>
      <x:c r="AE208" s="28" t="str">
        <x:v>Baseline trade unchanged.</x:v>
      </x:c>
    </x:row>
    <x:row r="209" ht="18" customHeight="1">
      <x:c r="A209" s="23" t="n">
        <x:v>205</x:v>
      </x:c>
      <x:c r="B209" s="53" t="n">
        <x:v>44648</x:v>
      </x:c>
      <x:c r="C209" s="53" t="n">
        <x:v>44648</x:v>
      </x:c>
      <x:c r="D209" s="23" t="str">
        <x:v>CH</x:v>
      </x:c>
      <x:c r="E209" s="54" t="n">
        <x:v>14752.507</x:v>
      </x:c>
      <x:c r="F209" s="54" t="n">
        <x:v>14985.709</x:v>
      </x:c>
      <x:c r="G209" s="55" t="n">
        <x:v>0.0158</x:v>
      </x:c>
      <x:c r="H209" s="56" t="n">
        <x:f>SUM(T206:T208)</x:f>
        <x:v>0.02205</x:v>
      </x:c>
      <x:c r="I209" s="57" t="b">
        <x:f>AND(A209&gt;3,H209&lt;='Assumptions'!$B$7)</x:f>
        <x:v>0</x:v>
      </x:c>
      <x:c r="J209" s="55" t="n">
        <x:v>0.000022911885025234113</x:v>
      </x:c>
      <x:c r="K209" s="55" t="n">
        <x:v>0.040543494313986184</x:v>
      </x:c>
      <x:c r="L209" s="55" t="n">
        <x:v>0.026572914419375593</x:v>
      </x:c>
      <x:c r="M209" s="57" t="b">
        <x:f>J209&gt;='Assumptions'!$B$8</x:f>
        <x:v>0</x:v>
      </x:c>
      <x:c r="N209" s="57" t="b">
        <x:f>AND(K209&lt;&gt;"",K209&lt;='Assumptions'!$B$9)</x:f>
        <x:v>0</x:v>
      </x:c>
      <x:c r="O209" s="57" t="b">
        <x:f>AND(P209&lt;&gt;"",ABS(L209)&lt;='Assumptions'!$B$10)</x:f>
        <x:v>0</x:v>
      </x:c>
      <x:c r="P209" s="53" t="n">
        <x:v>44649</x:v>
      </x:c>
      <x:c r="Q209" s="54" t="n">
        <x:v>15147.317</x:v>
      </x:c>
      <x:c r="R209" s="55" t="n">
        <x:v>-0.01066</x:v>
      </x:c>
      <x:c r="S209" s="57" t="str">
        <x:f>IF(I209,"DAMAGE SKIP",IF(AND(M209,N209),IF(O209,"TUESDAY RE-ENTRY","GAP/MOM SKIP"),"BASELINE"))</x:f>
        <x:v>BASELINE</x:v>
      </x:c>
      <x:c r="T209" s="56" t="n">
        <x:f>IF(I209,0,IF(AND(M209,N209),IF(O209,R209,0),G209))</x:f>
        <x:v>0.0158</x:v>
      </x:c>
      <x:c r="U209" s="56" t="n">
        <x:f>G209*'Assumptions'!$B$6</x:f>
        <x:v>0.17854000000000003</x:v>
      </x:c>
      <x:c r="V209" s="56" t="n">
        <x:f>T209*'Assumptions'!$B$6</x:f>
        <x:v>0.17854000000000003</x:v>
      </x:c>
      <x:c r="W209" s="56" t="n">
        <x:f>V209-U209</x:f>
        <x:v>0</x:v>
      </x:c>
      <x:c r="X209" s="58" t="n">
        <x:f>X208*(1+U209)</x:f>
        <x:v>55319.4713400485</x:v>
      </x:c>
      <x:c r="Y209" s="58" t="n">
        <x:f>MAX(Y208,X209)</x:f>
        <x:v>55319.4713400485</x:v>
      </x:c>
      <x:c r="Z209" s="59" t="n">
        <x:f>X209/Y209-1</x:f>
        <x:v>0</x:v>
      </x:c>
      <x:c r="AA209" s="58" t="n">
        <x:f>AA208*(1+V209)</x:f>
        <x:v>201734.31522454947</x:v>
      </x:c>
      <x:c r="AB209" s="58" t="n">
        <x:f>MAX(AB208,AA209)</x:f>
        <x:v>201734.31522454947</x:v>
      </x:c>
      <x:c r="AC209" s="59" t="n">
        <x:f>AA209/AB209-1</x:f>
        <x:v>0</x:v>
      </x:c>
      <x:c r="AD209" s="60" t="n">
        <x:f>AA209-X209</x:f>
        <x:v>146414.84388450097</x:v>
      </x:c>
      <x:c r="AE209" s="28" t="str">
        <x:v>Baseline trade unchanged.</x:v>
      </x:c>
    </x:row>
    <x:row r="210" ht="18" customHeight="1">
      <x:c r="A210" s="23" t="n">
        <x:v>206</x:v>
      </x:c>
      <x:c r="B210" s="53" t="n">
        <x:v>44655</x:v>
      </x:c>
      <x:c r="C210" s="53" t="n">
        <x:v>44655</x:v>
      </x:c>
      <x:c r="D210" s="23" t="str">
        <x:v>CH</x:v>
      </x:c>
      <x:c r="E210" s="54" t="n">
        <x:v>14891.559</x:v>
      </x:c>
      <x:c r="F210" s="54" t="n">
        <x:v>15159.509</x:v>
      </x:c>
      <x:c r="G210" s="55" t="n">
        <x:v>0.01799</x:v>
      </x:c>
      <x:c r="H210" s="56" t="n">
        <x:f>SUM(T207:T209)</x:f>
        <x:v>0.04185</x:v>
      </x:c>
      <x:c r="I210" s="57" t="b">
        <x:f>AND(A210&gt;3,H210&lt;='Assumptions'!$B$7)</x:f>
        <x:v>0</x:v>
      </x:c>
      <x:c r="J210" s="55" t="n">
        <x:v>0.003250622890084598</x:v>
      </x:c>
      <x:c r="K210" s="55" t="n">
        <x:v>0.07408450363049512</x:v>
      </x:c>
      <x:c r="L210" s="55" t="n">
        <x:v>0.016474733948833586</x:v>
      </x:c>
      <x:c r="M210" s="57" t="b">
        <x:f>J210&gt;='Assumptions'!$B$8</x:f>
        <x:v>0</x:v>
      </x:c>
      <x:c r="N210" s="57" t="b">
        <x:f>AND(K210&lt;&gt;"",K210&lt;='Assumptions'!$B$9)</x:f>
        <x:v>0</x:v>
      </x:c>
      <x:c r="O210" s="57" t="b">
        <x:f>AND(P210&lt;&gt;"",ABS(L210)&lt;='Assumptions'!$B$10)</x:f>
        <x:v>0</x:v>
      </x:c>
      <x:c r="P210" s="53" t="n">
        <x:v>44656</x:v>
      </x:c>
      <x:c r="Q210" s="54" t="n">
        <x:v>15096.707</x:v>
      </x:c>
      <x:c r="R210" s="55" t="n">
        <x:v>0.00415</x:v>
      </x:c>
      <x:c r="S210" s="57" t="str">
        <x:f>IF(I210,"DAMAGE SKIP",IF(AND(M210,N210),IF(O210,"TUESDAY RE-ENTRY","GAP/MOM SKIP"),"BASELINE"))</x:f>
        <x:v>BASELINE</x:v>
      </x:c>
      <x:c r="T210" s="56" t="n">
        <x:f>IF(I210,0,IF(AND(M210,N210),IF(O210,R210,0),G210))</x:f>
        <x:v>0.01799</x:v>
      </x:c>
      <x:c r="U210" s="56" t="n">
        <x:f>G210*'Assumptions'!$B$6</x:f>
        <x:v>0.203287</x:v>
      </x:c>
      <x:c r="V210" s="56" t="n">
        <x:f>T210*'Assumptions'!$B$6</x:f>
        <x:v>0.203287</x:v>
      </x:c>
      <x:c r="W210" s="56" t="n">
        <x:f>V210-U210</x:f>
        <x:v>0</x:v>
      </x:c>
      <x:c r="X210" s="58" t="n">
        <x:f>X209*(1+U210)</x:f>
        <x:v>66565.20071035293</x:v>
      </x:c>
      <x:c r="Y210" s="58" t="n">
        <x:f>MAX(Y209,X210)</x:f>
        <x:v>66565.20071035293</x:v>
      </x:c>
      <x:c r="Z210" s="59" t="n">
        <x:f>X210/Y210-1</x:f>
        <x:v>0</x:v>
      </x:c>
      <x:c r="AA210" s="58" t="n">
        <x:f>AA209*(1+V210)</x:f>
        <x:v>242744.27896360247</x:v>
      </x:c>
      <x:c r="AB210" s="58" t="n">
        <x:f>MAX(AB209,AA210)</x:f>
        <x:v>242744.27896360247</x:v>
      </x:c>
      <x:c r="AC210" s="59" t="n">
        <x:f>AA210/AB210-1</x:f>
        <x:v>0</x:v>
      </x:c>
      <x:c r="AD210" s="60" t="n">
        <x:f>AA210-X210</x:f>
        <x:v>176179.07825324952</x:v>
      </x:c>
      <x:c r="AE210" s="28" t="str">
        <x:v>Baseline trade unchanged.</x:v>
      </x:c>
    </x:row>
    <x:row r="211" ht="18" customHeight="1">
      <x:c r="A211" s="23" t="n">
        <x:v>207</x:v>
      </x:c>
      <x:c r="B211" s="53" t="n">
        <x:v>44662</x:v>
      </x:c>
      <x:c r="C211" s="53" t="n">
        <x:v>44664</x:v>
      </x:c>
      <x:c r="D211" s="23" t="str">
        <x:v>BH</x:v>
      </x:c>
      <x:c r="E211" s="54" t="n">
        <x:v>14153.579</x:v>
      </x:c>
      <x:c r="F211" s="54" t="n">
        <x:v>14096.964684</x:v>
      </x:c>
      <x:c r="G211" s="55" t="n">
        <x:v>-0.00399</x:v>
      </x:c>
      <x:c r="H211" s="56" t="n">
        <x:f>SUM(T208:T210)</x:f>
        <x:v>0.05984</x:v>
      </x:c>
      <x:c r="I211" s="57" t="b">
        <x:f>AND(A211&gt;3,H211&lt;='Assumptions'!$B$7)</x:f>
        <x:v>0</x:v>
      </x:c>
      <x:c r="J211" s="55" t="n">
        <x:v>-0.013143143333682605</x:v>
      </x:c>
      <x:c r="K211" s="55" t="n">
        <x:v>0.0776208122258919</x:v>
      </x:c>
      <x:c r="L211" s="55" t="n">
        <x:v>-0.009702724417500419</x:v>
      </x:c>
      <x:c r="M211" s="57" t="b">
        <x:f>J211&gt;='Assumptions'!$B$8</x:f>
        <x:v>0</x:v>
      </x:c>
      <x:c r="N211" s="57" t="b">
        <x:f>AND(K211&lt;&gt;"",K211&lt;='Assumptions'!$B$9)</x:f>
        <x:v>0</x:v>
      </x:c>
      <x:c r="O211" s="57" t="b">
        <x:f>AND(P211&lt;&gt;"",ABS(L211)&lt;='Assumptions'!$B$10)</x:f>
        <x:v>0</x:v>
      </x:c>
      <x:c r="P211" s="53" t="n">
        <x:v>44663</x:v>
      </x:c>
      <x:c r="Q211" s="54" t="n">
        <x:v>14193.119</x:v>
      </x:c>
      <x:c r="R211" s="55" t="n">
        <x:v>-0.00677</x:v>
      </x:c>
      <x:c r="S211" s="57" t="str">
        <x:f>IF(I211,"DAMAGE SKIP",IF(AND(M211,N211),IF(O211,"TUESDAY RE-ENTRY","GAP/MOM SKIP"),"BASELINE"))</x:f>
        <x:v>BASELINE</x:v>
      </x:c>
      <x:c r="T211" s="56" t="n">
        <x:f>IF(I211,0,IF(AND(M211,N211),IF(O211,R211,0),G211))</x:f>
        <x:v>-0.00399</x:v>
      </x:c>
      <x:c r="U211" s="56" t="n">
        <x:f>G211*'Assumptions'!$B$6</x:f>
        <x:v>-0.045086999999999995</x:v>
      </x:c>
      <x:c r="V211" s="56" t="n">
        <x:f>T211*'Assumptions'!$B$6</x:f>
        <x:v>-0.045086999999999995</x:v>
      </x:c>
      <x:c r="W211" s="56" t="n">
        <x:f>V211-U211</x:f>
        <x:v>0</x:v>
      </x:c>
      <x:c r="X211" s="58" t="n">
        <x:f>X210*(1+U211)</x:f>
        <x:v>63563.97550592525</x:v>
      </x:c>
      <x:c r="Y211" s="58" t="n">
        <x:f>MAX(Y210,X211)</x:f>
        <x:v>66565.20071035293</x:v>
      </x:c>
      <x:c r="Z211" s="59" t="n">
        <x:f>X211/Y211-1</x:f>
        <x:v>-0.04508699999999999</x:v>
      </x:c>
      <x:c r="AA211" s="58" t="n">
        <x:f>AA210*(1+V211)</x:f>
        <x:v>231799.66765797054</x:v>
      </x:c>
      <x:c r="AB211" s="58" t="n">
        <x:f>MAX(AB210,AA211)</x:f>
        <x:v>242744.27896360247</x:v>
      </x:c>
      <x:c r="AC211" s="59" t="n">
        <x:f>AA211/AB211-1</x:f>
        <x:v>-0.04508699999999999</x:v>
      </x:c>
      <x:c r="AD211" s="60" t="n">
        <x:f>AA211-X211</x:f>
        <x:v>168235.6921520453</x:v>
      </x:c>
      <x:c r="AE211" s="28" t="str">
        <x:v>Baseline trade unchanged.</x:v>
      </x:c>
    </x:row>
    <x:row r="212" ht="18" customHeight="1">
      <x:c r="A212" s="23" t="n">
        <x:v>208</x:v>
      </x:c>
      <x:c r="B212" s="53" t="n">
        <x:v>44669</x:v>
      </x:c>
      <x:c r="C212" s="53" t="n">
        <x:v>44670</x:v>
      </x:c>
      <x:c r="D212" s="23" t="str">
        <x:v>PREOH</x:v>
      </x:c>
      <x:c r="E212" s="54" t="n">
        <x:v>13848.737</x:v>
      </x:c>
      <x:c r="F212" s="54" t="n">
        <x:v>13965.259</x:v>
      </x:c>
      <x:c r="G212" s="55" t="n">
        <x:v>0.00841</x:v>
      </x:c>
      <x:c r="H212" s="56" t="n">
        <x:f>SUM(T209:T211)</x:f>
        <x:v>0.0298</x:v>
      </x:c>
      <x:c r="I212" s="57" t="b">
        <x:f>AND(A212&gt;3,H212&lt;='Assumptions'!$B$7)</x:f>
        <x:v>0</x:v>
      </x:c>
      <x:c r="J212" s="55" t="n">
        <x:v>-0.0029282743419825064</x:v>
      </x:c>
      <x:c r="K212" s="55" t="n">
        <x:v>-0.016252183118011465</x:v>
      </x:c>
      <x:c r="L212" s="55" t="n">
        <x:v>-0.0011815556747828415</x:v>
      </x:c>
      <x:c r="M212" s="57" t="b">
        <x:f>J212&gt;='Assumptions'!$B$8</x:f>
        <x:v>0</x:v>
      </x:c>
      <x:c r="N212" s="57" t="b">
        <x:f>AND(K212&lt;&gt;"",K212&lt;='Assumptions'!$B$9)</x:f>
        <x:v>1</x:v>
      </x:c>
      <x:c r="O212" s="57" t="b">
        <x:f>AND(P212&lt;&gt;"",ABS(L212)&lt;='Assumptions'!$B$10)</x:f>
        <x:v>1</x:v>
      </x:c>
      <x:c r="P212" s="53" t="n">
        <x:v>44670</x:v>
      </x:c>
      <x:c r="Q212" s="54" t="n">
        <x:v>13873.489</x:v>
      </x:c>
      <x:c r="R212" s="55" t="n">
        <x:v>0.00661</x:v>
      </x:c>
      <x:c r="S212" s="57" t="str">
        <x:f>IF(I212,"DAMAGE SKIP",IF(AND(M212,N212),IF(O212,"TUESDAY RE-ENTRY","GAP/MOM SKIP"),"BASELINE"))</x:f>
        <x:v>BASELINE</x:v>
      </x:c>
      <x:c r="T212" s="56" t="n">
        <x:f>IF(I212,0,IF(AND(M212,N212),IF(O212,R212,0),G212))</x:f>
        <x:v>0.00841</x:v>
      </x:c>
      <x:c r="U212" s="56" t="n">
        <x:f>G212*'Assumptions'!$B$6</x:f>
        <x:v>0.09503300000000002</x:v>
      </x:c>
      <x:c r="V212" s="56" t="n">
        <x:f>T212*'Assumptions'!$B$6</x:f>
        <x:v>0.09503300000000002</x:v>
      </x:c>
      <x:c r="W212" s="56" t="n">
        <x:f>V212-U212</x:f>
        <x:v>0</x:v>
      </x:c>
      <x:c r="X212" s="58" t="n">
        <x:f>X211*(1+U212)</x:f>
        <x:v>69604.65079017983</x:v>
      </x:c>
      <x:c r="Y212" s="58" t="n">
        <x:f>MAX(Y211,X212)</x:f>
        <x:v>69604.65079017983</x:v>
      </x:c>
      <x:c r="Z212" s="59" t="n">
        <x:f>X212/Y212-1</x:f>
        <x:v>0</x:v>
      </x:c>
      <x:c r="AA212" s="58" t="n">
        <x:f>AA211*(1+V212)</x:f>
        <x:v>253828.28547451043</x:v>
      </x:c>
      <x:c r="AB212" s="58" t="n">
        <x:f>MAX(AB211,AA212)</x:f>
        <x:v>253828.28547451043</x:v>
      </x:c>
      <x:c r="AC212" s="59" t="n">
        <x:f>AA212/AB212-1</x:f>
        <x:v>0</x:v>
      </x:c>
      <x:c r="AD212" s="60" t="n">
        <x:f>AA212-X212</x:f>
        <x:v>184223.6346843306</x:v>
      </x:c>
      <x:c r="AE212" s="28" t="str">
        <x:v>Baseline trade unchanged.</x:v>
      </x:c>
    </x:row>
    <x:row r="213" ht="18" customHeight="1">
      <x:c r="A213" s="23" t="n">
        <x:v>209</x:v>
      </x:c>
      <x:c r="B213" s="53" t="n">
        <x:v>44676</x:v>
      </x:c>
      <x:c r="C213" s="53" t="n">
        <x:v>44676</x:v>
      </x:c>
      <x:c r="D213" s="23" t="str">
        <x:v>CH</x:v>
      </x:c>
      <x:c r="E213" s="54" t="n">
        <x:v>13285.509</x:v>
      </x:c>
      <x:c r="F213" s="54" t="n">
        <x:v>13535.909</x:v>
      </x:c>
      <x:c r="G213" s="55" t="n">
        <x:v>0.01884</x:v>
      </x:c>
      <x:c r="H213" s="56" t="n">
        <x:f>SUM(T210:T212)</x:f>
        <x:v>0.02241</x:v>
      </x:c>
      <x:c r="I213" s="57" t="b">
        <x:f>AND(A213&gt;3,H213&lt;='Assumptions'!$B$7)</x:f>
        <x:v>0</x:v>
      </x:c>
      <x:c r="J213" s="55" t="n">
        <x:v>-0.004212353904586075</x:v>
      </x:c>
      <x:c r="K213" s="55" t="n">
        <x:v>-0.09523269270041512</x:v>
      </x:c>
      <x:c r="L213" s="55" t="n">
        <x:v>0.006464111952650731</x:v>
      </x:c>
      <x:c r="M213" s="57" t="b">
        <x:f>J213&gt;='Assumptions'!$B$8</x:f>
        <x:v>0</x:v>
      </x:c>
      <x:c r="N213" s="57" t="b">
        <x:f>AND(K213&lt;&gt;"",K213&lt;='Assumptions'!$B$9)</x:f>
        <x:v>1</x:v>
      </x:c>
      <x:c r="O213" s="57" t="b">
        <x:f>AND(P213&lt;&gt;"",ABS(L213)&lt;='Assumptions'!$B$10)</x:f>
        <x:v>0</x:v>
      </x:c>
      <x:c r="P213" s="53" t="n">
        <x:v>44677</x:v>
      </x:c>
      <x:c r="Q213" s="54" t="n">
        <x:v>13438.799</x:v>
      </x:c>
      <x:c r="R213" s="55" t="n">
        <x:v>0.00722</x:v>
      </x:c>
      <x:c r="S213" s="57" t="str">
        <x:f>IF(I213,"DAMAGE SKIP",IF(AND(M213,N213),IF(O213,"TUESDAY RE-ENTRY","GAP/MOM SKIP"),"BASELINE"))</x:f>
        <x:v>BASELINE</x:v>
      </x:c>
      <x:c r="T213" s="56" t="n">
        <x:f>IF(I213,0,IF(AND(M213,N213),IF(O213,R213,0),G213))</x:f>
        <x:v>0.01884</x:v>
      </x:c>
      <x:c r="U213" s="56" t="n">
        <x:f>G213*'Assumptions'!$B$6</x:f>
        <x:v>0.212892</x:v>
      </x:c>
      <x:c r="V213" s="56" t="n">
        <x:f>T213*'Assumptions'!$B$6</x:f>
        <x:v>0.212892</x:v>
      </x:c>
      <x:c r="W213" s="56" t="n">
        <x:f>V213-U213</x:f>
        <x:v>0</x:v>
      </x:c>
      <x:c r="X213" s="58" t="n">
        <x:f>X212*(1+U213)</x:f>
        <x:v>84422.9241062028</x:v>
      </x:c>
      <x:c r="Y213" s="58" t="n">
        <x:f>MAX(Y212,X213)</x:f>
        <x:v>84422.9241062028</x:v>
      </x:c>
      <x:c r="Z213" s="59" t="n">
        <x:f>X213/Y213-1</x:f>
        <x:v>0</x:v>
      </x:c>
      <x:c r="AA213" s="58" t="n">
        <x:f>AA212*(1+V213)</x:f>
        <x:v>307866.2968257499</x:v>
      </x:c>
      <x:c r="AB213" s="58" t="n">
        <x:f>MAX(AB212,AA213)</x:f>
        <x:v>307866.2968257499</x:v>
      </x:c>
      <x:c r="AC213" s="59" t="n">
        <x:f>AA213/AB213-1</x:f>
        <x:v>0</x:v>
      </x:c>
      <x:c r="AD213" s="60" t="n">
        <x:f>AA213-X213</x:f>
        <x:v>223443.37271954713</x:v>
      </x:c>
      <x:c r="AE213" s="28" t="str">
        <x:v>Baseline trade unchanged.</x:v>
      </x:c>
    </x:row>
    <x:row r="214" ht="18" customHeight="1">
      <x:c r="A214" s="23" t="n">
        <x:v>210</x:v>
      </x:c>
      <x:c r="B214" s="53" t="n">
        <x:v>44683</x:v>
      </x:c>
      <x:c r="C214" s="53" t="n">
        <x:v>44683</x:v>
      </x:c>
      <x:c r="D214" s="23" t="str">
        <x:v>CH</x:v>
      </x:c>
      <x:c r="E214" s="54" t="n">
        <x:v>12841.069</x:v>
      </x:c>
      <x:c r="F214" s="54" t="n">
        <x:v>13077.299</x:v>
      </x:c>
      <x:c r="G214" s="55" t="n">
        <x:v>0.01839</x:v>
      </x:c>
      <x:c r="H214" s="56" t="n">
        <x:f>SUM(T211:T213)</x:f>
        <x:v>0.02326</x:v>
      </x:c>
      <x:c r="I214" s="57" t="b">
        <x:f>AND(A214&gt;3,H214&lt;='Assumptions'!$B$7)</x:f>
        <x:v>0</x:v>
      </x:c>
      <x:c r="J214" s="55" t="n">
        <x:v>-0.002278872628579731</x:v>
      </x:c>
      <x:c r="K214" s="55" t="n">
        <x:v>-0.13595871717097818</x:v>
      </x:c>
      <x:c r="L214" s="55" t="n">
        <x:v>0.016764251893631066</x:v>
      </x:c>
      <x:c r="M214" s="57" t="b">
        <x:f>J214&gt;='Assumptions'!$B$8</x:f>
        <x:v>0</x:v>
      </x:c>
      <x:c r="N214" s="57" t="b">
        <x:f>AND(K214&lt;&gt;"",K214&lt;='Assumptions'!$B$9)</x:f>
        <x:v>1</x:v>
      </x:c>
      <x:c r="O214" s="57" t="b">
        <x:f>AND(P214&lt;&gt;"",ABS(L214)&lt;='Assumptions'!$B$10)</x:f>
        <x:v>0</x:v>
      </x:c>
      <x:c r="P214" s="53" t="n">
        <x:v>44684</x:v>
      </x:c>
      <x:c r="Q214" s="54" t="n">
        <x:v>13074.897</x:v>
      </x:c>
      <x:c r="R214" s="55" t="n">
        <x:v>0.00018</x:v>
      </x:c>
      <x:c r="S214" s="57" t="str">
        <x:f>IF(I214,"DAMAGE SKIP",IF(AND(M214,N214),IF(O214,"TUESDAY RE-ENTRY","GAP/MOM SKIP"),"BASELINE"))</x:f>
        <x:v>BASELINE</x:v>
      </x:c>
      <x:c r="T214" s="56" t="n">
        <x:f>IF(I214,0,IF(AND(M214,N214),IF(O214,R214,0),G214))</x:f>
        <x:v>0.01839</x:v>
      </x:c>
      <x:c r="U214" s="56" t="n">
        <x:f>G214*'Assumptions'!$B$6</x:f>
        <x:v>0.20780700000000002</x:v>
      </x:c>
      <x:c r="V214" s="56" t="n">
        <x:f>T214*'Assumptions'!$B$6</x:f>
        <x:v>0.20780700000000002</x:v>
      </x:c>
      <x:c r="W214" s="56" t="n">
        <x:f>V214-U214</x:f>
        <x:v>0</x:v>
      </x:c>
      <x:c r="X214" s="58" t="n">
        <x:f>X213*(1+U214)</x:f>
        <x:v>101966.5986959405</x:v>
      </x:c>
      <x:c r="Y214" s="58" t="n">
        <x:f>MAX(Y213,X214)</x:f>
        <x:v>101966.5986959405</x:v>
      </x:c>
      <x:c r="Z214" s="59" t="n">
        <x:f>X214/Y214-1</x:f>
        <x:v>0</x:v>
      </x:c>
      <x:c r="AA214" s="58" t="n">
        <x:f>AA213*(1+V214)</x:f>
        <x:v>371843.06837021856</x:v>
      </x:c>
      <x:c r="AB214" s="58" t="n">
        <x:f>MAX(AB213,AA214)</x:f>
        <x:v>371843.06837021856</x:v>
      </x:c>
      <x:c r="AC214" s="59" t="n">
        <x:f>AA214/AB214-1</x:f>
        <x:v>0</x:v>
      </x:c>
      <x:c r="AD214" s="60" t="n">
        <x:f>AA214-X214</x:f>
        <x:v>269876.46967427805</x:v>
      </x:c>
      <x:c r="AE214" s="28" t="str">
        <x:v>Baseline trade unchanged.</x:v>
      </x:c>
    </x:row>
    <x:row r="215" ht="18" customHeight="1">
      <x:c r="A215" s="23" t="n">
        <x:v>211</x:v>
      </x:c>
      <x:c r="B215" s="53" t="n">
        <x:v>44690</x:v>
      </x:c>
      <x:c r="C215" s="53" t="n">
        <x:v>44692</x:v>
      </x:c>
      <x:c r="D215" s="23" t="str">
        <x:v>BEPRE</x:v>
      </x:c>
      <x:c r="E215" s="54" t="n">
        <x:v>12448.927</x:v>
      </x:c>
      <x:c r="F215" s="54" t="n">
        <x:v>12399.209</x:v>
      </x:c>
      <x:c r="G215" s="55" t="n">
        <x:v>-0.00399</x:v>
      </x:c>
      <x:c r="H215" s="56" t="n">
        <x:f>SUM(T212:T214)</x:f>
        <x:v>0.04564</x:v>
      </x:c>
      <x:c r="I215" s="57" t="b">
        <x:f>AND(A215&gt;3,H215&lt;='Assumptions'!$B$7)</x:f>
        <x:v>0</x:v>
      </x:c>
      <x:c r="J215" s="55" t="n">
        <x:v>-0.01875637419959686</x:v>
      </x:c>
      <x:c r="K215" s="55" t="n">
        <x:v>-0.12666148128943056</x:v>
      </x:c>
      <x:c r="L215" s="55" t="n">
        <x:v>-0.015328438260731825</x:v>
      </x:c>
      <x:c r="M215" s="57" t="b">
        <x:f>J215&gt;='Assumptions'!$B$8</x:f>
        <x:v>0</x:v>
      </x:c>
      <x:c r="N215" s="57" t="b">
        <x:f>AND(K215&lt;&gt;"",K215&lt;='Assumptions'!$B$9)</x:f>
        <x:v>1</x:v>
      </x:c>
      <x:c r="O215" s="57" t="b">
        <x:f>AND(P215&lt;&gt;"",ABS(L215)&lt;='Assumptions'!$B$10)</x:f>
        <x:v>0</x:v>
      </x:c>
      <x:c r="P215" s="53" t="n">
        <x:v>44691</x:v>
      </x:c>
      <x:c r="Q215" s="54" t="n">
        <x:v>12496.767</x:v>
      </x:c>
      <x:c r="R215" s="55" t="n">
        <x:v>-0.0078</x:v>
      </x:c>
      <x:c r="S215" s="57" t="str">
        <x:f>IF(I215,"DAMAGE SKIP",IF(AND(M215,N215),IF(O215,"TUESDAY RE-ENTRY","GAP/MOM SKIP"),"BASELINE"))</x:f>
        <x:v>BASELINE</x:v>
      </x:c>
      <x:c r="T215" s="56" t="n">
        <x:f>IF(I215,0,IF(AND(M215,N215),IF(O215,R215,0),G215))</x:f>
        <x:v>-0.00399</x:v>
      </x:c>
      <x:c r="U215" s="56" t="n">
        <x:f>G215*'Assumptions'!$B$6</x:f>
        <x:v>-0.045086999999999995</x:v>
      </x:c>
      <x:c r="V215" s="56" t="n">
        <x:f>T215*'Assumptions'!$B$6</x:f>
        <x:v>-0.045086999999999995</x:v>
      </x:c>
      <x:c r="W215" s="56" t="n">
        <x:f>V215-U215</x:f>
        <x:v>0</x:v>
      </x:c>
      <x:c r="X215" s="58" t="n">
        <x:f>X214*(1+U215)</x:f>
        <x:v>97369.23066053663</x:v>
      </x:c>
      <x:c r="Y215" s="58" t="n">
        <x:f>MAX(Y214,X215)</x:f>
        <x:v>101966.5986959405</x:v>
      </x:c>
      <x:c r="Z215" s="59" t="n">
        <x:f>X215/Y215-1</x:f>
        <x:v>-0.04508699999999999</x:v>
      </x:c>
      <x:c r="AA215" s="58" t="n">
        <x:f>AA214*(1+V215)</x:f>
        <x:v>355077.7799466105</x:v>
      </x:c>
      <x:c r="AB215" s="58" t="n">
        <x:f>MAX(AB214,AA215)</x:f>
        <x:v>371843.06837021856</x:v>
      </x:c>
      <x:c r="AC215" s="59" t="n">
        <x:f>AA215/AB215-1</x:f>
        <x:v>-0.04508699999999999</x:v>
      </x:c>
      <x:c r="AD215" s="60" t="n">
        <x:f>AA215-X215</x:f>
        <x:v>257708.5492860739</x:v>
      </x:c>
      <x:c r="AE215" s="28" t="str">
        <x:v>Baseline trade unchanged.</x:v>
      </x:c>
    </x:row>
    <x:row r="216" ht="18" customHeight="1">
      <x:c r="A216" s="23" t="n">
        <x:v>212</x:v>
      </x:c>
      <x:c r="B216" s="53" t="n">
        <x:v>44697</x:v>
      </x:c>
      <x:c r="C216" s="53" t="n">
        <x:v>44698</x:v>
      </x:c>
      <x:c r="D216" s="23" t="str">
        <x:v>PREOH</x:v>
      </x:c>
      <x:c r="E216" s="54" t="n">
        <x:v>12308.329</x:v>
      </x:c>
      <x:c r="F216" s="54" t="n">
        <x:v>12505.869</x:v>
      </x:c>
      <x:c r="G216" s="55" t="n">
        <x:v>0.01604</x:v>
      </x:c>
      <x:c r="H216" s="56" t="n">
        <x:f>SUM(T213:T215)</x:f>
        <x:v>0.03324</x:v>
      </x:c>
      <x:c r="I216" s="57" t="b">
        <x:f>AND(A216&gt;3,H216&lt;='Assumptions'!$B$7)</x:f>
        <x:v>0</x:v>
      </x:c>
      <x:c r="J216" s="55" t="n">
        <x:v>-0.006007565866591902</x:v>
      </x:c>
      <x:c r="K216" s="55" t="n">
        <x:v>-0.1078169553239332</x:v>
      </x:c>
      <x:c r="L216" s="55" t="n">
        <x:v>0.008307544696549929</x:v>
      </x:c>
      <x:c r="M216" s="57" t="b">
        <x:f>J216&gt;='Assumptions'!$B$8</x:f>
        <x:v>0</x:v>
      </x:c>
      <x:c r="N216" s="57" t="b">
        <x:f>AND(K216&lt;&gt;"",K216&lt;='Assumptions'!$B$9)</x:f>
        <x:v>1</x:v>
      </x:c>
      <x:c r="O216" s="57" t="b">
        <x:f>AND(P216&lt;&gt;"",ABS(L216)&lt;='Assumptions'!$B$10)</x:f>
        <x:v>0</x:v>
      </x:c>
      <x:c r="P216" s="53" t="n">
        <x:v>44698</x:v>
      </x:c>
      <x:c r="Q216" s="54" t="n">
        <x:v>12486.607</x:v>
      </x:c>
      <x:c r="R216" s="55" t="n">
        <x:v>0.00154</x:v>
      </x:c>
      <x:c r="S216" s="57" t="str">
        <x:f>IF(I216,"DAMAGE SKIP",IF(AND(M216,N216),IF(O216,"TUESDAY RE-ENTRY","GAP/MOM SKIP"),"BASELINE"))</x:f>
        <x:v>BASELINE</x:v>
      </x:c>
      <x:c r="T216" s="56" t="n">
        <x:f>IF(I216,0,IF(AND(M216,N216),IF(O216,R216,0),G216))</x:f>
        <x:v>0.01604</x:v>
      </x:c>
      <x:c r="U216" s="56" t="n">
        <x:f>G216*'Assumptions'!$B$6</x:f>
        <x:v>0.181252</x:v>
      </x:c>
      <x:c r="V216" s="56" t="n">
        <x:f>T216*'Assumptions'!$B$6</x:f>
        <x:v>0.181252</x:v>
      </x:c>
      <x:c r="W216" s="56" t="n">
        <x:f>V216-U216</x:f>
        <x:v>0</x:v>
      </x:c>
      <x:c r="X216" s="58" t="n">
        <x:f>X215*(1+U216)</x:f>
        <x:v>115017.59845622022</x:v>
      </x:c>
      <x:c r="Y216" s="58" t="n">
        <x:f>MAX(Y215,X216)</x:f>
        <x:v>115017.59845622022</x:v>
      </x:c>
      <x:c r="Z216" s="59" t="n">
        <x:f>X216/Y216-1</x:f>
        <x:v>0</x:v>
      </x:c>
      <x:c r="AA216" s="58" t="n">
        <x:f>AA215*(1+V216)</x:f>
        <x:v>419436.33771749353</x:v>
      </x:c>
      <x:c r="AB216" s="58" t="n">
        <x:f>MAX(AB215,AA216)</x:f>
        <x:v>419436.33771749353</x:v>
      </x:c>
      <x:c r="AC216" s="59" t="n">
        <x:f>AA216/AB216-1</x:f>
        <x:v>0</x:v>
      </x:c>
      <x:c r="AD216" s="60" t="n">
        <x:f>AA216-X216</x:f>
        <x:v>304418.7392612733</x:v>
      </x:c>
      <x:c r="AE216" s="28" t="str">
        <x:v>Baseline trade unchanged.</x:v>
      </x:c>
    </x:row>
    <x:row r="217" ht="18" customHeight="1">
      <x:c r="A217" s="23" t="n">
        <x:v>213</x:v>
      </x:c>
      <x:c r="B217" s="53" t="n">
        <x:v>44704</x:v>
      </x:c>
      <x:c r="C217" s="53" t="n">
        <x:v>44704</x:v>
      </x:c>
      <x:c r="D217" s="23" t="str">
        <x:v>CH</x:v>
      </x:c>
      <x:c r="E217" s="54" t="n">
        <x:v>11881.419</x:v>
      </x:c>
      <x:c r="F217" s="54" t="n">
        <x:v>12039.759</x:v>
      </x:c>
      <x:c r="G217" s="55" t="n">
        <x:v>0.01332</x:v>
      </x:c>
      <x:c r="H217" s="56" t="n">
        <x:f>SUM(T214:T216)</x:f>
        <x:v>0.03044</x:v>
      </x:c>
      <x:c r="I217" s="57" t="b">
        <x:f>AND(A217&gt;3,H217&lt;='Assumptions'!$B$7)</x:f>
        <x:v>0</x:v>
      </x:c>
      <x:c r="J217" s="55" t="n">
        <x:v>0.0039757083795510795</x:v>
      </x:c>
      <x:c r="K217" s="55" t="n">
        <x:v>-0.11284609018407987</x:v>
      </x:c>
      <x:c r="L217" s="55" t="n">
        <x:v>-0.0019222954469159115</x:v>
      </x:c>
      <x:c r="M217" s="57" t="b">
        <x:f>J217&gt;='Assumptions'!$B$8</x:f>
        <x:v>0</x:v>
      </x:c>
      <x:c r="N217" s="57" t="b">
        <x:f>AND(K217&lt;&gt;"",K217&lt;='Assumptions'!$B$9)</x:f>
        <x:v>1</x:v>
      </x:c>
      <x:c r="O217" s="57" t="b">
        <x:f>AND(P217&lt;&gt;"",ABS(L217)&lt;='Assumptions'!$B$10)</x:f>
        <x:v>1</x:v>
      </x:c>
      <x:c r="P217" s="53" t="n">
        <x:v>44705</x:v>
      </x:c>
      <x:c r="Q217" s="54" t="n">
        <x:v>11813.079</x:v>
      </x:c>
      <x:c r="R217" s="55" t="n">
        <x:v>0.01918</x:v>
      </x:c>
      <x:c r="S217" s="57" t="str">
        <x:f>IF(I217,"DAMAGE SKIP",IF(AND(M217,N217),IF(O217,"TUESDAY RE-ENTRY","GAP/MOM SKIP"),"BASELINE"))</x:f>
        <x:v>BASELINE</x:v>
      </x:c>
      <x:c r="T217" s="56" t="n">
        <x:f>IF(I217,0,IF(AND(M217,N217),IF(O217,R217,0),G217))</x:f>
        <x:v>0.01332</x:v>
      </x:c>
      <x:c r="U217" s="56" t="n">
        <x:f>G217*'Assumptions'!$B$6</x:f>
        <x:v>0.150516</x:v>
      </x:c>
      <x:c r="V217" s="56" t="n">
        <x:f>T217*'Assumptions'!$B$6</x:f>
        <x:v>0.150516</x:v>
      </x:c>
      <x:c r="W217" s="56" t="n">
        <x:f>V217-U217</x:f>
        <x:v>0</x:v>
      </x:c>
      <x:c r="X217" s="58" t="n">
        <x:f>X216*(1+U217)</x:f>
        <x:v>132329.58730545666</x:v>
      </x:c>
      <x:c r="Y217" s="58" t="n">
        <x:f>MAX(Y216,X217)</x:f>
        <x:v>132329.58730545666</x:v>
      </x:c>
      <x:c r="Z217" s="59" t="n">
        <x:f>X217/Y217-1</x:f>
        <x:v>0</x:v>
      </x:c>
      <x:c r="AA217" s="58" t="n">
        <x:f>AA216*(1+V217)</x:f>
        <x:v>482568.21752537985</x:v>
      </x:c>
      <x:c r="AB217" s="58" t="n">
        <x:f>MAX(AB216,AA217)</x:f>
        <x:v>482568.21752537985</x:v>
      </x:c>
      <x:c r="AC217" s="59" t="n">
        <x:f>AA217/AB217-1</x:f>
        <x:v>0</x:v>
      </x:c>
      <x:c r="AD217" s="60" t="n">
        <x:f>AA217-X217</x:f>
        <x:v>350238.6302199232</x:v>
      </x:c>
      <x:c r="AE217" s="28" t="str">
        <x:v>Baseline trade unchanged.</x:v>
      </x:c>
    </x:row>
    <x:row r="218" ht="18" customHeight="1">
      <x:c r="A218" s="23" t="n">
        <x:v>214</x:v>
      </x:c>
      <x:c r="B218" s="53" t="n">
        <x:v>44712</x:v>
      </x:c>
      <x:c r="C218" s="53" t="n">
        <x:v>44714</x:v>
      </x:c>
      <x:c r="D218" s="23" t="str">
        <x:v>TSL1PRE</x:v>
      </x:c>
      <x:c r="E218" s="54" t="n">
        <x:v>12673.377</x:v>
      </x:c>
      <x:c r="F218" s="54" t="n">
        <x:v>12547.027</x:v>
      </x:c>
      <x:c r="G218" s="55" t="n">
        <x:v>-0.00996</x:v>
      </x:c>
      <x:c r="H218" s="56" t="n">
        <x:f>SUM(T215:T217)</x:f>
        <x:v>0.025369999999999997</x:v>
      </x:c>
      <x:c r="I218" s="57" t="b">
        <x:f>AND(A218&gt;3,H218&lt;='Assumptions'!$B$7)</x:f>
        <x:v>0</x:v>
      </x:c>
      <x:c r="J218" s="55" t="n">
        <x:v>-0.00025416911901998684</x:v>
      </x:c>
      <x:c r="K218" s="55" t="n">
        <x:v>-0.013240763053516513</x:v>
      </x:c>
      <x:c r="L218" s="55"/>
      <x:c r="M218" s="57" t="b">
        <x:f>J218&gt;='Assumptions'!$B$8</x:f>
        <x:v>0</x:v>
      </x:c>
      <x:c r="N218" s="57" t="b">
        <x:f>AND(K218&lt;&gt;"",K218&lt;='Assumptions'!$B$9)</x:f>
        <x:v>1</x:v>
      </x:c>
      <x:c r="O218" s="57" t="b">
        <x:f>AND(P218&lt;&gt;"",ABS(L218)&lt;='Assumptions'!$B$10)</x:f>
        <x:v>0</x:v>
      </x:c>
      <x:c r="P218" s="53"/>
      <x:c r="Q218" s="54"/>
      <x:c r="R218" s="55"/>
      <x:c r="S218" s="57" t="str">
        <x:f>IF(I218,"DAMAGE SKIP",IF(AND(M218,N218),IF(O218,"TUESDAY RE-ENTRY","GAP/MOM SKIP"),"BASELINE"))</x:f>
        <x:v>BASELINE</x:v>
      </x:c>
      <x:c r="T218" s="56" t="n">
        <x:f>IF(I218,0,IF(AND(M218,N218),IF(O218,R218,0),G218))</x:f>
        <x:v>-0.00996</x:v>
      </x:c>
      <x:c r="U218" s="56" t="n">
        <x:f>G218*'Assumptions'!$B$6</x:f>
        <x:v>-0.11254800000000001</x:v>
      </x:c>
      <x:c r="V218" s="56" t="n">
        <x:f>T218*'Assumptions'!$B$6</x:f>
        <x:v>-0.11254800000000001</x:v>
      </x:c>
      <x:c r="W218" s="56" t="n">
        <x:f>V218-U218</x:f>
        <x:v>0</x:v>
      </x:c>
      <x:c r="X218" s="58" t="n">
        <x:f>X217*(1+U218)</x:f>
        <x:v>117436.15691340213</x:v>
      </x:c>
      <x:c r="Y218" s="58" t="n">
        <x:f>MAX(Y217,X218)</x:f>
        <x:v>132329.58730545666</x:v>
      </x:c>
      <x:c r="Z218" s="59" t="n">
        <x:f>X218/Y218-1</x:f>
        <x:v>-0.11254799999999998</x:v>
      </x:c>
      <x:c r="AA218" s="58" t="n">
        <x:f>AA217*(1+V218)</x:f>
        <x:v>428256.1297793334</x:v>
      </x:c>
      <x:c r="AB218" s="58" t="n">
        <x:f>MAX(AB217,AA218)</x:f>
        <x:v>482568.21752537985</x:v>
      </x:c>
      <x:c r="AC218" s="59" t="n">
        <x:f>AA218/AB218-1</x:f>
        <x:v>-0.11254799999999998</x:v>
      </x:c>
      <x:c r="AD218" s="60" t="n">
        <x:f>AA218-X218</x:f>
        <x:v>310819.9728659313</x:v>
      </x:c>
      <x:c r="AE218" s="28" t="str">
        <x:v>Baseline trade unchanged.</x:v>
      </x:c>
    </x:row>
    <x:row r="219" ht="18" customHeight="1">
      <x:c r="A219" s="23" t="n">
        <x:v>215</x:v>
      </x:c>
      <x:c r="B219" s="53" t="n">
        <x:v>44718</x:v>
      </x:c>
      <x:c r="C219" s="53" t="n">
        <x:v>44721</x:v>
      </x:c>
      <x:c r="D219" s="23" t="str">
        <x:v>TSL1PRE</x:v>
      </x:c>
      <x:c r="E219" s="54" t="n">
        <x:v>12738.687</x:v>
      </x:c>
      <x:c r="F219" s="54" t="n">
        <x:v>12614.039</x:v>
      </x:c>
      <x:c r="G219" s="55" t="n">
        <x:v>-0.00978</x:v>
      </x:c>
      <x:c r="H219" s="56" t="n">
        <x:f>SUM(T216:T218)</x:f>
        <x:v>0.019399999999999997</x:v>
      </x:c>
      <x:c r="I219" s="57" t="b">
        <x:f>AND(A219&gt;3,H219&lt;='Assumptions'!$B$7)</x:f>
        <x:v>0</x:v>
      </x:c>
      <x:c r="J219" s="55" t="n">
        <x:v>0.01537713630786608</x:v>
      </x:c>
      <x:c r="K219" s="55" t="n">
        <x:v>-0.021728007195956134</x:v>
      </x:c>
      <x:c r="L219" s="55" t="n">
        <x:v>-0.007808856255746899</x:v>
      </x:c>
      <x:c r="M219" s="57" t="b">
        <x:f>J219&gt;='Assumptions'!$B$8</x:f>
        <x:v>1</x:v>
      </x:c>
      <x:c r="N219" s="57" t="b">
        <x:f>AND(K219&lt;&gt;"",K219&lt;='Assumptions'!$B$9)</x:f>
        <x:v>1</x:v>
      </x:c>
      <x:c r="O219" s="57" t="b">
        <x:f>AND(P219&lt;&gt;"",ABS(L219)&lt;='Assumptions'!$B$10)</x:f>
        <x:v>0</x:v>
      </x:c>
      <x:c r="P219" s="53" t="n">
        <x:v>44719</x:v>
      </x:c>
      <x:c r="Q219" s="54" t="n">
        <x:v>12452.789</x:v>
      </x:c>
      <x:c r="R219" s="55" t="n">
        <x:v>0.01294</x:v>
      </x:c>
      <x:c r="S219" s="57" t="str">
        <x:f>IF(I219,"DAMAGE SKIP",IF(AND(M219,N219),IF(O219,"TUESDAY RE-ENTRY","GAP/MOM SKIP"),"BASELINE"))</x:f>
        <x:v>GAP/MOM SKIP</x:v>
      </x:c>
      <x:c r="T219" s="56" t="n">
        <x:f>IF(I219,0,IF(AND(M219,N219),IF(O219,R219,0),G219))</x:f>
        <x:v>0</x:v>
      </x:c>
      <x:c r="U219" s="56" t="n">
        <x:f>G219*'Assumptions'!$B$6</x:f>
        <x:v>-0.11051400000000002</x:v>
      </x:c>
      <x:c r="V219" s="56" t="n">
        <x:f>T219*'Assumptions'!$B$6</x:f>
        <x:v>0</x:v>
      </x:c>
      <x:c r="W219" s="56" t="n">
        <x:f>V219-U219</x:f>
        <x:v>0.11051400000000002</x:v>
      </x:c>
      <x:c r="X219" s="58" t="n">
        <x:f>X218*(1+U219)</x:f>
        <x:v>104457.8174682744</x:v>
      </x:c>
      <x:c r="Y219" s="58" t="n">
        <x:f>MAX(Y218,X219)</x:f>
        <x:v>132329.58730545666</x:v>
      </x:c>
      <x:c r="Z219" s="59" t="n">
        <x:f>X219/Y219-1</x:f>
        <x:v>-0.210623870328</x:v>
      </x:c>
      <x:c r="AA219" s="58" t="n">
        <x:f>AA218*(1+V219)</x:f>
        <x:v>428256.1297793334</x:v>
      </x:c>
      <x:c r="AB219" s="58" t="n">
        <x:f>MAX(AB218,AA219)</x:f>
        <x:v>482568.21752537985</x:v>
      </x:c>
      <x:c r="AC219" s="59" t="n">
        <x:f>AA219/AB219-1</x:f>
        <x:v>-0.11254799999999998</x:v>
      </x:c>
      <x:c r="AD219" s="60" t="n">
        <x:f>AA219-X219</x:f>
        <x:v>323798.31231105904</x:v>
      </x:c>
      <x:c r="AE219" s="28" t="str">
        <x:v>Monday entry skipped; Tuesday did not normalize within the Friday-based tolerance.</x:v>
      </x:c>
    </x:row>
    <x:row r="220" ht="18" customHeight="1">
      <x:c r="A220" s="23" t="n">
        <x:v>216</x:v>
      </x:c>
      <x:c r="B220" s="53" t="n">
        <x:v>44725</x:v>
      </x:c>
      <x:c r="C220" s="53" t="n">
        <x:v>44727</x:v>
      </x:c>
      <x:c r="D220" s="23" t="str">
        <x:v>BEPRE</x:v>
      </x:c>
      <x:c r="E220" s="54" t="n">
        <x:v>11465.199</x:v>
      </x:c>
      <x:c r="F220" s="54" t="n">
        <x:v>11421.639</x:v>
      </x:c>
      <x:c r="G220" s="55" t="n">
        <x:v>-0.00379</x:v>
      </x:c>
      <x:c r="H220" s="56" t="n">
        <x:f>SUM(T217:T219)</x:f>
        <x:v>0.00336</x:v>
      </x:c>
      <x:c r="I220" s="57" t="b">
        <x:f>AND(A220&gt;3,H220&lt;='Assumptions'!$B$7)</x:f>
        <x:v>0</x:v>
      </x:c>
      <x:c r="J220" s="55" t="n">
        <x:v>-0.03183693866833559</x:v>
      </x:c>
      <x:c r="K220" s="55" t="n">
        <x:v>-0.007932253509776777</x:v>
      </x:c>
      <x:c r="L220" s="55" t="n">
        <x:v>-0.03870345714154544</x:v>
      </x:c>
      <x:c r="M220" s="57" t="b">
        <x:f>J220&gt;='Assumptions'!$B$8</x:f>
        <x:v>0</x:v>
      </x:c>
      <x:c r="N220" s="57" t="b">
        <x:f>AND(K220&lt;&gt;"",K220&lt;='Assumptions'!$B$9)</x:f>
        <x:v>1</x:v>
      </x:c>
      <x:c r="O220" s="57" t="b">
        <x:f>AND(P220&lt;&gt;"",ABS(L220)&lt;='Assumptions'!$B$10)</x:f>
        <x:v>0</x:v>
      </x:c>
      <x:c r="P220" s="53" t="n">
        <x:v>44726</x:v>
      </x:c>
      <x:c r="Q220" s="54" t="n">
        <x:v>11383.019</x:v>
      </x:c>
      <x:c r="R220" s="55" t="n">
        <x:v>0.00339</x:v>
      </x:c>
      <x:c r="S220" s="57" t="str">
        <x:f>IF(I220,"DAMAGE SKIP",IF(AND(M220,N220),IF(O220,"TUESDAY RE-ENTRY","GAP/MOM SKIP"),"BASELINE"))</x:f>
        <x:v>BASELINE</x:v>
      </x:c>
      <x:c r="T220" s="56" t="n">
        <x:f>IF(I220,0,IF(AND(M220,N220),IF(O220,R220,0),G220))</x:f>
        <x:v>-0.00379</x:v>
      </x:c>
      <x:c r="U220" s="56" t="n">
        <x:f>G220*'Assumptions'!$B$6</x:f>
        <x:v>-0.042827000000000004</x:v>
      </x:c>
      <x:c r="V220" s="56" t="n">
        <x:f>T220*'Assumptions'!$B$6</x:f>
        <x:v>-0.042827000000000004</x:v>
      </x:c>
      <x:c r="W220" s="56" t="n">
        <x:f>V220-U220</x:f>
        <x:v>0</x:v>
      </x:c>
      <x:c r="X220" s="58" t="n">
        <x:f>X219*(1+U220)</x:f>
        <x:v>99984.20251956061</x:v>
      </x:c>
      <x:c r="Y220" s="58" t="n">
        <x:f>MAX(Y219,X220)</x:f>
        <x:v>132329.58730545666</x:v>
      </x:c>
      <x:c r="Z220" s="59" t="n">
        <x:f>X220/Y220-1</x:f>
        <x:v>-0.24443048183346272</x:v>
      </x:c>
      <x:c r="AA220" s="58" t="n">
        <x:f>AA219*(1+V220)</x:f>
        <x:v>409915.2045092739</x:v>
      </x:c>
      <x:c r="AB220" s="58" t="n">
        <x:f>MAX(AB219,AA220)</x:f>
        <x:v>482568.21752537985</x:v>
      </x:c>
      <x:c r="AC220" s="59" t="n">
        <x:f>AA220/AB220-1</x:f>
        <x:v>-0.15055490680399997</x:v>
      </x:c>
      <x:c r="AD220" s="60" t="n">
        <x:f>AA220-X220</x:f>
        <x:v>309931.0019897133</x:v>
      </x:c>
      <x:c r="AE220" s="28" t="str">
        <x:v>Baseline trade unchanged.</x:v>
      </x:c>
    </x:row>
    <x:row r="221" ht="18" customHeight="1">
      <x:c r="A221" s="23" t="n">
        <x:v>217</x:v>
      </x:c>
      <x:c r="B221" s="53" t="n">
        <x:v>44733</x:v>
      </x:c>
      <x:c r="C221" s="53" t="n">
        <x:v>44733</x:v>
      </x:c>
      <x:c r="D221" s="23" t="str">
        <x:v>CH</x:v>
      </x:c>
      <x:c r="E221" s="54" t="n">
        <x:v>11441.879</x:v>
      </x:c>
      <x:c r="F221" s="54" t="n">
        <x:v>11539.809</x:v>
      </x:c>
      <x:c r="G221" s="55" t="n">
        <x:v>0.00855</x:v>
      </x:c>
      <x:c r="H221" s="56" t="n">
        <x:f>SUM(T218:T220)</x:f>
        <x:v>-0.01375</x:v>
      </x:c>
      <x:c r="I221" s="57" t="b">
        <x:f>AND(A221&gt;3,H221&lt;='Assumptions'!$B$7)</x:f>
        <x:v>0</x:v>
      </x:c>
      <x:c r="J221" s="55" t="n">
        <x:v>0.015812646725976043</x:v>
      </x:c>
      <x:c r="K221" s="55" t="n">
        <x:v>-0.05142665915175426</x:v>
      </x:c>
      <x:c r="L221" s="55"/>
      <x:c r="M221" s="57" t="b">
        <x:f>J221&gt;='Assumptions'!$B$8</x:f>
        <x:v>1</x:v>
      </x:c>
      <x:c r="N221" s="57" t="b">
        <x:f>AND(K221&lt;&gt;"",K221&lt;='Assumptions'!$B$9)</x:f>
        <x:v>1</x:v>
      </x:c>
      <x:c r="O221" s="57" t="b">
        <x:f>AND(P221&lt;&gt;"",ABS(L221)&lt;='Assumptions'!$B$10)</x:f>
        <x:v>0</x:v>
      </x:c>
      <x:c r="P221" s="53"/>
      <x:c r="Q221" s="54"/>
      <x:c r="R221" s="55"/>
      <x:c r="S221" s="57" t="str">
        <x:f>IF(I221,"DAMAGE SKIP",IF(AND(M221,N221),IF(O221,"TUESDAY RE-ENTRY","GAP/MOM SKIP"),"BASELINE"))</x:f>
        <x:v>GAP/MOM SKIP</x:v>
      </x:c>
      <x:c r="T221" s="56" t="n">
        <x:f>IF(I221,0,IF(AND(M221,N221),IF(O221,R221,0),G221))</x:f>
        <x:v>0</x:v>
      </x:c>
      <x:c r="U221" s="56" t="n">
        <x:f>G221*'Assumptions'!$B$6</x:f>
        <x:v>0.096615</x:v>
      </x:c>
      <x:c r="V221" s="56" t="n">
        <x:f>T221*'Assumptions'!$B$6</x:f>
        <x:v>0</x:v>
      </x:c>
      <x:c r="W221" s="56" t="n">
        <x:f>V221-U221</x:f>
        <x:v>-0.096615</x:v>
      </x:c>
      <x:c r="X221" s="58" t="n">
        <x:f>X220*(1+U221)</x:f>
        <x:v>109644.17624598795</x:v>
      </x:c>
      <x:c r="Y221" s="58" t="n">
        <x:f>MAX(Y220,X221)</x:f>
        <x:v>132329.58730545666</x:v>
      </x:c>
      <x:c r="Z221" s="59" t="n">
        <x:f>X221/Y221-1</x:f>
        <x:v>-0.1714311328358028</x:v>
      </x:c>
      <x:c r="AA221" s="58" t="n">
        <x:f>AA220*(1+V221)</x:f>
        <x:v>409915.2045092739</x:v>
      </x:c>
      <x:c r="AB221" s="58" t="n">
        <x:f>MAX(AB220,AA221)</x:f>
        <x:v>482568.21752537985</x:v>
      </x:c>
      <x:c r="AC221" s="59" t="n">
        <x:f>AA221/AB221-1</x:f>
        <x:v>-0.15055490680399997</x:v>
      </x:c>
      <x:c r="AD221" s="60" t="n">
        <x:f>AA221-X221</x:f>
        <x:v>300271.028263286</x:v>
      </x:c>
      <x:c r="AE221" s="28" t="str">
        <x:v>Monday entry skipped; Tuesday did not normalize within the Friday-based tolerance.</x:v>
      </x:c>
    </x:row>
    <x:row r="222" ht="18" customHeight="1">
      <x:c r="A222" s="23" t="n">
        <x:v>218</x:v>
      </x:c>
      <x:c r="B222" s="53" t="n">
        <x:v>44739</x:v>
      </x:c>
      <x:c r="C222" s="53" t="n">
        <x:v>44742</x:v>
      </x:c>
      <x:c r="D222" s="23" t="str">
        <x:v>TSL1PRE</x:v>
      </x:c>
      <x:c r="E222" s="54" t="n">
        <x:v>12152.729</x:v>
      </x:c>
      <x:c r="F222" s="54" t="n">
        <x:v>11657.109</x:v>
      </x:c>
      <x:c r="G222" s="55" t="n">
        <x:v>-0.04078</x:v>
      </x:c>
      <x:c r="H222" s="56" t="n">
        <x:f>SUM(T219:T221)</x:f>
        <x:v>-0.00379</x:v>
      </x:c>
      <x:c r="I222" s="57" t="b">
        <x:f>AND(A222&gt;3,H222&lt;='Assumptions'!$B$7)</x:f>
        <x:v>0</x:v>
      </x:c>
      <x:c r="J222" s="55" t="n">
        <x:v>0.00511792017252044</x:v>
      </x:c>
      <x:c r="K222" s="55" t="n">
        <x:v>0.01344890990281078</x:v>
      </x:c>
      <x:c r="L222" s="55" t="n">
        <x:v>-0.005467143572996047</x:v>
      </x:c>
      <x:c r="M222" s="57" t="b">
        <x:f>J222&gt;='Assumptions'!$B$8</x:f>
        <x:v>0</x:v>
      </x:c>
      <x:c r="N222" s="57" t="b">
        <x:f>AND(K222&lt;&gt;"",K222&lt;='Assumptions'!$B$9)</x:f>
        <x:v>0</x:v>
      </x:c>
      <x:c r="O222" s="57" t="b">
        <x:f>AND(P222&lt;&gt;"",ABS(L222)&lt;='Assumptions'!$B$10)</x:f>
        <x:v>0</x:v>
      </x:c>
      <x:c r="P222" s="53" t="n">
        <x:v>44740</x:v>
      </x:c>
      <x:c r="Q222" s="54" t="n">
        <x:v>12029.207</x:v>
      </x:c>
      <x:c r="R222" s="55" t="n">
        <x:v>-0.03093</x:v>
      </x:c>
      <x:c r="S222" s="57" t="str">
        <x:f>IF(I222,"DAMAGE SKIP",IF(AND(M222,N222),IF(O222,"TUESDAY RE-ENTRY","GAP/MOM SKIP"),"BASELINE"))</x:f>
        <x:v>BASELINE</x:v>
      </x:c>
      <x:c r="T222" s="56" t="n">
        <x:f>IF(I222,0,IF(AND(M222,N222),IF(O222,R222,0),G222))</x:f>
        <x:v>-0.04078</x:v>
      </x:c>
      <x:c r="U222" s="56" t="n">
        <x:f>G222*'Assumptions'!$B$6</x:f>
        <x:v>-0.460814</x:v>
      </x:c>
      <x:c r="V222" s="56" t="n">
        <x:f>T222*'Assumptions'!$B$6</x:f>
        <x:v>-0.460814</x:v>
      </x:c>
      <x:c r="W222" s="56" t="n">
        <x:f>V222-U222</x:f>
        <x:v>0</x:v>
      </x:c>
      <x:c r="X222" s="58" t="n">
        <x:f>X221*(1+U222)</x:f>
        <x:v>59118.60481336925</x:v>
      </x:c>
      <x:c r="Y222" s="58" t="n">
        <x:f>MAX(Y221,X222)</x:f>
        <x:v>132329.58730545666</x:v>
      </x:c>
      <x:c r="Z222" s="59" t="n">
        <x:f>X222/Y222-1</x:f>
        <x:v>-0.5532472667892052</x:v>
      </x:c>
      <x:c r="AA222" s="58" t="n">
        <x:f>AA221*(1+V222)</x:f>
        <x:v>221020.53945853736</x:v>
      </x:c>
      <x:c r="AB222" s="58" t="n">
        <x:f>MAX(AB221,AA222)</x:f>
        <x:v>482568.21752537985</x:v>
      </x:c>
      <x:c r="AC222" s="59" t="n">
        <x:f>AA222/AB222-1</x:f>
        <x:v>-0.5419910979800215</x:v>
      </x:c>
      <x:c r="AD222" s="60" t="n">
        <x:f>AA222-X222</x:f>
        <x:v>161901.9346451681</x:v>
      </x:c>
      <x:c r="AE222" s="28" t="str">
        <x:v>Baseline trade unchanged.</x:v>
      </x:c>
    </x:row>
    <x:row r="223" ht="18" customHeight="1">
      <x:c r="A223" s="23" t="n">
        <x:v>219</x:v>
      </x:c>
      <x:c r="B223" s="53" t="n">
        <x:v>44747</x:v>
      </x:c>
      <x:c r="C223" s="53" t="n">
        <x:v>44747</x:v>
      </x:c>
      <x:c r="D223" s="23" t="str">
        <x:v>CH</x:v>
      </x:c>
      <x:c r="E223" s="54" t="n">
        <x:v>11424.259</x:v>
      </x:c>
      <x:c r="F223" s="54" t="n">
        <x:v>11769.829</x:v>
      </x:c>
      <x:c r="G223" s="55" t="n">
        <x:v>0.03024</x:v>
      </x:c>
      <x:c r="H223" s="56" t="n">
        <x:f>SUM(T220:T222)</x:f>
        <x:v>-0.04457</x:v>
      </x:c>
      <x:c r="I223" s="57" t="b">
        <x:f>AND(A223&gt;3,H223&lt;='Assumptions'!$B$7)</x:f>
        <x:v>1</x:v>
      </x:c>
      <x:c r="J223" s="55" t="n">
        <x:v>-0.014133538901620946</x:v>
      </x:c>
      <x:c r="K223" s="55" t="n">
        <x:v>-0.10085953191365082</x:v>
      </x:c>
      <x:c r="L223" s="55"/>
      <x:c r="M223" s="57" t="b">
        <x:f>J223&gt;='Assumptions'!$B$8</x:f>
        <x:v>0</x:v>
      </x:c>
      <x:c r="N223" s="57" t="b">
        <x:f>AND(K223&lt;&gt;"",K223&lt;='Assumptions'!$B$9)</x:f>
        <x:v>1</x:v>
      </x:c>
      <x:c r="O223" s="57" t="b">
        <x:f>AND(P223&lt;&gt;"",ABS(L223)&lt;='Assumptions'!$B$10)</x:f>
        <x:v>0</x:v>
      </x:c>
      <x:c r="P223" s="53"/>
      <x:c r="Q223" s="54"/>
      <x:c r="R223" s="55"/>
      <x:c r="S223" s="57" t="str">
        <x:f>IF(I223,"DAMAGE SKIP",IF(AND(M223,N223),IF(O223,"TUESDAY RE-ENTRY","GAP/MOM SKIP"),"BASELINE"))</x:f>
        <x:v>DAMAGE SKIP</x:v>
      </x:c>
      <x:c r="T223" s="56" t="n">
        <x:f>IF(I223,0,IF(AND(M223,N223),IF(O223,R223,0),G223))</x:f>
        <x:v>0</x:v>
      </x:c>
      <x:c r="U223" s="56" t="n">
        <x:f>G223*'Assumptions'!$B$6</x:f>
        <x:v>0.341712</x:v>
      </x:c>
      <x:c r="V223" s="56" t="n">
        <x:f>T223*'Assumptions'!$B$6</x:f>
        <x:v>0</x:v>
      </x:c>
      <x:c r="W223" s="56" t="n">
        <x:f>V223-U223</x:f>
        <x:v>-0.341712</x:v>
      </x:c>
      <x:c r="X223" s="58" t="n">
        <x:f>X222*(1+U223)</x:f>
        <x:v>79320.14150135529</x:v>
      </x:c>
      <x:c r="Y223" s="58" t="n">
        <x:f>MAX(Y222,X223)</x:f>
        <x:v>132329.58730545666</x:v>
      </x:c>
      <x:c r="Z223" s="59" t="n">
        <x:f>X223/Y223-1</x:f>
        <x:v>-0.40058649681827807</x:v>
      </x:c>
      <x:c r="AA223" s="58" t="n">
        <x:f>AA222*(1+V223)</x:f>
        <x:v>221020.53945853736</x:v>
      </x:c>
      <x:c r="AB223" s="58" t="n">
        <x:f>MAX(AB222,AA223)</x:f>
        <x:v>482568.21752537985</x:v>
      </x:c>
      <x:c r="AC223" s="59" t="n">
        <x:f>AA223/AB223-1</x:f>
        <x:v>-0.5419910979800215</x:v>
      </x:c>
      <x:c r="AD223" s="60" t="n">
        <x:f>AA223-X223</x:f>
        <x:v>141700.39795718208</x:v>
      </x:c>
      <x:c r="AE223" s="28" t="str">
        <x:v>Skipped because the previous three rule outcomes totalled at or below the damage threshold.</x:v>
      </x:c>
    </x:row>
    <x:row r="224" ht="18" customHeight="1">
      <x:c r="A224" s="23" t="n">
        <x:v>220</x:v>
      </x:c>
      <x:c r="B224" s="53" t="n">
        <x:v>44753</x:v>
      </x:c>
      <x:c r="C224" s="53" t="n">
        <x:v>44756</x:v>
      </x:c>
      <x:c r="D224" s="23" t="str">
        <x:v>TSL1PRE</x:v>
      </x:c>
      <x:c r="E224" s="54" t="n">
        <x:v>12020.789</x:v>
      </x:c>
      <x:c r="F224" s="54" t="n">
        <x:v>11696.679</x:v>
      </x:c>
      <x:c r="G224" s="55" t="n">
        <x:v>-0.02696</x:v>
      </x:c>
      <x:c r="H224" s="56" t="n">
        <x:f>SUM(T221:T223)</x:f>
        <x:v>-0.04078</x:v>
      </x:c>
      <x:c r="I224" s="57" t="b">
        <x:f>AND(A224&gt;3,H224&lt;='Assumptions'!$B$7)</x:f>
        <x:v>1</x:v>
      </x:c>
      <x:c r="J224" s="55" t="n">
        <x:v>-0.009075187379249283</x:v>
      </x:c>
      <x:c r="K224" s="55" t="n">
        <x:v>-0.03810559613771336</x:v>
      </x:c>
      <x:c r="L224" s="55" t="n">
        <x:v>-0.017029139132203386</x:v>
      </x:c>
      <x:c r="M224" s="57" t="b">
        <x:f>J224&gt;='Assumptions'!$B$8</x:f>
        <x:v>0</x:v>
      </x:c>
      <x:c r="N224" s="57" t="b">
        <x:f>AND(K224&lt;&gt;"",K224&lt;='Assumptions'!$B$9)</x:f>
        <x:v>1</x:v>
      </x:c>
      <x:c r="O224" s="57" t="b">
        <x:f>AND(P224&lt;&gt;"",ABS(L224)&lt;='Assumptions'!$B$10)</x:f>
        <x:v>0</x:v>
      </x:c>
      <x:c r="P224" s="53" t="n">
        <x:v>44754</x:v>
      </x:c>
      <x:c r="Q224" s="54" t="n">
        <x:v>11916.019</x:v>
      </x:c>
      <x:c r="R224" s="55" t="n">
        <x:v>-0.0184</x:v>
      </x:c>
      <x:c r="S224" s="57" t="str">
        <x:f>IF(I224,"DAMAGE SKIP",IF(AND(M224,N224),IF(O224,"TUESDAY RE-ENTRY","GAP/MOM SKIP"),"BASELINE"))</x:f>
        <x:v>DAMAGE SKIP</x:v>
      </x:c>
      <x:c r="T224" s="56" t="n">
        <x:f>IF(I224,0,IF(AND(M224,N224),IF(O224,R224,0),G224))</x:f>
        <x:v>0</x:v>
      </x:c>
      <x:c r="U224" s="56" t="n">
        <x:f>G224*'Assumptions'!$B$6</x:f>
        <x:v>-0.30464800000000003</x:v>
      </x:c>
      <x:c r="V224" s="56" t="n">
        <x:f>T224*'Assumptions'!$B$6</x:f>
        <x:v>0</x:v>
      </x:c>
      <x:c r="W224" s="56" t="n">
        <x:f>V224-U224</x:f>
        <x:v>0.30464800000000003</x:v>
      </x:c>
      <x:c r="X224" s="58" t="n">
        <x:f>X223*(1+U224)</x:f>
        <x:v>55155.4190332504</x:v>
      </x:c>
      <x:c r="Y224" s="58" t="n">
        <x:f>MAX(Y223,X224)</x:f>
        <x:v>132329.58730545666</x:v>
      </x:c>
      <x:c r="Z224" s="59" t="n">
        <x:f>X224/Y224-1</x:f>
        <x:v>-0.5831966217355833</x:v>
      </x:c>
      <x:c r="AA224" s="58" t="n">
        <x:f>AA223*(1+V224)</x:f>
        <x:v>221020.53945853736</x:v>
      </x:c>
      <x:c r="AB224" s="58" t="n">
        <x:f>MAX(AB223,AA224)</x:f>
        <x:v>482568.21752537985</x:v>
      </x:c>
      <x:c r="AC224" s="59" t="n">
        <x:f>AA224/AB224-1</x:f>
        <x:v>-0.5419910979800215</x:v>
      </x:c>
      <x:c r="AD224" s="60" t="n">
        <x:f>AA224-X224</x:f>
        <x:v>165865.12042528696</x:v>
      </x:c>
      <x:c r="AE224" s="28" t="str">
        <x:v>Skipped because the previous three rule outcomes totalled at or below the damage threshold.</x:v>
      </x:c>
    </x:row>
    <x:row r="225" ht="18" customHeight="1">
      <x:c r="A225" s="23" t="n">
        <x:v>221</x:v>
      </x:c>
      <x:c r="B225" s="53" t="n">
        <x:v>44760</x:v>
      </x:c>
      <x:c r="C225" s="53" t="n">
        <x:v>44764</x:v>
      </x:c>
      <x:c r="D225" s="23" t="str">
        <x:v>TO</x:v>
      </x:c>
      <x:c r="E225" s="54" t="n">
        <x:v>12093.809</x:v>
      </x:c>
      <x:c r="F225" s="54" t="n">
        <x:v>12386.669</x:v>
      </x:c>
      <x:c r="G225" s="55" t="n">
        <x:v>0.02421</x:v>
      </x:c>
      <x:c r="H225" s="56" t="n">
        <x:f>SUM(T222:T224)</x:f>
        <x:v>-0.04078</x:v>
      </x:c>
      <x:c r="I225" s="57" t="b">
        <x:f>AND(A225&gt;3,H225&lt;='Assumptions'!$B$7)</x:f>
        <x:v>1</x:v>
      </x:c>
      <x:c r="J225" s="55" t="n">
        <x:v>0.009818624726217973</x:v>
      </x:c>
      <x:c r="K225" s="55" t="n">
        <x:v>0.03405811738904574</x:v>
      </x:c>
      <x:c r="L225" s="55" t="n">
        <x:v>0.004252216803756204</x:v>
      </x:c>
      <x:c r="M225" s="57" t="b">
        <x:f>J225&gt;='Assumptions'!$B$8</x:f>
        <x:v>0</x:v>
      </x:c>
      <x:c r="N225" s="57" t="b">
        <x:f>AND(K225&lt;&gt;"",K225&lt;='Assumptions'!$B$9)</x:f>
        <x:v>0</x:v>
      </x:c>
      <x:c r="O225" s="57" t="b">
        <x:f>AND(P225&lt;&gt;"",ABS(L225)&lt;='Assumptions'!$B$10)</x:f>
        <x:v>1</x:v>
      </x:c>
      <x:c r="P225" s="53" t="n">
        <x:v>44761</x:v>
      </x:c>
      <x:c r="Q225" s="54" t="n">
        <x:v>12030.307</x:v>
      </x:c>
      <x:c r="R225" s="55" t="n">
        <x:v>0.02962</x:v>
      </x:c>
      <x:c r="S225" s="57" t="str">
        <x:f>IF(I225,"DAMAGE SKIP",IF(AND(M225,N225),IF(O225,"TUESDAY RE-ENTRY","GAP/MOM SKIP"),"BASELINE"))</x:f>
        <x:v>DAMAGE SKIP</x:v>
      </x:c>
      <x:c r="T225" s="56" t="n">
        <x:f>IF(I225,0,IF(AND(M225,N225),IF(O225,R225,0),G225))</x:f>
        <x:v>0</x:v>
      </x:c>
      <x:c r="U225" s="56" t="n">
        <x:f>G225*'Assumptions'!$B$6</x:f>
        <x:v>0.273573</x:v>
      </x:c>
      <x:c r="V225" s="56" t="n">
        <x:f>T225*'Assumptions'!$B$6</x:f>
        <x:v>0</x:v>
      </x:c>
      <x:c r="W225" s="56" t="n">
        <x:f>V225-U225</x:f>
        <x:v>-0.273573</x:v>
      </x:c>
      <x:c r="X225" s="58" t="n">
        <x:f>X224*(1+U225)</x:f>
        <x:v>70244.45248443382</x:v>
      </x:c>
      <x:c r="Y225" s="58" t="n">
        <x:f>MAX(Y224,X225)</x:f>
        <x:v>132329.58730545666</x:v>
      </x:c>
      <x:c r="Z225" s="59" t="n">
        <x:f>X225/Y225-1</x:f>
        <x:v>-0.46917047113365207</x:v>
      </x:c>
      <x:c r="AA225" s="58" t="n">
        <x:f>AA224*(1+V225)</x:f>
        <x:v>221020.53945853736</x:v>
      </x:c>
      <x:c r="AB225" s="58" t="n">
        <x:f>MAX(AB224,AA225)</x:f>
        <x:v>482568.21752537985</x:v>
      </x:c>
      <x:c r="AC225" s="59" t="n">
        <x:f>AA225/AB225-1</x:f>
        <x:v>-0.5419910979800215</x:v>
      </x:c>
      <x:c r="AD225" s="60" t="n">
        <x:f>AA225-X225</x:f>
        <x:v>150776.08697410353</x:v>
      </x:c>
      <x:c r="AE225" s="28" t="str">
        <x:v>Skipped because the previous three rule outcomes totalled at or below the damage threshold.</x:v>
      </x:c>
    </x:row>
    <x:row r="226" ht="18" customHeight="1">
      <x:c r="A226" s="23" t="n">
        <x:v>222</x:v>
      </x:c>
      <x:c r="B226" s="53" t="n">
        <x:v>44767</x:v>
      </x:c>
      <x:c r="C226" s="53" t="n">
        <x:v>44769</x:v>
      </x:c>
      <x:c r="D226" s="23" t="str">
        <x:v>BH</x:v>
      </x:c>
      <x:c r="E226" s="54" t="n">
        <x:v>12396.679</x:v>
      </x:c>
      <x:c r="F226" s="54" t="n">
        <x:v>12347.092284</x:v>
      </x:c>
      <x:c r="G226" s="55" t="n">
        <x:v>-0.004</x:v>
      </x:c>
      <x:c r="H226" s="56" t="n">
        <x:f>SUM(T223:T225)</x:f>
        <x:v>0</x:v>
      </x:c>
      <x:c r="I226" s="57" t="b">
        <x:f>AND(A226&gt;3,H226&lt;='Assumptions'!$B$7)</x:f>
        <x:v>0</x:v>
      </x:c>
      <x:c r="J226" s="55" t="n">
        <x:v>0.0008081268660686813</x:v>
      </x:c>
      <x:c r="K226" s="55" t="n">
        <x:v>0.06017249328934615</x:v>
      </x:c>
      <x:c r="L226" s="55" t="n">
        <x:v>-0.011459337725124197</x:v>
      </x:c>
      <x:c r="M226" s="57" t="b">
        <x:f>J226&gt;='Assumptions'!$B$8</x:f>
        <x:v>0</x:v>
      </x:c>
      <x:c r="N226" s="57" t="b">
        <x:f>AND(K226&lt;&gt;"",K226&lt;='Assumptions'!$B$9)</x:f>
        <x:v>0</x:v>
      </x:c>
      <x:c r="O226" s="57" t="b">
        <x:f>AND(P226&lt;&gt;"",ABS(L226)&lt;='Assumptions'!$B$10)</x:f>
        <x:v>0</x:v>
      </x:c>
      <x:c r="P226" s="53" t="n">
        <x:v>44768</x:v>
      </x:c>
      <x:c r="Q226" s="54" t="n">
        <x:v>12253.499</x:v>
      </x:c>
      <x:c r="R226" s="55" t="n">
        <x:v>0.00763</x:v>
      </x:c>
      <x:c r="S226" s="57" t="str">
        <x:f>IF(I226,"DAMAGE SKIP",IF(AND(M226,N226),IF(O226,"TUESDAY RE-ENTRY","GAP/MOM SKIP"),"BASELINE"))</x:f>
        <x:v>BASELINE</x:v>
      </x:c>
      <x:c r="T226" s="56" t="n">
        <x:f>IF(I226,0,IF(AND(M226,N226),IF(O226,R226,0),G226))</x:f>
        <x:v>-0.004</x:v>
      </x:c>
      <x:c r="U226" s="56" t="n">
        <x:f>G226*'Assumptions'!$B$6</x:f>
        <x:v>-0.045200000000000004</x:v>
      </x:c>
      <x:c r="V226" s="56" t="n">
        <x:f>T226*'Assumptions'!$B$6</x:f>
        <x:v>-0.045200000000000004</x:v>
      </x:c>
      <x:c r="W226" s="56" t="n">
        <x:f>V226-U226</x:f>
        <x:v>0</x:v>
      </x:c>
      <x:c r="X226" s="58" t="n">
        <x:f>X225*(1+U226)</x:f>
        <x:v>67069.40323213741</x:v>
      </x:c>
      <x:c r="Y226" s="58" t="n">
        <x:f>MAX(Y225,X226)</x:f>
        <x:v>132329.58730545666</x:v>
      </x:c>
      <x:c r="Z226" s="59" t="n">
        <x:f>X226/Y226-1</x:f>
        <x:v>-0.49316396583841093</x:v>
      </x:c>
      <x:c r="AA226" s="58" t="n">
        <x:f>AA225*(1+V226)</x:f>
        <x:v>211030.41107501148</x:v>
      </x:c>
      <x:c r="AB226" s="58" t="n">
        <x:f>MAX(AB225,AA226)</x:f>
        <x:v>482568.21752537985</x:v>
      </x:c>
      <x:c r="AC226" s="59" t="n">
        <x:f>AA226/AB226-1</x:f>
        <x:v>-0.5626931003513245</x:v>
      </x:c>
      <x:c r="AD226" s="60" t="n">
        <x:f>AA226-X226</x:f>
        <x:v>143961.00784287407</x:v>
      </x:c>
      <x:c r="AE226" s="28" t="str">
        <x:v>Baseline trade unchanged.</x:v>
      </x:c>
    </x:row>
    <x:row r="227" ht="18" customHeight="1">
      <x:c r="A227" s="23" t="n">
        <x:v>223</x:v>
      </x:c>
      <x:c r="B227" s="53" t="n">
        <x:v>44774</x:v>
      </x:c>
      <x:c r="C227" s="53" t="n">
        <x:v>44778</x:v>
      </x:c>
      <x:c r="D227" s="23" t="str">
        <x:v>TO</x:v>
      </x:c>
      <x:c r="E227" s="54" t="n">
        <x:v>12874.739</x:v>
      </x:c>
      <x:c r="F227" s="54" t="n">
        <x:v>13205.279</x:v>
      </x:c>
      <x:c r="G227" s="55" t="n">
        <x:v>0.02567</x:v>
      </x:c>
      <x:c r="H227" s="56" t="n">
        <x:f>SUM(T224:T226)</x:f>
        <x:v>-0.004</x:v>
      </x:c>
      <x:c r="I227" s="57" t="b">
        <x:f>AND(A227&gt;3,H227&lt;='Assumptions'!$B$7)</x:f>
        <x:v>0</x:v>
      </x:c>
      <x:c r="J227" s="55" t="n">
        <x:v>-0.006174579182628981</x:v>
      </x:c>
      <x:c r="K227" s="55" t="n">
        <x:v>0.12551536748653236</x:v>
      </x:c>
      <x:c r="L227" s="55" t="n">
        <x:v>-0.008042808915511679</x:v>
      </x:c>
      <x:c r="M227" s="57" t="b">
        <x:f>J227&gt;='Assumptions'!$B$8</x:f>
        <x:v>0</x:v>
      </x:c>
      <x:c r="N227" s="57" t="b">
        <x:f>AND(K227&lt;&gt;"",K227&lt;='Assumptions'!$B$9)</x:f>
        <x:v>0</x:v>
      </x:c>
      <x:c r="O227" s="57" t="b">
        <x:f>AND(P227&lt;&gt;"",ABS(L227)&lt;='Assumptions'!$B$10)</x:f>
        <x:v>0</x:v>
      </x:c>
      <x:c r="P227" s="53" t="n">
        <x:v>44775</x:v>
      </x:c>
      <x:c r="Q227" s="54" t="n">
        <x:v>12839.989</x:v>
      </x:c>
      <x:c r="R227" s="55" t="n">
        <x:v>0.02844</x:v>
      </x:c>
      <x:c r="S227" s="57" t="str">
        <x:f>IF(I227,"DAMAGE SKIP",IF(AND(M227,N227),IF(O227,"TUESDAY RE-ENTRY","GAP/MOM SKIP"),"BASELINE"))</x:f>
        <x:v>BASELINE</x:v>
      </x:c>
      <x:c r="T227" s="56" t="n">
        <x:f>IF(I227,0,IF(AND(M227,N227),IF(O227,R227,0),G227))</x:f>
        <x:v>0.02567</x:v>
      </x:c>
      <x:c r="U227" s="56" t="n">
        <x:f>G227*'Assumptions'!$B$6</x:f>
        <x:v>0.290071</x:v>
      </x:c>
      <x:c r="V227" s="56" t="n">
        <x:f>T227*'Assumptions'!$B$6</x:f>
        <x:v>0.290071</x:v>
      </x:c>
      <x:c r="W227" s="56" t="n">
        <x:f>V227-U227</x:f>
        <x:v>0</x:v>
      </x:c>
      <x:c r="X227" s="58" t="n">
        <x:f>X226*(1+U227)</x:f>
        <x:v>86524.29209708674</x:v>
      </x:c>
      <x:c r="Y227" s="58" t="n">
        <x:f>MAX(Y226,X227)</x:f>
        <x:v>132329.58730545666</x:v>
      </x:c>
      <x:c r="Z227" s="59" t="n">
        <x:f>X227/Y227-1</x:f>
        <x:v>-0.3461455305731247</x:v>
      </x:c>
      <x:c r="AA227" s="58" t="n">
        <x:f>AA226*(1+V227)</x:f>
        <x:v>272244.2134459511</x:v>
      </x:c>
      <x:c r="AB227" s="58" t="n">
        <x:f>MAX(AB226,AA227)</x:f>
        <x:v>482568.21752537985</x:v>
      </x:c>
      <x:c r="AC227" s="59" t="n">
        <x:f>AA227/AB227-1</x:f>
        <x:v>-0.4358430506633336</x:v>
      </x:c>
      <x:c r="AD227" s="60" t="n">
        <x:f>AA227-X227</x:f>
        <x:v>185719.9213488644</x:v>
      </x:c>
      <x:c r="AE227" s="28" t="str">
        <x:v>Baseline trade unchanged.</x:v>
      </x:c>
    </x:row>
    <x:row r="228" ht="18" customHeight="1">
      <x:c r="A228" s="23" t="n">
        <x:v>224</x:v>
      </x:c>
      <x:c r="B228" s="53" t="n">
        <x:v>44781</x:v>
      </x:c>
      <x:c r="C228" s="53" t="n">
        <x:v>44783</x:v>
      </x:c>
      <x:c r="D228" s="23" t="str">
        <x:v>BEPRE</x:v>
      </x:c>
      <x:c r="E228" s="54" t="n">
        <x:v>13242.739</x:v>
      </x:c>
      <x:c r="F228" s="54" t="n">
        <x:v>13240.347</x:v>
      </x:c>
      <x:c r="G228" s="55" t="n">
        <x:v>-0.00018</x:v>
      </x:c>
      <x:c r="H228" s="56" t="n">
        <x:f>SUM(T225:T227)</x:f>
        <x:v>0.02167</x:v>
      </x:c>
      <x:c r="I228" s="57" t="b">
        <x:f>AND(A228&gt;3,H228&lt;='Assumptions'!$B$7)</x:f>
        <x:v>0</x:v>
      </x:c>
      <x:c r="J228" s="55" t="n">
        <x:v>0.0028367443050616448</x:v>
      </x:c>
      <x:c r="K228" s="55" t="n">
        <x:v>0.08939263886159865</x:v>
      </x:c>
      <x:c r="L228" s="55" t="n">
        <x:v>-0.009265148422741398</x:v>
      </x:c>
      <x:c r="M228" s="57" t="b">
        <x:f>J228&gt;='Assumptions'!$B$8</x:f>
        <x:v>0</x:v>
      </x:c>
      <x:c r="N228" s="57" t="b">
        <x:f>AND(K228&lt;&gt;"",K228&lt;='Assumptions'!$B$9)</x:f>
        <x:v>0</x:v>
      </x:c>
      <x:c r="O228" s="57" t="b">
        <x:f>AND(P228&lt;&gt;"",ABS(L228)&lt;='Assumptions'!$B$10)</x:f>
        <x:v>0</x:v>
      </x:c>
      <x:c r="P228" s="53" t="n">
        <x:v>44782</x:v>
      </x:c>
      <x:c r="Q228" s="54" t="n">
        <x:v>13077.497</x:v>
      </x:c>
      <x:c r="R228" s="55" t="n">
        <x:v>0.01245</x:v>
      </x:c>
      <x:c r="S228" s="57" t="str">
        <x:f>IF(I228,"DAMAGE SKIP",IF(AND(M228,N228),IF(O228,"TUESDAY RE-ENTRY","GAP/MOM SKIP"),"BASELINE"))</x:f>
        <x:v>BASELINE</x:v>
      </x:c>
      <x:c r="T228" s="56" t="n">
        <x:f>IF(I228,0,IF(AND(M228,N228),IF(O228,R228,0),G228))</x:f>
        <x:v>-0.00018</x:v>
      </x:c>
      <x:c r="U228" s="56" t="n">
        <x:f>G228*'Assumptions'!$B$6</x:f>
        <x:v>-0.0020340000000000002</x:v>
      </x:c>
      <x:c r="V228" s="56" t="n">
        <x:f>T228*'Assumptions'!$B$6</x:f>
        <x:v>-0.0020340000000000002</x:v>
      </x:c>
      <x:c r="W228" s="56" t="n">
        <x:f>V228-U228</x:f>
        <x:v>0</x:v>
      </x:c>
      <x:c r="X228" s="58" t="n">
        <x:f>X227*(1+U228)</x:f>
        <x:v>86348.30168696126</x:v>
      </x:c>
      <x:c r="Y228" s="58" t="n">
        <x:f>MAX(Y227,X228)</x:f>
        <x:v>132329.58730545666</x:v>
      </x:c>
      <x:c r="Z228" s="59" t="n">
        <x:f>X228/Y228-1</x:f>
        <x:v>-0.347475470563939</x:v>
      </x:c>
      <x:c r="AA228" s="58" t="n">
        <x:f>AA227*(1+V228)</x:f>
        <x:v>271690.46871580207</x:v>
      </x:c>
      <x:c r="AB228" s="58" t="n">
        <x:f>MAX(AB227,AA228)</x:f>
        <x:v>482568.21752537985</x:v>
      </x:c>
      <x:c r="AC228" s="59" t="n">
        <x:f>AA228/AB228-1</x:f>
        <x:v>-0.43699054589828434</x:v>
      </x:c>
      <x:c r="AD228" s="60" t="n">
        <x:f>AA228-X228</x:f>
        <x:v>185342.1670288408</x:v>
      </x:c>
      <x:c r="AE228" s="28" t="str">
        <x:v>Baseline trade unchanged.</x:v>
      </x:c>
    </x:row>
    <x:row r="229" ht="18" customHeight="1">
      <x:c r="A229" s="23" t="n">
        <x:v>225</x:v>
      </x:c>
      <x:c r="B229" s="53" t="n">
        <x:v>44788</x:v>
      </x:c>
      <x:c r="C229" s="53" t="n">
        <x:v>44788</x:v>
      </x:c>
      <x:c r="D229" s="23" t="str">
        <x:v>CH</x:v>
      </x:c>
      <x:c r="E229" s="54" t="n">
        <x:v>13512.439</x:v>
      </x:c>
      <x:c r="F229" s="54" t="n">
        <x:v>13660.229</x:v>
      </x:c>
      <x:c r="G229" s="55" t="n">
        <x:v>0.01093</x:v>
      </x:c>
      <x:c r="H229" s="56" t="n">
        <x:f>SUM(T226:T228)</x:f>
        <x:v>0.02149</x:v>
      </x:c>
      <x:c r="I229" s="57" t="b">
        <x:f>AND(A229&gt;3,H229&lt;='Assumptions'!$B$7)</x:f>
        <x:v>0</x:v>
      </x:c>
      <x:c r="J229" s="55" t="n">
        <x:v>-0.002940462677559541</x:v>
      </x:c>
      <x:c r="K229" s="55" t="n">
        <x:v>0.13197220536218857</x:v>
      </x:c>
      <x:c r="L229" s="55" t="n">
        <x:v>0.005047656907246845</x:v>
      </x:c>
      <x:c r="M229" s="57" t="b">
        <x:f>J229&gt;='Assumptions'!$B$8</x:f>
        <x:v>0</x:v>
      </x:c>
      <x:c r="N229" s="57" t="b">
        <x:f>AND(K229&lt;&gt;"",K229&lt;='Assumptions'!$B$9)</x:f>
        <x:v>0</x:v>
      </x:c>
      <x:c r="O229" s="57" t="b">
        <x:f>AND(P229&lt;&gt;"",ABS(L229)&lt;='Assumptions'!$B$10)</x:f>
        <x:v>0</x:v>
      </x:c>
      <x:c r="P229" s="53" t="n">
        <x:v>44789</x:v>
      </x:c>
      <x:c r="Q229" s="54" t="n">
        <x:v>13621.709</x:v>
      </x:c>
      <x:c r="R229" s="55" t="n">
        <x:v>0.00282</x:v>
      </x:c>
      <x:c r="S229" s="57" t="str">
        <x:f>IF(I229,"DAMAGE SKIP",IF(AND(M229,N229),IF(O229,"TUESDAY RE-ENTRY","GAP/MOM SKIP"),"BASELINE"))</x:f>
        <x:v>BASELINE</x:v>
      </x:c>
      <x:c r="T229" s="56" t="n">
        <x:f>IF(I229,0,IF(AND(M229,N229),IF(O229,R229,0),G229))</x:f>
        <x:v>0.01093</x:v>
      </x:c>
      <x:c r="U229" s="56" t="n">
        <x:f>G229*'Assumptions'!$B$6</x:f>
        <x:v>0.12350900000000001</x:v>
      </x:c>
      <x:c r="V229" s="56" t="n">
        <x:f>T229*'Assumptions'!$B$6</x:f>
        <x:v>0.12350900000000001</x:v>
      </x:c>
      <x:c r="W229" s="56" t="n">
        <x:f>V229-U229</x:f>
        <x:v>0</x:v>
      </x:c>
      <x:c r="X229" s="58" t="n">
        <x:f>X228*(1+U229)</x:f>
        <x:v>97013.09408001616</x:v>
      </x:c>
      <x:c r="Y229" s="58" t="n">
        <x:f>MAX(Y228,X229)</x:f>
        <x:v>132329.58730545666</x:v>
      </x:c>
      <x:c r="Z229" s="59" t="n">
        <x:f>X229/Y229-1</x:f>
        <x:v>-0.26688281845782047</x:v>
      </x:c>
      <x:c r="AA229" s="58" t="n">
        <x:f>AA228*(1+V229)</x:f>
        <x:v>305246.6868164221</x:v>
      </x:c>
      <x:c r="AB229" s="58" t="n">
        <x:f>MAX(AB228,AA229)</x:f>
        <x:v>482568.21752537985</x:v>
      </x:c>
      <x:c r="AC229" s="59" t="n">
        <x:f>AA229/AB229-1</x:f>
        <x:v>-0.36745381123163556</x:v>
      </x:c>
      <x:c r="AD229" s="60" t="n">
        <x:f>AA229-X229</x:f>
        <x:v>208233.59273640593</x:v>
      </x:c>
      <x:c r="AE229" s="28" t="str">
        <x:v>Baseline trade unchanged.</x:v>
      </x:c>
    </x:row>
    <x:row r="230" ht="18" customHeight="1">
      <x:c r="A230" s="23" t="n">
        <x:v>226</x:v>
      </x:c>
      <x:c r="B230" s="53" t="n">
        <x:v>44795</x:v>
      </x:c>
      <x:c r="C230" s="53" t="n">
        <x:v>44798</x:v>
      </x:c>
      <x:c r="D230" s="23" t="str">
        <x:v>TSL1PRE</x:v>
      </x:c>
      <x:c r="E230" s="54" t="n">
        <x:v>13061.199</x:v>
      </x:c>
      <x:c r="F230" s="54" t="n">
        <x:v>12932.319</x:v>
      </x:c>
      <x:c r="G230" s="55" t="n">
        <x:v>-0.00986</x:v>
      </x:c>
      <x:c r="H230" s="56" t="n">
        <x:f>SUM(T227:T229)</x:f>
        <x:v>0.03642</x:v>
      </x:c>
      <x:c r="I230" s="57" t="b">
        <x:f>AND(A230&gt;3,H230&lt;='Assumptions'!$B$7)</x:f>
        <x:v>0</x:v>
      </x:c>
      <x:c r="J230" s="55" t="n">
        <x:v>-0.013768967819728695</x:v>
      </x:c>
      <x:c r="K230" s="55" t="n">
        <x:v>0.06910665039411512</x:v>
      </x:c>
      <x:c r="L230" s="55" t="n">
        <x:v>-0.027072453896415216</x:v>
      </x:c>
      <x:c r="M230" s="57" t="b">
        <x:f>J230&gt;='Assumptions'!$B$8</x:f>
        <x:v>0</x:v>
      </x:c>
      <x:c r="N230" s="57" t="b">
        <x:f>AND(K230&lt;&gt;"",K230&lt;='Assumptions'!$B$9)</x:f>
        <x:v>0</x:v>
      </x:c>
      <x:c r="O230" s="57" t="b">
        <x:f>AND(P230&lt;&gt;"",ABS(L230)&lt;='Assumptions'!$B$10)</x:f>
        <x:v>0</x:v>
      </x:c>
      <x:c r="P230" s="53" t="n">
        <x:v>44796</x:v>
      </x:c>
      <x:c r="Q230" s="54" t="n">
        <x:v>12879.669</x:v>
      </x:c>
      <x:c r="R230" s="55" t="n">
        <x:v>0.00408</x:v>
      </x:c>
      <x:c r="S230" s="57" t="str">
        <x:f>IF(I230,"DAMAGE SKIP",IF(AND(M230,N230),IF(O230,"TUESDAY RE-ENTRY","GAP/MOM SKIP"),"BASELINE"))</x:f>
        <x:v>BASELINE</x:v>
      </x:c>
      <x:c r="T230" s="56" t="n">
        <x:f>IF(I230,0,IF(AND(M230,N230),IF(O230,R230,0),G230))</x:f>
        <x:v>-0.00986</x:v>
      </x:c>
      <x:c r="U230" s="56" t="n">
        <x:f>G230*'Assumptions'!$B$6</x:f>
        <x:v>-0.11141800000000002</x:v>
      </x:c>
      <x:c r="V230" s="56" t="n">
        <x:f>T230*'Assumptions'!$B$6</x:f>
        <x:v>-0.11141800000000002</x:v>
      </x:c>
      <x:c r="W230" s="56" t="n">
        <x:f>V230-U230</x:f>
        <x:v>0</x:v>
      </x:c>
      <x:c r="X230" s="58" t="n">
        <x:f>X229*(1+U230)</x:f>
        <x:v>86204.08916380892</x:v>
      </x:c>
      <x:c r="Y230" s="58" t="n">
        <x:f>MAX(Y229,X230)</x:f>
        <x:v>132329.58730545666</x:v>
      </x:c>
      <x:c r="Z230" s="59" t="n">
        <x:f>X230/Y230-1</x:f>
        <x:v>-0.3485652685908871</x:v>
      </x:c>
      <x:c r="AA230" s="58" t="n">
        <x:f>AA229*(1+V230)</x:f>
        <x:v>271236.71146470995</x:v>
      </x:c>
      <x:c r="AB230" s="58" t="n">
        <x:f>MAX(AB229,AA230)</x:f>
        <x:v>482568.21752537985</x:v>
      </x:c>
      <x:c r="AC230" s="59" t="n">
        <x:f>AA230/AB230-1</x:f>
        <x:v>-0.43793084249182923</x:v>
      </x:c>
      <x:c r="AD230" s="60" t="n">
        <x:f>AA230-X230</x:f>
        <x:v>185032.62230090104</x:v>
      </x:c>
      <x:c r="AE230" s="28" t="str">
        <x:v>Baseline trade unchanged.</x:v>
      </x:c>
    </x:row>
    <x:row r="231" ht="18" customHeight="1">
      <x:c r="A231" s="23" t="n">
        <x:v>227</x:v>
      </x:c>
      <x:c r="B231" s="53" t="n">
        <x:v>44802</x:v>
      </x:c>
      <x:c r="C231" s="53" t="n">
        <x:v>44804</x:v>
      </x:c>
      <x:c r="D231" s="23" t="str">
        <x:v>BEPRE</x:v>
      </x:c>
      <x:c r="E231" s="54" t="n">
        <x:v>12491.649</x:v>
      </x:c>
      <x:c r="F231" s="54" t="n">
        <x:v>12456.667</x:v>
      </x:c>
      <x:c r="G231" s="55" t="n">
        <x:v>-0.0028</x:v>
      </x:c>
      <x:c r="H231" s="56" t="n">
        <x:f>SUM(T228:T230)</x:f>
        <x:v>0.0008900000000000002</x:v>
      </x:c>
      <x:c r="I231" s="57" t="b">
        <x:f>AND(A231&gt;3,H231&lt;='Assumptions'!$B$7)</x:f>
        <x:v>0</x:v>
      </x:c>
      <x:c r="J231" s="55" t="n">
        <x:v>-0.008758906998230231</x:v>
      </x:c>
      <x:c r="K231" s="55" t="n">
        <x:v>-0.025419407310822817</x:v>
      </x:c>
      <x:c r="L231" s="55" t="n">
        <x:v>-0.004354794910685356</x:v>
      </x:c>
      <x:c r="M231" s="57" t="b">
        <x:f>J231&gt;='Assumptions'!$B$8</x:f>
        <x:v>0</x:v>
      </x:c>
      <x:c r="N231" s="57" t="b">
        <x:f>AND(K231&lt;&gt;"",K231&lt;='Assumptions'!$B$9)</x:f>
        <x:v>1</x:v>
      </x:c>
      <x:c r="O231" s="57" t="b">
        <x:f>AND(P231&lt;&gt;"",ABS(L231)&lt;='Assumptions'!$B$10)</x:f>
        <x:v>1</x:v>
      </x:c>
      <x:c r="P231" s="53" t="n">
        <x:v>44803</x:v>
      </x:c>
      <x:c r="Q231" s="54" t="n">
        <x:v>12551.547</x:v>
      </x:c>
      <x:c r="R231" s="55" t="n">
        <x:v>-0.00755</x:v>
      </x:c>
      <x:c r="S231" s="57" t="str">
        <x:f>IF(I231,"DAMAGE SKIP",IF(AND(M231,N231),IF(O231,"TUESDAY RE-ENTRY","GAP/MOM SKIP"),"BASELINE"))</x:f>
        <x:v>BASELINE</x:v>
      </x:c>
      <x:c r="T231" s="56" t="n">
        <x:f>IF(I231,0,IF(AND(M231,N231),IF(O231,R231,0),G231))</x:f>
        <x:v>-0.0028</x:v>
      </x:c>
      <x:c r="U231" s="56" t="n">
        <x:f>G231*'Assumptions'!$B$6</x:f>
        <x:v>-0.03164</x:v>
      </x:c>
      <x:c r="V231" s="56" t="n">
        <x:f>T231*'Assumptions'!$B$6</x:f>
        <x:v>-0.03164</x:v>
      </x:c>
      <x:c r="W231" s="56" t="n">
        <x:f>V231-U231</x:f>
        <x:v>0</x:v>
      </x:c>
      <x:c r="X231" s="58" t="n">
        <x:f>X230*(1+U231)</x:f>
        <x:v>83476.59178266602</x:v>
      </x:c>
      <x:c r="Y231" s="58" t="n">
        <x:f>MAX(Y230,X231)</x:f>
        <x:v>132329.58730545666</x:v>
      </x:c>
      <x:c r="Z231" s="59" t="n">
        <x:f>X231/Y231-1</x:f>
        <x:v>-0.3691766634926713</x:v>
      </x:c>
      <x:c r="AA231" s="58" t="n">
        <x:f>AA230*(1+V231)</x:f>
        <x:v>262654.7819139665</x:v>
      </x:c>
      <x:c r="AB231" s="58" t="n">
        <x:f>MAX(AB230,AA231)</x:f>
        <x:v>482568.21752537985</x:v>
      </x:c>
      <x:c r="AC231" s="59" t="n">
        <x:f>AA231/AB231-1</x:f>
        <x:v>-0.4557147106353877</x:v>
      </x:c>
      <x:c r="AD231" s="60" t="n">
        <x:f>AA231-X231</x:f>
        <x:v>179178.1901313005</x:v>
      </x:c>
      <x:c r="AE231" s="28" t="str">
        <x:v>Baseline trade unchanged.</x:v>
      </x:c>
    </x:row>
    <x:row r="232" ht="18" customHeight="1">
      <x:c r="A232" s="23" t="n">
        <x:v>228</x:v>
      </x:c>
      <x:c r="B232" s="53" t="n">
        <x:v>44810</x:v>
      </x:c>
      <x:c r="C232" s="53" t="n">
        <x:v>44813</x:v>
      </x:c>
      <x:c r="D232" s="23" t="str">
        <x:v>TO</x:v>
      </x:c>
      <x:c r="E232" s="54" t="n">
        <x:v>12120.149</x:v>
      </x:c>
      <x:c r="F232" s="54" t="n">
        <x:v>12584.099</x:v>
      </x:c>
      <x:c r="G232" s="55" t="n">
        <x:v>0.03827</x:v>
      </x:c>
      <x:c r="H232" s="56" t="n">
        <x:f>SUM(T229:T231)</x:f>
        <x:v>-0.0017300000000000002</x:v>
      </x:c>
      <x:c r="I232" s="57" t="b">
        <x:f>AND(A232&gt;3,H232&lt;='Assumptions'!$B$7)</x:f>
        <x:v>0</x:v>
      </x:c>
      <x:c r="J232" s="55" t="n">
        <x:v>0.0012831467530116658</x:v>
      </x:c>
      <x:c r="K232" s="55" t="n">
        <x:v>-0.0826205687560716</x:v>
      </x:c>
      <x:c r="L232" s="55"/>
      <x:c r="M232" s="57" t="b">
        <x:f>J232&gt;='Assumptions'!$B$8</x:f>
        <x:v>0</x:v>
      </x:c>
      <x:c r="N232" s="57" t="b">
        <x:f>AND(K232&lt;&gt;"",K232&lt;='Assumptions'!$B$9)</x:f>
        <x:v>1</x:v>
      </x:c>
      <x:c r="O232" s="57" t="b">
        <x:f>AND(P232&lt;&gt;"",ABS(L232)&lt;='Assumptions'!$B$10)</x:f>
        <x:v>0</x:v>
      </x:c>
      <x:c r="P232" s="53"/>
      <x:c r="Q232" s="54"/>
      <x:c r="R232" s="55"/>
      <x:c r="S232" s="57" t="str">
        <x:f>IF(I232,"DAMAGE SKIP",IF(AND(M232,N232),IF(O232,"TUESDAY RE-ENTRY","GAP/MOM SKIP"),"BASELINE"))</x:f>
        <x:v>BASELINE</x:v>
      </x:c>
      <x:c r="T232" s="56" t="n">
        <x:f>IF(I232,0,IF(AND(M232,N232),IF(O232,R232,0),G232))</x:f>
        <x:v>0.03827</x:v>
      </x:c>
      <x:c r="U232" s="56" t="n">
        <x:f>G232*'Assumptions'!$B$6</x:f>
        <x:v>0.43245100000000003</x:v>
      </x:c>
      <x:c r="V232" s="56" t="n">
        <x:f>T232*'Assumptions'!$B$6</x:f>
        <x:v>0.43245100000000003</x:v>
      </x:c>
      <x:c r="W232" s="56" t="n">
        <x:f>V232-U232</x:f>
        <x:v>0</x:v>
      </x:c>
      <x:c r="X232" s="58" t="n">
        <x:f>X231*(1+U232)</x:f>
        <x:v>119576.12737567171</x:v>
      </x:c>
      <x:c r="Y232" s="58" t="n">
        <x:f>MAX(Y231,X232)</x:f>
        <x:v>132329.58730545666</x:v>
      </x:c>
      <x:c r="Z232" s="59" t="n">
        <x:f>X232/Y232-1</x:f>
        <x:v>-0.09637648079674055</x:v>
      </x:c>
      <x:c r="AA232" s="58" t="n">
        <x:f>AA231*(1+V232)</x:f>
        <x:v>376240.1050074432</x:v>
      </x:c>
      <x:c r="AB232" s="58" t="n">
        <x:f>MAX(AB231,AA232)</x:f>
        <x:v>482568.21752537985</x:v>
      </x:c>
      <x:c r="AC232" s="59" t="n">
        <x:f>AA232/AB232-1</x:f>
        <x:v>-0.22033799296437184</x:v>
      </x:c>
      <x:c r="AD232" s="60" t="n">
        <x:f>AA232-X232</x:f>
        <x:v>256663.97763177153</x:v>
      </x:c>
      <x:c r="AE232" s="28" t="str">
        <x:v>Baseline trade unchanged.</x:v>
      </x:c>
    </x:row>
    <x:row r="233" ht="18" customHeight="1">
      <x:c r="A233" s="23" t="n">
        <x:v>229</x:v>
      </x:c>
      <x:c r="B233" s="53" t="n">
        <x:v>44816</x:v>
      </x:c>
      <x:c r="C233" s="53" t="n">
        <x:v>44816</x:v>
      </x:c>
      <x:c r="D233" s="23" t="str">
        <x:v>CH</x:v>
      </x:c>
      <x:c r="E233" s="54" t="n">
        <x:v>12645.519</x:v>
      </x:c>
      <x:c r="F233" s="54" t="n">
        <x:v>12747.679</x:v>
      </x:c>
      <x:c r="G233" s="55" t="n">
        <x:v>0.00807</x:v>
      </x:c>
      <x:c r="H233" s="56" t="n">
        <x:f>SUM(T230:T232)</x:f>
        <x:v>0.025609999999999997</x:v>
      </x:c>
      <x:c r="I233" s="57" t="b">
        <x:f>AND(A233&gt;3,H233&lt;='Assumptions'!$B$7)</x:f>
        <x:v>0</x:v>
      </x:c>
      <x:c r="J233" s="55" t="n">
        <x:v>0.004880762619556611</x:v>
      </x:c>
      <x:c r="K233" s="55" t="n">
        <x:v>-0.05242687945713298</x:v>
      </x:c>
      <x:c r="L233" s="55" t="n">
        <x:v>-0.017230175517701007</x:v>
      </x:c>
      <x:c r="M233" s="57" t="b">
        <x:f>J233&gt;='Assumptions'!$B$8</x:f>
        <x:v>0</x:v>
      </x:c>
      <x:c r="N233" s="57" t="b">
        <x:f>AND(K233&lt;&gt;"",K233&lt;='Assumptions'!$B$9)</x:f>
        <x:v>1</x:v>
      </x:c>
      <x:c r="O233" s="57" t="b">
        <x:f>AND(P233&lt;&gt;"",ABS(L233)&lt;='Assumptions'!$B$10)</x:f>
        <x:v>0</x:v>
      </x:c>
      <x:c r="P233" s="53" t="n">
        <x:v>44817</x:v>
      </x:c>
      <x:c r="Q233" s="54" t="n">
        <x:v>12369.319</x:v>
      </x:c>
      <x:c r="R233" s="55" t="n">
        <x:v>0.03058</x:v>
      </x:c>
      <x:c r="S233" s="57" t="str">
        <x:f>IF(I233,"DAMAGE SKIP",IF(AND(M233,N233),IF(O233,"TUESDAY RE-ENTRY","GAP/MOM SKIP"),"BASELINE"))</x:f>
        <x:v>BASELINE</x:v>
      </x:c>
      <x:c r="T233" s="56" t="n">
        <x:f>IF(I233,0,IF(AND(M233,N233),IF(O233,R233,0),G233))</x:f>
        <x:v>0.00807</x:v>
      </x:c>
      <x:c r="U233" s="56" t="n">
        <x:f>G233*'Assumptions'!$B$6</x:f>
        <x:v>0.09119100000000001</x:v>
      </x:c>
      <x:c r="V233" s="56" t="n">
        <x:f>T233*'Assumptions'!$B$6</x:f>
        <x:v>0.09119100000000001</x:v>
      </x:c>
      <x:c r="W233" s="56" t="n">
        <x:f>V233-U233</x:f>
        <x:v>0</x:v>
      </x:c>
      <x:c r="X233" s="58" t="n">
        <x:f>X232*(1+U233)</x:f>
        <x:v>130480.3940071866</x:v>
      </x:c>
      <x:c r="Y233" s="58" t="n">
        <x:f>MAX(Y232,X233)</x:f>
        <x:v>132329.58730545666</x:v>
      </x:c>
      <x:c r="Z233" s="59" t="n">
        <x:f>X233/Y233-1</x:f>
        <x:v>-0.013974148457076119</x:v>
      </x:c>
      <x:c r="AA233" s="58" t="n">
        <x:f>AA232*(1+V233)</x:f>
        <x:v>410549.81642317696</x:v>
      </x:c>
      <x:c r="AB233" s="58" t="n">
        <x:f>MAX(AB232,AA233)</x:f>
        <x:v>482568.21752537985</x:v>
      </x:c>
      <x:c r="AC233" s="59" t="n">
        <x:f>AA233/AB233-1</x:f>
        <x:v>-0.14923983488078596</x:v>
      </x:c>
      <x:c r="AD233" s="60" t="n">
        <x:f>AA233-X233</x:f>
        <x:v>280069.4224159904</x:v>
      </x:c>
      <x:c r="AE233" s="28" t="str">
        <x:v>Baseline trade unchanged.</x:v>
      </x:c>
    </x:row>
    <x:row r="234" ht="18" customHeight="1">
      <x:c r="A234" s="23" t="n">
        <x:v>230</x:v>
      </x:c>
      <x:c r="B234" s="53" t="n">
        <x:v>44823</x:v>
      </x:c>
      <x:c r="C234" s="53" t="n">
        <x:v>44823</x:v>
      </x:c>
      <x:c r="D234" s="23" t="str">
        <x:v>CH</x:v>
      </x:c>
      <x:c r="E234" s="54" t="n">
        <x:v>11745.639</x:v>
      </x:c>
      <x:c r="F234" s="54" t="n">
        <x:v>11964.729</x:v>
      </x:c>
      <x:c r="G234" s="55" t="n">
        <x:v>0.01865</x:v>
      </x:c>
      <x:c r="H234" s="56" t="n">
        <x:f>SUM(T231:T233)</x:f>
        <x:v>0.04354</x:v>
      </x:c>
      <x:c r="I234" s="57" t="b">
        <x:f>AND(A234&gt;3,H234&lt;='Assumptions'!$B$7)</x:f>
        <x:v>0</x:v>
      </x:c>
      <x:c r="J234" s="55" t="n">
        <x:v>-0.009374376148550967</x:v>
      </x:c>
      <x:c r="K234" s="55" t="n">
        <x:v>-0.12135416505625862</x:v>
      </x:c>
      <x:c r="L234" s="55" t="n">
        <x:v>-0.0010697859372414964</x:v>
      </x:c>
      <x:c r="M234" s="57" t="b">
        <x:f>J234&gt;='Assumptions'!$B$8</x:f>
        <x:v>0</x:v>
      </x:c>
      <x:c r="N234" s="57" t="b">
        <x:f>AND(K234&lt;&gt;"",K234&lt;='Assumptions'!$B$9)</x:f>
        <x:v>1</x:v>
      </x:c>
      <x:c r="O234" s="57" t="b">
        <x:f>AND(P234&lt;&gt;"",ABS(L234)&lt;='Assumptions'!$B$10)</x:f>
        <x:v>1</x:v>
      </x:c>
      <x:c r="P234" s="53" t="n">
        <x:v>44824</x:v>
      </x:c>
      <x:c r="Q234" s="54" t="n">
        <x:v>11847.279</x:v>
      </x:c>
      <x:c r="R234" s="55" t="n">
        <x:v>0.00991</x:v>
      </x:c>
      <x:c r="S234" s="57" t="str">
        <x:f>IF(I234,"DAMAGE SKIP",IF(AND(M234,N234),IF(O234,"TUESDAY RE-ENTRY","GAP/MOM SKIP"),"BASELINE"))</x:f>
        <x:v>BASELINE</x:v>
      </x:c>
      <x:c r="T234" s="56" t="n">
        <x:f>IF(I234,0,IF(AND(M234,N234),IF(O234,R234,0),G234))</x:f>
        <x:v>0.01865</x:v>
      </x:c>
      <x:c r="U234" s="56" t="n">
        <x:f>G234*'Assumptions'!$B$6</x:f>
        <x:v>0.21074500000000002</x:v>
      </x:c>
      <x:c r="V234" s="56" t="n">
        <x:f>T234*'Assumptions'!$B$6</x:f>
        <x:v>0.21074500000000002</x:v>
      </x:c>
      <x:c r="W234" s="56" t="n">
        <x:f>V234-U234</x:f>
        <x:v>0</x:v>
      </x:c>
      <x:c r="X234" s="58" t="n">
        <x:f>X233*(1+U234)</x:f>
        <x:v>157978.48464223114</x:v>
      </x:c>
      <x:c r="Y234" s="58" t="n">
        <x:f>MAX(Y233,X234)</x:f>
        <x:v>157978.48464223114</x:v>
      </x:c>
      <x:c r="Z234" s="59" t="n">
        <x:f>X234/Y234-1</x:f>
        <x:v>0</x:v>
      </x:c>
      <x:c r="AA234" s="58" t="n">
        <x:f>AA233*(1+V234)</x:f>
        <x:v>497071.13748527935</x:v>
      </x:c>
      <x:c r="AB234" s="58" t="n">
        <x:f>MAX(AB233,AA234)</x:f>
        <x:v>497071.13748527935</x:v>
      </x:c>
      <x:c r="AC234" s="59" t="n">
        <x:f>AA234/AB234-1</x:f>
        <x:v>0</x:v>
      </x:c>
      <x:c r="AD234" s="60" t="n">
        <x:f>AA234-X234</x:f>
        <x:v>339092.6528430482</x:v>
      </x:c>
      <x:c r="AE234" s="28" t="str">
        <x:v>Baseline trade unchanged.</x:v>
      </x:c>
    </x:row>
    <x:row r="235" ht="18" customHeight="1">
      <x:c r="A235" s="23" t="n">
        <x:v>231</x:v>
      </x:c>
      <x:c r="B235" s="53" t="n">
        <x:v>44830</x:v>
      </x:c>
      <x:c r="C235" s="53" t="n">
        <x:v>44833</x:v>
      </x:c>
      <x:c r="D235" s="23" t="str">
        <x:v>TSL2</x:v>
      </x:c>
      <x:c r="E235" s="54" t="n">
        <x:v>11289.517</x:v>
      </x:c>
      <x:c r="F235" s="54" t="n">
        <x:v>11244.358932</x:v>
      </x:c>
      <x:c r="G235" s="55" t="n">
        <x:v>-0.004</x:v>
      </x:c>
      <x:c r="H235" s="56" t="n">
        <x:f>SUM(T232:T234)</x:f>
        <x:v>0.06498999999999999</x:v>
      </x:c>
      <x:c r="I235" s="57" t="b">
        <x:f>AND(A235&gt;3,H235&lt;='Assumptions'!$B$7)</x:f>
        <x:v>0</x:v>
      </x:c>
      <x:c r="J235" s="55" t="n">
        <x:v>-0.0025632306106209146</x:v>
      </x:c>
      <x:c r="K235" s="55" t="n">
        <x:v>-0.13904380192586197</x:v>
      </x:c>
      <x:c r="L235" s="55" t="n">
        <x:v>0.008355127982854427</x:v>
      </x:c>
      <x:c r="M235" s="57" t="b">
        <x:f>J235&gt;='Assumptions'!$B$8</x:f>
        <x:v>0</x:v>
      </x:c>
      <x:c r="N235" s="57" t="b">
        <x:f>AND(K235&lt;&gt;"",K235&lt;='Assumptions'!$B$9)</x:f>
        <x:v>1</x:v>
      </x:c>
      <x:c r="O235" s="57" t="b">
        <x:f>AND(P235&lt;&gt;"",ABS(L235)&lt;='Assumptions'!$B$10)</x:f>
        <x:v>0</x:v>
      </x:c>
      <x:c r="P235" s="53" t="n">
        <x:v>44831</x:v>
      </x:c>
      <x:c r="Q235" s="54" t="n">
        <x:v>11406.329</x:v>
      </x:c>
      <x:c r="R235" s="55" t="n">
        <x:v>-0.0142</x:v>
      </x:c>
      <x:c r="S235" s="57" t="str">
        <x:f>IF(I235,"DAMAGE SKIP",IF(AND(M235,N235),IF(O235,"TUESDAY RE-ENTRY","GAP/MOM SKIP"),"BASELINE"))</x:f>
        <x:v>BASELINE</x:v>
      </x:c>
      <x:c r="T235" s="56" t="n">
        <x:f>IF(I235,0,IF(AND(M235,N235),IF(O235,R235,0),G235))</x:f>
        <x:v>-0.004</x:v>
      </x:c>
      <x:c r="U235" s="56" t="n">
        <x:f>G235*'Assumptions'!$B$6</x:f>
        <x:v>-0.045200000000000004</x:v>
      </x:c>
      <x:c r="V235" s="56" t="n">
        <x:f>T235*'Assumptions'!$B$6</x:f>
        <x:v>-0.045200000000000004</x:v>
      </x:c>
      <x:c r="W235" s="56" t="n">
        <x:f>V235-U235</x:f>
        <x:v>0</x:v>
      </x:c>
      <x:c r="X235" s="58" t="n">
        <x:f>X234*(1+U235)</x:f>
        <x:v>150837.85713640228</x:v>
      </x:c>
      <x:c r="Y235" s="58" t="n">
        <x:f>MAX(Y234,X235)</x:f>
        <x:v>157978.48464223114</x:v>
      </x:c>
      <x:c r="Z235" s="59" t="n">
        <x:f>X235/Y235-1</x:f>
        <x:v>-0.04520000000000013</x:v>
      </x:c>
      <x:c r="AA235" s="58" t="n">
        <x:f>AA234*(1+V235)</x:f>
        <x:v>474603.5220709447</x:v>
      </x:c>
      <x:c r="AB235" s="58" t="n">
        <x:f>MAX(AB234,AA235)</x:f>
        <x:v>497071.13748527935</x:v>
      </x:c>
      <x:c r="AC235" s="59" t="n">
        <x:f>AA235/AB235-1</x:f>
        <x:v>-0.04520000000000002</x:v>
      </x:c>
      <x:c r="AD235" s="60" t="n">
        <x:f>AA235-X235</x:f>
        <x:v>323765.66493454244</x:v>
      </x:c>
      <x:c r="AE235" s="28" t="str">
        <x:v>Baseline trade unchanged.</x:v>
      </x:c>
    </x:row>
    <x:row r="236" ht="18" customHeight="1">
      <x:c r="A236" s="23" t="n">
        <x:v>232</x:v>
      </x:c>
      <x:c r="B236" s="53" t="n">
        <x:v>44837</x:v>
      </x:c>
      <x:c r="C236" s="53" t="n">
        <x:v>44837</x:v>
      </x:c>
      <x:c r="D236" s="23" t="str">
        <x:v>CH</x:v>
      </x:c>
      <x:c r="E236" s="54" t="n">
        <x:v>11044.269</x:v>
      </x:c>
      <x:c r="F236" s="54" t="n">
        <x:v>11245.519</x:v>
      </x:c>
      <x:c r="G236" s="55" t="n">
        <x:v>0.01822</x:v>
      </x:c>
      <x:c r="H236" s="56" t="n">
        <x:f>SUM(T233:T235)</x:f>
        <x:v>0.02272</x:v>
      </x:c>
      <x:c r="I236" s="57" t="b">
        <x:f>AND(A236&gt;3,H236&lt;='Assumptions'!$B$7)</x:f>
        <x:v>0</x:v>
      </x:c>
      <x:c r="J236" s="55" t="n">
        <x:v>0.005049696604144893</x:v>
      </x:c>
      <x:c r="K236" s="55" t="n">
        <x:v>-0.1057469310028224</x:v>
      </x:c>
      <x:c r="L236" s="55" t="n">
        <x:v>0.04389424009308951</x:v>
      </x:c>
      <x:c r="M236" s="57" t="b">
        <x:f>J236&gt;='Assumptions'!$B$8</x:f>
        <x:v>0</x:v>
      </x:c>
      <x:c r="N236" s="57" t="b">
        <x:f>AND(K236&lt;&gt;"",K236&lt;='Assumptions'!$B$9)</x:f>
        <x:v>1</x:v>
      </x:c>
      <x:c r="O236" s="57" t="b">
        <x:f>AND(P236&lt;&gt;"",ABS(L236)&lt;='Assumptions'!$B$10)</x:f>
        <x:v>0</x:v>
      </x:c>
      <x:c r="P236" s="53" t="n">
        <x:v>44838</x:v>
      </x:c>
      <x:c r="Q236" s="54" t="n">
        <x:v>11453.807</x:v>
      </x:c>
      <x:c r="R236" s="55" t="n">
        <x:v>-0.01818</x:v>
      </x:c>
      <x:c r="S236" s="57" t="str">
        <x:f>IF(I236,"DAMAGE SKIP",IF(AND(M236,N236),IF(O236,"TUESDAY RE-ENTRY","GAP/MOM SKIP"),"BASELINE"))</x:f>
        <x:v>BASELINE</x:v>
      </x:c>
      <x:c r="T236" s="56" t="n">
        <x:f>IF(I236,0,IF(AND(M236,N236),IF(O236,R236,0),G236))</x:f>
        <x:v>0.01822</x:v>
      </x:c>
      <x:c r="U236" s="56" t="n">
        <x:f>G236*'Assumptions'!$B$6</x:f>
        <x:v>0.205886</x:v>
      </x:c>
      <x:c r="V236" s="56" t="n">
        <x:f>T236*'Assumptions'!$B$6</x:f>
        <x:v>0.205886</x:v>
      </x:c>
      <x:c r="W236" s="56" t="n">
        <x:f>V236-U236</x:f>
        <x:v>0</x:v>
      </x:c>
      <x:c r="X236" s="58" t="n">
        <x:f>X235*(1+U236)</x:f>
        <x:v>181893.2601907876</x:v>
      </x:c>
      <x:c r="Y236" s="58" t="n">
        <x:f>MAX(Y235,X236)</x:f>
        <x:v>181893.2601907876</x:v>
      </x:c>
      <x:c r="Z236" s="59" t="n">
        <x:f>X236/Y236-1</x:f>
        <x:v>0</x:v>
      </x:c>
      <x:c r="AA236" s="58" t="n">
        <x:f>AA235*(1+V236)</x:f>
        <x:v>572317.7428160432</x:v>
      </x:c>
      <x:c r="AB236" s="58" t="n">
        <x:f>MAX(AB235,AA236)</x:f>
        <x:v>572317.7428160432</x:v>
      </x:c>
      <x:c r="AC236" s="59" t="n">
        <x:f>AA236/AB236-1</x:f>
        <x:v>0</x:v>
      </x:c>
      <x:c r="AD236" s="60" t="n">
        <x:f>AA236-X236</x:f>
        <x:v>390424.4826252556</x:v>
      </x:c>
      <x:c r="AE236" s="28" t="str">
        <x:v>Baseline trade unchanged.</x:v>
      </x:c>
    </x:row>
    <x:row r="237" ht="18" customHeight="1">
      <x:c r="A237" s="23" t="n">
        <x:v>233</x:v>
      </x:c>
      <x:c r="B237" s="53" t="n">
        <x:v>44844</x:v>
      </x:c>
      <x:c r="C237" s="53" t="n">
        <x:v>44847</x:v>
      </x:c>
      <x:c r="D237" s="23" t="str">
        <x:v>TSL1PRE</x:v>
      </x:c>
      <x:c r="E237" s="54" t="n">
        <x:v>11052.229</x:v>
      </x:c>
      <x:c r="F237" s="54" t="n">
        <x:v>10809.509</x:v>
      </x:c>
      <x:c r="G237" s="55" t="n">
        <x:v>-0.02196</x:v>
      </x:c>
      <x:c r="H237" s="56" t="n">
        <x:f>SUM(T234:T236)</x:f>
        <x:v>0.032869999999999996</x:v>
      </x:c>
      <x:c r="I237" s="57" t="b">
        <x:f>AND(A237&gt;3,H237&lt;='Assumptions'!$B$7)</x:f>
        <x:v>0</x:v>
      </x:c>
      <x:c r="J237" s="55" t="n">
        <x:v>0.0006899293582958155</x:v>
      </x:c>
      <x:c r="K237" s="55" t="n">
        <x:v>-0.12212968550039449</x:v>
      </x:c>
      <x:c r="L237" s="55" t="n">
        <x:v>-0.01634911343165213</x:v>
      </x:c>
      <x:c r="M237" s="57" t="b">
        <x:f>J237&gt;='Assumptions'!$B$8</x:f>
        <x:v>0</x:v>
      </x:c>
      <x:c r="N237" s="57" t="b">
        <x:f>AND(K237&lt;&gt;"",K237&lt;='Assumptions'!$B$9)</x:f>
        <x:v>1</x:v>
      </x:c>
      <x:c r="O237" s="57" t="b">
        <x:f>AND(P237&lt;&gt;"",ABS(L237)&lt;='Assumptions'!$B$10)</x:f>
        <x:v>0</x:v>
      </x:c>
      <x:c r="P237" s="53" t="n">
        <x:v>44845</x:v>
      </x:c>
      <x:c r="Q237" s="54" t="n">
        <x:v>10861.949</x:v>
      </x:c>
      <x:c r="R237" s="55" t="n">
        <x:v>-0.00482</x:v>
      </x:c>
      <x:c r="S237" s="57" t="str">
        <x:f>IF(I237,"DAMAGE SKIP",IF(AND(M237,N237),IF(O237,"TUESDAY RE-ENTRY","GAP/MOM SKIP"),"BASELINE"))</x:f>
        <x:v>BASELINE</x:v>
      </x:c>
      <x:c r="T237" s="56" t="n">
        <x:f>IF(I237,0,IF(AND(M237,N237),IF(O237,R237,0),G237))</x:f>
        <x:v>-0.02196</x:v>
      </x:c>
      <x:c r="U237" s="56" t="n">
        <x:f>G237*'Assumptions'!$B$6</x:f>
        <x:v>-0.248148</x:v>
      </x:c>
      <x:c r="V237" s="56" t="n">
        <x:f>T237*'Assumptions'!$B$6</x:f>
        <x:v>-0.248148</x:v>
      </x:c>
      <x:c r="W237" s="56" t="n">
        <x:f>V237-U237</x:f>
        <x:v>0</x:v>
      </x:c>
      <x:c r="X237" s="58" t="n">
        <x:f>X236*(1+U237)</x:f>
        <x:v>136756.81146096403</x:v>
      </x:c>
      <x:c r="Y237" s="58" t="n">
        <x:f>MAX(Y236,X237)</x:f>
        <x:v>181893.2601907876</x:v>
      </x:c>
      <x:c r="Z237" s="59" t="n">
        <x:f>X237/Y237-1</x:f>
        <x:v>-0.24814800000000004</x:v>
      </x:c>
      <x:c r="AA237" s="58" t="n">
        <x:f>AA236*(1+V237)</x:f>
        <x:v>430298.2395717277</x:v>
      </x:c>
      <x:c r="AB237" s="58" t="n">
        <x:f>MAX(AB236,AA237)</x:f>
        <x:v>572317.7428160432</x:v>
      </x:c>
      <x:c r="AC237" s="59" t="n">
        <x:f>AA237/AB237-1</x:f>
        <x:v>-0.24814800000000004</x:v>
      </x:c>
      <x:c r="AD237" s="60" t="n">
        <x:f>AA237-X237</x:f>
        <x:v>293541.42811076366</x:v>
      </x:c>
      <x:c r="AE237" s="28" t="str">
        <x:v>Baseline trade unchanged.</x:v>
      </x:c>
    </x:row>
    <x:row r="238" ht="18" customHeight="1">
      <x:c r="A238" s="23" t="n">
        <x:v>234</x:v>
      </x:c>
      <x:c r="B238" s="53" t="n">
        <x:v>44851</x:v>
      </x:c>
      <x:c r="C238" s="53" t="n">
        <x:v>44851</x:v>
      </x:c>
      <x:c r="D238" s="23" t="str">
        <x:v>CH</x:v>
      </x:c>
      <x:c r="E238" s="54" t="n">
        <x:v>10952.479</x:v>
      </x:c>
      <x:c r="F238" s="54" t="n">
        <x:v>11063.189</x:v>
      </x:c>
      <x:c r="G238" s="55" t="n">
        <x:v>0.0101</x:v>
      </x:c>
      <x:c r="H238" s="56" t="n">
        <x:f>SUM(T235:T237)</x:f>
        <x:v>-0.00774</x:v>
      </x:c>
      <x:c r="I238" s="57" t="b">
        <x:f>AND(A238&gt;3,H238&lt;='Assumptions'!$B$7)</x:f>
        <x:v>0</x:v>
      </x:c>
      <x:c r="J238" s="55" t="n">
        <x:v>0.02333899452745003</x:v>
      </x:c>
      <x:c r="K238" s="55" t="n">
        <x:v>-0.09716049252381487</x:v>
      </x:c>
      <x:c r="L238" s="55" t="n">
        <x:v>0.06055916962569996</x:v>
      </x:c>
      <x:c r="M238" s="57" t="b">
        <x:f>J238&gt;='Assumptions'!$B$8</x:f>
        <x:v>1</x:v>
      </x:c>
      <x:c r="N238" s="57" t="b">
        <x:f>AND(K238&lt;&gt;"",K238&lt;='Assumptions'!$B$9)</x:f>
        <x:v>1</x:v>
      </x:c>
      <x:c r="O238" s="57" t="b">
        <x:f>AND(P238&lt;&gt;"",ABS(L238)&lt;='Assumptions'!$B$10)</x:f>
        <x:v>0</x:v>
      </x:c>
      <x:c r="P238" s="53" t="n">
        <x:v>44852</x:v>
      </x:c>
      <x:c r="Q238" s="54" t="n">
        <x:v>11349.289</x:v>
      </x:c>
      <x:c r="R238" s="55" t="n">
        <x:v>-0.0252</x:v>
      </x:c>
      <x:c r="S238" s="57" t="str">
        <x:f>IF(I238,"DAMAGE SKIP",IF(AND(M238,N238),IF(O238,"TUESDAY RE-ENTRY","GAP/MOM SKIP"),"BASELINE"))</x:f>
        <x:v>GAP/MOM SKIP</x:v>
      </x:c>
      <x:c r="T238" s="56" t="n">
        <x:f>IF(I238,0,IF(AND(M238,N238),IF(O238,R238,0),G238))</x:f>
        <x:v>0</x:v>
      </x:c>
      <x:c r="U238" s="56" t="n">
        <x:f>G238*'Assumptions'!$B$6</x:f>
        <x:v>0.11413000000000001</x:v>
      </x:c>
      <x:c r="V238" s="56" t="n">
        <x:f>T238*'Assumptions'!$B$6</x:f>
        <x:v>0</x:v>
      </x:c>
      <x:c r="W238" s="56" t="n">
        <x:f>V238-U238</x:f>
        <x:v>-0.11413000000000001</x:v>
      </x:c>
      <x:c r="X238" s="58" t="n">
        <x:f>X237*(1+U238)</x:f>
        <x:v>152364.86635300386</x:v>
      </x:c>
      <x:c r="Y238" s="58" t="n">
        <x:f>MAX(Y237,X238)</x:f>
        <x:v>181893.2601907876</x:v>
      </x:c>
      <x:c r="Z238" s="59" t="n">
        <x:f>X238/Y238-1</x:f>
        <x:v>-0.1623391312400001</x:v>
      </x:c>
      <x:c r="AA238" s="58" t="n">
        <x:f>AA237*(1+V238)</x:f>
        <x:v>430298.2395717277</x:v>
      </x:c>
      <x:c r="AB238" s="58" t="n">
        <x:f>MAX(AB237,AA238)</x:f>
        <x:v>572317.7428160432</x:v>
      </x:c>
      <x:c r="AC238" s="59" t="n">
        <x:f>AA238/AB238-1</x:f>
        <x:v>-0.24814800000000004</x:v>
      </x:c>
      <x:c r="AD238" s="60" t="n">
        <x:f>AA238-X238</x:f>
        <x:v>277933.3732187238</x:v>
      </x:c>
      <x:c r="AE238" s="28" t="str">
        <x:v>Monday entry skipped; Tuesday did not normalize within the Friday-based tolerance.</x:v>
      </x:c>
    </x:row>
    <x:row r="239" ht="18" customHeight="1">
      <x:c r="A239" s="23" t="n">
        <x:v>235</x:v>
      </x:c>
      <x:c r="B239" s="53" t="n">
        <x:v>44858</x:v>
      </x:c>
      <x:c r="C239" s="53" t="n">
        <x:v>44858</x:v>
      </x:c>
      <x:c r="D239" s="23" t="str">
        <x:v>CH</x:v>
      </x:c>
      <x:c r="E239" s="54" t="n">
        <x:v>11314.529</x:v>
      </x:c>
      <x:c r="F239" s="54" t="n">
        <x:v>11437.009</x:v>
      </x:c>
      <x:c r="G239" s="55" t="n">
        <x:v>0.01082</x:v>
      </x:c>
      <x:c r="H239" s="56" t="n">
        <x:f>SUM(T236:T238)</x:f>
        <x:v>-0.0037400000000000003</x:v>
      </x:c>
      <x:c r="I239" s="57" t="b">
        <x:f>AND(A239&gt;3,H239&lt;='Assumptions'!$B$7)</x:f>
        <x:v>0</x:v>
      </x:c>
      <x:c r="J239" s="55" t="n">
        <x:v>-0.0006862563866225635</x:v>
      </x:c>
      <x:c r="K239" s="55" t="n">
        <x:v>-0.0003209254456990607</x:v>
      </x:c>
      <x:c r="L239" s="55" t="n">
        <x:v>0.014486871042493688</x:v>
      </x:c>
      <x:c r="M239" s="57" t="b">
        <x:f>J239&gt;='Assumptions'!$B$8</x:f>
        <x:v>0</x:v>
      </x:c>
      <x:c r="N239" s="57" t="b">
        <x:f>AND(K239&lt;&gt;"",K239&lt;='Assumptions'!$B$9)</x:f>
        <x:v>0</x:v>
      </x:c>
      <x:c r="O239" s="57" t="b">
        <x:f>AND(P239&lt;&gt;"",ABS(L239)&lt;='Assumptions'!$B$10)</x:f>
        <x:v>0</x:v>
      </x:c>
      <x:c r="P239" s="53" t="n">
        <x:v>44859</x:v>
      </x:c>
      <x:c r="Q239" s="54" t="n">
        <x:v>11469.109</x:v>
      </x:c>
      <x:c r="R239" s="55" t="n">
        <x:v>-0.00279</x:v>
      </x:c>
      <x:c r="S239" s="57" t="str">
        <x:f>IF(I239,"DAMAGE SKIP",IF(AND(M239,N239),IF(O239,"TUESDAY RE-ENTRY","GAP/MOM SKIP"),"BASELINE"))</x:f>
        <x:v>BASELINE</x:v>
      </x:c>
      <x:c r="T239" s="56" t="n">
        <x:f>IF(I239,0,IF(AND(M239,N239),IF(O239,R239,0),G239))</x:f>
        <x:v>0.01082</x:v>
      </x:c>
      <x:c r="U239" s="56" t="n">
        <x:f>G239*'Assumptions'!$B$6</x:f>
        <x:v>0.122266</x:v>
      </x:c>
      <x:c r="V239" s="56" t="n">
        <x:f>T239*'Assumptions'!$B$6</x:f>
        <x:v>0.122266</x:v>
      </x:c>
      <x:c r="W239" s="56" t="n">
        <x:f>V239-U239</x:f>
        <x:v>0</x:v>
      </x:c>
      <x:c r="X239" s="58" t="n">
        <x:f>X238*(1+U239)</x:f>
        <x:v>170993.90910252024</x:v>
      </x:c>
      <x:c r="Y239" s="58" t="n">
        <x:f>MAX(Y238,X239)</x:f>
        <x:v>181893.2601907876</x:v>
      </x:c>
      <x:c r="Z239" s="59" t="n">
        <x:f>X239/Y239-1</x:f>
        <x:v>-0.05992168746018989</x:v>
      </x:c>
      <x:c r="AA239" s="58" t="n">
        <x:f>AA238*(1+V239)</x:f>
        <x:v>482909.0841312045</x:v>
      </x:c>
      <x:c r="AB239" s="58" t="n">
        <x:f>MAX(AB238,AA239)</x:f>
        <x:v>572317.7428160432</x:v>
      </x:c>
      <x:c r="AC239" s="59" t="n">
        <x:f>AA239/AB239-1</x:f>
        <x:v>-0.15622206336800004</x:v>
      </x:c>
      <x:c r="AD239" s="60" t="n">
        <x:f>AA239-X239</x:f>
        <x:v>311915.1750286843</x:v>
      </x:c>
      <x:c r="AE239" s="28" t="str">
        <x:v>Baseline trade unchanged.</x:v>
      </x:c>
    </x:row>
    <x:row r="240" ht="18" customHeight="1">
      <x:c r="A240" s="23" t="n">
        <x:v>236</x:v>
      </x:c>
      <x:c r="B240" s="53" t="n">
        <x:v>44865</x:v>
      </x:c>
      <x:c r="C240" s="53" t="n">
        <x:v>44867</x:v>
      </x:c>
      <x:c r="D240" s="23" t="str">
        <x:v>BH</x:v>
      </x:c>
      <x:c r="E240" s="54" t="n">
        <x:v>11443.027</x:v>
      </x:c>
      <x:c r="F240" s="54" t="n">
        <x:v>11397.254892</x:v>
      </x:c>
      <x:c r="G240" s="55" t="n">
        <x:v>-0.00399</x:v>
      </x:c>
      <x:c r="H240" s="56" t="n">
        <x:f>SUM(T237:T239)</x:f>
        <x:v>-0.01114</x:v>
      </x:c>
      <x:c r="I240" s="57" t="b">
        <x:f>AND(A240&gt;3,H240&lt;='Assumptions'!$B$7)</x:f>
        <x:v>0</x:v>
      </x:c>
      <x:c r="J240" s="55" t="n">
        <x:v>-0.00913896778033707</x:v>
      </x:c>
      <x:c r="K240" s="55" t="n">
        <x:v>0.052237301928334645</x:v>
      </x:c>
      <x:c r="L240" s="55" t="n">
        <x:v>0.0009793646778215592</x:v>
      </x:c>
      <x:c r="M240" s="57" t="b">
        <x:f>J240&gt;='Assumptions'!$B$8</x:f>
        <x:v>0</x:v>
      </x:c>
      <x:c r="N240" s="57" t="b">
        <x:f>AND(K240&lt;&gt;"",K240&lt;='Assumptions'!$B$9)</x:f>
        <x:v>0</x:v>
      </x:c>
      <x:c r="O240" s="57" t="b">
        <x:f>AND(P240&lt;&gt;"",ABS(L240)&lt;='Assumptions'!$B$10)</x:f>
        <x:v>1</x:v>
      </x:c>
      <x:c r="P240" s="53" t="n">
        <x:v>44866</x:v>
      </x:c>
      <x:c r="Q240" s="54" t="n">
        <x:v>11557.069</x:v>
      </x:c>
      <x:c r="R240" s="55" t="n">
        <x:v>-0.01382</x:v>
      </x:c>
      <x:c r="S240" s="57" t="str">
        <x:f>IF(I240,"DAMAGE SKIP",IF(AND(M240,N240),IF(O240,"TUESDAY RE-ENTRY","GAP/MOM SKIP"),"BASELINE"))</x:f>
        <x:v>BASELINE</x:v>
      </x:c>
      <x:c r="T240" s="56" t="n">
        <x:f>IF(I240,0,IF(AND(M240,N240),IF(O240,R240,0),G240))</x:f>
        <x:v>-0.00399</x:v>
      </x:c>
      <x:c r="U240" s="56" t="n">
        <x:f>G240*'Assumptions'!$B$6</x:f>
        <x:v>-0.045086999999999995</x:v>
      </x:c>
      <x:c r="V240" s="56" t="n">
        <x:f>T240*'Assumptions'!$B$6</x:f>
        <x:v>-0.045086999999999995</x:v>
      </x:c>
      <x:c r="W240" s="56" t="n">
        <x:f>V240-U240</x:f>
        <x:v>0</x:v>
      </x:c>
      <x:c r="X240" s="58" t="n">
        <x:f>X239*(1+U240)</x:f>
        <x:v>163284.30672281492</x:v>
      </x:c>
      <x:c r="Y240" s="58" t="n">
        <x:f>MAX(Y239,X240)</x:f>
        <x:v>181893.2601907876</x:v>
      </x:c>
      <x:c r="Z240" s="59" t="n">
        <x:f>X240/Y240-1</x:f>
        <x:v>-0.1023069983376722</x:v>
      </x:c>
      <x:c r="AA240" s="58" t="n">
        <x:f>AA239*(1+V240)</x:f>
        <x:v>461136.1622549809</x:v>
      </x:c>
      <x:c r="AB240" s="58" t="n">
        <x:f>MAX(AB239,AA240)</x:f>
        <x:v>572317.7428160432</x:v>
      </x:c>
      <x:c r="AC240" s="59" t="n">
        <x:f>AA240/AB240-1</x:f>
        <x:v>-0.19426547919692716</x:v>
      </x:c>
      <x:c r="AD240" s="60" t="n">
        <x:f>AA240-X240</x:f>
        <x:v>297851.85553216597</x:v>
      </x:c>
      <x:c r="AE240" s="28" t="str">
        <x:v>Baseline trade unchanged.</x:v>
      </x:c>
    </x:row>
    <x:row r="241" ht="18" customHeight="1">
      <x:c r="A241" s="23" t="n">
        <x:v>237</x:v>
      </x:c>
      <x:c r="B241" s="53" t="n">
        <x:v>44872</x:v>
      </x:c>
      <x:c r="C241" s="53" t="n">
        <x:v>44872</x:v>
      </x:c>
      <x:c r="D241" s="23" t="str">
        <x:v>CH</x:v>
      </x:c>
      <x:c r="E241" s="54" t="n">
        <x:v>10902.229</x:v>
      </x:c>
      <x:c r="F241" s="54" t="n">
        <x:v>10982.089</x:v>
      </x:c>
      <x:c r="G241" s="55" t="n">
        <x:v>0.00732</x:v>
      </x:c>
      <x:c r="H241" s="56" t="n">
        <x:f>SUM(T238:T240)</x:f>
        <x:v>0.00683</x:v>
      </x:c>
      <x:c r="I241" s="57" t="b">
        <x:f>AND(A241&gt;3,H241&lt;='Assumptions'!$B$7)</x:f>
        <x:v>0</x:v>
      </x:c>
      <x:c r="J241" s="55" t="n">
        <x:v>0.0036094938248749653</x:v>
      </x:c>
      <x:c r="K241" s="55" t="n">
        <x:v>-0.01642464641123953</x:v>
      </x:c>
      <x:c r="L241" s="55" t="n">
        <x:v>0.016848669154801987</x:v>
      </x:c>
      <x:c r="M241" s="57" t="b">
        <x:f>J241&gt;='Assumptions'!$B$8</x:f>
        <x:v>0</x:v>
      </x:c>
      <x:c r="N241" s="57" t="b">
        <x:f>AND(K241&lt;&gt;"",K241&lt;='Assumptions'!$B$9)</x:f>
        <x:v>1</x:v>
      </x:c>
      <x:c r="O241" s="57" t="b">
        <x:f>AND(P241&lt;&gt;"",ABS(L241)&lt;='Assumptions'!$B$10)</x:f>
        <x:v>0</x:v>
      </x:c>
      <x:c r="P241" s="53" t="n">
        <x:v>44873</x:v>
      </x:c>
      <x:c r="Q241" s="54" t="n">
        <x:v>11038.439</x:v>
      </x:c>
      <x:c r="R241" s="55" t="n">
        <x:v>-0.0051</x:v>
      </x:c>
      <x:c r="S241" s="57" t="str">
        <x:f>IF(I241,"DAMAGE SKIP",IF(AND(M241,N241),IF(O241,"TUESDAY RE-ENTRY","GAP/MOM SKIP"),"BASELINE"))</x:f>
        <x:v>BASELINE</x:v>
      </x:c>
      <x:c r="T241" s="56" t="n">
        <x:f>IF(I241,0,IF(AND(M241,N241),IF(O241,R241,0),G241))</x:f>
        <x:v>0.00732</x:v>
      </x:c>
      <x:c r="U241" s="56" t="n">
        <x:f>G241*'Assumptions'!$B$6</x:f>
        <x:v>0.08271600000000001</x:v>
      </x:c>
      <x:c r="V241" s="56" t="n">
        <x:f>T241*'Assumptions'!$B$6</x:f>
        <x:v>0.08271600000000001</x:v>
      </x:c>
      <x:c r="W241" s="56" t="n">
        <x:f>V241-U241</x:f>
        <x:v>0</x:v>
      </x:c>
      <x:c r="X241" s="58" t="n">
        <x:f>X240*(1+U241)</x:f>
        <x:v>176790.53143769928</x:v>
      </x:c>
      <x:c r="Y241" s="58" t="n">
        <x:f>MAX(Y240,X241)</x:f>
        <x:v>181893.2601907876</x:v>
      </x:c>
      <x:c r="Z241" s="59" t="n">
        <x:f>X241/Y241-1</x:f>
        <x:v>-0.028053424012171146</x:v>
      </x:c>
      <x:c r="AA241" s="58" t="n">
        <x:f>AA240*(1+V241)</x:f>
        <x:v>499279.5010520639</x:v>
      </x:c>
      <x:c r="AB241" s="58" t="n">
        <x:f>MAX(AB240,AA241)</x:f>
        <x:v>572317.7428160432</x:v>
      </x:c>
      <x:c r="AC241" s="59" t="n">
        <x:f>AA241/AB241-1</x:f>
        <x:v>-0.12761834257418014</x:v>
      </x:c>
      <x:c r="AD241" s="60" t="n">
        <x:f>AA241-X241</x:f>
        <x:v>322488.9696143646</x:v>
      </x:c>
      <x:c r="AE241" s="28" t="str">
        <x:v>Baseline trade unchanged.</x:v>
      </x:c>
    </x:row>
    <x:row r="242" ht="18" customHeight="1">
      <x:c r="A242" s="23" t="n">
        <x:v>238</x:v>
      </x:c>
      <x:c r="B242" s="53" t="n">
        <x:v>44879</x:v>
      </x:c>
      <x:c r="C242" s="53" t="n">
        <x:v>44880</x:v>
      </x:c>
      <x:c r="D242" s="23" t="str">
        <x:v>PREOH</x:v>
      </x:c>
      <x:c r="E242" s="54" t="n">
        <x:v>11731.319</x:v>
      </x:c>
      <x:c r="F242" s="54" t="n">
        <x:v>11994.899</x:v>
      </x:c>
      <x:c r="G242" s="55" t="n">
        <x:v>0.02246</x:v>
      </x:c>
      <x:c r="H242" s="56" t="n">
        <x:f>SUM(T239:T241)</x:f>
        <x:v>0.01415</x:v>
      </x:c>
      <x:c r="I242" s="57" t="b">
        <x:f>AND(A242&gt;3,H242&lt;='Assumptions'!$B$7)</x:f>
        <x:v>0</x:v>
      </x:c>
      <x:c r="J242" s="55" t="n">
        <x:v>-0.0060502956561995225</x:v>
      </x:c>
      <x:c r="K242" s="55" t="n">
        <x:v>0.10440093701643671</x:v>
      </x:c>
      <x:c r="L242" s="55" t="n">
        <x:v>0.014748856513637332</x:v>
      </x:c>
      <x:c r="M242" s="57" t="b">
        <x:f>J242&gt;='Assumptions'!$B$8</x:f>
        <x:v>0</x:v>
      </x:c>
      <x:c r="N242" s="57" t="b">
        <x:f>AND(K242&lt;&gt;"",K242&lt;='Assumptions'!$B$9)</x:f>
        <x:v>0</x:v>
      </x:c>
      <x:c r="O242" s="57" t="b">
        <x:f>AND(P242&lt;&gt;"",ABS(L242)&lt;='Assumptions'!$B$10)</x:f>
        <x:v>0</x:v>
      </x:c>
      <x:c r="P242" s="53" t="n">
        <x:v>44880</x:v>
      </x:c>
      <x:c r="Q242" s="54" t="n">
        <x:v>11986.849</x:v>
      </x:c>
      <x:c r="R242" s="55" t="n">
        <x:v>0.00067</x:v>
      </x:c>
      <x:c r="S242" s="57" t="str">
        <x:f>IF(I242,"DAMAGE SKIP",IF(AND(M242,N242),IF(O242,"TUESDAY RE-ENTRY","GAP/MOM SKIP"),"BASELINE"))</x:f>
        <x:v>BASELINE</x:v>
      </x:c>
      <x:c r="T242" s="56" t="n">
        <x:f>IF(I242,0,IF(AND(M242,N242),IF(O242,R242,0),G242))</x:f>
        <x:v>0.02246</x:v>
      </x:c>
      <x:c r="U242" s="56" t="n">
        <x:f>G242*'Assumptions'!$B$6</x:f>
        <x:v>0.253798</x:v>
      </x:c>
      <x:c r="V242" s="56" t="n">
        <x:f>T242*'Assumptions'!$B$6</x:f>
        <x:v>0.253798</x:v>
      </x:c>
      <x:c r="W242" s="56" t="n">
        <x:f>V242-U242</x:f>
        <x:v>0</x:v>
      </x:c>
      <x:c r="X242" s="58" t="n">
        <x:f>X241*(1+U242)</x:f>
        <x:v>221659.61473552446</x:v>
      </x:c>
      <x:c r="Y242" s="58" t="n">
        <x:f>MAX(Y241,X242)</x:f>
        <x:v>221659.61473552446</x:v>
      </x:c>
      <x:c r="Z242" s="59" t="n">
        <x:f>X242/Y242-1</x:f>
        <x:v>0</x:v>
      </x:c>
      <x:c r="AA242" s="58" t="n">
        <x:f>AA241*(1+V242)</x:f>
        <x:v>625995.6398600755</x:v>
      </x:c>
      <x:c r="AB242" s="58" t="n">
        <x:f>MAX(AB241,AA242)</x:f>
        <x:v>625995.6398600755</x:v>
      </x:c>
      <x:c r="AC242" s="59" t="n">
        <x:f>AA242/AB242-1</x:f>
        <x:v>0</x:v>
      </x:c>
      <x:c r="AD242" s="60" t="n">
        <x:f>AA242-X242</x:f>
        <x:v>404336.0251245511</x:v>
      </x:c>
      <x:c r="AE242" s="28" t="str">
        <x:v>Baseline trade unchanged.</x:v>
      </x:c>
    </x:row>
    <x:row r="243" ht="18" customHeight="1">
      <x:c r="A243" s="23" t="n">
        <x:v>239</x:v>
      </x:c>
      <x:c r="B243" s="53" t="n">
        <x:v>44886</x:v>
      </x:c>
      <x:c r="C243" s="53" t="n">
        <x:v>44890</x:v>
      </x:c>
      <x:c r="D243" s="23" t="str">
        <x:v>TO</x:v>
      </x:c>
      <x:c r="E243" s="54" t="n">
        <x:v>11616.539</x:v>
      </x:c>
      <x:c r="F243" s="54" t="n">
        <x:v>11764.659</x:v>
      </x:c>
      <x:c r="G243" s="55" t="n">
        <x:v>0.01275</x:v>
      </x:c>
      <x:c r="H243" s="56" t="n">
        <x:f>SUM(T240:T242)</x:f>
        <x:v>0.02579</x:v>
      </x:c>
      <x:c r="I243" s="57" t="b">
        <x:f>AND(A243&gt;3,H243&lt;='Assumptions'!$B$7)</x:f>
        <x:v>0</x:v>
      </x:c>
      <x:c r="J243" s="55" t="n">
        <x:v>-0.005408525161029298</x:v>
      </x:c>
      <x:c r="K243" s="55" t="n">
        <x:v>0.03412864754763745</x:v>
      </x:c>
      <x:c r="L243" s="55" t="n">
        <x:v>-0.007657366736484428</x:v>
      </x:c>
      <x:c r="M243" s="57" t="b">
        <x:f>J243&gt;='Assumptions'!$B$8</x:f>
        <x:v>0</x:v>
      </x:c>
      <x:c r="N243" s="57" t="b">
        <x:f>AND(K243&lt;&gt;"",K243&lt;='Assumptions'!$B$9)</x:f>
        <x:v>0</x:v>
      </x:c>
      <x:c r="O243" s="57" t="b">
        <x:f>AND(P243&lt;&gt;"",ABS(L243)&lt;='Assumptions'!$B$10)</x:f>
        <x:v>0</x:v>
      </x:c>
      <x:c r="P243" s="53" t="n">
        <x:v>44887</x:v>
      </x:c>
      <x:c r="Q243" s="54" t="n">
        <x:v>11585.249</x:v>
      </x:c>
      <x:c r="R243" s="55" t="n">
        <x:v>0.01548</x:v>
      </x:c>
      <x:c r="S243" s="57" t="str">
        <x:f>IF(I243,"DAMAGE SKIP",IF(AND(M243,N243),IF(O243,"TUESDAY RE-ENTRY","GAP/MOM SKIP"),"BASELINE"))</x:f>
        <x:v>BASELINE</x:v>
      </x:c>
      <x:c r="T243" s="56" t="n">
        <x:f>IF(I243,0,IF(AND(M243,N243),IF(O243,R243,0),G243))</x:f>
        <x:v>0.01275</x:v>
      </x:c>
      <x:c r="U243" s="56" t="n">
        <x:f>G243*'Assumptions'!$B$6</x:f>
        <x:v>0.144075</x:v>
      </x:c>
      <x:c r="V243" s="56" t="n">
        <x:f>T243*'Assumptions'!$B$6</x:f>
        <x:v>0.144075</x:v>
      </x:c>
      <x:c r="W243" s="56" t="n">
        <x:f>V243-U243</x:f>
        <x:v>0</x:v>
      </x:c>
      <x:c r="X243" s="58" t="n">
        <x:f>X242*(1+U243)</x:f>
        <x:v>253595.22372854513</x:v>
      </x:c>
      <x:c r="Y243" s="58" t="n">
        <x:f>MAX(Y242,X243)</x:f>
        <x:v>253595.22372854513</x:v>
      </x:c>
      <x:c r="Z243" s="59" t="n">
        <x:f>X243/Y243-1</x:f>
        <x:v>0</x:v>
      </x:c>
      <x:c r="AA243" s="58" t="n">
        <x:f>AA242*(1+V243)</x:f>
        <x:v>716185.961672916</x:v>
      </x:c>
      <x:c r="AB243" s="58" t="n">
        <x:f>MAX(AB242,AA243)</x:f>
        <x:v>716185.961672916</x:v>
      </x:c>
      <x:c r="AC243" s="59" t="n">
        <x:f>AA243/AB243-1</x:f>
        <x:v>0</x:v>
      </x:c>
      <x:c r="AD243" s="60" t="n">
        <x:f>AA243-X243</x:f>
        <x:v>462590.73794437083</x:v>
      </x:c>
      <x:c r="AE243" s="28" t="str">
        <x:v>Baseline trade unchanged.</x:v>
      </x:c>
    </x:row>
    <x:row r="244" ht="18" customHeight="1">
      <x:c r="A244" s="23" t="n">
        <x:v>240</x:v>
      </x:c>
      <x:c r="B244" s="53" t="n">
        <x:v>44893</x:v>
      </x:c>
      <x:c r="C244" s="53" t="n">
        <x:v>44895</x:v>
      </x:c>
      <x:c r="D244" s="23" t="str">
        <x:v>BH</x:v>
      </x:c>
      <x:c r="E244" s="54" t="n">
        <x:v>11681.179</x:v>
      </x:c>
      <x:c r="F244" s="54" t="n">
        <x:v>11634.454284</x:v>
      </x:c>
      <x:c r="G244" s="55" t="n">
        <x:v>-0.004</x:v>
      </x:c>
      <x:c r="H244" s="56" t="n">
        <x:f>SUM(T241:T243)</x:f>
        <x:v>0.04253</x:v>
      </x:c>
      <x:c r="I244" s="57" t="b">
        <x:f>AND(A244&gt;3,H244&lt;='Assumptions'!$B$7)</x:f>
        <x:v>0</x:v>
      </x:c>
      <x:c r="J244" s="55" t="n">
        <x:v>-0.007095828276875604</x:v>
      </x:c>
      <x:c r="K244" s="55" t="n">
        <x:v>0.05147915991612573</x:v>
      </x:c>
      <x:c r="L244" s="55" t="n">
        <x:v>-0.013867291964054895</x:v>
      </x:c>
      <x:c r="M244" s="57" t="b">
        <x:f>J244&gt;='Assumptions'!$B$8</x:f>
        <x:v>0</x:v>
      </x:c>
      <x:c r="N244" s="57" t="b">
        <x:f>AND(K244&lt;&gt;"",K244&lt;='Assumptions'!$B$9)</x:f>
        <x:v>0</x:v>
      </x:c>
      <x:c r="O244" s="57" t="b">
        <x:f>AND(P244&lt;&gt;"",ABS(L244)&lt;='Assumptions'!$B$10)</x:f>
        <x:v>0</x:v>
      </x:c>
      <x:c r="P244" s="53" t="n">
        <x:v>44894</x:v>
      </x:c>
      <x:c r="Q244" s="54" t="n">
        <x:v>11598.939</x:v>
      </x:c>
      <x:c r="R244" s="55" t="n">
        <x:v>0.00306</x:v>
      </x:c>
      <x:c r="S244" s="57" t="str">
        <x:f>IF(I244,"DAMAGE SKIP",IF(AND(M244,N244),IF(O244,"TUESDAY RE-ENTRY","GAP/MOM SKIP"),"BASELINE"))</x:f>
        <x:v>BASELINE</x:v>
      </x:c>
      <x:c r="T244" s="56" t="n">
        <x:f>IF(I244,0,IF(AND(M244,N244),IF(O244,R244,0),G244))</x:f>
        <x:v>-0.004</x:v>
      </x:c>
      <x:c r="U244" s="56" t="n">
        <x:f>G244*'Assumptions'!$B$6</x:f>
        <x:v>-0.045200000000000004</x:v>
      </x:c>
      <x:c r="V244" s="56" t="n">
        <x:f>T244*'Assumptions'!$B$6</x:f>
        <x:v>-0.045200000000000004</x:v>
      </x:c>
      <x:c r="W244" s="56" t="n">
        <x:f>V244-U244</x:f>
        <x:v>0</x:v>
      </x:c>
      <x:c r="X244" s="58" t="n">
        <x:f>X243*(1+U244)</x:f>
        <x:v>242132.7196160149</x:v>
      </x:c>
      <x:c r="Y244" s="58" t="n">
        <x:f>MAX(Y243,X244)</x:f>
        <x:v>253595.22372854513</x:v>
      </x:c>
      <x:c r="Z244" s="59" t="n">
        <x:f>X244/Y244-1</x:f>
        <x:v>-0.04520000000000002</x:v>
      </x:c>
      <x:c r="AA244" s="58" t="n">
        <x:f>AA243*(1+V244)</x:f>
        <x:v>683814.3562053002</x:v>
      </x:c>
      <x:c r="AB244" s="58" t="n">
        <x:f>MAX(AB243,AA244)</x:f>
        <x:v>716185.961672916</x:v>
      </x:c>
      <x:c r="AC244" s="59" t="n">
        <x:f>AA244/AB244-1</x:f>
        <x:v>-0.04519999999999991</x:v>
      </x:c>
      <x:c r="AD244" s="60" t="n">
        <x:f>AA244-X244</x:f>
        <x:v>441681.63658928534</x:v>
      </x:c>
      <x:c r="AE244" s="28" t="str">
        <x:v>Baseline trade unchanged.</x:v>
      </x:c>
    </x:row>
    <x:row r="245" ht="18" customHeight="1">
      <x:c r="A245" s="23" t="n">
        <x:v>241</x:v>
      </x:c>
      <x:c r="B245" s="53" t="n">
        <x:v>44900</x:v>
      </x:c>
      <x:c r="C245" s="53" t="n">
        <x:v>44903</x:v>
      </x:c>
      <x:c r="D245" s="23" t="str">
        <x:v>TSL1PRE</x:v>
      </x:c>
      <x:c r="E245" s="54" t="n">
        <x:v>11903.789</x:v>
      </x:c>
      <x:c r="F245" s="54" t="n">
        <x:v>11487.419</x:v>
      </x:c>
      <x:c r="G245" s="55" t="n">
        <x:v>-0.03497</x:v>
      </x:c>
      <x:c r="H245" s="56" t="n">
        <x:f>SUM(T242:T244)</x:f>
        <x:v>0.031209999999999998</x:v>
      </x:c>
      <x:c r="I245" s="57" t="b">
        <x:f>AND(A245&gt;3,H245&lt;='Assumptions'!$B$7)</x:f>
        <x:v>0</x:v>
      </x:c>
      <x:c r="J245" s="55" t="n">
        <x:v>-0.0068356349752566326</x:v>
      </x:c>
      <x:c r="K245" s="55" t="n">
        <x:v>0.12307998423802169</x:v>
      </x:c>
      <x:c r="L245" s="55" t="n">
        <x:v>-0.017338289446258592</x:v>
      </x:c>
      <x:c r="M245" s="57" t="b">
        <x:f>J245&gt;='Assumptions'!$B$8</x:f>
        <x:v>0</x:v>
      </x:c>
      <x:c r="N245" s="57" t="b">
        <x:f>AND(K245&lt;&gt;"",K245&lt;='Assumptions'!$B$9)</x:f>
        <x:v>0</x:v>
      </x:c>
      <x:c r="O245" s="57" t="b">
        <x:f>AND(P245&lt;&gt;"",ABS(L245)&lt;='Assumptions'!$B$10)</x:f>
        <x:v>0</x:v>
      </x:c>
      <x:c r="P245" s="53" t="n">
        <x:v>44901</x:v>
      </x:c>
      <x:c r="Q245" s="54" t="n">
        <x:v>11781.809</x:v>
      </x:c>
      <x:c r="R245" s="55" t="n">
        <x:v>-0.02498</x:v>
      </x:c>
      <x:c r="S245" s="57" t="str">
        <x:f>IF(I245,"DAMAGE SKIP",IF(AND(M245,N245),IF(O245,"TUESDAY RE-ENTRY","GAP/MOM SKIP"),"BASELINE"))</x:f>
        <x:v>BASELINE</x:v>
      </x:c>
      <x:c r="T245" s="56" t="n">
        <x:f>IF(I245,0,IF(AND(M245,N245),IF(O245,R245,0),G245))</x:f>
        <x:v>-0.03497</x:v>
      </x:c>
      <x:c r="U245" s="56" t="n">
        <x:f>G245*'Assumptions'!$B$6</x:f>
        <x:v>-0.39516100000000004</x:v>
      </x:c>
      <x:c r="V245" s="56" t="n">
        <x:f>T245*'Assumptions'!$B$6</x:f>
        <x:v>-0.39516100000000004</x:v>
      </x:c>
      <x:c r="W245" s="56" t="n">
        <x:f>V245-U245</x:f>
        <x:v>0</x:v>
      </x:c>
      <x:c r="X245" s="58" t="n">
        <x:f>X244*(1+U245)</x:f>
        <x:v>146451.3119998308</x:v>
      </x:c>
      <x:c r="Y245" s="58" t="n">
        <x:f>MAX(Y244,X245)</x:f>
        <x:v>253595.22372854513</x:v>
      </x:c>
      <x:c r="Z245" s="59" t="n">
        <x:f>X245/Y245-1</x:f>
        <x:v>-0.42249972280000014</x:v>
      </x:c>
      <x:c r="AA245" s="58" t="n">
        <x:f>AA244*(1+V245)</x:f>
        <x:v>413597.5913928575</x:v>
      </x:c>
      <x:c r="AB245" s="58" t="n">
        <x:f>MAX(AB244,AA245)</x:f>
        <x:v>716185.961672916</x:v>
      </x:c>
      <x:c r="AC245" s="59" t="n">
        <x:f>AA245/AB245-1</x:f>
        <x:v>-0.42249972280000003</x:v>
      </x:c>
      <x:c r="AD245" s="60" t="n">
        <x:f>AA245-X245</x:f>
        <x:v>267146.2793930267</x:v>
      </x:c>
      <x:c r="AE245" s="28" t="str">
        <x:v>Baseline trade unchanged.</x:v>
      </x:c>
    </x:row>
    <x:row r="246" ht="18" customHeight="1">
      <x:c r="A246" s="23" t="n">
        <x:v>242</x:v>
      </x:c>
      <x:c r="B246" s="53" t="n">
        <x:v>44907</x:v>
      </x:c>
      <x:c r="C246" s="53" t="n">
        <x:v>44907</x:v>
      </x:c>
      <x:c r="D246" s="23" t="str">
        <x:v>CH</x:v>
      </x:c>
      <x:c r="E246" s="54" t="n">
        <x:v>11568.479</x:v>
      </x:c>
      <x:c r="F246" s="54" t="n">
        <x:v>11687.039</x:v>
      </x:c>
      <x:c r="G246" s="55" t="n">
        <x:v>0.01024</x:v>
      </x:c>
      <x:c r="H246" s="56" t="n">
        <x:f>SUM(T243:T245)</x:f>
        <x:v>-0.02622</x:v>
      </x:c>
      <x:c r="I246" s="57" t="b">
        <x:f>AND(A246&gt;3,H246&lt;='Assumptions'!$B$7)</x:f>
        <x:v>1</x:v>
      </x:c>
      <x:c r="J246" s="55" t="n">
        <x:v>0.0006738352705448758</x:v>
      </x:c>
      <x:c r="K246" s="55" t="n">
        <x:v>-0.0025124363803663563</x:v>
      </x:c>
      <x:c r="L246" s="55" t="n">
        <x:v>0.05179862855248518</x:v>
      </x:c>
      <x:c r="M246" s="57" t="b">
        <x:f>J246&gt;='Assumptions'!$B$8</x:f>
        <x:v>0</x:v>
      </x:c>
      <x:c r="N246" s="57" t="b">
        <x:f>AND(K246&lt;&gt;"",K246&lt;='Assumptions'!$B$9)</x:f>
        <x:v>0</x:v>
      </x:c>
      <x:c r="O246" s="57" t="b">
        <x:f>AND(P246&lt;&gt;"",ABS(L246)&lt;='Assumptions'!$B$10)</x:f>
        <x:v>0</x:v>
      </x:c>
      <x:c r="P246" s="53" t="n">
        <x:v>44908</x:v>
      </x:c>
      <x:c r="Q246" s="54" t="n">
        <x:v>12160.869</x:v>
      </x:c>
      <x:c r="R246" s="55" t="n">
        <x:v>-0.03896</x:v>
      </x:c>
      <x:c r="S246" s="57" t="str">
        <x:f>IF(I246,"DAMAGE SKIP",IF(AND(M246,N246),IF(O246,"TUESDAY RE-ENTRY","GAP/MOM SKIP"),"BASELINE"))</x:f>
        <x:v>DAMAGE SKIP</x:v>
      </x:c>
      <x:c r="T246" s="56" t="n">
        <x:f>IF(I246,0,IF(AND(M246,N246),IF(O246,R246,0),G246))</x:f>
        <x:v>0</x:v>
      </x:c>
      <x:c r="U246" s="56" t="n">
        <x:f>G246*'Assumptions'!$B$6</x:f>
        <x:v>0.11571200000000002</x:v>
      </x:c>
      <x:c r="V246" s="56" t="n">
        <x:f>T246*'Assumptions'!$B$6</x:f>
        <x:v>0</x:v>
      </x:c>
      <x:c r="W246" s="56" t="n">
        <x:f>V246-U246</x:f>
        <x:v>-0.11571200000000002</x:v>
      </x:c>
      <x:c r="X246" s="58" t="n">
        <x:f>X245*(1+U246)</x:f>
        <x:v>163397.4862139552</x:v>
      </x:c>
      <x:c r="Y246" s="58" t="n">
        <x:f>MAX(Y245,X246)</x:f>
        <x:v>253595.22372854513</x:v>
      </x:c>
      <x:c r="Z246" s="59" t="n">
        <x:f>X246/Y246-1</x:f>
        <x:v>-0.35567601072463373</x:v>
      </x:c>
      <x:c r="AA246" s="58" t="n">
        <x:f>AA245*(1+V246)</x:f>
        <x:v>413597.5913928575</x:v>
      </x:c>
      <x:c r="AB246" s="58" t="n">
        <x:f>MAX(AB245,AA246)</x:f>
        <x:v>716185.961672916</x:v>
      </x:c>
      <x:c r="AC246" s="59" t="n">
        <x:f>AA246/AB246-1</x:f>
        <x:v>-0.42249972280000003</x:v>
      </x:c>
      <x:c r="AD246" s="60" t="n">
        <x:f>AA246-X246</x:f>
        <x:v>250200.10517890227</x:v>
      </x:c>
      <x:c r="AE246" s="28" t="str">
        <x:v>Skipped because the previous three rule outcomes totalled at or below the damage threshold.</x:v>
      </x:c>
    </x:row>
    <x:row r="247" ht="18" customHeight="1">
      <x:c r="A247" s="23" t="n">
        <x:v>243</x:v>
      </x:c>
      <x:c r="B247" s="53" t="n">
        <x:v>44914</x:v>
      </x:c>
      <x:c r="C247" s="53" t="n">
        <x:v>44916</x:v>
      </x:c>
      <x:c r="D247" s="23" t="str">
        <x:v>BH</x:v>
      </x:c>
      <x:c r="E247" s="54" t="n">
        <x:v>11245.579</x:v>
      </x:c>
      <x:c r="F247" s="54" t="n">
        <x:v>11200.596684</x:v>
      </x:c>
      <x:c r="G247" s="55" t="n">
        <x:v>-0.004</x:v>
      </x:c>
      <x:c r="H247" s="56" t="n">
        <x:f>SUM(T244:T246)</x:f>
        <x:v>-0.038970000000000005</x:v>
      </x:c>
      <x:c r="I247" s="57" t="b">
        <x:f>AND(A247&gt;3,H247&lt;='Assumptions'!$B$7)</x:f>
        <x:v>1</x:v>
      </x:c>
      <x:c r="J247" s="55" t="n">
        <x:v>0.0012063715291332766</x:v>
      </x:c>
      <x:c r="K247" s="55" t="n">
        <x:v>-0.03707496708213942</x:v>
      </x:c>
      <x:c r="L247" s="55" t="n">
        <x:v>-0.018406317513609216</x:v>
      </x:c>
      <x:c r="M247" s="57" t="b">
        <x:f>J247&gt;='Assumptions'!$B$8</x:f>
        <x:v>0</x:v>
      </x:c>
      <x:c r="N247" s="57" t="b">
        <x:f>AND(K247&lt;&gt;"",K247&lt;='Assumptions'!$B$9)</x:f>
        <x:v>1</x:v>
      </x:c>
      <x:c r="O247" s="57" t="b">
        <x:f>AND(P247&lt;&gt;"",ABS(L247)&lt;='Assumptions'!$B$10)</x:f>
        <x:v>0</x:v>
      </x:c>
      <x:c r="P247" s="53" t="n">
        <x:v>44915</x:v>
      </x:c>
      <x:c r="Q247" s="54" t="n">
        <x:v>11027.899</x:v>
      </x:c>
      <x:c r="R247" s="55" t="n">
        <x:v>0.01566</x:v>
      </x:c>
      <x:c r="S247" s="57" t="str">
        <x:f>IF(I247,"DAMAGE SKIP",IF(AND(M247,N247),IF(O247,"TUESDAY RE-ENTRY","GAP/MOM SKIP"),"BASELINE"))</x:f>
        <x:v>DAMAGE SKIP</x:v>
      </x:c>
      <x:c r="T247" s="56" t="n">
        <x:f>IF(I247,0,IF(AND(M247,N247),IF(O247,R247,0),G247))</x:f>
        <x:v>0</x:v>
      </x:c>
      <x:c r="U247" s="56" t="n">
        <x:f>G247*'Assumptions'!$B$6</x:f>
        <x:v>-0.045200000000000004</x:v>
      </x:c>
      <x:c r="V247" s="56" t="n">
        <x:f>T247*'Assumptions'!$B$6</x:f>
        <x:v>0</x:v>
      </x:c>
      <x:c r="W247" s="56" t="n">
        <x:f>V247-U247</x:f>
        <x:v>0.045200000000000004</x:v>
      </x:c>
      <x:c r="X247" s="58" t="n">
        <x:f>X246*(1+U247)</x:f>
        <x:v>156011.91983708442</x:v>
      </x:c>
      <x:c r="Y247" s="58" t="n">
        <x:f>MAX(Y246,X247)</x:f>
        <x:v>253595.22372854513</x:v>
      </x:c>
      <x:c r="Z247" s="59" t="n">
        <x:f>X247/Y247-1</x:f>
        <x:v>-0.38479945503988033</x:v>
      </x:c>
      <x:c r="AA247" s="58" t="n">
        <x:f>AA246*(1+V247)</x:f>
        <x:v>413597.5913928575</x:v>
      </x:c>
      <x:c r="AB247" s="58" t="n">
        <x:f>MAX(AB246,AA247)</x:f>
        <x:v>716185.961672916</x:v>
      </x:c>
      <x:c r="AC247" s="59" t="n">
        <x:f>AA247/AB247-1</x:f>
        <x:v>-0.42249972280000003</x:v>
      </x:c>
      <x:c r="AD247" s="60" t="n">
        <x:f>AA247-X247</x:f>
        <x:v>257585.67155577306</x:v>
      </x:c>
      <x:c r="AE247" s="28" t="str">
        <x:v>Skipped because the previous three rule outcomes totalled at or below the damage threshold.</x:v>
      </x:c>
    </x:row>
    <x:row r="248" ht="18" customHeight="1">
      <x:c r="A248" s="23" t="n">
        <x:v>244</x:v>
      </x:c>
      <x:c r="B248" s="53" t="n">
        <x:v>44922</x:v>
      </x:c>
      <x:c r="C248" s="53" t="n">
        <x:v>44924</x:v>
      </x:c>
      <x:c r="D248" s="23" t="str">
        <x:v>TSL1PRE</x:v>
      </x:c>
      <x:c r="E248" s="54" t="n">
        <x:v>10956.307</x:v>
      </x:c>
      <x:c r="F248" s="54" t="n">
        <x:v>10693.149</x:v>
      </x:c>
      <x:c r="G248" s="55" t="n">
        <x:v>-0.02401</x:v>
      </x:c>
      <x:c r="H248" s="56" t="n">
        <x:f>SUM(T245:T247)</x:f>
        <x:v>-0.03497</x:v>
      </x:c>
      <x:c r="I248" s="57" t="b">
        <x:f>AND(A248&gt;3,H248&lt;='Assumptions'!$B$7)</x:f>
        <x:v>1</x:v>
      </x:c>
      <x:c r="J248" s="55" t="n">
        <x:v>-0.0019186746842526636</x:v>
      </x:c>
      <x:c r="K248" s="55" t="n">
        <x:v>-0.06594313524771633</x:v>
      </x:c>
      <x:c r="L248" s="55"/>
      <x:c r="M248" s="57" t="b">
        <x:f>J248&gt;='Assumptions'!$B$8</x:f>
        <x:v>0</x:v>
      </x:c>
      <x:c r="N248" s="57" t="b">
        <x:f>AND(K248&lt;&gt;"",K248&lt;='Assumptions'!$B$9)</x:f>
        <x:v>1</x:v>
      </x:c>
      <x:c r="O248" s="57" t="b">
        <x:f>AND(P248&lt;&gt;"",ABS(L248)&lt;='Assumptions'!$B$10)</x:f>
        <x:v>0</x:v>
      </x:c>
      <x:c r="P248" s="53"/>
      <x:c r="Q248" s="54"/>
      <x:c r="R248" s="55"/>
      <x:c r="S248" s="57" t="str">
        <x:f>IF(I248,"DAMAGE SKIP",IF(AND(M248,N248),IF(O248,"TUESDAY RE-ENTRY","GAP/MOM SKIP"),"BASELINE"))</x:f>
        <x:v>DAMAGE SKIP</x:v>
      </x:c>
      <x:c r="T248" s="56" t="n">
        <x:f>IF(I248,0,IF(AND(M248,N248),IF(O248,R248,0),G248))</x:f>
        <x:v>0</x:v>
      </x:c>
      <x:c r="U248" s="56" t="n">
        <x:f>G248*'Assumptions'!$B$6</x:f>
        <x:v>-0.271313</x:v>
      </x:c>
      <x:c r="V248" s="56" t="n">
        <x:f>T248*'Assumptions'!$B$6</x:f>
        <x:v>0</x:v>
      </x:c>
      <x:c r="W248" s="56" t="n">
        <x:f>V248-U248</x:f>
        <x:v>0.271313</x:v>
      </x:c>
      <x:c r="X248" s="58" t="n">
        <x:f>X247*(1+U248)</x:f>
        <x:v>113683.85783032553</x:v>
      </x:c>
      <x:c r="Y248" s="58" t="n">
        <x:f>MAX(Y247,X248)</x:f>
        <x:v>253595.22372854513</x:v>
      </x:c>
      <x:c r="Z248" s="59" t="n">
        <x:f>X248/Y248-1</x:f>
        <x:v>-0.5517113604946453</x:v>
      </x:c>
      <x:c r="AA248" s="58" t="n">
        <x:f>AA247*(1+V248)</x:f>
        <x:v>413597.5913928575</x:v>
      </x:c>
      <x:c r="AB248" s="58" t="n">
        <x:f>MAX(AB247,AA248)</x:f>
        <x:v>716185.961672916</x:v>
      </x:c>
      <x:c r="AC248" s="59" t="n">
        <x:f>AA248/AB248-1</x:f>
        <x:v>-0.42249972280000003</x:v>
      </x:c>
      <x:c r="AD248" s="60" t="n">
        <x:f>AA248-X248</x:f>
        <x:v>299913.73356253194</x:v>
      </x:c>
      <x:c r="AE248" s="28" t="str">
        <x:v>Skipped because the previous three rule outcomes totalled at or below the damage threshold.</x:v>
      </x:c>
    </x:row>
    <x:row r="249" ht="18" customHeight="1">
      <x:c r="A249" s="23" t="n">
        <x:v>245</x:v>
      </x:c>
      <x:c r="B249" s="53" t="n">
        <x:v>44929</x:v>
      </x:c>
      <x:c r="C249" s="53" t="n">
        <x:v>44931</x:v>
      </x:c>
      <x:c r="D249" s="23" t="str">
        <x:v>TSL1PRE</x:v>
      </x:c>
      <x:c r="E249" s="54" t="n">
        <x:v>11033.619</x:v>
      </x:c>
      <x:c r="F249" s="54" t="n">
        <x:v>10906.709</x:v>
      </x:c>
      <x:c r="G249" s="55" t="n">
        <x:v>-0.0115</x:v>
      </x:c>
      <x:c r="H249" s="56" t="n">
        <x:f>SUM(T246:T248)</x:f>
        <x:v>0</x:v>
      </x:c>
      <x:c r="I249" s="57" t="b">
        <x:f>AND(A249&gt;3,H249&lt;='Assumptions'!$B$7)</x:f>
        <x:v>0</x:v>
      </x:c>
      <x:c r="J249" s="55" t="n">
        <x:v>0.009399061136803333</x:v>
      </x:c>
      <x:c r="K249" s="55" t="n">
        <x:v>-0.09124975346788511</x:v>
      </x:c>
      <x:c r="L249" s="55"/>
      <x:c r="M249" s="57" t="b">
        <x:f>J249&gt;='Assumptions'!$B$8</x:f>
        <x:v>0</x:v>
      </x:c>
      <x:c r="N249" s="57" t="b">
        <x:f>AND(K249&lt;&gt;"",K249&lt;='Assumptions'!$B$9)</x:f>
        <x:v>1</x:v>
      </x:c>
      <x:c r="O249" s="57" t="b">
        <x:f>AND(P249&lt;&gt;"",ABS(L249)&lt;='Assumptions'!$B$10)</x:f>
        <x:v>0</x:v>
      </x:c>
      <x:c r="P249" s="53"/>
      <x:c r="Q249" s="54"/>
      <x:c r="R249" s="55"/>
      <x:c r="S249" s="57" t="str">
        <x:f>IF(I249,"DAMAGE SKIP",IF(AND(M249,N249),IF(O249,"TUESDAY RE-ENTRY","GAP/MOM SKIP"),"BASELINE"))</x:f>
        <x:v>BASELINE</x:v>
      </x:c>
      <x:c r="T249" s="56" t="n">
        <x:f>IF(I249,0,IF(AND(M249,N249),IF(O249,R249,0),G249))</x:f>
        <x:v>-0.0115</x:v>
      </x:c>
      <x:c r="U249" s="56" t="n">
        <x:f>G249*'Assumptions'!$B$6</x:f>
        <x:v>-0.12995</x:v>
      </x:c>
      <x:c r="V249" s="56" t="n">
        <x:f>T249*'Assumptions'!$B$6</x:f>
        <x:v>-0.12995</x:v>
      </x:c>
      <x:c r="W249" s="56" t="n">
        <x:f>V249-U249</x:f>
        <x:v>0</x:v>
      </x:c>
      <x:c r="X249" s="58" t="n">
        <x:f>X248*(1+U249)</x:f>
        <x:v>98910.64050527473</x:v>
      </x:c>
      <x:c r="Y249" s="58" t="n">
        <x:f>MAX(Y248,X249)</x:f>
        <x:v>253595.22372854513</x:v>
      </x:c>
      <x:c r="Z249" s="59" t="n">
        <x:f>X249/Y249-1</x:f>
        <x:v>-0.6099664691983662</x:v>
      </x:c>
      <x:c r="AA249" s="58" t="n">
        <x:f>AA248*(1+V249)</x:f>
        <x:v>359850.58439135563</x:v>
      </x:c>
      <x:c r="AB249" s="58" t="n">
        <x:f>MAX(AB248,AA249)</x:f>
        <x:v>716185.961672916</x:v>
      </x:c>
      <x:c r="AC249" s="59" t="n">
        <x:f>AA249/AB249-1</x:f>
        <x:v>-0.49754588382214016</x:v>
      </x:c>
      <x:c r="AD249" s="60" t="n">
        <x:f>AA249-X249</x:f>
        <x:v>260939.9438860809</x:v>
      </x:c>
      <x:c r="AE249" s="28" t="str">
        <x:v>Baseline trade unchanged.</x:v>
      </x:c>
    </x:row>
    <x:row r="250" ht="18" customHeight="1">
      <x:c r="A250" s="23" t="n">
        <x:v>246</x:v>
      </x:c>
      <x:c r="B250" s="53" t="n">
        <x:v>44935</x:v>
      </x:c>
      <x:c r="C250" s="53" t="n">
        <x:v>44939</x:v>
      </x:c>
      <x:c r="D250" s="23" t="str">
        <x:v>TO</x:v>
      </x:c>
      <x:c r="E250" s="54" t="n">
        <x:v>11120.257</x:v>
      </x:c>
      <x:c r="F250" s="54" t="n">
        <x:v>11533.799</x:v>
      </x:c>
      <x:c r="G250" s="55" t="n">
        <x:v>0.03718</x:v>
      </x:c>
      <x:c r="H250" s="56" t="n">
        <x:f>SUM(T247:T249)</x:f>
        <x:v>-0.0115</x:v>
      </x:c>
      <x:c r="I250" s="57" t="b">
        <x:f>AND(A250&gt;3,H250&lt;='Assumptions'!$B$7)</x:f>
        <x:v>0</x:v>
      </x:c>
      <x:c r="J250" s="55" t="n">
        <x:v>0.007564532699741999</x:v>
      </x:c>
      <x:c r="K250" s="55" t="n">
        <x:v>-0.03952092337454849</x:v>
      </x:c>
      <x:c r="L250" s="55" t="n">
        <x:v>0.002568628782220861</x:v>
      </x:c>
      <x:c r="M250" s="57" t="b">
        <x:f>J250&gt;='Assumptions'!$B$8</x:f>
        <x:v>0</x:v>
      </x:c>
      <x:c r="N250" s="57" t="b">
        <x:f>AND(K250&lt;&gt;"",K250&lt;='Assumptions'!$B$9)</x:f>
        <x:v>1</x:v>
      </x:c>
      <x:c r="O250" s="57" t="b">
        <x:f>AND(P250&lt;&gt;"",ABS(L250)&lt;='Assumptions'!$B$10)</x:f>
        <x:v>1</x:v>
      </x:c>
      <x:c r="P250" s="53" t="n">
        <x:v>44936</x:v>
      </x:c>
      <x:c r="Q250" s="54" t="n">
        <x:v>11064.679</x:v>
      </x:c>
      <x:c r="R250" s="55" t="n">
        <x:v>0.04239</x:v>
      </x:c>
      <x:c r="S250" s="57" t="str">
        <x:f>IF(I250,"DAMAGE SKIP",IF(AND(M250,N250),IF(O250,"TUESDAY RE-ENTRY","GAP/MOM SKIP"),"BASELINE"))</x:f>
        <x:v>BASELINE</x:v>
      </x:c>
      <x:c r="T250" s="56" t="n">
        <x:f>IF(I250,0,IF(AND(M250,N250),IF(O250,R250,0),G250))</x:f>
        <x:v>0.03718</x:v>
      </x:c>
      <x:c r="U250" s="56" t="n">
        <x:f>G250*'Assumptions'!$B$6</x:f>
        <x:v>0.420134</x:v>
      </x:c>
      <x:c r="V250" s="56" t="n">
        <x:f>T250*'Assumptions'!$B$6</x:f>
        <x:v>0.420134</x:v>
      </x:c>
      <x:c r="W250" s="56" t="n">
        <x:f>V250-U250</x:f>
        <x:v>0</x:v>
      </x:c>
      <x:c r="X250" s="58" t="n">
        <x:f>X249*(1+U250)</x:f>
        <x:v>140466.36354331783</x:v>
      </x:c>
      <x:c r="Y250" s="58" t="n">
        <x:f>MAX(Y249,X250)</x:f>
        <x:v>253595.22372854513</x:v>
      </x:c>
      <x:c r="Z250" s="59" t="n">
        <x:f>X250/Y250-1</x:f>
        <x:v>-0.4461001217685525</x:v>
      </x:c>
      <x:c r="AA250" s="58" t="n">
        <x:f>AA249*(1+V250)</x:f>
        <x:v>511036.04981403344</x:v>
      </x:c>
      <x:c r="AB250" s="58" t="n">
        <x:f>MAX(AB249,AA250)</x:f>
        <x:v>716185.961672916</x:v>
      </x:c>
      <x:c r="AC250" s="59" t="n">
        <x:f>AA250/AB250-1</x:f>
        <x:v>-0.28644782617587117</x:v>
      </x:c>
      <x:c r="AD250" s="60" t="n">
        <x:f>AA250-X250</x:f>
        <x:v>370569.6862707156</x:v>
      </x:c>
      <x:c r="AE250" s="28" t="str">
        <x:v>Baseline trade unchanged.</x:v>
      </x:c>
    </x:row>
    <x:row r="251" ht="18" customHeight="1">
      <x:c r="A251" s="23" t="n">
        <x:v>247</x:v>
      </x:c>
      <x:c r="B251" s="53" t="n">
        <x:v>44943</x:v>
      </x:c>
      <x:c r="C251" s="53" t="n">
        <x:v>44945</x:v>
      </x:c>
      <x:c r="D251" s="23" t="str">
        <x:v>TSL1PRE</x:v>
      </x:c>
      <x:c r="E251" s="54" t="n">
        <x:v>11529.329</x:v>
      </x:c>
      <x:c r="F251" s="54" t="n">
        <x:v>11399.709</x:v>
      </x:c>
      <x:c r="G251" s="55" t="n">
        <x:v>-0.01124</x:v>
      </x:c>
      <x:c r="H251" s="56" t="n">
        <x:f>SUM(T248:T250)</x:f>
        <x:v>0.025679999999999998</x:v>
      </x:c>
      <x:c r="I251" s="57" t="b">
        <x:f>AND(A251&gt;3,H251&lt;='Assumptions'!$B$7)</x:f>
        <x:v>0</x:v>
      </x:c>
      <x:c r="J251" s="55" t="n">
        <x:v>-0.0003875566064573954</x:v>
      </x:c>
      <x:c r="K251" s="55" t="n">
        <x:v>-0.016990876715049952</x:v>
      </x:c>
      <x:c r="L251" s="55"/>
      <x:c r="M251" s="57" t="b">
        <x:f>J251&gt;='Assumptions'!$B$8</x:f>
        <x:v>0</x:v>
      </x:c>
      <x:c r="N251" s="57" t="b">
        <x:f>AND(K251&lt;&gt;"",K251&lt;='Assumptions'!$B$9)</x:f>
        <x:v>1</x:v>
      </x:c>
      <x:c r="O251" s="57" t="b">
        <x:f>AND(P251&lt;&gt;"",ABS(L251)&lt;='Assumptions'!$B$10)</x:f>
        <x:v>0</x:v>
      </x:c>
      <x:c r="P251" s="53"/>
      <x:c r="Q251" s="54"/>
      <x:c r="R251" s="55"/>
      <x:c r="S251" s="57" t="str">
        <x:f>IF(I251,"DAMAGE SKIP",IF(AND(M251,N251),IF(O251,"TUESDAY RE-ENTRY","GAP/MOM SKIP"),"BASELINE"))</x:f>
        <x:v>BASELINE</x:v>
      </x:c>
      <x:c r="T251" s="56" t="n">
        <x:f>IF(I251,0,IF(AND(M251,N251),IF(O251,R251,0),G251))</x:f>
        <x:v>-0.01124</x:v>
      </x:c>
      <x:c r="U251" s="56" t="n">
        <x:f>G251*'Assumptions'!$B$6</x:f>
        <x:v>-0.127012</x:v>
      </x:c>
      <x:c r="V251" s="56" t="n">
        <x:f>T251*'Assumptions'!$B$6</x:f>
        <x:v>-0.127012</x:v>
      </x:c>
      <x:c r="W251" s="56" t="n">
        <x:f>V251-U251</x:f>
        <x:v>0</x:v>
      </x:c>
      <x:c r="X251" s="58" t="n">
        <x:f>X250*(1+U251)</x:f>
        <x:v>122625.44977695394</x:v>
      </x:c>
      <x:c r="Y251" s="58" t="n">
        <x:f>MAX(Y250,X251)</x:f>
        <x:v>253595.22372854513</x:v>
      </x:c>
      <x:c r="Z251" s="59" t="n">
        <x:f>X251/Y251-1</x:f>
        <x:v>-0.5164520531024851</x:v>
      </x:c>
      <x:c r="AA251" s="58" t="n">
        <x:f>AA250*(1+V251)</x:f>
        <x:v>446128.3390550534</x:v>
      </x:c>
      <x:c r="AB251" s="58" t="n">
        <x:f>MAX(AB250,AA251)</x:f>
        <x:v>716185.961672916</x:v>
      </x:c>
      <x:c r="AC251" s="59" t="n">
        <x:f>AA251/AB251-1</x:f>
        <x:v>-0.3770775148776214</x:v>
      </x:c>
      <x:c r="AD251" s="60" t="n">
        <x:f>AA251-X251</x:f>
        <x:v>323502.88927809946</x:v>
      </x:c>
      <x:c r="AE251" s="28" t="str">
        <x:v>Baseline trade unchanged.</x:v>
      </x:c>
    </x:row>
    <x:row r="252" ht="18" customHeight="1">
      <x:c r="A252" s="23" t="n">
        <x:v>248</x:v>
      </x:c>
      <x:c r="B252" s="53" t="n">
        <x:v>44949</x:v>
      </x:c>
      <x:c r="C252" s="53" t="n">
        <x:v>44949</x:v>
      </x:c>
      <x:c r="D252" s="23" t="str">
        <x:v>CH</x:v>
      </x:c>
      <x:c r="E252" s="54" t="n">
        <x:v>11640.299</x:v>
      </x:c>
      <x:c r="F252" s="54" t="n">
        <x:v>11853.239</x:v>
      </x:c>
      <x:c r="G252" s="55" t="n">
        <x:v>0.01829</x:v>
      </x:c>
      <x:c r="H252" s="56" t="n">
        <x:f>SUM(T249:T251)</x:f>
        <x:v>0.014439999999999998</x:v>
      </x:c>
      <x:c r="I252" s="57" t="b">
        <x:f>AND(A252&gt;3,H252&lt;='Assumptions'!$B$7)</x:f>
        <x:v>0</x:v>
      </x:c>
      <x:c r="J252" s="55" t="n">
        <x:v>0.0033651520063469054</x:v>
      </x:c>
      <x:c r="K252" s="55" t="n">
        <x:v>0.048748744606982086</x:v>
      </x:c>
      <x:c r="L252" s="55" t="n">
        <x:v>0.016387327707101162</x:v>
      </x:c>
      <x:c r="M252" s="57" t="b">
        <x:f>J252&gt;='Assumptions'!$B$8</x:f>
        <x:v>0</x:v>
      </x:c>
      <x:c r="N252" s="57" t="b">
        <x:f>AND(K252&lt;&gt;"",K252&lt;='Assumptions'!$B$9)</x:f>
        <x:v>0</x:v>
      </x:c>
      <x:c r="O252" s="57" t="b">
        <x:f>AND(P252&lt;&gt;"",ABS(L252)&lt;='Assumptions'!$B$10)</x:f>
        <x:v>0</x:v>
      </x:c>
      <x:c r="P252" s="53" t="n">
        <x:v>44950</x:v>
      </x:c>
      <x:c r="Q252" s="54" t="n">
        <x:v>11795.549</x:v>
      </x:c>
      <x:c r="R252" s="55" t="n">
        <x:v>0.00489</x:v>
      </x:c>
      <x:c r="S252" s="57" t="str">
        <x:f>IF(I252,"DAMAGE SKIP",IF(AND(M252,N252),IF(O252,"TUESDAY RE-ENTRY","GAP/MOM SKIP"),"BASELINE"))</x:f>
        <x:v>BASELINE</x:v>
      </x:c>
      <x:c r="T252" s="56" t="n">
        <x:f>IF(I252,0,IF(AND(M252,N252),IF(O252,R252,0),G252))</x:f>
        <x:v>0.01829</x:v>
      </x:c>
      <x:c r="U252" s="56" t="n">
        <x:f>G252*'Assumptions'!$B$6</x:f>
        <x:v>0.20667700000000003</x:v>
      </x:c>
      <x:c r="V252" s="56" t="n">
        <x:f>T252*'Assumptions'!$B$6</x:f>
        <x:v>0.20667700000000003</x:v>
      </x:c>
      <x:c r="W252" s="56" t="n">
        <x:f>V252-U252</x:f>
        <x:v>0</x:v>
      </x:c>
      <x:c r="X252" s="58" t="n">
        <x:f>X251*(1+U252)</x:f>
        <x:v>147969.30986050545</x:v>
      </x:c>
      <x:c r="Y252" s="58" t="n">
        <x:f>MAX(Y251,X252)</x:f>
        <x:v>253595.22372854513</x:v>
      </x:c>
      <x:c r="Z252" s="59" t="n">
        <x:f>X252/Y252-1</x:f>
        <x:v>-0.4165138140815474</x:v>
      </x:c>
      <x:c r="AA252" s="58" t="n">
        <x:f>AA251*(1+V252)</x:f>
        <x:v>538332.8057859347</x:v>
      </x:c>
      <x:c r="AB252" s="58" t="n">
        <x:f>MAX(AB251,AA252)</x:f>
        <x:v>716185.961672916</x:v>
      </x:c>
      <x:c r="AC252" s="59" t="n">
        <x:f>AA252/AB252-1</x:f>
        <x:v>-0.24833376441998356</x:v>
      </x:c>
      <x:c r="AD252" s="60" t="n">
        <x:f>AA252-X252</x:f>
        <x:v>390363.4959254292</x:v>
      </x:c>
      <x:c r="AE252" s="28" t="str">
        <x:v>Baseline trade unchanged.</x:v>
      </x:c>
    </x:row>
    <x:row r="253" ht="18" customHeight="1">
      <x:c r="A253" s="23" t="n">
        <x:v>249</x:v>
      </x:c>
      <x:c r="B253" s="53" t="n">
        <x:v>44956</x:v>
      </x:c>
      <x:c r="C253" s="53" t="n">
        <x:v>44959</x:v>
      </x:c>
      <x:c r="D253" s="23" t="str">
        <x:v>CH</x:v>
      </x:c>
      <x:c r="E253" s="54" t="n">
        <x:v>12025.599</x:v>
      </x:c>
      <x:c r="F253" s="54" t="n">
        <x:v>12794.329</x:v>
      </x:c>
      <x:c r="G253" s="55" t="n">
        <x:v>0.06392</x:v>
      </x:c>
      <x:c r="H253" s="56" t="n">
        <x:f>SUM(T250:T252)</x:f>
        <x:v>0.04423</x:v>
      </x:c>
      <x:c r="I253" s="57" t="b">
        <x:f>AND(A253&gt;3,H253&lt;='Assumptions'!$B$7)</x:f>
        <x:v>0</x:v>
      </x:c>
      <x:c r="J253" s="55" t="n">
        <x:v>-0.012004877864827401</x:v>
      </x:c>
      <x:c r="K253" s="55" t="n">
        <x:v>0.13902207046019766</x:v>
      </x:c>
      <x:c r="L253" s="55" t="n">
        <x:v>-0.02008165444359644</x:v>
      </x:c>
      <x:c r="M253" s="57" t="b">
        <x:f>J253&gt;='Assumptions'!$B$8</x:f>
        <x:v>0</x:v>
      </x:c>
      <x:c r="N253" s="57" t="b">
        <x:f>AND(K253&lt;&gt;"",K253&lt;='Assumptions'!$B$9)</x:f>
        <x:v>0</x:v>
      </x:c>
      <x:c r="O253" s="57" t="b">
        <x:f>AND(P253&lt;&gt;"",ABS(L253)&lt;='Assumptions'!$B$10)</x:f>
        <x:v>0</x:v>
      </x:c>
      <x:c r="P253" s="53" t="n">
        <x:v>44957</x:v>
      </x:c>
      <x:c r="Q253" s="54" t="n">
        <x:v>11919.119</x:v>
      </x:c>
      <x:c r="R253" s="55" t="n">
        <x:v>0.07342</x:v>
      </x:c>
      <x:c r="S253" s="57" t="str">
        <x:f>IF(I253,"DAMAGE SKIP",IF(AND(M253,N253),IF(O253,"TUESDAY RE-ENTRY","GAP/MOM SKIP"),"BASELINE"))</x:f>
        <x:v>BASELINE</x:v>
      </x:c>
      <x:c r="T253" s="56" t="n">
        <x:f>IF(I253,0,IF(AND(M253,N253),IF(O253,R253,0),G253))</x:f>
        <x:v>0.06392</x:v>
      </x:c>
      <x:c r="U253" s="56" t="n">
        <x:f>G253*'Assumptions'!$B$6</x:f>
        <x:v>0.722296</x:v>
      </x:c>
      <x:c r="V253" s="56" t="n">
        <x:f>T253*'Assumptions'!$B$6</x:f>
        <x:v>0.722296</x:v>
      </x:c>
      <x:c r="W253" s="56" t="n">
        <x:f>V253-U253</x:f>
        <x:v>0</x:v>
      </x:c>
      <x:c r="X253" s="58" t="n">
        <x:f>X252*(1+U253)</x:f>
        <x:v>254846.9504955091</x:v>
      </x:c>
      <x:c r="Y253" s="58" t="n">
        <x:f>MAX(Y252,X253)</x:f>
        <x:v>254846.9504955091</x:v>
      </x:c>
      <x:c r="Z253" s="59" t="n">
        <x:f>X253/Y253-1</x:f>
        <x:v>0</x:v>
      </x:c>
      <x:c r="AA253" s="58" t="n">
        <x:f>AA252*(1+V253)</x:f>
        <x:v>927168.4380738921</x:v>
      </x:c>
      <x:c r="AB253" s="58" t="n">
        <x:f>MAX(AB252,AA253)</x:f>
        <x:v>927168.4380738921</x:v>
      </x:c>
      <x:c r="AC253" s="59" t="n">
        <x:f>AA253/AB253-1</x:f>
        <x:v>0</x:v>
      </x:c>
      <x:c r="AD253" s="60" t="n">
        <x:f>AA253-X253</x:f>
        <x:v>672321.4875783831</x:v>
      </x:c>
      <x:c r="AE253" s="28" t="str">
        <x:v>Baseline trade unchanged.</x:v>
      </x:c>
    </x:row>
    <x:row r="254" ht="18" customHeight="1">
      <x:c r="A254" s="23" t="n">
        <x:v>250</x:v>
      </x:c>
      <x:c r="B254" s="53" t="n">
        <x:v>44963</x:v>
      </x:c>
      <x:c r="C254" s="53" t="n">
        <x:v>44964</x:v>
      </x:c>
      <x:c r="D254" s="23" t="str">
        <x:v>CH</x:v>
      </x:c>
      <x:c r="E254" s="54" t="n">
        <x:v>12457.689</x:v>
      </x:c>
      <x:c r="F254" s="54" t="n">
        <x:v>12710.599</x:v>
      </x:c>
      <x:c r="G254" s="55" t="n">
        <x:v>0.0203</x:v>
      </x:c>
      <x:c r="H254" s="56" t="n">
        <x:f>SUM(T251:T253)</x:f>
        <x:v>0.07097</x:v>
      </x:c>
      <x:c r="I254" s="57" t="b">
        <x:f>AND(A254&gt;3,H254&lt;='Assumptions'!$B$7)</x:f>
        <x:v>0</x:v>
      </x:c>
      <x:c r="J254" s="55" t="n">
        <x:v>-0.009268950590170855</x:v>
      </x:c>
      <x:c r="K254" s="55" t="n">
        <x:v>0.17051162790697671</x:v>
      </x:c>
      <x:c r="L254" s="55" t="n">
        <x:v>-0.008881029961058662</x:v>
      </x:c>
      <x:c r="M254" s="57" t="b">
        <x:f>J254&gt;='Assumptions'!$B$8</x:f>
        <x:v>0</x:v>
      </x:c>
      <x:c r="N254" s="57" t="b">
        <x:f>AND(K254&lt;&gt;"",K254&lt;='Assumptions'!$B$9)</x:f>
        <x:v>0</x:v>
      </x:c>
      <x:c r="O254" s="57" t="b">
        <x:f>AND(P254&lt;&gt;"",ABS(L254)&lt;='Assumptions'!$B$10)</x:f>
        <x:v>0</x:v>
      </x:c>
      <x:c r="P254" s="53" t="n">
        <x:v>44964</x:v>
      </x:c>
      <x:c r="Q254" s="54" t="n">
        <x:v>12455.749</x:v>
      </x:c>
      <x:c r="R254" s="55" t="n">
        <x:v>0.02046</x:v>
      </x:c>
      <x:c r="S254" s="57" t="str">
        <x:f>IF(I254,"DAMAGE SKIP",IF(AND(M254,N254),IF(O254,"TUESDAY RE-ENTRY","GAP/MOM SKIP"),"BASELINE"))</x:f>
        <x:v>BASELINE</x:v>
      </x:c>
      <x:c r="T254" s="56" t="n">
        <x:f>IF(I254,0,IF(AND(M254,N254),IF(O254,R254,0),G254))</x:f>
        <x:v>0.0203</x:v>
      </x:c>
      <x:c r="U254" s="56" t="n">
        <x:f>G254*'Assumptions'!$B$6</x:f>
        <x:v>0.22939</x:v>
      </x:c>
      <x:c r="V254" s="56" t="n">
        <x:f>T254*'Assumptions'!$B$6</x:f>
        <x:v>0.22939</x:v>
      </x:c>
      <x:c r="W254" s="56" t="n">
        <x:f>V254-U254</x:f>
        <x:v>0</x:v>
      </x:c>
      <x:c r="X254" s="58" t="n">
        <x:f>X253*(1+U254)</x:f>
        <x:v>313306.29246967396</x:v>
      </x:c>
      <x:c r="Y254" s="58" t="n">
        <x:f>MAX(Y253,X254)</x:f>
        <x:v>313306.29246967396</x:v>
      </x:c>
      <x:c r="Z254" s="59" t="n">
        <x:f>X254/Y254-1</x:f>
        <x:v>0</x:v>
      </x:c>
      <x:c r="AA254" s="58" t="n">
        <x:f>AA253*(1+V254)</x:f>
        <x:v>1139851.6060836622</x:v>
      </x:c>
      <x:c r="AB254" s="58" t="n">
        <x:f>MAX(AB253,AA254)</x:f>
        <x:v>1139851.6060836622</x:v>
      </x:c>
      <x:c r="AC254" s="59" t="n">
        <x:f>AA254/AB254-1</x:f>
        <x:v>0</x:v>
      </x:c>
      <x:c r="AD254" s="60" t="n">
        <x:f>AA254-X254</x:f>
        <x:v>826545.3136139882</x:v>
      </x:c>
      <x:c r="AE254" s="28" t="str">
        <x:v>Baseline trade unchanged.</x:v>
      </x:c>
    </x:row>
    <x:row r="255" ht="18" customHeight="1">
      <x:c r="A255" s="23" t="n">
        <x:v>251</x:v>
      </x:c>
      <x:c r="B255" s="53" t="n">
        <x:v>44970</x:v>
      </x:c>
      <x:c r="C255" s="53" t="n">
        <x:v>44970</x:v>
      </x:c>
      <x:c r="D255" s="23" t="str">
        <x:v>CH</x:v>
      </x:c>
      <x:c r="E255" s="54" t="n">
        <x:v>12359.459</x:v>
      </x:c>
      <x:c r="F255" s="54" t="n">
        <x:v>12503.769</x:v>
      </x:c>
      <x:c r="G255" s="55" t="n">
        <x:v>0.01167</x:v>
      </x:c>
      <x:c r="H255" s="56" t="n">
        <x:f>SUM(T252:T254)</x:f>
        <x:v>0.10251</x:v>
      </x:c>
      <x:c r="I255" s="57" t="b">
        <x:f>AND(A255&gt;3,H255&lt;='Assumptions'!$B$7)</x:f>
        <x:v>0</x:v>
      </x:c>
      <x:c r="J255" s="55" t="n">
        <x:v>0.00489705492921555</x:v>
      </x:c>
      <x:c r="K255" s="55" t="n">
        <x:v>0.07399548745971596</x:v>
      </x:c>
      <x:c r="L255" s="55" t="n">
        <x:v>0.010652945375322576</x:v>
      </x:c>
      <x:c r="M255" s="57" t="b">
        <x:f>J255&gt;='Assumptions'!$B$8</x:f>
        <x:v>0</x:v>
      </x:c>
      <x:c r="N255" s="57" t="b">
        <x:f>AND(K255&lt;&gt;"",K255&lt;='Assumptions'!$B$9)</x:f>
        <x:v>0</x:v>
      </x:c>
      <x:c r="O255" s="57" t="b">
        <x:f>AND(P255&lt;&gt;"",ABS(L255)&lt;='Assumptions'!$B$10)</x:f>
        <x:v>0</x:v>
      </x:c>
      <x:c r="P255" s="53" t="n">
        <x:v>44971</x:v>
      </x:c>
      <x:c r="Q255" s="54" t="n">
        <x:v>12429.879</x:v>
      </x:c>
      <x:c r="R255" s="55" t="n">
        <x:v>0.00594</x:v>
      </x:c>
      <x:c r="S255" s="57" t="str">
        <x:f>IF(I255,"DAMAGE SKIP",IF(AND(M255,N255),IF(O255,"TUESDAY RE-ENTRY","GAP/MOM SKIP"),"BASELINE"))</x:f>
        <x:v>BASELINE</x:v>
      </x:c>
      <x:c r="T255" s="56" t="n">
        <x:f>IF(I255,0,IF(AND(M255,N255),IF(O255,R255,0),G255))</x:f>
        <x:v>0.01167</x:v>
      </x:c>
      <x:c r="U255" s="56" t="n">
        <x:f>G255*'Assumptions'!$B$6</x:f>
        <x:v>0.13187100000000002</x:v>
      </x:c>
      <x:c r="V255" s="56" t="n">
        <x:f>T255*'Assumptions'!$B$6</x:f>
        <x:v>0.13187100000000002</x:v>
      </x:c>
      <x:c r="W255" s="56" t="n">
        <x:f>V255-U255</x:f>
        <x:v>0</x:v>
      </x:c>
      <x:c r="X255" s="58" t="n">
        <x:f>X254*(1+U255)</x:f>
        <x:v>354622.30656394234</x:v>
      </x:c>
      <x:c r="Y255" s="58" t="n">
        <x:f>MAX(Y254,X255)</x:f>
        <x:v>354622.30656394234</x:v>
      </x:c>
      <x:c r="Z255" s="59" t="n">
        <x:f>X255/Y255-1</x:f>
        <x:v>0</x:v>
      </x:c>
      <x:c r="AA255" s="58" t="n">
        <x:f>AA254*(1+V255)</x:f>
        <x:v>1290164.977229521</x:v>
      </x:c>
      <x:c r="AB255" s="58" t="n">
        <x:f>MAX(AB254,AA255)</x:f>
        <x:v>1290164.977229521</x:v>
      </x:c>
      <x:c r="AC255" s="59" t="n">
        <x:f>AA255/AB255-1</x:f>
        <x:v>0</x:v>
      </x:c>
      <x:c r="AD255" s="60" t="n">
        <x:f>AA255-X255</x:f>
        <x:v>935542.6706655786</x:v>
      </x:c>
      <x:c r="AE255" s="28" t="str">
        <x:v>Baseline trade unchanged.</x:v>
      </x:c>
    </x:row>
    <x:row r="256" ht="18" customHeight="1">
      <x:c r="A256" s="23" t="n">
        <x:v>252</x:v>
      </x:c>
      <x:c r="B256" s="53" t="n">
        <x:v>44978</x:v>
      </x:c>
      <x:c r="C256" s="53" t="n">
        <x:v>44980</x:v>
      </x:c>
      <x:c r="D256" s="23" t="str">
        <x:v>TSL1PRE</x:v>
      </x:c>
      <x:c r="E256" s="54" t="n">
        <x:v>12193.247</x:v>
      </x:c>
      <x:c r="F256" s="54" t="n">
        <x:v>12143.439</x:v>
      </x:c>
      <x:c r="G256" s="55" t="n">
        <x:v>-0.00408</x:v>
      </x:c>
      <x:c r="H256" s="56" t="n">
        <x:f>SUM(T253:T255)</x:f>
        <x:v>0.09589</x:v>
      </x:c>
      <x:c r="I256" s="57" t="b">
        <x:f>AND(A256&gt;3,H256&lt;='Assumptions'!$B$7)</x:f>
        <x:v>0</x:v>
      </x:c>
      <x:c r="J256" s="55" t="n">
        <x:v>-0.012797186112014525</x:v>
      </x:c>
      <x:c r="K256" s="55" t="n">
        <x:v>0.06537356579499543</x:v>
      </x:c>
      <x:c r="L256" s="55"/>
      <x:c r="M256" s="57" t="b">
        <x:f>J256&gt;='Assumptions'!$B$8</x:f>
        <x:v>0</x:v>
      </x:c>
      <x:c r="N256" s="57" t="b">
        <x:f>AND(K256&lt;&gt;"",K256&lt;='Assumptions'!$B$9)</x:f>
        <x:v>0</x:v>
      </x:c>
      <x:c r="O256" s="57" t="b">
        <x:f>AND(P256&lt;&gt;"",ABS(L256)&lt;='Assumptions'!$B$10)</x:f>
        <x:v>0</x:v>
      </x:c>
      <x:c r="P256" s="53"/>
      <x:c r="Q256" s="54"/>
      <x:c r="R256" s="55"/>
      <x:c r="S256" s="57" t="str">
        <x:f>IF(I256,"DAMAGE SKIP",IF(AND(M256,N256),IF(O256,"TUESDAY RE-ENTRY","GAP/MOM SKIP"),"BASELINE"))</x:f>
        <x:v>BASELINE</x:v>
      </x:c>
      <x:c r="T256" s="56" t="n">
        <x:f>IF(I256,0,IF(AND(M256,N256),IF(O256,R256,0),G256))</x:f>
        <x:v>-0.00408</x:v>
      </x:c>
      <x:c r="U256" s="56" t="n">
        <x:f>G256*'Assumptions'!$B$6</x:f>
        <x:v>-0.046104000000000006</x:v>
      </x:c>
      <x:c r="V256" s="56" t="n">
        <x:f>T256*'Assumptions'!$B$6</x:f>
        <x:v>-0.046104000000000006</x:v>
      </x:c>
      <x:c r="W256" s="56" t="n">
        <x:f>V256-U256</x:f>
        <x:v>0</x:v>
      </x:c>
      <x:c r="X256" s="58" t="n">
        <x:f>X255*(1+U256)</x:f>
        <x:v>338272.79974211834</x:v>
      </x:c>
      <x:c r="Y256" s="58" t="n">
        <x:f>MAX(Y255,X256)</x:f>
        <x:v>354622.30656394234</x:v>
      </x:c>
      <x:c r="Z256" s="59" t="n">
        <x:f>X256/Y256-1</x:f>
        <x:v>-0.046104000000000034</x:v>
      </x:c>
      <x:c r="AA256" s="58" t="n">
        <x:f>AA255*(1+V256)</x:f>
        <x:v>1230683.211119331</x:v>
      </x:c>
      <x:c r="AB256" s="58" t="n">
        <x:f>MAX(AB255,AA256)</x:f>
        <x:v>1290164.977229521</x:v>
      </x:c>
      <x:c r="AC256" s="59" t="n">
        <x:f>AA256/AB256-1</x:f>
        <x:v>-0.046104000000000145</x:v>
      </x:c>
      <x:c r="AD256" s="60" t="n">
        <x:f>AA256-X256</x:f>
        <x:v>892410.4113772126</x:v>
      </x:c>
      <x:c r="AE256" s="28" t="str">
        <x:v>Baseline trade unchanged.</x:v>
      </x:c>
    </x:row>
    <x:row r="257" ht="18" customHeight="1">
      <x:c r="A257" s="23" t="n">
        <x:v>253</x:v>
      </x:c>
      <x:c r="B257" s="53" t="n">
        <x:v>44984</x:v>
      </x:c>
      <x:c r="C257" s="53" t="n">
        <x:v>44986</x:v>
      </x:c>
      <x:c r="D257" s="23" t="str">
        <x:v>BEPRE</x:v>
      </x:c>
      <x:c r="E257" s="54" t="n">
        <x:v>12105.699</x:v>
      </x:c>
      <x:c r="F257" s="54" t="n">
        <x:v>12058.119</x:v>
      </x:c>
      <x:c r="G257" s="55" t="n">
        <x:v>-0.00393</x:v>
      </x:c>
      <x:c r="H257" s="56" t="n">
        <x:f>SUM(T254:T256)</x:f>
        <x:v>0.027889999999999998</x:v>
      </x:c>
      <x:c r="I257" s="57" t="b">
        <x:f>AND(A257&gt;3,H257&lt;='Assumptions'!$B$7)</x:f>
        <x:v>0</x:v>
      </x:c>
      <x:c r="J257" s="55" t="n">
        <x:v>0.011334141295731293</x:v>
      </x:c>
      <x:c r="K257" s="55" t="n">
        <x:v>-0.005077282530553506</x:v>
      </x:c>
      <x:c r="L257" s="55" t="n">
        <x:v>0.0049642359627457555</x:v>
      </x:c>
      <x:c r="M257" s="57" t="b">
        <x:f>J257&gt;='Assumptions'!$B$8</x:f>
        <x:v>1</x:v>
      </x:c>
      <x:c r="N257" s="57" t="b">
        <x:f>AND(K257&lt;&gt;"",K257&lt;='Assumptions'!$B$9)</x:f>
        <x:v>1</x:v>
      </x:c>
      <x:c r="O257" s="57" t="b">
        <x:f>AND(P257&lt;&gt;"",ABS(L257)&lt;='Assumptions'!$B$10)</x:f>
        <x:v>1</x:v>
      </x:c>
      <x:c r="P257" s="53" t="n">
        <x:v>44985</x:v>
      </x:c>
      <x:c r="Q257" s="54" t="n">
        <x:v>12028.919</x:v>
      </x:c>
      <x:c r="R257" s="55" t="n">
        <x:v>0.00242</x:v>
      </x:c>
      <x:c r="S257" s="57" t="str">
        <x:f>IF(I257,"DAMAGE SKIP",IF(AND(M257,N257),IF(O257,"TUESDAY RE-ENTRY","GAP/MOM SKIP"),"BASELINE"))</x:f>
        <x:v>TUESDAY RE-ENTRY</x:v>
      </x:c>
      <x:c r="T257" s="56" t="n">
        <x:f>IF(I257,0,IF(AND(M257,N257),IF(O257,R257,0),G257))</x:f>
        <x:v>0.00242</x:v>
      </x:c>
      <x:c r="U257" s="56" t="n">
        <x:f>G257*'Assumptions'!$B$6</x:f>
        <x:v>-0.044409000000000004</x:v>
      </x:c>
      <x:c r="V257" s="56" t="n">
        <x:f>T257*'Assumptions'!$B$6</x:f>
        <x:v>0.027346</x:v>
      </x:c>
      <x:c r="W257" s="56" t="n">
        <x:f>V257-U257</x:f>
        <x:v>0.071755</x:v>
      </x:c>
      <x:c r="X257" s="58" t="n">
        <x:f>X256*(1+U257)</x:f>
        <x:v>323250.4429783706</x:v>
      </x:c>
      <x:c r="Y257" s="58" t="n">
        <x:f>MAX(Y256,X257)</x:f>
        <x:v>354622.30656394234</x:v>
      </x:c>
      <x:c r="Z257" s="59" t="n">
        <x:f>X257/Y257-1</x:f>
        <x:v>-0.08846556746400003</x:v>
      </x:c>
      <x:c r="AA257" s="58" t="n">
        <x:f>AA256*(1+V257)</x:f>
        <x:v>1264337.4742106004</x:v>
      </x:c>
      <x:c r="AB257" s="58" t="n">
        <x:f>MAX(AB256,AA257)</x:f>
        <x:v>1290164.977229521</x:v>
      </x:c>
      <x:c r="AC257" s="59" t="n">
        <x:f>AA257/AB257-1</x:f>
        <x:v>-0.020018759983999934</x:v>
      </x:c>
      <x:c r="AD257" s="60" t="n">
        <x:f>AA257-X257</x:f>
        <x:v>941087.0312322298</x:v>
      </x:c>
      <x:c r="AE257" s="28" t="str">
        <x:v>Monday entry delayed; Tuesday opened within the Friday-normalization tolerance. Original exit price reused.</x:v>
      </x:c>
    </x:row>
    <x:row r="258" ht="18" customHeight="1">
      <x:c r="A258" s="23" t="n">
        <x:v>254</x:v>
      </x:c>
      <x:c r="B258" s="53" t="n">
        <x:v>44991</x:v>
      </x:c>
      <x:c r="C258" s="53" t="n">
        <x:v>44994</x:v>
      </x:c>
      <x:c r="D258" s="23" t="str">
        <x:v>TSL1PRE</x:v>
      </x:c>
      <x:c r="E258" s="54" t="n">
        <x:v>12340.329</x:v>
      </x:c>
      <x:c r="F258" s="54" t="n">
        <x:v>12219.009</x:v>
      </x:c>
      <x:c r="G258" s="55" t="n">
        <x:v>-0.00983</x:v>
      </x:c>
      <x:c r="H258" s="56" t="n">
        <x:f>SUM(T255:T257)</x:f>
        <x:v>0.01001</x:v>
      </x:c>
      <x:c r="I258" s="57" t="b">
        <x:f>AND(A258&gt;3,H258&lt;='Assumptions'!$B$7)</x:f>
        <x:v>0</x:v>
      </x:c>
      <x:c r="J258" s="55" t="n">
        <x:v>0.0041638325291422085</x:v>
      </x:c>
      <x:c r="K258" s="55" t="n">
        <x:v>-0.0386330446208738</x:v>
      </x:c>
      <x:c r="L258" s="55" t="n">
        <x:v>0.0013092946386583648</x:v>
      </x:c>
      <x:c r="M258" s="57" t="b">
        <x:f>J258&gt;='Assumptions'!$B$8</x:f>
        <x:v>0</x:v>
      </x:c>
      <x:c r="N258" s="57" t="b">
        <x:f>AND(K258&lt;&gt;"",K258&lt;='Assumptions'!$B$9)</x:f>
        <x:v>1</x:v>
      </x:c>
      <x:c r="O258" s="57" t="b">
        <x:f>AND(P258&lt;&gt;"",ABS(L258)&lt;='Assumptions'!$B$10)</x:f>
        <x:v>1</x:v>
      </x:c>
      <x:c r="P258" s="53" t="n">
        <x:v>44992</x:v>
      </x:c>
      <x:c r="Q258" s="54" t="n">
        <x:v>12303.649</x:v>
      </x:c>
      <x:c r="R258" s="55" t="n">
        <x:v>-0.00687</x:v>
      </x:c>
      <x:c r="S258" s="57" t="str">
        <x:f>IF(I258,"DAMAGE SKIP",IF(AND(M258,N258),IF(O258,"TUESDAY RE-ENTRY","GAP/MOM SKIP"),"BASELINE"))</x:f>
        <x:v>BASELINE</x:v>
      </x:c>
      <x:c r="T258" s="56" t="n">
        <x:f>IF(I258,0,IF(AND(M258,N258),IF(O258,R258,0),G258))</x:f>
        <x:v>-0.00983</x:v>
      </x:c>
      <x:c r="U258" s="56" t="n">
        <x:f>G258*'Assumptions'!$B$6</x:f>
        <x:v>-0.11107900000000001</x:v>
      </x:c>
      <x:c r="V258" s="56" t="n">
        <x:f>T258*'Assumptions'!$B$6</x:f>
        <x:v>-0.11107900000000001</x:v>
      </x:c>
      <x:c r="W258" s="56" t="n">
        <x:f>V258-U258</x:f>
        <x:v>0</x:v>
      </x:c>
      <x:c r="X258" s="58" t="n">
        <x:f>X257*(1+U258)</x:f>
        <x:v>287344.10702277615</x:v>
      </x:c>
      <x:c r="Y258" s="58" t="n">
        <x:f>MAX(Y257,X258)</x:f>
        <x:v>354622.30656394234</x:v>
      </x:c>
      <x:c r="Z258" s="59" t="n">
        <x:f>X258/Y258-1</x:f>
        <x:v>-0.1897179006956664</x:v>
      </x:c>
      <x:c r="AA258" s="58" t="n">
        <x:f>AA257*(1+V258)</x:f>
        <x:v>1123896.1319127611</x:v>
      </x:c>
      <x:c r="AB258" s="58" t="n">
        <x:f>MAX(AB257,AA258)</x:f>
        <x:v>1290164.977229521</x:v>
      </x:c>
      <x:c r="AC258" s="59" t="n">
        <x:f>AA258/AB258-1</x:f>
        <x:v>-0.12887409614373724</x:v>
      </x:c>
      <x:c r="AD258" s="60" t="n">
        <x:f>AA258-X258</x:f>
        <x:v>836552.024889985</x:v>
      </x:c>
      <x:c r="AE258" s="28" t="str">
        <x:v>Baseline trade unchanged.</x:v>
      </x:c>
    </x:row>
    <x:row r="259" ht="18" customHeight="1">
      <x:c r="A259" s="23" t="n">
        <x:v>255</x:v>
      </x:c>
      <x:c r="B259" s="53" t="n">
        <x:v>44998</x:v>
      </x:c>
      <x:c r="C259" s="53" t="n">
        <x:v>44998</x:v>
      </x:c>
      <x:c r="D259" s="23" t="str">
        <x:v>CH</x:v>
      </x:c>
      <x:c r="E259" s="54" t="n">
        <x:v>11758.559</x:v>
      </x:c>
      <x:c r="F259" s="54" t="n">
        <x:v>11916.699</x:v>
      </x:c>
      <x:c r="G259" s="55" t="n">
        <x:v>0.01344</x:v>
      </x:c>
      <x:c r="H259" s="56" t="n">
        <x:f>SUM(T256:T258)</x:f>
        <x:v>-0.01149</x:v>
      </x:c>
      <x:c r="I259" s="57" t="b">
        <x:f>AND(A259&gt;3,H259&lt;='Assumptions'!$B$7)</x:f>
        <x:v>0</x:v>
      </x:c>
      <x:c r="J259" s="55" t="n">
        <x:v>-0.0065704493344178605</x:v>
      </x:c>
      <x:c r="K259" s="55" t="n">
        <x:v>-0.043521658326415746</x:v>
      </x:c>
      <x:c r="L259" s="55" t="n">
        <x:v>0.019964652515960912</x:v>
      </x:c>
      <x:c r="M259" s="57" t="b">
        <x:f>J259&gt;='Assumptions'!$B$8</x:f>
        <x:v>0</x:v>
      </x:c>
      <x:c r="N259" s="57" t="b">
        <x:f>AND(K259&lt;&gt;"",K259&lt;='Assumptions'!$B$9)</x:f>
        <x:v>1</x:v>
      </x:c>
      <x:c r="O259" s="57" t="b">
        <x:f>AND(P259&lt;&gt;"",ABS(L259)&lt;='Assumptions'!$B$10)</x:f>
        <x:v>0</x:v>
      </x:c>
      <x:c r="P259" s="53" t="n">
        <x:v>44999</x:v>
      </x:c>
      <x:c r="Q259" s="54" t="n">
        <x:v>12068.569</x:v>
      </x:c>
      <x:c r="R259" s="55" t="n">
        <x:v>-0.01258</x:v>
      </x:c>
      <x:c r="S259" s="57" t="str">
        <x:f>IF(I259,"DAMAGE SKIP",IF(AND(M259,N259),IF(O259,"TUESDAY RE-ENTRY","GAP/MOM SKIP"),"BASELINE"))</x:f>
        <x:v>BASELINE</x:v>
      </x:c>
      <x:c r="T259" s="56" t="n">
        <x:f>IF(I259,0,IF(AND(M259,N259),IF(O259,R259,0),G259))</x:f>
        <x:v>0.01344</x:v>
      </x:c>
      <x:c r="U259" s="56" t="n">
        <x:f>G259*'Assumptions'!$B$6</x:f>
        <x:v>0.151872</x:v>
      </x:c>
      <x:c r="V259" s="56" t="n">
        <x:f>T259*'Assumptions'!$B$6</x:f>
        <x:v>0.151872</x:v>
      </x:c>
      <x:c r="W259" s="56" t="n">
        <x:f>V259-U259</x:f>
        <x:v>0</x:v>
      </x:c>
      <x:c r="X259" s="58" t="n">
        <x:f>X258*(1+U259)</x:f>
        <x:v>330983.6312445392</x:v>
      </x:c>
      <x:c r="Y259" s="58" t="n">
        <x:f>MAX(Y258,X259)</x:f>
        <x:v>354622.30656394234</x:v>
      </x:c>
      <x:c r="Z259" s="59" t="n">
        <x:f>X259/Y259-1</x:f>
        <x:v>-0.06665873771011865</x:v>
      </x:c>
      <x:c r="AA259" s="58" t="n">
        <x:f>AA258*(1+V259)</x:f>
        <x:v>1294584.485258616</x:v>
      </x:c>
      <x:c r="AB259" s="58" t="n">
        <x:f>MAX(AB258,AA259)</x:f>
        <x:v>1294584.485258616</x:v>
      </x:c>
      <x:c r="AC259" s="59" t="n">
        <x:f>AA259/AB259-1</x:f>
        <x:v>0</x:v>
      </x:c>
      <x:c r="AD259" s="60" t="n">
        <x:f>AA259-X259</x:f>
        <x:v>963600.8540140768</x:v>
      </x:c>
      <x:c r="AE259" s="28" t="str">
        <x:v>Baseline trade unchanged.</x:v>
      </x:c>
    </x:row>
    <x:row r="260" ht="18" customHeight="1">
      <x:c r="A260" s="23" t="n">
        <x:v>256</x:v>
      </x:c>
      <x:c r="B260" s="53" t="n">
        <x:v>45005</x:v>
      </x:c>
      <x:c r="C260" s="53" t="n">
        <x:v>45006</x:v>
      </x:c>
      <x:c r="D260" s="23" t="str">
        <x:v>CH</x:v>
      </x:c>
      <x:c r="E260" s="54" t="n">
        <x:v>12493.147</x:v>
      </x:c>
      <x:c r="F260" s="54" t="n">
        <x:v>12746.599</x:v>
      </x:c>
      <x:c r="G260" s="55" t="n">
        <x:v>0.02028</x:v>
      </x:c>
      <x:c r="H260" s="56" t="n">
        <x:f>SUM(T257:T259)</x:f>
        <x:v>0.006030000000000001</x:v>
      </x:c>
      <x:c r="I260" s="57" t="b">
        <x:f>AND(A260&gt;3,H260&lt;='Assumptions'!$B$7)</x:f>
        <x:v>0</x:v>
      </x:c>
      <x:c r="J260" s="55" t="n">
        <x:v>-0.0029060879157836172</x:v>
      </x:c>
      <x:c r="K260" s="55" t="n">
        <x:v>0.006792556267570582</x:v>
      </x:c>
      <x:c r="L260" s="55" t="n">
        <x:v>0.010013845402961019</x:v>
      </x:c>
      <x:c r="M260" s="57" t="b">
        <x:f>J260&gt;='Assumptions'!$B$8</x:f>
        <x:v>0</x:v>
      </x:c>
      <x:c r="N260" s="57" t="b">
        <x:f>AND(K260&lt;&gt;"",K260&lt;='Assumptions'!$B$9)</x:f>
        <x:v>0</x:v>
      </x:c>
      <x:c r="O260" s="57" t="b">
        <x:f>AND(P260&lt;&gt;"",ABS(L260)&lt;='Assumptions'!$B$10)</x:f>
        <x:v>0</x:v>
      </x:c>
      <x:c r="P260" s="53" t="n">
        <x:v>45006</x:v>
      </x:c>
      <x:c r="Q260" s="54" t="n">
        <x:v>12645.639</x:v>
      </x:c>
      <x:c r="R260" s="55" t="n">
        <x:v>0.00798</x:v>
      </x:c>
      <x:c r="S260" s="57" t="str">
        <x:f>IF(I260,"DAMAGE SKIP",IF(AND(M260,N260),IF(O260,"TUESDAY RE-ENTRY","GAP/MOM SKIP"),"BASELINE"))</x:f>
        <x:v>BASELINE</x:v>
      </x:c>
      <x:c r="T260" s="56" t="n">
        <x:f>IF(I260,0,IF(AND(M260,N260),IF(O260,R260,0),G260))</x:f>
        <x:v>0.02028</x:v>
      </x:c>
      <x:c r="U260" s="56" t="n">
        <x:f>G260*'Assumptions'!$B$6</x:f>
        <x:v>0.229164</x:v>
      </x:c>
      <x:c r="V260" s="56" t="n">
        <x:f>T260*'Assumptions'!$B$6</x:f>
        <x:v>0.229164</x:v>
      </x:c>
      <x:c r="W260" s="56" t="n">
        <x:f>V260-U260</x:f>
        <x:v>0</x:v>
      </x:c>
      <x:c r="X260" s="58" t="n">
        <x:f>X259*(1+U260)</x:f>
        <x:v>406833.1641150628</x:v>
      </x:c>
      <x:c r="Y260" s="58" t="n">
        <x:f>MAX(Y259,X260)</x:f>
        <x:v>406833.1641150628</x:v>
      </x:c>
      <x:c r="Z260" s="59" t="n">
        <x:f>X260/Y260-1</x:f>
        <x:v>0</x:v>
      </x:c>
      <x:c r="AA260" s="58" t="n">
        <x:f>AA259*(1+V260)</x:f>
        <x:v>1591256.6442384215</x:v>
      </x:c>
      <x:c r="AB260" s="58" t="n">
        <x:f>MAX(AB259,AA260)</x:f>
        <x:v>1591256.6442384215</x:v>
      </x:c>
      <x:c r="AC260" s="59" t="n">
        <x:f>AA260/AB260-1</x:f>
        <x:v>0</x:v>
      </x:c>
      <x:c r="AD260" s="60" t="n">
        <x:f>AA260-X260</x:f>
        <x:v>1184423.4801233588</x:v>
      </x:c>
      <x:c r="AE260" s="28" t="str">
        <x:v>Baseline trade unchanged.</x:v>
      </x:c>
    </x:row>
    <x:row r="261" ht="18" customHeight="1">
      <x:c r="A261" s="23" t="n">
        <x:v>257</x:v>
      </x:c>
      <x:c r="B261" s="53" t="n">
        <x:v>45012</x:v>
      </x:c>
      <x:c r="C261" s="53" t="n">
        <x:v>45014</x:v>
      </x:c>
      <x:c r="D261" s="23" t="str">
        <x:v>BEPRE</x:v>
      </x:c>
      <x:c r="E261" s="54" t="n">
        <x:v>12794.267</x:v>
      </x:c>
      <x:c r="F261" s="54" t="n">
        <x:v>12743.167</x:v>
      </x:c>
      <x:c r="G261" s="55" t="n">
        <x:v>-0.00399</x:v>
      </x:c>
      <x:c r="H261" s="56" t="n">
        <x:f>SUM(T258:T260)</x:f>
        <x:v>0.02389</x:v>
      </x:c>
      <x:c r="I261" s="57" t="b">
        <x:f>AND(A261&gt;3,H261&lt;='Assumptions'!$B$7)</x:f>
        <x:v>0</x:v>
      </x:c>
      <x:c r="J261" s="55" t="n">
        <x:v>0.0015404018086218052</x:v>
      </x:c>
      <x:c r="K261" s="55" t="n">
        <x:v>0.06688343946168107</x:v>
      </x:c>
      <x:c r="L261" s="55" t="n">
        <x:v>-0.008745994946469104</x:v>
      </x:c>
      <x:c r="M261" s="57" t="b">
        <x:f>J261&gt;='Assumptions'!$B$8</x:f>
        <x:v>0</x:v>
      </x:c>
      <x:c r="N261" s="57" t="b">
        <x:f>AND(K261&lt;&gt;"",K261&lt;='Assumptions'!$B$9)</x:f>
        <x:v>0</x:v>
      </x:c>
      <x:c r="O261" s="57" t="b">
        <x:f>AND(P261&lt;&gt;"",ABS(L261)&lt;='Assumptions'!$B$10)</x:f>
        <x:v>0</x:v>
      </x:c>
      <x:c r="P261" s="53" t="n">
        <x:v>45013</x:v>
      </x:c>
      <x:c r="Q261" s="54" t="n">
        <x:v>12654.479</x:v>
      </x:c>
      <x:c r="R261" s="55" t="n">
        <x:v>0.007</x:v>
      </x:c>
      <x:c r="S261" s="57" t="str">
        <x:f>IF(I261,"DAMAGE SKIP",IF(AND(M261,N261),IF(O261,"TUESDAY RE-ENTRY","GAP/MOM SKIP"),"BASELINE"))</x:f>
        <x:v>BASELINE</x:v>
      </x:c>
      <x:c r="T261" s="56" t="n">
        <x:f>IF(I261,0,IF(AND(M261,N261),IF(O261,R261,0),G261))</x:f>
        <x:v>-0.00399</x:v>
      </x:c>
      <x:c r="U261" s="56" t="n">
        <x:f>G261*'Assumptions'!$B$6</x:f>
        <x:v>-0.045086999999999995</x:v>
      </x:c>
      <x:c r="V261" s="56" t="n">
        <x:f>T261*'Assumptions'!$B$6</x:f>
        <x:v>-0.045086999999999995</x:v>
      </x:c>
      <x:c r="W261" s="56" t="n">
        <x:f>V261-U261</x:f>
        <x:v>0</x:v>
      </x:c>
      <x:c r="X261" s="58" t="n">
        <x:f>X260*(1+U261)</x:f>
        <x:v>388490.277244607</x:v>
      </x:c>
      <x:c r="Y261" s="58" t="n">
        <x:f>MAX(Y260,X261)</x:f>
        <x:v>406833.1641150628</x:v>
      </x:c>
      <x:c r="Z261" s="59" t="n">
        <x:f>X261/Y261-1</x:f>
        <x:v>-0.04508699999999999</x:v>
      </x:c>
      <x:c r="AA261" s="58" t="n">
        <x:f>AA260*(1+V261)</x:f>
        <x:v>1519511.6559196438</x:v>
      </x:c>
      <x:c r="AB261" s="58" t="n">
        <x:f>MAX(AB260,AA261)</x:f>
        <x:v>1591256.6442384215</x:v>
      </x:c>
      <x:c r="AC261" s="59" t="n">
        <x:f>AA261/AB261-1</x:f>
        <x:v>-0.04508699999999999</x:v>
      </x:c>
      <x:c r="AD261" s="60" t="n">
        <x:f>AA261-X261</x:f>
        <x:v>1131021.3786750368</x:v>
      </x:c>
      <x:c r="AE261" s="28" t="str">
        <x:v>Baseline trade unchanged.</x:v>
      </x:c>
    </x:row>
    <x:row r="262" ht="18" customHeight="1">
      <x:c r="A262" s="23" t="n">
        <x:v>258</x:v>
      </x:c>
      <x:c r="B262" s="53" t="n">
        <x:v>45019</x:v>
      </x:c>
      <x:c r="C262" s="53" t="n">
        <x:v>45022</x:v>
      </x:c>
      <x:c r="D262" s="23" t="str">
        <x:v>TSL1PRE</x:v>
      </x:c>
      <x:c r="E262" s="54" t="n">
        <x:v>13086.549</x:v>
      </x:c>
      <x:c r="F262" s="54" t="n">
        <x:v>12952.269</x:v>
      </x:c>
      <x:c r="G262" s="55" t="n">
        <x:v>-0.01026</x:v>
      </x:c>
      <x:c r="H262" s="56" t="n">
        <x:f>SUM(T259:T261)</x:f>
        <x:v>0.02973</x:v>
      </x:c>
      <x:c r="I262" s="57" t="b">
        <x:f>AND(A262&gt;3,H262&lt;='Assumptions'!$B$7)</x:f>
        <x:v>0</x:v>
      </x:c>
      <x:c r="J262" s="55" t="n">
        <x:v>-0.006434445076374029</x:v>
      </x:c>
      <x:c r="K262" s="55" t="n">
        <x:v>0.07256943152253714</x:v>
      </x:c>
      <x:c r="L262" s="55" t="n">
        <x:v>-0.0010188342391389549</x:v>
      </x:c>
      <x:c r="M262" s="57" t="b">
        <x:f>J262&gt;='Assumptions'!$B$8</x:f>
        <x:v>0</x:v>
      </x:c>
      <x:c r="N262" s="57" t="b">
        <x:f>AND(K262&lt;&gt;"",K262&lt;='Assumptions'!$B$9)</x:f>
        <x:v>0</x:v>
      </x:c>
      <x:c r="O262" s="57" t="b">
        <x:f>AND(P262&lt;&gt;"",ABS(L262)&lt;='Assumptions'!$B$10)</x:f>
        <x:v>1</x:v>
      </x:c>
      <x:c r="P262" s="53" t="n">
        <x:v>45020</x:v>
      </x:c>
      <x:c r="Q262" s="54" t="n">
        <x:v>13161.179</x:v>
      </x:c>
      <x:c r="R262" s="55" t="n">
        <x:v>-0.01587</x:v>
      </x:c>
      <x:c r="S262" s="57" t="str">
        <x:f>IF(I262,"DAMAGE SKIP",IF(AND(M262,N262),IF(O262,"TUESDAY RE-ENTRY","GAP/MOM SKIP"),"BASELINE"))</x:f>
        <x:v>BASELINE</x:v>
      </x:c>
      <x:c r="T262" s="56" t="n">
        <x:f>IF(I262,0,IF(AND(M262,N262),IF(O262,R262,0),G262))</x:f>
        <x:v>-0.01026</x:v>
      </x:c>
      <x:c r="U262" s="56" t="n">
        <x:f>G262*'Assumptions'!$B$6</x:f>
        <x:v>-0.11593800000000001</x:v>
      </x:c>
      <x:c r="V262" s="56" t="n">
        <x:f>T262*'Assumptions'!$B$6</x:f>
        <x:v>-0.11593800000000001</x:v>
      </x:c>
      <x:c r="W262" s="56" t="n">
        <x:f>V262-U262</x:f>
        <x:v>0</x:v>
      </x:c>
      <x:c r="X262" s="58" t="n">
        <x:f>X261*(1+U262)</x:f>
        <x:v>343449.49148142175</x:v>
      </x:c>
      <x:c r="Y262" s="58" t="n">
        <x:f>MAX(Y261,X262)</x:f>
        <x:v>406833.1641150628</x:v>
      </x:c>
      <x:c r="Z262" s="59" t="n">
        <x:f>X262/Y262-1</x:f>
        <x:v>-0.1557977033939999</x:v>
      </x:c>
      <x:c r="AA262" s="58" t="n">
        <x:f>AA261*(1+V262)</x:f>
        <x:v>1343342.5135556322</x:v>
      </x:c>
      <x:c r="AB262" s="58" t="n">
        <x:f>MAX(AB261,AA262)</x:f>
        <x:v>1591256.6442384215</x:v>
      </x:c>
      <x:c r="AC262" s="59" t="n">
        <x:f>AA262/AB262-1</x:f>
        <x:v>-0.1557977033939999</x:v>
      </x:c>
      <x:c r="AD262" s="60" t="n">
        <x:f>AA262-X262</x:f>
        <x:v>999893.0220742105</x:v>
      </x:c>
      <x:c r="AE262" s="28" t="str">
        <x:v>Baseline trade unchanged.</x:v>
      </x:c>
    </x:row>
    <x:row r="263" ht="18" customHeight="1">
      <x:c r="A263" s="23" t="n">
        <x:v>259</x:v>
      </x:c>
      <x:c r="B263" s="53" t="n">
        <x:v>45026</x:v>
      </x:c>
      <x:c r="C263" s="53" t="n">
        <x:v>45026</x:v>
      </x:c>
      <x:c r="D263" s="23" t="str">
        <x:v>CH</x:v>
      </x:c>
      <x:c r="E263" s="54" t="n">
        <x:v>12930.019</x:v>
      </x:c>
      <x:c r="F263" s="54" t="n">
        <x:v>13050.719</x:v>
      </x:c>
      <x:c r="G263" s="55" t="n">
        <x:v>0.00933</x:v>
      </x:c>
      <x:c r="H263" s="56" t="n">
        <x:f>SUM(T260:T262)</x:f>
        <x:v>0.006029999999999999</x:v>
      </x:c>
      <x:c r="I263" s="57" t="b">
        <x:f>AND(A263&gt;3,H263&lt;='Assumptions'!$B$7)</x:f>
        <x:v>0</x:v>
      </x:c>
      <x:c r="J263" s="55" t="n">
        <x:v>-0.009465603264821043</x:v>
      </x:c>
      <x:c r="K263" s="55" t="n">
        <x:v>0.08844060597872216</x:v>
      </x:c>
      <x:c r="L263" s="55" t="n">
        <x:v>-0.0006906736773757416</x:v>
      </x:c>
      <x:c r="M263" s="57" t="b">
        <x:f>J263&gt;='Assumptions'!$B$8</x:f>
        <x:v>0</x:v>
      </x:c>
      <x:c r="N263" s="57" t="b">
        <x:f>AND(K263&lt;&gt;"",K263&lt;='Assumptions'!$B$9)</x:f>
        <x:v>0</x:v>
      </x:c>
      <x:c r="O263" s="57" t="b">
        <x:f>AND(P263&lt;&gt;"",ABS(L263)&lt;='Assumptions'!$B$10)</x:f>
        <x:v>1</x:v>
      </x:c>
      <x:c r="P263" s="53" t="n">
        <x:v>45027</x:v>
      </x:c>
      <x:c r="Q263" s="54" t="n">
        <x:v>13047.719</x:v>
      </x:c>
      <x:c r="R263" s="55" t="n">
        <x:v>0.00022</x:v>
      </x:c>
      <x:c r="S263" s="57" t="str">
        <x:f>IF(I263,"DAMAGE SKIP",IF(AND(M263,N263),IF(O263,"TUESDAY RE-ENTRY","GAP/MOM SKIP"),"BASELINE"))</x:f>
        <x:v>BASELINE</x:v>
      </x:c>
      <x:c r="T263" s="56" t="n">
        <x:f>IF(I263,0,IF(AND(M263,N263),IF(O263,R263,0),G263))</x:f>
        <x:v>0.00933</x:v>
      </x:c>
      <x:c r="U263" s="56" t="n">
        <x:f>G263*'Assumptions'!$B$6</x:f>
        <x:v>0.10542900000000001</x:v>
      </x:c>
      <x:c r="V263" s="56" t="n">
        <x:f>T263*'Assumptions'!$B$6</x:f>
        <x:v>0.10542900000000001</x:v>
      </x:c>
      <x:c r="W263" s="56" t="n">
        <x:f>V263-U263</x:f>
        <x:v>0</x:v>
      </x:c>
      <x:c r="X263" s="58" t="n">
        <x:f>X262*(1+U263)</x:f>
        <x:v>379659.02791881654</x:v>
      </x:c>
      <x:c r="Y263" s="58" t="n">
        <x:f>MAX(Y262,X263)</x:f>
        <x:v>406833.1641150628</x:v>
      </x:c>
      <x:c r="Z263" s="59" t="n">
        <x:f>X263/Y263-1</x:f>
        <x:v>-0.06679429946512594</x:v>
      </x:c>
      <x:c r="AA263" s="58" t="n">
        <x:f>AA262*(1+V263)</x:f>
        <x:v>1484969.771417289</x:v>
      </x:c>
      <x:c r="AB263" s="58" t="n">
        <x:f>MAX(AB262,AA263)</x:f>
        <x:v>1591256.6442384215</x:v>
      </x:c>
      <x:c r="AC263" s="59" t="n">
        <x:f>AA263/AB263-1</x:f>
        <x:v>-0.06679429946512594</x:v>
      </x:c>
      <x:c r="AD263" s="60" t="n">
        <x:f>AA263-X263</x:f>
        <x:v>1105310.7434984725</x:v>
      </x:c>
      <x:c r="AE263" s="28" t="str">
        <x:v>Baseline trade unchanged.</x:v>
      </x:c>
    </x:row>
    <x:row r="264" ht="18" customHeight="1">
      <x:c r="A264" s="23" t="n">
        <x:v>260</x:v>
      </x:c>
      <x:c r="B264" s="53" t="n">
        <x:v>45033</x:v>
      </x:c>
      <x:c r="C264" s="53" t="n">
        <x:v>45036</x:v>
      </x:c>
      <x:c r="D264" s="23" t="str">
        <x:v>TSL1PRE</x:v>
      </x:c>
      <x:c r="E264" s="54" t="n">
        <x:v>13061.519</x:v>
      </x:c>
      <x:c r="F264" s="54" t="n">
        <x:v>13006.999</x:v>
      </x:c>
      <x:c r="G264" s="55" t="n">
        <x:v>-0.00417</x:v>
      </x:c>
      <x:c r="H264" s="56" t="n">
        <x:f>SUM(T261:T263)</x:f>
        <x:v>-0.004919999999999999</x:v>
      </x:c>
      <x:c r="I264" s="57" t="b">
        <x:f>AND(A264&gt;3,H264&lt;='Assumptions'!$B$7)</x:f>
        <x:v>0</x:v>
      </x:c>
      <x:c r="J264" s="55" t="n">
        <x:v>-0.0016692960882599417</x:v>
      </x:c>
      <x:c r="K264" s="55" t="n">
        <x:v>0.039938667741743705</x:v>
      </x:c>
      <x:c r="L264" s="55" t="n">
        <x:v>0.007591356847791664</x:v>
      </x:c>
      <x:c r="M264" s="57" t="b">
        <x:f>J264&gt;='Assumptions'!$B$8</x:f>
        <x:v>0</x:v>
      </x:c>
      <x:c r="N264" s="57" t="b">
        <x:f>AND(K264&lt;&gt;"",K264&lt;='Assumptions'!$B$9)</x:f>
        <x:v>0</x:v>
      </x:c>
      <x:c r="O264" s="57" t="b">
        <x:f>AND(P264&lt;&gt;"",ABS(L264)&lt;='Assumptions'!$B$10)</x:f>
        <x:v>0</x:v>
      </x:c>
      <x:c r="P264" s="53" t="n">
        <x:v>45034</x:v>
      </x:c>
      <x:c r="Q264" s="54" t="n">
        <x:v>13179.349</x:v>
      </x:c>
      <x:c r="R264" s="55" t="n">
        <x:v>-0.01307</x:v>
      </x:c>
      <x:c r="S264" s="57" t="str">
        <x:f>IF(I264,"DAMAGE SKIP",IF(AND(M264,N264),IF(O264,"TUESDAY RE-ENTRY","GAP/MOM SKIP"),"BASELINE"))</x:f>
        <x:v>BASELINE</x:v>
      </x:c>
      <x:c r="T264" s="56" t="n">
        <x:f>IF(I264,0,IF(AND(M264,N264),IF(O264,R264,0),G264))</x:f>
        <x:v>-0.00417</x:v>
      </x:c>
      <x:c r="U264" s="56" t="n">
        <x:f>G264*'Assumptions'!$B$6</x:f>
        <x:v>-0.047121</x:v>
      </x:c>
      <x:c r="V264" s="56" t="n">
        <x:f>T264*'Assumptions'!$B$6</x:f>
        <x:v>-0.047121</x:v>
      </x:c>
      <x:c r="W264" s="56" t="n">
        <x:f>V264-U264</x:f>
        <x:v>0</x:v>
      </x:c>
      <x:c r="X264" s="58" t="n">
        <x:f>X263*(1+U264)</x:f>
        <x:v>361769.114864254</x:v>
      </x:c>
      <x:c r="Y264" s="58" t="n">
        <x:f>MAX(Y263,X264)</x:f>
        <x:v>406833.1641150628</x:v>
      </x:c>
      <x:c r="Z264" s="59" t="n">
        <x:f>X264/Y264-1</x:f>
        <x:v>-0.11076788528002968</x:v>
      </x:c>
      <x:c r="AA264" s="58" t="n">
        <x:f>AA263*(1+V264)</x:f>
        <x:v>1414996.510818335</x:v>
      </x:c>
      <x:c r="AB264" s="58" t="n">
        <x:f>MAX(AB263,AA264)</x:f>
        <x:v>1591256.6442384215</x:v>
      </x:c>
      <x:c r="AC264" s="59" t="n">
        <x:f>AA264/AB264-1</x:f>
        <x:v>-0.11076788528002968</x:v>
      </x:c>
      <x:c r="AD264" s="60" t="n">
        <x:f>AA264-X264</x:f>
        <x:v>1053227.3959540809</x:v>
      </x:c>
      <x:c r="AE264" s="28" t="str">
        <x:v>Baseline trade unchanged.</x:v>
      </x:c>
    </x:row>
    <x:row r="265" ht="18" customHeight="1">
      <x:c r="A265" s="23" t="n">
        <x:v>261</x:v>
      </x:c>
      <x:c r="B265" s="53" t="n">
        <x:v>45040</x:v>
      </x:c>
      <x:c r="C265" s="53" t="n">
        <x:v>45043</x:v>
      </x:c>
      <x:c r="D265" s="23" t="str">
        <x:v>TSL1PRE</x:v>
      </x:c>
      <x:c r="E265" s="54" t="n">
        <x:v>12988.359</x:v>
      </x:c>
      <x:c r="F265" s="54" t="n">
        <x:v>12882.349</x:v>
      </x:c>
      <x:c r="G265" s="55" t="n">
        <x:v>-0.00816</x:v>
      </x:c>
      <x:c r="H265" s="56" t="n">
        <x:f>SUM(T262:T264)</x:f>
        <x:v>-0.0051</x:v>
      </x:c>
      <x:c r="I265" s="57" t="b">
        <x:f>AND(A265&gt;3,H265&lt;='Assumptions'!$B$7)</x:f>
        <x:v>0</x:v>
      </x:c>
      <x:c r="J265" s="55" t="n">
        <x:v>-0.00126107681041987</x:v>
      </x:c>
      <x:c r="K265" s="55" t="n">
        <x:v>0.022141463526228256</x:v>
      </x:c>
      <x:c r="L265" s="55" t="n">
        <x:v>-0.007321861351442971</x:v>
      </x:c>
      <x:c r="M265" s="57" t="b">
        <x:f>J265&gt;='Assumptions'!$B$8</x:f>
        <x:v>0</x:v>
      </x:c>
      <x:c r="N265" s="57" t="b">
        <x:f>AND(K265&lt;&gt;"",K265&lt;='Assumptions'!$B$9)</x:f>
        <x:v>0</x:v>
      </x:c>
      <x:c r="O265" s="57" t="b">
        <x:f>AND(P265&lt;&gt;"",ABS(L265)&lt;='Assumptions'!$B$10)</x:f>
        <x:v>0</x:v>
      </x:c>
      <x:c r="P265" s="53" t="n">
        <x:v>45041</x:v>
      </x:c>
      <x:c r="Q265" s="54" t="n">
        <x:v>12899.727</x:v>
      </x:c>
      <x:c r="R265" s="55" t="n">
        <x:v>-0.00134</x:v>
      </x:c>
      <x:c r="S265" s="57" t="str">
        <x:f>IF(I265,"DAMAGE SKIP",IF(AND(M265,N265),IF(O265,"TUESDAY RE-ENTRY","GAP/MOM SKIP"),"BASELINE"))</x:f>
        <x:v>BASELINE</x:v>
      </x:c>
      <x:c r="T265" s="56" t="n">
        <x:f>IF(I265,0,IF(AND(M265,N265),IF(O265,R265,0),G265))</x:f>
        <x:v>-0.00816</x:v>
      </x:c>
      <x:c r="U265" s="56" t="n">
        <x:f>G265*'Assumptions'!$B$6</x:f>
        <x:v>-0.09220800000000001</x:v>
      </x:c>
      <x:c r="V265" s="56" t="n">
        <x:f>T265*'Assumptions'!$B$6</x:f>
        <x:v>-0.09220800000000001</x:v>
      </x:c>
      <x:c r="W265" s="56" t="n">
        <x:f>V265-U265</x:f>
        <x:v>0</x:v>
      </x:c>
      <x:c r="X265" s="58" t="n">
        <x:f>X264*(1+U265)</x:f>
        <x:v>328411.1083208509</x:v>
      </x:c>
      <x:c r="Y265" s="58" t="n">
        <x:f>MAX(Y264,X265)</x:f>
        <x:v>406833.1641150628</x:v>
      </x:c>
      <x:c r="Z265" s="59" t="n">
        <x:f>X265/Y265-1</x:f>
        <x:v>-0.1927622001141287</x:v>
      </x:c>
      <x:c r="AA265" s="58" t="n">
        <x:f>AA264*(1+V265)</x:f>
        <x:v>1284522.5125487978</x:v>
      </x:c>
      <x:c r="AB265" s="58" t="n">
        <x:f>MAX(AB264,AA265)</x:f>
        <x:v>1591256.6442384215</x:v>
      </x:c>
      <x:c r="AC265" s="59" t="n">
        <x:f>AA265/AB265-1</x:f>
        <x:v>-0.1927622001141288</x:v>
      </x:c>
      <x:c r="AD265" s="60" t="n">
        <x:f>AA265-X265</x:f>
        <x:v>956111.4042279469</x:v>
      </x:c>
      <x:c r="AE265" s="28" t="str">
        <x:v>Baseline trade unchanged.</x:v>
      </x:c>
    </x:row>
    <x:row r="266" ht="18" customHeight="1">
      <x:c r="A266" s="23" t="n">
        <x:v>262</x:v>
      </x:c>
      <x:c r="B266" s="53" t="n">
        <x:v>45047</x:v>
      </x:c>
      <x:c r="C266" s="53" t="n">
        <x:v>45049</x:v>
      </x:c>
      <x:c r="D266" s="23" t="str">
        <x:v>BH</x:v>
      </x:c>
      <x:c r="E266" s="54" t="n">
        <x:v>13223.719</x:v>
      </x:c>
      <x:c r="F266" s="54" t="n">
        <x:v>13170.824123999999</x:v>
      </x:c>
      <x:c r="G266" s="55" t="n">
        <x:v>-0.004</x:v>
      </x:c>
      <x:c r="H266" s="56" t="n">
        <x:f>SUM(T263:T265)</x:f>
        <x:v>-0.003000000000000001</x:v>
      </x:c>
      <x:c r="I266" s="57" t="b">
        <x:f>AND(A266&gt;3,H266&lt;='Assumptions'!$B$7)</x:f>
        <x:v>0</x:v>
      </x:c>
      <x:c r="J266" s="55" t="n">
        <x:v>-0.002395990367454859</x:v>
      </x:c>
      <x:c r="K266" s="55" t="n">
        <x:v>0.021796084593307397</x:v>
      </x:c>
      <x:c r="L266" s="55" t="n">
        <x:v>-0.0013714450700159642</x:v>
      </x:c>
      <x:c r="M266" s="57" t="b">
        <x:f>J266&gt;='Assumptions'!$B$8</x:f>
        <x:v>0</x:v>
      </x:c>
      <x:c r="N266" s="57" t="b">
        <x:f>AND(K266&lt;&gt;"",K266&lt;='Assumptions'!$B$9)</x:f>
        <x:v>0</x:v>
      </x:c>
      <x:c r="O266" s="57" t="b">
        <x:f>AND(P266&lt;&gt;"",ABS(L266)&lt;='Assumptions'!$B$10)</x:f>
        <x:v>1</x:v>
      </x:c>
      <x:c r="P266" s="53" t="n">
        <x:v>45048</x:v>
      </x:c>
      <x:c r="Q266" s="54" t="n">
        <x:v>13223.539</x:v>
      </x:c>
      <x:c r="R266" s="55" t="n">
        <x:v>-0.00398</x:v>
      </x:c>
      <x:c r="S266" s="57" t="str">
        <x:f>IF(I266,"DAMAGE SKIP",IF(AND(M266,N266),IF(O266,"TUESDAY RE-ENTRY","GAP/MOM SKIP"),"BASELINE"))</x:f>
        <x:v>BASELINE</x:v>
      </x:c>
      <x:c r="T266" s="56" t="n">
        <x:f>IF(I266,0,IF(AND(M266,N266),IF(O266,R266,0),G266))</x:f>
        <x:v>-0.004</x:v>
      </x:c>
      <x:c r="U266" s="56" t="n">
        <x:f>G266*'Assumptions'!$B$6</x:f>
        <x:v>-0.045200000000000004</x:v>
      </x:c>
      <x:c r="V266" s="56" t="n">
        <x:f>T266*'Assumptions'!$B$6</x:f>
        <x:v>-0.045200000000000004</x:v>
      </x:c>
      <x:c r="W266" s="56" t="n">
        <x:f>V266-U266</x:f>
        <x:v>0</x:v>
      </x:c>
      <x:c r="X266" s="58" t="n">
        <x:f>X265*(1+U266)</x:f>
        <x:v>313566.92622474843</x:v>
      </x:c>
      <x:c r="Y266" s="58" t="n">
        <x:f>MAX(Y265,X266)</x:f>
        <x:v>406833.1641150628</x:v>
      </x:c>
      <x:c r="Z266" s="59" t="n">
        <x:f>X266/Y266-1</x:f>
        <x:v>-0.22924934866897007</x:v>
      </x:c>
      <x:c r="AA266" s="58" t="n">
        <x:f>AA265*(1+V266)</x:f>
        <x:v>1226462.0949815921</x:v>
      </x:c>
      <x:c r="AB266" s="58" t="n">
        <x:f>MAX(AB265,AA266)</x:f>
        <x:v>1591256.6442384215</x:v>
      </x:c>
      <x:c r="AC266" s="59" t="n">
        <x:f>AA266/AB266-1</x:f>
        <x:v>-0.22924934866897018</x:v>
      </x:c>
      <x:c r="AD266" s="60" t="n">
        <x:f>AA266-X266</x:f>
        <x:v>912895.1687568438</x:v>
      </x:c>
      <x:c r="AE266" s="28" t="str">
        <x:v>Baseline trade unchanged.</x:v>
      </x:c>
    </x:row>
    <x:row r="267" ht="18" customHeight="1">
      <x:c r="A267" s="23" t="n">
        <x:v>263</x:v>
      </x:c>
      <x:c r="B267" s="53" t="n">
        <x:v>45054</x:v>
      </x:c>
      <x:c r="C267" s="53" t="n">
        <x:v>45058</x:v>
      </x:c>
      <x:c r="D267" s="23" t="str">
        <x:v>TO</x:v>
      </x:c>
      <x:c r="E267" s="54" t="n">
        <x:v>13232.109</x:v>
      </x:c>
      <x:c r="F267" s="54" t="n">
        <x:v>13334.869</x:v>
      </x:c>
      <x:c r="G267" s="55" t="n">
        <x:v>0.00776</x:v>
      </x:c>
      <x:c r="H267" s="56" t="n">
        <x:f>SUM(T264:T266)</x:f>
        <x:v>-0.01633</x:v>
      </x:c>
      <x:c r="I267" s="57" t="b">
        <x:f>AND(A267&gt;3,H267&lt;='Assumptions'!$B$7)</x:f>
        <x:v>0</x:v>
      </x:c>
      <x:c r="J267" s="55" t="n">
        <x:v>-0.00147980801585057</x:v>
      </x:c>
      <x:c r="K267" s="55" t="n">
        <x:v>0.015213917870306126</x:v>
      </x:c>
      <x:c r="L267" s="55" t="n">
        <x:v>-0.0027495093520939484</x:v>
      </x:c>
      <x:c r="M267" s="57" t="b">
        <x:f>J267&gt;='Assumptions'!$B$8</x:f>
        <x:v>0</x:v>
      </x:c>
      <x:c r="N267" s="57" t="b">
        <x:f>AND(K267&lt;&gt;"",K267&lt;='Assumptions'!$B$9)</x:f>
        <x:v>0</x:v>
      </x:c>
      <x:c r="O267" s="57" t="b">
        <x:f>AND(P267&lt;&gt;"",ABS(L267)&lt;='Assumptions'!$B$10)</x:f>
        <x:v>1</x:v>
      </x:c>
      <x:c r="P267" s="53" t="n">
        <x:v>45055</x:v>
      </x:c>
      <x:c r="Q267" s="54" t="n">
        <x:v>13215.619</x:v>
      </x:c>
      <x:c r="R267" s="55" t="n">
        <x:v>0.00902</x:v>
      </x:c>
      <x:c r="S267" s="57" t="str">
        <x:f>IF(I267,"DAMAGE SKIP",IF(AND(M267,N267),IF(O267,"TUESDAY RE-ENTRY","GAP/MOM SKIP"),"BASELINE"))</x:f>
        <x:v>BASELINE</x:v>
      </x:c>
      <x:c r="T267" s="56" t="n">
        <x:f>IF(I267,0,IF(AND(M267,N267),IF(O267,R267,0),G267))</x:f>
        <x:v>0.00776</x:v>
      </x:c>
      <x:c r="U267" s="56" t="n">
        <x:f>G267*'Assumptions'!$B$6</x:f>
        <x:v>0.08768800000000002</x:v>
      </x:c>
      <x:c r="V267" s="56" t="n">
        <x:f>T267*'Assumptions'!$B$6</x:f>
        <x:v>0.08768800000000002</x:v>
      </x:c>
      <x:c r="W267" s="56" t="n">
        <x:f>V267-U267</x:f>
        <x:v>0</x:v>
      </x:c>
      <x:c r="X267" s="58" t="n">
        <x:f>X266*(1+U267)</x:f>
        <x:v>341062.98285154416</x:v>
      </x:c>
      <x:c r="Y267" s="58" t="n">
        <x:f>MAX(Y266,X267)</x:f>
        <x:v>406833.1641150628</x:v>
      </x:c>
      <x:c r="Z267" s="59" t="n">
        <x:f>X267/Y267-1</x:f>
        <x:v>-0.1616637655550548</x:v>
      </x:c>
      <x:c r="AA267" s="58" t="n">
        <x:f>AA266*(1+V267)</x:f>
        <x:v>1334008.103166338</x:v>
      </x:c>
      <x:c r="AB267" s="58" t="n">
        <x:f>MAX(AB266,AA267)</x:f>
        <x:v>1591256.6442384215</x:v>
      </x:c>
      <x:c r="AC267" s="59" t="n">
        <x:f>AA267/AB267-1</x:f>
        <x:v>-0.1616637655550548</x:v>
      </x:c>
      <x:c r="AD267" s="60" t="n">
        <x:f>AA267-X267</x:f>
        <x:v>992945.1203147939</x:v>
      </x:c>
      <x:c r="AE267" s="28" t="str">
        <x:v>Baseline trade unchanged.</x:v>
      </x:c>
    </x:row>
    <x:row r="268" ht="18" customHeight="1">
      <x:c r="A268" s="23" t="n">
        <x:v>264</x:v>
      </x:c>
      <x:c r="B268" s="53" t="n">
        <x:v>45061</x:v>
      </x:c>
      <x:c r="C268" s="53" t="n">
        <x:v>45065</x:v>
      </x:c>
      <x:c r="D268" s="23" t="str">
        <x:v>TO</x:v>
      </x:c>
      <x:c r="E268" s="54" t="n">
        <x:v>13358.379</x:v>
      </x:c>
      <x:c r="F268" s="54" t="n">
        <x:v>13802.987</x:v>
      </x:c>
      <x:c r="G268" s="55" t="n">
        <x:v>0.03328</x:v>
      </x:c>
      <x:c r="H268" s="56" t="n">
        <x:f>SUM(T265:T267)</x:f>
        <x:v>-0.0044</x:v>
      </x:c>
      <x:c r="I268" s="57" t="b">
        <x:f>AND(A268&gt;3,H268&lt;='Assumptions'!$B$7)</x:f>
        <x:v>0</x:v>
      </x:c>
      <x:c r="J268" s="55" t="n">
        <x:v>0.0017630469410685468</x:v>
      </x:c>
      <x:c r="K268" s="55" t="n">
        <x:v>0.020276453765491143</x:v>
      </x:c>
      <x:c r="L268" s="55" t="n">
        <x:v>0.0031674250422790706</x:v>
      </x:c>
      <x:c r="M268" s="57" t="b">
        <x:f>J268&gt;='Assumptions'!$B$8</x:f>
        <x:v>0</x:v>
      </x:c>
      <x:c r="N268" s="57" t="b">
        <x:f>AND(K268&lt;&gt;"",K268&lt;='Assumptions'!$B$9)</x:f>
        <x:v>0</x:v>
      </x:c>
      <x:c r="O268" s="57" t="b">
        <x:f>AND(P268&lt;&gt;"",ABS(L268)&lt;='Assumptions'!$B$10)</x:f>
        <x:v>1</x:v>
      </x:c>
      <x:c r="P268" s="53" t="n">
        <x:v>45062</x:v>
      </x:c>
      <x:c r="Q268" s="54" t="n">
        <x:v>13378.307</x:v>
      </x:c>
      <x:c r="R268" s="55" t="n">
        <x:v>0.03174</x:v>
      </x:c>
      <x:c r="S268" s="57" t="str">
        <x:f>IF(I268,"DAMAGE SKIP",IF(AND(M268,N268),IF(O268,"TUESDAY RE-ENTRY","GAP/MOM SKIP"),"BASELINE"))</x:f>
        <x:v>BASELINE</x:v>
      </x:c>
      <x:c r="T268" s="56" t="n">
        <x:f>IF(I268,0,IF(AND(M268,N268),IF(O268,R268,0),G268))</x:f>
        <x:v>0.03328</x:v>
      </x:c>
      <x:c r="U268" s="56" t="n">
        <x:f>G268*'Assumptions'!$B$6</x:f>
        <x:v>0.376064</x:v>
      </x:c>
      <x:c r="V268" s="56" t="n">
        <x:f>T268*'Assumptions'!$B$6</x:f>
        <x:v>0.376064</x:v>
      </x:c>
      <x:c r="W268" s="56" t="n">
        <x:f>V268-U268</x:f>
        <x:v>0</x:v>
      </x:c>
      <x:c r="X268" s="58" t="n">
        <x:f>X267*(1+U268)</x:f>
        <x:v>469324.49243462726</x:v>
      </x:c>
      <x:c r="Y268" s="58" t="n">
        <x:f>MAX(Y267,X268)</x:f>
        <x:v>469324.49243462726</x:v>
      </x:c>
      <x:c r="Z268" s="59" t="n">
        <x:f>X268/Y268-1</x:f>
        <x:v>0</x:v>
      </x:c>
      <x:c r="AA268" s="58" t="n">
        <x:f>AA267*(1+V268)</x:f>
        <x:v>1835680.5264754838</x:v>
      </x:c>
      <x:c r="AB268" s="58" t="n">
        <x:f>MAX(AB267,AA268)</x:f>
        <x:v>1835680.5264754838</x:v>
      </x:c>
      <x:c r="AC268" s="59" t="n">
        <x:f>AA268/AB268-1</x:f>
        <x:v>0</x:v>
      </x:c>
      <x:c r="AD268" s="60" t="n">
        <x:f>AA268-X268</x:f>
        <x:v>1366356.0340408566</x:v>
      </x:c>
      <x:c r="AE268" s="28" t="str">
        <x:v>Baseline trade unchanged.</x:v>
      </x:c>
    </x:row>
    <x:row r="269" ht="18" customHeight="1">
      <x:c r="A269" s="23" t="n">
        <x:v>265</x:v>
      </x:c>
      <x:c r="B269" s="53" t="n">
        <x:v>45068</x:v>
      </x:c>
      <x:c r="C269" s="53" t="n">
        <x:v>45071</x:v>
      </x:c>
      <x:c r="D269" s="23" t="str">
        <x:v>BEPRE</x:v>
      </x:c>
      <x:c r="E269" s="54" t="n">
        <x:v>13792.909</x:v>
      </x:c>
      <x:c r="F269" s="54" t="n">
        <x:v>13830.129</x:v>
      </x:c>
      <x:c r="G269" s="55" t="n">
        <x:v>0.00269</x:v>
      </x:c>
      <x:c r="H269" s="56" t="n">
        <x:f>SUM(T266:T268)</x:f>
        <x:v>0.03704</x:v>
      </x:c>
      <x:c r="I269" s="57" t="b">
        <x:f>AND(A269&gt;3,H269&lt;='Assumptions'!$B$7)</x:f>
        <x:v>0</x:v>
      </x:c>
      <x:c r="J269" s="55" t="n">
        <x:v>-0.0007301318185694017</x:v>
      </x:c>
      <x:c r="K269" s="55" t="n">
        <x:v>0.06285610144454878</x:v>
      </x:c>
      <x:c r="L269" s="55" t="n">
        <x:v>-0.0018440471570688732</x:v>
      </x:c>
      <x:c r="M269" s="57" t="b">
        <x:f>J269&gt;='Assumptions'!$B$8</x:f>
        <x:v>0</x:v>
      </x:c>
      <x:c r="N269" s="57" t="b">
        <x:f>AND(K269&lt;&gt;"",K269&lt;='Assumptions'!$B$9)</x:f>
        <x:v>0</x:v>
      </x:c>
      <x:c r="O269" s="57" t="b">
        <x:f>AND(P269&lt;&gt;"",ABS(L269)&lt;='Assumptions'!$B$10)</x:f>
        <x:v>1</x:v>
      </x:c>
      <x:c r="P269" s="53" t="n">
        <x:v>45069</x:v>
      </x:c>
      <x:c r="Q269" s="54" t="n">
        <x:v>13777.059</x:v>
      </x:c>
      <x:c r="R269" s="55" t="n">
        <x:v>0.00385</x:v>
      </x:c>
      <x:c r="S269" s="57" t="str">
        <x:f>IF(I269,"DAMAGE SKIP",IF(AND(M269,N269),IF(O269,"TUESDAY RE-ENTRY","GAP/MOM SKIP"),"BASELINE"))</x:f>
        <x:v>BASELINE</x:v>
      </x:c>
      <x:c r="T269" s="56" t="n">
        <x:f>IF(I269,0,IF(AND(M269,N269),IF(O269,R269,0),G269))</x:f>
        <x:v>0.00269</x:v>
      </x:c>
      <x:c r="U269" s="56" t="n">
        <x:f>G269*'Assumptions'!$B$6</x:f>
        <x:v>0.030397000000000004</x:v>
      </x:c>
      <x:c r="V269" s="56" t="n">
        <x:f>T269*'Assumptions'!$B$6</x:f>
        <x:v>0.030397000000000004</x:v>
      </x:c>
      <x:c r="W269" s="56" t="n">
        <x:f>V269-U269</x:f>
        <x:v>0</x:v>
      </x:c>
      <x:c r="X269" s="58" t="n">
        <x:f>X268*(1+U269)</x:f>
        <x:v>483590.54903116263</x:v>
      </x:c>
      <x:c r="Y269" s="58" t="n">
        <x:f>MAX(Y268,X269)</x:f>
        <x:v>483590.54903116263</x:v>
      </x:c>
      <x:c r="Z269" s="59" t="n">
        <x:f>X269/Y269-1</x:f>
        <x:v>0</x:v>
      </x:c>
      <x:c r="AA269" s="58" t="n">
        <x:f>AA268*(1+V269)</x:f>
        <x:v>1891479.707438759</x:v>
      </x:c>
      <x:c r="AB269" s="58" t="n">
        <x:f>MAX(AB268,AA269)</x:f>
        <x:v>1891479.707438759</x:v>
      </x:c>
      <x:c r="AC269" s="59" t="n">
        <x:f>AA269/AB269-1</x:f>
        <x:v>0</x:v>
      </x:c>
      <x:c r="AD269" s="60" t="n">
        <x:f>AA269-X269</x:f>
        <x:v>1407889.1584075964</x:v>
      </x:c>
      <x:c r="AE269" s="28" t="str">
        <x:v>Baseline trade unchanged.</x:v>
      </x:c>
    </x:row>
    <x:row r="270" ht="18" customHeight="1">
      <x:c r="A270" s="23" t="n">
        <x:v>266</x:v>
      </x:c>
      <x:c r="B270" s="53" t="n">
        <x:v>45076</x:v>
      </x:c>
      <x:c r="C270" s="53" t="n">
        <x:v>45078</x:v>
      </x:c>
      <x:c r="D270" s="23" t="str">
        <x:v>TSL1PRE</x:v>
      </x:c>
      <x:c r="E270" s="54" t="n">
        <x:v>14470.009</x:v>
      </x:c>
      <x:c r="F270" s="54" t="n">
        <x:v>14251.869</x:v>
      </x:c>
      <x:c r="G270" s="55" t="n">
        <x:v>-0.01507</x:v>
      </x:c>
      <x:c r="H270" s="56" t="n">
        <x:f>SUM(T267:T269)</x:f>
        <x:v>0.04373</x:v>
      </x:c>
      <x:c r="I270" s="57" t="b">
        <x:f>AND(A270&gt;3,H270&lt;='Assumptions'!$B$7)</x:f>
        <x:v>0</x:v>
      </x:c>
      <x:c r="J270" s="55" t="n">
        <x:v>0.01161928266799439</x:v>
      </x:c>
      <x:c r="K270" s="55" t="n">
        <x:v>0.0801055730255269</x:v>
      </x:c>
      <x:c r="L270" s="55"/>
      <x:c r="M270" s="57" t="b">
        <x:f>J270&gt;='Assumptions'!$B$8</x:f>
        <x:v>1</x:v>
      </x:c>
      <x:c r="N270" s="57" t="b">
        <x:f>AND(K270&lt;&gt;"",K270&lt;='Assumptions'!$B$9)</x:f>
        <x:v>0</x:v>
      </x:c>
      <x:c r="O270" s="57" t="b">
        <x:f>AND(P270&lt;&gt;"",ABS(L270)&lt;='Assumptions'!$B$10)</x:f>
        <x:v>0</x:v>
      </x:c>
      <x:c r="P270" s="53"/>
      <x:c r="Q270" s="54"/>
      <x:c r="R270" s="55"/>
      <x:c r="S270" s="57" t="str">
        <x:f>IF(I270,"DAMAGE SKIP",IF(AND(M270,N270),IF(O270,"TUESDAY RE-ENTRY","GAP/MOM SKIP"),"BASELINE"))</x:f>
        <x:v>BASELINE</x:v>
      </x:c>
      <x:c r="T270" s="56" t="n">
        <x:f>IF(I270,0,IF(AND(M270,N270),IF(O270,R270,0),G270))</x:f>
        <x:v>-0.01507</x:v>
      </x:c>
      <x:c r="U270" s="56" t="n">
        <x:f>G270*'Assumptions'!$B$6</x:f>
        <x:v>-0.170291</x:v>
      </x:c>
      <x:c r="V270" s="56" t="n">
        <x:f>T270*'Assumptions'!$B$6</x:f>
        <x:v>-0.170291</x:v>
      </x:c>
      <x:c r="W270" s="56" t="n">
        <x:f>V270-U270</x:f>
        <x:v>0</x:v>
      </x:c>
      <x:c r="X270" s="58" t="n">
        <x:f>X269*(1+U270)</x:f>
        <x:v>401239.43084609695</x:v>
      </x:c>
      <x:c r="Y270" s="58" t="n">
        <x:f>MAX(Y269,X270)</x:f>
        <x:v>483590.54903116263</x:v>
      </x:c>
      <x:c r="Z270" s="59" t="n">
        <x:f>X270/Y270-1</x:f>
        <x:v>-0.17029099999999997</x:v>
      </x:c>
      <x:c r="AA270" s="58" t="n">
        <x:f>AA269*(1+V270)</x:f>
        <x:v>1569377.7365793055</x:v>
      </x:c>
      <x:c r="AB270" s="58" t="n">
        <x:f>MAX(AB269,AA270)</x:f>
        <x:v>1891479.707438759</x:v>
      </x:c>
      <x:c r="AC270" s="59" t="n">
        <x:f>AA270/AB270-1</x:f>
        <x:v>-0.17029099999999986</x:v>
      </x:c>
      <x:c r="AD270" s="60" t="n">
        <x:f>AA270-X270</x:f>
        <x:v>1168138.3057332085</x:v>
      </x:c>
      <x:c r="AE270" s="28" t="str">
        <x:v>Baseline trade unchanged.</x:v>
      </x:c>
    </x:row>
    <x:row r="271" ht="18" customHeight="1">
      <x:c r="A271" s="23" t="n">
        <x:v>267</x:v>
      </x:c>
      <x:c r="B271" s="53" t="n">
        <x:v>45082</x:v>
      </x:c>
      <x:c r="C271" s="53" t="n">
        <x:v>45085</x:v>
      </x:c>
      <x:c r="D271" s="23" t="str">
        <x:v>TSL1PRE</x:v>
      </x:c>
      <x:c r="E271" s="54" t="n">
        <x:v>14538.039</x:v>
      </x:c>
      <x:c r="F271" s="54" t="n">
        <x:v>14298.289</x:v>
      </x:c>
      <x:c r="G271" s="55" t="n">
        <x:v>-0.01649</x:v>
      </x:c>
      <x:c r="H271" s="56" t="n">
        <x:f>SUM(T268:T270)</x:f>
        <x:v>0.020899999999999995</x:v>
      </x:c>
      <x:c r="I271" s="57" t="b">
        <x:f>AND(A271&gt;3,H271&lt;='Assumptions'!$B$7)</x:f>
        <x:v>0</x:v>
      </x:c>
      <x:c r="J271" s="55" t="n">
        <x:v>-0.000935289189561872</x:v>
      </x:c>
      <x:c r="K271" s="55" t="n">
        <x:v>0.12170538664480923</x:v>
      </x:c>
      <x:c r="L271" s="55" t="n">
        <x:v>-0.0010389906947535499</x:v>
      </x:c>
      <x:c r="M271" s="57" t="b">
        <x:f>J271&gt;='Assumptions'!$B$8</x:f>
        <x:v>0</x:v>
      </x:c>
      <x:c r="N271" s="57" t="b">
        <x:f>AND(K271&lt;&gt;"",K271&lt;='Assumptions'!$B$9)</x:f>
        <x:v>0</x:v>
      </x:c>
      <x:c r="O271" s="57" t="b">
        <x:f>AND(P271&lt;&gt;"",ABS(L271)&lt;='Assumptions'!$B$10)</x:f>
        <x:v>1</x:v>
      </x:c>
      <x:c r="P271" s="53" t="n">
        <x:v>45083</x:v>
      </x:c>
      <x:c r="Q271" s="54" t="n">
        <x:v>14529.677</x:v>
      </x:c>
      <x:c r="R271" s="55" t="n">
        <x:v>-0.01592</x:v>
      </x:c>
      <x:c r="S271" s="57" t="str">
        <x:f>IF(I271,"DAMAGE SKIP",IF(AND(M271,N271),IF(O271,"TUESDAY RE-ENTRY","GAP/MOM SKIP"),"BASELINE"))</x:f>
        <x:v>BASELINE</x:v>
      </x:c>
      <x:c r="T271" s="56" t="n">
        <x:f>IF(I271,0,IF(AND(M271,N271),IF(O271,R271,0),G271))</x:f>
        <x:v>-0.01649</x:v>
      </x:c>
      <x:c r="U271" s="56" t="n">
        <x:f>G271*'Assumptions'!$B$6</x:f>
        <x:v>-0.18633700000000003</x:v>
      </x:c>
      <x:c r="V271" s="56" t="n">
        <x:f>T271*'Assumptions'!$B$6</x:f>
        <x:v>-0.18633700000000003</x:v>
      </x:c>
      <x:c r="W271" s="56" t="n">
        <x:f>V271-U271</x:f>
        <x:v>0</x:v>
      </x:c>
      <x:c r="X271" s="58" t="n">
        <x:f>X270*(1+U271)</x:f>
        <x:v>326473.6790205278</x:v>
      </x:c>
      <x:c r="Y271" s="58" t="n">
        <x:f>MAX(Y270,X271)</x:f>
        <x:v>483590.54903116263</x:v>
      </x:c>
      <x:c r="Z271" s="59" t="n">
        <x:f>X271/Y271-1</x:f>
        <x:v>-0.3248964859329999</x:v>
      </x:c>
      <x:c r="AA271" s="58" t="n">
        <x:f>AA270*(1+V271)</x:f>
        <x:v>1276944.5972783274</x:v>
      </x:c>
      <x:c r="AB271" s="58" t="n">
        <x:f>MAX(AB270,AA271)</x:f>
        <x:v>1891479.707438759</x:v>
      </x:c>
      <x:c r="AC271" s="59" t="n">
        <x:f>AA271/AB271-1</x:f>
        <x:v>-0.3248964859329999</x:v>
      </x:c>
      <x:c r="AD271" s="60" t="n">
        <x:f>AA271-X271</x:f>
        <x:v>950470.9182577997</x:v>
      </x:c>
      <x:c r="AE271" s="28" t="str">
        <x:v>Baseline trade unchanged.</x:v>
      </x:c>
    </x:row>
    <x:row r="272" ht="18" customHeight="1">
      <x:c r="A272" s="23" t="n">
        <x:v>268</x:v>
      </x:c>
      <x:c r="B272" s="53" t="n">
        <x:v>45089</x:v>
      </x:c>
      <x:c r="C272" s="53" t="n">
        <x:v>45089</x:v>
      </x:c>
      <x:c r="D272" s="23" t="str">
        <x:v>CH</x:v>
      </x:c>
      <x:c r="E272" s="54" t="n">
        <x:v>14608.269</x:v>
      </x:c>
      <x:c r="F272" s="54" t="n">
        <x:v>14796.399</x:v>
      </x:c>
      <x:c r="G272" s="55" t="n">
        <x:v>0.01287</x:v>
      </x:c>
      <x:c r="H272" s="56" t="n">
        <x:f>SUM(T269:T271)</x:f>
        <x:v>-0.02887</x:v>
      </x:c>
      <x:c r="I272" s="57" t="b">
        <x:f>AND(A272&gt;3,H272&lt;='Assumptions'!$B$7)</x:f>
        <x:v>1</x:v>
      </x:c>
      <x:c r="J272" s="55" t="n">
        <x:v>0.004020682390215358</x:v>
      </x:c>
      <x:c r="K272" s="55" t="n">
        <x:v>0.08675291788342121</x:v>
      </x:c>
      <x:c r="L272" s="55" t="n">
        <x:v>0.024794969616667384</x:v>
      </x:c>
      <x:c r="M272" s="57" t="b">
        <x:f>J272&gt;='Assumptions'!$B$8</x:f>
        <x:v>0</x:v>
      </x:c>
      <x:c r="N272" s="57" t="b">
        <x:f>AND(K272&lt;&gt;"",K272&lt;='Assumptions'!$B$9)</x:f>
        <x:v>0</x:v>
      </x:c>
      <x:c r="O272" s="57" t="b">
        <x:f>AND(P272&lt;&gt;"",ABS(L272)&lt;='Assumptions'!$B$10)</x:f>
        <x:v>0</x:v>
      </x:c>
      <x:c r="P272" s="53" t="n">
        <x:v>45090</x:v>
      </x:c>
      <x:c r="Q272" s="54" t="n">
        <x:v>14901.499</x:v>
      </x:c>
      <x:c r="R272" s="55" t="n">
        <x:v>-0.00705</x:v>
      </x:c>
      <x:c r="S272" s="57" t="str">
        <x:f>IF(I272,"DAMAGE SKIP",IF(AND(M272,N272),IF(O272,"TUESDAY RE-ENTRY","GAP/MOM SKIP"),"BASELINE"))</x:f>
        <x:v>DAMAGE SKIP</x:v>
      </x:c>
      <x:c r="T272" s="56" t="n">
        <x:f>IF(I272,0,IF(AND(M272,N272),IF(O272,R272,0),G272))</x:f>
        <x:v>0</x:v>
      </x:c>
      <x:c r="U272" s="56" t="n">
        <x:f>G272*'Assumptions'!$B$6</x:f>
        <x:v>0.145431</x:v>
      </x:c>
      <x:c r="V272" s="56" t="n">
        <x:f>T272*'Assumptions'!$B$6</x:f>
        <x:v>0</x:v>
      </x:c>
      <x:c r="W272" s="56" t="n">
        <x:f>V272-U272</x:f>
        <x:v>-0.145431</x:v>
      </x:c>
      <x:c r="X272" s="58" t="n">
        <x:f>X271*(1+U272)</x:f>
        <x:v>373953.0726341622</x:v>
      </x:c>
      <x:c r="Y272" s="58" t="n">
        <x:f>MAX(Y271,X272)</x:f>
        <x:v>483590.54903116263</x:v>
      </x:c>
      <x:c r="Z272" s="59" t="n">
        <x:f>X272/Y272-1</x:f>
        <x:v>-0.226715506778722</x:v>
      </x:c>
      <x:c r="AA272" s="58" t="n">
        <x:f>AA271*(1+V272)</x:f>
        <x:v>1276944.5972783274</x:v>
      </x:c>
      <x:c r="AB272" s="58" t="n">
        <x:f>MAX(AB271,AA272)</x:f>
        <x:v>1891479.707438759</x:v>
      </x:c>
      <x:c r="AC272" s="59" t="n">
        <x:f>AA272/AB272-1</x:f>
        <x:v>-0.3248964859329999</x:v>
      </x:c>
      <x:c r="AD272" s="60" t="n">
        <x:f>AA272-X272</x:f>
        <x:v>902991.5246441653</x:v>
      </x:c>
      <x:c r="AE272" s="28" t="str">
        <x:v>Skipped because the previous three rule outcomes totalled at or below the damage threshold.</x:v>
      </x:c>
    </x:row>
    <x:row r="273" ht="18" customHeight="1">
      <x:c r="A273" s="23" t="n">
        <x:v>269</x:v>
      </x:c>
      <x:c r="B273" s="53" t="n">
        <x:v>45097</x:v>
      </x:c>
      <x:c r="C273" s="53" t="n">
        <x:v>45099</x:v>
      </x:c>
      <x:c r="D273" s="23" t="str">
        <x:v>TSL1PRE</x:v>
      </x:c>
      <x:c r="E273" s="54" t="n">
        <x:v>15027.389</x:v>
      </x:c>
      <x:c r="F273" s="54" t="n">
        <x:v>14858.859</x:v>
      </x:c>
      <x:c r="G273" s="55" t="n">
        <x:v>-0.01121</x:v>
      </x:c>
      <x:c r="H273" s="56" t="n">
        <x:f>SUM(T270:T272)</x:f>
        <x:v>-0.031560000000000005</x:v>
      </x:c>
      <x:c r="I273" s="57" t="b">
        <x:f>AND(A273&gt;3,H273&lt;='Assumptions'!$B$7)</x:f>
        <x:v>1</x:v>
      </x:c>
      <x:c r="J273" s="55" t="n">
        <x:v>-0.005303981414817471</x:v>
      </x:c>
      <x:c r="K273" s="55" t="n">
        <x:v>0.09090854518714164</x:v>
      </x:c>
      <x:c r="L273" s="55"/>
      <x:c r="M273" s="57" t="b">
        <x:f>J273&gt;='Assumptions'!$B$8</x:f>
        <x:v>0</x:v>
      </x:c>
      <x:c r="N273" s="57" t="b">
        <x:f>AND(K273&lt;&gt;"",K273&lt;='Assumptions'!$B$9)</x:f>
        <x:v>0</x:v>
      </x:c>
      <x:c r="O273" s="57" t="b">
        <x:f>AND(P273&lt;&gt;"",ABS(L273)&lt;='Assumptions'!$B$10)</x:f>
        <x:v>0</x:v>
      </x:c>
      <x:c r="P273" s="53"/>
      <x:c r="Q273" s="54"/>
      <x:c r="R273" s="55"/>
      <x:c r="S273" s="57" t="str">
        <x:f>IF(I273,"DAMAGE SKIP",IF(AND(M273,N273),IF(O273,"TUESDAY RE-ENTRY","GAP/MOM SKIP"),"BASELINE"))</x:f>
        <x:v>DAMAGE SKIP</x:v>
      </x:c>
      <x:c r="T273" s="56" t="n">
        <x:f>IF(I273,0,IF(AND(M273,N273),IF(O273,R273,0),G273))</x:f>
        <x:v>0</x:v>
      </x:c>
      <x:c r="U273" s="56" t="n">
        <x:f>G273*'Assumptions'!$B$6</x:f>
        <x:v>-0.126673</x:v>
      </x:c>
      <x:c r="V273" s="56" t="n">
        <x:f>T273*'Assumptions'!$B$6</x:f>
        <x:v>0</x:v>
      </x:c>
      <x:c r="W273" s="56" t="n">
        <x:f>V273-U273</x:f>
        <x:v>0.126673</x:v>
      </x:c>
      <x:c r="X273" s="58" t="n">
        <x:f>X272*(1+U273)</x:f>
        <x:v>326583.31506437494</x:v>
      </x:c>
      <x:c r="Y273" s="58" t="n">
        <x:f>MAX(Y272,X273)</x:f>
        <x:v>483590.54903116263</x:v>
      </x:c>
      <x:c r="Z273" s="59" t="n">
        <x:f>X273/Y273-1</x:f>
        <x:v>-0.32466977338854097</x:v>
      </x:c>
      <x:c r="AA273" s="58" t="n">
        <x:f>AA272*(1+V273)</x:f>
        <x:v>1276944.5972783274</x:v>
      </x:c>
      <x:c r="AB273" s="58" t="n">
        <x:f>MAX(AB272,AA273)</x:f>
        <x:v>1891479.707438759</x:v>
      </x:c>
      <x:c r="AC273" s="59" t="n">
        <x:f>AA273/AB273-1</x:f>
        <x:v>-0.3248964859329999</x:v>
      </x:c>
      <x:c r="AD273" s="60" t="n">
        <x:f>AA273-X273</x:f>
        <x:v>950361.2822139525</x:v>
      </x:c>
      <x:c r="AE273" s="28" t="str">
        <x:v>Skipped because the previous three rule outcomes totalled at or below the damage threshold.</x:v>
      </x:c>
    </x:row>
    <x:row r="274" ht="18" customHeight="1">
      <x:c r="A274" s="23" t="n">
        <x:v>270</x:v>
      </x:c>
      <x:c r="B274" s="53" t="n">
        <x:v>45103</x:v>
      </x:c>
      <x:c r="C274" s="53" t="n">
        <x:v>45107</x:v>
      </x:c>
      <x:c r="D274" s="23" t="str">
        <x:v>TO</x:v>
      </x:c>
      <x:c r="E274" s="54" t="n">
        <x:v>14869.027</x:v>
      </x:c>
      <x:c r="F274" s="54" t="n">
        <x:v>15155.209</x:v>
      </x:c>
      <x:c r="G274" s="55" t="n">
        <x:v>0.01924</x:v>
      </x:c>
      <x:c r="H274" s="56" t="n">
        <x:f>SUM(T271:T273)</x:f>
        <x:v>-0.01649</x:v>
      </x:c>
      <x:c r="I274" s="57" t="b">
        <x:f>AND(A274&gt;3,H274&lt;='Assumptions'!$B$7)</x:f>
        <x:v>0</x:v>
      </x:c>
      <x:c r="J274" s="55" t="n">
        <x:v>-0.0015834700286565528</x:v>
      </x:c>
      <x:c r="K274" s="55" t="n">
        <x:v>0.09463679068191588</x:v>
      </x:c>
      <x:c r="L274" s="55" t="n">
        <x:v>-0.009076307908517545</x:v>
      </x:c>
      <x:c r="M274" s="57" t="b">
        <x:f>J274&gt;='Assumptions'!$B$8</x:f>
        <x:v>0</x:v>
      </x:c>
      <x:c r="N274" s="57" t="b">
        <x:f>AND(K274&lt;&gt;"",K274&lt;='Assumptions'!$B$9)</x:f>
        <x:v>0</x:v>
      </x:c>
      <x:c r="O274" s="57" t="b">
        <x:f>AND(P274&lt;&gt;"",ABS(L274)&lt;='Assumptions'!$B$10)</x:f>
        <x:v>0</x:v>
      </x:c>
      <x:c r="P274" s="53" t="n">
        <x:v>45104</x:v>
      </x:c>
      <x:c r="Q274" s="54" t="n">
        <x:v>14752.059</x:v>
      </x:c>
      <x:c r="R274" s="55" t="n">
        <x:v>0.02732</x:v>
      </x:c>
      <x:c r="S274" s="57" t="str">
        <x:f>IF(I274,"DAMAGE SKIP",IF(AND(M274,N274),IF(O274,"TUESDAY RE-ENTRY","GAP/MOM SKIP"),"BASELINE"))</x:f>
        <x:v>BASELINE</x:v>
      </x:c>
      <x:c r="T274" s="56" t="n">
        <x:f>IF(I274,0,IF(AND(M274,N274),IF(O274,R274,0),G274))</x:f>
        <x:v>0.01924</x:v>
      </x:c>
      <x:c r="U274" s="56" t="n">
        <x:f>G274*'Assumptions'!$B$6</x:f>
        <x:v>0.21741200000000002</x:v>
      </x:c>
      <x:c r="V274" s="56" t="n">
        <x:f>T274*'Assumptions'!$B$6</x:f>
        <x:v>0.21741200000000002</x:v>
      </x:c>
      <x:c r="W274" s="56" t="n">
        <x:f>V274-U274</x:f>
        <x:v>0</x:v>
      </x:c>
      <x:c r="X274" s="58" t="n">
        <x:f>X273*(1+U274)</x:f>
        <x:v>397586.44675915083</x:v>
      </x:c>
      <x:c r="Y274" s="58" t="n">
        <x:f>MAX(Y273,X274)</x:f>
        <x:v>483590.54903116263</x:v>
      </x:c>
      <x:c r="Z274" s="59" t="n">
        <x:f>X274/Y274-1</x:f>
        <x:v>-0.17784487816049044</x:v>
      </x:c>
      <x:c r="AA274" s="58" t="n">
        <x:f>AA273*(1+V274)</x:f>
        <x:v>1554567.676061803</x:v>
      </x:c>
      <x:c r="AB274" s="58" t="n">
        <x:f>MAX(AB273,AA274)</x:f>
        <x:v>1891479.707438759</x:v>
      </x:c>
      <x:c r="AC274" s="59" t="n">
        <x:f>AA274/AB274-1</x:f>
        <x:v>-0.1781208807326654</x:v>
      </x:c>
      <x:c r="AD274" s="60" t="n">
        <x:f>AA274-X274</x:f>
        <x:v>1156981.2293026522</x:v>
      </x:c>
      <x:c r="AE274" s="28" t="str">
        <x:v>Baseline trade unchanged.</x:v>
      </x:c>
    </x:row>
    <x:row r="275" ht="18" customHeight="1">
      <x:c r="A275" s="23" t="n">
        <x:v>271</x:v>
      </x:c>
      <x:c r="B275" s="53" t="n">
        <x:v>45110</x:v>
      </x:c>
      <x:c r="C275" s="53" t="n">
        <x:v>45113</x:v>
      </x:c>
      <x:c r="D275" s="23" t="str">
        <x:v>TSL1PRE</x:v>
      </x:c>
      <x:c r="E275" s="54" t="n">
        <x:v>15192.519</x:v>
      </x:c>
      <x:c r="F275" s="54" t="n">
        <x:v>15129.227</x:v>
      </x:c>
      <x:c r="G275" s="55" t="n">
        <x:v>-0.00416</x:v>
      </x:c>
      <x:c r="H275" s="56" t="n">
        <x:f>SUM(T272:T274)</x:f>
        <x:v>0.01924</x:v>
      </x:c>
      <x:c r="I275" s="57" t="b">
        <x:f>AND(A275&gt;3,H275&lt;='Assumptions'!$B$7)</x:f>
        <x:v>0</x:v>
      </x:c>
      <x:c r="J275" s="55" t="n">
        <x:v>0.002461859813348566</x:v>
      </x:c>
      <x:c r="K275" s="55" t="n">
        <x:v>0.05089249510400218</x:v>
      </x:c>
      <x:c r="L275" s="55"/>
      <x:c r="M275" s="57" t="b">
        <x:f>J275&gt;='Assumptions'!$B$8</x:f>
        <x:v>0</x:v>
      </x:c>
      <x:c r="N275" s="57" t="b">
        <x:f>AND(K275&lt;&gt;"",K275&lt;='Assumptions'!$B$9)</x:f>
        <x:v>0</x:v>
      </x:c>
      <x:c r="O275" s="57" t="b">
        <x:f>AND(P275&lt;&gt;"",ABS(L275)&lt;='Assumptions'!$B$10)</x:f>
        <x:v>0</x:v>
      </x:c>
      <x:c r="P275" s="53"/>
      <x:c r="Q275" s="54"/>
      <x:c r="R275" s="55"/>
      <x:c r="S275" s="57" t="str">
        <x:f>IF(I275,"DAMAGE SKIP",IF(AND(M275,N275),IF(O275,"TUESDAY RE-ENTRY","GAP/MOM SKIP"),"BASELINE"))</x:f>
        <x:v>BASELINE</x:v>
      </x:c>
      <x:c r="T275" s="56" t="n">
        <x:f>IF(I275,0,IF(AND(M275,N275),IF(O275,R275,0),G275))</x:f>
        <x:v>-0.00416</x:v>
      </x:c>
      <x:c r="U275" s="56" t="n">
        <x:f>G275*'Assumptions'!$B$6</x:f>
        <x:v>-0.047008</x:v>
      </x:c>
      <x:c r="V275" s="56" t="n">
        <x:f>T275*'Assumptions'!$B$6</x:f>
        <x:v>-0.047008</x:v>
      </x:c>
      <x:c r="W275" s="56" t="n">
        <x:f>V275-U275</x:f>
        <x:v>0</x:v>
      </x:c>
      <x:c r="X275" s="58" t="n">
        <x:f>X274*(1+U275)</x:f>
        <x:v>378896.70306989667</x:v>
      </x:c>
      <x:c r="Y275" s="58" t="n">
        <x:f>MAX(Y274,X275)</x:f>
        <x:v>483590.54903116263</x:v>
      </x:c>
      <x:c r="Z275" s="59" t="n">
        <x:f>X275/Y275-1</x:f>
        <x:v>-0.21649274612792213</x:v>
      </x:c>
      <x:c r="AA275" s="58" t="n">
        <x:f>AA274*(1+V275)</x:f>
        <x:v>1481490.5587454897</x:v>
      </x:c>
      <x:c r="AB275" s="58" t="n">
        <x:f>MAX(AB274,AA275)</x:f>
        <x:v>1891479.707438759</x:v>
      </x:c>
      <x:c r="AC275" s="59" t="n">
        <x:f>AA275/AB275-1</x:f>
        <x:v>-0.21675577437118432</x:v>
      </x:c>
      <x:c r="AD275" s="60" t="n">
        <x:f>AA275-X275</x:f>
        <x:v>1102593.855675593</x:v>
      </x:c>
      <x:c r="AE275" s="28" t="str">
        <x:v>Baseline trade unchanged.</x:v>
      </x:c>
    </x:row>
    <x:row r="276" ht="18" customHeight="1">
      <x:c r="A276" s="23" t="n">
        <x:v>272</x:v>
      </x:c>
      <x:c r="B276" s="53" t="n">
        <x:v>45117</x:v>
      </x:c>
      <x:c r="C276" s="53" t="n">
        <x:v>45121</x:v>
      </x:c>
      <x:c r="D276" s="23" t="str">
        <x:v>TO</x:v>
      </x:c>
      <x:c r="E276" s="54" t="n">
        <x:v>15025.999</x:v>
      </x:c>
      <x:c r="F276" s="54" t="n">
        <x:v>15565.919</x:v>
      </x:c>
      <x:c r="G276" s="55" t="n">
        <x:v>0.03593</x:v>
      </x:c>
      <x:c r="H276" s="56" t="n">
        <x:f>SUM(T273:T275)</x:f>
        <x:v>0.01508</x:v>
      </x:c>
      <x:c r="I276" s="57" t="b">
        <x:f>AND(A276&gt;3,H276&lt;='Assumptions'!$B$7)</x:f>
        <x:v>0</x:v>
      </x:c>
      <x:c r="J276" s="55" t="n">
        <x:v>-0.0016039718968707817</x:v>
      </x:c>
      <x:c r="K276" s="55" t="n">
        <x:v>0.051384293923036894</x:v>
      </x:c>
      <x:c r="L276" s="55" t="n">
        <x:v>0.0015015761028578378</x:v>
      </x:c>
      <x:c r="M276" s="57" t="b">
        <x:f>J276&gt;='Assumptions'!$B$8</x:f>
        <x:v>0</x:v>
      </x:c>
      <x:c r="N276" s="57" t="b">
        <x:f>AND(K276&lt;&gt;"",K276&lt;='Assumptions'!$B$9)</x:f>
        <x:v>0</x:v>
      </x:c>
      <x:c r="O276" s="57" t="b">
        <x:f>AND(P276&lt;&gt;"",ABS(L276)&lt;='Assumptions'!$B$10)</x:f>
        <x:v>1</x:v>
      </x:c>
      <x:c r="P276" s="53" t="n">
        <x:v>45118</x:v>
      </x:c>
      <x:c r="Q276" s="54" t="n">
        <x:v>15058.667</x:v>
      </x:c>
      <x:c r="R276" s="55" t="n">
        <x:v>0.03368</x:v>
      </x:c>
      <x:c r="S276" s="57" t="str">
        <x:f>IF(I276,"DAMAGE SKIP",IF(AND(M276,N276),IF(O276,"TUESDAY RE-ENTRY","GAP/MOM SKIP"),"BASELINE"))</x:f>
        <x:v>BASELINE</x:v>
      </x:c>
      <x:c r="T276" s="56" t="n">
        <x:f>IF(I276,0,IF(AND(M276,N276),IF(O276,R276,0),G276))</x:f>
        <x:v>0.03593</x:v>
      </x:c>
      <x:c r="U276" s="56" t="n">
        <x:f>G276*'Assumptions'!$B$6</x:f>
        <x:v>0.406009</x:v>
      </x:c>
      <x:c r="V276" s="56" t="n">
        <x:f>T276*'Assumptions'!$B$6</x:f>
        <x:v>0.406009</x:v>
      </x:c>
      <x:c r="W276" s="56" t="n">
        <x:f>V276-U276</x:f>
        <x:v>0</x:v>
      </x:c>
      <x:c r="X276" s="58" t="n">
        <x:f>X275*(1+U276)</x:f>
        <x:v>532732.1745866024</x:v>
      </x:c>
      <x:c r="Y276" s="58" t="n">
        <x:f>MAX(Y275,X276)</x:f>
        <x:v>532732.1745866024</x:v>
      </x:c>
      <x:c r="Z276" s="59" t="n">
        <x:f>X276/Y276-1</x:f>
        <x:v>0</x:v>
      </x:c>
      <x:c r="AA276" s="58" t="n">
        <x:f>AA275*(1+V276)</x:f>
        <x:v>2082989.0590111874</x:v>
      </x:c>
      <x:c r="AB276" s="58" t="n">
        <x:f>MAX(AB275,AA276)</x:f>
        <x:v>2082989.0590111874</x:v>
      </x:c>
      <x:c r="AC276" s="59" t="n">
        <x:f>AA276/AB276-1</x:f>
        <x:v>0</x:v>
      </x:c>
      <x:c r="AD276" s="60" t="n">
        <x:f>AA276-X276</x:f>
        <x:v>1550256.884424585</x:v>
      </x:c>
      <x:c r="AE276" s="28" t="str">
        <x:v>Baseline trade unchanged.</x:v>
      </x:c>
    </x:row>
    <x:row r="277" ht="18" customHeight="1">
      <x:c r="A277" s="23" t="n">
        <x:v>273</x:v>
      </x:c>
      <x:c r="B277" s="53" t="n">
        <x:v>45124</x:v>
      </x:c>
      <x:c r="C277" s="53" t="n">
        <x:v>45127</x:v>
      </x:c>
      <x:c r="D277" s="23" t="str">
        <x:v>TSL2</x:v>
      </x:c>
      <x:c r="E277" s="54" t="n">
        <x:v>15594.639</x:v>
      </x:c>
      <x:c r="F277" s="54" t="n">
        <x:v>15532.260444</x:v>
      </x:c>
      <x:c r="G277" s="55" t="n">
        <x:v>-0.004</x:v>
      </x:c>
      <x:c r="H277" s="56" t="n">
        <x:f>SUM(T274:T276)</x:f>
        <x:v>0.05101</x:v>
      </x:c>
      <x:c r="I277" s="57" t="b">
        <x:f>AND(A277&gt;3,H277&lt;='Assumptions'!$B$7)</x:f>
        <x:v>0</x:v>
      </x:c>
      <x:c r="J277" s="55" t="n">
        <x:v>0.0018450564981096207</x:v>
      </x:c>
      <x:c r="K277" s="55" t="n">
        <x:v>0.03741831602361567</x:v>
      </x:c>
      <x:c r="L277" s="55" t="n">
        <x:v>0.007619093335893501</x:v>
      </x:c>
      <x:c r="M277" s="57" t="b">
        <x:f>J277&gt;='Assumptions'!$B$8</x:f>
        <x:v>0</x:v>
      </x:c>
      <x:c r="N277" s="57" t="b">
        <x:f>AND(K277&lt;&gt;"",K277&lt;='Assumptions'!$B$9)</x:f>
        <x:v>0</x:v>
      </x:c>
      <x:c r="O277" s="57" t="b">
        <x:f>AND(P277&lt;&gt;"",ABS(L277)&lt;='Assumptions'!$B$10)</x:f>
        <x:v>0</x:v>
      </x:c>
      <x:c r="P277" s="53" t="n">
        <x:v>45125</x:v>
      </x:c>
      <x:c r="Q277" s="54" t="n">
        <x:v>15679.799</x:v>
      </x:c>
      <x:c r="R277" s="55" t="n">
        <x:v>-0.0094</x:v>
      </x:c>
      <x:c r="S277" s="57" t="str">
        <x:f>IF(I277,"DAMAGE SKIP",IF(AND(M277,N277),IF(O277,"TUESDAY RE-ENTRY","GAP/MOM SKIP"),"BASELINE"))</x:f>
        <x:v>BASELINE</x:v>
      </x:c>
      <x:c r="T277" s="56" t="n">
        <x:f>IF(I277,0,IF(AND(M277,N277),IF(O277,R277,0),G277))</x:f>
        <x:v>-0.004</x:v>
      </x:c>
      <x:c r="U277" s="56" t="n">
        <x:f>G277*'Assumptions'!$B$6</x:f>
        <x:v>-0.045200000000000004</x:v>
      </x:c>
      <x:c r="V277" s="56" t="n">
        <x:f>T277*'Assumptions'!$B$6</x:f>
        <x:v>-0.045200000000000004</x:v>
      </x:c>
      <x:c r="W277" s="56" t="n">
        <x:f>V277-U277</x:f>
        <x:v>0</x:v>
      </x:c>
      <x:c r="X277" s="58" t="n">
        <x:f>X276*(1+U277)</x:f>
        <x:v>508652.6802952879</x:v>
      </x:c>
      <x:c r="Y277" s="58" t="n">
        <x:f>MAX(Y276,X277)</x:f>
        <x:v>532732.1745866024</x:v>
      </x:c>
      <x:c r="Z277" s="59" t="n">
        <x:f>X277/Y277-1</x:f>
        <x:v>-0.04520000000000002</x:v>
      </x:c>
      <x:c r="AA277" s="58" t="n">
        <x:f>AA276*(1+V277)</x:f>
        <x:v>1988837.9535438817</x:v>
      </x:c>
      <x:c r="AB277" s="58" t="n">
        <x:f>MAX(AB276,AA277)</x:f>
        <x:v>2082989.0590111874</x:v>
      </x:c>
      <x:c r="AC277" s="59" t="n">
        <x:f>AA277/AB277-1</x:f>
        <x:v>-0.04520000000000002</x:v>
      </x:c>
      <x:c r="AD277" s="60" t="n">
        <x:f>AA277-X277</x:f>
        <x:v>1480185.2732485938</x:v>
      </x:c>
      <x:c r="AE277" s="28" t="str">
        <x:v>Baseline trade unchanged.</x:v>
      </x:c>
    </x:row>
    <x:row r="278" ht="18" customHeight="1">
      <x:c r="A278" s="23" t="n">
        <x:v>274</x:v>
      </x:c>
      <x:c r="B278" s="53" t="n">
        <x:v>45131</x:v>
      </x:c>
      <x:c r="C278" s="53" t="n">
        <x:v>45135</x:v>
      </x:c>
      <x:c r="D278" s="23" t="str">
        <x:v>TO</x:v>
      </x:c>
      <x:c r="E278" s="54" t="n">
        <x:v>15461.709</x:v>
      </x:c>
      <x:c r="F278" s="54" t="n">
        <x:v>15729.719</x:v>
      </x:c>
      <x:c r="G278" s="55" t="n">
        <x:v>0.01733</x:v>
      </x:c>
      <x:c r="H278" s="56" t="n">
        <x:f>SUM(T275:T277)</x:f>
        <x:v>0.02777</x:v>
      </x:c>
      <x:c r="I278" s="57" t="b">
        <x:f>AND(A278&gt;3,H278&lt;='Assumptions'!$B$7)</x:f>
        <x:v>0</x:v>
      </x:c>
      <x:c r="J278" s="55" t="n">
        <x:v>0.002120033840173452</x:v>
      </x:c>
      <x:c r="K278" s="55" t="n">
        <x:v>0.025829820245874657</x:v>
      </x:c>
      <x:c r="L278" s="55" t="n">
        <x:v>0.003517478395900664</x:v>
      </x:c>
      <x:c r="M278" s="57" t="b">
        <x:f>J278&gt;='Assumptions'!$B$8</x:f>
        <x:v>0</x:v>
      </x:c>
      <x:c r="N278" s="57" t="b">
        <x:f>AND(K278&lt;&gt;"",K278&lt;='Assumptions'!$B$9)</x:f>
        <x:v>0</x:v>
      </x:c>
      <x:c r="O278" s="57" t="b">
        <x:f>AND(P278&lt;&gt;"",ABS(L278)&lt;='Assumptions'!$B$10)</x:f>
        <x:v>1</x:v>
      </x:c>
      <x:c r="P278" s="53" t="n">
        <x:v>45132</x:v>
      </x:c>
      <x:c r="Q278" s="54" t="n">
        <x:v>15473.909</x:v>
      </x:c>
      <x:c r="R278" s="55" t="n">
        <x:v>0.01653</x:v>
      </x:c>
      <x:c r="S278" s="57" t="str">
        <x:f>IF(I278,"DAMAGE SKIP",IF(AND(M278,N278),IF(O278,"TUESDAY RE-ENTRY","GAP/MOM SKIP"),"BASELINE"))</x:f>
        <x:v>BASELINE</x:v>
      </x:c>
      <x:c r="T278" s="56" t="n">
        <x:f>IF(I278,0,IF(AND(M278,N278),IF(O278,R278,0),G278))</x:f>
        <x:v>0.01733</x:v>
      </x:c>
      <x:c r="U278" s="56" t="n">
        <x:f>G278*'Assumptions'!$B$6</x:f>
        <x:v>0.19582900000000003</x:v>
      </x:c>
      <x:c r="V278" s="56" t="n">
        <x:f>T278*'Assumptions'!$B$6</x:f>
        <x:v>0.19582900000000003</x:v>
      </x:c>
      <x:c r="W278" s="56" t="n">
        <x:f>V278-U278</x:f>
        <x:v>0</x:v>
      </x:c>
      <x:c r="X278" s="58" t="n">
        <x:f>X277*(1+U278)</x:f>
        <x:v>608261.6260248339</x:v>
      </x:c>
      <x:c r="Y278" s="58" t="n">
        <x:f>MAX(Y277,X278)</x:f>
        <x:v>608261.6260248339</x:v>
      </x:c>
      <x:c r="Z278" s="59" t="n">
        <x:f>X278/Y278-1</x:f>
        <x:v>0</x:v>
      </x:c>
      <x:c r="AA278" s="58" t="n">
        <x:f>AA277*(1+V278)</x:f>
        <x:v>2378310.1011484265</x:v>
      </x:c>
      <x:c r="AB278" s="58" t="n">
        <x:f>MAX(AB277,AA278)</x:f>
        <x:v>2378310.1011484265</x:v>
      </x:c>
      <x:c r="AC278" s="59" t="n">
        <x:f>AA278/AB278-1</x:f>
        <x:v>0</x:v>
      </x:c>
      <x:c r="AD278" s="60" t="n">
        <x:f>AA278-X278</x:f>
        <x:v>1770048.4751235927</x:v>
      </x:c>
      <x:c r="AE278" s="28" t="str">
        <x:v>Baseline trade unchanged.</x:v>
      </x:c>
    </x:row>
    <x:row r="279" ht="18" customHeight="1">
      <x:c r="A279" s="23" t="n">
        <x:v>275</x:v>
      </x:c>
      <x:c r="B279" s="53" t="n">
        <x:v>45138</x:v>
      </x:c>
      <x:c r="C279" s="53" t="n">
        <x:v>45141</x:v>
      </x:c>
      <x:c r="D279" s="23" t="str">
        <x:v>TSL1PRE</x:v>
      </x:c>
      <x:c r="E279" s="54" t="n">
        <x:v>15755.189</x:v>
      </x:c>
      <x:c r="F279" s="54" t="n">
        <x:v>15364.739</x:v>
      </x:c>
      <x:c r="G279" s="55" t="n">
        <x:v>-0.02478</x:v>
      </x:c>
      <x:c r="H279" s="56" t="n">
        <x:f>SUM(T276:T278)</x:f>
        <x:v>0.04926</x:v>
      </x:c>
      <x:c r="I279" s="57" t="b">
        <x:f>AND(A279&gt;3,H279&lt;='Assumptions'!$B$7)</x:f>
        <x:v>0</x:v>
      </x:c>
      <x:c r="J279" s="55" t="n">
        <x:v>0.0016192279086486572</x:v>
      </x:c>
      <x:c r="K279" s="55" t="n">
        <x:v>0.054061864378521785</x:v>
      </x:c>
      <x:c r="L279" s="55" t="n">
        <x:v>-0.0030500342700479077</x:v>
      </x:c>
      <x:c r="M279" s="57" t="b">
        <x:f>J279&gt;='Assumptions'!$B$8</x:f>
        <x:v>0</x:v>
      </x:c>
      <x:c r="N279" s="57" t="b">
        <x:f>AND(K279&lt;&gt;"",K279&lt;='Assumptions'!$B$9)</x:f>
        <x:v>0</x:v>
      </x:c>
      <x:c r="O279" s="57" t="b">
        <x:f>AND(P279&lt;&gt;"",ABS(L279)&lt;='Assumptions'!$B$10)</x:f>
        <x:v>1</x:v>
      </x:c>
      <x:c r="P279" s="53" t="n">
        <x:v>45139</x:v>
      </x:c>
      <x:c r="Q279" s="54" t="n">
        <x:v>15695.409</x:v>
      </x:c>
      <x:c r="R279" s="55" t="n">
        <x:v>-0.02106</x:v>
      </x:c>
      <x:c r="S279" s="57" t="str">
        <x:f>IF(I279,"DAMAGE SKIP",IF(AND(M279,N279),IF(O279,"TUESDAY RE-ENTRY","GAP/MOM SKIP"),"BASELINE"))</x:f>
        <x:v>BASELINE</x:v>
      </x:c>
      <x:c r="T279" s="56" t="n">
        <x:f>IF(I279,0,IF(AND(M279,N279),IF(O279,R279,0),G279))</x:f>
        <x:v>-0.02478</x:v>
      </x:c>
      <x:c r="U279" s="56" t="n">
        <x:f>G279*'Assumptions'!$B$6</x:f>
        <x:v>-0.28001400000000004</x:v>
      </x:c>
      <x:c r="V279" s="56" t="n">
        <x:f>T279*'Assumptions'!$B$6</x:f>
        <x:v>-0.28001400000000004</x:v>
      </x:c>
      <x:c r="W279" s="56" t="n">
        <x:f>V279-U279</x:f>
        <x:v>0</x:v>
      </x:c>
      <x:c r="X279" s="58" t="n">
        <x:f>X278*(1+U279)</x:f>
        <x:v>437939.85507511604</x:v>
      </x:c>
      <x:c r="Y279" s="58" t="n">
        <x:f>MAX(Y278,X279)</x:f>
        <x:v>608261.6260248339</x:v>
      </x:c>
      <x:c r="Z279" s="59" t="n">
        <x:f>X279/Y279-1</x:f>
        <x:v>-0.280014</x:v>
      </x:c>
      <x:c r="AA279" s="58" t="n">
        <x:f>AA278*(1+V279)</x:f>
        <x:v>1712349.976485451</x:v>
      </x:c>
      <x:c r="AB279" s="58" t="n">
        <x:f>MAX(AB278,AA279)</x:f>
        <x:v>2378310.1011484265</x:v>
      </x:c>
      <x:c r="AC279" s="59" t="n">
        <x:f>AA279/AB279-1</x:f>
        <x:v>-0.280014</x:v>
      </x:c>
      <x:c r="AD279" s="60" t="n">
        <x:f>AA279-X279</x:f>
        <x:v>1274410.121410335</x:v>
      </x:c>
      <x:c r="AE279" s="28" t="str">
        <x:v>Baseline trade unchanged.</x:v>
      </x:c>
    </x:row>
    <x:row r="280" ht="18" customHeight="1">
      <x:c r="A280" s="23" t="n">
        <x:v>276</x:v>
      </x:c>
      <x:c r="B280" s="53" t="n">
        <x:v>45145</x:v>
      </x:c>
      <x:c r="C280" s="53" t="n">
        <x:v>45147</x:v>
      </x:c>
      <x:c r="D280" s="23" t="str">
        <x:v>BEPRE</x:v>
      </x:c>
      <x:c r="E280" s="54" t="n">
        <x:v>15351.619</x:v>
      </x:c>
      <x:c r="F280" s="54" t="n">
        <x:v>15292.549</x:v>
      </x:c>
      <x:c r="G280" s="55" t="n">
        <x:v>-0.00384</x:v>
      </x:c>
      <x:c r="H280" s="56" t="n">
        <x:f>SUM(T277:T279)</x:f>
        <x:v>-0.011449999999999998</x:v>
      </x:c>
      <x:c r="I280" s="57" t="b">
        <x:f>AND(A280&gt;3,H280&lt;='Assumptions'!$B$7)</x:f>
        <x:v>0</x:v>
      </x:c>
      <x:c r="J280" s="55" t="n">
        <x:v>0.004673365397030782</x:v>
      </x:c>
      <x:c r="K280" s="55" t="n">
        <x:v>0.015835555334735574</x:v>
      </x:c>
      <x:c r="L280" s="55" t="n">
        <x:v>0.0016140295579352149</x:v>
      </x:c>
      <x:c r="M280" s="57" t="b">
        <x:f>J280&gt;='Assumptions'!$B$8</x:f>
        <x:v>0</x:v>
      </x:c>
      <x:c r="N280" s="57" t="b">
        <x:f>AND(K280&lt;&gt;"",K280&lt;='Assumptions'!$B$9)</x:f>
        <x:v>0</x:v>
      </x:c>
      <x:c r="O280" s="57" t="b">
        <x:f>AND(P280&lt;&gt;"",ABS(L280)&lt;='Assumptions'!$B$10)</x:f>
        <x:v>1</x:v>
      </x:c>
      <x:c r="P280" s="53" t="n">
        <x:v>45146</x:v>
      </x:c>
      <x:c r="Q280" s="54" t="n">
        <x:v>15298.169</x:v>
      </x:c>
      <x:c r="R280" s="55" t="n">
        <x:v>-0.00036</x:v>
      </x:c>
      <x:c r="S280" s="57" t="str">
        <x:f>IF(I280,"DAMAGE SKIP",IF(AND(M280,N280),IF(O280,"TUESDAY RE-ENTRY","GAP/MOM SKIP"),"BASELINE"))</x:f>
        <x:v>BASELINE</x:v>
      </x:c>
      <x:c r="T280" s="56" t="n">
        <x:f>IF(I280,0,IF(AND(M280,N280),IF(O280,R280,0),G280))</x:f>
        <x:v>-0.00384</x:v>
      </x:c>
      <x:c r="U280" s="56" t="n">
        <x:f>G280*'Assumptions'!$B$6</x:f>
        <x:v>-0.04339200000000001</x:v>
      </x:c>
      <x:c r="V280" s="56" t="n">
        <x:f>T280*'Assumptions'!$B$6</x:f>
        <x:v>-0.04339200000000001</x:v>
      </x:c>
      <x:c r="W280" s="56" t="n">
        <x:f>V280-U280</x:f>
        <x:v>0</x:v>
      </x:c>
      <x:c r="X280" s="58" t="n">
        <x:f>X279*(1+U280)</x:f>
        <x:v>418936.7688836966</x:v>
      </x:c>
      <x:c r="Y280" s="58" t="n">
        <x:f>MAX(Y279,X280)</x:f>
        <x:v>608261.6260248339</x:v>
      </x:c>
      <x:c r="Z280" s="59" t="n">
        <x:f>X280/Y280-1</x:f>
        <x:v>-0.31125563251200006</x:v>
      </x:c>
      <x:c r="AA280" s="58" t="n">
        <x:f>AA279*(1+V280)</x:f>
        <x:v>1638047.6863057944</x:v>
      </x:c>
      <x:c r="AB280" s="58" t="n">
        <x:f>MAX(AB279,AA280)</x:f>
        <x:v>2378310.1011484265</x:v>
      </x:c>
      <x:c r="AC280" s="59" t="n">
        <x:f>AA280/AB280-1</x:f>
        <x:v>-0.31125563251199995</x:v>
      </x:c>
      <x:c r="AD280" s="60" t="n">
        <x:f>AA280-X280</x:f>
        <x:v>1219110.9174220979</x:v>
      </x:c>
      <x:c r="AE280" s="28" t="str">
        <x:v>Baseline trade unchanged.</x:v>
      </x:c>
    </x:row>
    <x:row r="281" ht="18" customHeight="1">
      <x:c r="A281" s="23" t="n">
        <x:v>277</x:v>
      </x:c>
      <x:c r="B281" s="53" t="n">
        <x:v>45152</x:v>
      </x:c>
      <x:c r="C281" s="53" t="n">
        <x:v>45152</x:v>
      </x:c>
      <x:c r="D281" s="23" t="str">
        <x:v>CH</x:v>
      </x:c>
      <x:c r="E281" s="54" t="n">
        <x:v>14997.939</x:v>
      </x:c>
      <x:c r="F281" s="54" t="n">
        <x:v>15200.989</x:v>
      </x:c>
      <x:c r="G281" s="55" t="n">
        <x:v>0.01353</x:v>
      </x:c>
      <x:c r="H281" s="56" t="n">
        <x:f>SUM(T278:T280)</x:f>
        <x:v>-0.011289999999999998</x:v>
      </x:c>
      <x:c r="I281" s="57" t="b">
        <x:f>AND(A281&gt;3,H281&lt;='Assumptions'!$B$7)</x:f>
        <x:v>0</x:v>
      </x:c>
      <x:c r="J281" s="55" t="n">
        <x:v>-0.0026705503135735498</x:v>
      </x:c>
      <x:c r="K281" s="55" t="n">
        <x:v>-0.03384989559415319</x:v>
      </x:c>
      <x:c r="L281" s="55" t="n">
        <x:v>0.00852089233368103</x:v>
      </x:c>
      <x:c r="M281" s="57" t="b">
        <x:f>J281&gt;='Assumptions'!$B$8</x:f>
        <x:v>0</x:v>
      </x:c>
      <x:c r="N281" s="57" t="b">
        <x:f>AND(K281&lt;&gt;"",K281&lt;='Assumptions'!$B$9)</x:f>
        <x:v>1</x:v>
      </x:c>
      <x:c r="O281" s="57" t="b">
        <x:f>AND(P281&lt;&gt;"",ABS(L281)&lt;='Assumptions'!$B$10)</x:f>
        <x:v>0</x:v>
      </x:c>
      <x:c r="P281" s="53" t="n">
        <x:v>45153</x:v>
      </x:c>
      <x:c r="Q281" s="54" t="n">
        <x:v>15155.499</x:v>
      </x:c>
      <x:c r="R281" s="55" t="n">
        <x:v>0.003</x:v>
      </x:c>
      <x:c r="S281" s="57" t="str">
        <x:f>IF(I281,"DAMAGE SKIP",IF(AND(M281,N281),IF(O281,"TUESDAY RE-ENTRY","GAP/MOM SKIP"),"BASELINE"))</x:f>
        <x:v>BASELINE</x:v>
      </x:c>
      <x:c r="T281" s="56" t="n">
        <x:f>IF(I281,0,IF(AND(M281,N281),IF(O281,R281,0),G281))</x:f>
        <x:v>0.01353</x:v>
      </x:c>
      <x:c r="U281" s="56" t="n">
        <x:f>G281*'Assumptions'!$B$6</x:f>
        <x:v>0.15288900000000002</x:v>
      </x:c>
      <x:c r="V281" s="56" t="n">
        <x:f>T281*'Assumptions'!$B$6</x:f>
        <x:v>0.15288900000000002</x:v>
      </x:c>
      <x:c r="W281" s="56" t="n">
        <x:f>V281-U281</x:f>
        <x:v>0</x:v>
      </x:c>
      <x:c r="X281" s="58" t="n">
        <x:f>X280*(1+U281)</x:f>
        <x:v>482987.5925415561</x:v>
      </x:c>
      <x:c r="Y281" s="58" t="n">
        <x:f>MAX(Y280,X281)</x:f>
        <x:v>608261.6260248339</x:v>
      </x:c>
      <x:c r="Z281" s="59" t="n">
        <x:f>X281/Y281-1</x:f>
        <x:v>-0.2059541949111272</x:v>
      </x:c>
      <x:c r="AA281" s="58" t="n">
        <x:f>AA280*(1+V281)</x:f>
        <x:v>1888487.159017401</x:v>
      </x:c>
      <x:c r="AB281" s="58" t="n">
        <x:f>MAX(AB280,AA281)</x:f>
        <x:v>2378310.1011484265</x:v>
      </x:c>
      <x:c r="AC281" s="59" t="n">
        <x:f>AA281/AB281-1</x:f>
        <x:v>-0.2059541949111271</x:v>
      </x:c>
      <x:c r="AD281" s="60" t="n">
        <x:f>AA281-X281</x:f>
        <x:v>1405499.566475845</x:v>
      </x:c>
      <x:c r="AE281" s="28" t="str">
        <x:v>Baseline trade unchanged.</x:v>
      </x:c>
    </x:row>
    <x:row r="282" ht="18" customHeight="1">
      <x:c r="A282" s="23" t="n">
        <x:v>278</x:v>
      </x:c>
      <x:c r="B282" s="53" t="n">
        <x:v>45159</x:v>
      </x:c>
      <x:c r="C282" s="53" t="n">
        <x:v>45159</x:v>
      </x:c>
      <x:c r="D282" s="23" t="str">
        <x:v>CH</x:v>
      </x:c>
      <x:c r="E282" s="54" t="n">
        <x:v>14750.309</x:v>
      </x:c>
      <x:c r="F282" s="54" t="n">
        <x:v>14921.719</x:v>
      </x:c>
      <x:c r="G282" s="55" t="n">
        <x:v>0.01162</x:v>
      </x:c>
      <x:c r="H282" s="56" t="n">
        <x:f>SUM(T279:T281)</x:f>
        <x:v>-0.01509</x:v>
      </x:c>
      <x:c r="I282" s="57" t="b">
        <x:f>AND(A282&gt;3,H282&lt;='Assumptions'!$B$7)</x:f>
        <x:v>0</x:v>
      </x:c>
      <x:c r="J282" s="55" t="n">
        <x:v>0.002723953023468839</x:v>
      </x:c>
      <x:c r="K282" s="55" t="n">
        <x:v>-0.0465830402101336</x:v>
      </x:c>
      <x:c r="L282" s="55" t="n">
        <x:v>0.023507892419212695</x:v>
      </x:c>
      <x:c r="M282" s="57" t="b">
        <x:f>J282&gt;='Assumptions'!$B$8</x:f>
        <x:v>0</x:v>
      </x:c>
      <x:c r="N282" s="57" t="b">
        <x:f>AND(K282&lt;&gt;"",K282&lt;='Assumptions'!$B$9)</x:f>
        <x:v>1</x:v>
      </x:c>
      <x:c r="O282" s="57" t="b">
        <x:f>AND(P282&lt;&gt;"",ABS(L282)&lt;='Assumptions'!$B$10)</x:f>
        <x:v>0</x:v>
      </x:c>
      <x:c r="P282" s="53" t="n">
        <x:v>45160</x:v>
      </x:c>
      <x:c r="Q282" s="54" t="n">
        <x:v>15037.479</x:v>
      </x:c>
      <x:c r="R282" s="55" t="n">
        <x:v>-0.00769</x:v>
      </x:c>
      <x:c r="S282" s="57" t="str">
        <x:f>IF(I282,"DAMAGE SKIP",IF(AND(M282,N282),IF(O282,"TUESDAY RE-ENTRY","GAP/MOM SKIP"),"BASELINE"))</x:f>
        <x:v>BASELINE</x:v>
      </x:c>
      <x:c r="T282" s="56" t="n">
        <x:f>IF(I282,0,IF(AND(M282,N282),IF(O282,R282,0),G282))</x:f>
        <x:v>0.01162</x:v>
      </x:c>
      <x:c r="U282" s="56" t="n">
        <x:f>G282*'Assumptions'!$B$6</x:f>
        <x:v>0.131306</x:v>
      </x:c>
      <x:c r="V282" s="56" t="n">
        <x:f>T282*'Assumptions'!$B$6</x:f>
        <x:v>0.131306</x:v>
      </x:c>
      <x:c r="W282" s="56" t="n">
        <x:f>V282-U282</x:f>
        <x:v>0</x:v>
      </x:c>
      <x:c r="X282" s="58" t="n">
        <x:f>X281*(1+U282)</x:f>
        <x:v>546406.7613678176</x:v>
      </x:c>
      <x:c r="Y282" s="58" t="n">
        <x:f>MAX(Y281,X282)</x:f>
        <x:v>608261.6260248339</x:v>
      </x:c>
      <x:c r="Z282" s="59" t="n">
        <x:f>X282/Y282-1</x:f>
        <x:v>-0.10169121642812773</x:v>
      </x:c>
      <x:c r="AA282" s="58" t="n">
        <x:f>AA281*(1+V282)</x:f>
        <x:v>2136456.85391934</x:v>
      </x:c>
      <x:c r="AB282" s="58" t="n">
        <x:f>MAX(AB281,AA282)</x:f>
        <x:v>2378310.1011484265</x:v>
      </x:c>
      <x:c r="AC282" s="59" t="n">
        <x:f>AA282/AB282-1</x:f>
        <x:v>-0.10169121642812762</x:v>
      </x:c>
      <x:c r="AD282" s="60" t="n">
        <x:f>AA282-X282</x:f>
        <x:v>1590050.0925515222</x:v>
      </x:c>
      <x:c r="AE282" s="28" t="str">
        <x:v>Baseline trade unchanged.</x:v>
      </x:c>
    </x:row>
    <x:row r="283" ht="18" customHeight="1">
      <x:c r="A283" s="23" t="n">
        <x:v>279</x:v>
      </x:c>
      <x:c r="B283" s="53" t="n">
        <x:v>45166</x:v>
      </x:c>
      <x:c r="C283" s="53" t="n">
        <x:v>45167</x:v>
      </x:c>
      <x:c r="D283" s="23" t="str">
        <x:v>CH</x:v>
      </x:c>
      <x:c r="E283" s="54" t="n">
        <x:v>15058.319</x:v>
      </x:c>
      <x:c r="F283" s="54" t="n">
        <x:v>15378.269</x:v>
      </x:c>
      <x:c r="G283" s="55" t="n">
        <x:v>0.02124</x:v>
      </x:c>
      <x:c r="H283" s="56" t="n">
        <x:f>SUM(T280:T282)</x:f>
        <x:v>0.021310000000000003</x:v>
      </x:c>
      <x:c r="I283" s="57" t="b">
        <x:f>AND(A283&gt;3,H283&lt;='Assumptions'!$B$7)</x:f>
        <x:v>0</x:v>
      </x:c>
      <x:c r="J283" s="55" t="n">
        <x:v>0.007339144397983777</x:v>
      </x:c>
      <x:c r="K283" s="55" t="n">
        <x:v>-0.05074603258290711</x:v>
      </x:c>
      <x:c r="L283" s="55" t="n">
        <x:v>0.006976033769335421</x:v>
      </x:c>
      <x:c r="M283" s="57" t="b">
        <x:f>J283&gt;='Assumptions'!$B$8</x:f>
        <x:v>0</x:v>
      </x:c>
      <x:c r="N283" s="57" t="b">
        <x:f>AND(K283&lt;&gt;"",K283&lt;='Assumptions'!$B$9)</x:f>
        <x:v>1</x:v>
      </x:c>
      <x:c r="O283" s="57" t="b">
        <x:f>AND(P283&lt;&gt;"",ABS(L283)&lt;='Assumptions'!$B$10)</x:f>
        <x:v>0</x:v>
      </x:c>
      <x:c r="P283" s="53" t="n">
        <x:v>45167</x:v>
      </x:c>
      <x:c r="Q283" s="54" t="n">
        <x:v>15036.377</x:v>
      </x:c>
      <x:c r="R283" s="55" t="n">
        <x:v>0.02273</x:v>
      </x:c>
      <x:c r="S283" s="57" t="str">
        <x:f>IF(I283,"DAMAGE SKIP",IF(AND(M283,N283),IF(O283,"TUESDAY RE-ENTRY","GAP/MOM SKIP"),"BASELINE"))</x:f>
        <x:v>BASELINE</x:v>
      </x:c>
      <x:c r="T283" s="56" t="n">
        <x:f>IF(I283,0,IF(AND(M283,N283),IF(O283,R283,0),G283))</x:f>
        <x:v>0.02124</x:v>
      </x:c>
      <x:c r="U283" s="56" t="n">
        <x:f>G283*'Assumptions'!$B$6</x:f>
        <x:v>0.240012</x:v>
      </x:c>
      <x:c r="V283" s="56" t="n">
        <x:f>T283*'Assumptions'!$B$6</x:f>
        <x:v>0.240012</x:v>
      </x:c>
      <x:c r="W283" s="56" t="n">
        <x:f>V283-U283</x:f>
        <x:v>0</x:v>
      </x:c>
      <x:c r="X283" s="58" t="n">
        <x:f>X282*(1+U283)</x:f>
        <x:v>677550.9409772303</x:v>
      </x:c>
      <x:c r="Y283" s="58" t="n">
        <x:f>MAX(Y282,X283)</x:f>
        <x:v>677550.9409772303</x:v>
      </x:c>
      <x:c r="Z283" s="59" t="n">
        <x:f>X283/Y283-1</x:f>
        <x:v>0</x:v>
      </x:c>
      <x:c r="AA283" s="58" t="n">
        <x:f>AA282*(1+V283)</x:f>
        <x:v>2649232.136342229</x:v>
      </x:c>
      <x:c r="AB283" s="58" t="n">
        <x:f>MAX(AB282,AA283)</x:f>
        <x:v>2649232.136342229</x:v>
      </x:c>
      <x:c r="AC283" s="59" t="n">
        <x:f>AA283/AB283-1</x:f>
        <x:v>0</x:v>
      </x:c>
      <x:c r="AD283" s="60" t="n">
        <x:f>AA283-X283</x:f>
        <x:v>1971681.1953649987</x:v>
      </x:c>
      <x:c r="AE283" s="28" t="str">
        <x:v>Baseline trade unchanged.</x:v>
      </x:c>
    </x:row>
    <x:row r="284" ht="18" customHeight="1">
      <x:c r="A284" s="23" t="n">
        <x:v>280</x:v>
      </x:c>
      <x:c r="B284" s="53" t="n">
        <x:v>45174</x:v>
      </x:c>
      <x:c r="C284" s="53" t="n">
        <x:v>45176</x:v>
      </x:c>
      <x:c r="D284" s="23" t="str">
        <x:v>TSL1PRE</x:v>
      </x:c>
      <x:c r="E284" s="54" t="n">
        <x:v>15455.519</x:v>
      </x:c>
      <x:c r="F284" s="54" t="n">
        <x:v>15367.189</x:v>
      </x:c>
      <x:c r="G284" s="55" t="n">
        <x:v>-0.00571</x:v>
      </x:c>
      <x:c r="H284" s="56" t="n">
        <x:f>SUM(T281:T283)</x:f>
        <x:v>0.04639</x:v>
      </x:c>
      <x:c r="I284" s="57" t="b">
        <x:f>AND(A284&gt;3,H284&lt;='Assumptions'!$B$7)</x:f>
        <x:v>0</x:v>
      </x:c>
      <x:c r="J284" s="55" t="n">
        <x:v>-0.002079066646289207</x:v>
      </x:c>
      <x:c r="K284" s="55" t="n">
        <x:v>0.014920263135727918</x:v>
      </x:c>
      <x:c r="L284" s="55"/>
      <x:c r="M284" s="57" t="b">
        <x:f>J284&gt;='Assumptions'!$B$8</x:f>
        <x:v>0</x:v>
      </x:c>
      <x:c r="N284" s="57" t="b">
        <x:f>AND(K284&lt;&gt;"",K284&lt;='Assumptions'!$B$9)</x:f>
        <x:v>0</x:v>
      </x:c>
      <x:c r="O284" s="57" t="b">
        <x:f>AND(P284&lt;&gt;"",ABS(L284)&lt;='Assumptions'!$B$10)</x:f>
        <x:v>0</x:v>
      </x:c>
      <x:c r="P284" s="53"/>
      <x:c r="Q284" s="54"/>
      <x:c r="R284" s="55"/>
      <x:c r="S284" s="57" t="str">
        <x:f>IF(I284,"DAMAGE SKIP",IF(AND(M284,N284),IF(O284,"TUESDAY RE-ENTRY","GAP/MOM SKIP"),"BASELINE"))</x:f>
        <x:v>BASELINE</x:v>
      </x:c>
      <x:c r="T284" s="56" t="n">
        <x:f>IF(I284,0,IF(AND(M284,N284),IF(O284,R284,0),G284))</x:f>
        <x:v>-0.00571</x:v>
      </x:c>
      <x:c r="U284" s="56" t="n">
        <x:f>G284*'Assumptions'!$B$6</x:f>
        <x:v>-0.064523</x:v>
      </x:c>
      <x:c r="V284" s="56" t="n">
        <x:f>T284*'Assumptions'!$B$6</x:f>
        <x:v>-0.064523</x:v>
      </x:c>
      <x:c r="W284" s="56" t="n">
        <x:f>V284-U284</x:f>
        <x:v>0</x:v>
      </x:c>
      <x:c r="X284" s="58" t="n">
        <x:f>X283*(1+U284)</x:f>
        <x:v>633833.3216125565</x:v>
      </x:c>
      <x:c r="Y284" s="58" t="n">
        <x:f>MAX(Y283,X284)</x:f>
        <x:v>677550.9409772303</x:v>
      </x:c>
      <x:c r="Z284" s="59" t="n">
        <x:f>X284/Y284-1</x:f>
        <x:v>-0.064523</x:v>
      </x:c>
      <x:c r="AA284" s="58" t="n">
        <x:f>AA283*(1+V284)</x:f>
        <x:v>2478295.731209019</x:v>
      </x:c>
      <x:c r="AB284" s="58" t="n">
        <x:f>MAX(AB283,AA284)</x:f>
        <x:v>2649232.136342229</x:v>
      </x:c>
      <x:c r="AC284" s="59" t="n">
        <x:f>AA284/AB284-1</x:f>
        <x:v>-0.064523</x:v>
      </x:c>
      <x:c r="AD284" s="60" t="n">
        <x:f>AA284-X284</x:f>
        <x:v>1844462.4095964627</x:v>
      </x:c>
      <x:c r="AE284" s="28" t="str">
        <x:v>Baseline trade unchanged.</x:v>
      </x:c>
    </x:row>
    <x:row r="285" ht="18" customHeight="1">
      <x:c r="A285" s="23" t="n">
        <x:v>281</x:v>
      </x:c>
      <x:c r="B285" s="53" t="n">
        <x:v>45180</x:v>
      </x:c>
      <x:c r="C285" s="53" t="n">
        <x:v>45182</x:v>
      </x:c>
      <x:c r="D285" s="23" t="str">
        <x:v>BH</x:v>
      </x:c>
      <x:c r="E285" s="54" t="n">
        <x:v>15406.199</x:v>
      </x:c>
      <x:c r="F285" s="54" t="n">
        <x:v>15344.574204</x:v>
      </x:c>
      <x:c r="G285" s="55" t="n">
        <x:v>-0.004</x:v>
      </x:c>
      <x:c r="H285" s="56" t="n">
        <x:f>SUM(T282:T284)</x:f>
        <x:v>0.02715</x:v>
      </x:c>
      <x:c r="I285" s="57" t="b">
        <x:f>AND(A285&gt;3,H285&lt;='Assumptions'!$B$7)</x:f>
        <x:v>0</x:v>
      </x:c>
      <x:c r="J285" s="55" t="n">
        <x:v>0.007980121208600144</x:v>
      </x:c>
      <x:c r="K285" s="55" t="n">
        <x:v>0.010828008008556989</x:v>
      </x:c>
      <x:c r="L285" s="55" t="n">
        <x:v>0.007222743774385698</x:v>
      </x:c>
      <x:c r="M285" s="57" t="b">
        <x:f>J285&gt;='Assumptions'!$B$8</x:f>
        <x:v>0</x:v>
      </x:c>
      <x:c r="N285" s="57" t="b">
        <x:f>AND(K285&lt;&gt;"",K285&lt;='Assumptions'!$B$9)</x:f>
        <x:v>0</x:v>
      </x:c>
      <x:c r="O285" s="57" t="b">
        <x:f>AND(P285&lt;&gt;"",ABS(L285)&lt;='Assumptions'!$B$10)</x:f>
        <x:v>0</x:v>
      </x:c>
      <x:c r="P285" s="53" t="n">
        <x:v>45181</x:v>
      </x:c>
      <x:c r="Q285" s="54" t="n">
        <x:v>15387.789</x:v>
      </x:c>
      <x:c r="R285" s="55" t="n">
        <x:v>-0.0028</x:v>
      </x:c>
      <x:c r="S285" s="57" t="str">
        <x:f>IF(I285,"DAMAGE SKIP",IF(AND(M285,N285),IF(O285,"TUESDAY RE-ENTRY","GAP/MOM SKIP"),"BASELINE"))</x:f>
        <x:v>BASELINE</x:v>
      </x:c>
      <x:c r="T285" s="56" t="n">
        <x:f>IF(I285,0,IF(AND(M285,N285),IF(O285,R285,0),G285))</x:f>
        <x:v>-0.004</x:v>
      </x:c>
      <x:c r="U285" s="56" t="n">
        <x:f>G285*'Assumptions'!$B$6</x:f>
        <x:v>-0.045200000000000004</x:v>
      </x:c>
      <x:c r="V285" s="56" t="n">
        <x:f>T285*'Assumptions'!$B$6</x:f>
        <x:v>-0.045200000000000004</x:v>
      </x:c>
      <x:c r="W285" s="56" t="n">
        <x:f>V285-U285</x:f>
        <x:v>0</x:v>
      </x:c>
      <x:c r="X285" s="58" t="n">
        <x:f>X284*(1+U285)</x:f>
        <x:v>605184.0554756689</x:v>
      </x:c>
      <x:c r="Y285" s="58" t="n">
        <x:f>MAX(Y284,X285)</x:f>
        <x:v>677550.9409772303</x:v>
      </x:c>
      <x:c r="Z285" s="59" t="n">
        <x:f>X285/Y285-1</x:f>
        <x:v>-0.10680656040000014</x:v>
      </x:c>
      <x:c r="AA285" s="58" t="n">
        <x:f>AA284*(1+V285)</x:f>
        <x:v>2366276.7641583714</x:v>
      </x:c>
      <x:c r="AB285" s="58" t="n">
        <x:f>MAX(AB284,AA285)</x:f>
        <x:v>2649232.136342229</x:v>
      </x:c>
      <x:c r="AC285" s="59" t="n">
        <x:f>AA285/AB285-1</x:f>
        <x:v>-0.10680656040000003</x:v>
      </x:c>
      <x:c r="AD285" s="60" t="n">
        <x:f>AA285-X285</x:f>
        <x:v>1761092.7086827024</x:v>
      </x:c>
      <x:c r="AE285" s="28" t="str">
        <x:v>Baseline trade unchanged.</x:v>
      </x:c>
    </x:row>
    <x:row r="286" ht="18" customHeight="1">
      <x:c r="A286" s="23" t="n">
        <x:v>282</x:v>
      </x:c>
      <x:c r="B286" s="53" t="n">
        <x:v>45187</x:v>
      </x:c>
      <x:c r="C286" s="53" t="n">
        <x:v>45190</x:v>
      </x:c>
      <x:c r="D286" s="23" t="str">
        <x:v>TSL1PRE</x:v>
      </x:c>
      <x:c r="E286" s="54" t="n">
        <x:v>15168.649</x:v>
      </x:c>
      <x:c r="F286" s="54" t="n">
        <x:v>14966.319</x:v>
      </x:c>
      <x:c r="G286" s="55" t="n">
        <x:v>-0.01333</x:v>
      </x:c>
      <x:c r="H286" s="56" t="n">
        <x:f>SUM(T283:T285)</x:f>
        <x:v>0.011529999999999999</x:v>
      </x:c>
      <x:c r="I286" s="57" t="b">
        <x:f>AND(A286&gt;3,H286&lt;='Assumptions'!$B$7)</x:f>
        <x:v>0</x:v>
      </x:c>
      <x:c r="J286" s="55" t="n">
        <x:v>-0.0028431690218295724</x:v>
      </x:c>
      <x:c r="K286" s="55" t="n">
        <x:v>0.034109746608477876</x:v>
      </x:c>
      <x:c r="L286" s="55" t="n">
        <x:v>-0.002579012941410719</x:v>
      </x:c>
      <x:c r="M286" s="57" t="b">
        <x:f>J286&gt;='Assumptions'!$B$8</x:f>
        <x:v>0</x:v>
      </x:c>
      <x:c r="N286" s="57" t="b">
        <x:f>AND(K286&lt;&gt;"",K286&lt;='Assumptions'!$B$9)</x:f>
        <x:v>0</x:v>
      </x:c>
      <x:c r="O286" s="57" t="b">
        <x:f>AND(P286&lt;&gt;"",ABS(L286)&lt;='Assumptions'!$B$10)</x:f>
        <x:v>1</x:v>
      </x:c>
      <x:c r="P286" s="53" t="n">
        <x:v>45188</x:v>
      </x:c>
      <x:c r="Q286" s="54" t="n">
        <x:v>15165.289</x:v>
      </x:c>
      <x:c r="R286" s="55" t="n">
        <x:v>-0.01312</x:v>
      </x:c>
      <x:c r="S286" s="57" t="str">
        <x:f>IF(I286,"DAMAGE SKIP",IF(AND(M286,N286),IF(O286,"TUESDAY RE-ENTRY","GAP/MOM SKIP"),"BASELINE"))</x:f>
        <x:v>BASELINE</x:v>
      </x:c>
      <x:c r="T286" s="56" t="n">
        <x:f>IF(I286,0,IF(AND(M286,N286),IF(O286,R286,0),G286))</x:f>
        <x:v>-0.01333</x:v>
      </x:c>
      <x:c r="U286" s="56" t="n">
        <x:f>G286*'Assumptions'!$B$6</x:f>
        <x:v>-0.150629</x:v>
      </x:c>
      <x:c r="V286" s="56" t="n">
        <x:f>T286*'Assumptions'!$B$6</x:f>
        <x:v>-0.150629</x:v>
      </x:c>
      <x:c r="W286" s="56" t="n">
        <x:f>V286-U286</x:f>
        <x:v>0</x:v>
      </x:c>
      <x:c r="X286" s="58" t="n">
        <x:f>X285*(1+U286)</x:f>
        <x:v>514025.7863834243</x:v>
      </x:c>
      <x:c r="Y286" s="58" t="n">
        <x:f>MAX(Y285,X286)</x:f>
        <x:v>677550.9409772303</x:v>
      </x:c>
      <x:c r="Z286" s="59" t="n">
        <x:f>X286/Y286-1</x:f>
        <x:v>-0.24134739501350855</x:v>
      </x:c>
      <x:c r="AA286" s="58" t="n">
        <x:f>AA285*(1+V286)</x:f>
        <x:v>2009846.86144996</x:v>
      </x:c>
      <x:c r="AB286" s="58" t="n">
        <x:f>MAX(AB285,AA286)</x:f>
        <x:v>2649232.136342229</x:v>
      </x:c>
      <x:c r="AC286" s="59" t="n">
        <x:f>AA286/AB286-1</x:f>
        <x:v>-0.24134739501350855</x:v>
      </x:c>
      <x:c r="AD286" s="60" t="n">
        <x:f>AA286-X286</x:f>
        <x:v>1495821.0750665357</x:v>
      </x:c>
      <x:c r="AE286" s="28" t="str">
        <x:v>Baseline trade unchanged.</x:v>
      </x:c>
    </x:row>
    <x:row r="287" ht="18" customHeight="1">
      <x:c r="A287" s="23" t="n">
        <x:v>283</x:v>
      </x:c>
      <x:c r="B287" s="53" t="n">
        <x:v>45194</x:v>
      </x:c>
      <x:c r="C287" s="53" t="n">
        <x:v>45194</x:v>
      </x:c>
      <x:c r="D287" s="23" t="str">
        <x:v>CH</x:v>
      </x:c>
      <x:c r="E287" s="54" t="n">
        <x:v>14656.589</x:v>
      </x:c>
      <x:c r="F287" s="54" t="n">
        <x:v>14777.129</x:v>
      </x:c>
      <x:c r="G287" s="55" t="n">
        <x:v>0.00822</x:v>
      </x:c>
      <x:c r="H287" s="56" t="n">
        <x:f>SUM(T284:T286)</x:f>
        <x:v>-0.023039999999999998</x:v>
      </x:c>
      <x:c r="I287" s="57" t="b">
        <x:f>AND(A287&gt;3,H287&lt;='Assumptions'!$B$7)</x:f>
        <x:v>1</x:v>
      </x:c>
      <x:c r="J287" s="55" t="n">
        <x:v>-0.004047254482133833</x:v>
      </x:c>
      <x:c r="K287" s="55" t="n">
        <x:v>-0.007729787668721788</x:v>
      </x:c>
      <x:c r="L287" s="55" t="n">
        <x:v>-0.0025665830881917984</x:v>
      </x:c>
      <x:c r="M287" s="57" t="b">
        <x:f>J287&gt;='Assumptions'!$B$8</x:f>
        <x:v>0</x:v>
      </x:c>
      <x:c r="N287" s="57" t="b">
        <x:f>AND(K287&lt;&gt;"",K287&lt;='Assumptions'!$B$9)</x:f>
        <x:v>1</x:v>
      </x:c>
      <x:c r="O287" s="57" t="b">
        <x:f>AND(P287&lt;&gt;"",ABS(L287)&lt;='Assumptions'!$B$10)</x:f>
        <x:v>1</x:v>
      </x:c>
      <x:c r="P287" s="53" t="n">
        <x:v>45195</x:v>
      </x:c>
      <x:c r="Q287" s="54" t="n">
        <x:v>14659.519</x:v>
      </x:c>
      <x:c r="R287" s="55" t="n">
        <x:v>0.00802</x:v>
      </x:c>
      <x:c r="S287" s="57" t="str">
        <x:f>IF(I287,"DAMAGE SKIP",IF(AND(M287,N287),IF(O287,"TUESDAY RE-ENTRY","GAP/MOM SKIP"),"BASELINE"))</x:f>
        <x:v>DAMAGE SKIP</x:v>
      </x:c>
      <x:c r="T287" s="56" t="n">
        <x:f>IF(I287,0,IF(AND(M287,N287),IF(O287,R287,0),G287))</x:f>
        <x:v>0</x:v>
      </x:c>
      <x:c r="U287" s="56" t="n">
        <x:f>G287*'Assumptions'!$B$6</x:f>
        <x:v>0.09288600000000001</x:v>
      </x:c>
      <x:c r="V287" s="56" t="n">
        <x:f>T287*'Assumptions'!$B$6</x:f>
        <x:v>0</x:v>
      </x:c>
      <x:c r="W287" s="56" t="n">
        <x:f>V287-U287</x:f>
        <x:v>-0.09288600000000001</x:v>
      </x:c>
      <x:c r="X287" s="58" t="n">
        <x:f>X286*(1+U287)</x:f>
        <x:v>561771.5855774351</x:v>
      </x:c>
      <x:c r="Y287" s="58" t="n">
        <x:f>MAX(Y286,X287)</x:f>
        <x:v>677550.9409772303</x:v>
      </x:c>
      <x:c r="Z287" s="59" t="n">
        <x:f>X287/Y287-1</x:f>
        <x:v>-0.17087918914673328</x:v>
      </x:c>
      <x:c r="AA287" s="58" t="n">
        <x:f>AA286*(1+V287)</x:f>
        <x:v>2009846.86144996</x:v>
      </x:c>
      <x:c r="AB287" s="58" t="n">
        <x:f>MAX(AB286,AA287)</x:f>
        <x:v>2649232.136342229</x:v>
      </x:c>
      <x:c r="AC287" s="59" t="n">
        <x:f>AA287/AB287-1</x:f>
        <x:v>-0.24134739501350855</x:v>
      </x:c>
      <x:c r="AD287" s="60" t="n">
        <x:f>AA287-X287</x:f>
        <x:v>1448075.2758725248</x:v>
      </x:c>
      <x:c r="AE287" s="28" t="str">
        <x:v>Skipped because the previous three rule outcomes totalled at or below the damage threshold.</x:v>
      </x:c>
    </x:row>
    <x:row r="288" ht="18" customHeight="1">
      <x:c r="A288" s="23" t="n">
        <x:v>284</x:v>
      </x:c>
      <x:c r="B288" s="53" t="n">
        <x:v>45201</x:v>
      </x:c>
      <x:c r="C288" s="53" t="n">
        <x:v>45201</x:v>
      </x:c>
      <x:c r="D288" s="23" t="str">
        <x:v>CH</x:v>
      </x:c>
      <x:c r="E288" s="54" t="n">
        <x:v>14723.259</x:v>
      </x:c>
      <x:c r="F288" s="54" t="n">
        <x:v>14844.719</x:v>
      </x:c>
      <x:c r="G288" s="55" t="n">
        <x:v>0.00824</x:v>
      </x:c>
      <x:c r="H288" s="56" t="n">
        <x:f>SUM(T285:T287)</x:f>
        <x:v>-0.017329999999999998</x:v>
      </x:c>
      <x:c r="I288" s="57" t="b">
        <x:f>AND(A288&gt;3,H288&lt;='Assumptions'!$B$7)</x:f>
        <x:v>0</x:v>
      </x:c>
      <x:c r="J288" s="55" t="n">
        <x:v>0.0004559492853928315</x:v>
      </x:c>
      <x:c r="K288" s="55" t="n">
        <x:v>-0.05079591771237846</x:v>
      </x:c>
      <x:c r="L288" s="55" t="n">
        <x:v>0.0014228758998633406</x:v>
      </x:c>
      <x:c r="M288" s="57" t="b">
        <x:f>J288&gt;='Assumptions'!$B$8</x:f>
        <x:v>0</x:v>
      </x:c>
      <x:c r="N288" s="57" t="b">
        <x:f>AND(K288&lt;&gt;"",K288&lt;='Assumptions'!$B$9)</x:f>
        <x:v>1</x:v>
      </x:c>
      <x:c r="O288" s="57" t="b">
        <x:f>AND(P288&lt;&gt;"",ABS(L288)&lt;='Assumptions'!$B$10)</x:f>
        <x:v>1</x:v>
      </x:c>
      <x:c r="P288" s="53" t="n">
        <x:v>45202</x:v>
      </x:c>
      <x:c r="Q288" s="54" t="n">
        <x:v>14725.639</x:v>
      </x:c>
      <x:c r="R288" s="55" t="n">
        <x:v>0.00808</x:v>
      </x:c>
      <x:c r="S288" s="57" t="str">
        <x:f>IF(I288,"DAMAGE SKIP",IF(AND(M288,N288),IF(O288,"TUESDAY RE-ENTRY","GAP/MOM SKIP"),"BASELINE"))</x:f>
        <x:v>BASELINE</x:v>
      </x:c>
      <x:c r="T288" s="56" t="n">
        <x:f>IF(I288,0,IF(AND(M288,N288),IF(O288,R288,0),G288))</x:f>
        <x:v>0.00824</x:v>
      </x:c>
      <x:c r="U288" s="56" t="n">
        <x:f>G288*'Assumptions'!$B$6</x:f>
        <x:v>0.09311200000000001</x:v>
      </x:c>
      <x:c r="V288" s="56" t="n">
        <x:f>T288*'Assumptions'!$B$6</x:f>
        <x:v>0.09311200000000001</x:v>
      </x:c>
      <x:c r="W288" s="56" t="n">
        <x:f>V288-U288</x:f>
        <x:v>0</x:v>
      </x:c>
      <x:c r="X288" s="58" t="n">
        <x:f>X287*(1+U288)</x:f>
        <x:v>614079.2614537213</x:v>
      </x:c>
      <x:c r="Y288" s="58" t="n">
        <x:f>MAX(Y287,X288)</x:f>
        <x:v>677550.9409772303</x:v>
      </x:c>
      <x:c r="Z288" s="59" t="n">
        <x:f>X288/Y288-1</x:f>
        <x:v>-0.09367809220656376</x:v>
      </x:c>
      <x:c r="AA288" s="58" t="n">
        <x:f>AA287*(1+V288)</x:f>
        <x:v>2196987.722413289</x:v>
      </x:c>
      <x:c r="AB288" s="58" t="n">
        <x:f>MAX(AB287,AA288)</x:f>
        <x:v>2649232.136342229</x:v>
      </x:c>
      <x:c r="AC288" s="59" t="n">
        <x:f>AA288/AB288-1</x:f>
        <x:v>-0.17070773365800618</x:v>
      </x:c>
      <x:c r="AD288" s="60" t="n">
        <x:f>AA288-X288</x:f>
        <x:v>1582908.4609595677</x:v>
      </x:c>
      <x:c r="AE288" s="28" t="str">
        <x:v>Baseline trade unchanged.</x:v>
      </x:c>
    </x:row>
    <x:row r="289" ht="18" customHeight="1">
      <x:c r="A289" s="23" t="n">
        <x:v>285</x:v>
      </x:c>
      <x:c r="B289" s="53" t="n">
        <x:v>45208</x:v>
      </x:c>
      <x:c r="C289" s="53" t="n">
        <x:v>45208</x:v>
      </x:c>
      <x:c r="D289" s="23" t="str">
        <x:v>CH</x:v>
      </x:c>
      <x:c r="E289" s="54" t="n">
        <x:v>14874.219</x:v>
      </x:c>
      <x:c r="F289" s="54" t="n">
        <x:v>15048.899</x:v>
      </x:c>
      <x:c r="G289" s="55" t="n">
        <x:v>0.01174</x:v>
      </x:c>
      <x:c r="H289" s="56" t="n">
        <x:f>SUM(T286:T288)</x:f>
        <x:v>-0.005089999999999999</x:v>
      </x:c>
      <x:c r="I289" s="57" t="b">
        <x:f>AND(A289&gt;3,H289&lt;='Assumptions'!$B$7)</x:f>
        <x:v>0</x:v>
      </x:c>
      <x:c r="J289" s="55" t="n">
        <x:v>-0.006969934945271095</x:v>
      </x:c>
      <x:c r="K289" s="55" t="n">
        <x:v>-0.01973366471491589</x:v>
      </x:c>
      <x:c r="L289" s="55" t="n">
        <x:v>0.006028481669595909</x:v>
      </x:c>
      <x:c r="M289" s="57" t="b">
        <x:f>J289&gt;='Assumptions'!$B$8</x:f>
        <x:v>0</x:v>
      </x:c>
      <x:c r="N289" s="57" t="b">
        <x:f>AND(K289&lt;&gt;"",K289&lt;='Assumptions'!$B$9)</x:f>
        <x:v>1</x:v>
      </x:c>
      <x:c r="O289" s="57" t="b">
        <x:f>AND(P289&lt;&gt;"",ABS(L289)&lt;='Assumptions'!$B$10)</x:f>
        <x:v>0</x:v>
      </x:c>
      <x:c r="P289" s="53" t="n">
        <x:v>45209</x:v>
      </x:c>
      <x:c r="Q289" s="54" t="n">
        <x:v>15060.309</x:v>
      </x:c>
      <x:c r="R289" s="55" t="n">
        <x:v>-0.00075</x:v>
      </x:c>
      <x:c r="S289" s="57" t="str">
        <x:f>IF(I289,"DAMAGE SKIP",IF(AND(M289,N289),IF(O289,"TUESDAY RE-ENTRY","GAP/MOM SKIP"),"BASELINE"))</x:f>
        <x:v>BASELINE</x:v>
      </x:c>
      <x:c r="T289" s="56" t="n">
        <x:f>IF(I289,0,IF(AND(M289,N289),IF(O289,R289,0),G289))</x:f>
        <x:v>0.01174</x:v>
      </x:c>
      <x:c r="U289" s="56" t="n">
        <x:f>G289*'Assumptions'!$B$6</x:f>
        <x:v>0.132662</x:v>
      </x:c>
      <x:c r="V289" s="56" t="n">
        <x:f>T289*'Assumptions'!$B$6</x:f>
        <x:v>0.132662</x:v>
      </x:c>
      <x:c r="W289" s="56" t="n">
        <x:f>V289-U289</x:f>
        <x:v>0</x:v>
      </x:c>
      <x:c r="X289" s="58" t="n">
        <x:f>X288*(1+U289)</x:f>
        <x:v>695544.2444366949</x:v>
      </x:c>
      <x:c r="Y289" s="58" t="n">
        <x:f>MAX(Y288,X289)</x:f>
        <x:v>695544.2444366949</x:v>
      </x:c>
      <x:c r="Z289" s="59" t="n">
        <x:f>X289/Y289-1</x:f>
        <x:v>0</x:v>
      </x:c>
      <x:c r="AA289" s="58" t="n">
        <x:f>AA288*(1+V289)</x:f>
        <x:v>2488444.5076440806</x:v>
      </x:c>
      <x:c r="AB289" s="58" t="n">
        <x:f>MAX(AB288,AA289)</x:f>
        <x:v>2649232.136342229</x:v>
      </x:c>
      <x:c r="AC289" s="59" t="n">
        <x:f>AA289/AB289-1</x:f>
        <x:v>-0.06069216302054459</x:v>
      </x:c>
      <x:c r="AD289" s="60" t="n">
        <x:f>AA289-X289</x:f>
        <x:v>1792900.2632073858</x:v>
      </x:c>
      <x:c r="AE289" s="28" t="str">
        <x:v>Baseline trade unchanged.</x:v>
      </x:c>
    </x:row>
    <x:row r="290" ht="18" customHeight="1">
      <x:c r="A290" s="23" t="n">
        <x:v>286</x:v>
      </x:c>
      <x:c r="B290" s="53" t="n">
        <x:v>45215</x:v>
      </x:c>
      <x:c r="C290" s="53" t="n">
        <x:v>45215</x:v>
      </x:c>
      <x:c r="D290" s="23" t="str">
        <x:v>CH</x:v>
      </x:c>
      <x:c r="E290" s="54" t="n">
        <x:v>15053.019</x:v>
      </x:c>
      <x:c r="F290" s="54" t="n">
        <x:v>15163.769</x:v>
      </x:c>
      <x:c r="G290" s="55" t="n">
        <x:v>0.00735</x:v>
      </x:c>
      <x:c r="H290" s="56" t="n">
        <x:f>SUM(T287:T289)</x:f>
        <x:v>0.01998</x:v>
      </x:c>
      <x:c r="I290" s="57" t="b">
        <x:f>AND(A290&gt;3,H290&lt;='Assumptions'!$B$7)</x:f>
        <x:v>0</x:v>
      </x:c>
      <x:c r="J290" s="55" t="n">
        <x:v>0.004149876100749461</x:v>
      </x:c>
      <x:c r="K290" s="55" t="n">
        <x:v>-0.013486656470569014</x:v>
      </x:c>
      <x:c r="L290" s="55" t="n">
        <x:v>0.0014508373404078512</x:v>
      </x:c>
      <x:c r="M290" s="57" t="b">
        <x:f>J290&gt;='Assumptions'!$B$8</x:f>
        <x:v>0</x:v>
      </x:c>
      <x:c r="N290" s="57" t="b">
        <x:f>AND(K290&lt;&gt;"",K290&lt;='Assumptions'!$B$9)</x:f>
        <x:v>1</x:v>
      </x:c>
      <x:c r="O290" s="57" t="b">
        <x:f>AND(P290&lt;&gt;"",ABS(L290)&lt;='Assumptions'!$B$10)</x:f>
        <x:v>1</x:v>
      </x:c>
      <x:c r="P290" s="53" t="n">
        <x:v>45216</x:v>
      </x:c>
      <x:c r="Q290" s="54" t="n">
        <x:v>15015.789</x:v>
      </x:c>
      <x:c r="R290" s="55" t="n">
        <x:v>0.00985</x:v>
      </x:c>
      <x:c r="S290" s="57" t="str">
        <x:f>IF(I290,"DAMAGE SKIP",IF(AND(M290,N290),IF(O290,"TUESDAY RE-ENTRY","GAP/MOM SKIP"),"BASELINE"))</x:f>
        <x:v>BASELINE</x:v>
      </x:c>
      <x:c r="T290" s="56" t="n">
        <x:f>IF(I290,0,IF(AND(M290,N290),IF(O290,R290,0),G290))</x:f>
        <x:v>0.00735</x:v>
      </x:c>
      <x:c r="U290" s="56" t="n">
        <x:f>G290*'Assumptions'!$B$6</x:f>
        <x:v>0.083055</x:v>
      </x:c>
      <x:c r="V290" s="56" t="n">
        <x:f>T290*'Assumptions'!$B$6</x:f>
        <x:v>0.083055</x:v>
      </x:c>
      <x:c r="W290" s="56" t="n">
        <x:f>V290-U290</x:f>
        <x:v>0</x:v>
      </x:c>
      <x:c r="X290" s="58" t="n">
        <x:f>X289*(1+U290)</x:f>
        <x:v>753312.6716583846</x:v>
      </x:c>
      <x:c r="Y290" s="58" t="n">
        <x:f>MAX(Y289,X290)</x:f>
        <x:v>753312.6716583846</x:v>
      </x:c>
      <x:c r="Z290" s="59" t="n">
        <x:f>X290/Y290-1</x:f>
        <x:v>0</x:v>
      </x:c>
      <x:c r="AA290" s="58" t="n">
        <x:f>AA289*(1+V290)</x:f>
        <x:v>2695122.2662264598</x:v>
      </x:c>
      <x:c r="AB290" s="58" t="n">
        <x:f>MAX(AB289,AA290)</x:f>
        <x:v>2695122.2662264598</x:v>
      </x:c>
      <x:c r="AC290" s="59" t="n">
        <x:f>AA290/AB290-1</x:f>
        <x:v>0</x:v>
      </x:c>
      <x:c r="AD290" s="60" t="n">
        <x:f>AA290-X290</x:f>
        <x:v>1941809.5945680751</x:v>
      </x:c>
      <x:c r="AE290" s="28" t="str">
        <x:v>Baseline trade unchanged.</x:v>
      </x:c>
    </x:row>
    <x:row r="291" ht="18" customHeight="1">
      <x:c r="A291" s="23" t="n">
        <x:v>287</x:v>
      </x:c>
      <x:c r="B291" s="53" t="n">
        <x:v>45222</x:v>
      </x:c>
      <x:c r="C291" s="53" t="n">
        <x:v>45222</x:v>
      </x:c>
      <x:c r="D291" s="23" t="str">
        <x:v>CH</x:v>
      </x:c>
      <x:c r="E291" s="54" t="n">
        <x:v>14501.897</x:v>
      </x:c>
      <x:c r="F291" s="54" t="n">
        <x:v>14618.309</x:v>
      </x:c>
      <x:c r="G291" s="55" t="n">
        <x:v>0.00802</x:v>
      </x:c>
      <x:c r="H291" s="56" t="n">
        <x:f>SUM(T288:T290)</x:f>
        <x:v>0.02733</x:v>
      </x:c>
      <x:c r="I291" s="57" t="b">
        <x:f>AND(A291&gt;3,H291&lt;='Assumptions'!$B$7)</x:f>
        <x:v>0</x:v>
      </x:c>
      <x:c r="J291" s="55" t="n">
        <x:v>-0.003461453330748543</x:v>
      </x:c>
      <x:c r="K291" s="55" t="n">
        <x:v>-0.009245339959442433</x:v>
      </x:c>
      <x:c r="L291" s="55" t="n">
        <x:v>0.008204304840312204</x:v>
      </x:c>
      <x:c r="M291" s="57" t="b">
        <x:f>J291&gt;='Assumptions'!$B$8</x:f>
        <x:v>0</x:v>
      </x:c>
      <x:c r="N291" s="57" t="b">
        <x:f>AND(K291&lt;&gt;"",K291&lt;='Assumptions'!$B$9)</x:f>
        <x:v>1</x:v>
      </x:c>
      <x:c r="O291" s="57" t="b">
        <x:f>AND(P291&lt;&gt;"",ABS(L291)&lt;='Assumptions'!$B$10)</x:f>
        <x:v>0</x:v>
      </x:c>
      <x:c r="P291" s="53" t="n">
        <x:v>45223</x:v>
      </x:c>
      <x:c r="Q291" s="54" t="n">
        <x:v>14676.889</x:v>
      </x:c>
      <x:c r="R291" s="55" t="n">
        <x:v>-0.00399</x:v>
      </x:c>
      <x:c r="S291" s="57" t="str">
        <x:f>IF(I291,"DAMAGE SKIP",IF(AND(M291,N291),IF(O291,"TUESDAY RE-ENTRY","GAP/MOM SKIP"),"BASELINE"))</x:f>
        <x:v>BASELINE</x:v>
      </x:c>
      <x:c r="T291" s="56" t="n">
        <x:f>IF(I291,0,IF(AND(M291,N291),IF(O291,R291,0),G291))</x:f>
        <x:v>0.00802</x:v>
      </x:c>
      <x:c r="U291" s="56" t="n">
        <x:f>G291*'Assumptions'!$B$6</x:f>
        <x:v>0.090626</x:v>
      </x:c>
      <x:c r="V291" s="56" t="n">
        <x:f>T291*'Assumptions'!$B$6</x:f>
        <x:v>0.090626</x:v>
      </x:c>
      <x:c r="W291" s="56" t="n">
        <x:f>V291-U291</x:f>
        <x:v>0</x:v>
      </x:c>
      <x:c r="X291" s="58" t="n">
        <x:f>X290*(1+U291)</x:f>
        <x:v>821582.3858400974</x:v>
      </x:c>
      <x:c r="Y291" s="58" t="n">
        <x:f>MAX(Y290,X291)</x:f>
        <x:v>821582.3858400974</x:v>
      </x:c>
      <x:c r="Z291" s="59" t="n">
        <x:f>X291/Y291-1</x:f>
        <x:v>0</x:v>
      </x:c>
      <x:c r="AA291" s="58" t="n">
        <x:f>AA290*(1+V291)</x:f>
        <x:v>2939370.416725499</x:v>
      </x:c>
      <x:c r="AB291" s="58" t="n">
        <x:f>MAX(AB290,AA291)</x:f>
        <x:v>2939370.416725499</x:v>
      </x:c>
      <x:c r="AC291" s="59" t="n">
        <x:f>AA291/AB291-1</x:f>
        <x:v>0</x:v>
      </x:c>
      <x:c r="AD291" s="60" t="n">
        <x:f>AA291-X291</x:f>
        <x:v>2117788.0308854016</x:v>
      </x:c>
      <x:c r="AE291" s="28" t="str">
        <x:v>Baseline trade unchanged.</x:v>
      </x:c>
    </x:row>
    <x:row r="292" ht="18" customHeight="1">
      <x:c r="A292" s="23" t="n">
        <x:v>288</x:v>
      </x:c>
      <x:c r="B292" s="53" t="n">
        <x:v>45229</x:v>
      </x:c>
      <x:c r="C292" s="53" t="n">
        <x:v>45233</x:v>
      </x:c>
      <x:c r="D292" s="23" t="str">
        <x:v>CH</x:v>
      </x:c>
      <x:c r="E292" s="54" t="n">
        <x:v>14282.399</x:v>
      </x:c>
      <x:c r="F292" s="54" t="n">
        <x:v>15104.009</x:v>
      </x:c>
      <x:c r="G292" s="55" t="n">
        <x:v>0.05752</x:v>
      </x:c>
      <x:c r="H292" s="56" t="n">
        <x:f>SUM(T289:T291)</x:f>
        <x:v>0.02711</x:v>
      </x:c>
      <x:c r="I292" s="57" t="b">
        <x:f>AND(A292&gt;3,H292&lt;='Assumptions'!$B$7)</x:f>
        <x:v>0</x:v>
      </x:c>
      <x:c r="J292" s="55" t="n">
        <x:v>0.005853109969097714</x:v>
      </x:c>
      <x:c r="K292" s="55" t="n">
        <x:v>-0.03617485876900106</x:v>
      </x:c>
      <x:c r="L292" s="55" t="n">
        <x:v>0.011351278663221054</x:v>
      </x:c>
      <x:c r="M292" s="57" t="b">
        <x:f>J292&gt;='Assumptions'!$B$8</x:f>
        <x:v>0</x:v>
      </x:c>
      <x:c r="N292" s="57" t="b">
        <x:f>AND(K292&lt;&gt;"",K292&lt;='Assumptions'!$B$9)</x:f>
        <x:v>1</x:v>
      </x:c>
      <x:c r="O292" s="57" t="b">
        <x:f>AND(P292&lt;&gt;"",ABS(L292)&lt;='Assumptions'!$B$10)</x:f>
        <x:v>0</x:v>
      </x:c>
      <x:c r="P292" s="53" t="n">
        <x:v>45230</x:v>
      </x:c>
      <x:c r="Q292" s="54" t="n">
        <x:v>14336.189</x:v>
      </x:c>
      <x:c r="R292" s="55" t="n">
        <x:v>0.05355</x:v>
      </x:c>
      <x:c r="S292" s="57" t="str">
        <x:f>IF(I292,"DAMAGE SKIP",IF(AND(M292,N292),IF(O292,"TUESDAY RE-ENTRY","GAP/MOM SKIP"),"BASELINE"))</x:f>
        <x:v>BASELINE</x:v>
      </x:c>
      <x:c r="T292" s="56" t="n">
        <x:f>IF(I292,0,IF(AND(M292,N292),IF(O292,R292,0),G292))</x:f>
        <x:v>0.05752</x:v>
      </x:c>
      <x:c r="U292" s="56" t="n">
        <x:f>G292*'Assumptions'!$B$6</x:f>
        <x:v>0.6499760000000001</x:v>
      </x:c>
      <x:c r="V292" s="56" t="n">
        <x:f>T292*'Assumptions'!$B$6</x:f>
        <x:v>0.6499760000000001</x:v>
      </x:c>
      <x:c r="W292" s="56" t="n">
        <x:f>V292-U292</x:f>
        <x:v>0</x:v>
      </x:c>
      <x:c r="X292" s="58" t="n">
        <x:f>X291*(1+U292)</x:f>
        <x:v>1355591.2186589008</x:v>
      </x:c>
      <x:c r="Y292" s="58" t="n">
        <x:f>MAX(Y291,X292)</x:f>
        <x:v>1355591.2186589008</x:v>
      </x:c>
      <x:c r="Z292" s="59" t="n">
        <x:f>X292/Y292-1</x:f>
        <x:v>0</x:v>
      </x:c>
      <x:c r="AA292" s="58" t="n">
        <x:f>AA291*(1+V292)</x:f>
        <x:v>4849890.642707072</x:v>
      </x:c>
      <x:c r="AB292" s="58" t="n">
        <x:f>MAX(AB291,AA292)</x:f>
        <x:v>4849890.642707072</x:v>
      </x:c>
      <x:c r="AC292" s="59" t="n">
        <x:f>AA292/AB292-1</x:f>
        <x:v>0</x:v>
      </x:c>
      <x:c r="AD292" s="60" t="n">
        <x:f>AA292-X292</x:f>
        <x:v>3494299.4240481714</x:v>
      </x:c>
      <x:c r="AE292" s="28" t="str">
        <x:v>Baseline trade unchanged.</x:v>
      </x:c>
    </x:row>
    <x:row r="293" ht="18" customHeight="1">
      <x:c r="A293" s="23" t="n">
        <x:v>289</x:v>
      </x:c>
      <x:c r="B293" s="53" t="n">
        <x:v>45236</x:v>
      </x:c>
      <x:c r="C293" s="53" t="n">
        <x:v>45240</x:v>
      </x:c>
      <x:c r="D293" s="23" t="str">
        <x:v>TO</x:v>
      </x:c>
      <x:c r="E293" s="54" t="n">
        <x:v>15125.747</x:v>
      </x:c>
      <x:c r="F293" s="54" t="n">
        <x:v>15530.019</x:v>
      </x:c>
      <x:c r="G293" s="55" t="n">
        <x:v>0.02672</x:v>
      </x:c>
      <x:c r="H293" s="56" t="n">
        <x:f>SUM(T290:T292)</x:f>
        <x:v>0.07289</x:v>
      </x:c>
      <x:c r="I293" s="57" t="b">
        <x:f>AND(A293&gt;3,H293&lt;='Assumptions'!$B$7)</x:f>
        <x:v>0</x:v>
      </x:c>
      <x:c r="J293" s="55" t="n">
        <x:v>0.0014392205407185443</x:v>
      </x:c>
      <x:c r="K293" s="55" t="n">
        <x:v>0.008253871597215356</x:v>
      </x:c>
      <x:c r="L293" s="55" t="n">
        <x:v>0.006961926279350106</x:v>
      </x:c>
      <x:c r="M293" s="57" t="b">
        <x:f>J293&gt;='Assumptions'!$B$8</x:f>
        <x:v>0</x:v>
      </x:c>
      <x:c r="N293" s="57" t="b">
        <x:f>AND(K293&lt;&gt;"",K293&lt;='Assumptions'!$B$9)</x:f>
        <x:v>0</x:v>
      </x:c>
      <x:c r="O293" s="57" t="b">
        <x:f>AND(P293&lt;&gt;"",ABS(L293)&lt;='Assumptions'!$B$10)</x:f>
        <x:v>0</x:v>
      </x:c>
      <x:c r="P293" s="53" t="n">
        <x:v>45237</x:v>
      </x:c>
      <x:c r="Q293" s="54" t="n">
        <x:v>15199.769</x:v>
      </x:c>
      <x:c r="R293" s="55" t="n">
        <x:v>0.02172</x:v>
      </x:c>
      <x:c r="S293" s="57" t="str">
        <x:f>IF(I293,"DAMAGE SKIP",IF(AND(M293,N293),IF(O293,"TUESDAY RE-ENTRY","GAP/MOM SKIP"),"BASELINE"))</x:f>
        <x:v>BASELINE</x:v>
      </x:c>
      <x:c r="T293" s="56" t="n">
        <x:f>IF(I293,0,IF(AND(M293,N293),IF(O293,R293,0),G293))</x:f>
        <x:v>0.02672</x:v>
      </x:c>
      <x:c r="U293" s="56" t="n">
        <x:f>G293*'Assumptions'!$B$6</x:f>
        <x:v>0.30193600000000004</x:v>
      </x:c>
      <x:c r="V293" s="56" t="n">
        <x:f>T293*'Assumptions'!$B$6</x:f>
        <x:v>0.30193600000000004</x:v>
      </x:c>
      <x:c r="W293" s="56" t="n">
        <x:f>V293-U293</x:f>
        <x:v>0</x:v>
      </x:c>
      <x:c r="X293" s="58" t="n">
        <x:f>X292*(1+U293)</x:f>
        <x:v>1764893.0088558947</x:v>
      </x:c>
      <x:c r="Y293" s="58" t="n">
        <x:f>MAX(Y292,X293)</x:f>
        <x:v>1764893.0088558947</x:v>
      </x:c>
      <x:c r="Z293" s="59" t="n">
        <x:f>X293/Y293-1</x:f>
        <x:v>0</x:v>
      </x:c>
      <x:c r="AA293" s="58" t="n">
        <x:f>AA292*(1+V293)</x:f>
        <x:v>6314247.223803475</x:v>
      </x:c>
      <x:c r="AB293" s="58" t="n">
        <x:f>MAX(AB292,AA293)</x:f>
        <x:v>6314247.223803475</x:v>
      </x:c>
      <x:c r="AC293" s="59" t="n">
        <x:f>AA293/AB293-1</x:f>
        <x:v>0</x:v>
      </x:c>
      <x:c r="AD293" s="60" t="n">
        <x:f>AA293-X293</x:f>
        <x:v>4549354.214947579</x:v>
      </x:c>
      <x:c r="AE293" s="28" t="str">
        <x:v>Baseline trade unchanged.</x:v>
      </x:c>
    </x:row>
    <x:row r="294" ht="18" customHeight="1">
      <x:c r="A294" s="23" t="n">
        <x:v>290</x:v>
      </x:c>
      <x:c r="B294" s="53" t="n">
        <x:v>45243</x:v>
      </x:c>
      <x:c r="C294" s="53" t="n">
        <x:v>45244</x:v>
      </x:c>
      <x:c r="D294" s="23" t="str">
        <x:v>PREOH</x:v>
      </x:c>
      <x:c r="E294" s="54" t="n">
        <x:v>15460.529</x:v>
      </x:c>
      <x:c r="F294" s="54" t="n">
        <x:v>15774.249</x:v>
      </x:c>
      <x:c r="G294" s="55" t="n">
        <x:v>0.02029</x:v>
      </x:c>
      <x:c r="H294" s="56" t="n">
        <x:f>SUM(T291:T293)</x:f>
        <x:v>0.09226000000000001</x:v>
      </x:c>
      <x:c r="I294" s="57" t="b">
        <x:f>AND(A294&gt;3,H294&lt;='Assumptions'!$B$7)</x:f>
        <x:v>0</x:v>
      </x:c>
      <x:c r="J294" s="55" t="n">
        <x:v>-0.004474559883023921</x:v>
      </x:c>
      <x:c r="K294" s="55" t="n">
        <x:v>0.035886807052451175</x:v>
      </x:c>
      <x:c r="L294" s="55" t="n">
        <x:v>0.014059106939916521</x:v>
      </x:c>
      <x:c r="M294" s="57" t="b">
        <x:f>J294&gt;='Assumptions'!$B$8</x:f>
        <x:v>0</x:v>
      </x:c>
      <x:c r="N294" s="57" t="b">
        <x:f>AND(K294&lt;&gt;"",K294&lt;='Assumptions'!$B$9)</x:f>
        <x:v>0</x:v>
      </x:c>
      <x:c r="O294" s="57" t="b">
        <x:f>AND(P294&lt;&gt;"",ABS(L294)&lt;='Assumptions'!$B$10)</x:f>
        <x:v>0</x:v>
      </x:c>
      <x:c r="P294" s="53" t="n">
        <x:v>45244</x:v>
      </x:c>
      <x:c r="Q294" s="54" t="n">
        <x:v>15747.329</x:v>
      </x:c>
      <x:c r="R294" s="55" t="n">
        <x:v>0.0017</x:v>
      </x:c>
      <x:c r="S294" s="57" t="str">
        <x:f>IF(I294,"DAMAGE SKIP",IF(AND(M294,N294),IF(O294,"TUESDAY RE-ENTRY","GAP/MOM SKIP"),"BASELINE"))</x:f>
        <x:v>BASELINE</x:v>
      </x:c>
      <x:c r="T294" s="56" t="n">
        <x:f>IF(I294,0,IF(AND(M294,N294),IF(O294,R294,0),G294))</x:f>
        <x:v>0.02029</x:v>
      </x:c>
      <x:c r="U294" s="56" t="n">
        <x:f>G294*'Assumptions'!$B$6</x:f>
        <x:v>0.229277</x:v>
      </x:c>
      <x:c r="V294" s="56" t="n">
        <x:f>T294*'Assumptions'!$B$6</x:f>
        <x:v>0.229277</x:v>
      </x:c>
      <x:c r="W294" s="56" t="n">
        <x:f>V294-U294</x:f>
        <x:v>0</x:v>
      </x:c>
      <x:c r="X294" s="58" t="n">
        <x:f>X293*(1+U294)</x:f>
        <x:v>2169542.3832473475</x:v>
      </x:c>
      <x:c r="Y294" s="58" t="n">
        <x:f>MAX(Y293,X294)</x:f>
        <x:v>2169542.3832473475</x:v>
      </x:c>
      <x:c r="Z294" s="59" t="n">
        <x:f>X294/Y294-1</x:f>
        <x:v>0</x:v>
      </x:c>
      <x:c r="AA294" s="58" t="n">
        <x:f>AA293*(1+V294)</x:f>
        <x:v>7761958.8845354635</x:v>
      </x:c>
      <x:c r="AB294" s="58" t="n">
        <x:f>MAX(AB293,AA294)</x:f>
        <x:v>7761958.8845354635</x:v>
      </x:c>
      <x:c r="AC294" s="59" t="n">
        <x:f>AA294/AB294-1</x:f>
        <x:v>0</x:v>
      </x:c>
      <x:c r="AD294" s="60" t="n">
        <x:f>AA294-X294</x:f>
        <x:v>5592416.501288116</x:v>
      </x:c>
      <x:c r="AE294" s="28" t="str">
        <x:v>Baseline trade unchanged.</x:v>
      </x:c>
    </x:row>
    <x:row r="295" ht="18" customHeight="1">
      <x:c r="A295" s="23" t="n">
        <x:v>291</x:v>
      </x:c>
      <x:c r="B295" s="53" t="n">
        <x:v>45250</x:v>
      </x:c>
      <x:c r="C295" s="53" t="n">
        <x:v>45250</x:v>
      </x:c>
      <x:c r="D295" s="23" t="str">
        <x:v>CH</x:v>
      </x:c>
      <x:c r="E295" s="54" t="n">
        <x:v>15835.539</x:v>
      </x:c>
      <x:c r="F295" s="54" t="n">
        <x:v>16026.627</x:v>
      </x:c>
      <x:c r="G295" s="55" t="n">
        <x:v>0.01206</x:v>
      </x:c>
      <x:c r="H295" s="56" t="n">
        <x:f>SUM(T292:T294)</x:f>
        <x:v>0.10453000000000001</x:v>
      </x:c>
      <x:c r="I295" s="57" t="b">
        <x:f>AND(A295&gt;3,H295&lt;='Assumptions'!$B$7)</x:f>
        <x:v>0</x:v>
      </x:c>
      <x:c r="J295" s="55" t="n">
        <x:v>0.00017811217391039413</x:v>
      </x:c>
      <x:c r="K295" s="55" t="n">
        <x:v>0.08866456577250559</x:v>
      </x:c>
      <x:c r="L295" s="55" t="n">
        <x:v>0.007693011701640939</x:v>
      </x:c>
      <x:c r="M295" s="57" t="b">
        <x:f>J295&gt;='Assumptions'!$B$8</x:f>
        <x:v>0</x:v>
      </x:c>
      <x:c r="N295" s="57" t="b">
        <x:f>AND(K295&lt;&gt;"",K295&lt;='Assumptions'!$B$9)</x:f>
        <x:v>0</x:v>
      </x:c>
      <x:c r="O295" s="57" t="b">
        <x:f>AND(P295&lt;&gt;"",ABS(L295)&lt;='Assumptions'!$B$10)</x:f>
        <x:v>0</x:v>
      </x:c>
      <x:c r="P295" s="53" t="n">
        <x:v>45251</x:v>
      </x:c>
      <x:c r="Q295" s="54" t="n">
        <x:v>15955.269</x:v>
      </x:c>
      <x:c r="R295" s="55" t="n">
        <x:v>0.00447</x:v>
      </x:c>
      <x:c r="S295" s="57" t="str">
        <x:f>IF(I295,"DAMAGE SKIP",IF(AND(M295,N295),IF(O295,"TUESDAY RE-ENTRY","GAP/MOM SKIP"),"BASELINE"))</x:f>
        <x:v>BASELINE</x:v>
      </x:c>
      <x:c r="T295" s="56" t="n">
        <x:f>IF(I295,0,IF(AND(M295,N295),IF(O295,R295,0),G295))</x:f>
        <x:v>0.01206</x:v>
      </x:c>
      <x:c r="U295" s="56" t="n">
        <x:f>G295*'Assumptions'!$B$6</x:f>
        <x:v>0.136278</x:v>
      </x:c>
      <x:c r="V295" s="56" t="n">
        <x:f>T295*'Assumptions'!$B$6</x:f>
        <x:v>0.136278</x:v>
      </x:c>
      <x:c r="W295" s="56" t="n">
        <x:f>V295-U295</x:f>
        <x:v>0</x:v>
      </x:c>
      <x:c r="X295" s="58" t="n">
        <x:f>X294*(1+U295)</x:f>
        <x:v>2465203.2801515292</x:v>
      </x:c>
      <x:c r="Y295" s="58" t="n">
        <x:f>MAX(Y294,X295)</x:f>
        <x:v>2465203.2801515292</x:v>
      </x:c>
      <x:c r="Z295" s="59" t="n">
        <x:f>X295/Y295-1</x:f>
        <x:v>0</x:v>
      </x:c>
      <x:c r="AA295" s="58" t="n">
        <x:f>AA294*(1+V295)</x:f>
        <x:v>8819743.117402187</x:v>
      </x:c>
      <x:c r="AB295" s="58" t="n">
        <x:f>MAX(AB294,AA295)</x:f>
        <x:v>8819743.117402187</x:v>
      </x:c>
      <x:c r="AC295" s="59" t="n">
        <x:f>AA295/AB295-1</x:f>
        <x:v>0</x:v>
      </x:c>
      <x:c r="AD295" s="60" t="n">
        <x:f>AA295-X295</x:f>
        <x:v>6354539.837250657</x:v>
      </x:c>
      <x:c r="AE295" s="28" t="str">
        <x:v>Baseline trade unchanged.</x:v>
      </x:c>
    </x:row>
    <x:row r="296" ht="18" customHeight="1">
      <x:c r="A296" s="23" t="n">
        <x:v>292</x:v>
      </x:c>
      <x:c r="B296" s="53" t="n">
        <x:v>45257</x:v>
      </x:c>
      <x:c r="C296" s="53" t="n">
        <x:v>45260</x:v>
      </x:c>
      <x:c r="D296" s="23" t="str">
        <x:v>TSL2</x:v>
      </x:c>
      <x:c r="E296" s="54" t="n">
        <x:v>15956.399</x:v>
      </x:c>
      <x:c r="F296" s="54" t="n">
        <x:v>15892.573403999999</x:v>
      </x:c>
      <x:c r="G296" s="55" t="n">
        <x:v>-0.004</x:v>
      </x:c>
      <x:c r="H296" s="56" t="n">
        <x:f>SUM(T293:T295)</x:f>
        <x:v>0.05907</x:v>
      </x:c>
      <x:c r="I296" s="57" t="b">
        <x:f>AND(A296&gt;3,H296&lt;='Assumptions'!$B$7)</x:f>
        <x:v>0</x:v>
      </x:c>
      <x:c r="J296" s="55" t="n">
        <x:v>-0.001103041131978122</x:v>
      </x:c>
      <x:c r="K296" s="55" t="n">
        <x:v>0.13341185870133532</x:v>
      </x:c>
      <x:c r="L296" s="55" t="n">
        <x:v>-0.00282225982931672</x:v>
      </x:c>
      <x:c r="M296" s="57" t="b">
        <x:f>J296&gt;='Assumptions'!$B$8</x:f>
        <x:v>0</x:v>
      </x:c>
      <x:c r="N296" s="57" t="b">
        <x:f>AND(K296&lt;&gt;"",K296&lt;='Assumptions'!$B$9)</x:f>
        <x:v>0</x:v>
      </x:c>
      <x:c r="O296" s="57" t="b">
        <x:f>AND(P296&lt;&gt;"",ABS(L296)&lt;='Assumptions'!$B$10)</x:f>
        <x:v>1</x:v>
      </x:c>
      <x:c r="P296" s="53" t="n">
        <x:v>45258</x:v>
      </x:c>
      <x:c r="Q296" s="54" t="n">
        <x:v>15934.399</x:v>
      </x:c>
      <x:c r="R296" s="55" t="n">
        <x:v>-0.00262</x:v>
      </x:c>
      <x:c r="S296" s="57" t="str">
        <x:f>IF(I296,"DAMAGE SKIP",IF(AND(M296,N296),IF(O296,"TUESDAY RE-ENTRY","GAP/MOM SKIP"),"BASELINE"))</x:f>
        <x:v>BASELINE</x:v>
      </x:c>
      <x:c r="T296" s="56" t="n">
        <x:f>IF(I296,0,IF(AND(M296,N296),IF(O296,R296,0),G296))</x:f>
        <x:v>-0.004</x:v>
      </x:c>
      <x:c r="U296" s="56" t="n">
        <x:f>G296*'Assumptions'!$B$6</x:f>
        <x:v>-0.045200000000000004</x:v>
      </x:c>
      <x:c r="V296" s="56" t="n">
        <x:f>T296*'Assumptions'!$B$6</x:f>
        <x:v>-0.045200000000000004</x:v>
      </x:c>
      <x:c r="W296" s="56" t="n">
        <x:f>V296-U296</x:f>
        <x:v>0</x:v>
      </x:c>
      <x:c r="X296" s="58" t="n">
        <x:f>X295*(1+U296)</x:f>
        <x:v>2353776.09188868</x:v>
      </x:c>
      <x:c r="Y296" s="58" t="n">
        <x:f>MAX(Y295,X296)</x:f>
        <x:v>2465203.2801515292</x:v>
      </x:c>
      <x:c r="Z296" s="59" t="n">
        <x:f>X296/Y296-1</x:f>
        <x:v>-0.04520000000000002</x:v>
      </x:c>
      <x:c r="AA296" s="58" t="n">
        <x:f>AA295*(1+V296)</x:f>
        <x:v>8421090.728495607</x:v>
      </x:c>
      <x:c r="AB296" s="58" t="n">
        <x:f>MAX(AB295,AA296)</x:f>
        <x:v>8819743.117402187</x:v>
      </x:c>
      <x:c r="AC296" s="59" t="n">
        <x:f>AA296/AB296-1</x:f>
        <x:v>-0.04520000000000002</x:v>
      </x:c>
      <x:c r="AD296" s="60" t="n">
        <x:f>AA296-X296</x:f>
        <x:v>6067314.636606927</x:v>
      </x:c>
      <x:c r="AE296" s="28" t="str">
        <x:v>Baseline trade unchanged.</x:v>
      </x:c>
    </x:row>
    <x:row r="297" ht="18" customHeight="1">
      <x:c r="A297" s="23" t="n">
        <x:v>293</x:v>
      </x:c>
      <x:c r="B297" s="53" t="n">
        <x:v>45264</x:v>
      </x:c>
      <x:c r="C297" s="53" t="n">
        <x:v>45268</x:v>
      </x:c>
      <x:c r="D297" s="23" t="str">
        <x:v>TO</x:v>
      </x:c>
      <x:c r="E297" s="54" t="n">
        <x:v>15830.129</x:v>
      </x:c>
      <x:c r="F297" s="54" t="n">
        <x:v>16079.829</x:v>
      </x:c>
      <x:c r="G297" s="55" t="n">
        <x:v>0.01577</x:v>
      </x:c>
      <x:c r="H297" s="56" t="n">
        <x:f>SUM(T294:T296)</x:f>
        <x:v>0.028349999999999997</x:v>
      </x:c>
      <x:c r="I297" s="57" t="b">
        <x:f>AND(A297&gt;3,H297&lt;='Assumptions'!$B$7)</x:f>
        <x:v>0</x:v>
      </x:c>
      <x:c r="J297" s="55" t="n">
        <x:v>-0.009714477925164111</x:v>
      </x:c>
      <x:c r="K297" s="55" t="n">
        <x:v>0.0729119507161764</x:v>
      </x:c>
      <x:c r="L297" s="55" t="n">
        <x:v>-0.014235492689392393</x:v>
      </x:c>
      <x:c r="M297" s="57" t="b">
        <x:f>J297&gt;='Assumptions'!$B$8</x:f>
        <x:v>0</x:v>
      </x:c>
      <x:c r="N297" s="57" t="b">
        <x:f>AND(K297&lt;&gt;"",K297&lt;='Assumptions'!$B$9)</x:f>
        <x:v>0</x:v>
      </x:c>
      <x:c r="O297" s="57" t="b">
        <x:f>AND(P297&lt;&gt;"",ABS(L297)&lt;='Assumptions'!$B$10)</x:f>
        <x:v>0</x:v>
      </x:c>
      <x:c r="P297" s="53" t="n">
        <x:v>45265</x:v>
      </x:c>
      <x:c r="Q297" s="54" t="n">
        <x:v>15761.169</x:v>
      </x:c>
      <x:c r="R297" s="55" t="n">
        <x:v>0.02021</x:v>
      </x:c>
      <x:c r="S297" s="57" t="str">
        <x:f>IF(I297,"DAMAGE SKIP",IF(AND(M297,N297),IF(O297,"TUESDAY RE-ENTRY","GAP/MOM SKIP"),"BASELINE"))</x:f>
        <x:v>BASELINE</x:v>
      </x:c>
      <x:c r="T297" s="56" t="n">
        <x:f>IF(I297,0,IF(AND(M297,N297),IF(O297,R297,0),G297))</x:f>
        <x:v>0.01577</x:v>
      </x:c>
      <x:c r="U297" s="56" t="n">
        <x:f>G297*'Assumptions'!$B$6</x:f>
        <x:v>0.178201</x:v>
      </x:c>
      <x:c r="V297" s="56" t="n">
        <x:f>T297*'Assumptions'!$B$6</x:f>
        <x:v>0.178201</x:v>
      </x:c>
      <x:c r="W297" s="56" t="n">
        <x:f>V297-U297</x:f>
        <x:v>0</x:v>
      </x:c>
      <x:c r="X297" s="58" t="n">
        <x:f>X296*(1+U297)</x:f>
        <x:v>2773221.3452393347</x:v>
      </x:c>
      <x:c r="Y297" s="58" t="n">
        <x:f>MAX(Y296,X297)</x:f>
        <x:v>2773221.3452393347</x:v>
      </x:c>
      <x:c r="Z297" s="59" t="n">
        <x:f>X297/Y297-1</x:f>
        <x:v>0</x:v>
      </x:c>
      <x:c r="AA297" s="58" t="n">
        <x:f>AA296*(1+V297)</x:f>
        <x:v>9921737.517404253</x:v>
      </x:c>
      <x:c r="AB297" s="58" t="n">
        <x:f>MAX(AB296,AA297)</x:f>
        <x:v>9921737.517404253</x:v>
      </x:c>
      <x:c r="AC297" s="59" t="n">
        <x:f>AA297/AB297-1</x:f>
        <x:v>0</x:v>
      </x:c>
      <x:c r="AD297" s="60" t="n">
        <x:f>AA297-X297</x:f>
        <x:v>7148516.172164918</x:v>
      </x:c>
      <x:c r="AE297" s="28" t="str">
        <x:v>Baseline trade unchanged.</x:v>
      </x:c>
    </x:row>
    <x:row r="298" ht="18" customHeight="1">
      <x:c r="A298" s="23" t="n">
        <x:v>294</x:v>
      </x:c>
      <x:c r="B298" s="53" t="n">
        <x:v>45271</x:v>
      </x:c>
      <x:c r="C298" s="53" t="n">
        <x:v>45271</x:v>
      </x:c>
      <x:c r="D298" s="23" t="str">
        <x:v>CH</x:v>
      </x:c>
      <x:c r="E298" s="54" t="n">
        <x:v>16060.959</x:v>
      </x:c>
      <x:c r="F298" s="54" t="n">
        <x:v>16223.199</x:v>
      </x:c>
      <x:c r="G298" s="55" t="n">
        <x:v>0.0101</x:v>
      </x:c>
      <x:c r="H298" s="56" t="n">
        <x:f>SUM(T295:T297)</x:f>
        <x:v>0.023829999999999997</x:v>
      </x:c>
      <x:c r="I298" s="57" t="b">
        <x:f>AND(A298&gt;3,H298&lt;='Assumptions'!$B$7)</x:f>
        <x:v>0</x:v>
      </x:c>
      <x:c r="J298" s="55" t="n">
        <x:v>-0.0011735199422828746</x:v>
      </x:c>
      <x:c r="K298" s="55" t="n">
        <x:v>0.05971838823362541</x:v>
      </x:c>
      <x:c r="L298" s="55" t="n">
        <x:v>0.008643567389194695</x:v>
      </x:c>
      <x:c r="M298" s="57" t="b">
        <x:f>J298&gt;='Assumptions'!$B$8</x:f>
        <x:v>0</x:v>
      </x:c>
      <x:c r="N298" s="57" t="b">
        <x:f>AND(K298&lt;&gt;"",K298&lt;='Assumptions'!$B$9)</x:f>
        <x:v>0</x:v>
      </x:c>
      <x:c r="O298" s="57" t="b">
        <x:f>AND(P298&lt;&gt;"",ABS(L298)&lt;='Assumptions'!$B$10)</x:f>
        <x:v>0</x:v>
      </x:c>
      <x:c r="P298" s="53" t="n">
        <x:v>45272</x:v>
      </x:c>
      <x:c r="Q298" s="54" t="n">
        <x:v>16217.039</x:v>
      </x:c>
      <x:c r="R298" s="55" t="n">
        <x:v>0.00037</x:v>
      </x:c>
      <x:c r="S298" s="57" t="str">
        <x:f>IF(I298,"DAMAGE SKIP",IF(AND(M298,N298),IF(O298,"TUESDAY RE-ENTRY","GAP/MOM SKIP"),"BASELINE"))</x:f>
        <x:v>BASELINE</x:v>
      </x:c>
      <x:c r="T298" s="56" t="n">
        <x:f>IF(I298,0,IF(AND(M298,N298),IF(O298,R298,0),G298))</x:f>
        <x:v>0.0101</x:v>
      </x:c>
      <x:c r="U298" s="56" t="n">
        <x:f>G298*'Assumptions'!$B$6</x:f>
        <x:v>0.11413000000000001</x:v>
      </x:c>
      <x:c r="V298" s="56" t="n">
        <x:f>T298*'Assumptions'!$B$6</x:f>
        <x:v>0.11413000000000001</x:v>
      </x:c>
      <x:c r="W298" s="56" t="n">
        <x:f>V298-U298</x:f>
        <x:v>0</x:v>
      </x:c>
      <x:c r="X298" s="58" t="n">
        <x:f>X297*(1+U298)</x:f>
        <x:v>3089729.0973715</x:v>
      </x:c>
      <x:c r="Y298" s="58" t="n">
        <x:f>MAX(Y297,X298)</x:f>
        <x:v>3089729.0973715</x:v>
      </x:c>
      <x:c r="Z298" s="59" t="n">
        <x:f>X298/Y298-1</x:f>
        <x:v>0</x:v>
      </x:c>
      <x:c r="AA298" s="58" t="n">
        <x:f>AA297*(1+V298)</x:f>
        <x:v>11054105.4202656</x:v>
      </x:c>
      <x:c r="AB298" s="58" t="n">
        <x:f>MAX(AB297,AA298)</x:f>
        <x:v>11054105.4202656</x:v>
      </x:c>
      <x:c r="AC298" s="59" t="n">
        <x:f>AA298/AB298-1</x:f>
        <x:v>0</x:v>
      </x:c>
      <x:c r="AD298" s="60" t="n">
        <x:f>AA298-X298</x:f>
        <x:v>7964376.3228941</x:v>
      </x:c>
      <x:c r="AE298" s="28" t="str">
        <x:v>Baseline trade unchanged.</x:v>
      </x:c>
    </x:row>
    <x:row r="299" ht="18" customHeight="1">
      <x:c r="A299" s="23" t="n">
        <x:v>295</x:v>
      </x:c>
      <x:c r="B299" s="53" t="n">
        <x:v>45278</x:v>
      </x:c>
      <x:c r="C299" s="53" t="n">
        <x:v>45281</x:v>
      </x:c>
      <x:c r="D299" s="23" t="str">
        <x:v>BEPRE</x:v>
      </x:c>
      <x:c r="E299" s="54" t="n">
        <x:v>16632.889</x:v>
      </x:c>
      <x:c r="F299" s="54" t="n">
        <x:v>16588.019</x:v>
      </x:c>
      <x:c r="G299" s="55" t="n">
        <x:v>-0.00269</x:v>
      </x:c>
      <x:c r="H299" s="56" t="n">
        <x:f>SUM(T296:T298)</x:f>
        <x:v>0.02187</x:v>
      </x:c>
      <x:c r="I299" s="57" t="b">
        <x:f>AND(A299&gt;3,H299&lt;='Assumptions'!$B$7)</x:f>
        <x:v>0</x:v>
      </x:c>
      <x:c r="J299" s="55" t="n">
        <x:v>0.0011496474404484314</x:v>
      </x:c>
      <x:c r="K299" s="55" t="n">
        <x:v>0.050238665045052144</x:v>
      </x:c>
      <x:c r="L299" s="55" t="n">
        <x:v>0.007438804810443678</x:v>
      </x:c>
      <x:c r="M299" s="57" t="b">
        <x:f>J299&gt;='Assumptions'!$B$8</x:f>
        <x:v>0</x:v>
      </x:c>
      <x:c r="N299" s="57" t="b">
        <x:f>AND(K299&lt;&gt;"",K299&lt;='Assumptions'!$B$9)</x:f>
        <x:v>0</x:v>
      </x:c>
      <x:c r="O299" s="57" t="b">
        <x:f>AND(P299&lt;&gt;"",ABS(L299)&lt;='Assumptions'!$B$10)</x:f>
        <x:v>0</x:v>
      </x:c>
      <x:c r="P299" s="53" t="n">
        <x:v>45279</x:v>
      </x:c>
      <x:c r="Q299" s="54" t="n">
        <x:v>16742.709</x:v>
      </x:c>
      <x:c r="R299" s="55" t="n">
        <x:v>-0.00923</x:v>
      </x:c>
      <x:c r="S299" s="57" t="str">
        <x:f>IF(I299,"DAMAGE SKIP",IF(AND(M299,N299),IF(O299,"TUESDAY RE-ENTRY","GAP/MOM SKIP"),"BASELINE"))</x:f>
        <x:v>BASELINE</x:v>
      </x:c>
      <x:c r="T299" s="56" t="n">
        <x:f>IF(I299,0,IF(AND(M299,N299),IF(O299,R299,0),G299))</x:f>
        <x:v>-0.00269</x:v>
      </x:c>
      <x:c r="U299" s="56" t="n">
        <x:f>G299*'Assumptions'!$B$6</x:f>
        <x:v>-0.030397000000000004</x:v>
      </x:c>
      <x:c r="V299" s="56" t="n">
        <x:f>T299*'Assumptions'!$B$6</x:f>
        <x:v>-0.030397000000000004</x:v>
      </x:c>
      <x:c r="W299" s="56" t="n">
        <x:f>V299-U299</x:f>
        <x:v>0</x:v>
      </x:c>
      <x:c r="X299" s="58" t="n">
        <x:f>X298*(1+U299)</x:f>
        <x:v>2995810.6019986984</x:v>
      </x:c>
      <x:c r="Y299" s="58" t="n">
        <x:f>MAX(Y298,X299)</x:f>
        <x:v>3089729.0973715</x:v>
      </x:c>
      <x:c r="Z299" s="59" t="n">
        <x:f>X299/Y299-1</x:f>
        <x:v>-0.030397000000000007</x:v>
      </x:c>
      <x:c r="AA299" s="58" t="n">
        <x:f>AA298*(1+V299)</x:f>
        <x:v>10718093.777805787</x:v>
      </x:c>
      <x:c r="AB299" s="58" t="n">
        <x:f>MAX(AB298,AA299)</x:f>
        <x:v>11054105.4202656</x:v>
      </x:c>
      <x:c r="AC299" s="59" t="n">
        <x:f>AA299/AB299-1</x:f>
        <x:v>-0.030397000000000007</x:v>
      </x:c>
      <x:c r="AD299" s="60" t="n">
        <x:f>AA299-X299</x:f>
        <x:v>7722283.175807089</x:v>
      </x:c>
      <x:c r="AE299" s="28" t="str">
        <x:v>Baseline trade unchanged.</x:v>
      </x:c>
    </x:row>
    <x:row r="300" ht="18" customHeight="1">
      <x:c r="A300" s="23" t="n">
        <x:v>296</x:v>
      </x:c>
      <x:c r="B300" s="53" t="n">
        <x:v>45286</x:v>
      </x:c>
      <x:c r="C300" s="53" t="n">
        <x:v>45289</x:v>
      </x:c>
      <x:c r="D300" s="23" t="str">
        <x:v>TO</x:v>
      </x:c>
      <x:c r="E300" s="54" t="n">
        <x:v>16811.009</x:v>
      </x:c>
      <x:c r="F300" s="54" t="n">
        <x:v>16822.679</x:v>
      </x:c>
      <x:c r="G300" s="55" t="n">
        <x:v>0.00069</x:v>
      </x:c>
      <x:c r="H300" s="56" t="n">
        <x:f>SUM(T297:T299)</x:f>
        <x:v>0.023179999999999996</x:v>
      </x:c>
      <x:c r="I300" s="57" t="b">
        <x:f>AND(A300&gt;3,H300&lt;='Assumptions'!$B$7)</x:f>
        <x:v>0</x:v>
      </x:c>
      <x:c r="J300" s="55" t="n">
        <x:v>0.001529907456684132</x:v>
      </x:c>
      <x:c r="K300" s="55" t="n">
        <x:v>0.05054410785230945</x:v>
      </x:c>
      <x:c r="L300" s="55"/>
      <x:c r="M300" s="57" t="b">
        <x:f>J300&gt;='Assumptions'!$B$8</x:f>
        <x:v>0</x:v>
      </x:c>
      <x:c r="N300" s="57" t="b">
        <x:f>AND(K300&lt;&gt;"",K300&lt;='Assumptions'!$B$9)</x:f>
        <x:v>0</x:v>
      </x:c>
      <x:c r="O300" s="57" t="b">
        <x:f>AND(P300&lt;&gt;"",ABS(L300)&lt;='Assumptions'!$B$10)</x:f>
        <x:v>0</x:v>
      </x:c>
      <x:c r="P300" s="53"/>
      <x:c r="Q300" s="54"/>
      <x:c r="R300" s="55"/>
      <x:c r="S300" s="57" t="str">
        <x:f>IF(I300,"DAMAGE SKIP",IF(AND(M300,N300),IF(O300,"TUESDAY RE-ENTRY","GAP/MOM SKIP"),"BASELINE"))</x:f>
        <x:v>BASELINE</x:v>
      </x:c>
      <x:c r="T300" s="56" t="n">
        <x:f>IF(I300,0,IF(AND(M300,N300),IF(O300,R300,0),G300))</x:f>
        <x:v>0.00069</x:v>
      </x:c>
      <x:c r="U300" s="56" t="n">
        <x:f>G300*'Assumptions'!$B$6</x:f>
        <x:v>0.007797</x:v>
      </x:c>
      <x:c r="V300" s="56" t="n">
        <x:f>T300*'Assumptions'!$B$6</x:f>
        <x:v>0.007797</x:v>
      </x:c>
      <x:c r="W300" s="56" t="n">
        <x:f>V300-U300</x:f>
        <x:v>0</x:v>
      </x:c>
      <x:c r="X300" s="58" t="n">
        <x:f>X299*(1+U300)</x:f>
        <x:v>3019168.9372624825</x:v>
      </x:c>
      <x:c r="Y300" s="58" t="n">
        <x:f>MAX(Y299,X300)</x:f>
        <x:v>3089729.0973715</x:v>
      </x:c>
      <x:c r="Z300" s="59" t="n">
        <x:f>X300/Y300-1</x:f>
        <x:v>-0.02283700540899991</x:v>
      </x:c>
      <x:c r="AA300" s="58" t="n">
        <x:f>AA299*(1+V300)</x:f>
        <x:v>10801662.75499134</x:v>
      </x:c>
      <x:c r="AB300" s="58" t="n">
        <x:f>MAX(AB299,AA300)</x:f>
        <x:v>11054105.4202656</x:v>
      </x:c>
      <x:c r="AC300" s="59" t="n">
        <x:f>AA300/AB300-1</x:f>
        <x:v>-0.02283700540899991</x:v>
      </x:c>
      <x:c r="AD300" s="60" t="n">
        <x:f>AA300-X300</x:f>
        <x:v>7782493.817728857</x:v>
      </x:c>
      <x:c r="AE300" s="28" t="str">
        <x:v>Baseline trade unchanged.</x:v>
      </x:c>
    </x:row>
    <x:row r="301" ht="18" customHeight="1">
      <x:c r="A301" s="23" t="n">
        <x:v>297</x:v>
      </x:c>
      <x:c r="B301" s="53" t="n">
        <x:v>45293</x:v>
      </x:c>
      <x:c r="C301" s="53" t="n">
        <x:v>45295</x:v>
      </x:c>
      <x:c r="D301" s="23" t="str">
        <x:v>TSL1PRE</x:v>
      </x:c>
      <x:c r="E301" s="54" t="n">
        <x:v>16674.229</x:v>
      </x:c>
      <x:c r="F301" s="54" t="n">
        <x:v>16383.159</x:v>
      </x:c>
      <x:c r="G301" s="55" t="n">
        <x:v>-0.01745</x:v>
      </x:c>
      <x:c r="H301" s="56" t="n">
        <x:f>SUM(T298:T300)</x:f>
        <x:v>0.0081</x:v>
      </x:c>
      <x:c r="I301" s="57" t="b">
        <x:f>AND(A301&gt;3,H301&lt;='Assumptions'!$B$7)</x:f>
        <x:v>0</x:v>
      </x:c>
      <x:c r="J301" s="55" t="n">
        <x:v>-0.008824397112968785</x:v>
      </x:c>
      <x:c r="K301" s="55" t="n">
        <x:v>0.05531584576881943</x:v>
      </x:c>
      <x:c r="L301" s="55"/>
      <x:c r="M301" s="57" t="b">
        <x:f>J301&gt;='Assumptions'!$B$8</x:f>
        <x:v>0</x:v>
      </x:c>
      <x:c r="N301" s="57" t="b">
        <x:f>AND(K301&lt;&gt;"",K301&lt;='Assumptions'!$B$9)</x:f>
        <x:v>0</x:v>
      </x:c>
      <x:c r="O301" s="57" t="b">
        <x:f>AND(P301&lt;&gt;"",ABS(L301)&lt;='Assumptions'!$B$10)</x:f>
        <x:v>0</x:v>
      </x:c>
      <x:c r="P301" s="53"/>
      <x:c r="Q301" s="54"/>
      <x:c r="R301" s="55"/>
      <x:c r="S301" s="57" t="str">
        <x:f>IF(I301,"DAMAGE SKIP",IF(AND(M301,N301),IF(O301,"TUESDAY RE-ENTRY","GAP/MOM SKIP"),"BASELINE"))</x:f>
        <x:v>BASELINE</x:v>
      </x:c>
      <x:c r="T301" s="56" t="n">
        <x:f>IF(I301,0,IF(AND(M301,N301),IF(O301,R301,0),G301))</x:f>
        <x:v>-0.01745</x:v>
      </x:c>
      <x:c r="U301" s="56" t="n">
        <x:f>G301*'Assumptions'!$B$6</x:f>
        <x:v>-0.19718500000000003</x:v>
      </x:c>
      <x:c r="V301" s="56" t="n">
        <x:f>T301*'Assumptions'!$B$6</x:f>
        <x:v>-0.19718500000000003</x:v>
      </x:c>
      <x:c r="W301" s="56" t="n">
        <x:f>V301-U301</x:f>
        <x:v>0</x:v>
      </x:c>
      <x:c r="X301" s="58" t="n">
        <x:f>X300*(1+U301)</x:f>
        <x:v>2423834.11036838</x:v>
      </x:c>
      <x:c r="Y301" s="58" t="n">
        <x:f>MAX(Y300,X301)</x:f>
        <x:v>3089729.0973715</x:v>
      </x:c>
      <x:c r="Z301" s="59" t="n">
        <x:f>X301/Y301-1</x:f>
        <x:v>-0.21551889049742634</x:v>
      </x:c>
      <x:c r="AA301" s="58" t="n">
        <x:f>AA300*(1+V301)</x:f>
        <x:v>8671736.884648371</x:v>
      </x:c>
      <x:c r="AB301" s="58" t="n">
        <x:f>MAX(AB300,AA301)</x:f>
        <x:v>11054105.4202656</x:v>
      </x:c>
      <x:c r="AC301" s="59" t="n">
        <x:f>AA301/AB301-1</x:f>
        <x:v>-0.21551889049742634</x:v>
      </x:c>
      <x:c r="AD301" s="60" t="n">
        <x:f>AA301-X301</x:f>
        <x:v>6247902.774279991</x:v>
      </x:c>
      <x:c r="AE301" s="28" t="str">
        <x:v>Baseline trade unchanged.</x:v>
      </x:c>
    </x:row>
    <x:row r="302" ht="18" customHeight="1">
      <x:c r="A302" s="23" t="n">
        <x:v>298</x:v>
      </x:c>
      <x:c r="B302" s="53" t="n">
        <x:v>45299</x:v>
      </x:c>
      <x:c r="C302" s="53" t="n">
        <x:v>45299</x:v>
      </x:c>
      <x:c r="D302" s="23" t="str">
        <x:v>CH</x:v>
      </x:c>
      <x:c r="E302" s="54" t="n">
        <x:v>16352.689</x:v>
      </x:c>
      <x:c r="F302" s="54" t="n">
        <x:v>16644.019</x:v>
      </x:c>
      <x:c r="G302" s="55" t="n">
        <x:v>0.01781</x:v>
      </x:c>
      <x:c r="H302" s="56" t="n">
        <x:f>SUM(T299:T301)</x:f>
        <x:v>-0.019450000000000002</x:v>
      </x:c>
      <x:c r="I302" s="57" t="b">
        <x:f>AND(A302&gt;3,H302&lt;='Assumptions'!$B$7)</x:f>
        <x:v>0</x:v>
      </x:c>
      <x:c r="J302" s="55" t="n">
        <x:v>0.0031783562101159735</x:v>
      </x:c>
      <x:c r="K302" s="55" t="n">
        <x:v>0.03245054293968663</x:v>
      </x:c>
      <x:c r="L302" s="55" t="n">
        <x:v>0.013003402569701894</x:v>
      </x:c>
      <x:c r="M302" s="57" t="b">
        <x:f>J302&gt;='Assumptions'!$B$8</x:f>
        <x:v>0</x:v>
      </x:c>
      <x:c r="N302" s="57" t="b">
        <x:f>AND(K302&lt;&gt;"",K302&lt;='Assumptions'!$B$9)</x:f>
        <x:v>0</x:v>
      </x:c>
      <x:c r="O302" s="57" t="b">
        <x:f>AND(P302&lt;&gt;"",ABS(L302)&lt;='Assumptions'!$B$10)</x:f>
        <x:v>0</x:v>
      </x:c>
      <x:c r="P302" s="53" t="n">
        <x:v>45300</x:v>
      </x:c>
      <x:c r="Q302" s="54" t="n">
        <x:v>16512.419</x:v>
      </x:c>
      <x:c r="R302" s="55" t="n">
        <x:v>0.00796</x:v>
      </x:c>
      <x:c r="S302" s="57" t="str">
        <x:f>IF(I302,"DAMAGE SKIP",IF(AND(M302,N302),IF(O302,"TUESDAY RE-ENTRY","GAP/MOM SKIP"),"BASELINE"))</x:f>
        <x:v>BASELINE</x:v>
      </x:c>
      <x:c r="T302" s="56" t="n">
        <x:f>IF(I302,0,IF(AND(M302,N302),IF(O302,R302,0),G302))</x:f>
        <x:v>0.01781</x:v>
      </x:c>
      <x:c r="U302" s="56" t="n">
        <x:f>G302*'Assumptions'!$B$6</x:f>
        <x:v>0.20125300000000002</x:v>
      </x:c>
      <x:c r="V302" s="56" t="n">
        <x:f>T302*'Assumptions'!$B$6</x:f>
        <x:v>0.20125300000000002</x:v>
      </x:c>
      <x:c r="W302" s="56" t="n">
        <x:f>V302-U302</x:f>
        <x:v>0</x:v>
      </x:c>
      <x:c r="X302" s="58" t="n">
        <x:f>X301*(1+U302)</x:f>
        <x:v>2911637.996582347</x:v>
      </x:c>
      <x:c r="Y302" s="58" t="n">
        <x:f>MAX(Y301,X302)</x:f>
        <x:v>3089729.0973715</x:v>
      </x:c>
      <x:c r="Z302" s="59" t="n">
        <x:f>X302/Y302-1</x:f>
        <x:v>-0.05763971376670496</x:v>
      </x:c>
      <x:c r="AA302" s="58" t="n">
        <x:f>AA301*(1+V302)</x:f>
        <x:v>10416949.94789451</x:v>
      </x:c>
      <x:c r="AB302" s="58" t="n">
        <x:f>MAX(AB301,AA302)</x:f>
        <x:v>11054105.4202656</x:v>
      </x:c>
      <x:c r="AC302" s="59" t="n">
        <x:f>AA302/AB302-1</x:f>
        <x:v>-0.05763971376670485</x:v>
      </x:c>
      <x:c r="AD302" s="60" t="n">
        <x:f>AA302-X302</x:f>
        <x:v>7505311.951312163</x:v>
      </x:c>
      <x:c r="AE302" s="28" t="str">
        <x:v>Baseline trade unchanged.</x:v>
      </x:c>
    </x:row>
    <x:row r="303" ht="18" customHeight="1">
      <x:c r="A303" s="23" t="n">
        <x:v>299</x:v>
      </x:c>
      <x:c r="B303" s="53" t="n">
        <x:v>45307</x:v>
      </x:c>
      <x:c r="C303" s="53" t="n">
        <x:v>45310</x:v>
      </x:c>
      <x:c r="D303" s="23" t="str">
        <x:v>TO</x:v>
      </x:c>
      <x:c r="E303" s="54" t="n">
        <x:v>16778.62</x:v>
      </x:c>
      <x:c r="F303" s="54" t="n">
        <x:v>17318.298</x:v>
      </x:c>
      <x:c r="G303" s="55" t="n">
        <x:v>0.03216</x:v>
      </x:c>
      <x:c r="H303" s="56" t="n">
        <x:f>SUM(T300:T302)</x:f>
        <x:v>0.0010499999999999989</x:v>
      </x:c>
      <x:c r="I303" s="57" t="b">
        <x:f>AND(A303&gt;3,H303&lt;='Assumptions'!$B$7)</x:f>
        <x:v>0</x:v>
      </x:c>
      <x:c r="J303" s="55" t="n">
        <x:v>-0.0029076724126609887</x:v>
      </x:c>
      <x:c r="K303" s="55" t="n">
        <x:v>0.016444226643797633</x:v>
      </x:c>
      <x:c r="L303" s="55"/>
      <x:c r="M303" s="57" t="b">
        <x:f>J303&gt;='Assumptions'!$B$8</x:f>
        <x:v>0</x:v>
      </x:c>
      <x:c r="N303" s="57" t="b">
        <x:f>AND(K303&lt;&gt;"",K303&lt;='Assumptions'!$B$9)</x:f>
        <x:v>0</x:v>
      </x:c>
      <x:c r="O303" s="57" t="b">
        <x:f>AND(P303&lt;&gt;"",ABS(L303)&lt;='Assumptions'!$B$10)</x:f>
        <x:v>0</x:v>
      </x:c>
      <x:c r="P303" s="53"/>
      <x:c r="Q303" s="54"/>
      <x:c r="R303" s="55"/>
      <x:c r="S303" s="57" t="str">
        <x:f>IF(I303,"DAMAGE SKIP",IF(AND(M303,N303),IF(O303,"TUESDAY RE-ENTRY","GAP/MOM SKIP"),"BASELINE"))</x:f>
        <x:v>BASELINE</x:v>
      </x:c>
      <x:c r="T303" s="56" t="n">
        <x:f>IF(I303,0,IF(AND(M303,N303),IF(O303,R303,0),G303))</x:f>
        <x:v>0.03216</x:v>
      </x:c>
      <x:c r="U303" s="56" t="n">
        <x:f>G303*'Assumptions'!$B$6</x:f>
        <x:v>0.363408</x:v>
      </x:c>
      <x:c r="V303" s="56" t="n">
        <x:f>T303*'Assumptions'!$B$6</x:f>
        <x:v>0.363408</x:v>
      </x:c>
      <x:c r="W303" s="56" t="n">
        <x:f>V303-U303</x:f>
        <x:v>0</x:v>
      </x:c>
      <x:c r="X303" s="58" t="n">
        <x:f>X302*(1+U303)</x:f>
        <x:v>3969750.5376443444</x:v>
      </x:c>
      <x:c r="Y303" s="58" t="n">
        <x:f>MAX(Y302,X303)</x:f>
        <x:v>3969750.5376443444</x:v>
      </x:c>
      <x:c r="Z303" s="59" t="n">
        <x:f>X303/Y303-1</x:f>
        <x:v>0</x:v>
      </x:c>
      <x:c r="AA303" s="58" t="n">
        <x:f>AA302*(1+V303)</x:f>
        <x:v>14202552.894558957</x:v>
      </x:c>
      <x:c r="AB303" s="58" t="n">
        <x:f>MAX(AB302,AA303)</x:f>
        <x:v>14202552.894558957</x:v>
      </x:c>
      <x:c r="AC303" s="59" t="n">
        <x:f>AA303/AB303-1</x:f>
        <x:v>0</x:v>
      </x:c>
      <x:c r="AD303" s="60" t="n">
        <x:f>AA303-X303</x:f>
        <x:v>10232802.356914613</x:v>
      </x:c>
      <x:c r="AE303" s="28" t="str">
        <x:v>Baseline trade unchanged.</x:v>
      </x:c>
    </x:row>
    <x:row r="304" ht="18" customHeight="1">
      <x:c r="A304" s="23" t="n">
        <x:v>300</x:v>
      </x:c>
      <x:c r="B304" s="53" t="n">
        <x:v>45313</x:v>
      </x:c>
      <x:c r="C304" s="53" t="n">
        <x:v>45317</x:v>
      </x:c>
      <x:c r="D304" s="23" t="str">
        <x:v>TO</x:v>
      </x:c>
      <x:c r="E304" s="54" t="n">
        <x:v>17397.887</x:v>
      </x:c>
      <x:c r="F304" s="54" t="n">
        <x:v>17410.899</x:v>
      </x:c>
      <x:c r="G304" s="55" t="n">
        <x:v>0.00074</x:v>
      </x:c>
      <x:c r="H304" s="56" t="n">
        <x:f>SUM(T301:T303)</x:f>
        <x:v>0.03252</x:v>
      </x:c>
      <x:c r="I304" s="57" t="b">
        <x:f>AND(A304&gt;3,H304&lt;='Assumptions'!$B$7)</x:f>
        <x:v>0</x:v>
      </x:c>
      <x:c r="J304" s="55" t="n">
        <x:v>0.004595659457990564</x:v>
      </x:c>
      <x:c r="K304" s="55" t="n">
        <x:v>0.02937671431877842</x:v>
      </x:c>
      <x:c r="L304" s="55" t="n">
        <x:v>0.0029684095209163708</x:v>
      </x:c>
      <x:c r="M304" s="57" t="b">
        <x:f>J304&gt;='Assumptions'!$B$8</x:f>
        <x:v>0</x:v>
      </x:c>
      <x:c r="N304" s="57" t="b">
        <x:f>AND(K304&lt;&gt;"",K304&lt;='Assumptions'!$B$9)</x:f>
        <x:v>0</x:v>
      </x:c>
      <x:c r="O304" s="57" t="b">
        <x:f>AND(P304&lt;&gt;"",ABS(L304)&lt;='Assumptions'!$B$10)</x:f>
        <x:v>1</x:v>
      </x:c>
      <x:c r="P304" s="53" t="n">
        <x:v>45314</x:v>
      </x:c>
      <x:c r="Q304" s="54" t="n">
        <x:v>17359.642</x:v>
      </x:c>
      <x:c r="R304" s="55" t="n">
        <x:v>0.00295</x:v>
      </x:c>
      <x:c r="S304" s="57" t="str">
        <x:f>IF(I304,"DAMAGE SKIP",IF(AND(M304,N304),IF(O304,"TUESDAY RE-ENTRY","GAP/MOM SKIP"),"BASELINE"))</x:f>
        <x:v>BASELINE</x:v>
      </x:c>
      <x:c r="T304" s="56" t="n">
        <x:f>IF(I304,0,IF(AND(M304,N304),IF(O304,R304,0),G304))</x:f>
        <x:v>0.00074</x:v>
      </x:c>
      <x:c r="U304" s="56" t="n">
        <x:f>G304*'Assumptions'!$B$6</x:f>
        <x:v>0.008362</x:v>
      </x:c>
      <x:c r="V304" s="56" t="n">
        <x:f>T304*'Assumptions'!$B$6</x:f>
        <x:v>0.008362</x:v>
      </x:c>
      <x:c r="W304" s="56" t="n">
        <x:f>V304-U304</x:f>
        <x:v>0</x:v>
      </x:c>
      <x:c r="X304" s="58" t="n">
        <x:f>X303*(1+U304)</x:f>
        <x:v>4002945.5916401264</x:v>
      </x:c>
      <x:c r="Y304" s="58" t="n">
        <x:f>MAX(Y303,X304)</x:f>
        <x:v>4002945.5916401264</x:v>
      </x:c>
      <x:c r="Z304" s="59" t="n">
        <x:f>X304/Y304-1</x:f>
        <x:v>0</x:v>
      </x:c>
      <x:c r="AA304" s="58" t="n">
        <x:f>AA303*(1+V304)</x:f>
        <x:v>14321314.641863259</x:v>
      </x:c>
      <x:c r="AB304" s="58" t="n">
        <x:f>MAX(AB303,AA304)</x:f>
        <x:v>14321314.641863259</x:v>
      </x:c>
      <x:c r="AC304" s="59" t="n">
        <x:f>AA304/AB304-1</x:f>
        <x:v>0</x:v>
      </x:c>
      <x:c r="AD304" s="60" t="n">
        <x:f>AA304-X304</x:f>
        <x:v>10318369.050223133</x:v>
      </x:c>
      <x:c r="AE304" s="28" t="str">
        <x:v>Baseline trade unchanged.</x:v>
      </x:c>
    </x:row>
    <x:row r="305" ht="18" customHeight="1">
      <x:c r="A305" s="23" t="n">
        <x:v>301</x:v>
      </x:c>
      <x:c r="B305" s="53" t="n">
        <x:v>45320</x:v>
      </x:c>
      <x:c r="C305" s="53" t="n">
        <x:v>45320</x:v>
      </x:c>
      <x:c r="D305" s="23" t="str">
        <x:v>CH</x:v>
      </x:c>
      <x:c r="E305" s="54" t="n">
        <x:v>17435.565</x:v>
      </x:c>
      <x:c r="F305" s="54" t="n">
        <x:v>17591.886</x:v>
      </x:c>
      <x:c r="G305" s="55" t="n">
        <x:v>0.00896</x:v>
      </x:c>
      <x:c r="H305" s="56" t="n">
        <x:f>SUM(T302:T304)</x:f>
        <x:v>0.05071</x:v>
      </x:c>
      <x:c r="I305" s="57" t="b">
        <x:f>AND(A305&gt;3,H305&lt;='Assumptions'!$B$7)</x:f>
        <x:v>0</x:v>
      </x:c>
      <x:c r="J305" s="55" t="n">
        <x:v>0.0014166988160690952</x:v>
      </x:c>
      <x:c r="K305" s="55" t="n">
        <x:v>0.029917250159134268</x:v>
      </x:c>
      <x:c r="L305" s="55" t="n">
        <x:v>0.007765997908148803</x:v>
      </x:c>
      <x:c r="M305" s="57" t="b">
        <x:f>J305&gt;='Assumptions'!$B$8</x:f>
        <x:v>0</x:v>
      </x:c>
      <x:c r="N305" s="57" t="b">
        <x:f>AND(K305&lt;&gt;"",K305&lt;='Assumptions'!$B$9)</x:f>
        <x:v>0</x:v>
      </x:c>
      <x:c r="O305" s="57" t="b">
        <x:f>AND(P305&lt;&gt;"",ABS(L305)&lt;='Assumptions'!$B$10)</x:f>
        <x:v>0</x:v>
      </x:c>
      <x:c r="P305" s="53" t="n">
        <x:v>45321</x:v>
      </x:c>
      <x:c r="Q305" s="54" t="n">
        <x:v>17549.153</x:v>
      </x:c>
      <x:c r="R305" s="55" t="n">
        <x:v>0.00243</x:v>
      </x:c>
      <x:c r="S305" s="57" t="str">
        <x:f>IF(I305,"DAMAGE SKIP",IF(AND(M305,N305),IF(O305,"TUESDAY RE-ENTRY","GAP/MOM SKIP"),"BASELINE"))</x:f>
        <x:v>BASELINE</x:v>
      </x:c>
      <x:c r="T305" s="56" t="n">
        <x:f>IF(I305,0,IF(AND(M305,N305),IF(O305,R305,0),G305))</x:f>
        <x:v>0.00896</x:v>
      </x:c>
      <x:c r="U305" s="56" t="n">
        <x:f>G305*'Assumptions'!$B$6</x:f>
        <x:v>0.10124799999999999</x:v>
      </x:c>
      <x:c r="V305" s="56" t="n">
        <x:f>T305*'Assumptions'!$B$6</x:f>
        <x:v>0.10124799999999999</x:v>
      </x:c>
      <x:c r="W305" s="56" t="n">
        <x:f>V305-U305</x:f>
        <x:v>0</x:v>
      </x:c>
      <x:c r="X305" s="58" t="n">
        <x:f>X304*(1+U305)</x:f>
        <x:v>4408235.826902506</x:v>
      </x:c>
      <x:c r="Y305" s="58" t="n">
        <x:f>MAX(Y304,X305)</x:f>
        <x:v>4408235.826902506</x:v>
      </x:c>
      <x:c r="Z305" s="59" t="n">
        <x:f>X305/Y305-1</x:f>
        <x:v>0</x:v>
      </x:c>
      <x:c r="AA305" s="58" t="n">
        <x:f>AA304*(1+V305)</x:f>
        <x:v>15771319.10672263</x:v>
      </x:c>
      <x:c r="AB305" s="58" t="n">
        <x:f>MAX(AB304,AA305)</x:f>
        <x:v>15771319.10672263</x:v>
      </x:c>
      <x:c r="AC305" s="59" t="n">
        <x:f>AA305/AB305-1</x:f>
        <x:v>0</x:v>
      </x:c>
      <x:c r="AD305" s="60" t="n">
        <x:f>AA305-X305</x:f>
        <x:v>11363083.279820126</x:v>
      </x:c>
      <x:c r="AE305" s="28" t="str">
        <x:v>Baseline trade unchanged.</x:v>
      </x:c>
    </x:row>
    <x:row r="306" ht="18" customHeight="1">
      <x:c r="A306" s="23" t="n">
        <x:v>302</x:v>
      </x:c>
      <x:c r="B306" s="53" t="n">
        <x:v>45327</x:v>
      </x:c>
      <x:c r="C306" s="53" t="n">
        <x:v>45331</x:v>
      </x:c>
      <x:c r="D306" s="23" t="str">
        <x:v>TO</x:v>
      </x:c>
      <x:c r="E306" s="54" t="n">
        <x:v>17631.931</x:v>
      </x:c>
      <x:c r="F306" s="54" t="n">
        <x:v>17952.119</x:v>
      </x:c>
      <x:c r="G306" s="55" t="n">
        <x:v>0.01815</x:v>
      </x:c>
      <x:c r="H306" s="56" t="n">
        <x:f>SUM(T303:T305)</x:f>
        <x:v>0.041859999999999994</x:v>
      </x:c>
      <x:c r="I306" s="57" t="b">
        <x:f>AND(A306&gt;3,H306&lt;='Assumptions'!$B$7)</x:f>
        <x:v>0</x:v>
      </x:c>
      <x:c r="J306" s="55" t="n">
        <x:v>0.0006993344744483654</x:v>
      </x:c>
      <x:c r="K306" s="55" t="n">
        <x:v>0.08259502279123332</x:v>
      </x:c>
      <x:c r="L306" s="55" t="n">
        <x:v>0.0013972318371602288</x:v>
      </x:c>
      <x:c r="M306" s="57" t="b">
        <x:f>J306&gt;='Assumptions'!$B$8</x:f>
        <x:v>0</x:v>
      </x:c>
      <x:c r="N306" s="57" t="b">
        <x:f>AND(K306&lt;&gt;"",K306&lt;='Assumptions'!$B$9)</x:f>
        <x:v>0</x:v>
      </x:c>
      <x:c r="O306" s="57" t="b">
        <x:f>AND(P306&lt;&gt;"",ABS(L306)&lt;='Assumptions'!$B$10)</x:f>
        <x:v>1</x:v>
      </x:c>
      <x:c r="P306" s="53" t="n">
        <x:v>45328</x:v>
      </x:c>
      <x:c r="Q306" s="54" t="n">
        <x:v>17651.765</x:v>
      </x:c>
      <x:c r="R306" s="55" t="n">
        <x:v>0.01701</x:v>
      </x:c>
      <x:c r="S306" s="57" t="str">
        <x:f>IF(I306,"DAMAGE SKIP",IF(AND(M306,N306),IF(O306,"TUESDAY RE-ENTRY","GAP/MOM SKIP"),"BASELINE"))</x:f>
        <x:v>BASELINE</x:v>
      </x:c>
      <x:c r="T306" s="56" t="n">
        <x:f>IF(I306,0,IF(AND(M306,N306),IF(O306,R306,0),G306))</x:f>
        <x:v>0.01815</x:v>
      </x:c>
      <x:c r="U306" s="56" t="n">
        <x:f>G306*'Assumptions'!$B$6</x:f>
        <x:v>0.205095</x:v>
      </x:c>
      <x:c r="V306" s="56" t="n">
        <x:f>T306*'Assumptions'!$B$6</x:f>
        <x:v>0.205095</x:v>
      </x:c>
      <x:c r="W306" s="56" t="n">
        <x:f>V306-U306</x:f>
        <x:v>0</x:v>
      </x:c>
      <x:c r="X306" s="58" t="n">
        <x:f>X305*(1+U306)</x:f>
        <x:v>5312342.953821075</x:v>
      </x:c>
      <x:c r="Y306" s="58" t="n">
        <x:f>MAX(Y305,X306)</x:f>
        <x:v>5312342.953821075</x:v>
      </x:c>
      <x:c r="Z306" s="59" t="n">
        <x:f>X306/Y306-1</x:f>
        <x:v>0</x:v>
      </x:c>
      <x:c r="AA306" s="58" t="n">
        <x:f>AA305*(1+V306)</x:f>
        <x:v>19005937.798915908</x:v>
      </x:c>
      <x:c r="AB306" s="58" t="n">
        <x:f>MAX(AB305,AA306)</x:f>
        <x:v>19005937.798915908</x:v>
      </x:c>
      <x:c r="AC306" s="59" t="n">
        <x:f>AA306/AB306-1</x:f>
        <x:v>0</x:v>
      </x:c>
      <x:c r="AD306" s="60" t="n">
        <x:f>AA306-X306</x:f>
        <x:v>13693594.845094834</x:v>
      </x:c>
      <x:c r="AE306" s="28" t="str">
        <x:v>Baseline trade unchanged.</x:v>
      </x:c>
    </x:row>
    <x:row r="307" ht="18" customHeight="1">
      <x:c r="A307" s="23" t="n">
        <x:v>303</x:v>
      </x:c>
      <x:c r="B307" s="53" t="n">
        <x:v>45334</x:v>
      </x:c>
      <x:c r="C307" s="53" t="n">
        <x:v>45337</x:v>
      </x:c>
      <x:c r="D307" s="23" t="str">
        <x:v>TSL1PRE</x:v>
      </x:c>
      <x:c r="E307" s="54" t="n">
        <x:v>17947.464</x:v>
      </x:c>
      <x:c r="F307" s="54" t="n">
        <x:v>17799.465</x:v>
      </x:c>
      <x:c r="G307" s="55" t="n">
        <x:v>-0.00824</x:v>
      </x:c>
      <x:c r="H307" s="56" t="n">
        <x:f>SUM(T304:T306)</x:f>
        <x:v>0.02785</x:v>
      </x:c>
      <x:c r="I307" s="57" t="b">
        <x:f>AND(A307&gt;3,H307&lt;='Assumptions'!$B$7)</x:f>
        <x:v>0</x:v>
      </x:c>
      <x:c r="J307" s="55" t="n">
        <x:v>-0.00025930086581971157</x:v>
      </x:c>
      <x:c r="K307" s="55" t="n">
        <x:v>0.0676698020801032</x:v>
      </x:c>
      <x:c r="L307" s="55" t="n">
        <x:v>-0.022357095767388535</x:v>
      </x:c>
      <x:c r="M307" s="57" t="b">
        <x:f>J307&gt;='Assumptions'!$B$8</x:f>
        <x:v>0</x:v>
      </x:c>
      <x:c r="N307" s="57" t="b">
        <x:f>AND(K307&lt;&gt;"",K307&lt;='Assumptions'!$B$9)</x:f>
        <x:v>0</x:v>
      </x:c>
      <x:c r="O307" s="57" t="b">
        <x:f>AND(P307&lt;&gt;"",ABS(L307)&lt;='Assumptions'!$B$10)</x:f>
        <x:v>0</x:v>
      </x:c>
      <x:c r="P307" s="53" t="n">
        <x:v>45335</x:v>
      </x:c>
      <x:c r="Q307" s="54" t="n">
        <x:v>17549.776</x:v>
      </x:c>
      <x:c r="R307" s="55" t="n">
        <x:v>0.01422</x:v>
      </x:c>
      <x:c r="S307" s="57" t="str">
        <x:f>IF(I307,"DAMAGE SKIP",IF(AND(M307,N307),IF(O307,"TUESDAY RE-ENTRY","GAP/MOM SKIP"),"BASELINE"))</x:f>
        <x:v>BASELINE</x:v>
      </x:c>
      <x:c r="T307" s="56" t="n">
        <x:f>IF(I307,0,IF(AND(M307,N307),IF(O307,R307,0),G307))</x:f>
        <x:v>-0.00824</x:v>
      </x:c>
      <x:c r="U307" s="56" t="n">
        <x:f>G307*'Assumptions'!$B$6</x:f>
        <x:v>-0.09311200000000001</x:v>
      </x:c>
      <x:c r="V307" s="56" t="n">
        <x:f>T307*'Assumptions'!$B$6</x:f>
        <x:v>-0.09311200000000001</x:v>
      </x:c>
      <x:c r="W307" s="56" t="n">
        <x:f>V307-U307</x:f>
        <x:v>0</x:v>
      </x:c>
      <x:c r="X307" s="58" t="n">
        <x:f>X306*(1+U307)</x:f>
        <x:v>4817700.076704888</x:v>
      </x:c>
      <x:c r="Y307" s="58" t="n">
        <x:f>MAX(Y306,X307)</x:f>
        <x:v>5312342.953821075</x:v>
      </x:c>
      <x:c r="Z307" s="59" t="n">
        <x:f>X307/Y307-1</x:f>
        <x:v>-0.09311199999999986</x:v>
      </x:c>
      <x:c r="AA307" s="58" t="n">
        <x:f>AA306*(1+V307)</x:f>
        <x:v>17236256.91858325</x:v>
      </x:c>
      <x:c r="AB307" s="58" t="n">
        <x:f>MAX(AB306,AA307)</x:f>
        <x:v>19005937.798915908</x:v>
      </x:c>
      <x:c r="AC307" s="59" t="n">
        <x:f>AA307/AB307-1</x:f>
        <x:v>-0.09311199999999986</x:v>
      </x:c>
      <x:c r="AD307" s="60" t="n">
        <x:f>AA307-X307</x:f>
        <x:v>12418556.841878364</x:v>
      </x:c>
      <x:c r="AE307" s="28" t="str">
        <x:v>Baseline trade unchanged.</x:v>
      </x:c>
    </x:row>
    <x:row r="308" ht="18" customHeight="1">
      <x:c r="A308" s="23" t="n">
        <x:v>304</x:v>
      </x:c>
      <x:c r="B308" s="53" t="n">
        <x:v>45342</x:v>
      </x:c>
      <x:c r="C308" s="53" t="n">
        <x:v>45344</x:v>
      </x:c>
      <x:c r="D308" s="23" t="str">
        <x:v>BEPRE</x:v>
      </x:c>
      <x:c r="E308" s="54" t="n">
        <x:v>17602.675</x:v>
      </x:c>
      <x:c r="F308" s="54" t="n">
        <x:v>17647.176</x:v>
      </x:c>
      <x:c r="G308" s="55" t="n">
        <x:v>0.00252</x:v>
      </x:c>
      <x:c r="H308" s="56" t="n">
        <x:f>SUM(T305:T307)</x:f>
        <x:v>0.018869999999999998</x:v>
      </x:c>
      <x:c r="I308" s="57" t="b">
        <x:f>AND(A308&gt;3,H308&lt;='Assumptions'!$B$7)</x:f>
        <x:v>0</x:v>
      </x:c>
      <x:c r="J308" s="55" t="n">
        <x:v>-0.004448590185400003</x:v>
      </x:c>
      <x:c r="K308" s="55" t="n">
        <x:v>0.022295362727205337</x:v>
      </x:c>
      <x:c r="L308" s="55"/>
      <x:c r="M308" s="57" t="b">
        <x:f>J308&gt;='Assumptions'!$B$8</x:f>
        <x:v>0</x:v>
      </x:c>
      <x:c r="N308" s="57" t="b">
        <x:f>AND(K308&lt;&gt;"",K308&lt;='Assumptions'!$B$9)</x:f>
        <x:v>0</x:v>
      </x:c>
      <x:c r="O308" s="57" t="b">
        <x:f>AND(P308&lt;&gt;"",ABS(L308)&lt;='Assumptions'!$B$10)</x:f>
        <x:v>0</x:v>
      </x:c>
      <x:c r="P308" s="53"/>
      <x:c r="Q308" s="54"/>
      <x:c r="R308" s="55"/>
      <x:c r="S308" s="57" t="str">
        <x:f>IF(I308,"DAMAGE SKIP",IF(AND(M308,N308),IF(O308,"TUESDAY RE-ENTRY","GAP/MOM SKIP"),"BASELINE"))</x:f>
        <x:v>BASELINE</x:v>
      </x:c>
      <x:c r="T308" s="56" t="n">
        <x:f>IF(I308,0,IF(AND(M308,N308),IF(O308,R308,0),G308))</x:f>
        <x:v>0.00252</x:v>
      </x:c>
      <x:c r="U308" s="56" t="n">
        <x:f>G308*'Assumptions'!$B$6</x:f>
        <x:v>0.028476</x:v>
      </x:c>
      <x:c r="V308" s="56" t="n">
        <x:f>T308*'Assumptions'!$B$6</x:f>
        <x:v>0.028476</x:v>
      </x:c>
      <x:c r="W308" s="56" t="n">
        <x:f>V308-U308</x:f>
        <x:v>0</x:v>
      </x:c>
      <x:c r="X308" s="58" t="n">
        <x:f>X307*(1+U308)</x:f>
        <x:v>4954888.904089136</x:v>
      </x:c>
      <x:c r="Y308" s="58" t="n">
        <x:f>MAX(Y307,X308)</x:f>
        <x:v>5312342.953821075</x:v>
      </x:c>
      <x:c r="Z308" s="59" t="n">
        <x:f>X308/Y308-1</x:f>
        <x:v>-0.06728745731199992</x:v>
      </x:c>
      <x:c r="AA308" s="58" t="n">
        <x:f>AA307*(1+V308)</x:f>
        <x:v>17727076.57059683</x:v>
      </x:c>
      <x:c r="AB308" s="58" t="n">
        <x:f>MAX(AB307,AA308)</x:f>
        <x:v>19005937.798915908</x:v>
      </x:c>
      <x:c r="AC308" s="59" t="n">
        <x:f>AA308/AB308-1</x:f>
        <x:v>-0.06728745731199981</x:v>
      </x:c>
      <x:c r="AD308" s="60" t="n">
        <x:f>AA308-X308</x:f>
        <x:v>12772187.666507693</x:v>
      </x:c>
      <x:c r="AE308" s="28" t="str">
        <x:v>Baseline trade unchanged.</x:v>
      </x:c>
    </x:row>
    <x:row r="309" ht="18" customHeight="1">
      <x:c r="A309" s="23" t="n">
        <x:v>305</x:v>
      </x:c>
      <x:c r="B309" s="53" t="n">
        <x:v>45348</x:v>
      </x:c>
      <x:c r="C309" s="53" t="n">
        <x:v>45351</x:v>
      </x:c>
      <x:c r="D309" s="23" t="str">
        <x:v>TSL1PRE</x:v>
      </x:c>
      <x:c r="E309" s="54" t="n">
        <x:v>17970.842</x:v>
      </x:c>
      <x:c r="F309" s="54" t="n">
        <x:v>17824.819</x:v>
      </x:c>
      <x:c r="G309" s="55" t="n">
        <x:v>-0.00812</x:v>
      </x:c>
      <x:c r="H309" s="56" t="n">
        <x:f>SUM(T306:T308)</x:f>
        <x:v>0.012429999999999998</x:v>
      </x:c>
      <x:c r="I309" s="57" t="b">
        <x:f>AND(A309&gt;3,H309&lt;='Assumptions'!$B$7)</x:f>
        <x:v>0</x:v>
      </x:c>
      <x:c r="J309" s="55" t="n">
        <x:v>0.0024052694706704347</x:v>
      </x:c>
      <x:c r="K309" s="55" t="n">
        <x:v>0.02446113203623801</x:v>
      </x:c>
      <x:c r="L309" s="55" t="n">
        <x:v>0.002038961697966135</x:v>
      </x:c>
      <x:c r="M309" s="57" t="b">
        <x:f>J309&gt;='Assumptions'!$B$8</x:f>
        <x:v>0</x:v>
      </x:c>
      <x:c r="N309" s="57" t="b">
        <x:f>AND(K309&lt;&gt;"",K309&lt;='Assumptions'!$B$9)</x:f>
        <x:v>0</x:v>
      </x:c>
      <x:c r="O309" s="57" t="b">
        <x:f>AND(P309&lt;&gt;"",ABS(L309)&lt;='Assumptions'!$B$10)</x:f>
        <x:v>1</x:v>
      </x:c>
      <x:c r="P309" s="53" t="n">
        <x:v>45349</x:v>
      </x:c>
      <x:c r="Q309" s="54" t="n">
        <x:v>17974.084</x:v>
      </x:c>
      <x:c r="R309" s="55" t="n">
        <x:v>-0.0083</x:v>
      </x:c>
      <x:c r="S309" s="57" t="str">
        <x:f>IF(I309,"DAMAGE SKIP",IF(AND(M309,N309),IF(O309,"TUESDAY RE-ENTRY","GAP/MOM SKIP"),"BASELINE"))</x:f>
        <x:v>BASELINE</x:v>
      </x:c>
      <x:c r="T309" s="56" t="n">
        <x:f>IF(I309,0,IF(AND(M309,N309),IF(O309,R309,0),G309))</x:f>
        <x:v>-0.00812</x:v>
      </x:c>
      <x:c r="U309" s="56" t="n">
        <x:f>G309*'Assumptions'!$B$6</x:f>
        <x:v>-0.09175600000000002</x:v>
      </x:c>
      <x:c r="V309" s="56" t="n">
        <x:f>T309*'Assumptions'!$B$6</x:f>
        <x:v>-0.09175600000000002</x:v>
      </x:c>
      <x:c r="W309" s="56" t="n">
        <x:f>V309-U309</x:f>
        <x:v>0</x:v>
      </x:c>
      <x:c r="X309" s="58" t="n">
        <x:f>X308*(1+U309)</x:f>
        <x:v>4500248.117805533</x:v>
      </x:c>
      <x:c r="Y309" s="58" t="n">
        <x:f>MAX(Y308,X309)</x:f>
        <x:v>5312342.953821075</x:v>
      </x:c>
      <x:c r="Z309" s="59" t="n">
        <x:f>X309/Y309-1</x:f>
        <x:v>-0.15286942937888004</x:v>
      </x:c>
      <x:c r="AA309" s="58" t="n">
        <x:f>AA308*(1+V309)</x:f>
        <x:v>16100510.932785146</x:v>
      </x:c>
      <x:c r="AB309" s="58" t="n">
        <x:f>MAX(AB308,AA309)</x:f>
        <x:v>19005937.798915908</x:v>
      </x:c>
      <x:c r="AC309" s="59" t="n">
        <x:f>AA309/AB309-1</x:f>
        <x:v>-0.15286942937888004</x:v>
      </x:c>
      <x:c r="AD309" s="60" t="n">
        <x:f>AA309-X309</x:f>
        <x:v>11600262.814979613</x:v>
      </x:c>
      <x:c r="AE309" s="28" t="str">
        <x:v>Baseline trade unchanged.</x:v>
      </x:c>
    </x:row>
    <x:row r="310" ht="18" customHeight="1">
      <x:c r="A310" s="23" t="n">
        <x:v>306</x:v>
      </x:c>
      <x:c r="B310" s="53" t="n">
        <x:v>45355</x:v>
      </x:c>
      <x:c r="C310" s="53" t="n">
        <x:v>45358</x:v>
      </x:c>
      <x:c r="D310" s="23" t="str">
        <x:v>TSL1PRE</x:v>
      </x:c>
      <x:c r="E310" s="54" t="n">
        <x:v>18291.742</x:v>
      </x:c>
      <x:c r="F310" s="54" t="n">
        <x:v>18021.676</x:v>
      </x:c>
      <x:c r="G310" s="55" t="n">
        <x:v>-0.01476</x:v>
      </x:c>
      <x:c r="H310" s="56" t="n">
        <x:f>SUM(T307:T309)</x:f>
        <x:v>-0.013840000000000002</x:v>
      </x:c>
      <x:c r="I310" s="57" t="b">
        <x:f>AND(A310&gt;3,H310&lt;='Assumptions'!$B$7)</x:f>
        <x:v>0</x:v>
      </x:c>
      <x:c r="J310" s="55" t="n">
        <x:v>0.00021806942503688198</x:v>
      </x:c>
      <x:c r="K310" s="55" t="n">
        <x:v>0.05624886570956433</x:v>
      </x:c>
      <x:c r="L310" s="55" t="n">
        <x:v>-0.0104811233521509</x:v>
      </x:c>
      <x:c r="M310" s="57" t="b">
        <x:f>J310&gt;='Assumptions'!$B$8</x:f>
        <x:v>0</x:v>
      </x:c>
      <x:c r="N310" s="57" t="b">
        <x:f>AND(K310&lt;&gt;"",K310&lt;='Assumptions'!$B$9)</x:f>
        <x:v>0</x:v>
      </x:c>
      <x:c r="O310" s="57" t="b">
        <x:f>AND(P310&lt;&gt;"",ABS(L310)&lt;='Assumptions'!$B$10)</x:f>
        <x:v>0</x:v>
      </x:c>
      <x:c r="P310" s="53" t="n">
        <x:v>45356</x:v>
      </x:c>
      <x:c r="Q310" s="54" t="n">
        <x:v>18100.108</x:v>
      </x:c>
      <x:c r="R310" s="55" t="n">
        <x:v>-0.00433</x:v>
      </x:c>
      <x:c r="S310" s="57" t="str">
        <x:f>IF(I310,"DAMAGE SKIP",IF(AND(M310,N310),IF(O310,"TUESDAY RE-ENTRY","GAP/MOM SKIP"),"BASELINE"))</x:f>
        <x:v>BASELINE</x:v>
      </x:c>
      <x:c r="T310" s="56" t="n">
        <x:f>IF(I310,0,IF(AND(M310,N310),IF(O310,R310,0),G310))</x:f>
        <x:v>-0.01476</x:v>
      </x:c>
      <x:c r="U310" s="56" t="n">
        <x:f>G310*'Assumptions'!$B$6</x:f>
        <x:v>-0.16678800000000002</x:v>
      </x:c>
      <x:c r="V310" s="56" t="n">
        <x:f>T310*'Assumptions'!$B$6</x:f>
        <x:v>-0.16678800000000002</x:v>
      </x:c>
      <x:c r="W310" s="56" t="n">
        <x:f>V310-U310</x:f>
        <x:v>0</x:v>
      </x:c>
      <x:c r="X310" s="58" t="n">
        <x:f>X309*(1+U310)</x:f>
        <x:v>3749660.7347329836</x:v>
      </x:c>
      <x:c r="Y310" s="58" t="n">
        <x:f>MAX(Y309,X310)</x:f>
        <x:v>5312342.953821075</x:v>
      </x:c>
      <x:c r="Z310" s="59" t="n">
        <x:f>X310/Y310-1</x:f>
        <x:v>-0.29416064299163547</x:v>
      </x:c>
      <x:c r="AA310" s="58" t="n">
        <x:f>AA309*(1+V310)</x:f>
        <x:v>13415138.915327776</x:v>
      </x:c>
      <x:c r="AB310" s="58" t="n">
        <x:f>MAX(AB309,AA310)</x:f>
        <x:v>19005937.798915908</x:v>
      </x:c>
      <x:c r="AC310" s="59" t="n">
        <x:f>AA310/AB310-1</x:f>
        <x:v>-0.29416064299163547</x:v>
      </x:c>
      <x:c r="AD310" s="60" t="n">
        <x:f>AA310-X310</x:f>
        <x:v>9665478.180594793</x:v>
      </x:c>
      <x:c r="AE310" s="28" t="str">
        <x:v>Baseline trade unchanged.</x:v>
      </x:c>
    </x:row>
    <x:row r="311" ht="18" customHeight="1">
      <x:c r="A311" s="23" t="n">
        <x:v>307</x:v>
      </x:c>
      <x:c r="B311" s="53" t="n">
        <x:v>45362</x:v>
      </x:c>
      <x:c r="C311" s="53" t="n">
        <x:v>45366</x:v>
      </x:c>
      <x:c r="D311" s="23" t="str">
        <x:v>TSL4</x:v>
      </x:c>
      <x:c r="E311" s="54" t="n">
        <x:v>17958.764</x:v>
      </x:c>
      <x:c r="F311" s="54" t="n">
        <x:v>17886.928944</x:v>
      </x:c>
      <x:c r="G311" s="55" t="n">
        <x:v>-0.004</x:v>
      </x:c>
      <x:c r="H311" s="56" t="n">
        <x:f>SUM(T308:T310)</x:f>
        <x:v>-0.020360000000000003</x:v>
      </x:c>
      <x:c r="I311" s="57" t="b">
        <x:f>AND(A311&gt;3,H311&lt;='Assumptions'!$B$7)</x:f>
        <x:v>1</x:v>
      </x:c>
      <x:c r="J311" s="55" t="n">
        <x:v>-0.00490379040280009</x:v>
      </x:c>
      <x:c r="K311" s="55" t="n">
        <x:v>0.014392625612495547</x:v>
      </x:c>
      <x:c r="L311" s="55" t="n">
        <x:v>0.0016155014709324789</x:v>
      </x:c>
      <x:c r="M311" s="57" t="b">
        <x:f>J311&gt;='Assumptions'!$B$8</x:f>
        <x:v>0</x:v>
      </x:c>
      <x:c r="N311" s="57" t="b">
        <x:f>AND(K311&lt;&gt;"",K311&lt;='Assumptions'!$B$9)</x:f>
        <x:v>0</x:v>
      </x:c>
      <x:c r="O311" s="57" t="b">
        <x:f>AND(P311&lt;&gt;"",ABS(L311)&lt;='Assumptions'!$B$10)</x:f>
        <x:v>1</x:v>
      </x:c>
      <x:c r="P311" s="53" t="n">
        <x:v>45363</x:v>
      </x:c>
      <x:c r="Q311" s="54" t="n">
        <x:v>18049.297</x:v>
      </x:c>
      <x:c r="R311" s="55" t="n">
        <x:v>-0.00899</x:v>
      </x:c>
      <x:c r="S311" s="57" t="str">
        <x:f>IF(I311,"DAMAGE SKIP",IF(AND(M311,N311),IF(O311,"TUESDAY RE-ENTRY","GAP/MOM SKIP"),"BASELINE"))</x:f>
        <x:v>DAMAGE SKIP</x:v>
      </x:c>
      <x:c r="T311" s="56" t="n">
        <x:f>IF(I311,0,IF(AND(M311,N311),IF(O311,R311,0),G311))</x:f>
        <x:v>0</x:v>
      </x:c>
      <x:c r="U311" s="56" t="n">
        <x:f>G311*'Assumptions'!$B$6</x:f>
        <x:v>-0.045200000000000004</x:v>
      </x:c>
      <x:c r="V311" s="56" t="n">
        <x:f>T311*'Assumptions'!$B$6</x:f>
        <x:v>0</x:v>
      </x:c>
      <x:c r="W311" s="56" t="n">
        <x:f>V311-U311</x:f>
        <x:v>0.045200000000000004</x:v>
      </x:c>
      <x:c r="X311" s="58" t="n">
        <x:f>X310*(1+U311)</x:f>
        <x:v>3580176.069523053</x:v>
      </x:c>
      <x:c r="Y311" s="58" t="n">
        <x:f>MAX(Y310,X311)</x:f>
        <x:v>5312342.953821075</x:v>
      </x:c>
      <x:c r="Z311" s="59" t="n">
        <x:f>X311/Y311-1</x:f>
        <x:v>-0.3260645819284136</x:v>
      </x:c>
      <x:c r="AA311" s="58" t="n">
        <x:f>AA310*(1+V311)</x:f>
        <x:v>13415138.915327776</x:v>
      </x:c>
      <x:c r="AB311" s="58" t="n">
        <x:f>MAX(AB310,AA311)</x:f>
        <x:v>19005937.798915908</x:v>
      </x:c>
      <x:c r="AC311" s="59" t="n">
        <x:f>AA311/AB311-1</x:f>
        <x:v>-0.29416064299163547</x:v>
      </x:c>
      <x:c r="AD311" s="60" t="n">
        <x:f>AA311-X311</x:f>
        <x:v>9834962.845804723</x:v>
      </x:c>
      <x:c r="AE311" s="28" t="str">
        <x:v>Skipped because the previous three rule outcomes totalled at or below the damage threshold.</x:v>
      </x:c>
    </x:row>
    <x:row r="312" ht="18" customHeight="1">
      <x:c r="A312" s="23" t="n">
        <x:v>308</x:v>
      </x:c>
      <x:c r="B312" s="53" t="n">
        <x:v>45369</x:v>
      </x:c>
      <x:c r="C312" s="53" t="n">
        <x:v>45373</x:v>
      </x:c>
      <x:c r="D312" s="23" t="str">
        <x:v>TO</x:v>
      </x:c>
      <x:c r="E312" s="54" t="n">
        <x:v>18038.209</x:v>
      </x:c>
      <x:c r="F312" s="54" t="n">
        <x:v>18331.319</x:v>
      </x:c>
      <x:c r="G312" s="55" t="n">
        <x:v>0.01624</x:v>
      </x:c>
      <x:c r="H312" s="56" t="n">
        <x:f>SUM(T309:T311)</x:f>
        <x:v>-0.02288</x:v>
      </x:c>
      <x:c r="I312" s="57" t="b">
        <x:f>AND(A312&gt;3,H312&lt;='Assumptions'!$B$7)</x:f>
        <x:v>1</x:v>
      </x:c>
      <x:c r="J312" s="55" t="n">
        <x:v>0.011920416786554089</x:v>
      </x:c>
      <x:c r="K312" s="55" t="n">
        <x:v>-0.0013563613346595504</x:v>
      </x:c>
      <x:c r="L312" s="55" t="n">
        <x:v>0.004850063615003952</x:v>
      </x:c>
      <x:c r="M312" s="57" t="b">
        <x:f>J312&gt;='Assumptions'!$B$8</x:f>
        <x:v>1</x:v>
      </x:c>
      <x:c r="N312" s="57" t="b">
        <x:f>AND(K312&lt;&gt;"",K312&lt;='Assumptions'!$B$9)</x:f>
        <x:v>0</x:v>
      </x:c>
      <x:c r="O312" s="57" t="b">
        <x:f>AND(P312&lt;&gt;"",ABS(L312)&lt;='Assumptions'!$B$10)</x:f>
        <x:v>1</x:v>
      </x:c>
      <x:c r="P312" s="53" t="n">
        <x:v>45370</x:v>
      </x:c>
      <x:c r="Q312" s="54" t="n">
        <x:v>17894.186</x:v>
      </x:c>
      <x:c r="R312" s="55" t="n">
        <x:v>0.02442</x:v>
      </x:c>
      <x:c r="S312" s="57" t="str">
        <x:f>IF(I312,"DAMAGE SKIP",IF(AND(M312,N312),IF(O312,"TUESDAY RE-ENTRY","GAP/MOM SKIP"),"BASELINE"))</x:f>
        <x:v>DAMAGE SKIP</x:v>
      </x:c>
      <x:c r="T312" s="56" t="n">
        <x:f>IF(I312,0,IF(AND(M312,N312),IF(O312,R312,0),G312))</x:f>
        <x:v>0</x:v>
      </x:c>
      <x:c r="U312" s="56" t="n">
        <x:f>G312*'Assumptions'!$B$6</x:f>
        <x:v>0.18351200000000004</x:v>
      </x:c>
      <x:c r="V312" s="56" t="n">
        <x:f>T312*'Assumptions'!$B$6</x:f>
        <x:v>0</x:v>
      </x:c>
      <x:c r="W312" s="56" t="n">
        <x:f>V312-U312</x:f>
        <x:v>-0.18351200000000004</x:v>
      </x:c>
      <x:c r="X312" s="58" t="n">
        <x:f>X311*(1+U312)</x:f>
        <x:v>4237181.340393367</x:v>
      </x:c>
      <x:c r="Y312" s="58" t="n">
        <x:f>MAX(Y311,X312)</x:f>
        <x:v>5312342.953821075</x:v>
      </x:c>
      <x:c r="Z312" s="59" t="n">
        <x:f>X312/Y312-1</x:f>
        <x:v>-0.20238934548726062</x:v>
      </x:c>
      <x:c r="AA312" s="58" t="n">
        <x:f>AA311*(1+V312)</x:f>
        <x:v>13415138.915327776</x:v>
      </x:c>
      <x:c r="AB312" s="58" t="n">
        <x:f>MAX(AB311,AA312)</x:f>
        <x:v>19005937.798915908</x:v>
      </x:c>
      <x:c r="AC312" s="59" t="n">
        <x:f>AA312/AB312-1</x:f>
        <x:v>-0.29416064299163547</x:v>
      </x:c>
      <x:c r="AD312" s="60" t="n">
        <x:f>AA312-X312</x:f>
        <x:v>9177957.574934408</x:v>
      </x:c>
      <x:c r="AE312" s="28" t="str">
        <x:v>Skipped because the previous three rule outcomes totalled at or below the damage threshold.</x:v>
      </x:c>
    </x:row>
    <x:row r="313" ht="18" customHeight="1">
      <x:c r="A313" s="23" t="n">
        <x:v>309</x:v>
      </x:c>
      <x:c r="B313" s="53" t="n">
        <x:v>45376</x:v>
      </x:c>
      <x:c r="C313" s="53" t="n">
        <x:v>45379</x:v>
      </x:c>
      <x:c r="D313" s="23" t="str">
        <x:v>TO</x:v>
      </x:c>
      <x:c r="E313" s="54" t="n">
        <x:v>18222.589</x:v>
      </x:c>
      <x:c r="F313" s="54" t="n">
        <x:v>18234.165</x:v>
      </x:c>
      <x:c r="G313" s="55" t="n">
        <x:v>0.00063</x:v>
      </x:c>
      <x:c r="H313" s="56" t="n">
        <x:f>SUM(T310:T312)</x:f>
        <x:v>-0.01476</x:v>
      </x:c>
      <x:c r="I313" s="57" t="b">
        <x:f>AND(A313&gt;3,H313&lt;='Assumptions'!$B$7)</x:f>
        <x:v>0</x:v>
      </x:c>
      <x:c r="J313" s="55" t="n">
        <x:v>-0.005931378969511125</x:v>
      </x:c>
      <x:c r="K313" s="55" t="n">
        <x:v>0.023332733638716352</x:v>
      </x:c>
      <x:c r="L313" s="55" t="n">
        <x:v>-0.0001803141974892064</x:v>
      </x:c>
      <x:c r="M313" s="57" t="b">
        <x:f>J313&gt;='Assumptions'!$B$8</x:f>
        <x:v>0</x:v>
      </x:c>
      <x:c r="N313" s="57" t="b">
        <x:f>AND(K313&lt;&gt;"",K313&lt;='Assumptions'!$B$9)</x:f>
        <x:v>0</x:v>
      </x:c>
      <x:c r="O313" s="57" t="b">
        <x:f>AND(P313&lt;&gt;"",ABS(L313)&lt;='Assumptions'!$B$10)</x:f>
        <x:v>1</x:v>
      </x:c>
      <x:c r="P313" s="53" t="n">
        <x:v>45377</x:v>
      </x:c>
      <x:c r="Q313" s="54" t="n">
        <x:v>18337.798</x:v>
      </x:c>
      <x:c r="R313" s="55" t="n">
        <x:v>-0.00565</x:v>
      </x:c>
      <x:c r="S313" s="57" t="str">
        <x:f>IF(I313,"DAMAGE SKIP",IF(AND(M313,N313),IF(O313,"TUESDAY RE-ENTRY","GAP/MOM SKIP"),"BASELINE"))</x:f>
        <x:v>BASELINE</x:v>
      </x:c>
      <x:c r="T313" s="56" t="n">
        <x:f>IF(I313,0,IF(AND(M313,N313),IF(O313,R313,0),G313))</x:f>
        <x:v>0.00063</x:v>
      </x:c>
      <x:c r="U313" s="56" t="n">
        <x:f>G313*'Assumptions'!$B$6</x:f>
        <x:v>0.007119</x:v>
      </x:c>
      <x:c r="V313" s="56" t="n">
        <x:f>T313*'Assumptions'!$B$6</x:f>
        <x:v>0.007119</x:v>
      </x:c>
      <x:c r="W313" s="56" t="n">
        <x:f>V313-U313</x:f>
        <x:v>0</x:v>
      </x:c>
      <x:c r="X313" s="58" t="n">
        <x:f>X312*(1+U313)</x:f>
        <x:v>4267345.834355628</x:v>
      </x:c>
      <x:c r="Y313" s="58" t="n">
        <x:f>MAX(Y312,X313)</x:f>
        <x:v>5312342.953821075</x:v>
      </x:c>
      <x:c r="Z313" s="59" t="n">
        <x:f>X313/Y313-1</x:f>
        <x:v>-0.19671115523778426</x:v>
      </x:c>
      <x:c r="AA313" s="58" t="n">
        <x:f>AA312*(1+V313)</x:f>
        <x:v>13510641.289265996</x:v>
      </x:c>
      <x:c r="AB313" s="58" t="n">
        <x:f>MAX(AB312,AA313)</x:f>
        <x:v>19005937.798915908</x:v>
      </x:c>
      <x:c r="AC313" s="59" t="n">
        <x:f>AA313/AB313-1</x:f>
        <x:v>-0.28913577260909284</x:v>
      </x:c>
      <x:c r="AD313" s="60" t="n">
        <x:f>AA313-X313</x:f>
        <x:v>9243295.454910368</x:v>
      </x:c>
      <x:c r="AE313" s="28" t="str">
        <x:v>Baseline trade unchanged.</x:v>
      </x:c>
    </x:row>
    <x:row r="314" ht="18" customHeight="1">
      <x:c r="A314" s="23" t="n">
        <x:v>310</x:v>
      </x:c>
      <x:c r="B314" s="53" t="n">
        <x:v>45383</x:v>
      </x:c>
      <x:c r="C314" s="53" t="n">
        <x:v>45385</x:v>
      </x:c>
      <x:c r="D314" s="23" t="str">
        <x:v>BH</x:v>
      </x:c>
      <x:c r="E314" s="54" t="n">
        <x:v>18281.31</x:v>
      </x:c>
      <x:c r="F314" s="54" t="n">
        <x:v>18208.18476</x:v>
      </x:c>
      <x:c r="G314" s="55" t="n">
        <x:v>-0.004</x:v>
      </x:c>
      <x:c r="H314" s="56" t="n">
        <x:f>SUM(T311:T313)</x:f>
        <x:v>0.00063</x:v>
      </x:c>
      <x:c r="I314" s="57" t="b">
        <x:f>AND(A314&gt;3,H314&lt;='Assumptions'!$B$7)</x:f>
        <x:v>0</x:v>
      </x:c>
      <x:c r="J314" s="55" t="n">
        <x:v>0.002585531062157198</x:v>
      </x:c>
      <x:c r="K314" s="55" t="n">
        <x:v>0.012750196209822873</x:v>
      </x:c>
      <x:c r="L314" s="55" t="n">
        <x:v>-0.008850840897864143</x:v>
      </x:c>
      <x:c r="M314" s="57" t="b">
        <x:f>J314&gt;='Assumptions'!$B$8</x:f>
        <x:v>0</x:v>
      </x:c>
      <x:c r="N314" s="57" t="b">
        <x:f>AND(K314&lt;&gt;"",K314&lt;='Assumptions'!$B$9)</x:f>
        <x:v>0</x:v>
      </x:c>
      <x:c r="O314" s="57" t="b">
        <x:f>AND(P314&lt;&gt;"",ABS(L314)&lt;='Assumptions'!$B$10)</x:f>
        <x:v>0</x:v>
      </x:c>
      <x:c r="P314" s="53" t="n">
        <x:v>45384</x:v>
      </x:c>
      <x:c r="Q314" s="54" t="n">
        <x:v>18078.964</x:v>
      </x:c>
      <x:c r="R314" s="55" t="n">
        <x:v>0.00714</x:v>
      </x:c>
      <x:c r="S314" s="57" t="str">
        <x:f>IF(I314,"DAMAGE SKIP",IF(AND(M314,N314),IF(O314,"TUESDAY RE-ENTRY","GAP/MOM SKIP"),"BASELINE"))</x:f>
        <x:v>BASELINE</x:v>
      </x:c>
      <x:c r="T314" s="56" t="n">
        <x:f>IF(I314,0,IF(AND(M314,N314),IF(O314,R314,0),G314))</x:f>
        <x:v>-0.004</x:v>
      </x:c>
      <x:c r="U314" s="56" t="n">
        <x:f>G314*'Assumptions'!$B$6</x:f>
        <x:v>-0.045200000000000004</x:v>
      </x:c>
      <x:c r="V314" s="56" t="n">
        <x:f>T314*'Assumptions'!$B$6</x:f>
        <x:v>-0.045200000000000004</x:v>
      </x:c>
      <x:c r="W314" s="56" t="n">
        <x:f>V314-U314</x:f>
        <x:v>0</x:v>
      </x:c>
      <x:c r="X314" s="58" t="n">
        <x:f>X313*(1+U314)</x:f>
        <x:v>4074461.802642754</x:v>
      </x:c>
      <x:c r="Y314" s="58" t="n">
        <x:f>MAX(Y313,X314)</x:f>
        <x:v>5312342.953821075</x:v>
      </x:c>
      <x:c r="Z314" s="59" t="n">
        <x:f>X314/Y314-1</x:f>
        <x:v>-0.23301981102103642</x:v>
      </x:c>
      <x:c r="AA314" s="58" t="n">
        <x:f>AA313*(1+V314)</x:f>
        <x:v>12899960.302991172</x:v>
      </x:c>
      <x:c r="AB314" s="58" t="n">
        <x:f>MAX(AB313,AA314)</x:f>
        <x:v>19005937.798915908</x:v>
      </x:c>
      <x:c r="AC314" s="59" t="n">
        <x:f>AA314/AB314-1</x:f>
        <x:v>-0.32126683568716186</x:v>
      </x:c>
      <x:c r="AD314" s="60" t="n">
        <x:f>AA314-X314</x:f>
        <x:v>8825498.500348419</x:v>
      </x:c>
      <x:c r="AE314" s="28" t="str">
        <x:v>Baseline trade unchanged.</x:v>
      </x:c>
    </x:row>
    <x:row r="315" ht="18" customHeight="1">
      <x:c r="A315" s="23" t="n">
        <x:v>311</x:v>
      </x:c>
      <x:c r="B315" s="53" t="n">
        <x:v>45390</x:v>
      </x:c>
      <x:c r="C315" s="53" t="n">
        <x:v>45393</x:v>
      </x:c>
      <x:c r="D315" s="23" t="str">
        <x:v>TSL1PRE</x:v>
      </x:c>
      <x:c r="E315" s="54" t="n">
        <x:v>18132.029</x:v>
      </x:c>
      <x:c r="F315" s="54" t="n">
        <x:v>17984.321</x:v>
      </x:c>
      <x:c r="G315" s="55" t="n">
        <x:v>-0.00814</x:v>
      </x:c>
      <x:c r="H315" s="56" t="n">
        <x:f>SUM(T312:T314)</x:f>
        <x:v>-0.00337</x:v>
      </x:c>
      <x:c r="I315" s="57" t="b">
        <x:f>AND(A315&gt;3,H315&lt;='Assumptions'!$B$7)</x:f>
        <x:v>0</x:v>
      </x:c>
      <x:c r="J315" s="55" t="n">
        <x:v>0.0024490634010423395</x:v>
      </x:c>
      <x:c r="K315" s="55" t="n">
        <x:v>-0.009874253663832211</x:v>
      </x:c>
      <x:c r="L315" s="55" t="n">
        <x:v>0.0056579121687370115</x:v>
      </x:c>
      <x:c r="M315" s="57" t="b">
        <x:f>J315&gt;='Assumptions'!$B$8</x:f>
        <x:v>0</x:v>
      </x:c>
      <x:c r="N315" s="57" t="b">
        <x:f>AND(K315&lt;&gt;"",K315&lt;='Assumptions'!$B$9)</x:f>
        <x:v>1</x:v>
      </x:c>
      <x:c r="O315" s="57" t="b">
        <x:f>AND(P315&lt;&gt;"",ABS(L315)&lt;='Assumptions'!$B$10)</x:f>
        <x:v>0</x:v>
      </x:c>
      <x:c r="P315" s="53" t="n">
        <x:v>45391</x:v>
      </x:c>
      <x:c r="Q315" s="54" t="n">
        <x:v>18198.285</x:v>
      </x:c>
      <x:c r="R315" s="55" t="n">
        <x:v>-0.01175</x:v>
      </x:c>
      <x:c r="S315" s="57" t="str">
        <x:f>IF(I315,"DAMAGE SKIP",IF(AND(M315,N315),IF(O315,"TUESDAY RE-ENTRY","GAP/MOM SKIP"),"BASELINE"))</x:f>
        <x:v>BASELINE</x:v>
      </x:c>
      <x:c r="T315" s="56" t="n">
        <x:f>IF(I315,0,IF(AND(M315,N315),IF(O315,R315,0),G315))</x:f>
        <x:v>-0.00814</x:v>
      </x:c>
      <x:c r="U315" s="56" t="n">
        <x:f>G315*'Assumptions'!$B$6</x:f>
        <x:v>-0.09198200000000001</x:v>
      </x:c>
      <x:c r="V315" s="56" t="n">
        <x:f>T315*'Assumptions'!$B$6</x:f>
        <x:v>-0.09198200000000001</x:v>
      </x:c>
      <x:c r="W315" s="56" t="n">
        <x:f>V315-U315</x:f>
        <x:v>0</x:v>
      </x:c>
      <x:c r="X315" s="58" t="n">
        <x:f>X314*(1+U315)</x:f>
        <x:v>3699684.657112068</x:v>
      </x:c>
      <x:c r="Y315" s="58" t="n">
        <x:f>MAX(Y314,X315)</x:f>
        <x:v>5312342.953821075</x:v>
      </x:c>
      <x:c r="Z315" s="59" t="n">
        <x:f>X315/Y315-1</x:f>
        <x:v>-0.30356818276369946</x:v>
      </x:c>
      <x:c r="AA315" s="58" t="n">
        <x:f>AA314*(1+V315)</x:f>
        <x:v>11713396.154401438</x:v>
      </x:c>
      <x:c r="AB315" s="58" t="n">
        <x:f>MAX(AB314,AA315)</x:f>
        <x:v>19005937.798915908</x:v>
      </x:c>
      <x:c r="AC315" s="59" t="n">
        <x:f>AA315/AB315-1</x:f>
        <x:v>-0.38369806960698527</x:v>
      </x:c>
      <x:c r="AD315" s="60" t="n">
        <x:f>AA315-X315</x:f>
        <x:v>8013711.497289371</x:v>
      </x:c>
      <x:c r="AE315" s="28" t="str">
        <x:v>Baseline trade unchanged.</x:v>
      </x:c>
    </x:row>
    <x:row r="316" ht="18" customHeight="1">
      <x:c r="A316" s="23" t="n">
        <x:v>312</x:v>
      </x:c>
      <x:c r="B316" s="53" t="n">
        <x:v>45397</x:v>
      </x:c>
      <x:c r="C316" s="53" t="n">
        <x:v>45400</x:v>
      </x:c>
      <x:c r="D316" s="23" t="str">
        <x:v>TSL1PRE</x:v>
      </x:c>
      <x:c r="E316" s="54" t="n">
        <x:v>18163.599</x:v>
      </x:c>
      <x:c r="F316" s="54" t="n">
        <x:v>17523.419</x:v>
      </x:c>
      <x:c r="G316" s="55" t="n">
        <x:v>-0.03524</x:v>
      </x:c>
      <x:c r="H316" s="56" t="n">
        <x:f>SUM(T313:T315)</x:f>
        <x:v>-0.01151</x:v>
      </x:c>
      <x:c r="I316" s="57" t="b">
        <x:f>AND(A316&gt;3,H316&lt;='Assumptions'!$B$7)</x:f>
        <x:v>0</x:v>
      </x:c>
      <x:c r="J316" s="55" t="n">
        <x:v>0.008112532352002155</x:v>
      </x:c>
      <x:c r="K316" s="55" t="n">
        <x:v>-0.0006607065430594972</x:v>
      </x:c>
      <x:c r="L316" s="55" t="n">
        <x:v>-0.016815538705582278</x:v>
      </x:c>
      <x:c r="M316" s="57" t="b">
        <x:f>J316&gt;='Assumptions'!$B$8</x:f>
        <x:v>0</x:v>
      </x:c>
      <x:c r="N316" s="57" t="b">
        <x:f>AND(K316&lt;&gt;"",K316&lt;='Assumptions'!$B$9)</x:f>
        <x:v>0</x:v>
      </x:c>
      <x:c r="O316" s="57" t="b">
        <x:f>AND(P316&lt;&gt;"",ABS(L316)&lt;='Assumptions'!$B$10)</x:f>
        <x:v>0</x:v>
      </x:c>
      <x:c r="P316" s="53" t="n">
        <x:v>45398</x:v>
      </x:c>
      <x:c r="Q316" s="54" t="n">
        <x:v>17696.498</x:v>
      </x:c>
      <x:c r="R316" s="55" t="n">
        <x:v>-0.00978</x:v>
      </x:c>
      <x:c r="S316" s="57" t="str">
        <x:f>IF(I316,"DAMAGE SKIP",IF(AND(M316,N316),IF(O316,"TUESDAY RE-ENTRY","GAP/MOM SKIP"),"BASELINE"))</x:f>
        <x:v>BASELINE</x:v>
      </x:c>
      <x:c r="T316" s="56" t="n">
        <x:f>IF(I316,0,IF(AND(M316,N316),IF(O316,R316,0),G316))</x:f>
        <x:v>-0.03524</x:v>
      </x:c>
      <x:c r="U316" s="56" t="n">
        <x:f>G316*'Assumptions'!$B$6</x:f>
        <x:v>-0.398212</x:v>
      </x:c>
      <x:c r="V316" s="56" t="n">
        <x:f>T316*'Assumptions'!$B$6</x:f>
        <x:v>-0.398212</x:v>
      </x:c>
      <x:c r="W316" s="56" t="n">
        <x:f>V316-U316</x:f>
        <x:v>0</x:v>
      </x:c>
      <x:c r="X316" s="58" t="n">
        <x:f>X315*(1+U316)</x:f>
        <x:v>2226425.830434157</x:v>
      </x:c>
      <x:c r="Y316" s="58" t="n">
        <x:f>MAX(Y315,X316)</x:f>
        <x:v>5312342.953821075</x:v>
      </x:c>
      <x:c r="Z316" s="59" t="n">
        <x:f>X316/Y316-1</x:f>
        <x:v>-0.5808956895690012</x:v>
      </x:c>
      <x:c r="AA316" s="58" t="n">
        <x:f>AA315*(1+V316)</x:f>
        <x:v>7048981.244964933</x:v>
      </x:c>
      <x:c r="AB316" s="58" t="n">
        <x:f>MAX(AB315,AA316)</x:f>
        <x:v>19005937.798915908</x:v>
      </x:c>
      <x:c r="AC316" s="59" t="n">
        <x:f>AA316/AB316-1</x:f>
        <x:v>-0.6291168939126485</x:v>
      </x:c>
      <x:c r="AD316" s="60" t="n">
        <x:f>AA316-X316</x:f>
        <x:v>4822555.414530776</x:v>
      </x:c>
      <x:c r="AE316" s="28" t="str">
        <x:v>Baseline trade unchanged.</x:v>
      </x:c>
    </x:row>
    <x:row r="317" ht="18" customHeight="1">
      <x:c r="A317" s="23" t="n">
        <x:v>313</x:v>
      </x:c>
      <x:c r="B317" s="53" t="n">
        <x:v>45404</x:v>
      </x:c>
      <x:c r="C317" s="53" t="n">
        <x:v>45408</x:v>
      </x:c>
      <x:c r="D317" s="23" t="str">
        <x:v>TO</x:v>
      </x:c>
      <x:c r="E317" s="54" t="n">
        <x:v>17144.253</x:v>
      </x:c>
      <x:c r="F317" s="54" t="n">
        <x:v>17716.01</x:v>
      </x:c>
      <x:c r="G317" s="55" t="n">
        <x:v>0.03334</x:v>
      </x:c>
      <x:c r="H317" s="56" t="n">
        <x:f>SUM(T314:T316)</x:f>
        <x:v>-0.04738</x:v>
      </x:c>
      <x:c r="I317" s="57" t="b">
        <x:f>AND(A317&gt;3,H317&lt;='Assumptions'!$B$7)</x:f>
        <x:v>1</x:v>
      </x:c>
      <x:c r="J317" s="55" t="n">
        <x:v>0.006666306141707157</x:v>
      </x:c>
      <x:c r="K317" s="55" t="n">
        <x:v>-0.07001954138667121</x:v>
      </x:c>
      <x:c r="L317" s="55" t="n">
        <x:v>0.014762260634942237</x:v>
      </x:c>
      <x:c r="M317" s="57" t="b">
        <x:f>J317&gt;='Assumptions'!$B$8</x:f>
        <x:v>0</x:v>
      </x:c>
      <x:c r="N317" s="57" t="b">
        <x:f>AND(K317&lt;&gt;"",K317&lt;='Assumptions'!$B$9)</x:f>
        <x:v>1</x:v>
      </x:c>
      <x:c r="O317" s="57" t="b">
        <x:f>AND(P317&lt;&gt;"",ABS(L317)&lt;='Assumptions'!$B$10)</x:f>
        <x:v>0</x:v>
      </x:c>
      <x:c r="P317" s="53" t="n">
        <x:v>45405</x:v>
      </x:c>
      <x:c r="Q317" s="54" t="n">
        <x:v>17286.521</x:v>
      </x:c>
      <x:c r="R317" s="55" t="n">
        <x:v>0.02484</x:v>
      </x:c>
      <x:c r="S317" s="57" t="str">
        <x:f>IF(I317,"DAMAGE SKIP",IF(AND(M317,N317),IF(O317,"TUESDAY RE-ENTRY","GAP/MOM SKIP"),"BASELINE"))</x:f>
        <x:v>DAMAGE SKIP</x:v>
      </x:c>
      <x:c r="T317" s="56" t="n">
        <x:f>IF(I317,0,IF(AND(M317,N317),IF(O317,R317,0),G317))</x:f>
        <x:v>0</x:v>
      </x:c>
      <x:c r="U317" s="56" t="n">
        <x:f>G317*'Assumptions'!$B$6</x:f>
        <x:v>0.376742</x:v>
      </x:c>
      <x:c r="V317" s="56" t="n">
        <x:f>T317*'Assumptions'!$B$6</x:f>
        <x:v>0</x:v>
      </x:c>
      <x:c r="W317" s="56" t="n">
        <x:f>V317-U317</x:f>
        <x:v>-0.376742</x:v>
      </x:c>
      <x:c r="X317" s="58" t="n">
        <x:f>X316*(1+U317)</x:f>
        <x:v>3065213.9506435827</x:v>
      </x:c>
      <x:c r="Y317" s="58" t="n">
        <x:f>MAX(Y316,X317)</x:f>
        <x:v>5312342.953821075</x:v>
      </x:c>
      <x:c r="Z317" s="59" t="n">
        <x:f>X317/Y317-1</x:f>
        <x:v>-0.4230014934486057</x:v>
      </x:c>
      <x:c r="AA317" s="58" t="n">
        <x:f>AA316*(1+V317)</x:f>
        <x:v>7048981.244964933</x:v>
      </x:c>
      <x:c r="AB317" s="58" t="n">
        <x:f>MAX(AB316,AA317)</x:f>
        <x:v>19005937.798915908</x:v>
      </x:c>
      <x:c r="AC317" s="59" t="n">
        <x:f>AA317/AB317-1</x:f>
        <x:v>-0.6291168939126485</x:v>
      </x:c>
      <x:c r="AD317" s="60" t="n">
        <x:f>AA317-X317</x:f>
        <x:v>3983767.2943213503</x:v>
      </x:c>
      <x:c r="AE317" s="28" t="str">
        <x:v>Skipped because the previous three rule outcomes totalled at or below the damage threshold.</x:v>
      </x:c>
    </x:row>
    <x:row r="318" ht="18" customHeight="1">
      <x:c r="A318" s="23" t="n">
        <x:v>314</x:v>
      </x:c>
      <x:c r="B318" s="53" t="n">
        <x:v>45411</x:v>
      </x:c>
      <x:c r="C318" s="53" t="n">
        <x:v>45414</x:v>
      </x:c>
      <x:c r="D318" s="23" t="str">
        <x:v>TSL1PRE</x:v>
      </x:c>
      <x:c r="E318" s="54" t="n">
        <x:v>17793.753</x:v>
      </x:c>
      <x:c r="F318" s="54" t="n">
        <x:v>17394.108</x:v>
      </x:c>
      <x:c r="G318" s="55" t="n">
        <x:v>-0.02245</x:v>
      </x:c>
      <x:c r="H318" s="56" t="n">
        <x:f>SUM(T315:T317)</x:f>
        <x:v>-0.04338</x:v>
      </x:c>
      <x:c r="I318" s="57" t="b">
        <x:f>AND(A318&gt;3,H318&lt;='Assumptions'!$B$7)</x:f>
        <x:v>1</x:v>
      </x:c>
      <x:c r="J318" s="55" t="n">
        <x:v>0.004388290591391675</x:v>
      </x:c>
      <x:c r="K318" s="55" t="n">
        <x:v>-0.02930566444753635</x:v>
      </x:c>
      <x:c r="L318" s="55" t="n">
        <x:v>0.0003501555857987615</x:v>
      </x:c>
      <x:c r="M318" s="57" t="b">
        <x:f>J318&gt;='Assumptions'!$B$8</x:f>
        <x:v>0</x:v>
      </x:c>
      <x:c r="N318" s="57" t="b">
        <x:f>AND(K318&lt;&gt;"",K318&lt;='Assumptions'!$B$9)</x:f>
        <x:v>1</x:v>
      </x:c>
      <x:c r="O318" s="57" t="b">
        <x:f>AND(P318&lt;&gt;"",ABS(L318)&lt;='Assumptions'!$B$10)</x:f>
        <x:v>1</x:v>
      </x:c>
      <x:c r="P318" s="53" t="n">
        <x:v>45412</x:v>
      </x:c>
      <x:c r="Q318" s="54" t="n">
        <x:v>17710.776</x:v>
      </x:c>
      <x:c r="R318" s="55" t="n">
        <x:v>-0.01787</x:v>
      </x:c>
      <x:c r="S318" s="57" t="str">
        <x:f>IF(I318,"DAMAGE SKIP",IF(AND(M318,N318),IF(O318,"TUESDAY RE-ENTRY","GAP/MOM SKIP"),"BASELINE"))</x:f>
        <x:v>DAMAGE SKIP</x:v>
      </x:c>
      <x:c r="T318" s="56" t="n">
        <x:f>IF(I318,0,IF(AND(M318,N318),IF(O318,R318,0),G318))</x:f>
        <x:v>0</x:v>
      </x:c>
      <x:c r="U318" s="56" t="n">
        <x:f>G318*'Assumptions'!$B$6</x:f>
        <x:v>-0.25368500000000005</x:v>
      </x:c>
      <x:c r="V318" s="56" t="n">
        <x:f>T318*'Assumptions'!$B$6</x:f>
        <x:v>0</x:v>
      </x:c>
      <x:c r="W318" s="56" t="n">
        <x:f>V318-U318</x:f>
        <x:v>0.25368500000000005</x:v>
      </x:c>
      <x:c r="X318" s="58" t="n">
        <x:f>X317*(1+U318)</x:f>
        <x:v>2287615.1495745652</x:v>
      </x:c>
      <x:c r="Y318" s="58" t="n">
        <x:f>MAX(Y317,X318)</x:f>
        <x:v>5312342.953821075</x:v>
      </x:c>
      <x:c r="Z318" s="59" t="n">
        <x:f>X318/Y318-1</x:f>
        <x:v>-0.5693773595830962</x:v>
      </x:c>
      <x:c r="AA318" s="58" t="n">
        <x:f>AA317*(1+V318)</x:f>
        <x:v>7048981.244964933</x:v>
      </x:c>
      <x:c r="AB318" s="58" t="n">
        <x:f>MAX(AB317,AA318)</x:f>
        <x:v>19005937.798915908</x:v>
      </x:c>
      <x:c r="AC318" s="59" t="n">
        <x:f>AA318/AB318-1</x:f>
        <x:v>-0.6291168939126485</x:v>
      </x:c>
      <x:c r="AD318" s="60" t="n">
        <x:f>AA318-X318</x:f>
        <x:v>4761366.095390368</x:v>
      </x:c>
      <x:c r="AE318" s="28" t="str">
        <x:v>Skipped because the previous three rule outcomes totalled at or below the damage threshold.</x:v>
      </x:c>
    </x:row>
    <x:row r="319" ht="18" customHeight="1">
      <x:c r="A319" s="23" t="n">
        <x:v>315</x:v>
      </x:c>
      <x:c r="B319" s="53" t="n">
        <x:v>45418</x:v>
      </x:c>
      <x:c r="C319" s="53" t="n">
        <x:v>45422</x:v>
      </x:c>
      <x:c r="D319" s="23" t="str">
        <x:v>TO</x:v>
      </x:c>
      <x:c r="E319" s="54" t="n">
        <x:v>17963.497</x:v>
      </x:c>
      <x:c r="F319" s="54" t="n">
        <x:v>18158.387</x:v>
      </x:c>
      <x:c r="G319" s="55" t="n">
        <x:v>0.01084</x:v>
      </x:c>
      <x:c r="H319" s="56" t="n">
        <x:f>SUM(T316:T318)</x:f>
        <x:v>-0.03524</x:v>
      </x:c>
      <x:c r="I319" s="57" t="b">
        <x:f>AND(A319&gt;3,H319&lt;='Assumptions'!$B$7)</x:f>
        <x:v>1</x:v>
      </x:c>
      <x:c r="J319" s="55" t="n">
        <x:v>0.0034459647874671706</x:v>
      </x:c>
      <x:c r="K319" s="55" t="n">
        <x:v>-0.011327245234059813</x:v>
      </x:c>
      <x:c r="L319" s="55" t="n">
        <x:v>0.011988402046969382</x:v>
      </x:c>
      <x:c r="M319" s="57" t="b">
        <x:f>J319&gt;='Assumptions'!$B$8</x:f>
        <x:v>0</x:v>
      </x:c>
      <x:c r="N319" s="57" t="b">
        <x:f>AND(K319&lt;&gt;"",K319&lt;='Assumptions'!$B$9)</x:f>
        <x:v>1</x:v>
      </x:c>
      <x:c r="O319" s="57" t="b">
        <x:f>AND(P319&lt;&gt;"",ABS(L319)&lt;='Assumptions'!$B$10)</x:f>
        <x:v>0</x:v>
      </x:c>
      <x:c r="P319" s="53" t="n">
        <x:v>45419</x:v>
      </x:c>
      <x:c r="Q319" s="54" t="n">
        <x:v>18103.554</x:v>
      </x:c>
      <x:c r="R319" s="55" t="n">
        <x:v>0.00302</x:v>
      </x:c>
      <x:c r="S319" s="57" t="str">
        <x:f>IF(I319,"DAMAGE SKIP",IF(AND(M319,N319),IF(O319,"TUESDAY RE-ENTRY","GAP/MOM SKIP"),"BASELINE"))</x:f>
        <x:v>DAMAGE SKIP</x:v>
      </x:c>
      <x:c r="T319" s="56" t="n">
        <x:f>IF(I319,0,IF(AND(M319,N319),IF(O319,R319,0),G319))</x:f>
        <x:v>0</x:v>
      </x:c>
      <x:c r="U319" s="56" t="n">
        <x:f>G319*'Assumptions'!$B$6</x:f>
        <x:v>0.12249200000000002</x:v>
      </x:c>
      <x:c r="V319" s="56" t="n">
        <x:f>T319*'Assumptions'!$B$6</x:f>
        <x:v>0</x:v>
      </x:c>
      <x:c r="W319" s="56" t="n">
        <x:f>V319-U319</x:f>
        <x:v>-0.12249200000000002</x:v>
      </x:c>
      <x:c r="X319" s="58" t="n">
        <x:f>X318*(1+U319)</x:f>
        <x:v>2567829.704476253</x:v>
      </x:c>
      <x:c r="Y319" s="58" t="n">
        <x:f>MAX(Y318,X319)</x:f>
        <x:v>5312342.953821075</x:v>
      </x:c>
      <x:c r="Z319" s="59" t="n">
        <x:f>X319/Y319-1</x:f>
        <x:v>-0.5166295311131488</x:v>
      </x:c>
      <x:c r="AA319" s="58" t="n">
        <x:f>AA318*(1+V319)</x:f>
        <x:v>7048981.244964933</x:v>
      </x:c>
      <x:c r="AB319" s="58" t="n">
        <x:f>MAX(AB318,AA319)</x:f>
        <x:v>19005937.798915908</x:v>
      </x:c>
      <x:c r="AC319" s="59" t="n">
        <x:f>AA319/AB319-1</x:f>
        <x:v>-0.6291168939126485</x:v>
      </x:c>
      <x:c r="AD319" s="60" t="n">
        <x:f>AA319-X319</x:f>
        <x:v>4481151.54048868</x:v>
      </x:c>
      <x:c r="AE319" s="28" t="str">
        <x:v>Skipped because the previous three rule outcomes totalled at or below the damage threshold.</x:v>
      </x:c>
    </x:row>
    <x:row r="320" ht="18" customHeight="1">
      <x:c r="A320" s="23" t="n">
        <x:v>316</x:v>
      </x:c>
      <x:c r="B320" s="53" t="n">
        <x:v>45425</x:v>
      </x:c>
      <x:c r="C320" s="53" t="n">
        <x:v>45429</x:v>
      </x:c>
      <x:c r="D320" s="23" t="str">
        <x:v>TO</x:v>
      </x:c>
      <x:c r="E320" s="54" t="n">
        <x:v>18237.086</x:v>
      </x:c>
      <x:c r="F320" s="54" t="n">
        <x:v>18534.231</x:v>
      </x:c>
      <x:c r="G320" s="55" t="n">
        <x:v>0.01629</x:v>
      </x:c>
      <x:c r="H320" s="56" t="n">
        <x:f>SUM(T317:T319)</x:f>
        <x:v>0</x:v>
      </x:c>
      <x:c r="I320" s="57" t="b">
        <x:f>AND(A320&gt;3,H320&lt;='Assumptions'!$B$7)</x:f>
        <x:v>0</x:v>
      </x:c>
      <x:c r="J320" s="55" t="n">
        <x:v>0.004334030329896654</x:v>
      </x:c>
      <x:c r="K320" s="55" t="n">
        <x:v>0.00864766338620182</x:v>
      </x:c>
      <x:c r="L320" s="55" t="n">
        <x:v>0.0013337096245584767</x:v>
      </x:c>
      <x:c r="M320" s="57" t="b">
        <x:f>J320&gt;='Assumptions'!$B$8</x:f>
        <x:v>0</x:v>
      </x:c>
      <x:c r="N320" s="57" t="b">
        <x:f>AND(K320&lt;&gt;"",K320&lt;='Assumptions'!$B$9)</x:f>
        <x:v>0</x:v>
      </x:c>
      <x:c r="O320" s="57" t="b">
        <x:f>AND(P320&lt;&gt;"",ABS(L320)&lt;='Assumptions'!$B$10)</x:f>
        <x:v>1</x:v>
      </x:c>
      <x:c r="P320" s="53" t="n">
        <x:v>45426</x:v>
      </x:c>
      <x:c r="Q320" s="54" t="n">
        <x:v>18177.863</x:v>
      </x:c>
      <x:c r="R320" s="55" t="n">
        <x:v>0.0196</x:v>
      </x:c>
      <x:c r="S320" s="57" t="str">
        <x:f>IF(I320,"DAMAGE SKIP",IF(AND(M320,N320),IF(O320,"TUESDAY RE-ENTRY","GAP/MOM SKIP"),"BASELINE"))</x:f>
        <x:v>BASELINE</x:v>
      </x:c>
      <x:c r="T320" s="56" t="n">
        <x:f>IF(I320,0,IF(AND(M320,N320),IF(O320,R320,0),G320))</x:f>
        <x:v>0.01629</x:v>
      </x:c>
      <x:c r="U320" s="56" t="n">
        <x:f>G320*'Assumptions'!$B$6</x:f>
        <x:v>0.184077</x:v>
      </x:c>
      <x:c r="V320" s="56" t="n">
        <x:f>T320*'Assumptions'!$B$6</x:f>
        <x:v>0.184077</x:v>
      </x:c>
      <x:c r="W320" s="56" t="n">
        <x:f>V320-U320</x:f>
        <x:v>0</x:v>
      </x:c>
      <x:c r="X320" s="58" t="n">
        <x:f>X319*(1+U320)</x:f>
        <x:v>3040508.0929871285</x:v>
      </x:c>
      <x:c r="Y320" s="58" t="n">
        <x:f>MAX(Y319,X320)</x:f>
        <x:v>5312342.953821075</x:v>
      </x:c>
      <x:c r="Z320" s="59" t="n">
        <x:f>X320/Y320-1</x:f>
        <x:v>-0.4276521453118639</x:v>
      </x:c>
      <x:c r="AA320" s="58" t="n">
        <x:f>AA319*(1+V320)</x:f>
        <x:v>8346536.5655943435</x:v>
      </x:c>
      <x:c r="AB320" s="58" t="n">
        <x:f>MAX(AB319,AA320)</x:f>
        <x:v>19005937.798915908</x:v>
      </x:c>
      <x:c r="AC320" s="59" t="n">
        <x:f>AA320/AB320-1</x:f>
        <x:v>-0.560845844393407</x:v>
      </x:c>
      <x:c r="AD320" s="60" t="n">
        <x:f>AA320-X320</x:f>
        <x:v>5306028.472607215</x:v>
      </x:c>
      <x:c r="AE320" s="28" t="str">
        <x:v>Baseline trade unchanged.</x:v>
      </x:c>
    </x:row>
    <x:row r="321" ht="18" customHeight="1">
      <x:c r="A321" s="23" t="n">
        <x:v>317</x:v>
      </x:c>
      <x:c r="B321" s="53" t="n">
        <x:v>45432</x:v>
      </x:c>
      <x:c r="C321" s="53" t="n">
        <x:v>45436</x:v>
      </x:c>
      <x:c r="D321" s="23" t="str">
        <x:v>TO</x:v>
      </x:c>
      <x:c r="E321" s="54" t="n">
        <x:v>18554.71</x:v>
      </x:c>
      <x:c r="F321" s="54" t="n">
        <x:v>18802.843</x:v>
      </x:c>
      <x:c r="G321" s="55" t="n">
        <x:v>0.01337</x:v>
      </x:c>
      <x:c r="H321" s="56" t="n">
        <x:f>SUM(T318:T320)</x:f>
        <x:v>0.01629</x:v>
      </x:c>
      <x:c r="I321" s="57" t="b">
        <x:f>AND(A321&gt;3,H321&lt;='Assumptions'!$B$7)</x:f>
        <x:v>0</x:v>
      </x:c>
      <x:c r="J321" s="55" t="n">
        <x:v>0.0011049284968984718</x:v>
      </x:c>
      <x:c r="K321" s="55" t="n">
        <x:v>0.0894980249046422</x:v>
      </x:c>
      <x:c r="L321" s="55" t="n">
        <x:v>0.002832854880772784</x:v>
      </x:c>
      <x:c r="M321" s="57" t="b">
        <x:f>J321&gt;='Assumptions'!$B$8</x:f>
        <x:v>0</x:v>
      </x:c>
      <x:c r="N321" s="57" t="b">
        <x:f>AND(K321&lt;&gt;"",K321&lt;='Assumptions'!$B$9)</x:f>
        <x:v>0</x:v>
      </x:c>
      <x:c r="O321" s="57" t="b">
        <x:f>AND(P321&lt;&gt;"",ABS(L321)&lt;='Assumptions'!$B$10)</x:f>
        <x:v>1</x:v>
      </x:c>
      <x:c r="P321" s="53" t="n">
        <x:v>45433</x:v>
      </x:c>
      <x:c r="Q321" s="54" t="n">
        <x:v>18597.987</x:v>
      </x:c>
      <x:c r="R321" s="55" t="n">
        <x:v>0.01101</x:v>
      </x:c>
      <x:c r="S321" s="57" t="str">
        <x:f>IF(I321,"DAMAGE SKIP",IF(AND(M321,N321),IF(O321,"TUESDAY RE-ENTRY","GAP/MOM SKIP"),"BASELINE"))</x:f>
        <x:v>BASELINE</x:v>
      </x:c>
      <x:c r="T321" s="56" t="n">
        <x:f>IF(I321,0,IF(AND(M321,N321),IF(O321,R321,0),G321))</x:f>
        <x:v>0.01337</x:v>
      </x:c>
      <x:c r="U321" s="56" t="n">
        <x:f>G321*'Assumptions'!$B$6</x:f>
        <x:v>0.15108100000000002</x:v>
      </x:c>
      <x:c r="V321" s="56" t="n">
        <x:f>T321*'Assumptions'!$B$6</x:f>
        <x:v>0.15108100000000002</x:v>
      </x:c>
      <x:c r="W321" s="56" t="n">
        <x:f>V321-U321</x:f>
        <x:v>0</x:v>
      </x:c>
      <x:c r="X321" s="58" t="n">
        <x:f>X320*(1+U321)</x:f>
        <x:v>3499871.096183717</x:v>
      </x:c>
      <x:c r="Y321" s="58" t="n">
        <x:f>MAX(Y320,X321)</x:f>
        <x:v>5312342.953821075</x:v>
      </x:c>
      <x:c r="Z321" s="59" t="n">
        <x:f>X321/Y321-1</x:f>
        <x:v>-0.34118125907772556</x:v>
      </x:c>
      <x:c r="AA321" s="58" t="n">
        <x:f>AA320*(1+V321)</x:f>
        <x:v>9607539.656460902</x:v>
      </x:c>
      <x:c r="AB321" s="58" t="n">
        <x:f>MAX(AB320,AA321)</x:f>
        <x:v>19005937.798915908</x:v>
      </x:c>
      <x:c r="AC321" s="59" t="n">
        <x:f>AA321/AB321-1</x:f>
        <x:v>-0.49449799541020745</x:v>
      </x:c>
      <x:c r="AD321" s="60" t="n">
        <x:f>AA321-X321</x:f>
        <x:v>6107668.5602771845</x:v>
      </x:c>
      <x:c r="AE321" s="28" t="str">
        <x:v>Baseline trade unchanged.</x:v>
      </x:c>
    </x:row>
    <x:row r="322" ht="18" customHeight="1">
      <x:c r="A322" s="23" t="n">
        <x:v>318</x:v>
      </x:c>
      <x:c r="B322" s="53" t="n">
        <x:v>45440</x:v>
      </x:c>
      <x:c r="C322" s="53" t="n">
        <x:v>45442</x:v>
      </x:c>
      <x:c r="D322" s="23" t="str">
        <x:v>TSL1PRE</x:v>
      </x:c>
      <x:c r="E322" s="54" t="n">
        <x:v>18851.299</x:v>
      </x:c>
      <x:c r="F322" s="54" t="n">
        <x:v>18683.154</x:v>
      </x:c>
      <x:c r="G322" s="55" t="n">
        <x:v>-0.00891</x:v>
      </x:c>
      <x:c r="H322" s="56" t="n">
        <x:f>SUM(T319:T321)</x:f>
        <x:v>0.02966</x:v>
      </x:c>
      <x:c r="I322" s="57" t="b">
        <x:f>AND(A322&gt;3,H322&lt;='Assumptions'!$B$7)</x:f>
        <x:v>0</x:v>
      </x:c>
      <x:c r="J322" s="55" t="n">
        <x:v>0.002577057097163271</x:v>
      </x:c>
      <x:c r="K322" s="55" t="n">
        <x:v>0.06253311888249025</x:v>
      </x:c>
      <x:c r="L322" s="55"/>
      <x:c r="M322" s="57" t="b">
        <x:f>J322&gt;='Assumptions'!$B$8</x:f>
        <x:v>0</x:v>
      </x:c>
      <x:c r="N322" s="57" t="b">
        <x:f>AND(K322&lt;&gt;"",K322&lt;='Assumptions'!$B$9)</x:f>
        <x:v>0</x:v>
      </x:c>
      <x:c r="O322" s="57" t="b">
        <x:f>AND(P322&lt;&gt;"",ABS(L322)&lt;='Assumptions'!$B$10)</x:f>
        <x:v>0</x:v>
      </x:c>
      <x:c r="P322" s="53"/>
      <x:c r="Q322" s="54"/>
      <x:c r="R322" s="55"/>
      <x:c r="S322" s="57" t="str">
        <x:f>IF(I322,"DAMAGE SKIP",IF(AND(M322,N322),IF(O322,"TUESDAY RE-ENTRY","GAP/MOM SKIP"),"BASELINE"))</x:f>
        <x:v>BASELINE</x:v>
      </x:c>
      <x:c r="T322" s="56" t="n">
        <x:f>IF(I322,0,IF(AND(M322,N322),IF(O322,R322,0),G322))</x:f>
        <x:v>-0.00891</x:v>
      </x:c>
      <x:c r="U322" s="56" t="n">
        <x:f>G322*'Assumptions'!$B$6</x:f>
        <x:v>-0.100683</x:v>
      </x:c>
      <x:c r="V322" s="56" t="n">
        <x:f>T322*'Assumptions'!$B$6</x:f>
        <x:v>-0.100683</x:v>
      </x:c>
      <x:c r="W322" s="56" t="n">
        <x:f>V322-U322</x:f>
        <x:v>0</x:v>
      </x:c>
      <x:c r="X322" s="58" t="n">
        <x:f>X321*(1+U322)</x:f>
        <x:v>3147493.574606652</x:v>
      </x:c>
      <x:c r="Y322" s="58" t="n">
        <x:f>MAX(Y321,X322)</x:f>
        <x:v>5312342.953821075</x:v>
      </x:c>
      <x:c r="Z322" s="59" t="n">
        <x:f>X322/Y322-1</x:f>
        <x:v>-0.40751310637000293</x:v>
      </x:c>
      <x:c r="AA322" s="58" t="n">
        <x:f>AA321*(1+V322)</x:f>
        <x:v>8640223.741229448</x:v>
      </x:c>
      <x:c r="AB322" s="58" t="n">
        <x:f>MAX(AB321,AA322)</x:f>
        <x:v>19005937.798915908</x:v>
      </x:c>
      <x:c r="AC322" s="59" t="n">
        <x:f>AA322/AB322-1</x:f>
        <x:v>-0.5453934537383215</x:v>
      </x:c>
      <x:c r="AD322" s="60" t="n">
        <x:f>AA322-X322</x:f>
        <x:v>5492730.166622797</x:v>
      </x:c>
      <x:c r="AE322" s="28" t="str">
        <x:v>Baseline trade unchanged.</x:v>
      </x:c>
    </x:row>
    <x:row r="323" ht="18" customHeight="1">
      <x:c r="A323" s="23" t="n">
        <x:v>319</x:v>
      </x:c>
      <x:c r="B323" s="53" t="n">
        <x:v>45446</x:v>
      </x:c>
      <x:c r="C323" s="53" t="n">
        <x:v>45450</x:v>
      </x:c>
      <x:c r="D323" s="23" t="str">
        <x:v>TO</x:v>
      </x:c>
      <x:c r="E323" s="54" t="n">
        <x:v>18661.354</x:v>
      </x:c>
      <x:c r="F323" s="54" t="n">
        <x:v>19002.398</x:v>
      </x:c>
      <x:c r="G323" s="55" t="n">
        <x:v>0.01827</x:v>
      </x:c>
      <x:c r="H323" s="56" t="n">
        <x:f>SUM(T320:T322)</x:f>
        <x:v>0.020749999999999998</x:v>
      </x:c>
      <x:c r="I323" s="57" t="b">
        <x:f>AND(A323&gt;3,H323&lt;='Assumptions'!$B$7)</x:f>
        <x:v>0</x:v>
      </x:c>
      <x:c r="J323" s="55" t="n">
        <x:v>0.006380941369243276</x:v>
      </x:c>
      <x:c r="K323" s="55" t="n">
        <x:v>0.055775653005960324</x:v>
      </x:c>
      <x:c r="L323" s="55" t="n">
        <x:v>0.004792699560018043</x:v>
      </x:c>
      <x:c r="M323" s="57" t="b">
        <x:f>J323&gt;='Assumptions'!$B$8</x:f>
        <x:v>0</x:v>
      </x:c>
      <x:c r="N323" s="57" t="b">
        <x:f>AND(K323&lt;&gt;"",K323&lt;='Assumptions'!$B$9)</x:f>
        <x:v>0</x:v>
      </x:c>
      <x:c r="O323" s="57" t="b">
        <x:f>AND(P323&lt;&gt;"",ABS(L323)&lt;='Assumptions'!$B$10)</x:f>
        <x:v>1</x:v>
      </x:c>
      <x:c r="P323" s="53" t="n">
        <x:v>45447</x:v>
      </x:c>
      <x:c r="Q323" s="54" t="n">
        <x:v>18592.431</x:v>
      </x:c>
      <x:c r="R323" s="55" t="n">
        <x:v>0.02205</x:v>
      </x:c>
      <x:c r="S323" s="57" t="str">
        <x:f>IF(I323,"DAMAGE SKIP",IF(AND(M323,N323),IF(O323,"TUESDAY RE-ENTRY","GAP/MOM SKIP"),"BASELINE"))</x:f>
        <x:v>BASELINE</x:v>
      </x:c>
      <x:c r="T323" s="56" t="n">
        <x:f>IF(I323,0,IF(AND(M323,N323),IF(O323,R323,0),G323))</x:f>
        <x:v>0.01827</x:v>
      </x:c>
      <x:c r="U323" s="56" t="n">
        <x:f>G323*'Assumptions'!$B$6</x:f>
        <x:v>0.20645100000000002</x:v>
      </x:c>
      <x:c r="V323" s="56" t="n">
        <x:f>T323*'Assumptions'!$B$6</x:f>
        <x:v>0.20645100000000002</x:v>
      </x:c>
      <x:c r="W323" s="56" t="n">
        <x:f>V323-U323</x:f>
        <x:v>0</x:v>
      </x:c>
      <x:c r="X323" s="58" t="n">
        <x:f>X322*(1+U323)</x:f>
        <x:v>3797296.7705777697</x:v>
      </x:c>
      <x:c r="Y323" s="58" t="n">
        <x:f>MAX(Y322,X323)</x:f>
        <x:v>5312342.953821075</x:v>
      </x:c>
      <x:c r="Z323" s="59" t="n">
        <x:f>X323/Y323-1</x:f>
        <x:v>-0.2851935946931964</x:v>
      </x:c>
      <x:c r="AA323" s="58" t="n">
        <x:f>AA322*(1+V323)</x:f>
        <x:v>10424006.572830008</x:v>
      </x:c>
      <x:c r="AB323" s="58" t="n">
        <x:f>MAX(AB322,AA323)</x:f>
        <x:v>19005937.798915908</x:v>
      </x:c>
      <x:c r="AC323" s="59" t="n">
        <x:f>AA323/AB323-1</x:f>
        <x:v>-0.45153947765605174</x:v>
      </x:c>
      <x:c r="AD323" s="60" t="n">
        <x:f>AA323-X323</x:f>
        <x:v>6626709.802252239</x:v>
      </x:c>
      <x:c r="AE323" s="28" t="str">
        <x:v>Baseline trade unchanged.</x:v>
      </x:c>
    </x:row>
    <x:row r="324" ht="18" customHeight="1">
      <x:c r="A324" s="23" t="n">
        <x:v>320</x:v>
      </x:c>
      <x:c r="B324" s="53" t="n">
        <x:v>45453</x:v>
      </x:c>
      <x:c r="C324" s="53" t="n">
        <x:v>45457</x:v>
      </x:c>
      <x:c r="D324" s="23" t="str">
        <x:v>TO</x:v>
      </x:c>
      <x:c r="E324" s="54" t="n">
        <x:v>18951.997</x:v>
      </x:c>
      <x:c r="F324" s="54" t="n">
        <x:v>19662.01</x:v>
      </x:c>
      <x:c r="G324" s="55" t="n">
        <x:v>0.03746</x:v>
      </x:c>
      <x:c r="H324" s="56" t="n">
        <x:f>SUM(T321:T323)</x:f>
        <x:v>0.02273</x:v>
      </x:c>
      <x:c r="I324" s="57" t="b">
        <x:f>AND(A324&gt;3,H324&lt;='Assumptions'!$B$7)</x:f>
        <x:v>0</x:v>
      </x:c>
      <x:c r="J324" s="55" t="n">
        <x:v>-0.002652349456105596</x:v>
      </x:c>
      <x:c r="K324" s="55" t="n">
        <x:v>0.0497488262589485</x:v>
      </x:c>
      <x:c r="L324" s="55" t="n">
        <x:v>0.0012517684489155023</x:v>
      </x:c>
      <x:c r="M324" s="57" t="b">
        <x:f>J324&gt;='Assumptions'!$B$8</x:f>
        <x:v>0</x:v>
      </x:c>
      <x:c r="N324" s="57" t="b">
        <x:f>AND(K324&lt;&gt;"",K324&lt;='Assumptions'!$B$9)</x:f>
        <x:v>0</x:v>
      </x:c>
      <x:c r="O324" s="57" t="b">
        <x:f>AND(P324&lt;&gt;"",ABS(L324)&lt;='Assumptions'!$B$10)</x:f>
        <x:v>1</x:v>
      </x:c>
      <x:c r="P324" s="53" t="n">
        <x:v>45454</x:v>
      </x:c>
      <x:c r="Q324" s="54" t="n">
        <x:v>19023.008</x:v>
      </x:c>
      <x:c r="R324" s="55" t="n">
        <x:v>0.03359</x:v>
      </x:c>
      <x:c r="S324" s="57" t="str">
        <x:f>IF(I324,"DAMAGE SKIP",IF(AND(M324,N324),IF(O324,"TUESDAY RE-ENTRY","GAP/MOM SKIP"),"BASELINE"))</x:f>
        <x:v>BASELINE</x:v>
      </x:c>
      <x:c r="T324" s="56" t="n">
        <x:f>IF(I324,0,IF(AND(M324,N324),IF(O324,R324,0),G324))</x:f>
        <x:v>0.03746</x:v>
      </x:c>
      <x:c r="U324" s="56" t="n">
        <x:f>G324*'Assumptions'!$B$6</x:f>
        <x:v>0.423298</x:v>
      </x:c>
      <x:c r="V324" s="56" t="n">
        <x:f>T324*'Assumptions'!$B$6</x:f>
        <x:v>0.423298</x:v>
      </x:c>
      <x:c r="W324" s="56" t="n">
        <x:f>V324-U324</x:f>
        <x:v>0</x:v>
      </x:c>
      <x:c r="X324" s="58" t="n">
        <x:f>X323*(1+U324)</x:f>
        <x:v>5404684.898969798</x:v>
      </x:c>
      <x:c r="Y324" s="58" t="n">
        <x:f>MAX(Y323,X324)</x:f>
        <x:v>5404684.898969798</x:v>
      </x:c>
      <x:c r="Z324" s="59" t="n">
        <x:f>X324/Y324-1</x:f>
        <x:v>0</x:v>
      </x:c>
      <x:c r="AA324" s="58" t="n">
        <x:f>AA323*(1+V324)</x:f>
        <x:v>14836467.707095806</x:v>
      </x:c>
      <x:c r="AB324" s="58" t="n">
        <x:f>MAX(AB323,AA324)</x:f>
        <x:v>19005937.798915908</x:v>
      </x:c>
      <x:c r="AC324" s="59" t="n">
        <x:f>AA324/AB324-1</x:f>
        <x:v>-0.2193772354689032</x:v>
      </x:c>
      <x:c r="AD324" s="60" t="n">
        <x:f>AA324-X324</x:f>
        <x:v>9431782.808126006</x:v>
      </x:c>
      <x:c r="AE324" s="28" t="str">
        <x:v>Baseline trade unchanged.</x:v>
      </x:c>
    </x:row>
    <x:row r="325" ht="18" customHeight="1">
      <x:c r="A325" s="23" t="n">
        <x:v>321</x:v>
      </x:c>
      <x:c r="B325" s="53" t="n">
        <x:v>45460</x:v>
      </x:c>
      <x:c r="C325" s="53" t="n">
        <x:v>45460</x:v>
      </x:c>
      <x:c r="D325" s="23" t="str">
        <x:v>CH</x:v>
      </x:c>
      <x:c r="E325" s="54" t="n">
        <x:v>19674.208</x:v>
      </x:c>
      <x:c r="F325" s="54" t="n">
        <x:v>19895.875</x:v>
      </x:c>
      <x:c r="G325" s="55" t="n">
        <x:v>0.01126</x:v>
      </x:c>
      <x:c r="H325" s="56" t="n">
        <x:f>SUM(T322:T324)</x:f>
        <x:v>0.04682</x:v>
      </x:c>
      <x:c r="I325" s="57" t="b">
        <x:f>AND(A325&gt;3,H325&lt;='Assumptions'!$B$7)</x:f>
        <x:v>0</x:v>
      </x:c>
      <x:c r="J325" s="55" t="n">
        <x:v>0.0006203841824921064</x:v>
      </x:c>
      <x:c r="K325" s="55" t="n">
        <x:v>0.06020234398477409</x:v>
      </x:c>
      <x:c r="L325" s="55" t="n">
        <x:v>0.012146216511295993</x:v>
      </x:c>
      <x:c r="M325" s="57" t="b">
        <x:f>J325&gt;='Assumptions'!$B$8</x:f>
        <x:v>0</x:v>
      </x:c>
      <x:c r="N325" s="57" t="b">
        <x:f>AND(K325&lt;&gt;"",K325&lt;='Assumptions'!$B$9)</x:f>
        <x:v>0</x:v>
      </x:c>
      <x:c r="O325" s="57" t="b">
        <x:f>AND(P325&lt;&gt;"",ABS(L325)&lt;='Assumptions'!$B$10)</x:f>
        <x:v>0</x:v>
      </x:c>
      <x:c r="P325" s="53" t="n">
        <x:v>45461</x:v>
      </x:c>
      <x:c r="Q325" s="54" t="n">
        <x:v>19904.33</x:v>
      </x:c>
      <x:c r="R325" s="55" t="n">
        <x:v>-0.00042</x:v>
      </x:c>
      <x:c r="S325" s="57" t="str">
        <x:f>IF(I325,"DAMAGE SKIP",IF(AND(M325,N325),IF(O325,"TUESDAY RE-ENTRY","GAP/MOM SKIP"),"BASELINE"))</x:f>
        <x:v>BASELINE</x:v>
      </x:c>
      <x:c r="T325" s="56" t="n">
        <x:f>IF(I325,0,IF(AND(M325,N325),IF(O325,R325,0),G325))</x:f>
        <x:v>0.01126</x:v>
      </x:c>
      <x:c r="U325" s="56" t="n">
        <x:f>G325*'Assumptions'!$B$6</x:f>
        <x:v>0.127238</x:v>
      </x:c>
      <x:c r="V325" s="56" t="n">
        <x:f>T325*'Assumptions'!$B$6</x:f>
        <x:v>0.127238</x:v>
      </x:c>
      <x:c r="W325" s="56" t="n">
        <x:f>V325-U325</x:f>
        <x:v>0</x:v>
      </x:c>
      <x:c r="X325" s="58" t="n">
        <x:f>X324*(1+U325)</x:f>
        <x:v>6092366.196144917</x:v>
      </x:c>
      <x:c r="Y325" s="58" t="n">
        <x:f>MAX(Y324,X325)</x:f>
        <x:v>6092366.196144917</x:v>
      </x:c>
      <x:c r="Z325" s="59" t="n">
        <x:f>X325/Y325-1</x:f>
        <x:v>0</x:v>
      </x:c>
      <x:c r="AA325" s="58" t="n">
        <x:f>AA324*(1+V325)</x:f>
        <x:v>16724230.185211262</x:v>
      </x:c>
      <x:c r="AB325" s="58" t="n">
        <x:f>MAX(AB324,AA325)</x:f>
        <x:v>19005937.798915908</x:v>
      </x:c>
      <x:c r="AC325" s="59" t="n">
        <x:f>AA325/AB325-1</x:f>
        <x:v>-0.12005235615549548</x:v>
      </x:c>
      <x:c r="AD325" s="60" t="n">
        <x:f>AA325-X325</x:f>
        <x:v>10631863.989066344</x:v>
      </x:c>
      <x:c r="AE325" s="28" t="str">
        <x:v>Baseline trade unchanged.</x:v>
      </x:c>
    </x:row>
    <x:row r="326" ht="18" customHeight="1">
      <x:c r="A326" s="23" t="n">
        <x:v>322</x:v>
      </x:c>
      <x:c r="B326" s="53" t="n">
        <x:v>45467</x:v>
      </x:c>
      <x:c r="C326" s="53" t="n">
        <x:v>45471</x:v>
      </x:c>
      <x:c r="D326" s="23" t="str">
        <x:v>TO</x:v>
      </x:c>
      <x:c r="E326" s="54" t="n">
        <x:v>19647.799</x:v>
      </x:c>
      <x:c r="F326" s="54" t="n">
        <x:v>19698.631</x:v>
      </x:c>
      <x:c r="G326" s="55" t="n">
        <x:v>0.00258</x:v>
      </x:c>
      <x:c r="H326" s="56" t="n">
        <x:f>SUM(T323:T325)</x:f>
        <x:v>0.06699</x:v>
      </x:c>
      <x:c r="I326" s="57" t="b">
        <x:f>AND(A326&gt;3,H326&lt;='Assumptions'!$B$7)</x:f>
        <x:v>0</x:v>
      </x:c>
      <x:c r="J326" s="55" t="n">
        <x:v>-0.00344951607108801</x:v>
      </x:c>
      <x:c r="K326" s="55" t="n">
        <x:v>0.053695498109033624</x:v>
      </x:c>
      <x:c r="L326" s="55" t="n">
        <x:v>-0.0069835562707433185</x:v>
      </x:c>
      <x:c r="M326" s="57" t="b">
        <x:f>J326&gt;='Assumptions'!$B$8</x:f>
        <x:v>0</x:v>
      </x:c>
      <x:c r="N326" s="57" t="b">
        <x:f>AND(K326&lt;&gt;"",K326&lt;='Assumptions'!$B$9)</x:f>
        <x:v>0</x:v>
      </x:c>
      <x:c r="O326" s="57" t="b">
        <x:f>AND(P326&lt;&gt;"",ABS(L326)&lt;='Assumptions'!$B$10)</x:f>
        <x:v>0</x:v>
      </x:c>
      <x:c r="P326" s="53" t="n">
        <x:v>45468</x:v>
      </x:c>
      <x:c r="Q326" s="54" t="n">
        <x:v>19561.898</x:v>
      </x:c>
      <x:c r="R326" s="55" t="n">
        <x:v>0.00698</x:v>
      </x:c>
      <x:c r="S326" s="57" t="str">
        <x:f>IF(I326,"DAMAGE SKIP",IF(AND(M326,N326),IF(O326,"TUESDAY RE-ENTRY","GAP/MOM SKIP"),"BASELINE"))</x:f>
        <x:v>BASELINE</x:v>
      </x:c>
      <x:c r="T326" s="56" t="n">
        <x:f>IF(I326,0,IF(AND(M326,N326),IF(O326,R326,0),G326))</x:f>
        <x:v>0.00258</x:v>
      </x:c>
      <x:c r="U326" s="56" t="n">
        <x:f>G326*'Assumptions'!$B$6</x:f>
        <x:v>0.029154</x:v>
      </x:c>
      <x:c r="V326" s="56" t="n">
        <x:f>T326*'Assumptions'!$B$6</x:f>
        <x:v>0.029154</x:v>
      </x:c>
      <x:c r="W326" s="56" t="n">
        <x:f>V326-U326</x:f>
        <x:v>0</x:v>
      </x:c>
      <x:c r="X326" s="58" t="n">
        <x:f>X325*(1+U326)</x:f>
        <x:v>6269983.040227326</x:v>
      </x:c>
      <x:c r="Y326" s="58" t="n">
        <x:f>MAX(Y325,X326)</x:f>
        <x:v>6269983.040227326</x:v>
      </x:c>
      <x:c r="Z326" s="59" t="n">
        <x:f>X326/Y326-1</x:f>
        <x:v>0</x:v>
      </x:c>
      <x:c r="AA326" s="58" t="n">
        <x:f>AA325*(1+V326)</x:f>
        <x:v>17211808.39203091</x:v>
      </x:c>
      <x:c r="AB326" s="58" t="n">
        <x:f>MAX(AB325,AA326)</x:f>
        <x:v>19005937.798915908</x:v>
      </x:c>
      <x:c r="AC326" s="59" t="n">
        <x:f>AA326/AB326-1</x:f>
        <x:v>-0.09439836254685285</x:v>
      </x:c>
      <x:c r="AD326" s="60" t="n">
        <x:f>AA326-X326</x:f>
        <x:v>10941825.351803584</x:v>
      </x:c>
      <x:c r="AE326" s="28" t="str">
        <x:v>Baseline trade unchanged.</x:v>
      </x:c>
    </x:row>
    <x:row r="327" ht="18" customHeight="1">
      <x:c r="A327" s="23" t="n">
        <x:v>323</x:v>
      </x:c>
      <x:c r="B327" s="53" t="n">
        <x:v>45474</x:v>
      </x:c>
      <x:c r="C327" s="53" t="n">
        <x:v>45478</x:v>
      </x:c>
      <x:c r="D327" s="23" t="str">
        <x:v>TO</x:v>
      </x:c>
      <x:c r="E327" s="54" t="n">
        <x:v>19727.31</x:v>
      </x:c>
      <x:c r="F327" s="54" t="n">
        <x:v>20378.597</x:v>
      </x:c>
      <x:c r="G327" s="55" t="n">
        <x:v>0.03301</x:v>
      </x:c>
      <x:c r="H327" s="56" t="n">
        <x:f>SUM(T324:T326)</x:f>
        <x:v>0.0513</x:v>
      </x:c>
      <x:c r="I327" s="57" t="b">
        <x:f>AND(A327&gt;3,H327&lt;='Assumptions'!$B$7)</x:f>
        <x:v>0</x:v>
      </x:c>
      <x:c r="J327" s="55" t="n">
        <x:v>0.0014558879751593867</x:v>
      </x:c>
      <x:c r="K327" s="55" t="n">
        <x:v>0.06271947024117219</x:v>
      </x:c>
      <x:c r="L327" s="55" t="n">
        <x:v>0.0027130328310518426</x:v>
      </x:c>
      <x:c r="M327" s="57" t="b">
        <x:f>J327&gt;='Assumptions'!$B$8</x:f>
        <x:v>0</x:v>
      </x:c>
      <x:c r="N327" s="57" t="b">
        <x:f>AND(K327&lt;&gt;"",K327&lt;='Assumptions'!$B$9)</x:f>
        <x:v>0</x:v>
      </x:c>
      <x:c r="O327" s="57" t="b">
        <x:f>AND(P327&lt;&gt;"",ABS(L327)&lt;='Assumptions'!$B$10)</x:f>
        <x:v>1</x:v>
      </x:c>
      <x:c r="P327" s="53" t="n">
        <x:v>45475</x:v>
      </x:c>
      <x:c r="Q327" s="54" t="n">
        <x:v>19740.587</x:v>
      </x:c>
      <x:c r="R327" s="55" t="n">
        <x:v>0.03231</x:v>
      </x:c>
      <x:c r="S327" s="57" t="str">
        <x:f>IF(I327,"DAMAGE SKIP",IF(AND(M327,N327),IF(O327,"TUESDAY RE-ENTRY","GAP/MOM SKIP"),"BASELINE"))</x:f>
        <x:v>BASELINE</x:v>
      </x:c>
      <x:c r="T327" s="56" t="n">
        <x:f>IF(I327,0,IF(AND(M327,N327),IF(O327,R327,0),G327))</x:f>
        <x:v>0.03301</x:v>
      </x:c>
      <x:c r="U327" s="56" t="n">
        <x:f>G327*'Assumptions'!$B$6</x:f>
        <x:v>0.373013</x:v>
      </x:c>
      <x:c r="V327" s="56" t="n">
        <x:f>T327*'Assumptions'!$B$6</x:f>
        <x:v>0.373013</x:v>
      </x:c>
      <x:c r="W327" s="56" t="n">
        <x:f>V327-U327</x:f>
        <x:v>0</x:v>
      </x:c>
      <x:c r="X327" s="58" t="n">
        <x:f>X326*(1+U327)</x:f>
        <x:v>8608768.224011641</x:v>
      </x:c>
      <x:c r="Y327" s="58" t="n">
        <x:f>MAX(Y326,X327)</x:f>
        <x:v>8608768.224011641</x:v>
      </x:c>
      <x:c r="Z327" s="59" t="n">
        <x:f>X327/Y327-1</x:f>
        <x:v>0</x:v>
      </x:c>
      <x:c r="AA327" s="58" t="n">
        <x:f>AA326*(1+V327)</x:f>
        <x:v>23632036.675767537</x:v>
      </x:c>
      <x:c r="AB327" s="58" t="n">
        <x:f>MAX(AB326,AA327)</x:f>
        <x:v>23632036.675767537</x:v>
      </x:c>
      <x:c r="AC327" s="59" t="n">
        <x:f>AA327/AB327-1</x:f>
        <x:v>0</x:v>
      </x:c>
      <x:c r="AD327" s="60" t="n">
        <x:f>AA327-X327</x:f>
        <x:v>15023268.451755896</x:v>
      </x:c>
      <x:c r="AE327" s="28" t="str">
        <x:v>Baseline trade unchanged.</x:v>
      </x:c>
    </x:row>
    <x:row r="328" ht="18" customHeight="1">
      <x:c r="A328" s="23" t="n">
        <x:v>324</x:v>
      </x:c>
      <x:c r="B328" s="53" t="n">
        <x:v>45481</x:v>
      </x:c>
      <x:c r="C328" s="53" t="n">
        <x:v>45484</x:v>
      </x:c>
      <x:c r="D328" s="23" t="str">
        <x:v>TSL2</x:v>
      </x:c>
      <x:c r="E328" s="54" t="n">
        <x:v>20399.643</x:v>
      </x:c>
      <x:c r="F328" s="54" t="n">
        <x:v>20318.044428</x:v>
      </x:c>
      <x:c r="G328" s="55" t="n">
        <x:v>-0.004</x:v>
      </x:c>
      <x:c r="H328" s="56" t="n">
        <x:f>SUM(T325:T327)</x:f>
        <x:v>0.046849999999999996</x:v>
      </x:c>
      <x:c r="I328" s="57" t="b">
        <x:f>AND(A328&gt;3,H328&lt;='Assumptions'!$B$7)</x:f>
        <x:v>0</x:v>
      </x:c>
      <x:c r="J328" s="55" t="n">
        <x:v>0.0010327501937448247</x:v>
      </x:c>
      <x:c r="K328" s="55" t="n">
        <x:v>0.07209663240832187</x:v>
      </x:c>
      <x:c r="L328" s="55" t="n">
        <x:v>0.005460276840287381</x:v>
      </x:c>
      <x:c r="M328" s="57" t="b">
        <x:f>J328&gt;='Assumptions'!$B$8</x:f>
        <x:v>0</x:v>
      </x:c>
      <x:c r="N328" s="57" t="b">
        <x:f>AND(K328&lt;&gt;"",K328&lt;='Assumptions'!$B$9)</x:f>
        <x:v>0</x:v>
      </x:c>
      <x:c r="O328" s="57" t="b">
        <x:f>AND(P328&lt;&gt;"",ABS(L328)&lt;='Assumptions'!$B$10)</x:f>
        <x:v>0</x:v>
      </x:c>
      <x:c r="P328" s="53" t="n">
        <x:v>45482</x:v>
      </x:c>
      <x:c r="Q328" s="54" t="n">
        <x:v>20496.898</x:v>
      </x:c>
      <x:c r="R328" s="55" t="n">
        <x:v>-0.00872</x:v>
      </x:c>
      <x:c r="S328" s="57" t="str">
        <x:f>IF(I328,"DAMAGE SKIP",IF(AND(M328,N328),IF(O328,"TUESDAY RE-ENTRY","GAP/MOM SKIP"),"BASELINE"))</x:f>
        <x:v>BASELINE</x:v>
      </x:c>
      <x:c r="T328" s="56" t="n">
        <x:f>IF(I328,0,IF(AND(M328,N328),IF(O328,R328,0),G328))</x:f>
        <x:v>-0.004</x:v>
      </x:c>
      <x:c r="U328" s="56" t="n">
        <x:f>G328*'Assumptions'!$B$6</x:f>
        <x:v>-0.045200000000000004</x:v>
      </x:c>
      <x:c r="V328" s="56" t="n">
        <x:f>T328*'Assumptions'!$B$6</x:f>
        <x:v>-0.045200000000000004</x:v>
      </x:c>
      <x:c r="W328" s="56" t="n">
        <x:f>V328-U328</x:f>
        <x:v>0</x:v>
      </x:c>
      <x:c r="X328" s="58" t="n">
        <x:f>X327*(1+U328)</x:f>
        <x:v>8219651.900286315</x:v>
      </x:c>
      <x:c r="Y328" s="58" t="n">
        <x:f>MAX(Y327,X328)</x:f>
        <x:v>8608768.224011641</x:v>
      </x:c>
      <x:c r="Z328" s="59" t="n">
        <x:f>X328/Y328-1</x:f>
        <x:v>-0.04520000000000002</x:v>
      </x:c>
      <x:c r="AA328" s="58" t="n">
        <x:f>AA327*(1+V328)</x:f>
        <x:v>22563868.618022844</x:v>
      </x:c>
      <x:c r="AB328" s="58" t="n">
        <x:f>MAX(AB327,AA328)</x:f>
        <x:v>23632036.675767537</x:v>
      </x:c>
      <x:c r="AC328" s="59" t="n">
        <x:f>AA328/AB328-1</x:f>
        <x:v>-0.04520000000000002</x:v>
      </x:c>
      <x:c r="AD328" s="60" t="n">
        <x:f>AA328-X328</x:f>
        <x:v>14344216.71773653</x:v>
      </x:c>
      <x:c r="AE328" s="28" t="str">
        <x:v>Baseline trade unchanged.</x:v>
      </x:c>
    </x:row>
    <x:row r="329" ht="18" customHeight="1">
      <x:c r="A329" s="23" t="n">
        <x:v>325</x:v>
      </x:c>
      <x:c r="B329" s="53" t="n">
        <x:v>45488</x:v>
      </x:c>
      <x:c r="C329" s="53" t="n">
        <x:v>45491</x:v>
      </x:c>
      <x:c r="D329" s="23" t="str">
        <x:v>TSL1PRE</x:v>
      </x:c>
      <x:c r="E329" s="54" t="n">
        <x:v>20400.732</x:v>
      </x:c>
      <x:c r="F329" s="54" t="n">
        <x:v>19839.031</x:v>
      </x:c>
      <x:c r="G329" s="55" t="n">
        <x:v>-0.02753</x:v>
      </x:c>
      <x:c r="H329" s="56" t="n">
        <x:f>SUM(T326:T328)</x:f>
        <x:v>0.03158999999999999</x:v>
      </x:c>
      <x:c r="I329" s="57" t="b">
        <x:f>AND(A329&gt;3,H329&lt;='Assumptions'!$B$7)</x:f>
        <x:v>0</x:v>
      </x:c>
      <x:c r="J329" s="55" t="n">
        <x:v>0.003227670858909626</x:v>
      </x:c>
      <x:c r="K329" s="55" t="n">
        <x:v>0.04525431281431036</x:v>
      </x:c>
      <x:c r="L329" s="55" t="n">
        <x:v>0.005657768926729201</x:v>
      </x:c>
      <x:c r="M329" s="57" t="b">
        <x:f>J329&gt;='Assumptions'!$B$8</x:f>
        <x:v>0</x:v>
      </x:c>
      <x:c r="N329" s="57" t="b">
        <x:f>AND(K329&lt;&gt;"",K329&lt;='Assumptions'!$B$9)</x:f>
        <x:v>0</x:v>
      </x:c>
      <x:c r="O329" s="57" t="b">
        <x:f>AND(P329&lt;&gt;"",ABS(L329)&lt;='Assumptions'!$B$10)</x:f>
        <x:v>0</x:v>
      </x:c>
      <x:c r="P329" s="53" t="n">
        <x:v>45489</x:v>
      </x:c>
      <x:c r="Q329" s="54" t="n">
        <x:v>20446.299</x:v>
      </x:c>
      <x:c r="R329" s="55" t="n">
        <x:v>-0.0297</x:v>
      </x:c>
      <x:c r="S329" s="57" t="str">
        <x:f>IF(I329,"DAMAGE SKIP",IF(AND(M329,N329),IF(O329,"TUESDAY RE-ENTRY","GAP/MOM SKIP"),"BASELINE"))</x:f>
        <x:v>BASELINE</x:v>
      </x:c>
      <x:c r="T329" s="56" t="n">
        <x:f>IF(I329,0,IF(AND(M329,N329),IF(O329,R329,0),G329))</x:f>
        <x:v>-0.02753</x:v>
      </x:c>
      <x:c r="U329" s="56" t="n">
        <x:f>G329*'Assumptions'!$B$6</x:f>
        <x:v>-0.311089</x:v>
      </x:c>
      <x:c r="V329" s="56" t="n">
        <x:f>T329*'Assumptions'!$B$6</x:f>
        <x:v>-0.311089</x:v>
      </x:c>
      <x:c r="W329" s="56" t="n">
        <x:f>V329-U329</x:f>
        <x:v>0</x:v>
      </x:c>
      <x:c r="X329" s="58" t="n">
        <x:f>X328*(1+U329)</x:f>
        <x:v>5662608.610278146</x:v>
      </x:c>
      <x:c r="Y329" s="58" t="n">
        <x:f>MAX(Y328,X329)</x:f>
        <x:v>8608768.224011641</x:v>
      </x:c>
      <x:c r="Z329" s="59" t="n">
        <x:f>X329/Y329-1</x:f>
        <x:v>-0.34222777719999986</x:v>
      </x:c>
      <x:c r="AA329" s="58" t="n">
        <x:f>AA328*(1+V329)</x:f>
        <x:v>15544497.293510737</x:v>
      </x:c>
      <x:c r="AB329" s="58" t="n">
        <x:f>MAX(AB328,AA329)</x:f>
        <x:v>23632036.675767537</x:v>
      </x:c>
      <x:c r="AC329" s="59" t="n">
        <x:f>AA329/AB329-1</x:f>
        <x:v>-0.34222777719999997</x:v>
      </x:c>
      <x:c r="AD329" s="60" t="n">
        <x:f>AA329-X329</x:f>
        <x:v>9881888.68323259</x:v>
      </x:c>
      <x:c r="AE329" s="28" t="str">
        <x:v>Baseline trade unchanged.</x:v>
      </x:c>
    </x:row>
    <x:row r="330" ht="18" customHeight="1">
      <x:c r="A330" s="23" t="n">
        <x:v>326</x:v>
      </x:c>
      <x:c r="B330" s="53" t="n">
        <x:v>45495</x:v>
      </x:c>
      <x:c r="C330" s="53" t="n">
        <x:v>45498</x:v>
      </x:c>
      <x:c r="D330" s="23" t="str">
        <x:v>TSL1PRE</x:v>
      </x:c>
      <x:c r="E330" s="54" t="n">
        <x:v>19776.119</x:v>
      </x:c>
      <x:c r="F330" s="54" t="n">
        <x:v>19096.165</x:v>
      </x:c>
      <x:c r="G330" s="55" t="n">
        <x:v>-0.03438</x:v>
      </x:c>
      <x:c r="H330" s="56" t="n">
        <x:f>SUM(T327:T329)</x:f>
        <x:v>0.0014799999999999987</x:v>
      </x:c>
      <x:c r="I330" s="57" t="b">
        <x:f>AND(A330&gt;3,H330&lt;='Assumptions'!$B$7)</x:f>
        <x:v>0</x:v>
      </x:c>
      <x:c r="J330" s="55" t="n">
        <x:v>0.011833509978467438</x:v>
      </x:c>
      <x:c r="K330" s="55" t="n">
        <x:v>-0.011374013419789608</x:v>
      </x:c>
      <x:c r="L330" s="55" t="n">
        <x:v>0.012984460076431503</x:v>
      </x:c>
      <x:c r="M330" s="57" t="b">
        <x:f>J330&gt;='Assumptions'!$B$8</x:f>
        <x:v>1</x:v>
      </x:c>
      <x:c r="N330" s="57" t="b">
        <x:f>AND(K330&lt;&gt;"",K330&lt;='Assumptions'!$B$9)</x:f>
        <x:v>1</x:v>
      </x:c>
      <x:c r="O330" s="57" t="b">
        <x:f>AND(P330&lt;&gt;"",ABS(L330)&lt;='Assumptions'!$B$10)</x:f>
        <x:v>0</x:v>
      </x:c>
      <x:c r="P330" s="53" t="n">
        <x:v>45496</x:v>
      </x:c>
      <x:c r="Q330" s="54" t="n">
        <x:v>19779.842</x:v>
      </x:c>
      <x:c r="R330" s="55" t="n">
        <x:v>-0.03456</x:v>
      </x:c>
      <x:c r="S330" s="57" t="str">
        <x:f>IF(I330,"DAMAGE SKIP",IF(AND(M330,N330),IF(O330,"TUESDAY RE-ENTRY","GAP/MOM SKIP"),"BASELINE"))</x:f>
        <x:v>GAP/MOM SKIP</x:v>
      </x:c>
      <x:c r="T330" s="56" t="n">
        <x:f>IF(I330,0,IF(AND(M330,N330),IF(O330,R330,0),G330))</x:f>
        <x:v>0</x:v>
      </x:c>
      <x:c r="U330" s="56" t="n">
        <x:f>G330*'Assumptions'!$B$6</x:f>
        <x:v>-0.38849400000000006</x:v>
      </x:c>
      <x:c r="V330" s="56" t="n">
        <x:f>T330*'Assumptions'!$B$6</x:f>
        <x:v>0</x:v>
      </x:c>
      <x:c r="W330" s="56" t="n">
        <x:f>V330-U330</x:f>
        <x:v>0.38849400000000006</x:v>
      </x:c>
      <x:c r="X330" s="58" t="n">
        <x:f>X329*(1+U330)</x:f>
        <x:v>3462719.1408367474</x:v>
      </x:c>
      <x:c r="Y330" s="58" t="n">
        <x:f>MAX(Y329,X330)</x:f>
        <x:v>8608768.224011641</x:v>
      </x:c>
      <x:c r="Z330" s="59" t="n">
        <x:f>X330/Y330-1</x:f>
        <x:v>-0.5977683391244633</x:v>
      </x:c>
      <x:c r="AA330" s="58" t="n">
        <x:f>AA329*(1+V330)</x:f>
        <x:v>15544497.293510737</x:v>
      </x:c>
      <x:c r="AB330" s="58" t="n">
        <x:f>MAX(AB329,AA330)</x:f>
        <x:v>23632036.675767537</x:v>
      </x:c>
      <x:c r="AC330" s="59" t="n">
        <x:f>AA330/AB330-1</x:f>
        <x:v>-0.34222777719999997</x:v>
      </x:c>
      <x:c r="AD330" s="60" t="n">
        <x:f>AA330-X330</x:f>
        <x:v>12081778.15267399</x:v>
      </x:c>
      <x:c r="AE330" s="28" t="str">
        <x:v>Monday entry skipped; Tuesday did not normalize within the Friday-based tolerance.</x:v>
      </x:c>
    </x:row>
    <x:row r="331" ht="18" customHeight="1">
      <x:c r="A331" s="23" t="n">
        <x:v>327</x:v>
      </x:c>
      <x:c r="B331" s="53" t="n">
        <x:v>45502</x:v>
      </x:c>
      <x:c r="C331" s="53" t="n">
        <x:v>45504</x:v>
      </x:c>
      <x:c r="D331" s="23" t="str">
        <x:v>BEPRE</x:v>
      </x:c>
      <x:c r="E331" s="54" t="n">
        <x:v>19133.91</x:v>
      </x:c>
      <x:c r="F331" s="54" t="n">
        <x:v>19061.654</x:v>
      </x:c>
      <x:c r="G331" s="55" t="n">
        <x:v>-0.00377</x:v>
      </x:c>
      <x:c r="H331" s="56" t="n">
        <x:f>SUM(T328:T330)</x:f>
        <x:v>-0.03153</x:v>
      </x:c>
      <x:c r="I331" s="57" t="b">
        <x:f>AND(A331&gt;3,H331&lt;='Assumptions'!$B$7)</x:f>
        <x:v>1</x:v>
      </x:c>
      <x:c r="J331" s="55" t="n">
        <x:v>0.005869756549355287</x:v>
      </x:c>
      <x:c r="K331" s="55" t="n">
        <x:v>-0.038703083773946934</x:v>
      </x:c>
      <x:c r="L331" s="55" t="n">
        <x:v>0.006220586735634637</x:v>
      </x:c>
      <x:c r="M331" s="57" t="b">
        <x:f>J331&gt;='Assumptions'!$B$8</x:f>
        <x:v>0</x:v>
      </x:c>
      <x:c r="N331" s="57" t="b">
        <x:f>AND(K331&lt;&gt;"",K331&lt;='Assumptions'!$B$9)</x:f>
        <x:v>1</x:v>
      </x:c>
      <x:c r="O331" s="57" t="b">
        <x:f>AND(P331&lt;&gt;"",ABS(L331)&lt;='Assumptions'!$B$10)</x:f>
        <x:v>0</x:v>
      </x:c>
      <x:c r="P331" s="53" t="n">
        <x:v>45503</x:v>
      </x:c>
      <x:c r="Q331" s="54" t="n">
        <x:v>19140.319</x:v>
      </x:c>
      <x:c r="R331" s="55" t="n">
        <x:v>-0.0041</x:v>
      </x:c>
      <x:c r="S331" s="57" t="str">
        <x:f>IF(I331,"DAMAGE SKIP",IF(AND(M331,N331),IF(O331,"TUESDAY RE-ENTRY","GAP/MOM SKIP"),"BASELINE"))</x:f>
        <x:v>DAMAGE SKIP</x:v>
      </x:c>
      <x:c r="T331" s="56" t="n">
        <x:f>IF(I331,0,IF(AND(M331,N331),IF(O331,R331,0),G331))</x:f>
        <x:v>0</x:v>
      </x:c>
      <x:c r="U331" s="56" t="n">
        <x:f>G331*'Assumptions'!$B$6</x:f>
        <x:v>-0.042601</x:v>
      </x:c>
      <x:c r="V331" s="56" t="n">
        <x:f>T331*'Assumptions'!$B$6</x:f>
        <x:v>0</x:v>
      </x:c>
      <x:c r="W331" s="56" t="n">
        <x:f>V331-U331</x:f>
        <x:v>0.042601</x:v>
      </x:c>
      <x:c r="X331" s="58" t="n">
        <x:f>X330*(1+U331)</x:f>
        <x:v>3315203.842717961</x:v>
      </x:c>
      <x:c r="Y331" s="58" t="n">
        <x:f>MAX(Y330,X331)</x:f>
        <x:v>8608768.224011641</x:v>
      </x:c>
      <x:c r="Z331" s="59" t="n">
        <x:f>X331/Y331-1</x:f>
        <x:v>-0.614903810109422</x:v>
      </x:c>
      <x:c r="AA331" s="58" t="n">
        <x:f>AA330*(1+V331)</x:f>
        <x:v>15544497.293510737</x:v>
      </x:c>
      <x:c r="AB331" s="58" t="n">
        <x:f>MAX(AB330,AA331)</x:f>
        <x:v>23632036.675767537</x:v>
      </x:c>
      <x:c r="AC331" s="59" t="n">
        <x:f>AA331/AB331-1</x:f>
        <x:v>-0.34222777719999997</x:v>
      </x:c>
      <x:c r="AD331" s="60" t="n">
        <x:f>AA331-X331</x:f>
        <x:v>12229293.450792776</x:v>
      </x:c>
      <x:c r="AE331" s="28" t="str">
        <x:v>Skipped because the previous three rule outcomes totalled at or below the damage threshold.</x:v>
      </x:c>
    </x:row>
    <x:row r="332" ht="18" customHeight="1">
      <x:c r="A332" s="23" t="n">
        <x:v>328</x:v>
      </x:c>
      <x:c r="B332" s="53" t="n">
        <x:v>45509</x:v>
      </x:c>
      <x:c r="C332" s="53" t="n">
        <x:v>45509</x:v>
      </x:c>
      <x:c r="D332" s="23" t="str">
        <x:v>CH</x:v>
      </x:c>
      <x:c r="E332" s="54" t="n">
        <x:v>17444.387</x:v>
      </x:c>
      <x:c r="F332" s="54" t="n">
        <x:v>17936.553</x:v>
      </x:c>
      <x:c r="G332" s="55" t="n">
        <x:v>0.02821</x:v>
      </x:c>
      <x:c r="H332" s="56" t="n">
        <x:f>SUM(T329:T331)</x:f>
        <x:v>-0.02753</x:v>
      </x:c>
      <x:c r="I332" s="57" t="b">
        <x:f>AND(A332&gt;3,H332&lt;='Assumptions'!$B$7)</x:f>
        <x:v>1</x:v>
      </x:c>
      <x:c r="J332" s="55" t="n">
        <x:v>-0.0533958318433313</x:v>
      </x:c>
      <x:c r="K332" s="55" t="n">
        <x:v>-0.09555585699217095</x:v>
      </x:c>
      <x:c r="L332" s="55" t="n">
        <x:v>-0.02567081455813658</x:v>
      </x:c>
      <x:c r="M332" s="57" t="b">
        <x:f>J332&gt;='Assumptions'!$B$8</x:f>
        <x:v>0</x:v>
      </x:c>
      <x:c r="N332" s="57" t="b">
        <x:f>AND(K332&lt;&gt;"",K332&lt;='Assumptions'!$B$9)</x:f>
        <x:v>1</x:v>
      </x:c>
      <x:c r="O332" s="57" t="b">
        <x:f>AND(P332&lt;&gt;"",ABS(L332)&lt;='Assumptions'!$B$10)</x:f>
        <x:v>0</x:v>
      </x:c>
      <x:c r="P332" s="53" t="n">
        <x:v>45510</x:v>
      </x:c>
      <x:c r="Q332" s="54" t="n">
        <x:v>17963.153</x:v>
      </x:c>
      <x:c r="R332" s="55" t="n">
        <x:v>-0.00148</x:v>
      </x:c>
      <x:c r="S332" s="57" t="str">
        <x:f>IF(I332,"DAMAGE SKIP",IF(AND(M332,N332),IF(O332,"TUESDAY RE-ENTRY","GAP/MOM SKIP"),"BASELINE"))</x:f>
        <x:v>DAMAGE SKIP</x:v>
      </x:c>
      <x:c r="T332" s="56" t="n">
        <x:f>IF(I332,0,IF(AND(M332,N332),IF(O332,R332,0),G332))</x:f>
        <x:v>0</x:v>
      </x:c>
      <x:c r="U332" s="56" t="n">
        <x:f>G332*'Assumptions'!$B$6</x:f>
        <x:v>0.31877300000000003</x:v>
      </x:c>
      <x:c r="V332" s="56" t="n">
        <x:f>T332*'Assumptions'!$B$6</x:f>
        <x:v>0</x:v>
      </x:c>
      <x:c r="W332" s="56" t="n">
        <x:f>V332-U332</x:f>
        <x:v>-0.31877300000000003</x:v>
      </x:c>
      <x:c r="X332" s="58" t="n">
        <x:f>X331*(1+U332)</x:f>
        <x:v>4372001.317272694</x:v>
      </x:c>
      <x:c r="Y332" s="58" t="n">
        <x:f>MAX(Y331,X332)</x:f>
        <x:v>8608768.224011641</x:v>
      </x:c>
      <x:c r="Z332" s="59" t="n">
        <x:f>X332/Y332-1</x:f>
        <x:v>-0.49214554236943275</x:v>
      </x:c>
      <x:c r="AA332" s="58" t="n">
        <x:f>AA331*(1+V332)</x:f>
        <x:v>15544497.293510737</x:v>
      </x:c>
      <x:c r="AB332" s="58" t="n">
        <x:f>MAX(AB331,AA332)</x:f>
        <x:v>23632036.675767537</x:v>
      </x:c>
      <x:c r="AC332" s="59" t="n">
        <x:f>AA332/AB332-1</x:f>
        <x:v>-0.34222777719999997</x:v>
      </x:c>
      <x:c r="AD332" s="60" t="n">
        <x:f>AA332-X332</x:f>
        <x:v>11172495.976238042</x:v>
      </x:c>
      <x:c r="AE332" s="28" t="str">
        <x:v>Skipped because the previous three rule outcomes totalled at or below the damage threshold.</x:v>
      </x:c>
    </x:row>
    <x:row r="333" ht="18" customHeight="1">
      <x:c r="A333" s="23" t="n">
        <x:v>329</x:v>
      </x:c>
      <x:c r="B333" s="53" t="n">
        <x:v>45516</x:v>
      </x:c>
      <x:c r="C333" s="53" t="n">
        <x:v>45517</x:v>
      </x:c>
      <x:c r="D333" s="23" t="str">
        <x:v>CH</x:v>
      </x:c>
      <x:c r="E333" s="54" t="n">
        <x:v>18541.109</x:v>
      </x:c>
      <x:c r="F333" s="54" t="n">
        <x:v>18987.898</x:v>
      </x:c>
      <x:c r="G333" s="55" t="n">
        <x:v>0.02409</x:v>
      </x:c>
      <x:c r="H333" s="56" t="n">
        <x:f>SUM(T330:T332)</x:f>
        <x:v>0</x:v>
      </x:c>
      <x:c r="I333" s="57" t="b">
        <x:f>AND(A333&gt;3,H333&lt;='Assumptions'!$B$7)</x:f>
        <x:v>0</x:v>
      </x:c>
      <x:c r="J333" s="55" t="n">
        <x:v>0.001935229680453121</x:v>
      </x:c>
      <x:c r="K333" s="55" t="n">
        <x:v>-0.08975085110140735</x:v>
      </x:c>
      <x:c r="L333" s="55" t="n">
        <x:v>0.012009741606562097</x:v>
      </x:c>
      <x:c r="M333" s="57" t="b">
        <x:f>J333&gt;='Assumptions'!$B$8</x:f>
        <x:v>0</x:v>
      </x:c>
      <x:c r="N333" s="57" t="b">
        <x:f>AND(K333&lt;&gt;"",K333&lt;='Assumptions'!$B$9)</x:f>
        <x:v>1</x:v>
      </x:c>
      <x:c r="O333" s="57" t="b">
        <x:f>AND(P333&lt;&gt;"",ABS(L333)&lt;='Assumptions'!$B$10)</x:f>
        <x:v>0</x:v>
      </x:c>
      <x:c r="P333" s="53" t="n">
        <x:v>45517</x:v>
      </x:c>
      <x:c r="Q333" s="54" t="n">
        <x:v>18725.898</x:v>
      </x:c>
      <x:c r="R333" s="55" t="n">
        <x:v>0.01399</x:v>
      </x:c>
      <x:c r="S333" s="57" t="str">
        <x:f>IF(I333,"DAMAGE SKIP",IF(AND(M333,N333),IF(O333,"TUESDAY RE-ENTRY","GAP/MOM SKIP"),"BASELINE"))</x:f>
        <x:v>BASELINE</x:v>
      </x:c>
      <x:c r="T333" s="56" t="n">
        <x:f>IF(I333,0,IF(AND(M333,N333),IF(O333,R333,0),G333))</x:f>
        <x:v>0.02409</x:v>
      </x:c>
      <x:c r="U333" s="56" t="n">
        <x:f>G333*'Assumptions'!$B$6</x:f>
        <x:v>0.27221700000000004</x:v>
      </x:c>
      <x:c r="V333" s="56" t="n">
        <x:f>T333*'Assumptions'!$B$6</x:f>
        <x:v>0.27221700000000004</x:v>
      </x:c>
      <x:c r="W333" s="56" t="n">
        <x:f>V333-U333</x:f>
        <x:v>0</x:v>
      </x:c>
      <x:c r="X333" s="58" t="n">
        <x:f>X332*(1+U333)</x:f>
        <x:v>5562134.3998567145</x:v>
      </x:c>
      <x:c r="Y333" s="58" t="n">
        <x:f>MAX(Y332,X333)</x:f>
        <x:v>8608768.224011641</x:v>
      </x:c>
      <x:c r="Z333" s="59" t="n">
        <x:f>X333/Y333-1</x:f>
        <x:v>-0.3538989254766126</x:v>
      </x:c>
      <x:c r="AA333" s="58" t="n">
        <x:f>AA332*(1+V333)</x:f>
        <x:v>19775973.71325835</x:v>
      </x:c>
      <x:c r="AB333" s="58" t="n">
        <x:f>MAX(AB332,AA333)</x:f>
        <x:v>23632036.675767537</x:v>
      </x:c>
      <x:c r="AC333" s="59" t="n">
        <x:f>AA333/AB333-1</x:f>
        <x:v>-0.16317099602605234</x:v>
      </x:c>
      <x:c r="AD333" s="60" t="n">
        <x:f>AA333-X333</x:f>
        <x:v>14213839.313401634</x:v>
      </x:c>
      <x:c r="AE333" s="28" t="str">
        <x:v>Baseline trade unchanged.</x:v>
      </x:c>
    </x:row>
    <x:row r="334" ht="18" customHeight="1">
      <x:c r="A334" s="23" t="n">
        <x:v>330</x:v>
      </x:c>
      <x:c r="B334" s="53" t="n">
        <x:v>45523</x:v>
      </x:c>
      <x:c r="C334" s="53" t="n">
        <x:v>45523</x:v>
      </x:c>
      <x:c r="D334" s="23" t="str">
        <x:v>CH</x:v>
      </x:c>
      <x:c r="E334" s="54" t="n">
        <x:v>19510.489</x:v>
      </x:c>
      <x:c r="F334" s="54" t="n">
        <x:v>19751.764</x:v>
      </x:c>
      <x:c r="G334" s="55" t="n">
        <x:v>0.01236</x:v>
      </x:c>
      <x:c r="H334" s="56" t="n">
        <x:f>SUM(T331:T333)</x:f>
        <x:v>0.02409</x:v>
      </x:c>
      <x:c r="I334" s="57" t="b">
        <x:f>AND(A334&gt;3,H334&lt;='Assumptions'!$B$7)</x:f>
        <x:v>0</x:v>
      </x:c>
      <x:c r="J334" s="55" t="n">
        <x:v>0.00007355559116306587</x:v>
      </x:c>
      <x:c r="K334" s="55" t="n">
        <x:v>-0.00043964963306153404</x:v>
      </x:c>
      <x:c r="L334" s="55" t="n">
        <x:v>0.011196965083231758</x:v>
      </x:c>
      <x:c r="M334" s="57" t="b">
        <x:f>J334&gt;='Assumptions'!$B$8</x:f>
        <x:v>0</x:v>
      </x:c>
      <x:c r="N334" s="57" t="b">
        <x:f>AND(K334&lt;&gt;"",K334&lt;='Assumptions'!$B$9)</x:f>
        <x:v>0</x:v>
      </x:c>
      <x:c r="O334" s="57" t="b">
        <x:f>AND(P334&lt;&gt;"",ABS(L334)&lt;='Assumptions'!$B$10)</x:f>
        <x:v>0</x:v>
      </x:c>
      <x:c r="P334" s="53" t="n">
        <x:v>45524</x:v>
      </x:c>
      <x:c r="Q334" s="54" t="n">
        <x:v>19726.797</x:v>
      </x:c>
      <x:c r="R334" s="55" t="n">
        <x:v>0.00126</x:v>
      </x:c>
      <x:c r="S334" s="57" t="str">
        <x:f>IF(I334,"DAMAGE SKIP",IF(AND(M334,N334),IF(O334,"TUESDAY RE-ENTRY","GAP/MOM SKIP"),"BASELINE"))</x:f>
        <x:v>BASELINE</x:v>
      </x:c>
      <x:c r="T334" s="56" t="n">
        <x:f>IF(I334,0,IF(AND(M334,N334),IF(O334,R334,0),G334))</x:f>
        <x:v>0.01236</x:v>
      </x:c>
      <x:c r="U334" s="56" t="n">
        <x:f>G334*'Assumptions'!$B$6</x:f>
        <x:v>0.13966800000000001</x:v>
      </x:c>
      <x:c r="V334" s="56" t="n">
        <x:f>T334*'Assumptions'!$B$6</x:f>
        <x:v>0.13966800000000001</x:v>
      </x:c>
      <x:c r="W334" s="56" t="n">
        <x:f>V334-U334</x:f>
        <x:v>0</x:v>
      </x:c>
      <x:c r="X334" s="58" t="n">
        <x:f>X333*(1+U334)</x:f>
        <x:v>6338986.587215901</x:v>
      </x:c>
      <x:c r="Y334" s="58" t="n">
        <x:f>MAX(Y333,X334)</x:f>
        <x:v>8608768.224011641</x:v>
      </x:c>
      <x:c r="Z334" s="59" t="n">
        <x:f>X334/Y334-1</x:f>
        <x:v>-0.26365928060008026</x:v>
      </x:c>
      <x:c r="AA334" s="58" t="n">
        <x:f>AA333*(1+V334)</x:f>
        <x:v>22538044.409841713</x:v>
      </x:c>
      <x:c r="AB334" s="58" t="n">
        <x:f>MAX(AB333,AA334)</x:f>
        <x:v>23632036.675767537</x:v>
      </x:c>
      <x:c r="AC334" s="59" t="n">
        <x:f>AA334/AB334-1</x:f>
        <x:v>-0.04629276269901916</x:v>
      </x:c>
      <x:c r="AD334" s="60" t="n">
        <x:f>AA334-X334</x:f>
        <x:v>16199057.822625812</x:v>
      </x:c>
      <x:c r="AE334" s="28" t="str">
        <x:v>Baseline trade unchanged.</x:v>
      </x:c>
    </x:row>
    <x:row r="335" ht="18" customHeight="1">
      <x:c r="A335" s="23" t="n">
        <x:v>331</x:v>
      </x:c>
      <x:c r="B335" s="53" t="n">
        <x:v>45530</x:v>
      </x:c>
      <x:c r="C335" s="53" t="n">
        <x:v>45532</x:v>
      </x:c>
      <x:c r="D335" s="23" t="str">
        <x:v>BEPRE</x:v>
      </x:c>
      <x:c r="E335" s="54" t="n">
        <x:v>19689.175</x:v>
      </x:c>
      <x:c r="F335" s="54" t="n">
        <x:v>19612.398</x:v>
      </x:c>
      <x:c r="G335" s="55" t="n">
        <x:v>-0.00389</x:v>
      </x:c>
      <x:c r="H335" s="56" t="n">
        <x:f>SUM(T332:T334)</x:f>
        <x:v>0.036449999999999996</x:v>
      </x:c>
      <x:c r="I335" s="57" t="b">
        <x:f>AND(A335&gt;3,H335&lt;='Assumptions'!$B$7)</x:f>
        <x:v>0</x:v>
      </x:c>
      <x:c r="J335" s="55" t="n">
        <x:v>-0.0009663480517266843</x:v>
      </x:c>
      <x:c r="K335" s="55" t="n">
        <x:v>0.0367875996172613</x:v>
      </x:c>
      <x:c r="L335" s="55" t="n">
        <x:v>-0.013148642653250886</x:v>
      </x:c>
      <x:c r="M335" s="57" t="b">
        <x:f>J335&gt;='Assumptions'!$B$8</x:f>
        <x:v>0</x:v>
      </x:c>
      <x:c r="N335" s="57" t="b">
        <x:f>AND(K335&lt;&gt;"",K335&lt;='Assumptions'!$B$9)</x:f>
        <x:v>0</x:v>
      </x:c>
      <x:c r="O335" s="57" t="b">
        <x:f>AND(P335&lt;&gt;"",ABS(L335)&lt;='Assumptions'!$B$10)</x:f>
        <x:v>0</x:v>
      </x:c>
      <x:c r="P335" s="53" t="n">
        <x:v>45531</x:v>
      </x:c>
      <x:c r="Q335" s="54" t="n">
        <x:v>19451.708</x:v>
      </x:c>
      <x:c r="R335" s="55" t="n">
        <x:v>0.00826</x:v>
      </x:c>
      <x:c r="S335" s="57" t="str">
        <x:f>IF(I335,"DAMAGE SKIP",IF(AND(M335,N335),IF(O335,"TUESDAY RE-ENTRY","GAP/MOM SKIP"),"BASELINE"))</x:f>
        <x:v>BASELINE</x:v>
      </x:c>
      <x:c r="T335" s="56" t="n">
        <x:f>IF(I335,0,IF(AND(M335,N335),IF(O335,R335,0),G335))</x:f>
        <x:v>-0.00389</x:v>
      </x:c>
      <x:c r="U335" s="56" t="n">
        <x:f>G335*'Assumptions'!$B$6</x:f>
        <x:v>-0.043957</x:v>
      </x:c>
      <x:c r="V335" s="56" t="n">
        <x:f>T335*'Assumptions'!$B$6</x:f>
        <x:v>-0.043957</x:v>
      </x:c>
      <x:c r="W335" s="56" t="n">
        <x:f>V335-U335</x:f>
        <x:v>0</x:v>
      </x:c>
      <x:c r="X335" s="58" t="n">
        <x:f>X334*(1+U335)</x:f>
        <x:v>6060343.753801652</x:v>
      </x:c>
      <x:c r="Y335" s="58" t="n">
        <x:f>MAX(Y334,X335)</x:f>
        <x:v>8608768.224011641</x:v>
      </x:c>
      <x:c r="Z335" s="59" t="n">
        <x:f>X335/Y335-1</x:f>
        <x:v>-0.2960266096027425</x:v>
      </x:c>
      <x:c r="AA335" s="58" t="n">
        <x:f>AA334*(1+V335)</x:f>
        <x:v>21547339.5917183</x:v>
      </x:c>
      <x:c r="AB335" s="58" t="n">
        <x:f>MAX(AB334,AA335)</x:f>
        <x:v>23632036.675767537</x:v>
      </x:c>
      <x:c r="AC335" s="59" t="n">
        <x:f>AA335/AB335-1</x:f>
        <x:v>-0.0882148717290584</x:v>
      </x:c>
      <x:c r="AD335" s="60" t="n">
        <x:f>AA335-X335</x:f>
        <x:v>15486995.83791665</x:v>
      </x:c>
      <x:c r="AE335" s="28" t="str">
        <x:v>Baseline trade unchanged.</x:v>
      </x:c>
    </x:row>
    <x:row r="336" ht="18" customHeight="1">
      <x:c r="A336" s="23" t="n">
        <x:v>332</x:v>
      </x:c>
      <x:c r="B336" s="53" t="n">
        <x:v>45538</x:v>
      </x:c>
      <x:c r="C336" s="53" t="n">
        <x:v>45540</x:v>
      </x:c>
      <x:c r="D336" s="23" t="str">
        <x:v>TSL1PRE</x:v>
      </x:c>
      <x:c r="E336" s="54" t="n">
        <x:v>19428.754</x:v>
      </x:c>
      <x:c r="F336" s="54" t="n">
        <x:v>18930.932</x:v>
      </x:c>
      <x:c r="G336" s="55" t="n">
        <x:v>-0.02562</x:v>
      </x:c>
      <x:c r="H336" s="56" t="n">
        <x:f>SUM(T333:T335)</x:f>
        <x:v>0.03256</x:v>
      </x:c>
      <x:c r="I336" s="57" t="b">
        <x:f>AND(A336&gt;3,H336&lt;='Assumptions'!$B$7)</x:f>
        <x:v>0</x:v>
      </x:c>
      <x:c r="J336" s="55" t="n">
        <x:v>-0.0060424014818950544</x:v>
      </x:c>
      <x:c r="K336" s="55" t="n">
        <x:v>0.061327459578764065</x:v>
      </x:c>
      <x:c r="L336" s="55"/>
      <x:c r="M336" s="57" t="b">
        <x:f>J336&gt;='Assumptions'!$B$8</x:f>
        <x:v>0</x:v>
      </x:c>
      <x:c r="N336" s="57" t="b">
        <x:f>AND(K336&lt;&gt;"",K336&lt;='Assumptions'!$B$9)</x:f>
        <x:v>0</x:v>
      </x:c>
      <x:c r="O336" s="57" t="b">
        <x:f>AND(P336&lt;&gt;"",ABS(L336)&lt;='Assumptions'!$B$10)</x:f>
        <x:v>0</x:v>
      </x:c>
      <x:c r="P336" s="53"/>
      <x:c r="Q336" s="54"/>
      <x:c r="R336" s="55"/>
      <x:c r="S336" s="57" t="str">
        <x:f>IF(I336,"DAMAGE SKIP",IF(AND(M336,N336),IF(O336,"TUESDAY RE-ENTRY","GAP/MOM SKIP"),"BASELINE"))</x:f>
        <x:v>BASELINE</x:v>
      </x:c>
      <x:c r="T336" s="56" t="n">
        <x:f>IF(I336,0,IF(AND(M336,N336),IF(O336,R336,0),G336))</x:f>
        <x:v>-0.02562</x:v>
      </x:c>
      <x:c r="U336" s="56" t="n">
        <x:f>G336*'Assumptions'!$B$6</x:f>
        <x:v>-0.28950600000000004</x:v>
      </x:c>
      <x:c r="V336" s="56" t="n">
        <x:f>T336*'Assumptions'!$B$6</x:f>
        <x:v>-0.28950600000000004</x:v>
      </x:c>
      <x:c r="W336" s="56" t="n">
        <x:f>V336-U336</x:f>
        <x:v>0</x:v>
      </x:c>
      <x:c r="X336" s="58" t="n">
        <x:f>X335*(1+U336)</x:f>
        <x:v>4305837.875013551</x:v>
      </x:c>
      <x:c r="Y336" s="58" t="n">
        <x:f>MAX(Y335,X336)</x:f>
        <x:v>8608768.224011641</x:v>
      </x:c>
      <x:c r="Z336" s="59" t="n">
        <x:f>X336/Y336-1</x:f>
        <x:v>-0.499831129963091</x:v>
      </x:c>
      <x:c r="AA336" s="58" t="n">
        <x:f>AA335*(1+V336)</x:f>
        <x:v>15309255.495878302</x:v>
      </x:c>
      <x:c r="AB336" s="58" t="n">
        <x:f>MAX(AB335,AA336)</x:f>
        <x:v>23632036.675767537</x:v>
      </x:c>
      <x:c r="AC336" s="59" t="n">
        <x:f>AA336/AB336-1</x:f>
        <x:v>-0.3521821370742656</x:v>
      </x:c>
      <x:c r="AD336" s="60" t="n">
        <x:f>AA336-X336</x:f>
        <x:v>11003417.62086475</x:v>
      </x:c>
      <x:c r="AE336" s="28" t="str">
        <x:v>Baseline trade unchanged.</x:v>
      </x:c>
    </x:row>
    <x:row r="337" ht="18" customHeight="1">
      <x:c r="A337" s="23" t="n">
        <x:v>333</x:v>
      </x:c>
      <x:c r="B337" s="53" t="n">
        <x:v>45544</x:v>
      </x:c>
      <x:c r="C337" s="53" t="n">
        <x:v>45548</x:v>
      </x:c>
      <x:c r="D337" s="23" t="str">
        <x:v>TO</x:v>
      </x:c>
      <x:c r="E337" s="54" t="n">
        <x:v>18599.399</x:v>
      </x:c>
      <x:c r="F337" s="54" t="n">
        <x:v>19502.687</x:v>
      </x:c>
      <x:c r="G337" s="55" t="n">
        <x:v>0.04856</x:v>
      </x:c>
      <x:c r="H337" s="56" t="n">
        <x:f>SUM(T334:T336)</x:f>
        <x:v>-0.01715</x:v>
      </x:c>
      <x:c r="I337" s="57" t="b">
        <x:f>AND(A337&gt;3,H337&lt;='Assumptions'!$B$7)</x:f>
        <x:v>0</x:v>
      </x:c>
      <x:c r="J337" s="55" t="n">
        <x:v>0.010943270987643139</x:v>
      </x:c>
      <x:c r="K337" s="55" t="n">
        <x:v>0.0013832343920943124</x:v>
      </x:c>
      <x:c r="L337" s="55" t="n">
        <x:v>0.016828865859364717</x:v>
      </x:c>
      <x:c r="M337" s="57" t="b">
        <x:f>J337&gt;='Assumptions'!$B$8</x:f>
        <x:v>1</x:v>
      </x:c>
      <x:c r="N337" s="57" t="b">
        <x:f>AND(K337&lt;&gt;"",K337&lt;='Assumptions'!$B$9)</x:f>
        <x:v>0</x:v>
      </x:c>
      <x:c r="O337" s="57" t="b">
        <x:f>AND(P337&lt;&gt;"",ABS(L337)&lt;='Assumptions'!$B$10)</x:f>
        <x:v>0</x:v>
      </x:c>
      <x:c r="P337" s="53" t="n">
        <x:v>45545</x:v>
      </x:c>
      <x:c r="Q337" s="54" t="n">
        <x:v>18729.575</x:v>
      </x:c>
      <x:c r="R337" s="55" t="n">
        <x:v>0.04127</x:v>
      </x:c>
      <x:c r="S337" s="57" t="str">
        <x:f>IF(I337,"DAMAGE SKIP",IF(AND(M337,N337),IF(O337,"TUESDAY RE-ENTRY","GAP/MOM SKIP"),"BASELINE"))</x:f>
        <x:v>BASELINE</x:v>
      </x:c>
      <x:c r="T337" s="56" t="n">
        <x:f>IF(I337,0,IF(AND(M337,N337),IF(O337,R337,0),G337))</x:f>
        <x:v>0.04856</x:v>
      </x:c>
      <x:c r="U337" s="56" t="n">
        <x:f>G337*'Assumptions'!$B$6</x:f>
        <x:v>0.548728</x:v>
      </x:c>
      <x:c r="V337" s="56" t="n">
        <x:f>T337*'Assumptions'!$B$6</x:f>
        <x:v>0.548728</x:v>
      </x:c>
      <x:c r="W337" s="56" t="n">
        <x:f>V337-U337</x:f>
        <x:v>0</x:v>
      </x:c>
      <x:c r="X337" s="58" t="n">
        <x:f>X336*(1+U337)</x:f>
        <x:v>6668571.680493987</x:v>
      </x:c>
      <x:c r="Y337" s="58" t="n">
        <x:f>MAX(Y336,X337)</x:f>
        <x:v>8608768.224011641</x:v>
      </x:c>
      <x:c r="Z337" s="59" t="n">
        <x:f>X337/Y337-1</x:f>
        <x:v>-0.22537446624547786</x:v>
      </x:c>
      <x:c r="AA337" s="58" t="n">
        <x:f>AA336*(1+V337)</x:f>
        <x:v>23709872.64562061</x:v>
      </x:c>
      <x:c r="AB337" s="58" t="n">
        <x:f>MAX(AB336,AA337)</x:f>
        <x:v>23709872.64562061</x:v>
      </x:c>
      <x:c r="AC337" s="59" t="n">
        <x:f>AA337/AB337-1</x:f>
        <x:v>0</x:v>
      </x:c>
      <x:c r="AD337" s="60" t="n">
        <x:f>AA337-X337</x:f>
        <x:v>17041300.965126622</x:v>
      </x:c>
      <x:c r="AE337" s="28" t="str">
        <x:v>Baseline trade unchanged.</x:v>
      </x:c>
    </x:row>
    <x:row r="338" ht="18" customHeight="1">
      <x:c r="A338" s="23" t="n">
        <x:v>334</x:v>
      </x:c>
      <x:c r="B338" s="53" t="n">
        <x:v>45551</x:v>
      </x:c>
      <x:c r="C338" s="53" t="n">
        <x:v>45555</x:v>
      </x:c>
      <x:c r="D338" s="23" t="str">
        <x:v>TO</x:v>
      </x:c>
      <x:c r="E338" s="54" t="n">
        <x:v>19417.999</x:v>
      </x:c>
      <x:c r="F338" s="54" t="n">
        <x:v>19800.153</x:v>
      </x:c>
      <x:c r="G338" s="55" t="n">
        <x:v>0.01968</x:v>
      </x:c>
      <x:c r="H338" s="56" t="n">
        <x:f>SUM(T335:T337)</x:f>
        <x:v>0.019049999999999997</x:v>
      </x:c>
      <x:c r="I338" s="57" t="b">
        <x:f>AND(A338&gt;3,H338&lt;='Assumptions'!$B$7)</x:f>
        <x:v>0</x:v>
      </x:c>
      <x:c r="J338" s="55" t="n">
        <x:v>-0.004342376001829962</x:v>
      </x:c>
      <x:c r="K338" s="55" t="n">
        <x:v>0.0019394945457009705</x:v>
      </x:c>
      <x:c r="L338" s="55" t="n">
        <x:v>0.001999137792579875</x:v>
      </x:c>
      <x:c r="M338" s="57" t="b">
        <x:f>J338&gt;='Assumptions'!$B$8</x:f>
        <x:v>0</x:v>
      </x:c>
      <x:c r="N338" s="57" t="b">
        <x:f>AND(K338&lt;&gt;"",K338&lt;='Assumptions'!$B$9)</x:f>
        <x:v>0</x:v>
      </x:c>
      <x:c r="O338" s="57" t="b">
        <x:f>AND(P338&lt;&gt;"",ABS(L338)&lt;='Assumptions'!$B$10)</x:f>
        <x:v>1</x:v>
      </x:c>
      <x:c r="P338" s="53" t="n">
        <x:v>45552</x:v>
      </x:c>
      <x:c r="Q338" s="54" t="n">
        <x:v>19546.242</x:v>
      </x:c>
      <x:c r="R338" s="55" t="n">
        <x:v>0.01299</x:v>
      </x:c>
      <x:c r="S338" s="57" t="str">
        <x:f>IF(I338,"DAMAGE SKIP",IF(AND(M338,N338),IF(O338,"TUESDAY RE-ENTRY","GAP/MOM SKIP"),"BASELINE"))</x:f>
        <x:v>BASELINE</x:v>
      </x:c>
      <x:c r="T338" s="56" t="n">
        <x:f>IF(I338,0,IF(AND(M338,N338),IF(O338,R338,0),G338))</x:f>
        <x:v>0.01968</x:v>
      </x:c>
      <x:c r="U338" s="56" t="n">
        <x:f>G338*'Assumptions'!$B$6</x:f>
        <x:v>0.222384</x:v>
      </x:c>
      <x:c r="V338" s="56" t="n">
        <x:f>T338*'Assumptions'!$B$6</x:f>
        <x:v>0.222384</x:v>
      </x:c>
      <x:c r="W338" s="56" t="n">
        <x:f>V338-U338</x:f>
        <x:v>0</x:v>
      </x:c>
      <x:c r="X338" s="58" t="n">
        <x:f>X337*(1+U338)</x:f>
        <x:v>8151555.325088961</x:v>
      </x:c>
      <x:c r="Y338" s="58" t="n">
        <x:f>MAX(Y337,X338)</x:f>
        <x:v>8608768.224011641</x:v>
      </x:c>
      <x:c r="Z338" s="59" t="n">
        <x:f>X338/Y338-1</x:f>
        <x:v>-0.053110141547012324</x:v>
      </x:c>
      <x:c r="AA338" s="58" t="n">
        <x:f>AA337*(1+V338)</x:f>
        <x:v>28982568.964044303</x:v>
      </x:c>
      <x:c r="AB338" s="58" t="n">
        <x:f>MAX(AB337,AA338)</x:f>
        <x:v>28982568.964044303</x:v>
      </x:c>
      <x:c r="AC338" s="59" t="n">
        <x:f>AA338/AB338-1</x:f>
        <x:v>0</x:v>
      </x:c>
      <x:c r="AD338" s="60" t="n">
        <x:f>AA338-X338</x:f>
        <x:v>20831013.63895534</x:v>
      </x:c>
      <x:c r="AE338" s="28" t="str">
        <x:v>Baseline trade unchanged.</x:v>
      </x:c>
    </x:row>
    <x:row r="339" ht="18" customHeight="1">
      <x:c r="A339" s="23" t="n">
        <x:v>335</x:v>
      </x:c>
      <x:c r="B339" s="53" t="n">
        <x:v>45558</x:v>
      </x:c>
      <x:c r="C339" s="53" t="n">
        <x:v>45562</x:v>
      </x:c>
      <x:c r="D339" s="23" t="str">
        <x:v>TO</x:v>
      </x:c>
      <x:c r="E339" s="54" t="n">
        <x:v>19843.765</x:v>
      </x:c>
      <x:c r="F339" s="54" t="n">
        <x:v>19997.654</x:v>
      </x:c>
      <x:c r="G339" s="55" t="n">
        <x:v>0.00775</x:v>
      </x:c>
      <x:c r="H339" s="56" t="n">
        <x:f>SUM(T336:T338)</x:f>
        <x:v>0.04262</x:v>
      </x:c>
      <x:c r="I339" s="57" t="b">
        <x:f>AND(A339&gt;3,H339&lt;='Assumptions'!$B$7)</x:f>
        <x:v>0</x:v>
      </x:c>
      <x:c r="J339" s="55" t="n">
        <x:v>0.002202609242464071</x:v>
      </x:c>
      <x:c r="K339" s="55" t="n">
        <x:v>0.01598422731618987</x:v>
      </x:c>
      <x:c r="L339" s="55" t="n">
        <x:v>0.005596828463870551</x:v>
      </x:c>
      <x:c r="M339" s="57" t="b">
        <x:f>J339&gt;='Assumptions'!$B$8</x:f>
        <x:v>0</x:v>
      </x:c>
      <x:c r="N339" s="57" t="b">
        <x:f>AND(K339&lt;&gt;"",K339&lt;='Assumptions'!$B$9)</x:f>
        <x:v>0</x:v>
      </x:c>
      <x:c r="O339" s="57" t="b">
        <x:f>AND(P339&lt;&gt;"",ABS(L339)&lt;='Assumptions'!$B$10)</x:f>
        <x:v>0</x:v>
      </x:c>
      <x:c r="P339" s="53" t="n">
        <x:v>45559</x:v>
      </x:c>
      <x:c r="Q339" s="54" t="n">
        <x:v>19909.099</x:v>
      </x:c>
      <x:c r="R339" s="55" t="n">
        <x:v>0.00444</x:v>
      </x:c>
      <x:c r="S339" s="57" t="str">
        <x:f>IF(I339,"DAMAGE SKIP",IF(AND(M339,N339),IF(O339,"TUESDAY RE-ENTRY","GAP/MOM SKIP"),"BASELINE"))</x:f>
        <x:v>BASELINE</x:v>
      </x:c>
      <x:c r="T339" s="56" t="n">
        <x:f>IF(I339,0,IF(AND(M339,N339),IF(O339,R339,0),G339))</x:f>
        <x:v>0.00775</x:v>
      </x:c>
      <x:c r="U339" s="56" t="n">
        <x:f>G339*'Assumptions'!$B$6</x:f>
        <x:v>0.087575</x:v>
      </x:c>
      <x:c r="V339" s="56" t="n">
        <x:f>T339*'Assumptions'!$B$6</x:f>
        <x:v>0.087575</x:v>
      </x:c>
      <x:c r="W339" s="56" t="n">
        <x:f>V339-U339</x:f>
        <x:v>0</x:v>
      </x:c>
      <x:c r="X339" s="58" t="n">
        <x:f>X338*(1+U339)</x:f>
        <x:v>8865427.782683626</x:v>
      </x:c>
      <x:c r="Y339" s="58" t="n">
        <x:f>MAX(Y338,X339)</x:f>
        <x:v>8865427.782683626</x:v>
      </x:c>
      <x:c r="Z339" s="59" t="n">
        <x:f>X339/Y339-1</x:f>
        <x:v>0</x:v>
      </x:c>
      <x:c r="AA339" s="58" t="n">
        <x:f>AA338*(1+V339)</x:f>
        <x:v>31520717.441070482</x:v>
      </x:c>
      <x:c r="AB339" s="58" t="n">
        <x:f>MAX(AB338,AA339)</x:f>
        <x:v>31520717.441070482</x:v>
      </x:c>
      <x:c r="AC339" s="59" t="n">
        <x:f>AA339/AB339-1</x:f>
        <x:v>0</x:v>
      </x:c>
      <x:c r="AD339" s="60" t="n">
        <x:f>AA339-X339</x:f>
        <x:v>22655289.658386856</x:v>
      </x:c>
      <x:c r="AE339" s="28" t="str">
        <x:v>Baseline trade unchanged.</x:v>
      </x:c>
    </x:row>
    <x:row r="340" ht="18" customHeight="1">
      <x:c r="A340" s="23" t="n">
        <x:v>336</x:v>
      </x:c>
      <x:c r="B340" s="53" t="n">
        <x:v>45565</x:v>
      </x:c>
      <x:c r="C340" s="53" t="n">
        <x:v>45567</x:v>
      </x:c>
      <x:c r="D340" s="23" t="str">
        <x:v>BH</x:v>
      </x:c>
      <x:c r="E340" s="54" t="n">
        <x:v>19961.076</x:v>
      </x:c>
      <x:c r="F340" s="54" t="n">
        <x:v>19881.231696000003</x:v>
      </x:c>
      <x:c r="G340" s="55" t="n">
        <x:v>-0.00399</x:v>
      </x:c>
      <x:c r="H340" s="56" t="n">
        <x:f>SUM(T337:T339)</x:f>
        <x:v>0.07599</x:v>
      </x:c>
      <x:c r="I340" s="57" t="b">
        <x:f>AND(A340&gt;3,H340&lt;='Assumptions'!$B$7)</x:f>
        <x:v>0</x:v>
      </x:c>
      <x:c r="J340" s="55" t="n">
        <x:v>-0.0018291145551372345</x:v>
      </x:c>
      <x:c r="K340" s="55" t="n">
        <x:v>0.03563790961826596</x:v>
      </x:c>
      <x:c r="L340" s="55" t="n">
        <x:v>0.001949534667095243</x:v>
      </x:c>
      <x:c r="M340" s="57" t="b">
        <x:f>J340&gt;='Assumptions'!$B$8</x:f>
        <x:v>0</x:v>
      </x:c>
      <x:c r="N340" s="57" t="b">
        <x:f>AND(K340&lt;&gt;"",K340&lt;='Assumptions'!$B$9)</x:f>
        <x:v>0</x:v>
      </x:c>
      <x:c r="O340" s="57" t="b">
        <x:f>AND(P340&lt;&gt;"",ABS(L340)&lt;='Assumptions'!$B$10)</x:f>
        <x:v>1</x:v>
      </x:c>
      <x:c r="P340" s="53" t="n">
        <x:v>45566</x:v>
      </x:c>
      <x:c r="Q340" s="54" t="n">
        <x:v>20040.199</x:v>
      </x:c>
      <x:c r="R340" s="55" t="n">
        <x:v>-0.00793</x:v>
      </x:c>
      <x:c r="S340" s="57" t="str">
        <x:f>IF(I340,"DAMAGE SKIP",IF(AND(M340,N340),IF(O340,"TUESDAY RE-ENTRY","GAP/MOM SKIP"),"BASELINE"))</x:f>
        <x:v>BASELINE</x:v>
      </x:c>
      <x:c r="T340" s="56" t="n">
        <x:f>IF(I340,0,IF(AND(M340,N340),IF(O340,R340,0),G340))</x:f>
        <x:v>-0.00399</x:v>
      </x:c>
      <x:c r="U340" s="56" t="n">
        <x:f>G340*'Assumptions'!$B$6</x:f>
        <x:v>-0.045086999999999995</x:v>
      </x:c>
      <x:c r="V340" s="56" t="n">
        <x:f>T340*'Assumptions'!$B$6</x:f>
        <x:v>-0.045086999999999995</x:v>
      </x:c>
      <x:c r="W340" s="56" t="n">
        <x:f>V340-U340</x:f>
        <x:v>0</x:v>
      </x:c>
      <x:c r="X340" s="58" t="n">
        <x:f>X339*(1+U340)</x:f>
        <x:v>8465712.240245769</x:v>
      </x:c>
      <x:c r="Y340" s="58" t="n">
        <x:f>MAX(Y339,X340)</x:f>
        <x:v>8865427.782683626</x:v>
      </x:c>
      <x:c r="Z340" s="59" t="n">
        <x:f>X340/Y340-1</x:f>
        <x:v>-0.04508699999999999</x:v>
      </x:c>
      <x:c r="AA340" s="58" t="n">
        <x:f>AA339*(1+V340)</x:f>
        <x:v>30099542.85380494</x:v>
      </x:c>
      <x:c r="AB340" s="58" t="n">
        <x:f>MAX(AB339,AA340)</x:f>
        <x:v>31520717.441070482</x:v>
      </x:c>
      <x:c r="AC340" s="59" t="n">
        <x:f>AA340/AB340-1</x:f>
        <x:v>-0.04508699999999999</x:v>
      </x:c>
      <x:c r="AD340" s="60" t="n">
        <x:f>AA340-X340</x:f>
        <x:v>21633830.61355917</x:v>
      </x:c>
      <x:c r="AE340" s="28" t="str">
        <x:v>Baseline trade unchanged.</x:v>
      </x:c>
    </x:row>
    <x:row r="341" ht="18" customHeight="1">
      <x:c r="A341" s="23" t="n">
        <x:v>337</x:v>
      </x:c>
      <x:c r="B341" s="53" t="n">
        <x:v>45572</x:v>
      </x:c>
      <x:c r="C341" s="53" t="n">
        <x:v>45576</x:v>
      </x:c>
      <x:c r="D341" s="23" t="str">
        <x:v>TO</x:v>
      </x:c>
      <x:c r="E341" s="54" t="n">
        <x:v>19939.91</x:v>
      </x:c>
      <x:c r="F341" s="54" t="n">
        <x:v>20270.189</x:v>
      </x:c>
      <x:c r="G341" s="55" t="n">
        <x:v>0.01656</x:v>
      </x:c>
      <x:c r="H341" s="56" t="n">
        <x:f>SUM(T338:T340)</x:f>
        <x:v>0.02344</x:v>
      </x:c>
      <x:c r="I341" s="57" t="b">
        <x:f>AND(A341&gt;3,H341&lt;='Assumptions'!$B$7)</x:f>
        <x:v>0</x:v>
      </x:c>
      <x:c r="J341" s="55" t="n">
        <x:v>-0.004276685892269705</x:v>
      </x:c>
      <x:c r="K341" s="55" t="n">
        <x:v>0.08762338444454887</x:v>
      </x:c>
      <x:c r="L341" s="55" t="n">
        <x:v>-0.0054589017974030485</x:v>
      </x:c>
      <x:c r="M341" s="57" t="b">
        <x:f>J341&gt;='Assumptions'!$B$8</x:f>
        <x:v>0</x:v>
      </x:c>
      <x:c r="N341" s="57" t="b">
        <x:f>AND(K341&lt;&gt;"",K341&lt;='Assumptions'!$B$9)</x:f>
        <x:v>0</x:v>
      </x:c>
      <x:c r="O341" s="57" t="b">
        <x:f>AND(P341&lt;&gt;"",ABS(L341)&lt;='Assumptions'!$B$10)</x:f>
        <x:v>0</x:v>
      </x:c>
      <x:c r="P341" s="53" t="n">
        <x:v>45573</x:v>
      </x:c>
      <x:c r="Q341" s="54" t="n">
        <x:v>19911.953</x:v>
      </x:c>
      <x:c r="R341" s="55" t="n">
        <x:v>0.01799</x:v>
      </x:c>
      <x:c r="S341" s="57" t="str">
        <x:f>IF(I341,"DAMAGE SKIP",IF(AND(M341,N341),IF(O341,"TUESDAY RE-ENTRY","GAP/MOM SKIP"),"BASELINE"))</x:f>
        <x:v>BASELINE</x:v>
      </x:c>
      <x:c r="T341" s="56" t="n">
        <x:f>IF(I341,0,IF(AND(M341,N341),IF(O341,R341,0),G341))</x:f>
        <x:v>0.01656</x:v>
      </x:c>
      <x:c r="U341" s="56" t="n">
        <x:f>G341*'Assumptions'!$B$6</x:f>
        <x:v>0.187128</x:v>
      </x:c>
      <x:c r="V341" s="56" t="n">
        <x:f>T341*'Assumptions'!$B$6</x:f>
        <x:v>0.187128</x:v>
      </x:c>
      <x:c r="W341" s="56" t="n">
        <x:f>V341-U341</x:f>
        <x:v>0</x:v>
      </x:c>
      <x:c r="X341" s="58" t="n">
        <x:f>X340*(1+U341)</x:f>
        <x:v>10049884.040338479</x:v>
      </x:c>
      <x:c r="Y341" s="58" t="n">
        <x:f>MAX(Y340,X341)</x:f>
        <x:v>10049884.040338479</x:v>
      </x:c>
      <x:c r="Z341" s="59" t="n">
        <x:f>X341/Y341-1</x:f>
        <x:v>0</x:v>
      </x:c>
      <x:c r="AA341" s="58" t="n">
        <x:f>AA340*(1+V341)</x:f>
        <x:v>35732010.10895175</x:v>
      </x:c>
      <x:c r="AB341" s="58" t="n">
        <x:f>MAX(AB340,AA341)</x:f>
        <x:v>35732010.10895175</x:v>
      </x:c>
      <x:c r="AC341" s="59" t="n">
        <x:f>AA341/AB341-1</x:f>
        <x:v>0</x:v>
      </x:c>
      <x:c r="AD341" s="60" t="n">
        <x:f>AA341-X341</x:f>
        <x:v>25682126.06861327</x:v>
      </x:c>
      <x:c r="AE341" s="28" t="str">
        <x:v>Baseline trade unchanged.</x:v>
      </x:c>
    </x:row>
    <x:row r="342" ht="18" customHeight="1">
      <x:c r="A342" s="23" t="n">
        <x:v>338</x:v>
      </x:c>
      <x:c r="B342" s="53" t="n">
        <x:v>45579</x:v>
      </x:c>
      <x:c r="C342" s="53" t="n">
        <x:v>45582</x:v>
      </x:c>
      <x:c r="D342" s="23" t="str">
        <x:v>TSL1PRE</x:v>
      </x:c>
      <x:c r="E342" s="54" t="n">
        <x:v>20373.408</x:v>
      </x:c>
      <x:c r="F342" s="54" t="n">
        <x:v>20153.108</x:v>
      </x:c>
      <x:c r="G342" s="55" t="n">
        <x:v>-0.01081</x:v>
      </x:c>
      <x:c r="H342" s="56" t="n">
        <x:f>SUM(T339:T341)</x:f>
        <x:v>0.020319999999999998</x:v>
      </x:c>
      <x:c r="I342" s="57" t="b">
        <x:f>AND(A342&gt;3,H342&lt;='Assumptions'!$B$7)</x:f>
        <x:v>0</x:v>
      </x:c>
      <x:c r="J342" s="55" t="n">
        <x:v>0.005092157749491122</x:v>
      </x:c>
      <x:c r="K342" s="55" t="n">
        <x:v>0.03936779908876509</x:v>
      </x:c>
      <x:c r="L342" s="55" t="n">
        <x:v>0.009059985808191007</x:v>
      </x:c>
      <x:c r="M342" s="57" t="b">
        <x:f>J342&gt;='Assumptions'!$B$8</x:f>
        <x:v>0</x:v>
      </x:c>
      <x:c r="N342" s="57" t="b">
        <x:f>AND(K342&lt;&gt;"",K342&lt;='Assumptions'!$B$9)</x:f>
        <x:v>0</x:v>
      </x:c>
      <x:c r="O342" s="57" t="b">
        <x:f>AND(P342&lt;&gt;"",ABS(L342)&lt;='Assumptions'!$B$10)</x:f>
        <x:v>0</x:v>
      </x:c>
      <x:c r="P342" s="53" t="n">
        <x:v>45580</x:v>
      </x:c>
      <x:c r="Q342" s="54" t="n">
        <x:v>20454.765</x:v>
      </x:c>
      <x:c r="R342" s="55" t="n">
        <x:v>-0.01474</x:v>
      </x:c>
      <x:c r="S342" s="57" t="str">
        <x:f>IF(I342,"DAMAGE SKIP",IF(AND(M342,N342),IF(O342,"TUESDAY RE-ENTRY","GAP/MOM SKIP"),"BASELINE"))</x:f>
        <x:v>BASELINE</x:v>
      </x:c>
      <x:c r="T342" s="56" t="n">
        <x:f>IF(I342,0,IF(AND(M342,N342),IF(O342,R342,0),G342))</x:f>
        <x:v>-0.01081</x:v>
      </x:c>
      <x:c r="U342" s="56" t="n">
        <x:f>G342*'Assumptions'!$B$6</x:f>
        <x:v>-0.12215300000000001</x:v>
      </x:c>
      <x:c r="V342" s="56" t="n">
        <x:f>T342*'Assumptions'!$B$6</x:f>
        <x:v>-0.12215300000000001</x:v>
      </x:c>
      <x:c r="W342" s="56" t="n">
        <x:f>V342-U342</x:f>
        <x:v>0</x:v>
      </x:c>
      <x:c r="X342" s="58" t="n">
        <x:f>X341*(1+U342)</x:f>
        <x:v>8822260.555159014</x:v>
      </x:c>
      <x:c r="Y342" s="58" t="n">
        <x:f>MAX(Y341,X342)</x:f>
        <x:v>10049884.040338479</x:v>
      </x:c>
      <x:c r="Z342" s="59" t="n">
        <x:f>X342/Y342-1</x:f>
        <x:v>-0.12215299999999996</x:v>
      </x:c>
      <x:c r="AA342" s="58" t="n">
        <x:f>AA341*(1+V342)</x:f>
        <x:v>31367237.878112964</x:v>
      </x:c>
      <x:c r="AB342" s="58" t="n">
        <x:f>MAX(AB341,AA342)</x:f>
        <x:v>35732010.10895175</x:v>
      </x:c>
      <x:c r="AC342" s="59" t="n">
        <x:f>AA342/AB342-1</x:f>
        <x:v>-0.12215299999999996</x:v>
      </x:c>
      <x:c r="AD342" s="60" t="n">
        <x:f>AA342-X342</x:f>
        <x:v>22544977.32295395</x:v>
      </x:c>
      <x:c r="AE342" s="28" t="str">
        <x:v>Baseline trade unchanged.</x:v>
      </x:c>
    </x:row>
    <x:row r="343" ht="18" customHeight="1">
      <x:c r="A343" s="23" t="n">
        <x:v>339</x:v>
      </x:c>
      <x:c r="B343" s="53" t="n">
        <x:v>45586</x:v>
      </x:c>
      <x:c r="C343" s="53" t="n">
        <x:v>45589</x:v>
      </x:c>
      <x:c r="D343" s="23" t="str">
        <x:v>TSL1PRE</x:v>
      </x:c>
      <x:c r="E343" s="54" t="n">
        <x:v>20266.864</x:v>
      </x:c>
      <x:c r="F343" s="54" t="n">
        <x:v>20140.621</x:v>
      </x:c>
      <x:c r="G343" s="55" t="n">
        <x:v>-0.00622</x:v>
      </x:c>
      <x:c r="H343" s="56" t="n">
        <x:f>SUM(T340:T342)</x:f>
        <x:v>0.0017599999999999977</x:v>
      </x:c>
      <x:c r="I343" s="57" t="b">
        <x:f>AND(A343&gt;3,H343&lt;='Assumptions'!$B$7)</x:f>
        <x:v>0</x:v>
      </x:c>
      <x:c r="J343" s="55" t="n">
        <x:v>-0.0026781276205586346</x:v>
      </x:c>
      <x:c r="K343" s="55" t="n">
        <x:v>0.026374637705300463</x:v>
      </x:c>
      <x:c r="L343" s="55" t="n">
        <x:v>-0.003517676629359867</x:v>
      </x:c>
      <x:c r="M343" s="57" t="b">
        <x:f>J343&gt;='Assumptions'!$B$8</x:f>
        <x:v>0</x:v>
      </x:c>
      <x:c r="N343" s="57" t="b">
        <x:f>AND(K343&lt;&gt;"",K343&lt;='Assumptions'!$B$9)</x:f>
        <x:v>0</x:v>
      </x:c>
      <x:c r="O343" s="57" t="b">
        <x:f>AND(P343&lt;&gt;"",ABS(L343)&lt;='Assumptions'!$B$10)</x:f>
        <x:v>1</x:v>
      </x:c>
      <x:c r="P343" s="53" t="n">
        <x:v>45587</x:v>
      </x:c>
      <x:c r="Q343" s="54" t="n">
        <x:v>20242.92</x:v>
      </x:c>
      <x:c r="R343" s="55" t="n">
        <x:v>-0.00505</x:v>
      </x:c>
      <x:c r="S343" s="57" t="str">
        <x:f>IF(I343,"DAMAGE SKIP",IF(AND(M343,N343),IF(O343,"TUESDAY RE-ENTRY","GAP/MOM SKIP"),"BASELINE"))</x:f>
        <x:v>BASELINE</x:v>
      </x:c>
      <x:c r="T343" s="56" t="n">
        <x:f>IF(I343,0,IF(AND(M343,N343),IF(O343,R343,0),G343))</x:f>
        <x:v>-0.00622</x:v>
      </x:c>
      <x:c r="U343" s="56" t="n">
        <x:f>G343*'Assumptions'!$B$6</x:f>
        <x:v>-0.070286</x:v>
      </x:c>
      <x:c r="V343" s="56" t="n">
        <x:f>T343*'Assumptions'!$B$6</x:f>
        <x:v>-0.070286</x:v>
      </x:c>
      <x:c r="W343" s="56" t="n">
        <x:f>V343-U343</x:f>
        <x:v>0</x:v>
      </x:c>
      <x:c r="X343" s="58" t="n">
        <x:f>X342*(1+U343)</x:f>
        <x:v>8202179.149779107</x:v>
      </x:c>
      <x:c r="Y343" s="58" t="n">
        <x:f>MAX(Y342,X343)</x:f>
        <x:v>10049884.040338479</x:v>
      </x:c>
      <x:c r="Z343" s="59" t="n">
        <x:f>X343/Y343-1</x:f>
        <x:v>-0.1838533542419999</x:v>
      </x:c>
      <x:c r="AA343" s="58" t="n">
        <x:f>AA342*(1+V343)</x:f>
        <x:v>29162560.19661192</x:v>
      </x:c>
      <x:c r="AB343" s="58" t="n">
        <x:f>MAX(AB342,AA343)</x:f>
        <x:v>35732010.10895175</x:v>
      </x:c>
      <x:c r="AC343" s="59" t="n">
        <x:f>AA343/AB343-1</x:f>
        <x:v>-0.183853354242</x:v>
      </x:c>
      <x:c r="AD343" s="60" t="n">
        <x:f>AA343-X343</x:f>
        <x:v>20960381.04683281</x:v>
      </x:c>
      <x:c r="AE343" s="28" t="str">
        <x:v>Baseline trade unchanged.</x:v>
      </x:c>
    </x:row>
    <x:row r="344" ht="18" customHeight="1">
      <x:c r="A344" s="23" t="n">
        <x:v>340</x:v>
      </x:c>
      <x:c r="B344" s="53" t="n">
        <x:v>45593</x:v>
      </x:c>
      <x:c r="C344" s="53" t="n">
        <x:v>45596</x:v>
      </x:c>
      <x:c r="D344" s="23" t="str">
        <x:v>TSL1PRE</x:v>
      </x:c>
      <x:c r="E344" s="54" t="n">
        <x:v>20481.02</x:v>
      </x:c>
      <x:c r="F344" s="54" t="n">
        <x:v>20311.954</x:v>
      </x:c>
      <x:c r="G344" s="55" t="n">
        <x:v>-0.00825</x:v>
      </x:c>
      <x:c r="H344" s="56" t="n">
        <x:f>SUM(T341:T343)</x:f>
        <x:v>-0.00047000000000000167</x:v>
      </x:c>
      <x:c r="I344" s="57" t="b">
        <x:f>AND(A344&gt;3,H344&lt;='Assumptions'!$B$7)</x:f>
        <x:v>0</x:v>
      </x:c>
      <x:c r="J344" s="55" t="n">
        <x:v>0.006383485047424253</x:v>
      </x:c>
      <x:c r="K344" s="55" t="n">
        <x:v>0.017605575751580504</x:v>
      </x:c>
      <x:c r="L344" s="55" t="n">
        <x:v>0.000806015549214667</x:v>
      </x:c>
      <x:c r="M344" s="57" t="b">
        <x:f>J344&gt;='Assumptions'!$B$8</x:f>
        <x:v>0</x:v>
      </x:c>
      <x:c r="N344" s="57" t="b">
        <x:f>AND(K344&lt;&gt;"",K344&lt;='Assumptions'!$B$9)</x:f>
        <x:v>0</x:v>
      </x:c>
      <x:c r="O344" s="57" t="b">
        <x:f>AND(P344&lt;&gt;"",ABS(L344)&lt;='Assumptions'!$B$10)</x:f>
        <x:v>1</x:v>
      </x:c>
      <x:c r="P344" s="53" t="n">
        <x:v>45594</x:v>
      </x:c>
      <x:c r="Q344" s="54" t="n">
        <x:v>20369.189</x:v>
      </x:c>
      <x:c r="R344" s="55" t="n">
        <x:v>-0.0028</x:v>
      </x:c>
      <x:c r="S344" s="57" t="str">
        <x:f>IF(I344,"DAMAGE SKIP",IF(AND(M344,N344),IF(O344,"TUESDAY RE-ENTRY","GAP/MOM SKIP"),"BASELINE"))</x:f>
        <x:v>BASELINE</x:v>
      </x:c>
      <x:c r="T344" s="56" t="n">
        <x:f>IF(I344,0,IF(AND(M344,N344),IF(O344,R344,0),G344))</x:f>
        <x:v>-0.00825</x:v>
      </x:c>
      <x:c r="U344" s="56" t="n">
        <x:f>G344*'Assumptions'!$B$6</x:f>
        <x:v>-0.09322500000000002</x:v>
      </x:c>
      <x:c r="V344" s="56" t="n">
        <x:f>T344*'Assumptions'!$B$6</x:f>
        <x:v>-0.09322500000000002</x:v>
      </x:c>
      <x:c r="W344" s="56" t="n">
        <x:f>V344-U344</x:f>
        <x:v>0</x:v>
      </x:c>
      <x:c r="X344" s="58" t="n">
        <x:f>X343*(1+U344)</x:f>
        <x:v>7437530.99854095</x:v>
      </x:c>
      <x:c r="Y344" s="58" t="n">
        <x:f>MAX(Y343,X344)</x:f>
        <x:v>10049884.040338479</x:v>
      </x:c>
      <x:c r="Z344" s="59" t="n">
        <x:f>X344/Y344-1</x:f>
        <x:v>-0.25993862529278944</x:v>
      </x:c>
      <x:c r="AA344" s="58" t="n">
        <x:f>AA343*(1+V344)</x:f>
        <x:v>26443880.52228277</x:v>
      </x:c>
      <x:c r="AB344" s="58" t="n">
        <x:f>MAX(AB343,AA344)</x:f>
        <x:v>35732010.10895175</x:v>
      </x:c>
      <x:c r="AC344" s="59" t="n">
        <x:f>AA344/AB344-1</x:f>
        <x:v>-0.25993862529278955</x:v>
      </x:c>
      <x:c r="AD344" s="60" t="n">
        <x:f>AA344-X344</x:f>
        <x:v>19006349.523741823</x:v>
      </x:c>
      <x:c r="AE344" s="28" t="str">
        <x:v>Baseline trade unchanged.</x:v>
      </x:c>
    </x:row>
    <x:row r="345" ht="18" customHeight="1">
      <x:c r="A345" s="23" t="n">
        <x:v>341</x:v>
      </x:c>
      <x:c r="B345" s="53" t="n">
        <x:v>45600</x:v>
      </x:c>
      <x:c r="C345" s="53" t="n">
        <x:v>45603</x:v>
      </x:c>
      <x:c r="D345" s="23" t="str">
        <x:v>CH</x:v>
      </x:c>
      <x:c r="E345" s="54" t="n">
        <x:v>20001.208</x:v>
      </x:c>
      <x:c r="F345" s="54" t="n">
        <x:v>21101.876</x:v>
      </x:c>
      <x:c r="G345" s="55" t="n">
        <x:v>0.05503</x:v>
      </x:c>
      <x:c r="H345" s="56" t="n">
        <x:f>SUM(T342:T344)</x:f>
        <x:v>-0.02528</x:v>
      </x:c>
      <x:c r="I345" s="57" t="b">
        <x:f>AND(A345&gt;3,H345&lt;='Assumptions'!$B$7)</x:f>
        <x:v>1</x:v>
      </x:c>
      <x:c r="J345" s="55" t="n">
        <x:v>-0.0020496163935783684</x:v>
      </x:c>
      <x:c r="K345" s="55" t="n">
        <x:v>0.0002264250368455567</x:v>
      </x:c>
      <x:c r="L345" s="55" t="n">
        <x:v>0.00036631393515840216</x:v>
      </x:c>
      <x:c r="M345" s="57" t="b">
        <x:f>J345&gt;='Assumptions'!$B$8</x:f>
        <x:v>0</x:v>
      </x:c>
      <x:c r="N345" s="57" t="b">
        <x:f>AND(K345&lt;&gt;"",K345&lt;='Assumptions'!$B$9)</x:f>
        <x:v>0</x:v>
      </x:c>
      <x:c r="O345" s="57" t="b">
        <x:f>AND(P345&lt;&gt;"",ABS(L345)&lt;='Assumptions'!$B$10)</x:f>
        <x:v>1</x:v>
      </x:c>
      <x:c r="P345" s="53" t="n">
        <x:v>45601</x:v>
      </x:c>
      <x:c r="Q345" s="54" t="n">
        <x:v>20034.842</x:v>
      </x:c>
      <x:c r="R345" s="55" t="n">
        <x:v>0.05325</x:v>
      </x:c>
      <x:c r="S345" s="57" t="str">
        <x:f>IF(I345,"DAMAGE SKIP",IF(AND(M345,N345),IF(O345,"TUESDAY RE-ENTRY","GAP/MOM SKIP"),"BASELINE"))</x:f>
        <x:v>DAMAGE SKIP</x:v>
      </x:c>
      <x:c r="T345" s="56" t="n">
        <x:f>IF(I345,0,IF(AND(M345,N345),IF(O345,R345,0),G345))</x:f>
        <x:v>0</x:v>
      </x:c>
      <x:c r="U345" s="56" t="n">
        <x:f>G345*'Assumptions'!$B$6</x:f>
        <x:v>0.621839</x:v>
      </x:c>
      <x:c r="V345" s="56" t="n">
        <x:f>T345*'Assumptions'!$B$6</x:f>
        <x:v>0</x:v>
      </x:c>
      <x:c r="W345" s="56" t="n">
        <x:f>V345-U345</x:f>
        <x:v>-0.621839</x:v>
      </x:c>
      <x:c r="X345" s="58" t="n">
        <x:f>X344*(1+U345)</x:f>
        <x:v>12062477.837142656</x:v>
      </x:c>
      <x:c r="Y345" s="58" t="n">
        <x:f>MAX(Y344,X345)</x:f>
        <x:v>12062477.837142656</x:v>
      </x:c>
      <x:c r="Z345" s="59" t="n">
        <x:f>X345/Y345-1</x:f>
        <x:v>0</x:v>
      </x:c>
      <x:c r="AA345" s="58" t="n">
        <x:f>AA344*(1+V345)</x:f>
        <x:v>26443880.52228277</x:v>
      </x:c>
      <x:c r="AB345" s="58" t="n">
        <x:f>MAX(AB344,AA345)</x:f>
        <x:v>35732010.10895175</x:v>
      </x:c>
      <x:c r="AC345" s="59" t="n">
        <x:f>AA345/AB345-1</x:f>
        <x:v>-0.25993862529278955</x:v>
      </x:c>
      <x:c r="AD345" s="60" t="n">
        <x:f>AA345-X345</x:f>
        <x:v>14381402.685140116</x:v>
      </x:c>
      <x:c r="AE345" s="28" t="str">
        <x:v>Skipped because the previous three rule outcomes totalled at or below the damage threshold.</x:v>
      </x:c>
    </x:row>
    <x:row r="346" ht="18" customHeight="1">
      <x:c r="A346" s="23" t="n">
        <x:v>342</x:v>
      </x:c>
      <x:c r="B346" s="53" t="n">
        <x:v>45607</x:v>
      </x:c>
      <x:c r="C346" s="53" t="n">
        <x:v>45609</x:v>
      </x:c>
      <x:c r="D346" s="23" t="str">
        <x:v>BEPRE</x:v>
      </x:c>
      <x:c r="E346" s="54" t="n">
        <x:v>21173.708</x:v>
      </x:c>
      <x:c r="F346" s="54" t="n">
        <x:v>21094.389</x:v>
      </x:c>
      <x:c r="G346" s="55" t="n">
        <x:v>-0.00374</x:v>
      </x:c>
      <x:c r="H346" s="56" t="n">
        <x:f>SUM(T343:T345)</x:f>
        <x:v>-0.01447</x:v>
      </x:c>
      <x:c r="I346" s="57" t="b">
        <x:f>AND(A346&gt;3,H346&lt;='Assumptions'!$B$7)</x:f>
        <x:v>0</x:v>
      </x:c>
      <x:c r="J346" s="55" t="n">
        <x:v>0.002102390019236733</x:v>
      </x:c>
      <x:c r="K346" s="55" t="n">
        <x:v>0.0421199878820655</x:v>
      </x:c>
      <x:c r="L346" s="55" t="n">
        <x:v>-0.0007199311675567532</x:v>
      </x:c>
      <x:c r="M346" s="57" t="b">
        <x:f>J346&gt;='Assumptions'!$B$8</x:f>
        <x:v>0</x:v>
      </x:c>
      <x:c r="N346" s="57" t="b">
        <x:f>AND(K346&lt;&gt;"",K346&lt;='Assumptions'!$B$9)</x:f>
        <x:v>0</x:v>
      </x:c>
      <x:c r="O346" s="57" t="b">
        <x:f>AND(P346&lt;&gt;"",ABS(L346)&lt;='Assumptions'!$B$10)</x:f>
        <x:v>1</x:v>
      </x:c>
      <x:c r="P346" s="53" t="n">
        <x:v>45608</x:v>
      </x:c>
      <x:c r="Q346" s="54" t="n">
        <x:v>21105.654</x:v>
      </x:c>
      <x:c r="R346" s="55" t="n">
        <x:v>-0.00053</x:v>
      </x:c>
      <x:c r="S346" s="57" t="str">
        <x:f>IF(I346,"DAMAGE SKIP",IF(AND(M346,N346),IF(O346,"TUESDAY RE-ENTRY","GAP/MOM SKIP"),"BASELINE"))</x:f>
        <x:v>BASELINE</x:v>
      </x:c>
      <x:c r="T346" s="56" t="n">
        <x:f>IF(I346,0,IF(AND(M346,N346),IF(O346,R346,0),G346))</x:f>
        <x:v>-0.00374</x:v>
      </x:c>
      <x:c r="U346" s="56" t="n">
        <x:f>G346*'Assumptions'!$B$6</x:f>
        <x:v>-0.042262</x:v>
      </x:c>
      <x:c r="V346" s="56" t="n">
        <x:f>T346*'Assumptions'!$B$6</x:f>
        <x:v>-0.042262</x:v>
      </x:c>
      <x:c r="W346" s="56" t="n">
        <x:f>V346-U346</x:f>
        <x:v>0</x:v>
      </x:c>
      <x:c r="X346" s="58" t="n">
        <x:f>X345*(1+U346)</x:f>
        <x:v>11552693.398789333</x:v>
      </x:c>
      <x:c r="Y346" s="58" t="n">
        <x:f>MAX(Y345,X346)</x:f>
        <x:v>12062477.837142656</x:v>
      </x:c>
      <x:c r="Z346" s="59" t="n">
        <x:f>X346/Y346-1</x:f>
        <x:v>-0.04226199999999991</x:v>
      </x:c>
      <x:c r="AA346" s="58" t="n">
        <x:f>AA345*(1+V346)</x:f>
        <x:v>25326309.243650056</x:v>
      </x:c>
      <x:c r="AB346" s="58" t="n">
        <x:f>MAX(AB345,AA346)</x:f>
        <x:v>35732010.10895175</x:v>
      </x:c>
      <x:c r="AC346" s="59" t="n">
        <x:f>AA346/AB346-1</x:f>
        <x:v>-0.2912150991106657</x:v>
      </x:c>
      <x:c r="AD346" s="60" t="n">
        <x:f>AA346-X346</x:f>
        <x:v>13773615.844860723</x:v>
      </x:c>
      <x:c r="AE346" s="28" t="str">
        <x:v>Baseline trade unchanged.</x:v>
      </x:c>
    </x:row>
    <x:row r="347" ht="18" customHeight="1">
      <x:c r="A347" s="23" t="n">
        <x:v>343</x:v>
      </x:c>
      <x:c r="B347" s="53" t="n">
        <x:v>45614</x:v>
      </x:c>
      <x:c r="C347" s="53" t="n">
        <x:v>45618</x:v>
      </x:c>
      <x:c r="D347" s="23" t="str">
        <x:v>TO</x:v>
      </x:c>
      <x:c r="E347" s="54" t="n">
        <x:v>20462.665</x:v>
      </x:c>
      <x:c r="F347" s="54" t="n">
        <x:v>20779.021</x:v>
      </x:c>
      <x:c r="G347" s="55" t="n">
        <x:v>0.01546</x:v>
      </x:c>
      <x:c r="H347" s="56" t="n">
        <x:f>SUM(T344:T346)</x:f>
        <x:v>-0.01199</x:v>
      </x:c>
      <x:c r="I347" s="57" t="b">
        <x:f>AND(A347&gt;3,H347&lt;='Assumptions'!$B$7)</x:f>
        <x:v>0</x:v>
      </x:c>
      <x:c r="J347" s="55" t="n">
        <x:v>0.002134179652596657</x:v>
      </x:c>
      <x:c r="K347" s="55" t="n">
        <x:v>0.004247990116424072</x:v>
      </x:c>
      <x:c r="L347" s="55" t="n">
        <x:v>0.0017130171119903448</x:v>
      </x:c>
      <x:c r="M347" s="57" t="b">
        <x:f>J347&gt;='Assumptions'!$B$8</x:f>
        <x:v>0</x:v>
      </x:c>
      <x:c r="N347" s="57" t="b">
        <x:f>AND(K347&lt;&gt;"",K347&lt;='Assumptions'!$B$9)</x:f>
        <x:v>0</x:v>
      </x:c>
      <x:c r="O347" s="57" t="b">
        <x:f>AND(P347&lt;&gt;"",ABS(L347)&lt;='Assumptions'!$B$10)</x:f>
        <x:v>1</x:v>
      </x:c>
      <x:c r="P347" s="53" t="n">
        <x:v>45615</x:v>
      </x:c>
      <x:c r="Q347" s="54" t="n">
        <x:v>20425.019</x:v>
      </x:c>
      <x:c r="R347" s="55" t="n">
        <x:v>0.01733</x:v>
      </x:c>
      <x:c r="S347" s="57" t="str">
        <x:f>IF(I347,"DAMAGE SKIP",IF(AND(M347,N347),IF(O347,"TUESDAY RE-ENTRY","GAP/MOM SKIP"),"BASELINE"))</x:f>
        <x:v>BASELINE</x:v>
      </x:c>
      <x:c r="T347" s="56" t="n">
        <x:f>IF(I347,0,IF(AND(M347,N347),IF(O347,R347,0),G347))</x:f>
        <x:v>0.01546</x:v>
      </x:c>
      <x:c r="U347" s="56" t="n">
        <x:f>G347*'Assumptions'!$B$6</x:f>
        <x:v>0.17469800000000002</x:v>
      </x:c>
      <x:c r="V347" s="56" t="n">
        <x:f>T347*'Assumptions'!$B$6</x:f>
        <x:v>0.17469800000000002</x:v>
      </x:c>
      <x:c r="W347" s="56" t="n">
        <x:f>V347-U347</x:f>
        <x:v>0</x:v>
      </x:c>
      <x:c r="X347" s="58" t="n">
        <x:f>X346*(1+U347)</x:f>
        <x:v>13570925.830171032</x:v>
      </x:c>
      <x:c r="Y347" s="58" t="n">
        <x:f>MAX(Y346,X347)</x:f>
        <x:v>13570925.830171032</x:v>
      </x:c>
      <x:c r="Z347" s="59" t="n">
        <x:f>X347/Y347-1</x:f>
        <x:v>0</x:v>
      </x:c>
      <x:c r="AA347" s="58" t="n">
        <x:f>AA346*(1+V347)</x:f>
        <x:v>29750764.815897234</x:v>
      </x:c>
      <x:c r="AB347" s="58" t="n">
        <x:f>MAX(AB346,AA347)</x:f>
        <x:v>35732010.10895175</x:v>
      </x:c>
      <x:c r="AC347" s="59" t="n">
        <x:f>AA347/AB347-1</x:f>
        <x:v>-0.16739179449510078</x:v>
      </x:c>
      <x:c r="AD347" s="60" t="n">
        <x:f>AA347-X347</x:f>
        <x:v>16179838.985726202</x:v>
      </x:c>
      <x:c r="AE347" s="28" t="str">
        <x:v>Baseline trade unchanged.</x:v>
      </x:c>
    </x:row>
    <x:row r="348" ht="18" customHeight="1">
      <x:c r="A348" s="23" t="n">
        <x:v>344</x:v>
      </x:c>
      <x:c r="B348" s="53" t="n">
        <x:v>45621</x:v>
      </x:c>
      <x:c r="C348" s="53" t="n">
        <x:v>45625</x:v>
      </x:c>
      <x:c r="D348" s="23" t="str">
        <x:v>BEPRE</x:v>
      </x:c>
      <x:c r="E348" s="54" t="n">
        <x:v>20939.619</x:v>
      </x:c>
      <x:c r="F348" s="54" t="n">
        <x:v>20857.121</x:v>
      </x:c>
      <x:c r="G348" s="55" t="n">
        <x:v>-0.00393</x:v>
      </x:c>
      <x:c r="H348" s="56" t="n">
        <x:f>SUM(T345:T347)</x:f>
        <x:v>0.01172</x:v>
      </x:c>
      <x:c r="I348" s="57" t="b">
        <x:f>AND(A348&gt;3,H348&lt;='Assumptions'!$B$7)</x:f>
        <x:v>0</x:v>
      </x:c>
      <x:c r="J348" s="55" t="n">
        <x:v>0.007728853058091456</x:v>
      </x:c>
      <x:c r="K348" s="55" t="n">
        <x:v>0.0211366439375682</x:v>
      </x:c>
      <x:c r="L348" s="55" t="n">
        <x:v>0.004527749571618944</x:v>
      </x:c>
      <x:c r="M348" s="57" t="b">
        <x:f>J348&gt;='Assumptions'!$B$8</x:f>
        <x:v>0</x:v>
      </x:c>
      <x:c r="N348" s="57" t="b">
        <x:f>AND(K348&lt;&gt;"",K348&lt;='Assumptions'!$B$9)</x:f>
        <x:v>0</x:v>
      </x:c>
      <x:c r="O348" s="57" t="b">
        <x:f>AND(P348&lt;&gt;"",ABS(L348)&lt;='Assumptions'!$B$10)</x:f>
        <x:v>1</x:v>
      </x:c>
      <x:c r="P348" s="53" t="n">
        <x:v>45622</x:v>
      </x:c>
      <x:c r="Q348" s="54" t="n">
        <x:v>20866.753</x:v>
      </x:c>
      <x:c r="R348" s="55" t="n">
        <x:v>-0.00046</x:v>
      </x:c>
      <x:c r="S348" s="57" t="str">
        <x:f>IF(I348,"DAMAGE SKIP",IF(AND(M348,N348),IF(O348,"TUESDAY RE-ENTRY","GAP/MOM SKIP"),"BASELINE"))</x:f>
        <x:v>BASELINE</x:v>
      </x:c>
      <x:c r="T348" s="56" t="n">
        <x:f>IF(I348,0,IF(AND(M348,N348),IF(O348,R348,0),G348))</x:f>
        <x:v>-0.00393</x:v>
      </x:c>
      <x:c r="U348" s="56" t="n">
        <x:f>G348*'Assumptions'!$B$6</x:f>
        <x:v>-0.044409000000000004</x:v>
      </x:c>
      <x:c r="V348" s="56" t="n">
        <x:f>T348*'Assumptions'!$B$6</x:f>
        <x:v>-0.044409000000000004</x:v>
      </x:c>
      <x:c r="W348" s="56" t="n">
        <x:f>V348-U348</x:f>
        <x:v>0</x:v>
      </x:c>
      <x:c r="X348" s="58" t="n">
        <x:f>X347*(1+U348)</x:f>
        <x:v>12968254.584978966</x:v>
      </x:c>
      <x:c r="Y348" s="58" t="n">
        <x:f>MAX(Y347,X348)</x:f>
        <x:v>13570925.830171032</x:v>
      </x:c>
      <x:c r="Z348" s="59" t="n">
        <x:f>X348/Y348-1</x:f>
        <x:v>-0.04440900000000003</x:v>
      </x:c>
      <x:c r="AA348" s="58" t="n">
        <x:f>AA347*(1+V348)</x:f>
        <x:v>28429563.101188052</x:v>
      </x:c>
      <x:c r="AB348" s="58" t="n">
        <x:f>MAX(AB347,AA348)</x:f>
        <x:v>35732010.10895175</x:v>
      </x:c>
      <x:c r="AC348" s="59" t="n">
        <x:f>AA348/AB348-1</x:f>
        <x:v>-0.2043670922933678</x:v>
      </x:c>
      <x:c r="AD348" s="60" t="n">
        <x:f>AA348-X348</x:f>
        <x:v>15461308.516209086</x:v>
      </x:c>
      <x:c r="AE348" s="28" t="str">
        <x:v>Baseline trade unchanged.</x:v>
      </x:c>
    </x:row>
    <x:row r="349" ht="18" customHeight="1">
      <x:c r="A349" s="23" t="n">
        <x:v>345</x:v>
      </x:c>
      <x:c r="B349" s="53" t="n">
        <x:v>45628</x:v>
      </x:c>
      <x:c r="C349" s="53" t="n">
        <x:v>45628</x:v>
      </x:c>
      <x:c r="D349" s="23" t="str">
        <x:v>CH</x:v>
      </x:c>
      <x:c r="E349" s="54" t="n">
        <x:v>20985.297</x:v>
      </x:c>
      <x:c r="F349" s="54" t="n">
        <x:v>21163.01</x:v>
      </x:c>
      <x:c r="G349" s="55" t="n">
        <x:v>0.00846</x:v>
      </x:c>
      <x:c r="H349" s="56" t="n">
        <x:f>SUM(T346:T348)</x:f>
        <x:v>0.007789999999999999</x:v>
      </x:c>
      <x:c r="I349" s="57" t="b">
        <x:f>AND(A349&gt;3,H349&lt;='Assumptions'!$B$7)</x:f>
        <x:v>0</x:v>
      </x:c>
      <x:c r="J349" s="55" t="n">
        <x:v>0.0027230581660016018</x:v>
      </x:c>
      <x:c r="K349" s="55" t="n">
        <x:v>0.053508640992470324</x:v>
      </x:c>
      <x:c r="L349" s="55" t="n">
        <x:v>0.00825917719152569</x:v>
      </x:c>
      <x:c r="M349" s="57" t="b">
        <x:f>J349&gt;='Assumptions'!$B$8</x:f>
        <x:v>0</x:v>
      </x:c>
      <x:c r="N349" s="57" t="b">
        <x:f>AND(K349&lt;&gt;"",K349&lt;='Assumptions'!$B$9)</x:f>
        <x:v>0</x:v>
      </x:c>
      <x:c r="O349" s="57" t="b">
        <x:f>AND(P349&lt;&gt;"",ABS(L349)&lt;='Assumptions'!$B$10)</x:f>
        <x:v>0</x:v>
      </x:c>
      <x:c r="P349" s="53" t="n">
        <x:v>45629</x:v>
      </x:c>
      <x:c r="Q349" s="54" t="n">
        <x:v>21101.387</x:v>
      </x:c>
      <x:c r="R349" s="55" t="n">
        <x:v>0.00292</x:v>
      </x:c>
      <x:c r="S349" s="57" t="str">
        <x:f>IF(I349,"DAMAGE SKIP",IF(AND(M349,N349),IF(O349,"TUESDAY RE-ENTRY","GAP/MOM SKIP"),"BASELINE"))</x:f>
        <x:v>BASELINE</x:v>
      </x:c>
      <x:c r="T349" s="56" t="n">
        <x:f>IF(I349,0,IF(AND(M349,N349),IF(O349,R349,0),G349))</x:f>
        <x:v>0.00846</x:v>
      </x:c>
      <x:c r="U349" s="56" t="n">
        <x:f>G349*'Assumptions'!$B$6</x:f>
        <x:v>0.09559800000000002</x:v>
      </x:c>
      <x:c r="V349" s="56" t="n">
        <x:f>T349*'Assumptions'!$B$6</x:f>
        <x:v>0.09559800000000002</x:v>
      </x:c>
      <x:c r="W349" s="56" t="n">
        <x:f>V349-U349</x:f>
        <x:v>0</x:v>
      </x:c>
      <x:c r="X349" s="58" t="n">
        <x:f>X348*(1+U349)</x:f>
        <x:v>14207993.786793787</x:v>
      </x:c>
      <x:c r="Y349" s="58" t="n">
        <x:f>MAX(Y348,X349)</x:f>
        <x:v>14207993.786793787</x:v>
      </x:c>
      <x:c r="Z349" s="59" t="n">
        <x:f>X349/Y349-1</x:f>
        <x:v>0</x:v>
      </x:c>
      <x:c r="AA349" s="58" t="n">
        <x:f>AA348*(1+V349)</x:f>
        <x:v>31147372.47453543</x:v>
      </x:c>
      <x:c r="AB349" s="58" t="n">
        <x:f>MAX(AB348,AA349)</x:f>
        <x:v>35732010.10895175</x:v>
      </x:c>
      <x:c r="AC349" s="59" t="n">
        <x:f>AA349/AB349-1</x:f>
        <x:v>-0.12830617758242913</x:v>
      </x:c>
      <x:c r="AD349" s="60" t="n">
        <x:f>AA349-X349</x:f>
        <x:v>16939378.687741645</x:v>
      </x:c>
      <x:c r="AE349" s="28" t="str">
        <x:v>Baseline trade unchanged.</x:v>
      </x:c>
    </x:row>
    <x:row r="350" ht="18" customHeight="1">
      <x:c r="A350" s="23" t="n">
        <x:v>346</x:v>
      </x:c>
      <x:c r="B350" s="53" t="n">
        <x:v>45635</x:v>
      </x:c>
      <x:c r="C350" s="53" t="n">
        <x:v>45637</x:v>
      </x:c>
      <x:c r="D350" s="23" t="str">
        <x:v>BEPRE</x:v>
      </x:c>
      <x:c r="E350" s="54" t="n">
        <x:v>21570.521</x:v>
      </x:c>
      <x:c r="F350" s="54" t="n">
        <x:v>21485.386</x:v>
      </x:c>
      <x:c r="G350" s="55" t="n">
        <x:v>-0.00394</x:v>
      </x:c>
      <x:c r="H350" s="56" t="n">
        <x:f>SUM(T347:T349)</x:f>
        <x:v>0.01999</x:v>
      </x:c>
      <x:c r="I350" s="57" t="b">
        <x:f>AND(A350&gt;3,H350&lt;='Assumptions'!$B$7)</x:f>
        <x:v>0</x:v>
      </x:c>
      <x:c r="J350" s="55" t="n">
        <x:v>-0.0017128749363878315</x:v>
      </x:c>
      <x:c r="K350" s="55" t="n">
        <x:v>0.02519772400092979</x:v>
      </x:c>
      <x:c r="L350" s="55" t="n">
        <x:v>-0.0054339231515229125</x:v>
      </x:c>
      <x:c r="M350" s="57" t="b">
        <x:f>J350&gt;='Assumptions'!$B$8</x:f>
        <x:v>0</x:v>
      </x:c>
      <x:c r="N350" s="57" t="b">
        <x:f>AND(K350&lt;&gt;"",K350&lt;='Assumptions'!$B$9)</x:f>
        <x:v>0</x:v>
      </x:c>
      <x:c r="O350" s="57" t="b">
        <x:f>AND(P350&lt;&gt;"",ABS(L350)&lt;='Assumptions'!$B$10)</x:f>
        <x:v>0</x:v>
      </x:c>
      <x:c r="P350" s="53" t="n">
        <x:v>45636</x:v>
      </x:c>
      <x:c r="Q350" s="54" t="n">
        <x:v>21493.197</x:v>
      </x:c>
      <x:c r="R350" s="55" t="n">
        <x:v>-0.00036</x:v>
      </x:c>
      <x:c r="S350" s="57" t="str">
        <x:f>IF(I350,"DAMAGE SKIP",IF(AND(M350,N350),IF(O350,"TUESDAY RE-ENTRY","GAP/MOM SKIP"),"BASELINE"))</x:f>
        <x:v>BASELINE</x:v>
      </x:c>
      <x:c r="T350" s="56" t="n">
        <x:f>IF(I350,0,IF(AND(M350,N350),IF(O350,R350,0),G350))</x:f>
        <x:v>-0.00394</x:v>
      </x:c>
      <x:c r="U350" s="56" t="n">
        <x:f>G350*'Assumptions'!$B$6</x:f>
        <x:v>-0.044522</x:v>
      </x:c>
      <x:c r="V350" s="56" t="n">
        <x:f>T350*'Assumptions'!$B$6</x:f>
        <x:v>-0.044522</x:v>
      </x:c>
      <x:c r="W350" s="56" t="n">
        <x:f>V350-U350</x:f>
        <x:v>0</x:v>
      </x:c>
      <x:c r="X350" s="58" t="n">
        <x:f>X349*(1+U350)</x:f>
        <x:v>13575425.487418154</x:v>
      </x:c>
      <x:c r="Y350" s="58" t="n">
        <x:f>MAX(Y349,X350)</x:f>
        <x:v>14207993.786793787</x:v>
      </x:c>
      <x:c r="Z350" s="59" t="n">
        <x:f>X350/Y350-1</x:f>
        <x:v>-0.04452199999999995</x:v>
      </x:c>
      <x:c r="AA350" s="58" t="n">
        <x:f>AA349*(1+V350)</x:f>
        <x:v>29760629.157224167</x:v>
      </x:c>
      <x:c r="AB350" s="58" t="n">
        <x:f>MAX(AB349,AA350)</x:f>
        <x:v>35732010.10895175</x:v>
      </x:c>
      <x:c r="AC350" s="59" t="n">
        <x:f>AA350/AB350-1</x:f>
        <x:v>-0.16711572994410417</x:v>
      </x:c>
      <x:c r="AD350" s="60" t="n">
        <x:f>AA350-X350</x:f>
        <x:v>16185203.669806013</x:v>
      </x:c>
      <x:c r="AE350" s="28" t="str">
        <x:v>Baseline trade unchanged.</x:v>
      </x:c>
    </x:row>
    <x:row r="351" ht="18" customHeight="1">
      <x:c r="A351" s="23" t="n">
        <x:v>347</x:v>
      </x:c>
      <x:c r="B351" s="53" t="n">
        <x:v>45642</x:v>
      </x:c>
      <x:c r="C351" s="53" t="n">
        <x:v>45642</x:v>
      </x:c>
      <x:c r="D351" s="23" t="str">
        <x:v>CH</x:v>
      </x:c>
      <x:c r="E351" s="54" t="n">
        <x:v>21879.197</x:v>
      </x:c>
      <x:c r="F351" s="54" t="n">
        <x:v>22095.732</x:v>
      </x:c>
      <x:c r="G351" s="55" t="n">
        <x:v>0.00989</x:v>
      </x:c>
      <x:c r="H351" s="56" t="n">
        <x:f>SUM(T348:T350)</x:f>
        <x:v>0.0005900000000000002</x:v>
      </x:c>
      <x:c r="I351" s="57" t="b">
        <x:f>AND(A351&gt;3,H351&lt;='Assumptions'!$B$7)</x:f>
        <x:v>0</x:v>
      </x:c>
      <x:c r="J351" s="55" t="n">
        <x:v>0.005032974605770679</x:v>
      </x:c>
      <x:c r="K351" s="55" t="n">
        <x:v>0.04293503445963931</x:v>
      </x:c>
      <x:c r="L351" s="55" t="n">
        <x:v>0.010989094099317809</x:v>
      </x:c>
      <x:c r="M351" s="57" t="b">
        <x:f>J351&gt;='Assumptions'!$B$8</x:f>
        <x:v>0</x:v>
      </x:c>
      <x:c r="N351" s="57" t="b">
        <x:f>AND(K351&lt;&gt;"",K351&lt;='Assumptions'!$B$9)</x:f>
        <x:v>0</x:v>
      </x:c>
      <x:c r="O351" s="57" t="b">
        <x:f>AND(P351&lt;&gt;"",ABS(L351)&lt;='Assumptions'!$B$10)</x:f>
        <x:v>0</x:v>
      </x:c>
      <x:c r="P351" s="53" t="n">
        <x:v>45643</x:v>
      </x:c>
      <x:c r="Q351" s="54" t="n">
        <x:v>22013.208</x:v>
      </x:c>
      <x:c r="R351" s="55" t="n">
        <x:v>0.00374</x:v>
      </x:c>
      <x:c r="S351" s="57" t="str">
        <x:f>IF(I351,"DAMAGE SKIP",IF(AND(M351,N351),IF(O351,"TUESDAY RE-ENTRY","GAP/MOM SKIP"),"BASELINE"))</x:f>
        <x:v>BASELINE</x:v>
      </x:c>
      <x:c r="T351" s="56" t="n">
        <x:f>IF(I351,0,IF(AND(M351,N351),IF(O351,R351,0),G351))</x:f>
        <x:v>0.00989</x:v>
      </x:c>
      <x:c r="U351" s="56" t="n">
        <x:f>G351*'Assumptions'!$B$6</x:f>
        <x:v>0.111757</x:v>
      </x:c>
      <x:c r="V351" s="56" t="n">
        <x:f>T351*'Assumptions'!$B$6</x:f>
        <x:v>0.111757</x:v>
      </x:c>
      <x:c r="W351" s="56" t="n">
        <x:f>V351-U351</x:f>
        <x:v>0</x:v>
      </x:c>
      <x:c r="X351" s="58" t="n">
        <x:f>X350*(1+U351)</x:f>
        <x:v>15092574.313615544</x:v>
      </x:c>
      <x:c r="Y351" s="58" t="n">
        <x:f>MAX(Y350,X351)</x:f>
        <x:v>15092574.313615544</x:v>
      </x:c>
      <x:c r="Z351" s="59" t="n">
        <x:f>X351/Y351-1</x:f>
        <x:v>0</x:v>
      </x:c>
      <x:c r="AA351" s="58" t="n">
        <x:f>AA350*(1+V351)</x:f>
        <x:v>33086587.789948065</x:v>
      </x:c>
      <x:c r="AB351" s="58" t="n">
        <x:f>MAX(AB350,AA351)</x:f>
        <x:v>35732010.10895175</x:v>
      </x:c>
      <x:c r="AC351" s="59" t="n">
        <x:f>AA351/AB351-1</x:f>
        <x:v>-0.07403508257546754</x:v>
      </x:c>
      <x:c r="AD351" s="60" t="n">
        <x:f>AA351-X351</x:f>
        <x:v>17994013.476332523</x:v>
      </x:c>
      <x:c r="AE351" s="28" t="str">
        <x:v>Baseline trade unchanged.</x:v>
      </x:c>
    </x:row>
    <x:row r="352" ht="18" customHeight="1">
      <x:c r="A352" s="23" t="n">
        <x:v>348</x:v>
      </x:c>
      <x:c r="B352" s="53" t="n">
        <x:v>45649</x:v>
      </x:c>
      <x:c r="C352" s="53" t="n">
        <x:v>45649</x:v>
      </x:c>
      <x:c r="D352" s="23" t="str">
        <x:v>CH</x:v>
      </x:c>
      <x:c r="E352" s="54" t="n">
        <x:v>21349.631</x:v>
      </x:c>
      <x:c r="F352" s="54" t="n">
        <x:v>21500.021</x:v>
      </x:c>
      <x:c r="G352" s="55" t="n">
        <x:v>0.00704</x:v>
      </x:c>
      <x:c r="H352" s="56" t="n">
        <x:f>SUM(T349:T351)</x:f>
        <x:v>0.01441</x:v>
      </x:c>
      <x:c r="I352" s="57" t="b">
        <x:f>AND(A352&gt;3,H352&lt;='Assumptions'!$B$7)</x:f>
        <x:v>0</x:v>
      </x:c>
      <x:c r="J352" s="55" t="n">
        <x:v>0.0006853993211533016</x:v>
      </x:c>
      <x:c r="K352" s="55" t="n">
        <x:v>0.027088874630773363</x:v>
      </x:c>
      <x:c r="L352" s="55" t="n">
        <x:v>0.01352856761576171</x:v>
      </x:c>
      <x:c r="M352" s="57" t="b">
        <x:f>J352&gt;='Assumptions'!$B$8</x:f>
        <x:v>0</x:v>
      </x:c>
      <x:c r="N352" s="57" t="b">
        <x:f>AND(K352&lt;&gt;"",K352&lt;='Assumptions'!$B$9)</x:f>
        <x:v>0</x:v>
      </x:c>
      <x:c r="O352" s="57" t="b">
        <x:f>AND(P352&lt;&gt;"",ABS(L352)&lt;='Assumptions'!$B$10)</x:f>
        <x:v>0</x:v>
      </x:c>
      <x:c r="P352" s="53" t="n">
        <x:v>45650</x:v>
      </x:c>
      <x:c r="Q352" s="54" t="n">
        <x:v>21565.576</x:v>
      </x:c>
      <x:c r="R352" s="55" t="n">
        <x:v>-0.00303</x:v>
      </x:c>
      <x:c r="S352" s="57" t="str">
        <x:f>IF(I352,"DAMAGE SKIP",IF(AND(M352,N352),IF(O352,"TUESDAY RE-ENTRY","GAP/MOM SKIP"),"BASELINE"))</x:f>
        <x:v>BASELINE</x:v>
      </x:c>
      <x:c r="T352" s="56" t="n">
        <x:f>IF(I352,0,IF(AND(M352,N352),IF(O352,R352,0),G352))</x:f>
        <x:v>0.00704</x:v>
      </x:c>
      <x:c r="U352" s="56" t="n">
        <x:f>G352*'Assumptions'!$B$6</x:f>
        <x:v>0.07955200000000001</x:v>
      </x:c>
      <x:c r="V352" s="56" t="n">
        <x:f>T352*'Assumptions'!$B$6</x:f>
        <x:v>0.07955200000000001</x:v>
      </x:c>
      <x:c r="W352" s="56" t="n">
        <x:f>V352-U352</x:f>
        <x:v>0</x:v>
      </x:c>
      <x:c r="X352" s="58" t="n">
        <x:f>X351*(1+U352)</x:f>
        <x:v>16293218.78541229</x:v>
      </x:c>
      <x:c r="Y352" s="58" t="n">
        <x:f>MAX(Y351,X352)</x:f>
        <x:v>16293218.78541229</x:v>
      </x:c>
      <x:c r="Z352" s="59" t="n">
        <x:f>X352/Y352-1</x:f>
        <x:v>0</x:v>
      </x:c>
      <x:c r="AA352" s="58" t="n">
        <x:f>AA351*(1+V352)</x:f>
        <x:v>35718692.02181402</x:v>
      </x:c>
      <x:c r="AB352" s="58" t="n">
        <x:f>MAX(AB351,AA352)</x:f>
        <x:v>35732010.10895175</x:v>
      </x:c>
      <x:c r="AC352" s="59" t="n">
        <x:f>AA352/AB352-1</x:f>
        <x:v>-0.00037272146451095</x:v>
      </x:c>
      <x:c r="AD352" s="60" t="n">
        <x:f>AA352-X352</x:f>
        <x:v>19425473.23640173</x:v>
      </x:c>
      <x:c r="AE352" s="28" t="str">
        <x:v>Baseline trade unchanged.</x:v>
      </x:c>
    </x:row>
    <x:row r="353" ht="18" customHeight="1">
      <x:c r="A353" s="23" t="n">
        <x:v>349</x:v>
      </x:c>
      <x:c r="B353" s="53" t="n">
        <x:v>45656</x:v>
      </x:c>
      <x:c r="C353" s="53" t="n">
        <x:v>45659</x:v>
      </x:c>
      <x:c r="D353" s="23" t="str">
        <x:v>TSL1PRE</x:v>
      </x:c>
      <x:c r="E353" s="54" t="n">
        <x:v>21188.186</x:v>
      </x:c>
      <x:c r="F353" s="54" t="n">
        <x:v>21070.242</x:v>
      </x:c>
      <x:c r="G353" s="55" t="n">
        <x:v>-0.00556</x:v>
      </x:c>
      <x:c r="H353" s="56" t="n">
        <x:f>SUM(T350:T352)</x:f>
        <x:v>0.01299</x:v>
      </x:c>
      <x:c r="I353" s="57" t="b">
        <x:f>AND(A353&gt;3,H353&lt;='Assumptions'!$B$7)</x:f>
        <x:v>0</x:v>
      </x:c>
      <x:c r="J353" s="55" t="n">
        <x:v>-0.014472860868352977</x:v>
      </x:c>
      <x:c r="K353" s="55" t="n">
        <x:v>0.03582432067590968</x:v>
      </x:c>
      <x:c r="L353" s="55" t="n">
        <x:v>-0.010830193452438075</x:v>
      </x:c>
      <x:c r="M353" s="57" t="b">
        <x:f>J353&gt;='Assumptions'!$B$8</x:f>
        <x:v>0</x:v>
      </x:c>
      <x:c r="N353" s="57" t="b">
        <x:f>AND(K353&lt;&gt;"",K353&lt;='Assumptions'!$B$9)</x:f>
        <x:v>0</x:v>
      </x:c>
      <x:c r="O353" s="57" t="b">
        <x:f>AND(P353&lt;&gt;"",ABS(L353)&lt;='Assumptions'!$B$10)</x:f>
        <x:v>0</x:v>
      </x:c>
      <x:c r="P353" s="53" t="n">
        <x:v>45657</x:v>
      </x:c>
      <x:c r="Q353" s="54" t="n">
        <x:v>21241.909</x:v>
      </x:c>
      <x:c r="R353" s="55" t="n">
        <x:v>-0.00808</x:v>
      </x:c>
      <x:c r="S353" s="57" t="str">
        <x:f>IF(I353,"DAMAGE SKIP",IF(AND(M353,N353),IF(O353,"TUESDAY RE-ENTRY","GAP/MOM SKIP"),"BASELINE"))</x:f>
        <x:v>BASELINE</x:v>
      </x:c>
      <x:c r="T353" s="56" t="n">
        <x:f>IF(I353,0,IF(AND(M353,N353),IF(O353,R353,0),G353))</x:f>
        <x:v>-0.00556</x:v>
      </x:c>
      <x:c r="U353" s="56" t="n">
        <x:f>G353*'Assumptions'!$B$6</x:f>
        <x:v>-0.06282800000000001</x:v>
      </x:c>
      <x:c r="V353" s="56" t="n">
        <x:f>T353*'Assumptions'!$B$6</x:f>
        <x:v>-0.06282800000000001</x:v>
      </x:c>
      <x:c r="W353" s="56" t="n">
        <x:f>V353-U353</x:f>
        <x:v>0</x:v>
      </x:c>
      <x:c r="X353" s="58" t="n">
        <x:f>X352*(1+U353)</x:f>
        <x:v>15269548.435562406</x:v>
      </x:c>
      <x:c r="Y353" s="58" t="n">
        <x:f>MAX(Y352,X353)</x:f>
        <x:v>16293218.78541229</x:v>
      </x:c>
      <x:c r="Z353" s="59" t="n">
        <x:f>X353/Y353-1</x:f>
        <x:v>-0.062828</x:v>
      </x:c>
      <x:c r="AA353" s="58" t="n">
        <x:f>AA352*(1+V353)</x:f>
        <x:v>33474558.039467487</x:v>
      </x:c>
      <x:c r="AB353" s="58" t="n">
        <x:f>MAX(AB352,AA353)</x:f>
        <x:v>35732010.10895175</x:v>
      </x:c>
      <x:c r="AC353" s="59" t="n">
        <x:f>AA353/AB353-1</x:f>
        <x:v>-0.06317730412033862</x:v>
      </x:c>
      <x:c r="AD353" s="60" t="n">
        <x:f>AA353-X353</x:f>
        <x:v>18205009.60390508</x:v>
      </x:c>
      <x:c r="AE353" s="28" t="str">
        <x:v>Baseline trade unchanged.</x:v>
      </x:c>
    </x:row>
    <x:row r="354" ht="18" customHeight="1">
      <x:c r="A354" s="23" t="n">
        <x:v>350</x:v>
      </x:c>
      <x:c r="B354" s="53" t="n">
        <x:v>45663</x:v>
      </x:c>
      <x:c r="C354" s="53" t="n">
        <x:v>45667</x:v>
      </x:c>
      <x:c r="D354" s="23" t="str">
        <x:v>TSL3</x:v>
      </x:c>
      <x:c r="E354" s="54" t="n">
        <x:v>21536.499</x:v>
      </x:c>
      <x:c r="F354" s="54" t="n">
        <x:v>21018.431</x:v>
      </x:c>
      <x:c r="G354" s="55" t="n">
        <x:v>-0.02405</x:v>
      </x:c>
      <x:c r="H354" s="56" t="n">
        <x:f>SUM(T351:T353)</x:f>
        <x:v>0.011370000000000002</x:v>
      </x:c>
      <x:c r="I354" s="57" t="b">
        <x:f>AND(A354&gt;3,H354&lt;='Assumptions'!$B$7)</x:f>
        <x:v>0</x:v>
      </x:c>
      <x:c r="J354" s="55" t="n">
        <x:v>0.01073211568653587</x:v>
      </x:c>
      <x:c r="K354" s="55" t="n">
        <x:v>-0.0073460624185262</x:v>
      </x:c>
      <x:c r="L354" s="55" t="n">
        <x:v>0.013518524240645258</x:v>
      </x:c>
      <x:c r="M354" s="57" t="b">
        <x:f>J354&gt;='Assumptions'!$B$8</x:f>
        <x:v>1</x:v>
      </x:c>
      <x:c r="N354" s="57" t="b">
        <x:f>AND(K354&lt;&gt;"",K354&lt;='Assumptions'!$B$9)</x:f>
        <x:v>1</x:v>
      </x:c>
      <x:c r="O354" s="57" t="b">
        <x:f>AND(P354&lt;&gt;"",ABS(L354)&lt;='Assumptions'!$B$10)</x:f>
        <x:v>0</x:v>
      </x:c>
      <x:c r="P354" s="53" t="n">
        <x:v>45664</x:v>
      </x:c>
      <x:c r="Q354" s="54" t="n">
        <x:v>21605.132</x:v>
      </x:c>
      <x:c r="R354" s="55" t="n">
        <x:v>-0.02715</x:v>
      </x:c>
      <x:c r="S354" s="57" t="str">
        <x:f>IF(I354,"DAMAGE SKIP",IF(AND(M354,N354),IF(O354,"TUESDAY RE-ENTRY","GAP/MOM SKIP"),"BASELINE"))</x:f>
        <x:v>GAP/MOM SKIP</x:v>
      </x:c>
      <x:c r="T354" s="56" t="n">
        <x:f>IF(I354,0,IF(AND(M354,N354),IF(O354,R354,0),G354))</x:f>
        <x:v>0</x:v>
      </x:c>
      <x:c r="U354" s="56" t="n">
        <x:f>G354*'Assumptions'!$B$6</x:f>
        <x:v>-0.271765</x:v>
      </x:c>
      <x:c r="V354" s="56" t="n">
        <x:f>T354*'Assumptions'!$B$6</x:f>
        <x:v>0</x:v>
      </x:c>
      <x:c r="W354" s="56" t="n">
        <x:f>V354-U354</x:f>
        <x:v>0.271765</x:v>
      </x:c>
      <x:c r="X354" s="58" t="n">
        <x:f>X353*(1+U354)</x:f>
        <x:v>11119819.604971789</x:v>
      </x:c>
      <x:c r="Y354" s="58" t="n">
        <x:f>MAX(Y353,X354)</x:f>
        <x:v>16293218.78541229</x:v>
      </x:c>
      <x:c r="Z354" s="59" t="n">
        <x:f>X354/Y354-1</x:f>
        <x:v>-0.31751854857999995</x:v>
      </x:c>
      <x:c r="AA354" s="58" t="n">
        <x:f>AA353*(1+V354)</x:f>
        <x:v>33474558.039467487</x:v>
      </x:c>
      <x:c r="AB354" s="58" t="n">
        <x:f>MAX(AB353,AA354)</x:f>
        <x:v>35732010.10895175</x:v>
      </x:c>
      <x:c r="AC354" s="59" t="n">
        <x:f>AA354/AB354-1</x:f>
        <x:v>-0.06317730412033862</x:v>
      </x:c>
      <x:c r="AD354" s="60" t="n">
        <x:f>AA354-X354</x:f>
        <x:v>22354738.4344957</x:v>
      </x:c>
      <x:c r="AE354" s="28" t="str">
        <x:v>Monday entry skipped; Tuesday did not normalize within the Friday-based tolerance.</x:v>
      </x:c>
    </x:row>
    <x:row r="355" ht="18" customHeight="1">
      <x:c r="A355" s="23" t="n">
        <x:v>351</x:v>
      </x:c>
      <x:c r="B355" s="53" t="n">
        <x:v>45670</x:v>
      </x:c>
      <x:c r="C355" s="53" t="n">
        <x:v>45670</x:v>
      </x:c>
      <x:c r="D355" s="23" t="str">
        <x:v>CH</x:v>
      </x:c>
      <x:c r="E355" s="54" t="n">
        <x:v>20599.743</x:v>
      </x:c>
      <x:c r="F355" s="54" t="n">
        <x:v>20791.289</x:v>
      </x:c>
      <x:c r="G355" s="55" t="n">
        <x:v>0.00929</x:v>
      </x:c>
      <x:c r="H355" s="56" t="n">
        <x:f>SUM(T352:T354)</x:f>
        <x:v>0.0014800000000000004</x:v>
      </x:c>
      <x:c r="I355" s="57" t="b">
        <x:f>AND(A355&gt;3,H355&lt;='Assumptions'!$B$7)</x:f>
        <x:v>0</x:v>
      </x:c>
      <x:c r="J355" s="55" t="n">
        <x:v>-0.012557217270992349</x:v>
      </x:c>
      <x:c r="K355" s="55" t="n">
        <x:v>-0.024187457128103218</x:v>
      </x:c>
      <x:c r="L355" s="55" t="n">
        <x:v>0.0030566607758153452</x:v>
      </x:c>
      <x:c r="M355" s="57" t="b">
        <x:f>J355&gt;='Assumptions'!$B$8</x:f>
        <x:v>0</x:v>
      </x:c>
      <x:c r="N355" s="57" t="b">
        <x:f>AND(K355&lt;&gt;"",K355&lt;='Assumptions'!$B$9)</x:f>
        <x:v>1</x:v>
      </x:c>
      <x:c r="O355" s="57" t="b">
        <x:f>AND(P355&lt;&gt;"",ABS(L355)&lt;='Assumptions'!$B$10)</x:f>
        <x:v>1</x:v>
      </x:c>
      <x:c r="P355" s="53" t="n">
        <x:v>45671</x:v>
      </x:c>
      <x:c r="Q355" s="54" t="n">
        <x:v>20911.864</x:v>
      </x:c>
      <x:c r="R355" s="55" t="n">
        <x:v>-0.00576</x:v>
      </x:c>
      <x:c r="S355" s="57" t="str">
        <x:f>IF(I355,"DAMAGE SKIP",IF(AND(M355,N355),IF(O355,"TUESDAY RE-ENTRY","GAP/MOM SKIP"),"BASELINE"))</x:f>
        <x:v>BASELINE</x:v>
      </x:c>
      <x:c r="T355" s="56" t="n">
        <x:f>IF(I355,0,IF(AND(M355,N355),IF(O355,R355,0),G355))</x:f>
        <x:v>0.00929</x:v>
      </x:c>
      <x:c r="U355" s="56" t="n">
        <x:f>G355*'Assumptions'!$B$6</x:f>
        <x:v>0.104977</x:v>
      </x:c>
      <x:c r="V355" s="56" t="n">
        <x:f>T355*'Assumptions'!$B$6</x:f>
        <x:v>0.104977</x:v>
      </x:c>
      <x:c r="W355" s="56" t="n">
        <x:f>V355-U355</x:f>
        <x:v>0</x:v>
      </x:c>
      <x:c r="X355" s="58" t="n">
        <x:f>X354*(1+U355)</x:f>
        <x:v>12287144.907642914</x:v>
      </x:c>
      <x:c r="Y355" s="58" t="n">
        <x:f>MAX(Y354,X355)</x:f>
        <x:v>16293218.78541229</x:v>
      </x:c>
      <x:c r="Z355" s="59" t="n">
        <x:f>X355/Y355-1</x:f>
        <x:v>-0.24587369325428254</x:v>
      </x:c>
      <x:c r="AA355" s="58" t="n">
        <x:f>AA354*(1+V355)</x:f>
        <x:v>36988616.718776666</x:v>
      </x:c>
      <x:c r="AB355" s="58" t="n">
        <x:f>MAX(AB354,AA355)</x:f>
        <x:v>36988616.718776666</x:v>
      </x:c>
      <x:c r="AC355" s="59" t="n">
        <x:f>AA355/AB355-1</x:f>
        <x:v>0</x:v>
      </x:c>
      <x:c r="AD355" s="60" t="n">
        <x:f>AA355-X355</x:f>
        <x:v>24701471.81113375</x:v>
      </x:c>
      <x:c r="AE355" s="28" t="str">
        <x:v>Baseline trade unchanged.</x:v>
      </x:c>
    </x:row>
    <x:row r="356" ht="18" customHeight="1">
      <x:c r="A356" s="23" t="n">
        <x:v>352</x:v>
      </x:c>
      <x:c r="B356" s="53" t="n">
        <x:v>45678</x:v>
      </x:c>
      <x:c r="C356" s="53" t="n">
        <x:v>45681</x:v>
      </x:c>
      <x:c r="D356" s="23" t="str">
        <x:v>TO</x:v>
      </x:c>
      <x:c r="E356" s="54" t="n">
        <x:v>21557.941</x:v>
      </x:c>
      <x:c r="F356" s="54" t="n">
        <x:v>21771.976</x:v>
      </x:c>
      <x:c r="G356" s="55" t="n">
        <x:v>0.00992</x:v>
      </x:c>
      <x:c r="H356" s="56" t="n">
        <x:f>SUM(T353:T355)</x:f>
        <x:v>0.00373</x:v>
      </x:c>
      <x:c r="I356" s="57" t="b">
        <x:f>AND(A356&gt;3,H356&lt;='Assumptions'!$B$7)</x:f>
        <x:v>0</x:v>
      </x:c>
      <x:c r="J356" s="55" t="n">
        <x:v>0.005802861073274546</x:v>
      </x:c>
      <x:c r="K356" s="55" t="n">
        <x:v>-0.024673214238910446</x:v>
      </x:c>
      <x:c r="L356" s="55"/>
      <x:c r="M356" s="57" t="b">
        <x:f>J356&gt;='Assumptions'!$B$8</x:f>
        <x:v>0</x:v>
      </x:c>
      <x:c r="N356" s="57" t="b">
        <x:f>AND(K356&lt;&gt;"",K356&lt;='Assumptions'!$B$9)</x:f>
        <x:v>1</x:v>
      </x:c>
      <x:c r="O356" s="57" t="b">
        <x:f>AND(P356&lt;&gt;"",ABS(L356)&lt;='Assumptions'!$B$10)</x:f>
        <x:v>0</x:v>
      </x:c>
      <x:c r="P356" s="53"/>
      <x:c r="Q356" s="54"/>
      <x:c r="R356" s="55"/>
      <x:c r="S356" s="57" t="str">
        <x:f>IF(I356,"DAMAGE SKIP",IF(AND(M356,N356),IF(O356,"TUESDAY RE-ENTRY","GAP/MOM SKIP"),"BASELINE"))</x:f>
        <x:v>BASELINE</x:v>
      </x:c>
      <x:c r="T356" s="56" t="n">
        <x:f>IF(I356,0,IF(AND(M356,N356),IF(O356,R356,0),G356))</x:f>
        <x:v>0.00992</x:v>
      </x:c>
      <x:c r="U356" s="56" t="n">
        <x:f>G356*'Assumptions'!$B$6</x:f>
        <x:v>0.112096</x:v>
      </x:c>
      <x:c r="V356" s="56" t="n">
        <x:f>T356*'Assumptions'!$B$6</x:f>
        <x:v>0.112096</x:v>
      </x:c>
      <x:c r="W356" s="56" t="n">
        <x:f>V356-U356</x:f>
        <x:v>0</x:v>
      </x:c>
      <x:c r="X356" s="58" t="n">
        <x:f>X355*(1+U356)</x:f>
        <x:v>13664484.703210054</x:v>
      </x:c>
      <x:c r="Y356" s="58" t="n">
        <x:f>MAX(Y355,X356)</x:f>
        <x:v>16293218.78541229</x:v>
      </x:c>
      <x:c r="Z356" s="59" t="n">
        <x:f>X356/Y356-1</x:f>
        <x:v>-0.16133915077331462</x:v>
      </x:c>
      <x:c r="AA356" s="58" t="n">
        <x:f>AA355*(1+V356)</x:f>
        <x:v>41134892.69848465</x:v>
      </x:c>
      <x:c r="AB356" s="58" t="n">
        <x:f>MAX(AB355,AA356)</x:f>
        <x:v>41134892.69848465</x:v>
      </x:c>
      <x:c r="AC356" s="59" t="n">
        <x:f>AA356/AB356-1</x:f>
        <x:v>0</x:v>
      </x:c>
      <x:c r="AD356" s="60" t="n">
        <x:f>AA356-X356</x:f>
        <x:v>27470407.995274596</x:v>
      </x:c>
      <x:c r="AE356" s="28" t="str">
        <x:v>Baseline trade unchanged.</x:v>
      </x:c>
    </x:row>
    <x:row r="357" ht="18" customHeight="1">
      <x:c r="A357" s="23" t="n">
        <x:v>353</x:v>
      </x:c>
      <x:c r="B357" s="53" t="n">
        <x:v>45684</x:v>
      </x:c>
      <x:c r="C357" s="53" t="n">
        <x:v>45685</x:v>
      </x:c>
      <x:c r="D357" s="23" t="str">
        <x:v>PREOH</x:v>
      </x:c>
      <x:c r="E357" s="54" t="n">
        <x:v>20991.487</x:v>
      </x:c>
      <x:c r="F357" s="54" t="n">
        <x:v>21218.087</x:v>
      </x:c>
      <x:c r="G357" s="55" t="n">
        <x:v>0.01079</x:v>
      </x:c>
      <x:c r="H357" s="56" t="n">
        <x:f>SUM(T354:T356)</x:f>
        <x:v>0.019209999999999998</x:v>
      </x:c>
      <x:c r="I357" s="57" t="b">
        <x:f>AND(A357&gt;3,H357&lt;='Assumptions'!$B$7)</x:f>
        <x:v>0</x:v>
      </x:c>
      <x:c r="J357" s="55" t="n">
        <x:v>-0.03584833090023609</x:v>
      </x:c>
      <x:c r="K357" s="55" t="n">
        <x:v>0.012928755851459028</x:v>
      </x:c>
      <x:c r="L357" s="55" t="n">
        <x:v>-0.027208504619527174</x:v>
      </x:c>
      <x:c r="M357" s="57" t="b">
        <x:f>J357&gt;='Assumptions'!$B$8</x:f>
        <x:v>0</x:v>
      </x:c>
      <x:c r="N357" s="57" t="b">
        <x:f>AND(K357&lt;&gt;"",K357&lt;='Assumptions'!$B$9)</x:f>
        <x:v>0</x:v>
      </x:c>
      <x:c r="O357" s="57" t="b">
        <x:f>AND(P357&lt;&gt;"",ABS(L357)&lt;='Assumptions'!$B$10)</x:f>
        <x:v>0</x:v>
      </x:c>
      <x:c r="P357" s="53" t="n">
        <x:v>45685</x:v>
      </x:c>
      <x:c r="Q357" s="54" t="n">
        <x:v>21174.531</x:v>
      </x:c>
      <x:c r="R357" s="55" t="n">
        <x:v>0.00205</x:v>
      </x:c>
      <x:c r="S357" s="57" t="str">
        <x:f>IF(I357,"DAMAGE SKIP",IF(AND(M357,N357),IF(O357,"TUESDAY RE-ENTRY","GAP/MOM SKIP"),"BASELINE"))</x:f>
        <x:v>BASELINE</x:v>
      </x:c>
      <x:c r="T357" s="56" t="n">
        <x:f>IF(I357,0,IF(AND(M357,N357),IF(O357,R357,0),G357))</x:f>
        <x:v>0.01079</x:v>
      </x:c>
      <x:c r="U357" s="56" t="n">
        <x:f>G357*'Assumptions'!$B$6</x:f>
        <x:v>0.121927</x:v>
      </x:c>
      <x:c r="V357" s="56" t="n">
        <x:f>T357*'Assumptions'!$B$6</x:f>
        <x:v>0.121927</x:v>
      </x:c>
      <x:c r="W357" s="56" t="n">
        <x:f>V357-U357</x:f>
        <x:v>0</x:v>
      </x:c>
      <x:c r="X357" s="58" t="n">
        <x:f>X356*(1+U357)</x:f>
        <x:v>15330554.329618344</x:v>
      </x:c>
      <x:c r="Y357" s="58" t="n">
        <x:f>MAX(Y356,X357)</x:f>
        <x:v>16293218.78541229</x:v>
      </x:c>
      <x:c r="Z357" s="59" t="n">
        <x:f>X357/Y357-1</x:f>
        <x:v>-0.059083749409652664</x:v>
      </x:c>
      <x:c r="AA357" s="58" t="n">
        <x:f>AA356*(1+V357)</x:f>
        <x:v>46150346.76053279</x:v>
      </x:c>
      <x:c r="AB357" s="58" t="n">
        <x:f>MAX(AB356,AA357)</x:f>
        <x:v>46150346.76053279</x:v>
      </x:c>
      <x:c r="AC357" s="59" t="n">
        <x:f>AA357/AB357-1</x:f>
        <x:v>0</x:v>
      </x:c>
      <x:c r="AD357" s="60" t="n">
        <x:f>AA357-X357</x:f>
        <x:v>30819792.430914447</x:v>
      </x:c>
      <x:c r="AE357" s="28" t="str">
        <x:v>Baseline trade unchanged.</x:v>
      </x:c>
    </x:row>
    <x:row r="358" ht="18" customHeight="1">
      <x:c r="A358" s="23" t="n">
        <x:v>354</x:v>
      </x:c>
      <x:c r="B358" s="53" t="n">
        <x:v>45691</x:v>
      </x:c>
      <x:c r="C358" s="53" t="n">
        <x:v>45691</x:v>
      </x:c>
      <x:c r="D358" s="23" t="str">
        <x:v>CH</x:v>
      </x:c>
      <x:c r="E358" s="54" t="n">
        <x:v>21103.664</x:v>
      </x:c>
      <x:c r="F358" s="54" t="n">
        <x:v>21283.098</x:v>
      </x:c>
      <x:c r="G358" s="55" t="n">
        <x:v>0.0085</x:v>
      </x:c>
      <x:c r="H358" s="56" t="n">
        <x:f>SUM(T355:T357)</x:f>
        <x:v>0.03</x:v>
      </x:c>
      <x:c r="I358" s="57" t="b">
        <x:f>AND(A358&gt;3,H358&lt;='Assumptions'!$B$7)</x:f>
        <x:v>0</x:v>
      </x:c>
      <x:c r="J358" s="55" t="n">
        <x:v>-0.01712055703846771</x:v>
      </x:c>
      <x:c r="K358" s="55" t="n">
        <x:v>0.021635006239360433</x:v>
      </x:c>
      <x:c r="L358" s="55" t="n">
        <x:v>-0.007008454247545259</x:v>
      </x:c>
      <x:c r="M358" s="57" t="b">
        <x:f>J358&gt;='Assumptions'!$B$8</x:f>
        <x:v>0</x:v>
      </x:c>
      <x:c r="N358" s="57" t="b">
        <x:f>AND(K358&lt;&gt;"",K358&lt;='Assumptions'!$B$9)</x:f>
        <x:v>0</x:v>
      </x:c>
      <x:c r="O358" s="57" t="b">
        <x:f>AND(P358&lt;&gt;"",ABS(L358)&lt;='Assumptions'!$B$10)</x:f>
        <x:v>0</x:v>
      </x:c>
      <x:c r="P358" s="53" t="n">
        <x:v>45692</x:v>
      </x:c>
      <x:c r="Q358" s="54" t="n">
        <x:v>21317.187</x:v>
      </x:c>
      <x:c r="R358" s="55" t="n">
        <x:v>-0.00159</x:v>
      </x:c>
      <x:c r="S358" s="57" t="str">
        <x:f>IF(I358,"DAMAGE SKIP",IF(AND(M358,N358),IF(O358,"TUESDAY RE-ENTRY","GAP/MOM SKIP"),"BASELINE"))</x:f>
        <x:v>BASELINE</x:v>
      </x:c>
      <x:c r="T358" s="56" t="n">
        <x:f>IF(I358,0,IF(AND(M358,N358),IF(O358,R358,0),G358))</x:f>
        <x:v>0.0085</x:v>
      </x:c>
      <x:c r="U358" s="56" t="n">
        <x:f>G358*'Assumptions'!$B$6</x:f>
        <x:v>0.09605000000000001</x:v>
      </x:c>
      <x:c r="V358" s="56" t="n">
        <x:f>T358*'Assumptions'!$B$6</x:f>
        <x:v>0.09605000000000001</x:v>
      </x:c>
      <x:c r="W358" s="56" t="n">
        <x:f>V358-U358</x:f>
        <x:v>0</x:v>
      </x:c>
      <x:c r="X358" s="58" t="n">
        <x:f>X357*(1+U358)</x:f>
        <x:v>16803054.072978187</x:v>
      </x:c>
      <x:c r="Y358" s="58" t="n">
        <x:f>MAX(Y357,X358)</x:f>
        <x:v>16803054.072978187</x:v>
      </x:c>
      <x:c r="Z358" s="59" t="n">
        <x:f>X358/Y358-1</x:f>
        <x:v>0</x:v>
      </x:c>
      <x:c r="AA358" s="58" t="n">
        <x:f>AA357*(1+V358)</x:f>
        <x:v>50583087.56688196</x:v>
      </x:c>
      <x:c r="AB358" s="58" t="n">
        <x:f>MAX(AB357,AA358)</x:f>
        <x:v>50583087.56688196</x:v>
      </x:c>
      <x:c r="AC358" s="59" t="n">
        <x:f>AA358/AB358-1</x:f>
        <x:v>0</x:v>
      </x:c>
      <x:c r="AD358" s="60" t="n">
        <x:f>AA358-X358</x:f>
        <x:v>33780033.49390377</x:v>
      </x:c>
      <x:c r="AE358" s="28" t="str">
        <x:v>Baseline trade unchanged.</x:v>
      </x:c>
    </x:row>
    <x:row r="359" ht="18" customHeight="1">
      <x:c r="A359" s="23" t="n">
        <x:v>355</x:v>
      </x:c>
      <x:c r="B359" s="53" t="n">
        <x:v>45698</x:v>
      </x:c>
      <x:c r="C359" s="53" t="n">
        <x:v>45702</x:v>
      </x:c>
      <x:c r="D359" s="23" t="str">
        <x:v>TO</x:v>
      </x:c>
      <x:c r="E359" s="54" t="n">
        <x:v>21671.331</x:v>
      </x:c>
      <x:c r="F359" s="54" t="n">
        <x:v>22106.908</x:v>
      </x:c>
      <x:c r="G359" s="55" t="n">
        <x:v>0.02009</x:v>
      </x:c>
      <x:c r="H359" s="56" t="n">
        <x:f>SUM(T356:T358)</x:f>
        <x:v>0.02921</x:v>
      </x:c>
      <x:c r="I359" s="57" t="b">
        <x:f>AND(A359&gt;3,H359&lt;='Assumptions'!$B$7)</x:f>
        <x:v>0</x:v>
      </x:c>
      <x:c r="J359" s="55" t="n">
        <x:v>0.007650325615664588</x:v>
      </x:c>
      <x:c r="K359" s="55" t="n">
        <x:v>0.014847338110759223</x:v>
      </x:c>
      <x:c r="L359" s="55" t="n">
        <x:v>0.0058125950411955785</x:v>
      </x:c>
      <x:c r="M359" s="57" t="b">
        <x:f>J359&gt;='Assumptions'!$B$8</x:f>
        <x:v>0</x:v>
      </x:c>
      <x:c r="N359" s="57" t="b">
        <x:f>AND(K359&lt;&gt;"",K359&lt;='Assumptions'!$B$9)</x:f>
        <x:v>0</x:v>
      </x:c>
      <x:c r="O359" s="57" t="b">
        <x:f>AND(P359&lt;&gt;"",ABS(L359)&lt;='Assumptions'!$B$10)</x:f>
        <x:v>0</x:v>
      </x:c>
      <x:c r="P359" s="53" t="n">
        <x:v>45699</x:v>
      </x:c>
      <x:c r="Q359" s="54" t="n">
        <x:v>21610.742</x:v>
      </x:c>
      <x:c r="R359" s="55" t="n">
        <x:v>0.02295</x:v>
      </x:c>
      <x:c r="S359" s="57" t="str">
        <x:f>IF(I359,"DAMAGE SKIP",IF(AND(M359,N359),IF(O359,"TUESDAY RE-ENTRY","GAP/MOM SKIP"),"BASELINE"))</x:f>
        <x:v>BASELINE</x:v>
      </x:c>
      <x:c r="T359" s="56" t="n">
        <x:f>IF(I359,0,IF(AND(M359,N359),IF(O359,R359,0),G359))</x:f>
        <x:v>0.02009</x:v>
      </x:c>
      <x:c r="U359" s="56" t="n">
        <x:f>G359*'Assumptions'!$B$6</x:f>
        <x:v>0.22701700000000002</x:v>
      </x:c>
      <x:c r="V359" s="56" t="n">
        <x:f>T359*'Assumptions'!$B$6</x:f>
        <x:v>0.22701700000000002</x:v>
      </x:c>
      <x:c r="W359" s="56" t="n">
        <x:f>V359-U359</x:f>
        <x:v>0</x:v>
      </x:c>
      <x:c r="X359" s="58" t="n">
        <x:f>X358*(1+U359)</x:f>
        <x:v>20617632.999463476</x:v>
      </x:c>
      <x:c r="Y359" s="58" t="n">
        <x:f>MAX(Y358,X359)</x:f>
        <x:v>20617632.999463476</x:v>
      </x:c>
      <x:c r="Z359" s="59" t="n">
        <x:f>X359/Y359-1</x:f>
        <x:v>0</x:v>
      </x:c>
      <x:c r="AA359" s="58" t="n">
        <x:f>AA358*(1+V359)</x:f>
        <x:v>62066308.3570528</x:v>
      </x:c>
      <x:c r="AB359" s="58" t="n">
        <x:f>MAX(AB358,AA359)</x:f>
        <x:v>62066308.3570528</x:v>
      </x:c>
      <x:c r="AC359" s="59" t="n">
        <x:f>AA359/AB359-1</x:f>
        <x:v>0</x:v>
      </x:c>
      <x:c r="AD359" s="60" t="n">
        <x:f>AA359-X359</x:f>
        <x:v>41448675.35758933</x:v>
      </x:c>
      <x:c r="AE359" s="28" t="str">
        <x:v>Baseline trade unchanged.</x:v>
      </x:c>
    </x:row>
    <x:row r="360" ht="18" customHeight="1">
      <x:c r="A360" s="23" t="n">
        <x:v>356</x:v>
      </x:c>
      <x:c r="B360" s="53" t="n">
        <x:v>45706</x:v>
      </x:c>
      <x:c r="C360" s="53" t="n">
        <x:v>45708</x:v>
      </x:c>
      <x:c r="D360" s="23" t="str">
        <x:v>TSL1PRE</x:v>
      </x:c>
      <x:c r="E360" s="54" t="n">
        <x:v>22182.964</x:v>
      </x:c>
      <x:c r="F360" s="54" t="n">
        <x:v>22090.009</x:v>
      </x:c>
      <x:c r="G360" s="55" t="n">
        <x:v>-0.00419</x:v>
      </x:c>
      <x:c r="H360" s="56" t="n">
        <x:f>SUM(T357:T359)</x:f>
        <x:v>0.03938</x:v>
      </x:c>
      <x:c r="I360" s="57" t="b">
        <x:f>AND(A360&gt;3,H360&lt;='Assumptions'!$B$7)</x:f>
        <x:v>0</x:v>
      </x:c>
      <x:c r="J360" s="55" t="n">
        <x:v>0.003440372574943673</x:v>
      </x:c>
      <x:c r="K360" s="55" t="n">
        <x:v>0.04886242084963199</x:v>
      </x:c>
      <x:c r="L360" s="55"/>
      <x:c r="M360" s="57" t="b">
        <x:f>J360&gt;='Assumptions'!$B$8</x:f>
        <x:v>0</x:v>
      </x:c>
      <x:c r="N360" s="57" t="b">
        <x:f>AND(K360&lt;&gt;"",K360&lt;='Assumptions'!$B$9)</x:f>
        <x:v>0</x:v>
      </x:c>
      <x:c r="O360" s="57" t="b">
        <x:f>AND(P360&lt;&gt;"",ABS(L360)&lt;='Assumptions'!$B$10)</x:f>
        <x:v>0</x:v>
      </x:c>
      <x:c r="P360" s="53"/>
      <x:c r="Q360" s="54"/>
      <x:c r="R360" s="55"/>
      <x:c r="S360" s="57" t="str">
        <x:f>IF(I360,"DAMAGE SKIP",IF(AND(M360,N360),IF(O360,"TUESDAY RE-ENTRY","GAP/MOM SKIP"),"BASELINE"))</x:f>
        <x:v>BASELINE</x:v>
      </x:c>
      <x:c r="T360" s="56" t="n">
        <x:f>IF(I360,0,IF(AND(M360,N360),IF(O360,R360,0),G360))</x:f>
        <x:v>-0.00419</x:v>
      </x:c>
      <x:c r="U360" s="56" t="n">
        <x:f>G360*'Assumptions'!$B$6</x:f>
        <x:v>-0.04734700000000001</x:v>
      </x:c>
      <x:c r="V360" s="56" t="n">
        <x:f>T360*'Assumptions'!$B$6</x:f>
        <x:v>-0.04734700000000001</x:v>
      </x:c>
      <x:c r="W360" s="56" t="n">
        <x:f>V360-U360</x:f>
        <x:v>0</x:v>
      </x:c>
      <x:c r="X360" s="58" t="n">
        <x:f>X359*(1+U360)</x:f>
        <x:v>19641449.92983788</x:v>
      </x:c>
      <x:c r="Y360" s="58" t="n">
        <x:f>MAX(Y359,X360)</x:f>
        <x:v>20617632.999463476</x:v>
      </x:c>
      <x:c r="Z360" s="59" t="n">
        <x:f>X360/Y360-1</x:f>
        <x:v>-0.04734700000000003</x:v>
      </x:c>
      <x:c r="AA360" s="58" t="n">
        <x:f>AA359*(1+V360)</x:f>
        <x:v>59127654.85527142</x:v>
      </x:c>
      <x:c r="AB360" s="58" t="n">
        <x:f>MAX(AB359,AA360)</x:f>
        <x:v>62066308.3570528</x:v>
      </x:c>
      <x:c r="AC360" s="59" t="n">
        <x:f>AA360/AB360-1</x:f>
        <x:v>-0.04734700000000003</x:v>
      </x:c>
      <x:c r="AD360" s="60" t="n">
        <x:f>AA360-X360</x:f>
        <x:v>39486204.92543355</x:v>
      </x:c>
      <x:c r="AE360" s="28" t="str">
        <x:v>Baseline trade unchanged.</x:v>
      </x:c>
    </x:row>
    <x:row r="361" ht="18" customHeight="1">
      <x:c r="A361" s="23" t="n">
        <x:v>357</x:v>
      </x:c>
      <x:c r="B361" s="53" t="n">
        <x:v>45712</x:v>
      </x:c>
      <x:c r="C361" s="53" t="n">
        <x:v>45715</x:v>
      </x:c>
      <x:c r="D361" s="23" t="str">
        <x:v>TSL1PRE</x:v>
      </x:c>
      <x:c r="E361" s="54" t="n">
        <x:v>21686.289</x:v>
      </x:c>
      <x:c r="F361" s="54" t="n">
        <x:v>21177.865</x:v>
      </x:c>
      <x:c r="G361" s="55" t="n">
        <x:v>-0.02344</x:v>
      </x:c>
      <x:c r="H361" s="56" t="n">
        <x:f>SUM(T358:T360)</x:f>
        <x:v>0.0244</x:v>
      </x:c>
      <x:c r="I361" s="57" t="b">
        <x:f>AND(A361&gt;3,H361&lt;='Assumptions'!$B$7)</x:f>
        <x:v>0</x:v>
      </x:c>
      <x:c r="J361" s="55" t="n">
        <x:v>0.0027801508034364097</x:v>
      </x:c>
      <x:c r="K361" s="55" t="n">
        <x:v>-0.012315571959604865</x:v>
      </x:c>
      <x:c r="L361" s="55" t="n">
        <x:v>-0.013002168297172934</x:v>
      </x:c>
      <x:c r="M361" s="57" t="b">
        <x:f>J361&gt;='Assumptions'!$B$8</x:f>
        <x:v>0</x:v>
      </x:c>
      <x:c r="N361" s="57" t="b">
        <x:f>AND(K361&lt;&gt;"",K361&lt;='Assumptions'!$B$9)</x:f>
        <x:v>1</x:v>
      </x:c>
      <x:c r="O361" s="57" t="b">
        <x:f>AND(P361&lt;&gt;"",ABS(L361)&lt;='Assumptions'!$B$10)</x:f>
        <x:v>0</x:v>
      </x:c>
      <x:c r="P361" s="53" t="n">
        <x:v>45713</x:v>
      </x:c>
      <x:c r="Q361" s="54" t="n">
        <x:v>21327.332</x:v>
      </x:c>
      <x:c r="R361" s="55" t="n">
        <x:v>-0.007</x:v>
      </x:c>
      <x:c r="S361" s="57" t="str">
        <x:f>IF(I361,"DAMAGE SKIP",IF(AND(M361,N361),IF(O361,"TUESDAY RE-ENTRY","GAP/MOM SKIP"),"BASELINE"))</x:f>
        <x:v>BASELINE</x:v>
      </x:c>
      <x:c r="T361" s="56" t="n">
        <x:f>IF(I361,0,IF(AND(M361,N361),IF(O361,R361,0),G361))</x:f>
        <x:v>-0.02344</x:v>
      </x:c>
      <x:c r="U361" s="56" t="n">
        <x:f>G361*'Assumptions'!$B$6</x:f>
        <x:v>-0.264872</x:v>
      </x:c>
      <x:c r="V361" s="56" t="n">
        <x:f>T361*'Assumptions'!$B$6</x:f>
        <x:v>-0.264872</x:v>
      </x:c>
      <x:c r="W361" s="56" t="n">
        <x:f>V361-U361</x:f>
        <x:v>0</x:v>
      </x:c>
      <x:c r="X361" s="58" t="n">
        <x:f>X360*(1+U361)</x:f>
        <x:v>14438979.80402186</x:v>
      </x:c>
      <x:c r="Y361" s="58" t="n">
        <x:f>MAX(Y360,X361)</x:f>
        <x:v>20617632.999463476</x:v>
      </x:c>
      <x:c r="Z361" s="59" t="n">
        <x:f>X361/Y361-1</x:f>
        <x:v>-0.29967810541600004</x:v>
      </x:c>
      <x:c r="AA361" s="58" t="n">
        <x:f>AA360*(1+V361)</x:f>
        <x:v>43466394.65844597</x:v>
      </x:c>
      <x:c r="AB361" s="58" t="n">
        <x:f>MAX(AB360,AA361)</x:f>
        <x:v>62066308.3570528</x:v>
      </x:c>
      <x:c r="AC361" s="59" t="n">
        <x:f>AA361/AB361-1</x:f>
        <x:v>-0.29967810541600004</x:v>
      </x:c>
      <x:c r="AD361" s="60" t="n">
        <x:f>AA361-X361</x:f>
        <x:v>29027414.85442411</x:v>
      </x:c>
      <x:c r="AE361" s="28" t="str">
        <x:v>Baseline trade unchanged.</x:v>
      </x:c>
    </x:row>
    <x:row r="362" ht="18" customHeight="1">
      <x:c r="A362" s="23" t="n">
        <x:v>358</x:v>
      </x:c>
      <x:c r="B362" s="53" t="n">
        <x:v>45719</x:v>
      </x:c>
      <x:c r="C362" s="53" t="n">
        <x:v>45722</x:v>
      </x:c>
      <x:c r="D362" s="23" t="str">
        <x:v>TSL1PRE</x:v>
      </x:c>
      <x:c r="E362" s="54" t="n">
        <x:v>21008.789</x:v>
      </x:c>
      <x:c r="F362" s="54" t="n">
        <x:v>20573.498</x:v>
      </x:c>
      <x:c r="G362" s="55" t="n">
        <x:v>-0.02071</x:v>
      </x:c>
      <x:c r="H362" s="56" t="n">
        <x:f>SUM(T359:T361)</x:f>
        <x:v>-0.007539999999999998</x:v>
      </x:c>
      <x:c r="I362" s="57" t="b">
        <x:f>AND(A362&gt;3,H362&lt;='Assumptions'!$B$7)</x:f>
        <x:v>0</x:v>
      </x:c>
      <x:c r="J362" s="55" t="n">
        <x:v>0.006668979439481637</x:v>
      </x:c>
      <x:c r="K362" s="55" t="n">
        <x:v>-0.028446917404948757</x:v>
      </x:c>
      <x:c r="L362" s="55" t="n">
        <x:v>-0.027531759076414808</x:v>
      </x:c>
      <x:c r="M362" s="57" t="b">
        <x:f>J362&gt;='Assumptions'!$B$8</x:f>
        <x:v>0</x:v>
      </x:c>
      <x:c r="N362" s="57" t="b">
        <x:f>AND(K362&lt;&gt;"",K362&lt;='Assumptions'!$B$9)</x:f>
        <x:v>1</x:v>
      </x:c>
      <x:c r="O362" s="57" t="b">
        <x:f>AND(P362&lt;&gt;"",ABS(L362)&lt;='Assumptions'!$B$10)</x:f>
        <x:v>0</x:v>
      </x:c>
      <x:c r="P362" s="53" t="n">
        <x:v>45720</x:v>
      </x:c>
      <x:c r="Q362" s="54" t="n">
        <x:v>20301.02</x:v>
      </x:c>
      <x:c r="R362" s="55" t="n">
        <x:v>0.01342</x:v>
      </x:c>
      <x:c r="S362" s="57" t="str">
        <x:f>IF(I362,"DAMAGE SKIP",IF(AND(M362,N362),IF(O362,"TUESDAY RE-ENTRY","GAP/MOM SKIP"),"BASELINE"))</x:f>
        <x:v>BASELINE</x:v>
      </x:c>
      <x:c r="T362" s="56" t="n">
        <x:f>IF(I362,0,IF(AND(M362,N362),IF(O362,R362,0),G362))</x:f>
        <x:v>-0.02071</x:v>
      </x:c>
      <x:c r="U362" s="56" t="n">
        <x:f>G362*'Assumptions'!$B$6</x:f>
        <x:v>-0.234023</x:v>
      </x:c>
      <x:c r="V362" s="56" t="n">
        <x:f>T362*'Assumptions'!$B$6</x:f>
        <x:v>-0.234023</x:v>
      </x:c>
      <x:c r="W362" s="56" t="n">
        <x:f>V362-U362</x:f>
        <x:v>0</x:v>
      </x:c>
      <x:c r="X362" s="58" t="n">
        <x:f>X361*(1+U362)</x:f>
        <x:v>11059926.433345253</x:v>
      </x:c>
      <x:c r="Y362" s="58" t="n">
        <x:f>MAX(Y361,X362)</x:f>
        <x:v>20617632.999463476</x:v>
      </x:c>
      <x:c r="Z362" s="59" t="n">
        <x:f>X362/Y362-1</x:f>
        <x:v>-0.4635695361522314</x:v>
      </x:c>
      <x:c r="AA362" s="58" t="n">
        <x:f>AA361*(1+V362)</x:f>
        <x:v>33294258.58129247</x:v>
      </x:c>
      <x:c r="AB362" s="58" t="n">
        <x:f>MAX(AB361,AA362)</x:f>
        <x:v>62066308.3570528</x:v>
      </x:c>
      <x:c r="AC362" s="59" t="n">
        <x:f>AA362/AB362-1</x:f>
        <x:v>-0.4635695361522314</x:v>
      </x:c>
      <x:c r="AD362" s="60" t="n">
        <x:f>AA362-X362</x:f>
        <x:v>22234332.147947215</x:v>
      </x:c>
      <x:c r="AE362" s="28" t="str">
        <x:v>Baseline trade unchanged.</x:v>
      </x:c>
    </x:row>
    <x:row r="363" ht="18" customHeight="1">
      <x:c r="A363" s="23" t="n">
        <x:v>359</x:v>
      </x:c>
      <x:c r="B363" s="53" t="n">
        <x:v>45726</x:v>
      </x:c>
      <x:c r="C363" s="53" t="n">
        <x:v>45729</x:v>
      </x:c>
      <x:c r="D363" s="23" t="str">
        <x:v>TSL1PRE</x:v>
      </x:c>
      <x:c r="E363" s="54" t="n">
        <x:v>19853.82</x:v>
      </x:c>
      <x:c r="F363" s="54" t="n">
        <x:v>19565.299</x:v>
      </x:c>
      <x:c r="G363" s="55" t="n">
        <x:v>-0.01453</x:v>
      </x:c>
      <x:c r="H363" s="56" t="n">
        <x:f>SUM(T360:T362)</x:f>
        <x:v>-0.048339999999999994</x:v>
      </x:c>
      <x:c r="I363" s="57" t="b">
        <x:f>AND(A363&gt;3,H363&lt;='Assumptions'!$B$7)</x:f>
        <x:v>1</x:v>
      </x:c>
      <x:c r="J363" s="55" t="n">
        <x:v>-0.016159091698579986</x:v>
      </x:c>
      <x:c r="K363" s="55" t="n">
        <x:v>-0.07139399257202939</x:v>
      </x:c>
      <x:c r="L363" s="55" t="n">
        <x:v>-0.039528935482162963</x:v>
      </x:c>
      <x:c r="M363" s="57" t="b">
        <x:f>J363&gt;='Assumptions'!$B$8</x:f>
        <x:v>0</x:v>
      </x:c>
      <x:c r="N363" s="57" t="b">
        <x:f>AND(K363&lt;&gt;"",K363&lt;='Assumptions'!$B$9)</x:f>
        <x:v>1</x:v>
      </x:c>
      <x:c r="O363" s="57" t="b">
        <x:f>AND(P363&lt;&gt;"",ABS(L363)&lt;='Assumptions'!$B$10)</x:f>
        <x:v>0</x:v>
      </x:c>
      <x:c r="P363" s="53" t="n">
        <x:v>45727</x:v>
      </x:c>
      <x:c r="Q363" s="54" t="n">
        <x:v>19389.808</x:v>
      </x:c>
      <x:c r="R363" s="55" t="n">
        <x:v>0.00905</x:v>
      </x:c>
      <x:c r="S363" s="57" t="str">
        <x:f>IF(I363,"DAMAGE SKIP",IF(AND(M363,N363),IF(O363,"TUESDAY RE-ENTRY","GAP/MOM SKIP"),"BASELINE"))</x:f>
        <x:v>DAMAGE SKIP</x:v>
      </x:c>
      <x:c r="T363" s="56" t="n">
        <x:f>IF(I363,0,IF(AND(M363,N363),IF(O363,R363,0),G363))</x:f>
        <x:v>0</x:v>
      </x:c>
      <x:c r="U363" s="56" t="n">
        <x:f>G363*'Assumptions'!$B$6</x:f>
        <x:v>-0.164189</x:v>
      </x:c>
      <x:c r="V363" s="56" t="n">
        <x:f>T363*'Assumptions'!$B$6</x:f>
        <x:v>0</x:v>
      </x:c>
      <x:c r="W363" s="56" t="n">
        <x:f>V363-U363</x:f>
        <x:v>0.164189</x:v>
      </x:c>
      <x:c r="X363" s="58" t="n">
        <x:f>X362*(1+U363)</x:f>
        <x:v>9244008.172180729</x:v>
      </x:c>
      <x:c r="Y363" s="58" t="n">
        <x:f>MAX(Y362,X363)</x:f>
        <x:v>20617632.999463476</x:v>
      </x:c>
      <x:c r="Z363" s="59" t="n">
        <x:f>X363/Y363-1</x:f>
        <x:v>-0.5516455175809327</x:v>
      </x:c>
      <x:c r="AA363" s="58" t="n">
        <x:f>AA362*(1+V363)</x:f>
        <x:v>33294258.58129247</x:v>
      </x:c>
      <x:c r="AB363" s="58" t="n">
        <x:f>MAX(AB362,AA363)</x:f>
        <x:v>62066308.3570528</x:v>
      </x:c>
      <x:c r="AC363" s="59" t="n">
        <x:f>AA363/AB363-1</x:f>
        <x:v>-0.4635695361522314</x:v>
      </x:c>
      <x:c r="AD363" s="60" t="n">
        <x:f>AA363-X363</x:f>
        <x:v>24050250.40911174</x:v>
      </x:c>
      <x:c r="AE363" s="28" t="str">
        <x:v>Skipped because the previous three rule outcomes totalled at or below the damage threshold.</x:v>
      </x:c>
    </x:row>
    <x:row r="364" ht="18" customHeight="1">
      <x:c r="A364" s="23" t="n">
        <x:v>360</x:v>
      </x:c>
      <x:c r="B364" s="53" t="n">
        <x:v>45733</x:v>
      </x:c>
      <x:c r="C364" s="53" t="n">
        <x:v>45734</x:v>
      </x:c>
      <x:c r="D364" s="23" t="str">
        <x:v>PREOH</x:v>
      </x:c>
      <x:c r="E364" s="54" t="n">
        <x:v>19686.832</x:v>
      </x:c>
      <x:c r="F364" s="54" t="n">
        <x:v>19835.542</x:v>
      </x:c>
      <x:c r="G364" s="55" t="n">
        <x:v>0.00755</x:v>
      </x:c>
      <x:c r="H364" s="56" t="n">
        <x:f>SUM(T361:T363)</x:f>
        <x:v>-0.044149999999999995</x:v>
      </x:c>
      <x:c r="I364" s="57" t="b">
        <x:f>AND(A364&gt;3,H364&lt;='Assumptions'!$B$7)</x:f>
        <x:v>1</x:v>
      </x:c>
      <x:c r="J364" s="55" t="n">
        <x:v>0.0013360246768086004</x:v>
      </x:c>
      <x:c r="K364" s="55" t="n">
        <x:v>-0.10494447787524608</x:v>
      </x:c>
      <x:c r="L364" s="55" t="n">
        <x:v>-0.000521979513348092</x:v>
      </x:c>
      <x:c r="M364" s="57" t="b">
        <x:f>J364&gt;='Assumptions'!$B$8</x:f>
        <x:v>0</x:v>
      </x:c>
      <x:c r="N364" s="57" t="b">
        <x:f>AND(K364&lt;&gt;"",K364&lt;='Assumptions'!$B$9)</x:f>
        <x:v>1</x:v>
      </x:c>
      <x:c r="O364" s="57" t="b">
        <x:f>AND(P364&lt;&gt;"",ABS(L364)&lt;='Assumptions'!$B$10)</x:f>
        <x:v>1</x:v>
      </x:c>
      <x:c r="P364" s="53" t="n">
        <x:v>45734</x:v>
      </x:c>
      <x:c r="Q364" s="54" t="n">
        <x:v>19679.187</x:v>
      </x:c>
      <x:c r="R364" s="55" t="n">
        <x:v>0.00794</x:v>
      </x:c>
      <x:c r="S364" s="57" t="str">
        <x:f>IF(I364,"DAMAGE SKIP",IF(AND(M364,N364),IF(O364,"TUESDAY RE-ENTRY","GAP/MOM SKIP"),"BASELINE"))</x:f>
        <x:v>DAMAGE SKIP</x:v>
      </x:c>
      <x:c r="T364" s="56" t="n">
        <x:f>IF(I364,0,IF(AND(M364,N364),IF(O364,R364,0),G364))</x:f>
        <x:v>0</x:v>
      </x:c>
      <x:c r="U364" s="56" t="n">
        <x:f>G364*'Assumptions'!$B$6</x:f>
        <x:v>0.085315</x:v>
      </x:c>
      <x:c r="V364" s="56" t="n">
        <x:f>T364*'Assumptions'!$B$6</x:f>
        <x:v>0</x:v>
      </x:c>
      <x:c r="W364" s="56" t="n">
        <x:f>V364-U364</x:f>
        <x:v>-0.085315</x:v>
      </x:c>
      <x:c r="X364" s="58" t="n">
        <x:f>X363*(1+U364)</x:f>
        <x:v>10032660.729390329</x:v>
      </x:c>
      <x:c r="Y364" s="58" t="n">
        <x:f>MAX(Y363,X364)</x:f>
        <x:v>20617632.999463476</x:v>
      </x:c>
      <x:c r="Z364" s="59" t="n">
        <x:f>X364/Y364-1</x:f>
        <x:v>-0.5133941549133499</x:v>
      </x:c>
      <x:c r="AA364" s="58" t="n">
        <x:f>AA363*(1+V364)</x:f>
        <x:v>33294258.58129247</x:v>
      </x:c>
      <x:c r="AB364" s="58" t="n">
        <x:f>MAX(AB363,AA364)</x:f>
        <x:v>62066308.3570528</x:v>
      </x:c>
      <x:c r="AC364" s="59" t="n">
        <x:f>AA364/AB364-1</x:f>
        <x:v>-0.4635695361522314</x:v>
      </x:c>
      <x:c r="AD364" s="60" t="n">
        <x:f>AA364-X364</x:f>
        <x:v>23261597.851902142</x:v>
      </x:c>
      <x:c r="AE364" s="28" t="str">
        <x:v>Skipped because the previous three rule outcomes totalled at or below the damage threshold.</x:v>
      </x:c>
    </x:row>
    <x:row r="365" ht="18" customHeight="1">
      <x:c r="A365" s="23" t="n">
        <x:v>361</x:v>
      </x:c>
      <x:c r="B365" s="53" t="n">
        <x:v>45740</x:v>
      </x:c>
      <x:c r="C365" s="53" t="n">
        <x:v>45743</x:v>
      </x:c>
      <x:c r="D365" s="23" t="str">
        <x:v>TSL1PRE</x:v>
      </x:c>
      <x:c r="E365" s="54" t="n">
        <x:v>20052.675</x:v>
      </x:c>
      <x:c r="F365" s="54" t="n">
        <x:v>19822.443</x:v>
      </x:c>
      <x:c r="G365" s="55" t="n">
        <x:v>-0.01148</x:v>
      </x:c>
      <x:c r="H365" s="56" t="n">
        <x:f>SUM(T362:T364)</x:f>
        <x:v>-0.02071</x:v>
      </x:c>
      <x:c r="I365" s="57" t="b">
        <x:f>AND(A365&gt;3,H365&lt;='Assumptions'!$B$7)</x:f>
        <x:v>1</x:v>
      </x:c>
      <x:c r="J365" s="55" t="n">
        <x:v>0.015708868695834433</x:v>
      </x:c>
      <x:c r="K365" s="55" t="n">
        <x:v>-0.0859951608328241</x:v>
      </x:c>
      <x:c r="L365" s="55" t="n">
        <x:v>0.02346477160066973</x:v>
      </x:c>
      <x:c r="M365" s="57" t="b">
        <x:f>J365&gt;='Assumptions'!$B$8</x:f>
        <x:v>1</x:v>
      </x:c>
      <x:c r="N365" s="57" t="b">
        <x:f>AND(K365&lt;&gt;"",K365&lt;='Assumptions'!$B$9)</x:f>
        <x:v>1</x:v>
      </x:c>
      <x:c r="O365" s="57" t="b">
        <x:f>AND(P365&lt;&gt;"",ABS(L365)&lt;='Assumptions'!$B$10)</x:f>
        <x:v>0</x:v>
      </x:c>
      <x:c r="P365" s="53" t="n">
        <x:v>45741</x:v>
      </x:c>
      <x:c r="Q365" s="54" t="n">
        <x:v>20196.264</x:v>
      </x:c>
      <x:c r="R365" s="55" t="n">
        <x:v>-0.0185</x:v>
      </x:c>
      <x:c r="S365" s="57" t="str">
        <x:f>IF(I365,"DAMAGE SKIP",IF(AND(M365,N365),IF(O365,"TUESDAY RE-ENTRY","GAP/MOM SKIP"),"BASELINE"))</x:f>
        <x:v>DAMAGE SKIP</x:v>
      </x:c>
      <x:c r="T365" s="56" t="n">
        <x:f>IF(I365,0,IF(AND(M365,N365),IF(O365,R365,0),G365))</x:f>
        <x:v>0</x:v>
      </x:c>
      <x:c r="U365" s="56" t="n">
        <x:f>G365*'Assumptions'!$B$6</x:f>
        <x:v>-0.129724</x:v>
      </x:c>
      <x:c r="V365" s="56" t="n">
        <x:f>T365*'Assumptions'!$B$6</x:f>
        <x:v>0</x:v>
      </x:c>
      <x:c r="W365" s="56" t="n">
        <x:f>V365-U365</x:f>
        <x:v>0.129724</x:v>
      </x:c>
      <x:c r="X365" s="58" t="n">
        <x:f>X364*(1+U365)</x:f>
        <x:v>8731183.848930899</x:v>
      </x:c>
      <x:c r="Y365" s="58" t="n">
        <x:f>MAX(Y364,X365)</x:f>
        <x:v>20617632.999463476</x:v>
      </x:c>
      <x:c r="Z365" s="59" t="n">
        <x:f>X365/Y365-1</x:f>
        <x:v>-0.5765186115613705</x:v>
      </x:c>
      <x:c r="AA365" s="58" t="n">
        <x:f>AA364*(1+V365)</x:f>
        <x:v>33294258.58129247</x:v>
      </x:c>
      <x:c r="AB365" s="58" t="n">
        <x:f>MAX(AB364,AA365)</x:f>
        <x:v>62066308.3570528</x:v>
      </x:c>
      <x:c r="AC365" s="59" t="n">
        <x:f>AA365/AB365-1</x:f>
        <x:v>-0.4635695361522314</x:v>
      </x:c>
      <x:c r="AD365" s="60" t="n">
        <x:f>AA365-X365</x:f>
        <x:v>24563074.73236157</x:v>
      </x:c>
      <x:c r="AE365" s="28" t="str">
        <x:v>Skipped because the previous three rule outcomes totalled at or below the damage threshold.</x:v>
      </x:c>
    </x:row>
    <x:row r="366" ht="18" customHeight="1">
      <x:c r="A366" s="23" t="n">
        <x:v>362</x:v>
      </x:c>
      <x:c r="B366" s="53" t="n">
        <x:v>45747</x:v>
      </x:c>
      <x:c r="C366" s="53" t="n">
        <x:v>45747</x:v>
      </x:c>
      <x:c r="D366" s="23" t="str">
        <x:v>CH</x:v>
      </x:c>
      <x:c r="E366" s="54" t="n">
        <x:v>18987.653</x:v>
      </x:c>
      <x:c r="F366" s="54" t="n">
        <x:v>19231.075</x:v>
      </x:c>
      <x:c r="G366" s="55" t="n">
        <x:v>0.01282</x:v>
      </x:c>
      <x:c r="H366" s="56" t="n">
        <x:f>SUM(T363:T365)</x:f>
        <x:v>0</x:v>
      </x:c>
      <x:c r="I366" s="57" t="b">
        <x:f>AND(A366&gt;3,H366&lt;='Assumptions'!$B$7)</x:f>
        <x:v>0</x:v>
      </x:c>
      <x:c r="J366" s="55" t="n">
        <x:v>-0.014581021390802085</x:v>
      </x:c>
      <x:c r="K366" s="55" t="n">
        <x:v>-0.07582368637838133</x:v>
      </x:c>
      <x:c r="L366" s="55" t="n">
        <x:v>-0.003497249115025358</x:v>
      </x:c>
      <x:c r="M366" s="57" t="b">
        <x:f>J366&gt;='Assumptions'!$B$8</x:f>
        <x:v>0</x:v>
      </x:c>
      <x:c r="N366" s="57" t="b">
        <x:f>AND(K366&lt;&gt;"",K366&lt;='Assumptions'!$B$9)</x:f>
        <x:v>1</x:v>
      </x:c>
      <x:c r="O366" s="57" t="b">
        <x:f>AND(P366&lt;&gt;"",ABS(L366)&lt;='Assumptions'!$B$10)</x:f>
        <x:v>1</x:v>
      </x:c>
      <x:c r="P366" s="53" t="n">
        <x:v>45748</x:v>
      </x:c>
      <x:c r="Q366" s="54" t="n">
        <x:v>19206.341</x:v>
      </x:c>
      <x:c r="R366" s="55" t="n">
        <x:v>0.00128</x:v>
      </x:c>
      <x:c r="S366" s="57" t="str">
        <x:f>IF(I366,"DAMAGE SKIP",IF(AND(M366,N366),IF(O366,"TUESDAY RE-ENTRY","GAP/MOM SKIP"),"BASELINE"))</x:f>
        <x:v>BASELINE</x:v>
      </x:c>
      <x:c r="T366" s="56" t="n">
        <x:f>IF(I366,0,IF(AND(M366,N366),IF(O366,R366,0),G366))</x:f>
        <x:v>0.01282</x:v>
      </x:c>
      <x:c r="U366" s="56" t="n">
        <x:f>G366*'Assumptions'!$B$6</x:f>
        <x:v>0.144866</x:v>
      </x:c>
      <x:c r="V366" s="56" t="n">
        <x:f>T366*'Assumptions'!$B$6</x:f>
        <x:v>0.144866</x:v>
      </x:c>
      <x:c r="W366" s="56" t="n">
        <x:f>V366-U366</x:f>
        <x:v>0</x:v>
      </x:c>
      <x:c r="X366" s="58" t="n">
        <x:f>X365*(1+U366)</x:f>
        <x:v>9996035.528390123</x:v>
      </x:c>
      <x:c r="Y366" s="58" t="n">
        <x:f>MAX(Y365,X366)</x:f>
        <x:v>20617632.999463476</x:v>
      </x:c>
      <x:c r="Z366" s="59" t="n">
        <x:f>X366/Y366-1</x:f>
        <x:v>-0.51517055674382</x:v>
      </x:c>
      <x:c r="AA366" s="58" t="n">
        <x:f>AA365*(1+V366)</x:f>
        <x:v>38117464.64492998</x:v>
      </x:c>
      <x:c r="AB366" s="58" t="n">
        <x:f>MAX(AB365,AA366)</x:f>
        <x:v>62066308.3570528</x:v>
      </x:c>
      <x:c r="AC366" s="59" t="n">
        <x:f>AA366/AB366-1</x:f>
        <x:v>-0.3858590005764606</x:v>
      </x:c>
      <x:c r="AD366" s="60" t="n">
        <x:f>AA366-X366</x:f>
        <x:v>28121429.11653986</x:v>
      </x:c>
      <x:c r="AE366" s="28" t="str">
        <x:v>Baseline trade unchanged.</x:v>
      </x:c>
    </x:row>
    <x:row r="367" ht="18" customHeight="1">
      <x:c r="A367" s="23" t="n">
        <x:v>363</x:v>
      </x:c>
      <x:c r="B367" s="53" t="n">
        <x:v>45754</x:v>
      </x:c>
      <x:c r="C367" s="53" t="n">
        <x:v>45754</x:v>
      </x:c>
      <x:c r="D367" s="23" t="str">
        <x:v>CH</x:v>
      </x:c>
      <x:c r="E367" s="54" t="n">
        <x:v>16783.953</x:v>
      </x:c>
      <x:c r="F367" s="54" t="n">
        <x:v>17451.608</x:v>
      </x:c>
      <x:c r="G367" s="55" t="n">
        <x:v>0.03977</x:v>
      </x:c>
      <x:c r="H367" s="56" t="n">
        <x:f>SUM(T364:T366)</x:f>
        <x:v>0.01282</x:v>
      </x:c>
      <x:c r="I367" s="57" t="b">
        <x:f>AND(A367&gt;3,H367&lt;='Assumptions'!$B$7)</x:f>
        <x:v>0</x:v>
      </x:c>
      <x:c r="J367" s="55" t="n">
        <x:v>-0.035661658095480386</x:v>
      </x:c>
      <x:c r="K367" s="55" t="n">
        <x:v>-0.13926664467333794</x:v>
      </x:c>
      <x:c r="L367" s="55" t="n">
        <x:v>0.0366479759623346</x:v>
      </x:c>
      <x:c r="M367" s="57" t="b">
        <x:f>J367&gt;='Assumptions'!$B$8</x:f>
        <x:v>0</x:v>
      </x:c>
      <x:c r="N367" s="57" t="b">
        <x:f>AND(K367&lt;&gt;"",K367&lt;='Assumptions'!$B$9)</x:f>
        <x:v>1</x:v>
      </x:c>
      <x:c r="O367" s="57" t="b">
        <x:f>AND(P367&lt;&gt;"",ABS(L367)&lt;='Assumptions'!$B$10)</x:f>
        <x:v>0</x:v>
      </x:c>
      <x:c r="P367" s="53" t="n">
        <x:v>45755</x:v>
      </x:c>
      <x:c r="Q367" s="54" t="n">
        <x:v>18019.308</x:v>
      </x:c>
      <x:c r="R367" s="55" t="n">
        <x:v>-0.0315</x:v>
      </x:c>
      <x:c r="S367" s="57" t="str">
        <x:f>IF(I367,"DAMAGE SKIP",IF(AND(M367,N367),IF(O367,"TUESDAY RE-ENTRY","GAP/MOM SKIP"),"BASELINE"))</x:f>
        <x:v>BASELINE</x:v>
      </x:c>
      <x:c r="T367" s="56" t="n">
        <x:f>IF(I367,0,IF(AND(M367,N367),IF(O367,R367,0),G367))</x:f>
        <x:v>0.03977</x:v>
      </x:c>
      <x:c r="U367" s="56" t="n">
        <x:f>G367*'Assumptions'!$B$6</x:f>
        <x:v>0.44940100000000005</x:v>
      </x:c>
      <x:c r="V367" s="56" t="n">
        <x:f>T367*'Assumptions'!$B$6</x:f>
        <x:v>0.44940100000000005</x:v>
      </x:c>
      <x:c r="W367" s="56" t="n">
        <x:f>V367-U367</x:f>
        <x:v>0</x:v>
      </x:c>
      <x:c r="X367" s="58" t="n">
        <x:f>X366*(1+U367)</x:f>
        <x:v>14488263.890884172</x:v>
      </x:c>
      <x:c r="Y367" s="58" t="n">
        <x:f>MAX(Y366,X367)</x:f>
        <x:v>20617632.999463476</x:v>
      </x:c>
      <x:c r="Z367" s="59" t="n">
        <x:f>X367/Y367-1</x:f>
        <x:v>-0.29728772011504934</x:v>
      </x:c>
      <x:c r="AA367" s="58" t="n">
        <x:f>AA366*(1+V367)</x:f>
        <x:v>55247491.37382616</x:v>
      </x:c>
      <x:c r="AB367" s="58" t="n">
        <x:f>MAX(AB366,AA367)</x:f>
        <x:v>62066308.3570528</x:v>
      </x:c>
      <x:c r="AC367" s="59" t="n">
        <x:f>AA367/AB367-1</x:f>
        <x:v>-0.10986342129452265</x:v>
      </x:c>
      <x:c r="AD367" s="60" t="n">
        <x:f>AA367-X367</x:f>
        <x:v>40759227.482941985</x:v>
      </x:c>
      <x:c r="AE367" s="28" t="str">
        <x:v>Baseline trade unchanged.</x:v>
      </x:c>
    </x:row>
    <x:row r="368" ht="18" customHeight="1">
      <x:c r="A368" s="23" t="n">
        <x:v>364</x:v>
      </x:c>
      <x:c r="B368" s="53" t="n">
        <x:v>45761</x:v>
      </x:c>
      <x:c r="C368" s="53" t="n">
        <x:v>45764</x:v>
      </x:c>
      <x:c r="D368" s="23" t="str">
        <x:v>TSL1PRE</x:v>
      </x:c>
      <x:c r="E368" s="54" t="n">
        <x:v>19091.399</x:v>
      </x:c>
      <x:c r="F368" s="54" t="n">
        <x:v>18297.819</x:v>
      </x:c>
      <x:c r="G368" s="55" t="n">
        <x:v>-0.04156</x:v>
      </x:c>
      <x:c r="H368" s="56" t="n">
        <x:f>SUM(T365:T367)</x:f>
        <x:v>0.05259</x:v>
      </x:c>
      <x:c r="I368" s="57" t="b">
        <x:f>AND(A368&gt;3,H368&lt;='Assumptions'!$B$7)</x:f>
        <x:v>0</x:v>
      </x:c>
      <x:c r="J368" s="55" t="n">
        <x:v>0.021724039661823014</x:v>
      </x:c>
      <x:c r="K368" s="55" t="n">
        <x:v>-0.05125003653856608</x:v>
      </x:c>
      <x:c r="L368" s="55" t="n">
        <x:v>0.009110915492957838</x:v>
      </x:c>
      <x:c r="M368" s="57" t="b">
        <x:f>J368&gt;='Assumptions'!$B$8</x:f>
        <x:v>1</x:v>
      </x:c>
      <x:c r="N368" s="57" t="b">
        <x:f>AND(K368&lt;&gt;"",K368&lt;='Assumptions'!$B$9)</x:f>
        <x:v>1</x:v>
      </x:c>
      <x:c r="O368" s="57" t="b">
        <x:f>AND(P368&lt;&gt;"",ABS(L368)&lt;='Assumptions'!$B$10)</x:f>
        <x:v>0</x:v>
      </x:c>
      <x:c r="P368" s="53" t="n">
        <x:v>45762</x:v>
      </x:c>
      <x:c r="Q368" s="54" t="n">
        <x:v>18847.843</x:v>
      </x:c>
      <x:c r="R368" s="55" t="n">
        <x:v>-0.02918</x:v>
      </x:c>
      <x:c r="S368" s="57" t="str">
        <x:f>IF(I368,"DAMAGE SKIP",IF(AND(M368,N368),IF(O368,"TUESDAY RE-ENTRY","GAP/MOM SKIP"),"BASELINE"))</x:f>
        <x:v>GAP/MOM SKIP</x:v>
      </x:c>
      <x:c r="T368" s="56" t="n">
        <x:f>IF(I368,0,IF(AND(M368,N368),IF(O368,R368,0),G368))</x:f>
        <x:v>0</x:v>
      </x:c>
      <x:c r="U368" s="56" t="n">
        <x:f>G368*'Assumptions'!$B$6</x:f>
        <x:v>-0.46962800000000005</x:v>
      </x:c>
      <x:c r="V368" s="56" t="n">
        <x:f>T368*'Assumptions'!$B$6</x:f>
        <x:v>0</x:v>
      </x:c>
      <x:c r="W368" s="56" t="n">
        <x:f>V368-U368</x:f>
        <x:v>0.46962800000000005</x:v>
      </x:c>
      <x:c r="X368" s="58" t="n">
        <x:f>X367*(1+U368)</x:f>
        <x:v>7684169.49633602</x:v>
      </x:c>
      <x:c r="Y368" s="58" t="n">
        <x:f>MAX(Y367,X368)</x:f>
        <x:v>20617632.999463476</x:v>
      </x:c>
      <x:c r="Z368" s="59" t="n">
        <x:f>X368/Y368-1</x:f>
        <x:v>-0.627301082692859</x:v>
      </x:c>
      <x:c r="AA368" s="58" t="n">
        <x:f>AA367*(1+V368)</x:f>
        <x:v>55247491.37382616</x:v>
      </x:c>
      <x:c r="AB368" s="58" t="n">
        <x:f>MAX(AB367,AA368)</x:f>
        <x:v>62066308.3570528</x:v>
      </x:c>
      <x:c r="AC368" s="59" t="n">
        <x:f>AA368/AB368-1</x:f>
        <x:v>-0.10986342129452265</x:v>
      </x:c>
      <x:c r="AD368" s="60" t="n">
        <x:f>AA368-X368</x:f>
        <x:v>47563321.87749014</x:v>
      </x:c>
      <x:c r="AE368" s="28" t="str">
        <x:v>Monday entry skipped; Tuesday did not normalize within the Friday-based tolerance.</x:v>
      </x:c>
    </x:row>
    <x:row r="369" ht="18" customHeight="1">
      <x:c r="A369" s="23" t="n">
        <x:v>365</x:v>
      </x:c>
      <x:c r="B369" s="53" t="n">
        <x:v>45768</x:v>
      </x:c>
      <x:c r="C369" s="53" t="n">
        <x:v>45771</x:v>
      </x:c>
      <x:c r="D369" s="23" t="str">
        <x:v>CH</x:v>
      </x:c>
      <x:c r="E369" s="54" t="n">
        <x:v>18006.686</x:v>
      </x:c>
      <x:c r="F369" s="54" t="n">
        <x:v>19203.52</x:v>
      </x:c>
      <x:c r="G369" s="55" t="n">
        <x:v>0.06646</x:v>
      </x:c>
      <x:c r="H369" s="56" t="n">
        <x:f>SUM(T366:T368)</x:f>
        <x:v>0.05259</x:v>
      </x:c>
      <x:c r="I369" s="57" t="b">
        <x:f>AND(A369&gt;3,H369&lt;='Assumptions'!$B$7)</x:f>
        <x:v>0</x:v>
      </x:c>
      <x:c r="J369" s="55" t="n">
        <x:v>-0.013619864586330688</x:v>
      </x:c>
      <x:c r="K369" s="55" t="n">
        <x:v>-0.07198248029974064</x:v>
      </x:c>
      <x:c r="L369" s="55" t="n">
        <x:v>-0.011889214140959337</x:v>
      </x:c>
      <x:c r="M369" s="57" t="b">
        <x:f>J369&gt;='Assumptions'!$B$8</x:f>
        <x:v>0</x:v>
      </x:c>
      <x:c r="N369" s="57" t="b">
        <x:f>AND(K369&lt;&gt;"",K369&lt;='Assumptions'!$B$9)</x:f>
        <x:v>1</x:v>
      </x:c>
      <x:c r="O369" s="57" t="b">
        <x:f>AND(P369&lt;&gt;"",ABS(L369)&lt;='Assumptions'!$B$10)</x:f>
        <x:v>0</x:v>
      </x:c>
      <x:c r="P369" s="53" t="n">
        <x:v>45769</x:v>
      </x:c>
      <x:c r="Q369" s="54" t="n">
        <x:v>18042.876</x:v>
      </x:c>
      <x:c r="R369" s="55" t="n">
        <x:v>0.06432</x:v>
      </x:c>
      <x:c r="S369" s="57" t="str">
        <x:f>IF(I369,"DAMAGE SKIP",IF(AND(M369,N369),IF(O369,"TUESDAY RE-ENTRY","GAP/MOM SKIP"),"BASELINE"))</x:f>
        <x:v>BASELINE</x:v>
      </x:c>
      <x:c r="T369" s="56" t="n">
        <x:f>IF(I369,0,IF(AND(M369,N369),IF(O369,R369,0),G369))</x:f>
        <x:v>0.06646</x:v>
      </x:c>
      <x:c r="U369" s="56" t="n">
        <x:f>G369*'Assumptions'!$B$6</x:f>
        <x:v>0.750998</x:v>
      </x:c>
      <x:c r="V369" s="56" t="n">
        <x:f>T369*'Assumptions'!$B$6</x:f>
        <x:v>0.750998</x:v>
      </x:c>
      <x:c r="W369" s="56" t="n">
        <x:f>V369-U369</x:f>
        <x:v>0</x:v>
      </x:c>
      <x:c r="X369" s="58" t="n">
        <x:f>X368*(1+U369)</x:f>
        <x:v>13454965.419745378</x:v>
      </x:c>
      <x:c r="Y369" s="58" t="n">
        <x:f>MAX(Y368,X369)</x:f>
        <x:v>20617632.999463476</x:v>
      </x:c>
      <x:c r="Z369" s="59" t="n">
        <x:f>X369/Y369-1</x:f>
        <x:v>-0.34740494119303067</x:v>
      </x:c>
      <x:c r="AA369" s="58" t="n">
        <x:f>AA368*(1+V369)</x:f>
        <x:v>96738246.90058686</x:v>
      </x:c>
      <x:c r="AB369" s="58" t="n">
        <x:f>MAX(AB368,AA369)</x:f>
        <x:v>96738246.90058686</x:v>
      </x:c>
      <x:c r="AC369" s="59" t="n">
        <x:f>AA369/AB369-1</x:f>
        <x:v>0</x:v>
      </x:c>
      <x:c r="AD369" s="60" t="n">
        <x:f>AA369-X369</x:f>
        <x:v>83283281.48084149</x:v>
      </x:c>
      <x:c r="AE369" s="28" t="str">
        <x:v>Baseline trade unchanged.</x:v>
      </x:c>
    </x:row>
    <x:row r="370" ht="18" customHeight="1">
      <x:c r="A370" s="23" t="n">
        <x:v>366</x:v>
      </x:c>
      <x:c r="B370" s="53" t="n">
        <x:v>45775</x:v>
      </x:c>
      <x:c r="C370" s="53" t="n">
        <x:v>45779</x:v>
      </x:c>
      <x:c r="D370" s="23" t="str">
        <x:v>TO</x:v>
      </x:c>
      <x:c r="E370" s="54" t="n">
        <x:v>19440.932</x:v>
      </x:c>
      <x:c r="F370" s="54" t="n">
        <x:v>20090.589</x:v>
      </x:c>
      <x:c r="G370" s="55" t="n">
        <x:v>0.03341</x:v>
      </x:c>
      <x:c r="H370" s="56" t="n">
        <x:f>SUM(T367:T369)</x:f>
        <x:v>0.10623</x:v>
      </x:c>
      <x:c r="I370" s="57" t="b">
        <x:f>AND(A370&gt;3,H370&lt;='Assumptions'!$B$7)</x:f>
        <x:v>0</x:v>
      </x:c>
      <x:c r="J370" s="55" t="n">
        <x:v>0.00018752617070472155</x:v>
      </x:c>
      <x:c r="K370" s="55" t="n">
        <x:v>-0.01881151114986923</x:v>
      </x:c>
      <x:c r="L370" s="55" t="n">
        <x:v>-0.005057558828508557</x:v>
      </x:c>
      <x:c r="M370" s="57" t="b">
        <x:f>J370&gt;='Assumptions'!$B$8</x:f>
        <x:v>0</x:v>
      </x:c>
      <x:c r="N370" s="57" t="b">
        <x:f>AND(K370&lt;&gt;"",K370&lt;='Assumptions'!$B$9)</x:f>
        <x:v>1</x:v>
      </x:c>
      <x:c r="O370" s="57" t="b">
        <x:f>AND(P370&lt;&gt;"",ABS(L370)&lt;='Assumptions'!$B$10)</x:f>
        <x:v>0</x:v>
      </x:c>
      <x:c r="P370" s="53" t="n">
        <x:v>45776</x:v>
      </x:c>
      <x:c r="Q370" s="54" t="n">
        <x:v>19324.887</x:v>
      </x:c>
      <x:c r="R370" s="55" t="n">
        <x:v>0.03962</x:v>
      </x:c>
      <x:c r="S370" s="57" t="str">
        <x:f>IF(I370,"DAMAGE SKIP",IF(AND(M370,N370),IF(O370,"TUESDAY RE-ENTRY","GAP/MOM SKIP"),"BASELINE"))</x:f>
        <x:v>BASELINE</x:v>
      </x:c>
      <x:c r="T370" s="56" t="n">
        <x:f>IF(I370,0,IF(AND(M370,N370),IF(O370,R370,0),G370))</x:f>
        <x:v>0.03341</x:v>
      </x:c>
      <x:c r="U370" s="56" t="n">
        <x:f>G370*'Assumptions'!$B$6</x:f>
        <x:v>0.37753300000000006</x:v>
      </x:c>
      <x:c r="V370" s="56" t="n">
        <x:f>T370*'Assumptions'!$B$6</x:f>
        <x:v>0.37753300000000006</x:v>
      </x:c>
      <x:c r="W370" s="56" t="n">
        <x:f>V370-U370</x:f>
        <x:v>0</x:v>
      </x:c>
      <x:c r="X370" s="58" t="n">
        <x:f>X369*(1+U370)</x:f>
        <x:v>18534658.879558112</x:v>
      </x:c>
      <x:c r="Y370" s="58" t="n">
        <x:f>MAX(Y369,X370)</x:f>
        <x:v>20617632.999463476</x:v>
      </x:c>
      <x:c r="Z370" s="59" t="n">
        <x:f>X370/Y370-1</x:f>
        <x:v>-0.101028770856459</x:v>
      </x:c>
      <x:c r="AA370" s="58" t="n">
        <x:f>AA369*(1+V370)</x:f>
        <x:v>133260127.46770613</x:v>
      </x:c>
      <x:c r="AB370" s="58" t="n">
        <x:f>MAX(AB369,AA370)</x:f>
        <x:v>133260127.46770613</x:v>
      </x:c>
      <x:c r="AC370" s="59" t="n">
        <x:f>AA370/AB370-1</x:f>
        <x:v>0</x:v>
      </x:c>
      <x:c r="AD370" s="60" t="n">
        <x:f>AA370-X370</x:f>
        <x:v>114725468.58814801</x:v>
      </x:c>
      <x:c r="AE370" s="28" t="str">
        <x:v>Baseline trade unchanged.</x:v>
      </x:c>
    </x:row>
    <x:row r="371" ht="18" customHeight="1">
      <x:c r="A371" s="23" t="n">
        <x:v>367</x:v>
      </x:c>
      <x:c r="B371" s="53" t="n">
        <x:v>45782</x:v>
      </x:c>
      <x:c r="C371" s="53" t="n">
        <x:v>45784</x:v>
      </x:c>
      <x:c r="D371" s="23" t="str">
        <x:v>BEPRE</x:v>
      </x:c>
      <x:c r="E371" s="54" t="n">
        <x:v>19914.889</x:v>
      </x:c>
      <x:c r="F371" s="54" t="n">
        <x:v>20011.32</x:v>
      </x:c>
      <x:c r="G371" s="55" t="n">
        <x:v>0.00484</x:v>
      </x:c>
      <x:c r="H371" s="56" t="n">
        <x:f>SUM(T368:T370)</x:f>
        <x:v>0.09987000000000001</x:v>
      </x:c>
      <x:c r="I371" s="57" t="b">
        <x:f>AND(A371&gt;3,H371&lt;='Assumptions'!$B$7)</x:f>
        <x:v>0</x:v>
      </x:c>
      <x:c r="J371" s="55" t="n">
        <x:v>-0.00874538820141113</x:v>
      </x:c>
      <x:c r="K371" s="55" t="n">
        <x:v>0.08469799849110182</x:v>
      </x:c>
      <x:c r="L371" s="55" t="n">
        <x:v>-0.018963647893950775</x:v>
      </x:c>
      <x:c r="M371" s="57" t="b">
        <x:f>J371&gt;='Assumptions'!$B$8</x:f>
        <x:v>0</x:v>
      </x:c>
      <x:c r="N371" s="57" t="b">
        <x:f>AND(K371&lt;&gt;"",K371&lt;='Assumptions'!$B$9)</x:f>
        <x:v>0</x:v>
      </x:c>
      <x:c r="O371" s="57" t="b">
        <x:f>AND(P371&lt;&gt;"",ABS(L371)&lt;='Assumptions'!$B$10)</x:f>
        <x:v>0</x:v>
      </x:c>
      <x:c r="P371" s="53" t="n">
        <x:v>45783</x:v>
      </x:c>
      <x:c r="Q371" s="54" t="n">
        <x:v>19706.486</x:v>
      </x:c>
      <x:c r="R371" s="55" t="n">
        <x:v>0.01546</x:v>
      </x:c>
      <x:c r="S371" s="57" t="str">
        <x:f>IF(I371,"DAMAGE SKIP",IF(AND(M371,N371),IF(O371,"TUESDAY RE-ENTRY","GAP/MOM SKIP"),"BASELINE"))</x:f>
        <x:v>BASELINE</x:v>
      </x:c>
      <x:c r="T371" s="56" t="n">
        <x:f>IF(I371,0,IF(AND(M371,N371),IF(O371,R371,0),G371))</x:f>
        <x:v>0.00484</x:v>
      </x:c>
      <x:c r="U371" s="56" t="n">
        <x:f>G371*'Assumptions'!$B$6</x:f>
        <x:v>0.054692</x:v>
      </x:c>
      <x:c r="V371" s="56" t="n">
        <x:f>T371*'Assumptions'!$B$6</x:f>
        <x:v>0.054692</x:v>
      </x:c>
      <x:c r="W371" s="56" t="n">
        <x:f>V371-U371</x:f>
        <x:v>0</x:v>
      </x:c>
      <x:c r="X371" s="58" t="n">
        <x:f>X370*(1+U371)</x:f>
        <x:v>19548356.442998905</x:v>
      </x:c>
      <x:c r="Y371" s="58" t="n">
        <x:f>MAX(Y370,X371)</x:f>
        <x:v>20617632.999463476</x:v>
      </x:c>
      <x:c r="Z371" s="59" t="n">
        <x:f>X371/Y371-1</x:f>
        <x:v>-0.05186223639214049</x:v>
      </x:c>
      <x:c r="AA371" s="58" t="n">
        <x:f>AA370*(1+V371)</x:f>
        <x:v>140548390.3591699</x:v>
      </x:c>
      <x:c r="AB371" s="58" t="n">
        <x:f>MAX(AB370,AA371)</x:f>
        <x:v>140548390.3591699</x:v>
      </x:c>
      <x:c r="AC371" s="59" t="n">
        <x:f>AA371/AB371-1</x:f>
        <x:v>0</x:v>
      </x:c>
      <x:c r="AD371" s="60" t="n">
        <x:f>AA371-X371</x:f>
        <x:v>121000033.916171</x:v>
      </x:c>
      <x:c r="AE371" s="28" t="str">
        <x:v>Baseline trade unchanged.</x:v>
      </x:c>
    </x:row>
    <x:row r="372" ht="18" customHeight="1">
      <x:c r="A372" s="23" t="n">
        <x:v>368</x:v>
      </x:c>
      <x:c r="B372" s="53" t="n">
        <x:v>45789</x:v>
      </x:c>
      <x:c r="C372" s="53" t="n">
        <x:v>45793</x:v>
      </x:c>
      <x:c r="D372" s="23" t="str">
        <x:v>TO</x:v>
      </x:c>
      <x:c r="E372" s="54" t="n">
        <x:v>20841.599</x:v>
      </x:c>
      <x:c r="F372" s="54" t="n">
        <x:v>21412.486</x:v>
      </x:c>
      <x:c r="G372" s="55" t="n">
        <x:v>0.02739</x:v>
      </x:c>
      <x:c r="H372" s="56" t="n">
        <x:f>SUM(T369:T371)</x:f>
        <x:v>0.10471000000000001</x:v>
      </x:c>
      <x:c r="I372" s="57" t="b">
        <x:f>AND(A372&gt;3,H372&lt;='Assumptions'!$B$7)</x:f>
        <x:v>0</x:v>
      </x:c>
      <x:c r="J372" s="55" t="n">
        <x:v>0.03884814536218539</x:v>
      </x:c>
      <x:c r="K372" s="55" t="n">
        <x:v>0.09366175086288053</x:v>
      </x:c>
      <x:c r="L372" s="55" t="n">
        <x:v>0.04342480070496135</x:v>
      </x:c>
      <x:c r="M372" s="57" t="b">
        <x:f>J372&gt;='Assumptions'!$B$8</x:f>
        <x:v>1</x:v>
      </x:c>
      <x:c r="N372" s="57" t="b">
        <x:f>AND(K372&lt;&gt;"",K372&lt;='Assumptions'!$B$9)</x:f>
        <x:v>0</x:v>
      </x:c>
      <x:c r="O372" s="57" t="b">
        <x:f>AND(P372&lt;&gt;"",ABS(L372)&lt;='Assumptions'!$B$10)</x:f>
        <x:v>0</x:v>
      </x:c>
      <x:c r="P372" s="53" t="n">
        <x:v>45790</x:v>
      </x:c>
      <x:c r="Q372" s="54" t="n">
        <x:v>20921.932</x:v>
      </x:c>
      <x:c r="R372" s="55" t="n">
        <x:v>0.02344</x:v>
      </x:c>
      <x:c r="S372" s="57" t="str">
        <x:f>IF(I372,"DAMAGE SKIP",IF(AND(M372,N372),IF(O372,"TUESDAY RE-ENTRY","GAP/MOM SKIP"),"BASELINE"))</x:f>
        <x:v>BASELINE</x:v>
      </x:c>
      <x:c r="T372" s="56" t="n">
        <x:f>IF(I372,0,IF(AND(M372,N372),IF(O372,R372,0),G372))</x:f>
        <x:v>0.02739</x:v>
      </x:c>
      <x:c r="U372" s="56" t="n">
        <x:f>G372*'Assumptions'!$B$6</x:f>
        <x:v>0.30950700000000003</x:v>
      </x:c>
      <x:c r="V372" s="56" t="n">
        <x:f>T372*'Assumptions'!$B$6</x:f>
        <x:v>0.30950700000000003</x:v>
      </x:c>
      <x:c r="W372" s="56" t="n">
        <x:f>V372-U372</x:f>
        <x:v>0</x:v>
      </x:c>
      <x:c r="X372" s="58" t="n">
        <x:f>X371*(1+U372)</x:f>
        <x:v>25598709.600602165</x:v>
      </x:c>
      <x:c r="Y372" s="58" t="n">
        <x:f>MAX(Y371,X372)</x:f>
        <x:v>25598709.600602165</x:v>
      </x:c>
      <x:c r="Z372" s="59" t="n">
        <x:f>X372/Y372-1</x:f>
        <x:v>0</x:v>
      </x:c>
      <x:c r="AA372" s="58" t="n">
        <x:f>AA371*(1+V372)</x:f>
        <x:v>184049101.0140655</x:v>
      </x:c>
      <x:c r="AB372" s="58" t="n">
        <x:f>MAX(AB371,AA372)</x:f>
        <x:v>184049101.0140655</x:v>
      </x:c>
      <x:c r="AC372" s="59" t="n">
        <x:f>AA372/AB372-1</x:f>
        <x:v>0</x:v>
      </x:c>
      <x:c r="AD372" s="60" t="n">
        <x:f>AA372-X372</x:f>
        <x:v>158450391.41346335</x:v>
      </x:c>
      <x:c r="AE372" s="28" t="str">
        <x:v>Baseline trade unchanged.</x:v>
      </x:c>
    </x:row>
    <x:row r="373" ht="18" customHeight="1">
      <x:c r="A373" s="23" t="n">
        <x:v>369</x:v>
      </x:c>
      <x:c r="B373" s="53" t="n">
        <x:v>45796</x:v>
      </x:c>
      <x:c r="C373" s="53" t="n">
        <x:v>45796</x:v>
      </x:c>
      <x:c r="D373" s="23" t="str">
        <x:v>CH</x:v>
      </x:c>
      <x:c r="E373" s="54" t="n">
        <x:v>21123.298</x:v>
      </x:c>
      <x:c r="F373" s="54" t="n">
        <x:v>21424.032</x:v>
      </x:c>
      <x:c r="G373" s="55" t="n">
        <x:v>0.01423</x:v>
      </x:c>
      <x:c r="H373" s="56" t="n">
        <x:f>SUM(T370:T372)</x:f>
        <x:v>0.06564</x:v>
      </x:c>
      <x:c r="I373" s="57" t="b">
        <x:f>AND(A373&gt;3,H373&lt;='Assumptions'!$B$7)</x:f>
        <x:v>0</x:v>
      </x:c>
      <x:c r="J373" s="55" t="n">
        <x:v>-0.013505578007149799</x:v>
      </x:c>
      <x:c r="K373" s="55" t="n">
        <x:v>0.17430758838099525</x:v>
      </x:c>
      <x:c r="L373" s="55" t="n">
        <x:v>-0.003911717896109335</x:v>
      </x:c>
      <x:c r="M373" s="57" t="b">
        <x:f>J373&gt;='Assumptions'!$B$8</x:f>
        <x:v>0</x:v>
      </x:c>
      <x:c r="N373" s="57" t="b">
        <x:f>AND(K373&lt;&gt;"",K373&lt;='Assumptions'!$B$9)</x:f>
        <x:v>0</x:v>
      </x:c>
      <x:c r="O373" s="57" t="b">
        <x:f>AND(P373&lt;&gt;"",ABS(L373)&lt;='Assumptions'!$B$10)</x:f>
        <x:v>1</x:v>
      </x:c>
      <x:c r="P373" s="53" t="n">
        <x:v>45797</x:v>
      </x:c>
      <x:c r="Q373" s="54" t="n">
        <x:v>21336.942</x:v>
      </x:c>
      <x:c r="R373" s="55" t="n">
        <x:v>0.00408</x:v>
      </x:c>
      <x:c r="S373" s="57" t="str">
        <x:f>IF(I373,"DAMAGE SKIP",IF(AND(M373,N373),IF(O373,"TUESDAY RE-ENTRY","GAP/MOM SKIP"),"BASELINE"))</x:f>
        <x:v>BASELINE</x:v>
      </x:c>
      <x:c r="T373" s="56" t="n">
        <x:f>IF(I373,0,IF(AND(M373,N373),IF(O373,R373,0),G373))</x:f>
        <x:v>0.01423</x:v>
      </x:c>
      <x:c r="U373" s="56" t="n">
        <x:f>G373*'Assumptions'!$B$6</x:f>
        <x:v>0.160799</x:v>
      </x:c>
      <x:c r="V373" s="56" t="n">
        <x:f>T373*'Assumptions'!$B$6</x:f>
        <x:v>0.160799</x:v>
      </x:c>
      <x:c r="W373" s="56" t="n">
        <x:f>V373-U373</x:f>
        <x:v>0</x:v>
      </x:c>
      <x:c r="X373" s="58" t="n">
        <x:f>X372*(1+U373)</x:f>
        <x:v>29714956.50566939</x:v>
      </x:c>
      <x:c r="Y373" s="58" t="n">
        <x:f>MAX(Y372,X373)</x:f>
        <x:v>29714956.50566939</x:v>
      </x:c>
      <x:c r="Z373" s="59" t="n">
        <x:f>X373/Y373-1</x:f>
        <x:v>0</x:v>
      </x:c>
      <x:c r="AA373" s="58" t="n">
        <x:f>AA372*(1+V373)</x:f>
        <x:v>213644012.40802622</x:v>
      </x:c>
      <x:c r="AB373" s="58" t="n">
        <x:f>MAX(AB372,AA373)</x:f>
        <x:v>213644012.40802622</x:v>
      </x:c>
      <x:c r="AC373" s="59" t="n">
        <x:f>AA373/AB373-1</x:f>
        <x:v>0</x:v>
      </x:c>
      <x:c r="AD373" s="60" t="n">
        <x:f>AA373-X373</x:f>
        <x:v>183929055.90235683</x:v>
      </x:c>
      <x:c r="AE373" s="28" t="str">
        <x:v>Baseline trade unchanged.</x:v>
      </x:c>
    </x:row>
    <x:row r="374" ht="18" customHeight="1">
      <x:c r="A374" s="23" t="n">
        <x:v>370</x:v>
      </x:c>
      <x:c r="B374" s="53" t="n">
        <x:v>45804</x:v>
      </x:c>
      <x:c r="C374" s="53" t="n">
        <x:v>45804</x:v>
      </x:c>
      <x:c r="D374" s="23" t="str">
        <x:v>CH</x:v>
      </x:c>
      <x:c r="E374" s="54" t="n">
        <x:v>21205.321</x:v>
      </x:c>
      <x:c r="F374" s="54" t="n">
        <x:v>21396.12</x:v>
      </x:c>
      <x:c r="G374" s="55" t="n">
        <x:v>0.00899</x:v>
      </x:c>
      <x:c r="H374" s="56" t="n">
        <x:f>SUM(T371:T373)</x:f>
        <x:v>0.04646</x:v>
      </x:c>
      <x:c r="I374" s="57" t="b">
        <x:f>AND(A374&gt;3,H374&lt;='Assumptions'!$B$7)</x:f>
        <x:v>0</x:v>
      </x:c>
      <x:c r="J374" s="55" t="n">
        <x:v>0.014037887956271922</x:v>
      </x:c>
      <x:c r="K374" s="55" t="n">
        <x:v>0.0776197731504995</x:v>
      </x:c>
      <x:c r="L374" s="55"/>
      <x:c r="M374" s="57" t="b">
        <x:f>J374&gt;='Assumptions'!$B$8</x:f>
        <x:v>1</x:v>
      </x:c>
      <x:c r="N374" s="57" t="b">
        <x:f>AND(K374&lt;&gt;"",K374&lt;='Assumptions'!$B$9)</x:f>
        <x:v>0</x:v>
      </x:c>
      <x:c r="O374" s="57" t="b">
        <x:f>AND(P374&lt;&gt;"",ABS(L374)&lt;='Assumptions'!$B$10)</x:f>
        <x:v>0</x:v>
      </x:c>
      <x:c r="P374" s="53"/>
      <x:c r="Q374" s="54"/>
      <x:c r="R374" s="55"/>
      <x:c r="S374" s="57" t="str">
        <x:f>IF(I374,"DAMAGE SKIP",IF(AND(M374,N374),IF(O374,"TUESDAY RE-ENTRY","GAP/MOM SKIP"),"BASELINE"))</x:f>
        <x:v>BASELINE</x:v>
      </x:c>
      <x:c r="T374" s="56" t="n">
        <x:f>IF(I374,0,IF(AND(M374,N374),IF(O374,R374,0),G374))</x:f>
        <x:v>0.00899</x:v>
      </x:c>
      <x:c r="U374" s="56" t="n">
        <x:f>G374*'Assumptions'!$B$6</x:f>
        <x:v>0.101587</x:v>
      </x:c>
      <x:c r="V374" s="56" t="n">
        <x:f>T374*'Assumptions'!$B$6</x:f>
        <x:v>0.101587</x:v>
      </x:c>
      <x:c r="W374" s="56" t="n">
        <x:f>V374-U374</x:f>
        <x:v>0</x:v>
      </x:c>
      <x:c r="X374" s="58" t="n">
        <x:f>X373*(1+U374)</x:f>
        <x:v>32733609.79221083</x:v>
      </x:c>
      <x:c r="Y374" s="58" t="n">
        <x:f>MAX(Y373,X374)</x:f>
        <x:v>32733609.79221083</x:v>
      </x:c>
      <x:c r="Z374" s="59" t="n">
        <x:f>X374/Y374-1</x:f>
        <x:v>0</x:v>
      </x:c>
      <x:c r="AA374" s="58" t="n">
        <x:f>AA373*(1+V374)</x:f>
        <x:v>235347466.6965204</x:v>
      </x:c>
      <x:c r="AB374" s="58" t="n">
        <x:f>MAX(AB373,AA374)</x:f>
        <x:v>235347466.6965204</x:v>
      </x:c>
      <x:c r="AC374" s="59" t="n">
        <x:f>AA374/AB374-1</x:f>
        <x:v>0</x:v>
      </x:c>
      <x:c r="AD374" s="60" t="n">
        <x:f>AA374-X374</x:f>
        <x:v>202613856.90430957</x:v>
      </x:c>
      <x:c r="AE374" s="28" t="str">
        <x:v>Baseline trade unchanged.</x:v>
      </x:c>
    </x:row>
    <x:row r="375" ht="18" customHeight="1">
      <x:c r="A375" s="23" t="n">
        <x:v>371</x:v>
      </x:c>
      <x:c r="B375" s="53" t="n">
        <x:v>45810</x:v>
      </x:c>
      <x:c r="C375" s="53" t="n">
        <x:v>45810</x:v>
      </x:c>
      <x:c r="D375" s="23" t="str">
        <x:v>CH</x:v>
      </x:c>
      <x:c r="E375" s="54" t="n">
        <x:v>21246.619</x:v>
      </x:c>
      <x:c r="F375" s="54" t="n">
        <x:v>21493.876</x:v>
      </x:c>
      <x:c r="G375" s="55" t="n">
        <x:v>0.01163</x:v>
      </x:c>
      <x:c r="H375" s="56" t="n">
        <x:f>SUM(T372:T374)</x:f>
        <x:v>0.05061</x:v>
      </x:c>
      <x:c r="I375" s="57" t="b">
        <x:f>AND(A375&gt;3,H375&lt;='Assumptions'!$B$7)</x:f>
        <x:v>0</x:v>
      </x:c>
      <x:c r="J375" s="55" t="n">
        <x:v>-0.005240198511677563</x:v>
      </x:c>
      <x:c r="K375" s="55" t="n">
        <x:v>0.07770719149642913</x:v>
      </x:c>
      <x:c r="L375" s="55" t="n">
        <x:v>0.008572364238793151</x:v>
      </x:c>
      <x:c r="M375" s="57" t="b">
        <x:f>J375&gt;='Assumptions'!$B$8</x:f>
        <x:v>0</x:v>
      </x:c>
      <x:c r="N375" s="57" t="b">
        <x:f>AND(K375&lt;&gt;"",K375&lt;='Assumptions'!$B$9)</x:f>
        <x:v>0</x:v>
      </x:c>
      <x:c r="O375" s="57" t="b">
        <x:f>AND(P375&lt;&gt;"",ABS(L375)&lt;='Assumptions'!$B$10)</x:f>
        <x:v>0</x:v>
      </x:c>
      <x:c r="P375" s="53" t="n">
        <x:v>45811</x:v>
      </x:c>
      <x:c r="Q375" s="54" t="n">
        <x:v>21506.198</x:v>
      </x:c>
      <x:c r="R375" s="55" t="n">
        <x:v>-0.00057</x:v>
      </x:c>
      <x:c r="S375" s="57" t="str">
        <x:f>IF(I375,"DAMAGE SKIP",IF(AND(M375,N375),IF(O375,"TUESDAY RE-ENTRY","GAP/MOM SKIP"),"BASELINE"))</x:f>
        <x:v>BASELINE</x:v>
      </x:c>
      <x:c r="T375" s="56" t="n">
        <x:f>IF(I375,0,IF(AND(M375,N375),IF(O375,R375,0),G375))</x:f>
        <x:v>0.01163</x:v>
      </x:c>
      <x:c r="U375" s="56" t="n">
        <x:f>G375*'Assumptions'!$B$6</x:f>
        <x:v>0.131419</x:v>
      </x:c>
      <x:c r="V375" s="56" t="n">
        <x:f>T375*'Assumptions'!$B$6</x:f>
        <x:v>0.131419</x:v>
      </x:c>
      <x:c r="W375" s="56" t="n">
        <x:f>V375-U375</x:f>
        <x:v>0</x:v>
      </x:c>
      <x:c r="X375" s="58" t="n">
        <x:f>X374*(1+U375)</x:f>
        <x:v>37035428.05749338</x:v>
      </x:c>
      <x:c r="Y375" s="58" t="n">
        <x:f>MAX(Y374,X375)</x:f>
        <x:v>37035428.05749338</x:v>
      </x:c>
      <x:c r="Z375" s="59" t="n">
        <x:f>X375/Y375-1</x:f>
        <x:v>0</x:v>
      </x:c>
      <x:c r="AA375" s="58" t="n">
        <x:f>AA374*(1+V375)</x:f>
        <x:v>266276595.42231038</x:v>
      </x:c>
      <x:c r="AB375" s="58" t="n">
        <x:f>MAX(AB374,AA375)</x:f>
        <x:v>266276595.42231038</x:v>
      </x:c>
      <x:c r="AC375" s="59" t="n">
        <x:f>AA375/AB375-1</x:f>
        <x:v>0</x:v>
      </x:c>
      <x:c r="AD375" s="60" t="n">
        <x:f>AA375-X375</x:f>
        <x:v>229241167.364817</x:v>
      </x:c>
      <x:c r="AE375" s="28" t="str">
        <x:v>Baseline trade unchanged.</x:v>
      </x:c>
    </x:row>
    <x:row r="376" ht="18" customHeight="1">
      <x:c r="A376" s="23" t="n">
        <x:v>372</x:v>
      </x:c>
      <x:c r="B376" s="53" t="n">
        <x:v>45817</x:v>
      </x:c>
      <x:c r="C376" s="53" t="n">
        <x:v>45821</x:v>
      </x:c>
      <x:c r="D376" s="23" t="str">
        <x:v>TSL3</x:v>
      </x:c>
      <x:c r="E376" s="54" t="n">
        <x:v>21767.431</x:v>
      </x:c>
      <x:c r="F376" s="54" t="n">
        <x:v>21662.175</x:v>
      </x:c>
      <x:c r="G376" s="55" t="n">
        <x:v>-0.00483</x:v>
      </x:c>
      <x:c r="H376" s="56" t="n">
        <x:f>SUM(T373:T375)</x:f>
        <x:v>0.03485</x:v>
      </x:c>
      <x:c r="I376" s="57" t="b">
        <x:f>AND(A376&gt;3,H376&lt;='Assumptions'!$B$7)</x:f>
        <x:v>0</x:v>
      </x:c>
      <x:c r="J376" s="55" t="n">
        <x:v>0.0007600605381874459</x:v>
      </x:c>
      <x:c r="K376" s="55" t="n">
        <x:v>0.0852567121997172</x:v>
      </x:c>
      <x:c r="L376" s="55" t="n">
        <x:v>0.002358846618357502</x:v>
      </x:c>
      <x:c r="M376" s="57" t="b">
        <x:f>J376&gt;='Assumptions'!$B$8</x:f>
        <x:v>0</x:v>
      </x:c>
      <x:c r="N376" s="57" t="b">
        <x:f>AND(K376&lt;&gt;"",K376&lt;='Assumptions'!$B$9)</x:f>
        <x:v>0</x:v>
      </x:c>
      <x:c r="O376" s="57" t="b">
        <x:f>AND(P376&lt;&gt;"",ABS(L376)&lt;='Assumptions'!$B$10)</x:f>
        <x:v>1</x:v>
      </x:c>
      <x:c r="P376" s="53" t="n">
        <x:v>45818</x:v>
      </x:c>
      <x:c r="Q376" s="54" t="n">
        <x:v>21808.954</x:v>
      </x:c>
      <x:c r="R376" s="55" t="n">
        <x:v>-0.00673</x:v>
      </x:c>
      <x:c r="S376" s="57" t="str">
        <x:f>IF(I376,"DAMAGE SKIP",IF(AND(M376,N376),IF(O376,"TUESDAY RE-ENTRY","GAP/MOM SKIP"),"BASELINE"))</x:f>
        <x:v>BASELINE</x:v>
      </x:c>
      <x:c r="T376" s="56" t="n">
        <x:f>IF(I376,0,IF(AND(M376,N376),IF(O376,R376,0),G376))</x:f>
        <x:v>-0.00483</x:v>
      </x:c>
      <x:c r="U376" s="56" t="n">
        <x:f>G376*'Assumptions'!$B$6</x:f>
        <x:v>-0.054579</x:v>
      </x:c>
      <x:c r="V376" s="56" t="n">
        <x:f>T376*'Assumptions'!$B$6</x:f>
        <x:v>-0.054579</x:v>
      </x:c>
      <x:c r="W376" s="56" t="n">
        <x:f>V376-U376</x:f>
        <x:v>0</x:v>
      </x:c>
      <x:c r="X376" s="58" t="n">
        <x:f>X375*(1+U376)</x:f>
        <x:v>35014071.42954345</x:v>
      </x:c>
      <x:c r="Y376" s="58" t="n">
        <x:f>MAX(Y375,X376)</x:f>
        <x:v>37035428.05749338</x:v>
      </x:c>
      <x:c r="Z376" s="59" t="n">
        <x:f>X376/Y376-1</x:f>
        <x:v>-0.05457899999999993</x:v>
      </x:c>
      <x:c r="AA376" s="58" t="n">
        <x:f>AA375*(1+V376)</x:f>
        <x:v>251743485.1207561</x:v>
      </x:c>
      <x:c r="AB376" s="58" t="n">
        <x:f>MAX(AB375,AA376)</x:f>
        <x:v>266276595.42231038</x:v>
      </x:c>
      <x:c r="AC376" s="59" t="n">
        <x:f>AA376/AB376-1</x:f>
        <x:v>-0.054579000000000044</x:v>
      </x:c>
      <x:c r="AD376" s="60" t="n">
        <x:f>AA376-X376</x:f>
        <x:v>216729413.69121265</x:v>
      </x:c>
      <x:c r="AE376" s="28" t="str">
        <x:v>Baseline trade unchanged.</x:v>
      </x:c>
    </x:row>
    <x:row r="377" ht="18" customHeight="1">
      <x:c r="A377" s="23" t="n">
        <x:v>373</x:v>
      </x:c>
      <x:c r="B377" s="53" t="n">
        <x:v>45824</x:v>
      </x:c>
      <x:c r="C377" s="53" t="n">
        <x:v>45824</x:v>
      </x:c>
      <x:c r="D377" s="23" t="str">
        <x:v>CH</x:v>
      </x:c>
      <x:c r="E377" s="54" t="n">
        <x:v>21778.721</x:v>
      </x:c>
      <x:c r="F377" s="54" t="n">
        <x:v>21934.332</x:v>
      </x:c>
      <x:c r="G377" s="55" t="n">
        <x:v>0.00714</x:v>
      </x:c>
      <x:c r="H377" s="56" t="n">
        <x:f>SUM(T374:T376)</x:f>
        <x:v>0.01579</x:v>
      </x:c>
      <x:c r="I377" s="57" t="b">
        <x:f>AND(A377&gt;3,H377&lt;='Assumptions'!$B$7)</x:f>
        <x:v>0</x:v>
      </x:c>
      <x:c r="J377" s="55" t="n">
        <x:v>0.006000373230504064</x:v>
      </x:c>
      <x:c r="K377" s="55" t="n">
        <x:v>0.014848338950409268</x:v>
      </x:c>
      <x:c r="L377" s="55" t="n">
        <x:v>0.009013966904508841</x:v>
      </x:c>
      <x:c r="M377" s="57" t="b">
        <x:f>J377&gt;='Assumptions'!$B$8</x:f>
        <x:v>0</x:v>
      </x:c>
      <x:c r="N377" s="57" t="b">
        <x:f>AND(K377&lt;&gt;"",K377&lt;='Assumptions'!$B$9)</x:f>
        <x:v>0</x:v>
      </x:c>
      <x:c r="O377" s="57" t="b">
        <x:f>AND(P377&lt;&gt;"",ABS(L377)&lt;='Assumptions'!$B$10)</x:f>
        <x:v>0</x:v>
      </x:c>
      <x:c r="P377" s="53" t="n">
        <x:v>45825</x:v>
      </x:c>
      <x:c r="Q377" s="54" t="n">
        <x:v>21825.854</x:v>
      </x:c>
      <x:c r="R377" s="55" t="n">
        <x:v>0.00497</x:v>
      </x:c>
      <x:c r="S377" s="57" t="str">
        <x:f>IF(I377,"DAMAGE SKIP",IF(AND(M377,N377),IF(O377,"TUESDAY RE-ENTRY","GAP/MOM SKIP"),"BASELINE"))</x:f>
        <x:v>BASELINE</x:v>
      </x:c>
      <x:c r="T377" s="56" t="n">
        <x:f>IF(I377,0,IF(AND(M377,N377),IF(O377,R377,0),G377))</x:f>
        <x:v>0.00714</x:v>
      </x:c>
      <x:c r="U377" s="56" t="n">
        <x:f>G377*'Assumptions'!$B$6</x:f>
        <x:v>0.080682</x:v>
      </x:c>
      <x:c r="V377" s="56" t="n">
        <x:f>T377*'Assumptions'!$B$6</x:f>
        <x:v>0.080682</x:v>
      </x:c>
      <x:c r="W377" s="56" t="n">
        <x:f>V377-U377</x:f>
        <x:v>0</x:v>
      </x:c>
      <x:c r="X377" s="58" t="n">
        <x:f>X376*(1+U377)</x:f>
        <x:v>37839076.74062187</x:v>
      </x:c>
      <x:c r="Y377" s="58" t="n">
        <x:f>MAX(Y376,X377)</x:f>
        <x:v>37839076.74062187</x:v>
      </x:c>
      <x:c r="Z377" s="59" t="n">
        <x:f>X377/Y377-1</x:f>
        <x:v>0</x:v>
      </x:c>
      <x:c r="AA377" s="58" t="n">
        <x:f>AA376*(1+V377)</x:f>
        <x:v>272054652.9872689</x:v>
      </x:c>
      <x:c r="AB377" s="58" t="n">
        <x:f>MAX(AB376,AA377)</x:f>
        <x:v>272054652.9872689</x:v>
      </x:c>
      <x:c r="AC377" s="59" t="n">
        <x:f>AA377/AB377-1</x:f>
        <x:v>0</x:v>
      </x:c>
      <x:c r="AD377" s="60" t="n">
        <x:f>AA377-X377</x:f>
        <x:v>234215576.24664706</x:v>
      </x:c>
      <x:c r="AE377" s="28" t="str">
        <x:v>Baseline trade unchanged.</x:v>
      </x:c>
    </x:row>
    <x:row r="378" ht="18" customHeight="1">
      <x:c r="A378" s="23" t="n">
        <x:v>374</x:v>
      </x:c>
      <x:c r="B378" s="53" t="n">
        <x:v>45831</x:v>
      </x:c>
      <x:c r="C378" s="53" t="n">
        <x:v>45831</x:v>
      </x:c>
      <x:c r="D378" s="23" t="str">
        <x:v>CH</x:v>
      </x:c>
      <x:c r="E378" s="54" t="n">
        <x:v>21650.232</x:v>
      </x:c>
      <x:c r="F378" s="54" t="n">
        <x:v>21837.619</x:v>
      </x:c>
      <x:c r="G378" s="55" t="n">
        <x:v>0.00865</x:v>
      </x:c>
      <x:c r="H378" s="56" t="n">
        <x:f>SUM(T375:T377)</x:f>
        <x:v>0.01394</x:v>
      </x:c>
      <x:c r="I378" s="57" t="b">
        <x:f>AND(A378&gt;3,H378&lt;='Assumptions'!$B$7)</x:f>
        <x:v>0</x:v>
      </x:c>
      <x:c r="J378" s="55" t="n">
        <x:v>-0.0006061847088938421</x:v>
      </x:c>
      <x:c r="K378" s="55" t="n">
        <x:v>0.02687899578980213</x:v>
      </x:c>
      <x:c r="L378" s="55" t="n">
        <x:v>0.01909534384905931</x:v>
      </x:c>
      <x:c r="M378" s="57" t="b">
        <x:f>J378&gt;='Assumptions'!$B$8</x:f>
        <x:v>0</x:v>
      </x:c>
      <x:c r="N378" s="57" t="b">
        <x:f>AND(K378&lt;&gt;"",K378&lt;='Assumptions'!$B$9)</x:f>
        <x:v>0</x:v>
      </x:c>
      <x:c r="O378" s="57" t="b">
        <x:f>AND(P378&lt;&gt;"",ABS(L378)&lt;='Assumptions'!$B$10)</x:f>
        <x:v>0</x:v>
      </x:c>
      <x:c r="P378" s="53" t="n">
        <x:v>45832</x:v>
      </x:c>
      <x:c r="Q378" s="54" t="n">
        <x:v>22068.308</x:v>
      </x:c>
      <x:c r="R378" s="55" t="n">
        <x:v>-0.01045</x:v>
      </x:c>
      <x:c r="S378" s="57" t="str">
        <x:f>IF(I378,"DAMAGE SKIP",IF(AND(M378,N378),IF(O378,"TUESDAY RE-ENTRY","GAP/MOM SKIP"),"BASELINE"))</x:f>
        <x:v>BASELINE</x:v>
      </x:c>
      <x:c r="T378" s="56" t="n">
        <x:f>IF(I378,0,IF(AND(M378,N378),IF(O378,R378,0),G378))</x:f>
        <x:v>0.00865</x:v>
      </x:c>
      <x:c r="U378" s="56" t="n">
        <x:f>G378*'Assumptions'!$B$6</x:f>
        <x:v>0.097745</x:v>
      </x:c>
      <x:c r="V378" s="56" t="n">
        <x:f>T378*'Assumptions'!$B$6</x:f>
        <x:v>0.097745</x:v>
      </x:c>
      <x:c r="W378" s="56" t="n">
        <x:f>V378-U378</x:f>
        <x:v>0</x:v>
      </x:c>
      <x:c r="X378" s="58" t="n">
        <x:f>X377*(1+U378)</x:f>
        <x:v>41537657.29663396</x:v>
      </x:c>
      <x:c r="Y378" s="58" t="n">
        <x:f>MAX(Y377,X378)</x:f>
        <x:v>41537657.29663396</x:v>
      </x:c>
      <x:c r="Z378" s="59" t="n">
        <x:f>X378/Y378-1</x:f>
        <x:v>0</x:v>
      </x:c>
      <x:c r="AA378" s="58" t="n">
        <x:f>AA377*(1+V378)</x:f>
        <x:v>298646635.04350954</x:v>
      </x:c>
      <x:c r="AB378" s="58" t="n">
        <x:f>MAX(AB377,AA378)</x:f>
        <x:v>298646635.04350954</x:v>
      </x:c>
      <x:c r="AC378" s="59" t="n">
        <x:f>AA378/AB378-1</x:f>
        <x:v>0</x:v>
      </x:c>
      <x:c r="AD378" s="60" t="n">
        <x:f>AA378-X378</x:f>
        <x:v>257108977.74687558</x:v>
      </x:c>
      <x:c r="AE378" s="28" t="str">
        <x:v>Baseline trade unchanged.</x:v>
      </x:c>
    </x:row>
    <x:row r="379" ht="18" customHeight="1">
      <x:c r="A379" s="23" t="n">
        <x:v>375</x:v>
      </x:c>
      <x:c r="B379" s="53" t="n">
        <x:v>45838</x:v>
      </x:c>
      <x:c r="C379" s="53" t="n">
        <x:v>45840</x:v>
      </x:c>
      <x:c r="D379" s="23" t="str">
        <x:v>BEPRE</x:v>
      </x:c>
      <x:c r="E379" s="54" t="n">
        <x:v>22652.765</x:v>
      </x:c>
      <x:c r="F379" s="54" t="n">
        <x:v>22564.487</x:v>
      </x:c>
      <x:c r="G379" s="55" t="n">
        <x:v>-0.00389</x:v>
      </x:c>
      <x:c r="H379" s="56" t="n">
        <x:f>SUM(T376:T378)</x:f>
        <x:v>0.01096</x:v>
      </x:c>
      <x:c r="I379" s="57" t="b">
        <x:f>AND(A379&gt;3,H379&lt;='Assumptions'!$B$7)</x:f>
        <x:v>0</x:v>
      </x:c>
      <x:c r="J379" s="55" t="n">
        <x:v>0.006060854500187229</x:v>
      </x:c>
      <x:c r="K379" s="55" t="n">
        <x:v>0.054161137076145005</x:v>
      </x:c>
      <x:c r="L379" s="55" t="n">
        <x:v>0.0029922093086902635</x:v>
      </x:c>
      <x:c r="M379" s="57" t="b">
        <x:f>J379&gt;='Assumptions'!$B$8</x:f>
        <x:v>0</x:v>
      </x:c>
      <x:c r="N379" s="57" t="b">
        <x:f>AND(K379&lt;&gt;"",K379&lt;='Assumptions'!$B$9)</x:f>
        <x:v>0</x:v>
      </x:c>
      <x:c r="O379" s="57" t="b">
        <x:f>AND(P379&lt;&gt;"",ABS(L379)&lt;='Assumptions'!$B$10)</x:f>
        <x:v>1</x:v>
      </x:c>
      <x:c r="P379" s="53" t="n">
        <x:v>45839</x:v>
      </x:c>
      <x:c r="Q379" s="54" t="n">
        <x:v>22587.876</x:v>
      </x:c>
      <x:c r="R379" s="55" t="n">
        <x:v>-0.00103</x:v>
      </x:c>
      <x:c r="S379" s="57" t="str">
        <x:f>IF(I379,"DAMAGE SKIP",IF(AND(M379,N379),IF(O379,"TUESDAY RE-ENTRY","GAP/MOM SKIP"),"BASELINE"))</x:f>
        <x:v>BASELINE</x:v>
      </x:c>
      <x:c r="T379" s="56" t="n">
        <x:f>IF(I379,0,IF(AND(M379,N379),IF(O379,R379,0),G379))</x:f>
        <x:v>-0.00389</x:v>
      </x:c>
      <x:c r="U379" s="56" t="n">
        <x:f>G379*'Assumptions'!$B$6</x:f>
        <x:v>-0.043957</x:v>
      </x:c>
      <x:c r="V379" s="56" t="n">
        <x:f>T379*'Assumptions'!$B$6</x:f>
        <x:v>-0.043957</x:v>
      </x:c>
      <x:c r="W379" s="56" t="n">
        <x:f>V379-U379</x:f>
        <x:v>0</x:v>
      </x:c>
      <x:c r="X379" s="58" t="n">
        <x:f>X378*(1+U379)</x:f>
        <x:v>39711786.49484582</x:v>
      </x:c>
      <x:c r="Y379" s="58" t="n">
        <x:f>MAX(Y378,X379)</x:f>
        <x:v>41537657.29663396</x:v>
      </x:c>
      <x:c r="Z379" s="59" t="n">
        <x:f>X379/Y379-1</x:f>
        <x:v>-0.04395699999999991</x:v>
      </x:c>
      <x:c r="AA379" s="58" t="n">
        <x:f>AA378*(1+V379)</x:f>
        <x:v>285519024.906902</x:v>
      </x:c>
      <x:c r="AB379" s="58" t="n">
        <x:f>MAX(AB378,AA379)</x:f>
        <x:v>298646635.04350954</x:v>
      </x:c>
      <x:c r="AC379" s="59" t="n">
        <x:f>AA379/AB379-1</x:f>
        <x:v>-0.04395699999999991</x:v>
      </x:c>
      <x:c r="AD379" s="60" t="n">
        <x:f>AA379-X379</x:f>
        <x:v>245807238.4120562</x:v>
      </x:c>
      <x:c r="AE379" s="28" t="str">
        <x:v>Baseline trade unchanged.</x:v>
      </x:c>
    </x:row>
    <x:row r="380" ht="18" customHeight="1">
      <x:c r="A380" s="23" t="n">
        <x:v>376</x:v>
      </x:c>
      <x:c r="B380" s="53" t="n">
        <x:v>45845</x:v>
      </x:c>
      <x:c r="C380" s="53" t="n">
        <x:v>45849</x:v>
      </x:c>
      <x:c r="D380" s="23" t="str">
        <x:v>TO</x:v>
      </x:c>
      <x:c r="E380" s="54" t="n">
        <x:v>22749.999</x:v>
      </x:c>
      <x:c r="F380" s="54" t="n">
        <x:v>22769.809</x:v>
      </x:c>
      <x:c r="G380" s="55" t="n">
        <x:v>0.00087</x:v>
      </x:c>
      <x:c r="H380" s="56" t="n">
        <x:f>SUM(T377:T379)</x:f>
        <x:v>0.011899999999999999</x:v>
      </x:c>
      <x:c r="I380" s="57" t="b">
        <x:f>AND(A380&gt;3,H380&lt;='Assumptions'!$B$7)</x:f>
        <x:v>0</x:v>
      </x:c>
      <x:c r="J380" s="55" t="n">
        <x:v>-0.005089872968994658</x:v>
      </x:c>
      <x:c r="K380" s="55" t="n">
        <x:v>0.051912930007375735</x:v>
      </x:c>
      <x:c r="L380" s="55" t="n">
        <x:v>-0.005105893351551649</x:v>
      </x:c>
      <x:c r="M380" s="57" t="b">
        <x:f>J380&gt;='Assumptions'!$B$8</x:f>
        <x:v>0</x:v>
      </x:c>
      <x:c r="N380" s="57" t="b">
        <x:f>AND(K380&lt;&gt;"",K380&lt;='Assumptions'!$B$9)</x:f>
        <x:v>0</x:v>
      </x:c>
      <x:c r="O380" s="57" t="b">
        <x:f>AND(P380&lt;&gt;"",ABS(L380)&lt;='Assumptions'!$B$10)</x:f>
        <x:v>0</x:v>
      </x:c>
      <x:c r="P380" s="53" t="n">
        <x:v>45846</x:v>
      </x:c>
      <x:c r="Q380" s="54" t="n">
        <x:v>22738.686</x:v>
      </x:c>
      <x:c r="R380" s="55" t="n">
        <x:v>0.00136</x:v>
      </x:c>
      <x:c r="S380" s="57" t="str">
        <x:f>IF(I380,"DAMAGE SKIP",IF(AND(M380,N380),IF(O380,"TUESDAY RE-ENTRY","GAP/MOM SKIP"),"BASELINE"))</x:f>
        <x:v>BASELINE</x:v>
      </x:c>
      <x:c r="T380" s="56" t="n">
        <x:f>IF(I380,0,IF(AND(M380,N380),IF(O380,R380,0),G380))</x:f>
        <x:v>0.00087</x:v>
      </x:c>
      <x:c r="U380" s="56" t="n">
        <x:f>G380*'Assumptions'!$B$6</x:f>
        <x:v>0.009831000000000001</x:v>
      </x:c>
      <x:c r="V380" s="56" t="n">
        <x:f>T380*'Assumptions'!$B$6</x:f>
        <x:v>0.009831000000000001</x:v>
      </x:c>
      <x:c r="W380" s="56" t="n">
        <x:f>V380-U380</x:f>
        <x:v>0</x:v>
      </x:c>
      <x:c r="X380" s="58" t="n">
        <x:f>X379*(1+U380)</x:f>
        <x:v>40102193.06787665</x:v>
      </x:c>
      <x:c r="Y380" s="58" t="n">
        <x:f>MAX(Y379,X380)</x:f>
        <x:v>41537657.29663396</x:v>
      </x:c>
      <x:c r="Z380" s="59" t="n">
        <x:f>X380/Y380-1</x:f>
        <x:v>-0.034558141266999964</x:v>
      </x:c>
      <x:c r="AA380" s="58" t="n">
        <x:f>AA379*(1+V380)</x:f>
        <x:v>288325962.44076174</x:v>
      </x:c>
      <x:c r="AB380" s="58" t="n">
        <x:f>MAX(AB379,AA380)</x:f>
        <x:v>298646635.04350954</x:v>
      </x:c>
      <x:c r="AC380" s="59" t="n">
        <x:f>AA380/AB380-1</x:f>
        <x:v>-0.034558141266999964</x:v>
      </x:c>
      <x:c r="AD380" s="60" t="n">
        <x:f>AA380-X380</x:f>
        <x:v>248223769.3728851</x:v>
      </x:c>
      <x:c r="AE380" s="28" t="str">
        <x:v>Baseline trade unchanged.</x:v>
      </x:c>
    </x:row>
    <x:row r="381" ht="18" customHeight="1">
      <x:c r="A381" s="23" t="n">
        <x:v>377</x:v>
      </x:c>
      <x:c r="B381" s="53" t="n">
        <x:v>45852</x:v>
      </x:c>
      <x:c r="C381" s="53" t="n">
        <x:v>45856</x:v>
      </x:c>
      <x:c r="D381" s="23" t="str">
        <x:v>TO</x:v>
      </x:c>
      <x:c r="E381" s="54" t="n">
        <x:v>22763.599</x:v>
      </x:c>
      <x:c r="F381" s="54" t="n">
        <x:v>23064.619</x:v>
      </x:c>
      <x:c r="G381" s="55" t="n">
        <x:v>0.01322</x:v>
      </x:c>
      <x:c r="H381" s="56" t="n">
        <x:f>SUM(T378:T380)</x:f>
        <x:v>0.0056300000000000005</x:v>
      </x:c>
      <x:c r="I381" s="57" t="b">
        <x:f>AND(A381&gt;3,H381&lt;='Assumptions'!$B$7)</x:f>
        <x:v>0</x:v>
      </x:c>
      <x:c r="J381" s="55" t="n">
        <x:v>-0.00027272956044566143</x:v>
      </x:c>
      <x:c r="K381" s="55" t="n">
        <x:v>0.04092710505061903</x:v>
      </x:c>
      <x:c r="L381" s="55" t="n">
        <x:v>0.010916636593287565</x:v>
      </x:c>
      <x:c r="M381" s="57" t="b">
        <x:f>J381&gt;='Assumptions'!$B$8</x:f>
        <x:v>0</x:v>
      </x:c>
      <x:c r="N381" s="57" t="b">
        <x:f>AND(K381&lt;&gt;"",K381&lt;='Assumptions'!$B$9)</x:f>
        <x:v>0</x:v>
      </x:c>
      <x:c r="O381" s="57" t="b">
        <x:f>AND(P381&lt;&gt;"",ABS(L381)&lt;='Assumptions'!$B$10)</x:f>
        <x:v>0</x:v>
      </x:c>
      <x:c r="P381" s="53" t="n">
        <x:v>45853</x:v>
      </x:c>
      <x:c r="Q381" s="54" t="n">
        <x:v>23022.275</x:v>
      </x:c>
      <x:c r="R381" s="55" t="n">
        <x:v>0.00183</x:v>
      </x:c>
      <x:c r="S381" s="57" t="str">
        <x:f>IF(I381,"DAMAGE SKIP",IF(AND(M381,N381),IF(O381,"TUESDAY RE-ENTRY","GAP/MOM SKIP"),"BASELINE"))</x:f>
        <x:v>BASELINE</x:v>
      </x:c>
      <x:c r="T381" s="56" t="n">
        <x:f>IF(I381,0,IF(AND(M381,N381),IF(O381,R381,0),G381))</x:f>
        <x:v>0.01322</x:v>
      </x:c>
      <x:c r="U381" s="56" t="n">
        <x:f>G381*'Assumptions'!$B$6</x:f>
        <x:v>0.14938600000000002</x:v>
      </x:c>
      <x:c r="V381" s="56" t="n">
        <x:f>T381*'Assumptions'!$B$6</x:f>
        <x:v>0.14938600000000002</x:v>
      </x:c>
      <x:c r="W381" s="56" t="n">
        <x:f>V381-U381</x:f>
        <x:v>0</x:v>
      </x:c>
      <x:c r="X381" s="58" t="n">
        <x:f>X380*(1+U381)</x:f>
        <x:v>46092899.28151447</x:v>
      </x:c>
      <x:c r="Y381" s="58" t="n">
        <x:f>MAX(Y380,X381)</x:f>
        <x:v>46092899.28151447</x:v>
      </x:c>
      <x:c r="Z381" s="59" t="n">
        <x:f>X381/Y381-1</x:f>
        <x:v>0</x:v>
      </x:c>
      <x:c r="AA381" s="58" t="n">
        <x:f>AA380*(1+V381)</x:f>
        <x:v>331397824.66593736</x:v>
      </x:c>
      <x:c r="AB381" s="58" t="n">
        <x:f>MAX(AB380,AA381)</x:f>
        <x:v>331397824.66593736</x:v>
      </x:c>
      <x:c r="AC381" s="59" t="n">
        <x:f>AA381/AB381-1</x:f>
        <x:v>0</x:v>
      </x:c>
      <x:c r="AD381" s="60" t="n">
        <x:f>AA381-X381</x:f>
        <x:v>285304925.3844229</x:v>
      </x:c>
      <x:c r="AE381" s="28" t="str">
        <x:v>Baseline trade unchanged.</x:v>
      </x:c>
    </x:row>
    <x:row r="382" ht="18" customHeight="1">
      <x:c r="A382" s="23" t="n">
        <x:v>378</x:v>
      </x:c>
      <x:c r="B382" s="53" t="n">
        <x:v>45859</x:v>
      </x:c>
      <x:c r="C382" s="53" t="n">
        <x:v>45863</x:v>
      </x:c>
      <x:c r="D382" s="23" t="str">
        <x:v>TO</x:v>
      </x:c>
      <x:c r="E382" s="54" t="n">
        <x:v>23097.054</x:v>
      </x:c>
      <x:c r="F382" s="54" t="n">
        <x:v>23273.576</x:v>
      </x:c>
      <x:c r="G382" s="55" t="n">
        <x:v>0.00764</x:v>
      </x:c>
      <x:c r="H382" s="56" t="n">
        <x:f>SUM(T379:T381)</x:f>
        <x:v>0.0102</x:v>
      </x:c>
      <x:c r="I382" s="57" t="b">
        <x:f>AND(A382&gt;3,H382&lt;='Assumptions'!$B$7)</x:f>
        <x:v>0</x:v>
      </x:c>
      <x:c r="J382" s="55" t="n">
        <x:v>0.0014062664551277582</x:v>
      </x:c>
      <x:c r="K382" s="55" t="n">
        <x:v>0.061003043535794665</x:v>
      </x:c>
      <x:c r="L382" s="55" t="n">
        <x:v>0.005416384563303955</x:v>
      </x:c>
      <x:c r="M382" s="57" t="b">
        <x:f>J382&gt;='Assumptions'!$B$8</x:f>
        <x:v>0</x:v>
      </x:c>
      <x:c r="N382" s="57" t="b">
        <x:f>AND(K382&lt;&gt;"",K382&lt;='Assumptions'!$B$9)</x:f>
        <x:v>0</x:v>
      </x:c>
      <x:c r="O382" s="57" t="b">
        <x:f>AND(P382&lt;&gt;"",ABS(L382)&lt;='Assumptions'!$B$10)</x:f>
        <x:v>0</x:v>
      </x:c>
      <x:c r="P382" s="53" t="n">
        <x:v>45860</x:v>
      </x:c>
      <x:c r="Q382" s="54" t="n">
        <x:v>23185.22</x:v>
      </x:c>
      <x:c r="R382" s="55" t="n">
        <x:v>0.00381</x:v>
      </x:c>
      <x:c r="S382" s="57" t="str">
        <x:f>IF(I382,"DAMAGE SKIP",IF(AND(M382,N382),IF(O382,"TUESDAY RE-ENTRY","GAP/MOM SKIP"),"BASELINE"))</x:f>
        <x:v>BASELINE</x:v>
      </x:c>
      <x:c r="T382" s="56" t="n">
        <x:f>IF(I382,0,IF(AND(M382,N382),IF(O382,R382,0),G382))</x:f>
        <x:v>0.00764</x:v>
      </x:c>
      <x:c r="U382" s="56" t="n">
        <x:f>G382*'Assumptions'!$B$6</x:f>
        <x:v>0.086332</x:v>
      </x:c>
      <x:c r="V382" s="56" t="n">
        <x:f>T382*'Assumptions'!$B$6</x:f>
        <x:v>0.086332</x:v>
      </x:c>
      <x:c r="W382" s="56" t="n">
        <x:f>V382-U382</x:f>
        <x:v>0</x:v>
      </x:c>
      <x:c r="X382" s="58" t="n">
        <x:f>X381*(1+U382)</x:f>
        <x:v>50072191.46228618</x:v>
      </x:c>
      <x:c r="Y382" s="58" t="n">
        <x:f>MAX(Y381,X382)</x:f>
        <x:v>50072191.46228618</x:v>
      </x:c>
      <x:c r="Z382" s="59" t="n">
        <x:f>X382/Y382-1</x:f>
        <x:v>0</x:v>
      </x:c>
      <x:c r="AA382" s="58" t="n">
        <x:f>AA381*(1+V382)</x:f>
        <x:v>360008061.6649971</x:v>
      </x:c>
      <x:c r="AB382" s="58" t="n">
        <x:f>MAX(AB381,AA382)</x:f>
        <x:v>360008061.6649971</x:v>
      </x:c>
      <x:c r="AC382" s="59" t="n">
        <x:f>AA382/AB382-1</x:f>
        <x:v>0</x:v>
      </x:c>
      <x:c r="AD382" s="60" t="n">
        <x:f>AA382-X382</x:f>
        <x:v>309935870.2027109</x:v>
      </x:c>
      <x:c r="AE382" s="28" t="str">
        <x:v>Baseline trade unchanged.</x:v>
      </x:c>
    </x:row>
    <x:row r="383" ht="18" customHeight="1">
      <x:c r="A383" s="23" t="n">
        <x:v>379</x:v>
      </x:c>
      <x:c r="B383" s="53" t="n">
        <x:v>45866</x:v>
      </x:c>
      <x:c r="C383" s="53" t="n">
        <x:v>45869</x:v>
      </x:c>
      <x:c r="D383" s="23" t="str">
        <x:v>TSL2</x:v>
      </x:c>
      <x:c r="E383" s="54" t="n">
        <x:v>23327.989</x:v>
      </x:c>
      <x:c r="F383" s="54" t="n">
        <x:v>23234.677044</x:v>
      </x:c>
      <x:c r="G383" s="55" t="n">
        <x:v>-0.004</x:v>
      </x:c>
      <x:c r="H383" s="56" t="n">
        <x:f>SUM(T380:T382)</x:f>
        <x:v>0.02173</x:v>
      </x:c>
      <x:c r="I383" s="57" t="b">
        <x:f>AND(A383&gt;3,H383&lt;='Assumptions'!$B$7)</x:f>
        <x:v>0</x:v>
      </x:c>
      <x:c r="J383" s="55" t="n">
        <x:v>0.0023379733307851147</x:v>
      </x:c>
      <x:c r="K383" s="55" t="n">
        <x:v>0.03688989784335983</x:v>
      </x:c>
      <x:c r="L383" s="55" t="n">
        <x:v>0.007751116761127941</x:v>
      </x:c>
      <x:c r="M383" s="57" t="b">
        <x:f>J383&gt;='Assumptions'!$B$8</x:f>
        <x:v>0</x:v>
      </x:c>
      <x:c r="N383" s="57" t="b">
        <x:f>AND(K383&lt;&gt;"",K383&lt;='Assumptions'!$B$9)</x:f>
        <x:v>0</x:v>
      </x:c>
      <x:c r="O383" s="57" t="b">
        <x:f>AND(P383&lt;&gt;"",ABS(L383)&lt;='Assumptions'!$B$10)</x:f>
        <x:v>0</x:v>
      </x:c>
      <x:c r="P383" s="53" t="n">
        <x:v>45867</x:v>
      </x:c>
      <x:c r="Q383" s="54" t="n">
        <x:v>23455.708</x:v>
      </x:c>
      <x:c r="R383" s="55" t="n">
        <x:v>-0.00942</x:v>
      </x:c>
      <x:c r="S383" s="57" t="str">
        <x:f>IF(I383,"DAMAGE SKIP",IF(AND(M383,N383),IF(O383,"TUESDAY RE-ENTRY","GAP/MOM SKIP"),"BASELINE"))</x:f>
        <x:v>BASELINE</x:v>
      </x:c>
      <x:c r="T383" s="56" t="n">
        <x:f>IF(I383,0,IF(AND(M383,N383),IF(O383,R383,0),G383))</x:f>
        <x:v>-0.004</x:v>
      </x:c>
      <x:c r="U383" s="56" t="n">
        <x:f>G383*'Assumptions'!$B$6</x:f>
        <x:v>-0.045200000000000004</x:v>
      </x:c>
      <x:c r="V383" s="56" t="n">
        <x:f>T383*'Assumptions'!$B$6</x:f>
        <x:v>-0.045200000000000004</x:v>
      </x:c>
      <x:c r="W383" s="56" t="n">
        <x:f>V383-U383</x:f>
        <x:v>0</x:v>
      </x:c>
      <x:c r="X383" s="58" t="n">
        <x:f>X382*(1+U383)</x:f>
        <x:v>47808928.40819085</x:v>
      </x:c>
      <x:c r="Y383" s="58" t="n">
        <x:f>MAX(Y382,X383)</x:f>
        <x:v>50072191.46228618</x:v>
      </x:c>
      <x:c r="Z383" s="59" t="n">
        <x:f>X383/Y383-1</x:f>
        <x:v>-0.04520000000000002</x:v>
      </x:c>
      <x:c r="AA383" s="58" t="n">
        <x:f>AA382*(1+V383)</x:f>
        <x:v>343735697.2777392</x:v>
      </x:c>
      <x:c r="AB383" s="58" t="n">
        <x:f>MAX(AB382,AA383)</x:f>
        <x:v>360008061.6649971</x:v>
      </x:c>
      <x:c r="AC383" s="59" t="n">
        <x:f>AA383/AB383-1</x:f>
        <x:v>-0.04520000000000002</x:v>
      </x:c>
      <x:c r="AD383" s="60" t="n">
        <x:f>AA383-X383</x:f>
        <x:v>295926768.8695484</x:v>
      </x:c>
      <x:c r="AE383" s="28" t="str">
        <x:v>Baseline trade unchanged.</x:v>
      </x:c>
    </x:row>
    <x:row r="384" ht="18" customHeight="1">
      <x:c r="A384" s="23" t="n">
        <x:v>380</x:v>
      </x:c>
      <x:c r="B384" s="53" t="n">
        <x:v>45873</x:v>
      </x:c>
      <x:c r="C384" s="53" t="n">
        <x:v>45873</x:v>
      </x:c>
      <x:c r="D384" s="23" t="str">
        <x:v>CH</x:v>
      </x:c>
      <x:c r="E384" s="54" t="n">
        <x:v>22976.086</x:v>
      </x:c>
      <x:c r="F384" s="54" t="n">
        <x:v>23177.964</x:v>
      </x:c>
      <x:c r="G384" s="55" t="n">
        <x:v>0.00878</x:v>
      </x:c>
      <x:c r="H384" s="56" t="n">
        <x:f>SUM(T381:T383)</x:f>
        <x:v>0.01686</x:v>
      </x:c>
      <x:c r="I384" s="57" t="b">
        <x:f>AND(A384&gt;3,H384&lt;='Assumptions'!$B$7)</x:f>
        <x:v>0</x:v>
      </x:c>
      <x:c r="J384" s="55" t="n">
        <x:v>0.009324664782770942</x:v>
      </x:c>
      <x:c r="K384" s="55" t="n">
        <x:v>-0.004206968465715111</x:v>
      </x:c>
      <x:c r="L384" s="55" t="n">
        <x:v>0.020780674514335296</x:v>
      </x:c>
      <x:c r="M384" s="57" t="b">
        <x:f>J384&gt;='Assumptions'!$B$8</x:f>
        <x:v>0</x:v>
      </x:c>
      <x:c r="N384" s="57" t="b">
        <x:f>AND(K384&lt;&gt;"",K384&lt;='Assumptions'!$B$9)</x:f>
        <x:v>0</x:v>
      </x:c>
      <x:c r="O384" s="57" t="b">
        <x:f>AND(P384&lt;&gt;"",ABS(L384)&lt;='Assumptions'!$B$10)</x:f>
        <x:v>0</x:v>
      </x:c>
      <x:c r="P384" s="53" t="n">
        <x:v>45874</x:v>
      </x:c>
      <x:c r="Q384" s="54" t="n">
        <x:v>23231.189</x:v>
      </x:c>
      <x:c r="R384" s="55" t="n">
        <x:v>-0.00229</x:v>
      </x:c>
      <x:c r="S384" s="57" t="str">
        <x:f>IF(I384,"DAMAGE SKIP",IF(AND(M384,N384),IF(O384,"TUESDAY RE-ENTRY","GAP/MOM SKIP"),"BASELINE"))</x:f>
        <x:v>BASELINE</x:v>
      </x:c>
      <x:c r="T384" s="56" t="n">
        <x:f>IF(I384,0,IF(AND(M384,N384),IF(O384,R384,0),G384))</x:f>
        <x:v>0.00878</x:v>
      </x:c>
      <x:c r="U384" s="56" t="n">
        <x:f>G384*'Assumptions'!$B$6</x:f>
        <x:v>0.099214</x:v>
      </x:c>
      <x:c r="V384" s="56" t="n">
        <x:f>T384*'Assumptions'!$B$6</x:f>
        <x:v>0.099214</x:v>
      </x:c>
      <x:c r="W384" s="56" t="n">
        <x:f>V384-U384</x:f>
        <x:v>0</x:v>
      </x:c>
      <x:c r="X384" s="58" t="n">
        <x:f>X383*(1+U384)</x:f>
        <x:v>52552243.43128109</x:v>
      </x:c>
      <x:c r="Y384" s="58" t="n">
        <x:f>MAX(Y383,X384)</x:f>
        <x:v>52552243.43128109</x:v>
      </x:c>
      <x:c r="Z384" s="59" t="n">
        <x:f>X384/Y384-1</x:f>
        <x:v>0</x:v>
      </x:c>
      <x:c r="AA384" s="58" t="n">
        <x:f>AA383*(1+V384)</x:f>
        <x:v>377839090.7474528</x:v>
      </x:c>
      <x:c r="AB384" s="58" t="n">
        <x:f>MAX(AB383,AA384)</x:f>
        <x:v>377839090.7474528</x:v>
      </x:c>
      <x:c r="AC384" s="59" t="n">
        <x:f>AA384/AB384-1</x:f>
        <x:v>0</x:v>
      </x:c>
      <x:c r="AD384" s="60" t="n">
        <x:f>AA384-X384</x:f>
        <x:v>325286847.3161717</x:v>
      </x:c>
      <x:c r="AE384" s="28" t="str">
        <x:v>Baseline trade unchanged.</x:v>
      </x:c>
    </x:row>
    <x:row r="385" ht="18" customHeight="1">
      <x:c r="A385" s="23" t="n">
        <x:v>381</x:v>
      </x:c>
      <x:c r="B385" s="53" t="n">
        <x:v>45880</x:v>
      </x:c>
      <x:c r="C385" s="53" t="n">
        <x:v>45884</x:v>
      </x:c>
      <x:c r="D385" s="23" t="str">
        <x:v>TO</x:v>
      </x:c>
      <x:c r="E385" s="54" t="n">
        <x:v>23610.354</x:v>
      </x:c>
      <x:c r="F385" s="54" t="n">
        <x:v>23707.242</x:v>
      </x:c>
      <x:c r="G385" s="55" t="n">
        <x:v>0.0041</x:v>
      </x:c>
      <x:c r="H385" s="56" t="n">
        <x:f>SUM(T382:T384)</x:f>
        <x:v>0.01242</x:v>
      </x:c>
      <x:c r="I385" s="57" t="b">
        <x:f>AND(A385&gt;3,H385&lt;='Assumptions'!$B$7)</x:f>
        <x:v>0</x:v>
      </x:c>
      <x:c r="J385" s="55" t="n">
        <x:v>-0.00034578795175199684</x:v>
      </x:c>
      <x:c r="K385" s="55" t="n">
        <x:v>0.036719595813785366</x:v>
      </x:c>
      <x:c r="L385" s="55" t="n">
        <x:v>0.0010617004612305525</x:v>
      </x:c>
      <x:c r="M385" s="57" t="b">
        <x:f>J385&gt;='Assumptions'!$B$8</x:f>
        <x:v>0</x:v>
      </x:c>
      <x:c r="N385" s="57" t="b">
        <x:f>AND(K385&lt;&gt;"",K385&lt;='Assumptions'!$B$9)</x:f>
        <x:v>0</x:v>
      </x:c>
      <x:c r="O385" s="57" t="b">
        <x:f>AND(P385&lt;&gt;"",ABS(L385)&lt;='Assumptions'!$B$10)</x:f>
        <x:v>1</x:v>
      </x:c>
      <x:c r="P385" s="53" t="n">
        <x:v>45881</x:v>
      </x:c>
      <x:c r="Q385" s="54" t="n">
        <x:v>23624.82</x:v>
      </x:c>
      <x:c r="R385" s="55" t="n">
        <x:v>0.00348</x:v>
      </x:c>
      <x:c r="S385" s="57" t="str">
        <x:f>IF(I385,"DAMAGE SKIP",IF(AND(M385,N385),IF(O385,"TUESDAY RE-ENTRY","GAP/MOM SKIP"),"BASELINE"))</x:f>
        <x:v>BASELINE</x:v>
      </x:c>
      <x:c r="T385" s="56" t="n">
        <x:f>IF(I385,0,IF(AND(M385,N385),IF(O385,R385,0),G385))</x:f>
        <x:v>0.0041</x:v>
      </x:c>
      <x:c r="U385" s="56" t="n">
        <x:f>G385*'Assumptions'!$B$6</x:f>
        <x:v>0.04633000000000001</x:v>
      </x:c>
      <x:c r="V385" s="56" t="n">
        <x:f>T385*'Assumptions'!$B$6</x:f>
        <x:v>0.04633000000000001</x:v>
      </x:c>
      <x:c r="W385" s="56" t="n">
        <x:f>V385-U385</x:f>
        <x:v>0</x:v>
      </x:c>
      <x:c r="X385" s="58" t="n">
        <x:f>X384*(1+U385)</x:f>
        <x:v>54986988.86945234</x:v>
      </x:c>
      <x:c r="Y385" s="58" t="n">
        <x:f>MAX(Y384,X385)</x:f>
        <x:v>54986988.86945234</x:v>
      </x:c>
      <x:c r="Z385" s="59" t="n">
        <x:f>X385/Y385-1</x:f>
        <x:v>0</x:v>
      </x:c>
      <x:c r="AA385" s="58" t="n">
        <x:f>AA384*(1+V385)</x:f>
        <x:v>395344375.8217823</x:v>
      </x:c>
      <x:c r="AB385" s="58" t="n">
        <x:f>MAX(AB384,AA385)</x:f>
        <x:v>395344375.8217823</x:v>
      </x:c>
      <x:c r="AC385" s="59" t="n">
        <x:f>AA385/AB385-1</x:f>
        <x:v>0</x:v>
      </x:c>
      <x:c r="AD385" s="60" t="n">
        <x:f>AA385-X385</x:f>
        <x:v>340357386.95232993</x:v>
      </x:c>
      <x:c r="AE385" s="28" t="str">
        <x:v>Baseline trade unchanged.</x:v>
      </x:c>
    </x:row>
    <x:row r="386" ht="18" customHeight="1">
      <x:c r="A386" s="23" t="n">
        <x:v>382</x:v>
      </x:c>
      <x:c r="B386" s="53" t="n">
        <x:v>45887</x:v>
      </x:c>
      <x:c r="C386" s="53" t="n">
        <x:v>45890</x:v>
      </x:c>
      <x:c r="D386" s="23" t="str">
        <x:v>TSL1PRE</x:v>
      </x:c>
      <x:c r="E386" s="54" t="n">
        <x:v>23679.621</x:v>
      </x:c>
      <x:c r="F386" s="54" t="n">
        <x:v>23241.297</x:v>
      </x:c>
      <x:c r="G386" s="55" t="n">
        <x:v>-0.01851</x:v>
      </x:c>
      <x:c r="H386" s="56" t="n">
        <x:f>SUM(T383:T385)</x:f>
        <x:v>0.008879999999999999</x:v>
      </x:c>
      <x:c r="I386" s="57" t="b">
        <x:f>AND(A386&gt;3,H386&lt;='Assumptions'!$B$7)</x:f>
        <x:v>0</x:v>
      </x:c>
      <x:c r="J386" s="55" t="n">
        <x:v>-0.0011650870227755128</x:v>
      </x:c>
      <x:c r="K386" s="55" t="n">
        <x:v>0.028649823611160752</x:v>
      </x:c>
      <x:c r="L386" s="55" t="n">
        <x:v>-0.0016454775349015183</x:v>
      </x:c>
      <x:c r="M386" s="57" t="b">
        <x:f>J386&gt;='Assumptions'!$B$8</x:f>
        <x:v>0</x:v>
      </x:c>
      <x:c r="N386" s="57" t="b">
        <x:f>AND(K386&lt;&gt;"",K386&lt;='Assumptions'!$B$9)</x:f>
        <x:v>0</x:v>
      </x:c>
      <x:c r="O386" s="57" t="b">
        <x:f>AND(P386&lt;&gt;"",ABS(L386)&lt;='Assumptions'!$B$10)</x:f>
        <x:v>1</x:v>
      </x:c>
      <x:c r="P386" s="53" t="n">
        <x:v>45888</x:v>
      </x:c>
      <x:c r="Q386" s="54" t="n">
        <x:v>23676.789</x:v>
      </x:c>
      <x:c r="R386" s="55" t="n">
        <x:v>-0.01839</x:v>
      </x:c>
      <x:c r="S386" s="57" t="str">
        <x:f>IF(I386,"DAMAGE SKIP",IF(AND(M386,N386),IF(O386,"TUESDAY RE-ENTRY","GAP/MOM SKIP"),"BASELINE"))</x:f>
        <x:v>BASELINE</x:v>
      </x:c>
      <x:c r="T386" s="56" t="n">
        <x:f>IF(I386,0,IF(AND(M386,N386),IF(O386,R386,0),G386))</x:f>
        <x:v>-0.01851</x:v>
      </x:c>
      <x:c r="U386" s="56" t="n">
        <x:f>G386*'Assumptions'!$B$6</x:f>
        <x:v>-0.209163</x:v>
      </x:c>
      <x:c r="V386" s="56" t="n">
        <x:f>T386*'Assumptions'!$B$6</x:f>
        <x:v>-0.209163</x:v>
      </x:c>
      <x:c r="W386" s="56" t="n">
        <x:f>V386-U386</x:f>
        <x:v>0</x:v>
      </x:c>
      <x:c r="X386" s="58" t="n">
        <x:f>X385*(1+U386)</x:f>
        <x:v>43485745.31655108</x:v>
      </x:c>
      <x:c r="Y386" s="58" t="n">
        <x:f>MAX(Y385,X386)</x:f>
        <x:v>54986988.86945234</x:v>
      </x:c>
      <x:c r="Z386" s="59" t="n">
        <x:f>X386/Y386-1</x:f>
        <x:v>-0.209163</x:v>
      </x:c>
      <x:c r="AA386" s="58" t="n">
        <x:f>AA385*(1+V386)</x:f>
        <x:v>312652960.14177084</x:v>
      </x:c>
      <x:c r="AB386" s="58" t="n">
        <x:f>MAX(AB385,AA386)</x:f>
        <x:v>395344375.8217823</x:v>
      </x:c>
      <x:c r="AC386" s="59" t="n">
        <x:f>AA386/AB386-1</x:f>
        <x:v>-0.209163</x:v>
      </x:c>
      <x:c r="AD386" s="60" t="n">
        <x:f>AA386-X386</x:f>
        <x:v>269167214.82521975</x:v>
      </x:c>
      <x:c r="AE386" s="28" t="str">
        <x:v>Baseline trade unchanged.</x:v>
      </x:c>
    </x:row>
    <x:row r="387" ht="18" customHeight="1">
      <x:c r="A387" s="23" t="n">
        <x:v>383</x:v>
      </x:c>
      <x:c r="B387" s="53" t="n">
        <x:v>45894</x:v>
      </x:c>
      <x:c r="C387" s="53" t="n">
        <x:v>45898</x:v>
      </x:c>
      <x:c r="D387" s="23" t="str">
        <x:v>TO</x:v>
      </x:c>
      <x:c r="E387" s="54" t="n">
        <x:v>23424.489</x:v>
      </x:c>
      <x:c r="F387" s="54" t="n">
        <x:v>23415.861</x:v>
      </x:c>
      <x:c r="G387" s="55" t="n">
        <x:v>-0.00036</x:v>
      </x:c>
      <x:c r="H387" s="56" t="n">
        <x:f>SUM(T384:T386)</x:f>
        <x:v>-0.00563</x:v>
      </x:c>
      <x:c r="I387" s="57" t="b">
        <x:f>AND(A387&gt;3,H387&lt;='Assumptions'!$B$7)</x:f>
        <x:v>0</x:v>
      </x:c>
      <x:c r="J387" s="55" t="n">
        <x:v>-0.002894457279044138</x:v>
      </x:c>
      <x:c r="K387" s="55" t="n">
        <x:v>0.009887529353602709</x:v>
      </x:c>
      <x:c r="L387" s="55" t="n">
        <x:v>-0.0037414549714145373</x:v>
      </x:c>
      <x:c r="M387" s="57" t="b">
        <x:f>J387&gt;='Assumptions'!$B$8</x:f>
        <x:v>0</x:v>
      </x:c>
      <x:c r="N387" s="57" t="b">
        <x:f>AND(K387&lt;&gt;"",K387&lt;='Assumptions'!$B$9)</x:f>
        <x:v>0</x:v>
      </x:c>
      <x:c r="O387" s="57" t="b">
        <x:f>AND(P387&lt;&gt;"",ABS(L387)&lt;='Assumptions'!$B$10)</x:f>
        <x:v>1</x:v>
      </x:c>
      <x:c r="P387" s="53" t="n">
        <x:v>45895</x:v>
      </x:c>
      <x:c r="Q387" s="54" t="n">
        <x:v>23403.42</x:v>
      </x:c>
      <x:c r="R387" s="55" t="n">
        <x:v>0.00053</x:v>
      </x:c>
      <x:c r="S387" s="57" t="str">
        <x:f>IF(I387,"DAMAGE SKIP",IF(AND(M387,N387),IF(O387,"TUESDAY RE-ENTRY","GAP/MOM SKIP"),"BASELINE"))</x:f>
        <x:v>BASELINE</x:v>
      </x:c>
      <x:c r="T387" s="56" t="n">
        <x:f>IF(I387,0,IF(AND(M387,N387),IF(O387,R387,0),G387))</x:f>
        <x:v>-0.00036</x:v>
      </x:c>
      <x:c r="U387" s="56" t="n">
        <x:f>G387*'Assumptions'!$B$6</x:f>
        <x:v>-0.0040680000000000004</x:v>
      </x:c>
      <x:c r="V387" s="56" t="n">
        <x:f>T387*'Assumptions'!$B$6</x:f>
        <x:v>-0.0040680000000000004</x:v>
      </x:c>
      <x:c r="W387" s="56" t="n">
        <x:f>V387-U387</x:f>
        <x:v>0</x:v>
      </x:c>
      <x:c r="X387" s="58" t="n">
        <x:f>X386*(1+U387)</x:f>
        <x:v>43308845.30460335</x:v>
      </x:c>
      <x:c r="Y387" s="58" t="n">
        <x:f>MAX(Y386,X387)</x:f>
        <x:v>54986988.86945234</x:v>
      </x:c>
      <x:c r="Z387" s="59" t="n">
        <x:f>X387/Y387-1</x:f>
        <x:v>-0.212380124916</x:v>
      </x:c>
      <x:c r="AA387" s="58" t="n">
        <x:f>AA386*(1+V387)</x:f>
        <x:v>311381087.89991415</x:v>
      </x:c>
      <x:c r="AB387" s="58" t="n">
        <x:f>MAX(AB386,AA387)</x:f>
        <x:v>395344375.8217823</x:v>
      </x:c>
      <x:c r="AC387" s="59" t="n">
        <x:f>AA387/AB387-1</x:f>
        <x:v>-0.2123801249159999</x:v>
      </x:c>
      <x:c r="AD387" s="60" t="n">
        <x:f>AA387-X387</x:f>
        <x:v>268072242.5953108</x:v>
      </x:c>
      <x:c r="AE387" s="28" t="str">
        <x:v>Baseline trade unchanged.</x:v>
      </x:c>
    </x:row>
    <x:row r="388" ht="18" customHeight="1">
      <x:c r="A388" s="23" t="n">
        <x:v>384</x:v>
      </x:c>
      <x:c r="B388" s="53" t="n">
        <x:v>45902</x:v>
      </x:c>
      <x:c r="C388" s="53" t="n">
        <x:v>45902</x:v>
      </x:c>
      <x:c r="D388" s="23" t="str">
        <x:v>CH</x:v>
      </x:c>
      <x:c r="E388" s="54" t="n">
        <x:v>23055.319</x:v>
      </x:c>
      <x:c r="F388" s="54" t="n">
        <x:v>23228.663</x:v>
      </x:c>
      <x:c r="G388" s="55" t="n">
        <x:v>0.00751</x:v>
      </x:c>
      <x:c r="H388" s="56" t="n">
        <x:f>SUM(T385:T387)</x:f>
        <x:v>-0.014769999999999998</x:v>
      </x:c>
      <x:c r="I388" s="57" t="b">
        <x:f>AND(A388&gt;3,H388&lt;='Assumptions'!$B$7)</x:f>
        <x:v>0</x:v>
      </x:c>
      <x:c r="J388" s="55" t="n">
        <x:v>-0.015397341144107513</x:v>
      </x:c>
      <x:c r="K388" s="55" t="n">
        <x:v>0.02982595508052288</x:v>
      </x:c>
      <x:c r="L388" s="55"/>
      <x:c r="M388" s="57" t="b">
        <x:f>J388&gt;='Assumptions'!$B$8</x:f>
        <x:v>0</x:v>
      </x:c>
      <x:c r="N388" s="57" t="b">
        <x:f>AND(K388&lt;&gt;"",K388&lt;='Assumptions'!$B$9)</x:f>
        <x:v>0</x:v>
      </x:c>
      <x:c r="O388" s="57" t="b">
        <x:f>AND(P388&lt;&gt;"",ABS(L388)&lt;='Assumptions'!$B$10)</x:f>
        <x:v>0</x:v>
      </x:c>
      <x:c r="P388" s="53"/>
      <x:c r="Q388" s="54"/>
      <x:c r="R388" s="55"/>
      <x:c r="S388" s="57" t="str">
        <x:f>IF(I388,"DAMAGE SKIP",IF(AND(M388,N388),IF(O388,"TUESDAY RE-ENTRY","GAP/MOM SKIP"),"BASELINE"))</x:f>
        <x:v>BASELINE</x:v>
      </x:c>
      <x:c r="T388" s="56" t="n">
        <x:f>IF(I388,0,IF(AND(M388,N388),IF(O388,R388,0),G388))</x:f>
        <x:v>0.00751</x:v>
      </x:c>
      <x:c r="U388" s="56" t="n">
        <x:f>G388*'Assumptions'!$B$6</x:f>
        <x:v>0.08486300000000001</x:v>
      </x:c>
      <x:c r="V388" s="56" t="n">
        <x:f>T388*'Assumptions'!$B$6</x:f>
        <x:v>0.08486300000000001</x:v>
      </x:c>
      <x:c r="W388" s="56" t="n">
        <x:f>V388-U388</x:f>
        <x:v>0</x:v>
      </x:c>
      <x:c r="X388" s="58" t="n">
        <x:f>X387*(1+U388)</x:f>
        <x:v>46984163.84368791</x:v>
      </x:c>
      <x:c r="Y388" s="58" t="n">
        <x:f>MAX(Y387,X388)</x:f>
        <x:v>54986988.86945234</x:v>
      </x:c>
      <x:c r="Z388" s="59" t="n">
        <x:f>X388/Y388-1</x:f>
        <x:v>-0.1455403394567465</x:v>
      </x:c>
      <x:c r="AA388" s="58" t="n">
        <x:f>AA387*(1+V388)</x:f>
        <x:v>337805821.16236454</x:v>
      </x:c>
      <x:c r="AB388" s="58" t="n">
        <x:f>MAX(AB387,AA388)</x:f>
        <x:v>395344375.8217823</x:v>
      </x:c>
      <x:c r="AC388" s="59" t="n">
        <x:f>AA388/AB388-1</x:f>
        <x:v>-0.1455403394567465</x:v>
      </x:c>
      <x:c r="AD388" s="60" t="n">
        <x:f>AA388-X388</x:f>
        <x:v>290821657.31867665</x:v>
      </x:c>
      <x:c r="AE388" s="28" t="str">
        <x:v>Baseline trade unchanged.</x:v>
      </x:c>
    </x:row>
    <x:row r="389" ht="18" customHeight="1">
      <x:c r="A389" s="23" t="n">
        <x:v>385</x:v>
      </x:c>
      <x:c r="B389" s="53" t="n">
        <x:v>45908</x:v>
      </x:c>
      <x:c r="C389" s="53" t="n">
        <x:v>45912</x:v>
      </x:c>
      <x:c r="D389" s="23" t="str">
        <x:v>TO</x:v>
      </x:c>
      <x:c r="E389" s="54" t="n">
        <x:v>23749.969</x:v>
      </x:c>
      <x:c r="F389" s="54" t="n">
        <x:v>24077.114</x:v>
      </x:c>
      <x:c r="G389" s="55" t="n">
        <x:v>0.01377</x:v>
      </x:c>
      <x:c r="H389" s="56" t="n">
        <x:f>SUM(T386:T388)</x:f>
        <x:v>-0.011359999999999999</x:v>
      </x:c>
      <x:c r="I389" s="57" t="b">
        <x:f>AND(A389&gt;3,H389&lt;='Assumptions'!$B$7)</x:f>
        <x:v>0</x:v>
      </x:c>
      <x:c r="J389" s="55" t="n">
        <x:v>0.004379523334811619</x:v>
      </x:c>
      <x:c r="K389" s="55" t="n">
        <x:v>0.011980886796430168</x:v>
      </x:c>
      <x:c r="L389" s="55" t="n">
        <x:v>0.006266708328993564</x:v>
      </x:c>
      <x:c r="M389" s="57" t="b">
        <x:f>J389&gt;='Assumptions'!$B$8</x:f>
        <x:v>0</x:v>
      </x:c>
      <x:c r="N389" s="57" t="b">
        <x:f>AND(K389&lt;&gt;"",K389&lt;='Assumptions'!$B$9)</x:f>
        <x:v>0</x:v>
      </x:c>
      <x:c r="O389" s="57" t="b">
        <x:f>AND(P389&lt;&gt;"",ABS(L389)&lt;='Assumptions'!$B$10)</x:f>
        <x:v>0</x:v>
      </x:c>
      <x:c r="P389" s="53" t="n">
        <x:v>45909</x:v>
      </x:c>
      <x:c r="Q389" s="54" t="n">
        <x:v>23804.338</x:v>
      </x:c>
      <x:c r="R389" s="55" t="n">
        <x:v>0.01145</x:v>
      </x:c>
      <x:c r="S389" s="57" t="str">
        <x:f>IF(I389,"DAMAGE SKIP",IF(AND(M389,N389),IF(O389,"TUESDAY RE-ENTRY","GAP/MOM SKIP"),"BASELINE"))</x:f>
        <x:v>BASELINE</x:v>
      </x:c>
      <x:c r="T389" s="56" t="n">
        <x:f>IF(I389,0,IF(AND(M389,N389),IF(O389,R389,0),G389))</x:f>
        <x:v>0.01377</x:v>
      </x:c>
      <x:c r="U389" s="56" t="n">
        <x:f>G389*'Assumptions'!$B$6</x:f>
        <x:v>0.155601</x:v>
      </x:c>
      <x:c r="V389" s="56" t="n">
        <x:f>T389*'Assumptions'!$B$6</x:f>
        <x:v>0.155601</x:v>
      </x:c>
      <x:c r="W389" s="56" t="n">
        <x:f>V389-U389</x:f>
        <x:v>0</x:v>
      </x:c>
      <x:c r="X389" s="58" t="n">
        <x:f>X388*(1+U389)</x:f>
        <x:v>54294946.72192958</x:v>
      </x:c>
      <x:c r="Y389" s="58" t="n">
        <x:f>MAX(Y388,X389)</x:f>
        <x:v>54986988.86945234</x:v>
      </x:c>
      <x:c r="Z389" s="59" t="n">
        <x:f>X389/Y389-1</x:f>
        <x:v>-0.012585561816555901</x:v>
      </x:c>
      <x:c r="AA389" s="58" t="n">
        <x:f>AA388*(1+V389)</x:f>
        <x:v>390368744.7410496</x:v>
      </x:c>
      <x:c r="AB389" s="58" t="n">
        <x:f>MAX(AB388,AA389)</x:f>
        <x:v>395344375.8217823</x:v>
      </x:c>
      <x:c r="AC389" s="59" t="n">
        <x:f>AA389/AB389-1</x:f>
        <x:v>-0.01258556181655579</x:v>
      </x:c>
      <x:c r="AD389" s="60" t="n">
        <x:f>AA389-X389</x:f>
        <x:v>336073798.01912</x:v>
      </x:c>
      <x:c r="AE389" s="28" t="str">
        <x:v>Baseline trade unchanged.</x:v>
      </x:c>
    </x:row>
    <x:row r="390" ht="18" customHeight="1">
      <x:c r="A390" s="23" t="n">
        <x:v>386</x:v>
      </x:c>
      <x:c r="B390" s="53" t="n">
        <x:v>45915</x:v>
      </x:c>
      <x:c r="C390" s="53" t="n">
        <x:v>45919</x:v>
      </x:c>
      <x:c r="D390" s="23" t="str">
        <x:v>TO</x:v>
      </x:c>
      <x:c r="E390" s="54" t="n">
        <x:v>24160.316</x:v>
      </x:c>
      <x:c r="F390" s="54" t="n">
        <x:v>24610.153</x:v>
      </x:c>
      <x:c r="G390" s="55" t="n">
        <x:v>0.01861</x:v>
      </x:c>
      <x:c r="H390" s="56" t="n">
        <x:f>SUM(T387:T389)</x:f>
        <x:v>0.02092</x:v>
      </x:c>
      <x:c r="I390" s="57" t="b">
        <x:f>AND(A390&gt;3,H390&lt;='Assumptions'!$B$7)</x:f>
        <x:v>0</x:v>
      </x:c>
      <x:c r="J390" s="55" t="n">
        <x:v>0.0034556467191209084</x:v>
      </x:c>
      <x:c r="K390" s="55" t="n">
        <x:v>0.011674627946679506</x:v>
      </x:c>
      <x:c r="L390" s="55" t="n">
        <x:v>0.010142160706371639</x:v>
      </x:c>
      <x:c r="M390" s="57" t="b">
        <x:f>J390&gt;='Assumptions'!$B$8</x:f>
        <x:v>0</x:v>
      </x:c>
      <x:c r="N390" s="57" t="b">
        <x:f>AND(K390&lt;&gt;"",K390&lt;='Assumptions'!$B$9)</x:f>
        <x:v>0</x:v>
      </x:c>
      <x:c r="O390" s="57" t="b">
        <x:f>AND(P390&lt;&gt;"",ABS(L390)&lt;='Assumptions'!$B$10)</x:f>
        <x:v>0</x:v>
      </x:c>
      <x:c r="P390" s="53" t="n">
        <x:v>45916</x:v>
      </x:c>
      <x:c r="Q390" s="54" t="n">
        <x:v>24331.844</x:v>
      </x:c>
      <x:c r="R390" s="55" t="n">
        <x:v>0.01143</x:v>
      </x:c>
      <x:c r="S390" s="57" t="str">
        <x:f>IF(I390,"DAMAGE SKIP",IF(AND(M390,N390),IF(O390,"TUESDAY RE-ENTRY","GAP/MOM SKIP"),"BASELINE"))</x:f>
        <x:v>BASELINE</x:v>
      </x:c>
      <x:c r="T390" s="56" t="n">
        <x:f>IF(I390,0,IF(AND(M390,N390),IF(O390,R390,0),G390))</x:f>
        <x:v>0.01861</x:v>
      </x:c>
      <x:c r="U390" s="56" t="n">
        <x:f>G390*'Assumptions'!$B$6</x:f>
        <x:v>0.21029300000000004</x:v>
      </x:c>
      <x:c r="V390" s="56" t="n">
        <x:f>T390*'Assumptions'!$B$6</x:f>
        <x:v>0.21029300000000004</x:v>
      </x:c>
      <x:c r="W390" s="56" t="n">
        <x:f>V390-U390</x:f>
        <x:v>0</x:v>
      </x:c>
      <x:c r="X390" s="58" t="n">
        <x:f>X389*(1+U390)</x:f>
        <x:v>65712793.95292432</x:v>
      </x:c>
      <x:c r="Y390" s="58" t="n">
        <x:f>MAX(Y389,X390)</x:f>
        <x:v>65712793.95292432</x:v>
      </x:c>
      <x:c r="Z390" s="59" t="n">
        <x:f>X390/Y390-1</x:f>
        <x:v>0</x:v>
      </x:c>
      <x:c r="AA390" s="58" t="n">
        <x:f>AA389*(1+V390)</x:f>
        <x:v>472460559.17887914</x:v>
      </x:c>
      <x:c r="AB390" s="58" t="n">
        <x:f>MAX(AB389,AA390)</x:f>
        <x:v>472460559.17887914</x:v>
      </x:c>
      <x:c r="AC390" s="59" t="n">
        <x:f>AA390/AB390-1</x:f>
        <x:v>0</x:v>
      </x:c>
      <x:c r="AD390" s="60" t="n">
        <x:f>AA390-X390</x:f>
        <x:v>406747765.22595483</x:v>
      </x:c>
      <x:c r="AE390" s="28" t="str">
        <x:v>Baseline trade unchanged.</x:v>
      </x:c>
    </x:row>
    <x:row r="391" ht="18" customHeight="1">
      <x:c r="A391" s="23" t="n">
        <x:v>387</x:v>
      </x:c>
      <x:c r="B391" s="53" t="n">
        <x:v>45922</x:v>
      </x:c>
      <x:c r="C391" s="53" t="n">
        <x:v>45922</x:v>
      </x:c>
      <x:c r="D391" s="23" t="str">
        <x:v>CH</x:v>
      </x:c>
      <x:c r="E391" s="54" t="n">
        <x:v>24565.436</x:v>
      </x:c>
      <x:c r="F391" s="54" t="n">
        <x:v>24745.089</x:v>
      </x:c>
      <x:c r="G391" s="55" t="n">
        <x:v>0.00731</x:v>
      </x:c>
      <x:c r="H391" s="56" t="n">
        <x:f>SUM(T388:T390)</x:f>
        <x:v>0.03989</x:v>
      </x:c>
      <x:c r="I391" s="57" t="b">
        <x:f>AND(A391&gt;3,H391&lt;='Assumptions'!$B$7)</x:f>
        <x:v>0</x:v>
      </x:c>
      <x:c r="J391" s="55" t="n">
        <x:v>-0.001817014302999076</x:v>
      </x:c>
      <x:c r="K391" s="55" t="n">
        <x:v>0.06403564834540565</x:v>
      </x:c>
      <x:c r="L391" s="55" t="n">
        <x:v>0.005038792024693484</x:v>
      </x:c>
      <x:c r="M391" s="57" t="b">
        <x:f>J391&gt;='Assumptions'!$B$8</x:f>
        <x:v>0</x:v>
      </x:c>
      <x:c r="N391" s="57" t="b">
        <x:f>AND(K391&lt;&gt;"",K391&lt;='Assumptions'!$B$9)</x:f>
        <x:v>0</x:v>
      </x:c>
      <x:c r="O391" s="57" t="b">
        <x:f>AND(P391&lt;&gt;"",ABS(L391)&lt;='Assumptions'!$B$10)</x:f>
        <x:v>0</x:v>
      </x:c>
      <x:c r="P391" s="53" t="n">
        <x:v>45923</x:v>
      </x:c>
      <x:c r="Q391" s="54" t="n">
        <x:v>24759.066</x:v>
      </x:c>
      <x:c r="R391" s="55" t="n">
        <x:v>-0.00056</x:v>
      </x:c>
      <x:c r="S391" s="57" t="str">
        <x:f>IF(I391,"DAMAGE SKIP",IF(AND(M391,N391),IF(O391,"TUESDAY RE-ENTRY","GAP/MOM SKIP"),"BASELINE"))</x:f>
        <x:v>BASELINE</x:v>
      </x:c>
      <x:c r="T391" s="56" t="n">
        <x:f>IF(I391,0,IF(AND(M391,N391),IF(O391,R391,0),G391))</x:f>
        <x:v>0.00731</x:v>
      </x:c>
      <x:c r="U391" s="56" t="n">
        <x:f>G391*'Assumptions'!$B$6</x:f>
        <x:v>0.082603</x:v>
      </x:c>
      <x:c r="V391" s="56" t="n">
        <x:f>T391*'Assumptions'!$B$6</x:f>
        <x:v>0.082603</x:v>
      </x:c>
      <x:c r="W391" s="56" t="n">
        <x:f>V391-U391</x:f>
        <x:v>0</x:v>
      </x:c>
      <x:c r="X391" s="58" t="n">
        <x:f>X390*(1+U391)</x:f>
        <x:v>71140867.87181772</x:v>
      </x:c>
      <x:c r="Y391" s="58" t="n">
        <x:f>MAX(Y390,X391)</x:f>
        <x:v>71140867.87181772</x:v>
      </x:c>
      <x:c r="Z391" s="59" t="n">
        <x:f>X391/Y391-1</x:f>
        <x:v>0</x:v>
      </x:c>
      <x:c r="AA391" s="58" t="n">
        <x:f>AA390*(1+V391)</x:f>
        <x:v>511487218.7487321</x:v>
      </x:c>
      <x:c r="AB391" s="58" t="n">
        <x:f>MAX(AB390,AA391)</x:f>
        <x:v>511487218.7487321</x:v>
      </x:c>
      <x:c r="AC391" s="59" t="n">
        <x:f>AA391/AB391-1</x:f>
        <x:v>0</x:v>
      </x:c>
      <x:c r="AD391" s="60" t="n">
        <x:f>AA391-X391</x:f>
        <x:v>440346350.8769144</x:v>
      </x:c>
      <x:c r="AE391" s="28" t="str">
        <x:v>Baseline trade unchanged.</x:v>
      </x:c>
    </x:row>
    <x:row r="392" ht="18" customHeight="1">
      <x:c r="A392" s="23" t="n">
        <x:v>388</x:v>
      </x:c>
      <x:c r="B392" s="53" t="n">
        <x:v>45929</x:v>
      </x:c>
      <x:c r="C392" s="53" t="n">
        <x:v>45933</x:v>
      </x:c>
      <x:c r="D392" s="23" t="str">
        <x:v>TO</x:v>
      </x:c>
      <x:c r="E392" s="54" t="n">
        <x:v>24626.186</x:v>
      </x:c>
      <x:c r="F392" s="54" t="n">
        <x:v>24796.544</x:v>
      </x:c>
      <x:c r="G392" s="55" t="n">
        <x:v>0.00691</x:v>
      </x:c>
      <x:c r="H392" s="56" t="n">
        <x:f>SUM(T389:T391)</x:f>
        <x:v>0.039689999999999996</x:v>
      </x:c>
      <x:c r="I392" s="57" t="b">
        <x:f>AND(A392&gt;3,H392&lt;='Assumptions'!$B$7)</x:f>
        <x:v>0</x:v>
      </x:c>
      <x:c r="J392" s="55" t="n">
        <x:v>0.005028902014829972</x:v>
      </x:c>
      <x:c r="K392" s="55" t="n">
        <x:v>0.032733763083107936</x:v>
      </x:c>
      <x:c r="L392" s="55" t="n">
        <x:v>0.004127724549893408</x:v>
      </x:c>
      <x:c r="M392" s="57" t="b">
        <x:f>J392&gt;='Assumptions'!$B$8</x:f>
        <x:v>0</x:v>
      </x:c>
      <x:c r="N392" s="57" t="b">
        <x:f>AND(K392&lt;&gt;"",K392&lt;='Assumptions'!$B$9)</x:f>
        <x:v>0</x:v>
      </x:c>
      <x:c r="O392" s="57" t="b">
        <x:f>AND(P392&lt;&gt;"",ABS(L392)&lt;='Assumptions'!$B$10)</x:f>
        <x:v>1</x:v>
      </x:c>
      <x:c r="P392" s="53" t="n">
        <x:v>45930</x:v>
      </x:c>
      <x:c r="Q392" s="54" t="n">
        <x:v>24596.577</x:v>
      </x:c>
      <x:c r="R392" s="55" t="n">
        <x:v>0.00812</x:v>
      </x:c>
      <x:c r="S392" s="57" t="str">
        <x:f>IF(I392,"DAMAGE SKIP",IF(AND(M392,N392),IF(O392,"TUESDAY RE-ENTRY","GAP/MOM SKIP"),"BASELINE"))</x:f>
        <x:v>BASELINE</x:v>
      </x:c>
      <x:c r="T392" s="56" t="n">
        <x:f>IF(I392,0,IF(AND(M392,N392),IF(O392,R392,0),G392))</x:f>
        <x:v>0.00691</x:v>
      </x:c>
      <x:c r="U392" s="56" t="n">
        <x:f>G392*'Assumptions'!$B$6</x:f>
        <x:v>0.07808300000000001</x:v>
      </x:c>
      <x:c r="V392" s="56" t="n">
        <x:f>T392*'Assumptions'!$B$6</x:f>
        <x:v>0.07808300000000001</x:v>
      </x:c>
      <x:c r="W392" s="56" t="n">
        <x:f>V392-U392</x:f>
        <x:v>0</x:v>
      </x:c>
      <x:c r="X392" s="58" t="n">
        <x:f>X391*(1+U392)</x:f>
        <x:v>76695760.25785285</x:v>
      </x:c>
      <x:c r="Y392" s="58" t="n">
        <x:f>MAX(Y391,X392)</x:f>
        <x:v>76695760.25785285</x:v>
      </x:c>
      <x:c r="Z392" s="59" t="n">
        <x:f>X392/Y392-1</x:f>
        <x:v>0</x:v>
      </x:c>
      <x:c r="AA392" s="58" t="n">
        <x:f>AA391*(1+V392)</x:f>
        <x:v>551425675.2502893</x:v>
      </x:c>
      <x:c r="AB392" s="58" t="n">
        <x:f>MAX(AB391,AA392)</x:f>
        <x:v>551425675.2502893</x:v>
      </x:c>
      <x:c r="AC392" s="59" t="n">
        <x:f>AA392/AB392-1</x:f>
        <x:v>0</x:v>
      </x:c>
      <x:c r="AD392" s="60" t="n">
        <x:f>AA392-X392</x:f>
        <x:v>474729914.99243647</x:v>
      </x:c>
      <x:c r="AE392" s="28" t="str">
        <x:v>Baseline trade unchanged.</x:v>
      </x:c>
    </x:row>
    <x:row r="393" ht="18" customHeight="1">
      <x:c r="A393" s="23" t="n">
        <x:v>389</x:v>
      </x:c>
      <x:c r="B393" s="53" t="n">
        <x:v>45936</x:v>
      </x:c>
      <x:c r="C393" s="53" t="n">
        <x:v>45938</x:v>
      </x:c>
      <x:c r="D393" s="23" t="str">
        <x:v>BEPRE</x:v>
      </x:c>
      <x:c r="E393" s="54" t="n">
        <x:v>25009.414</x:v>
      </x:c>
      <x:c r="F393" s="54" t="n">
        <x:v>24910.305</x:v>
      </x:c>
      <x:c r="G393" s="55" t="n">
        <x:v>-0.00396</x:v>
      </x:c>
      <x:c r="H393" s="56" t="n">
        <x:f>SUM(T390:T392)</x:f>
        <x:v>0.032830000000000005</x:v>
      </x:c>
      <x:c r="I393" s="57" t="b">
        <x:f>AND(A393&gt;3,H393&lt;='Assumptions'!$B$7)</x:f>
        <x:v>0</x:v>
      </x:c>
      <x:c r="J393" s="55" t="n">
        <x:v>0.008584664056410451</x:v>
      </x:c>
      <x:c r="K393" s="55" t="n">
        <x:v>0.04707842933027817</x:v>
      </x:c>
      <x:c r="L393" s="55" t="n">
        <x:v>0.009682018634570078</x:v>
      </x:c>
      <x:c r="M393" s="57" t="b">
        <x:f>J393&gt;='Assumptions'!$B$8</x:f>
        <x:v>0</x:v>
      </x:c>
      <x:c r="N393" s="57" t="b">
        <x:f>AND(K393&lt;&gt;"",K393&lt;='Assumptions'!$B$9)</x:f>
        <x:v>0</x:v>
      </x:c>
      <x:c r="O393" s="57" t="b">
        <x:f>AND(P393&lt;&gt;"",ABS(L393)&lt;='Assumptions'!$B$10)</x:f>
        <x:v>0</x:v>
      </x:c>
      <x:c r="P393" s="53" t="n">
        <x:v>45937</x:v>
      </x:c>
      <x:c r="Q393" s="54" t="n">
        <x:v>25029.533</x:v>
      </x:c>
      <x:c r="R393" s="55" t="n">
        <x:v>-0.00476</x:v>
      </x:c>
      <x:c r="S393" s="57" t="str">
        <x:f>IF(I393,"DAMAGE SKIP",IF(AND(M393,N393),IF(O393,"TUESDAY RE-ENTRY","GAP/MOM SKIP"),"BASELINE"))</x:f>
        <x:v>BASELINE</x:v>
      </x:c>
      <x:c r="T393" s="56" t="n">
        <x:f>IF(I393,0,IF(AND(M393,N393),IF(O393,R393,0),G393))</x:f>
        <x:v>-0.00396</x:v>
      </x:c>
      <x:c r="U393" s="56" t="n">
        <x:f>G393*'Assumptions'!$B$6</x:f>
        <x:v>-0.044748</x:v>
      </x:c>
      <x:c r="V393" s="56" t="n">
        <x:f>T393*'Assumptions'!$B$6</x:f>
        <x:v>-0.044748</x:v>
      </x:c>
      <x:c r="W393" s="56" t="n">
        <x:f>V393-U393</x:f>
        <x:v>0</x:v>
      </x:c>
      <x:c r="X393" s="58" t="n">
        <x:f>X392*(1+U393)</x:f>
        <x:v>73263778.37783445</x:v>
      </x:c>
      <x:c r="Y393" s="58" t="n">
        <x:f>MAX(Y392,X393)</x:f>
        <x:v>76695760.25785285</x:v>
      </x:c>
      <x:c r="Z393" s="59" t="n">
        <x:f>X393/Y393-1</x:f>
        <x:v>-0.04474800000000001</x:v>
      </x:c>
      <x:c r="AA393" s="58" t="n">
        <x:f>AA392*(1+V393)</x:f>
        <x:v>526750479.13418937</x:v>
      </x:c>
      <x:c r="AB393" s="58" t="n">
        <x:f>MAX(AB392,AA393)</x:f>
        <x:v>551425675.2502893</x:v>
      </x:c>
      <x:c r="AC393" s="59" t="n">
        <x:f>AA393/AB393-1</x:f>
        <x:v>-0.04474800000000001</x:v>
      </x:c>
      <x:c r="AD393" s="60" t="n">
        <x:f>AA393-X393</x:f>
        <x:v>453486700.7563549</x:v>
      </x:c>
      <x:c r="AE393" s="28" t="str">
        <x:v>Baseline trade unchanged.</x:v>
      </x:c>
    </x:row>
    <x:row r="394" ht="18" customHeight="1">
      <x:c r="A394" s="23" t="n">
        <x:v>390</x:v>
      </x:c>
      <x:c r="B394" s="53" t="n">
        <x:v>45943</x:v>
      </x:c>
      <x:c r="C394" s="53" t="n">
        <x:v>45946</x:v>
      </x:c>
      <x:c r="D394" s="23" t="str">
        <x:v>TSL2</x:v>
      </x:c>
      <x:c r="E394" s="54" t="n">
        <x:v>24648.555</x:v>
      </x:c>
      <x:c r="F394" s="54" t="n">
        <x:v>24549.96078</x:v>
      </x:c>
      <x:c r="G394" s="55" t="n">
        <x:v>-0.004</x:v>
      </x:c>
      <x:c r="H394" s="56" t="n">
        <x:f>SUM(T391:T393)</x:f>
        <x:v>0.01026</x:v>
      </x:c>
      <x:c r="I394" s="57" t="b">
        <x:f>AND(A394&gt;3,H394&lt;='Assumptions'!$B$7)</x:f>
        <x:v>0</x:v>
      </x:c>
      <x:c r="J394" s="55" t="n">
        <x:v>0.01738694455465062</x:v>
      </x:c>
      <x:c r="K394" s="55" t="n">
        <x:v>0.004840964101864742</x:v>
      </x:c>
      <x:c r="L394" s="55" t="n">
        <x:v>0.00985581000848157</x:v>
      </x:c>
      <x:c r="M394" s="57" t="b">
        <x:f>J394&gt;='Assumptions'!$B$8</x:f>
        <x:v>1</x:v>
      </x:c>
      <x:c r="N394" s="57" t="b">
        <x:f>AND(K394&lt;&gt;"",K394&lt;='Assumptions'!$B$9)</x:f>
        <x:v>0</x:v>
      </x:c>
      <x:c r="O394" s="57" t="b">
        <x:f>AND(P394&lt;&gt;"",ABS(L394)&lt;='Assumptions'!$B$10)</x:f>
        <x:v>0</x:v>
      </x:c>
      <x:c r="P394" s="53" t="n">
        <x:v>45944</x:v>
      </x:c>
      <x:c r="Q394" s="54" t="n">
        <x:v>24460.708</x:v>
      </x:c>
      <x:c r="R394" s="55" t="n">
        <x:v>0.00364</x:v>
      </x:c>
      <x:c r="S394" s="57" t="str">
        <x:f>IF(I394,"DAMAGE SKIP",IF(AND(M394,N394),IF(O394,"TUESDAY RE-ENTRY","GAP/MOM SKIP"),"BASELINE"))</x:f>
        <x:v>BASELINE</x:v>
      </x:c>
      <x:c r="T394" s="56" t="n">
        <x:f>IF(I394,0,IF(AND(M394,N394),IF(O394,R394,0),G394))</x:f>
        <x:v>-0.004</x:v>
      </x:c>
      <x:c r="U394" s="56" t="n">
        <x:f>G394*'Assumptions'!$B$6</x:f>
        <x:v>-0.045200000000000004</x:v>
      </x:c>
      <x:c r="V394" s="56" t="n">
        <x:f>T394*'Assumptions'!$B$6</x:f>
        <x:v>-0.045200000000000004</x:v>
      </x:c>
      <x:c r="W394" s="56" t="n">
        <x:f>V394-U394</x:f>
        <x:v>0</x:v>
      </x:c>
      <x:c r="X394" s="58" t="n">
        <x:f>X393*(1+U394)</x:f>
        <x:v>69952255.59515634</x:v>
      </x:c>
      <x:c r="Y394" s="58" t="n">
        <x:f>MAX(Y393,X394)</x:f>
        <x:v>76695760.25785285</x:v>
      </x:c>
      <x:c r="Z394" s="59" t="n">
        <x:f>X394/Y394-1</x:f>
        <x:v>-0.08792539039999991</x:v>
      </x:c>
      <x:c r="AA394" s="58" t="n">
        <x:f>AA393*(1+V394)</x:f>
        <x:v>502941357.477324</x:v>
      </x:c>
      <x:c r="AB394" s="58" t="n">
        <x:f>MAX(AB393,AA394)</x:f>
        <x:v>551425675.2502893</x:v>
      </x:c>
      <x:c r="AC394" s="59" t="n">
        <x:f>AA394/AB394-1</x:f>
        <x:v>-0.08792539040000003</x:v>
      </x:c>
      <x:c r="AD394" s="60" t="n">
        <x:f>AA394-X394</x:f>
        <x:v>432989101.8821677</x:v>
      </x:c>
      <x:c r="AE394" s="28" t="str">
        <x:v>Baseline trade unchanged.</x:v>
      </x:c>
    </x:row>
    <x:row r="395" ht="18" customHeight="1">
      <x:c r="A395" s="23" t="n">
        <x:v>391</x:v>
      </x:c>
      <x:c r="B395" s="53" t="n">
        <x:v>45950</x:v>
      </x:c>
      <x:c r="C395" s="53" t="n">
        <x:v>45950</x:v>
      </x:c>
      <x:c r="D395" s="23" t="str">
        <x:v>CH</x:v>
      </x:c>
      <x:c r="E395" s="54" t="n">
        <x:v>24953.631</x:v>
      </x:c>
      <x:c r="F395" s="54" t="n">
        <x:v>25133.794</x:v>
      </x:c>
      <x:c r="G395" s="55" t="n">
        <x:v>0.00721</x:v>
      </x:c>
      <x:c r="H395" s="56" t="n">
        <x:f>SUM(T392:T394)</x:f>
        <x:v>-0.0010499999999999997</x:v>
      </x:c>
      <x:c r="I395" s="57" t="b">
        <x:f>AND(A395&gt;3,H395&lt;='Assumptions'!$B$7)</x:f>
        <x:v>0</x:v>
      </x:c>
      <x:c r="J395" s="55" t="n">
        <x:v>0.005605951224851413</x:v>
      </x:c>
      <x:c r="K395" s="55" t="n">
        <x:v>0.007641611746058041</x:v>
      </x:c>
      <x:c r="L395" s="55" t="n">
        <x:v>0.012766380209626949</x:v>
      </x:c>
      <x:c r="M395" s="57" t="b">
        <x:f>J395&gt;='Assumptions'!$B$8</x:f>
        <x:v>0</x:v>
      </x:c>
      <x:c r="N395" s="57" t="b">
        <x:f>AND(K395&lt;&gt;"",K395&lt;='Assumptions'!$B$9)</x:f>
        <x:v>0</x:v>
      </x:c>
      <x:c r="O395" s="57" t="b">
        <x:f>AND(P395&lt;&gt;"",ABS(L395)&lt;='Assumptions'!$B$10)</x:f>
        <x:v>0</x:v>
      </x:c>
      <x:c r="P395" s="53" t="n">
        <x:v>45951</x:v>
      </x:c>
      <x:c r="Q395" s="54" t="n">
        <x:v>25136.414</x:v>
      </x:c>
      <x:c r="R395" s="55" t="n">
        <x:v>-0.0001</x:v>
      </x:c>
      <x:c r="S395" s="57" t="str">
        <x:f>IF(I395,"DAMAGE SKIP",IF(AND(M395,N395),IF(O395,"TUESDAY RE-ENTRY","GAP/MOM SKIP"),"BASELINE"))</x:f>
        <x:v>BASELINE</x:v>
      </x:c>
      <x:c r="T395" s="56" t="n">
        <x:f>IF(I395,0,IF(AND(M395,N395),IF(O395,R395,0),G395))</x:f>
        <x:v>0.00721</x:v>
      </x:c>
      <x:c r="U395" s="56" t="n">
        <x:f>G395*'Assumptions'!$B$6</x:f>
        <x:v>0.081473</x:v>
      </x:c>
      <x:c r="V395" s="56" t="n">
        <x:f>T395*'Assumptions'!$B$6</x:f>
        <x:v>0.081473</x:v>
      </x:c>
      <x:c r="W395" s="56" t="n">
        <x:f>V395-U395</x:f>
        <x:v>0</x:v>
      </x:c>
      <x:c r="X395" s="58" t="n">
        <x:f>X394*(1+U395)</x:f>
        <x:v>75651475.7152605</x:v>
      </x:c>
      <x:c r="Y395" s="58" t="n">
        <x:f>MAX(Y394,X395)</x:f>
        <x:v>76695760.25785285</x:v>
      </x:c>
      <x:c r="Z395" s="59" t="n">
        <x:f>X395/Y395-1</x:f>
        <x:v>-0.013615935732059214</x:v>
      </x:c>
      <x:c r="AA395" s="58" t="n">
        <x:f>AA394*(1+V395)</x:f>
        <x:v>543917498.695074</x:v>
      </x:c>
      <x:c r="AB395" s="58" t="n">
        <x:f>MAX(AB394,AA395)</x:f>
        <x:v>551425675.2502893</x:v>
      </x:c>
      <x:c r="AC395" s="59" t="n">
        <x:f>AA395/AB395-1</x:f>
        <x:v>-0.013615935732059326</x:v>
      </x:c>
      <x:c r="AD395" s="60" t="n">
        <x:f>AA395-X395</x:f>
        <x:v>468266022.97981346</x:v>
      </x:c>
      <x:c r="AE395" s="28" t="str">
        <x:v>Baseline trade unchanged.</x:v>
      </x:c>
    </x:row>
    <x:row r="396" ht="18" customHeight="1">
      <x:c r="A396" s="23" t="n">
        <x:v>392</x:v>
      </x:c>
      <x:c r="B396" s="53" t="n">
        <x:v>45957</x:v>
      </x:c>
      <x:c r="C396" s="53" t="n">
        <x:v>45958</x:v>
      </x:c>
      <x:c r="D396" s="23" t="str">
        <x:v>PREOH</x:v>
      </x:c>
      <x:c r="E396" s="54" t="n">
        <x:v>25669.455</x:v>
      </x:c>
      <x:c r="F396" s="54" t="n">
        <x:v>25853.599</x:v>
      </x:c>
      <x:c r="G396" s="55" t="n">
        <x:v>0.00717</x:v>
      </x:c>
      <x:c r="H396" s="56" t="n">
        <x:f>SUM(T393:T395)</x:f>
        <x:v>-0.0007499999999999998</x:v>
      </x:c>
      <x:c r="I396" s="57" t="b">
        <x:f>AND(A396&gt;3,H396&lt;='Assumptions'!$B$7)</x:f>
        <x:v>0</x:v>
      </x:c>
      <x:c r="J396" s="55" t="n">
        <x:v>0.012247588319195701</x:v>
      </x:c>
      <x:c r="K396" s="55" t="n">
        <x:v>0.035454804772052206</x:v>
      </x:c>
      <x:c r="L396" s="55" t="n">
        <x:v>0.02148760330578514</x:v>
      </x:c>
      <x:c r="M396" s="57" t="b">
        <x:f>J396&gt;='Assumptions'!$B$8</x:f>
        <x:v>1</x:v>
      </x:c>
      <x:c r="N396" s="57" t="b">
        <x:f>AND(K396&lt;&gt;"",K396&lt;='Assumptions'!$B$9)</x:f>
        <x:v>0</x:v>
      </x:c>
      <x:c r="O396" s="57" t="b">
        <x:f>AND(P396&lt;&gt;"",ABS(L396)&lt;='Assumptions'!$B$10)</x:f>
        <x:v>0</x:v>
      </x:c>
      <x:c r="P396" s="53" t="n">
        <x:v>45958</x:v>
      </x:c>
      <x:c r="Q396" s="54" t="n">
        <x:v>25908.577</x:v>
      </x:c>
      <x:c r="R396" s="55" t="n">
        <x:v>-0.00212</x:v>
      </x:c>
      <x:c r="S396" s="57" t="str">
        <x:f>IF(I396,"DAMAGE SKIP",IF(AND(M396,N396),IF(O396,"TUESDAY RE-ENTRY","GAP/MOM SKIP"),"BASELINE"))</x:f>
        <x:v>BASELINE</x:v>
      </x:c>
      <x:c r="T396" s="56" t="n">
        <x:f>IF(I396,0,IF(AND(M396,N396),IF(O396,R396,0),G396))</x:f>
        <x:v>0.00717</x:v>
      </x:c>
      <x:c r="U396" s="56" t="n">
        <x:f>G396*'Assumptions'!$B$6</x:f>
        <x:v>0.08102100000000001</x:v>
      </x:c>
      <x:c r="V396" s="56" t="n">
        <x:f>T396*'Assumptions'!$B$6</x:f>
        <x:v>0.08102100000000001</x:v>
      </x:c>
      <x:c r="W396" s="56" t="n">
        <x:f>V396-U396</x:f>
        <x:v>0</x:v>
      </x:c>
      <x:c r="X396" s="58" t="n">
        <x:f>X395*(1+U396)</x:f>
        <x:v>81780833.92918663</x:v>
      </x:c>
      <x:c r="Y396" s="58" t="n">
        <x:f>MAX(Y395,X396)</x:f>
        <x:v>81780833.92918663</x:v>
      </x:c>
      <x:c r="Z396" s="59" t="n">
        <x:f>X396/Y396-1</x:f>
        <x:v>0</x:v>
      </x:c>
      <x:c r="AA396" s="58" t="n">
        <x:f>AA395*(1+V396)</x:f>
        <x:v>587986238.3568475</x:v>
      </x:c>
      <x:c r="AB396" s="58" t="n">
        <x:f>MAX(AB395,AA396)</x:f>
        <x:v>587986238.3568475</x:v>
      </x:c>
      <x:c r="AC396" s="59" t="n">
        <x:f>AA396/AB396-1</x:f>
        <x:v>0</x:v>
      </x:c>
      <x:c r="AD396" s="60" t="n">
        <x:f>AA396-X396</x:f>
        <x:v>506205404.4276609</x:v>
      </x:c>
      <x:c r="AE396" s="28" t="str">
        <x:v>Baseline trade unchanged.</x:v>
      </x:c>
    </x:row>
    <x:row r="397" ht="18" customHeight="1">
      <x:c r="A397" s="23" t="n">
        <x:v>393</x:v>
      </x:c>
      <x:c r="B397" s="53" t="n">
        <x:v>45964</x:v>
      </x:c>
      <x:c r="C397" s="53" t="n">
        <x:v>45967</x:v>
      </x:c>
      <x:c r="D397" s="23" t="str">
        <x:v>TSL1PRE</x:v>
      </x:c>
      <x:c r="E397" s="54" t="n">
        <x:v>26099.055</x:v>
      </x:c>
      <x:c r="F397" s="54" t="n">
        <x:v>25629.069</x:v>
      </x:c>
      <x:c r="G397" s="55" t="n">
        <x:v>-0.018</x:v>
      </x:c>
      <x:c r="H397" s="56" t="n">
        <x:f>SUM(T394:T396)</x:f>
        <x:v>0.01038</x:v>
      </x:c>
      <x:c r="I397" s="57" t="b">
        <x:f>AND(A397&gt;3,H397&lt;='Assumptions'!$B$7)</x:f>
        <x:v>0</x:v>
      </x:c>
      <x:c r="J397" s="55" t="n">
        <x:v>0.009699540450144317</x:v>
      </x:c>
      <x:c r="K397" s="55" t="n">
        <x:v>0.04292251069332553</x:v>
      </x:c>
      <x:c r="L397" s="55" t="n">
        <x:v>-0.009204063140827112</x:v>
      </x:c>
      <x:c r="M397" s="57" t="b">
        <x:f>J397&gt;='Assumptions'!$B$8</x:f>
        <x:v>0</x:v>
      </x:c>
      <x:c r="N397" s="57" t="b">
        <x:f>AND(K397&lt;&gt;"",K397&lt;='Assumptions'!$B$9)</x:f>
        <x:v>0</x:v>
      </x:c>
      <x:c r="O397" s="57" t="b">
        <x:f>AND(P397&lt;&gt;"",ABS(L397)&lt;='Assumptions'!$B$10)</x:f>
        <x:v>0</x:v>
      </x:c>
      <x:c r="P397" s="53" t="n">
        <x:v>45965</x:v>
      </x:c>
      <x:c r="Q397" s="54" t="n">
        <x:v>25612.186</x:v>
      </x:c>
      <x:c r="R397" s="55" t="n">
        <x:v>0.00065</x:v>
      </x:c>
      <x:c r="S397" s="57" t="str">
        <x:f>IF(I397,"DAMAGE SKIP",IF(AND(M397,N397),IF(O397,"TUESDAY RE-ENTRY","GAP/MOM SKIP"),"BASELINE"))</x:f>
        <x:v>BASELINE</x:v>
      </x:c>
      <x:c r="T397" s="56" t="n">
        <x:f>IF(I397,0,IF(AND(M397,N397),IF(O397,R397,0),G397))</x:f>
        <x:v>-0.018</x:v>
      </x:c>
      <x:c r="U397" s="56" t="n">
        <x:f>G397*'Assumptions'!$B$6</x:f>
        <x:v>-0.2034</x:v>
      </x:c>
      <x:c r="V397" s="56" t="n">
        <x:f>T397*'Assumptions'!$B$6</x:f>
        <x:v>-0.2034</x:v>
      </x:c>
      <x:c r="W397" s="56" t="n">
        <x:f>V397-U397</x:f>
        <x:v>0</x:v>
      </x:c>
      <x:c r="X397" s="58" t="n">
        <x:f>X396*(1+U397)</x:f>
        <x:v>65146612.30799007</x:v>
      </x:c>
      <x:c r="Y397" s="58" t="n">
        <x:f>MAX(Y396,X397)</x:f>
        <x:v>81780833.92918663</x:v>
      </x:c>
      <x:c r="Z397" s="59" t="n">
        <x:f>X397/Y397-1</x:f>
        <x:v>-0.20340000000000003</x:v>
      </x:c>
      <x:c r="AA397" s="58" t="n">
        <x:f>AA396*(1+V397)</x:f>
        <x:v>468389837.4750647</x:v>
      </x:c>
      <x:c r="AB397" s="58" t="n">
        <x:f>MAX(AB396,AA397)</x:f>
        <x:v>587986238.3568475</x:v>
      </x:c>
      <x:c r="AC397" s="59" t="n">
        <x:f>AA397/AB397-1</x:f>
        <x:v>-0.20340000000000003</x:v>
      </x:c>
      <x:c r="AD397" s="60" t="n">
        <x:f>AA397-X397</x:f>
        <x:v>403243225.1670746</x:v>
      </x:c>
      <x:c r="AE397" s="28" t="str">
        <x:v>Baseline trade unchanged.</x:v>
      </x:c>
    </x:row>
    <x:row r="398" ht="18" customHeight="1">
      <x:c r="A398" s="23" t="n">
        <x:v>394</x:v>
      </x:c>
      <x:c r="B398" s="53" t="n">
        <x:v>45971</x:v>
      </x:c>
      <x:c r="C398" s="53" t="n">
        <x:v>45972</x:v>
      </x:c>
      <x:c r="D398" s="23" t="str">
        <x:v>PREOH</x:v>
      </x:c>
      <x:c r="E398" s="54" t="n">
        <x:v>25432.62</x:v>
      </x:c>
      <x:c r="F398" s="54" t="n">
        <x:v>25628.999</x:v>
      </x:c>
      <x:c r="G398" s="55" t="n">
        <x:v>0.00772</x:v>
      </x:c>
      <x:c r="H398" s="56" t="n">
        <x:f>SUM(T395:T397)</x:f>
        <x:v>-0.0036199999999999982</x:v>
      </x:c>
      <x:c r="I398" s="57" t="b">
        <x:f>AND(A398&gt;3,H398&lt;='Assumptions'!$B$7)</x:f>
        <x:v>0</x:v>
      </x:c>
      <x:c r="J398" s="55" t="n">
        <x:v>0.014299956664380886</x:v>
      </x:c>
      <x:c r="K398" s="55" t="n">
        <x:v>0.03433418150975398</x:v>
      </x:c>
      <x:c r="L398" s="55" t="n">
        <x:v>0.017761668908059303</x:v>
      </x:c>
      <x:c r="M398" s="57" t="b">
        <x:f>J398&gt;='Assumptions'!$B$8</x:f>
        <x:v>1</x:v>
      </x:c>
      <x:c r="N398" s="57" t="b">
        <x:f>AND(K398&lt;&gt;"",K398&lt;='Assumptions'!$B$9)</x:f>
        <x:v>0</x:v>
      </x:c>
      <x:c r="O398" s="57" t="b">
        <x:f>AND(P398&lt;&gt;"",ABS(L398)&lt;='Assumptions'!$B$10)</x:f>
        <x:v>0</x:v>
      </x:c>
      <x:c r="P398" s="53" t="n">
        <x:v>45972</x:v>
      </x:c>
      <x:c r="Q398" s="54" t="n">
        <x:v>25501.653</x:v>
      </x:c>
      <x:c r="R398" s="55" t="n">
        <x:v>0.00499</x:v>
      </x:c>
      <x:c r="S398" s="57" t="str">
        <x:f>IF(I398,"DAMAGE SKIP",IF(AND(M398,N398),IF(O398,"TUESDAY RE-ENTRY","GAP/MOM SKIP"),"BASELINE"))</x:f>
        <x:v>BASELINE</x:v>
      </x:c>
      <x:c r="T398" s="56" t="n">
        <x:f>IF(I398,0,IF(AND(M398,N398),IF(O398,R398,0),G398))</x:f>
        <x:v>0.00772</x:v>
      </x:c>
      <x:c r="U398" s="56" t="n">
        <x:f>G398*'Assumptions'!$B$6</x:f>
        <x:v>0.08723600000000001</x:v>
      </x:c>
      <x:c r="V398" s="56" t="n">
        <x:f>T398*'Assumptions'!$B$6</x:f>
        <x:v>0.08723600000000001</x:v>
      </x:c>
      <x:c r="W398" s="56" t="n">
        <x:f>V398-U398</x:f>
        <x:v>0</x:v>
      </x:c>
      <x:c r="X398" s="58" t="n">
        <x:f>X397*(1+U398)</x:f>
        <x:v>70829742.17928989</x:v>
      </x:c>
      <x:c r="Y398" s="58" t="n">
        <x:f>MAX(Y397,X398)</x:f>
        <x:v>81780833.92918663</x:v>
      </x:c>
      <x:c r="Z398" s="59" t="n">
        <x:f>X398/Y398-1</x:f>
        <x:v>-0.1339078024</x:v>
      </x:c>
      <x:c r="AA398" s="58" t="n">
        <x:f>AA397*(1+V398)</x:f>
        <x:v>509250293.3370395</x:v>
      </x:c>
      <x:c r="AB398" s="58" t="n">
        <x:f>MAX(AB397,AA398)</x:f>
        <x:v>587986238.3568475</x:v>
      </x:c>
      <x:c r="AC398" s="59" t="n">
        <x:f>AA398/AB398-1</x:f>
        <x:v>-0.1339078024</x:v>
      </x:c>
      <x:c r="AD398" s="60" t="n">
        <x:f>AA398-X398</x:f>
        <x:v>438420551.1577496</x:v>
      </x:c>
      <x:c r="AE398" s="28" t="str">
        <x:v>Baseline trade unchanged.</x:v>
      </x:c>
    </x:row>
    <x:row r="399" ht="18" customHeight="1">
      <x:c r="A399" s="23" t="n">
        <x:v>395</x:v>
      </x:c>
      <x:c r="B399" s="53" t="n">
        <x:v>45978</x:v>
      </x:c>
      <x:c r="C399" s="53" t="n">
        <x:v>45980</x:v>
      </x:c>
      <x:c r="D399" s="23" t="str">
        <x:v>BH</x:v>
      </x:c>
      <x:c r="E399" s="54" t="n">
        <x:v>24910.149</x:v>
      </x:c>
      <x:c r="F399" s="54" t="n">
        <x:v>24810.508404</x:v>
      </x:c>
      <x:c r="G399" s="55" t="n">
        <x:v>-0.004</x:v>
      </x:c>
      <x:c r="H399" s="56" t="n">
        <x:f>SUM(T396:T398)</x:f>
        <x:v>-0.003109999999999999</x:v>
      </x:c>
      <x:c r="I399" s="57" t="b">
        <x:f>AND(A399&gt;3,H399&lt;='Assumptions'!$B$7)</x:f>
        <x:v>0</x:v>
      </x:c>
      <x:c r="J399" s="55" t="n">
        <x:v>-0.003644136772803064</x:v>
      </x:c>
      <x:c r="K399" s="55" t="n">
        <x:v>0.008163197721590354</x:v>
      </x:c>
      <x:c r="L399" s="55" t="n">
        <x:v>-0.01517590250632328</x:v>
      </x:c>
      <x:c r="M399" s="57" t="b">
        <x:f>J399&gt;='Assumptions'!$B$8</x:f>
        <x:v>0</x:v>
      </x:c>
      <x:c r="N399" s="57" t="b">
        <x:f>AND(K399&lt;&gt;"",K399&lt;='Assumptions'!$B$9)</x:f>
        <x:v>0</x:v>
      </x:c>
      <x:c r="O399" s="57" t="b">
        <x:f>AND(P399&lt;&gt;"",ABS(L399)&lt;='Assumptions'!$B$10)</x:f>
        <x:v>0</x:v>
      </x:c>
      <x:c r="P399" s="53" t="n">
        <x:v>45979</x:v>
      </x:c>
      <x:c r="Q399" s="54" t="n">
        <x:v>24632.761</x:v>
      </x:c>
      <x:c r="R399" s="55" t="n">
        <x:v>0.00721</x:v>
      </x:c>
      <x:c r="S399" s="57" t="str">
        <x:f>IF(I399,"DAMAGE SKIP",IF(AND(M399,N399),IF(O399,"TUESDAY RE-ENTRY","GAP/MOM SKIP"),"BASELINE"))</x:f>
        <x:v>BASELINE</x:v>
      </x:c>
      <x:c r="T399" s="56" t="n">
        <x:f>IF(I399,0,IF(AND(M399,N399),IF(O399,R399,0),G399))</x:f>
        <x:v>-0.004</x:v>
      </x:c>
      <x:c r="U399" s="56" t="n">
        <x:f>G399*'Assumptions'!$B$6</x:f>
        <x:v>-0.045200000000000004</x:v>
      </x:c>
      <x:c r="V399" s="56" t="n">
        <x:f>T399*'Assumptions'!$B$6</x:f>
        <x:v>-0.045200000000000004</x:v>
      </x:c>
      <x:c r="W399" s="56" t="n">
        <x:f>V399-U399</x:f>
        <x:v>0</x:v>
      </x:c>
      <x:c r="X399" s="58" t="n">
        <x:f>X398*(1+U399)</x:f>
        <x:v>67628237.832786</x:v>
      </x:c>
      <x:c r="Y399" s="58" t="n">
        <x:f>MAX(Y398,X399)</x:f>
        <x:v>81780833.92918663</x:v>
      </x:c>
      <x:c r="Z399" s="59" t="n">
        <x:f>X399/Y399-1</x:f>
        <x:v>-0.1730551697315199</x:v>
      </x:c>
      <x:c r="AA399" s="58" t="n">
        <x:f>AA398*(1+V399)</x:f>
        <x:v>486232180.0782053</x:v>
      </x:c>
      <x:c r="AB399" s="58" t="n">
        <x:f>MAX(AB398,AA399)</x:f>
        <x:v>587986238.3568475</x:v>
      </x:c>
      <x:c r="AC399" s="59" t="n">
        <x:f>AA399/AB399-1</x:f>
        <x:v>-0.17305516973152002</x:v>
      </x:c>
      <x:c r="AD399" s="60" t="n">
        <x:f>AA399-X399</x:f>
        <x:v>418603942.24541926</x:v>
      </x:c>
      <x:c r="AE399" s="28" t="str">
        <x:v>Baseline trade unchanged.</x:v>
      </x:c>
    </x:row>
    <x:row r="400" ht="18" customHeight="1">
      <x:c r="A400" s="23" t="n">
        <x:v>396</x:v>
      </x:c>
      <x:c r="B400" s="53" t="n">
        <x:v>45985</x:v>
      </x:c>
      <x:c r="C400" s="53" t="n">
        <x:v>45985</x:v>
      </x:c>
      <x:c r="D400" s="23" t="str">
        <x:v>CH</x:v>
      </x:c>
      <x:c r="E400" s="54" t="n">
        <x:v>24452.522</x:v>
      </x:c>
      <x:c r="F400" s="54" t="n">
        <x:v>24861.477</x:v>
      </x:c>
      <x:c r="G400" s="55" t="n">
        <x:v>0.01672</x:v>
      </x:c>
      <x:c r="H400" s="56" t="n">
        <x:f>SUM(T397:T399)</x:f>
        <x:v>-0.014279999999999998</x:v>
      </x:c>
      <x:c r="I400" s="57" t="b">
        <x:f>AND(A400&gt;3,H400&lt;='Assumptions'!$B$7)</x:f>
        <x:v>0</x:v>
      </x:c>
      <x:c r="J400" s="55" t="n">
        <x:v>0.00814447244602734</x:v>
      </x:c>
      <x:c r="K400" s="55" t="n">
        <x:v>-0.04380165289256199</x:v>
      </x:c>
      <x:c r="L400" s="55" t="n">
        <x:v>0.022776958665921</x:v>
      </x:c>
      <x:c r="M400" s="57" t="b">
        <x:f>J400&gt;='Assumptions'!$B$8</x:f>
        <x:v>0</x:v>
      </x:c>
      <x:c r="N400" s="57" t="b">
        <x:f>AND(K400&lt;&gt;"",K400&lt;='Assumptions'!$B$9)</x:f>
        <x:v>1</x:v>
      </x:c>
      <x:c r="O400" s="57" t="b">
        <x:f>AND(P400&lt;&gt;"",ABS(L400)&lt;='Assumptions'!$B$10)</x:f>
        <x:v>0</x:v>
      </x:c>
      <x:c r="P400" s="53" t="n">
        <x:v>45986</x:v>
      </x:c>
      <x:c r="Q400" s="54" t="n">
        <x:v>24787.653</x:v>
      </x:c>
      <x:c r="R400" s="55" t="n">
        <x:v>0.00297</x:v>
      </x:c>
      <x:c r="S400" s="57" t="str">
        <x:f>IF(I400,"DAMAGE SKIP",IF(AND(M400,N400),IF(O400,"TUESDAY RE-ENTRY","GAP/MOM SKIP"),"BASELINE"))</x:f>
        <x:v>BASELINE</x:v>
      </x:c>
      <x:c r="T400" s="56" t="n">
        <x:f>IF(I400,0,IF(AND(M400,N400),IF(O400,R400,0),G400))</x:f>
        <x:v>0.01672</x:v>
      </x:c>
      <x:c r="U400" s="56" t="n">
        <x:f>G400*'Assumptions'!$B$6</x:f>
        <x:v>0.188936</x:v>
      </x:c>
      <x:c r="V400" s="56" t="n">
        <x:f>T400*'Assumptions'!$B$6</x:f>
        <x:v>0.188936</x:v>
      </x:c>
      <x:c r="W400" s="56" t="n">
        <x:f>V400-U400</x:f>
        <x:v>0</x:v>
      </x:c>
      <x:c r="X400" s="58" t="n">
        <x:f>X399*(1+U400)</x:f>
        <x:v>80405646.57596125</x:v>
      </x:c>
      <x:c r="Y400" s="58" t="n">
        <x:f>MAX(Y399,X400)</x:f>
        <x:v>81780833.92918663</x:v>
      </x:c>
      <x:c r="Z400" s="59" t="n">
        <x:f>X400/Y400-1</x:f>
        <x:v>-0.01681552127991437</x:v>
      </x:c>
      <x:c r="AA400" s="58" t="n">
        <x:f>AA399*(1+V400)</x:f>
        <x:v>578098943.2534611</x:v>
      </x:c>
      <x:c r="AB400" s="58" t="n">
        <x:f>MAX(AB399,AA400)</x:f>
        <x:v>587986238.3568475</x:v>
      </x:c>
      <x:c r="AC400" s="59" t="n">
        <x:f>AA400/AB400-1</x:f>
        <x:v>-0.01681552127991437</x:v>
      </x:c>
      <x:c r="AD400" s="60" t="n">
        <x:f>AA400-X400</x:f>
        <x:v>497693296.6774999</x:v>
      </x:c>
      <x:c r="AE400" s="28" t="str">
        <x:v>Baseline trade unchanged.</x:v>
      </x:c>
    </x:row>
    <x:row r="401" ht="18" customHeight="1">
      <x:c r="A401" s="23" t="n">
        <x:v>397</x:v>
      </x:c>
      <x:c r="B401" s="53" t="n">
        <x:v>45992</x:v>
      </x:c>
      <x:c r="C401" s="53" t="n">
        <x:v>45996</x:v>
      </x:c>
      <x:c r="D401" s="23" t="str">
        <x:v>TO</x:v>
      </x:c>
      <x:c r="E401" s="54" t="n">
        <x:v>25203.697</x:v>
      </x:c>
      <x:c r="F401" s="54" t="n">
        <x:v>25696.992</x:v>
      </x:c>
      <x:c r="G401" s="55" t="n">
        <x:v>0.01957</x:v>
      </x:c>
      <x:c r="H401" s="56" t="n">
        <x:f>SUM(T398:T400)</x:f>
        <x:v>0.02044</x:v>
      </x:c>
      <x:c r="I401" s="57" t="b">
        <x:f>AND(A401&gt;3,H401&lt;='Assumptions'!$B$7)</x:f>
        <x:v>0</x:v>
      </x:c>
      <x:c r="J401" s="55" t="n">
        <x:v>-0.0015059597784776724</x:v>
      </x:c>
      <x:c r="K401" s="55" t="n">
        <x:v>-0.03381726095915194</x:v>
      </x:c>
      <x:c r="L401" s="55" t="n">
        <x:v>0.00844905334787649</x:v>
      </x:c>
      <x:c r="M401" s="57" t="b">
        <x:f>J401&gt;='Assumptions'!$B$8</x:f>
        <x:v>0</x:v>
      </x:c>
      <x:c r="N401" s="57" t="b">
        <x:f>AND(K401&lt;&gt;"",K401&lt;='Assumptions'!$B$9)</x:f>
        <x:v>1</x:v>
      </x:c>
      <x:c r="O401" s="57" t="b">
        <x:f>AND(P401&lt;&gt;"",ABS(L401)&lt;='Assumptions'!$B$10)</x:f>
        <x:v>0</x:v>
      </x:c>
      <x:c r="P401" s="53" t="n">
        <x:v>45993</x:v>
      </x:c>
      <x:c r="Q401" s="54" t="n">
        <x:v>25443.327</x:v>
      </x:c>
      <x:c r="R401" s="55" t="n">
        <x:v>0.00996</x:v>
      </x:c>
      <x:c r="S401" s="57" t="str">
        <x:f>IF(I401,"DAMAGE SKIP",IF(AND(M401,N401),IF(O401,"TUESDAY RE-ENTRY","GAP/MOM SKIP"),"BASELINE"))</x:f>
        <x:v>BASELINE</x:v>
      </x:c>
      <x:c r="T401" s="56" t="n">
        <x:f>IF(I401,0,IF(AND(M401,N401),IF(O401,R401,0),G401))</x:f>
        <x:v>0.01957</x:v>
      </x:c>
      <x:c r="U401" s="56" t="n">
        <x:f>G401*'Assumptions'!$B$6</x:f>
        <x:v>0.22114100000000003</x:v>
      </x:c>
      <x:c r="V401" s="56" t="n">
        <x:f>T401*'Assumptions'!$B$6</x:f>
        <x:v>0.22114100000000003</x:v>
      </x:c>
      <x:c r="W401" s="56" t="n">
        <x:f>V401-U401</x:f>
        <x:v>0</x:v>
      </x:c>
      <x:c r="X401" s="58" t="n">
        <x:f>X400*(1+U401)</x:f>
        <x:v>98186631.6654159</x:v>
      </x:c>
      <x:c r="Y401" s="58" t="n">
        <x:f>MAX(Y400,X401)</x:f>
        <x:v>98186631.6654159</x:v>
      </x:c>
      <x:c r="Z401" s="59" t="n">
        <x:f>X401/Y401-1</x:f>
        <x:v>0</x:v>
      </x:c>
      <x:c r="AA401" s="58" t="n">
        <x:f>AA400*(1+V401)</x:f>
        <x:v>705940321.6634748</x:v>
      </x:c>
      <x:c r="AB401" s="58" t="n">
        <x:f>MAX(AB400,AA401)</x:f>
        <x:v>705940321.6634748</x:v>
      </x:c>
      <x:c r="AC401" s="59" t="n">
        <x:f>AA401/AB401-1</x:f>
        <x:v>0</x:v>
      </x:c>
      <x:c r="AD401" s="60" t="n">
        <x:f>AA401-X401</x:f>
        <x:v>607753689.9980589</x:v>
      </x:c>
      <x:c r="AE401" s="28" t="str">
        <x:v>Baseline trade unchanged.</x:v>
      </x:c>
    </x:row>
    <x:row r="402" ht="18" customHeight="1">
      <x:c r="A402" s="23" t="n">
        <x:v>398</x:v>
      </x:c>
      <x:c r="B402" s="53" t="n">
        <x:v>45999</x:v>
      </x:c>
      <x:c r="C402" s="53" t="n">
        <x:v>46002</x:v>
      </x:c>
      <x:c r="D402" s="23" t="str">
        <x:v>TSL1PRE</x:v>
      </x:c>
      <x:c r="E402" s="54" t="n">
        <x:v>25754.881</x:v>
      </x:c>
      <x:c r="F402" s="54" t="n">
        <x:v>25650.338</x:v>
      </x:c>
      <x:c r="G402" s="55" t="n">
        <x:v>-0.00405</x:v>
      </x:c>
      <x:c r="H402" s="56" t="n">
        <x:f>SUM(T399:T401)</x:f>
        <x:v>0.03229</x:v>
      </x:c>
      <x:c r="I402" s="57" t="b">
        <x:f>AND(A402&gt;3,H402&lt;='Assumptions'!$B$7)</x:f>
        <x:v>0</x:v>
      </x:c>
      <x:c r="J402" s="55" t="n">
        <x:v>0.0022527539410062136</x:v>
      </x:c>
      <x:c r="K402" s="55" t="n">
        <x:v>0.0035297137723013794</x:v>
      </x:c>
      <x:c r="L402" s="55" t="n">
        <x:v>-0.003948967193195707</x:v>
      </x:c>
      <x:c r="M402" s="57" t="b">
        <x:f>J402&gt;='Assumptions'!$B$8</x:f>
        <x:v>0</x:v>
      </x:c>
      <x:c r="N402" s="57" t="b">
        <x:f>AND(K402&lt;&gt;"",K402&lt;='Assumptions'!$B$9)</x:f>
        <x:v>0</x:v>
      </x:c>
      <x:c r="O402" s="57" t="b">
        <x:f>AND(P402&lt;&gt;"",ABS(L402)&lt;='Assumptions'!$B$10)</x:f>
        <x:v>1</x:v>
      </x:c>
      <x:c r="P402" s="53" t="n">
        <x:v>46000</x:v>
      </x:c>
      <x:c r="Q402" s="54" t="n">
        <x:v>25584.511</x:v>
      </x:c>
      <x:c r="R402" s="55" t="n">
        <x:v>0.00257</x:v>
      </x:c>
      <x:c r="S402" s="57" t="str">
        <x:f>IF(I402,"DAMAGE SKIP",IF(AND(M402,N402),IF(O402,"TUESDAY RE-ENTRY","GAP/MOM SKIP"),"BASELINE"))</x:f>
        <x:v>BASELINE</x:v>
      </x:c>
      <x:c r="T402" s="56" t="n">
        <x:f>IF(I402,0,IF(AND(M402,N402),IF(O402,R402,0),G402))</x:f>
        <x:v>-0.00405</x:v>
      </x:c>
      <x:c r="U402" s="56" t="n">
        <x:f>G402*'Assumptions'!$B$6</x:f>
        <x:v>-0.045765</x:v>
      </x:c>
      <x:c r="V402" s="56" t="n">
        <x:f>T402*'Assumptions'!$B$6</x:f>
        <x:v>-0.045765</x:v>
      </x:c>
      <x:c r="W402" s="56" t="n">
        <x:f>V402-U402</x:f>
        <x:v>0</x:v>
      </x:c>
      <x:c r="X402" s="58" t="n">
        <x:f>X401*(1+U402)</x:f>
        <x:v>93693120.46724813</x:v>
      </x:c>
      <x:c r="Y402" s="58" t="n">
        <x:f>MAX(Y401,X402)</x:f>
        <x:v>98186631.6654159</x:v>
      </x:c>
      <x:c r="Z402" s="59" t="n">
        <x:f>X402/Y402-1</x:f>
        <x:v>-0.04576500000000017</x:v>
      </x:c>
      <x:c r="AA402" s="58" t="n">
        <x:f>AA401*(1+V402)</x:f>
        <x:v>673632962.8425459</x:v>
      </x:c>
      <x:c r="AB402" s="58" t="n">
        <x:f>MAX(AB401,AA402)</x:f>
        <x:v>705940321.6634748</x:v>
      </x:c>
      <x:c r="AC402" s="59" t="n">
        <x:f>AA402/AB402-1</x:f>
        <x:v>-0.045765000000000056</x:v>
      </x:c>
      <x:c r="AD402" s="60" t="n">
        <x:f>AA402-X402</x:f>
        <x:v>579939842.3752978</x:v>
      </x:c>
      <x:c r="AE402" s="28" t="str">
        <x:v>Baseline trade unchanged.</x:v>
      </x:c>
    </x:row>
    <x:row r="403" ht="18" customHeight="1">
      <x:c r="A403" s="23" t="n">
        <x:v>399</x:v>
      </x:c>
      <x:c r="B403" s="53" t="n">
        <x:v>46006</x:v>
      </x:c>
      <x:c r="C403" s="53" t="n">
        <x:v>46009</x:v>
      </x:c>
      <x:c r="D403" s="23" t="str">
        <x:v>TSL1PRE</x:v>
      </x:c>
      <x:c r="E403" s="54" t="n">
        <x:v>25393.761</x:v>
      </x:c>
      <x:c r="F403" s="54" t="n">
        <x:v>24751.786</x:v>
      </x:c>
      <x:c r="G403" s="55" t="n">
        <x:v>-0.02528</x:v>
      </x:c>
      <x:c r="H403" s="56" t="n">
        <x:f>SUM(T400:T402)</x:f>
        <x:v>0.032240000000000005</x:v>
      </x:c>
      <x:c r="I403" s="57" t="b">
        <x:f>AND(A403&gt;3,H403&lt;='Assumptions'!$B$7)</x:f>
        <x:v>0</x:v>
      </x:c>
      <x:c r="J403" s="55" t="n">
        <x:v>0.007560064837739189</x:v>
      </x:c>
      <x:c r="K403" s="55" t="n">
        <x:v>-0.012011335093707776</x:v>
      </x:c>
      <x:c r="L403" s="55" t="n">
        <x:v>-0.008735047749421465</x:v>
      </x:c>
      <x:c r="M403" s="57" t="b">
        <x:f>J403&gt;='Assumptions'!$B$8</x:f>
        <x:v>0</x:v>
      </x:c>
      <x:c r="N403" s="57" t="b">
        <x:f>AND(K403&lt;&gt;"",K403&lt;='Assumptions'!$B$9)</x:f>
        <x:v>1</x:v>
      </x:c>
      <x:c r="O403" s="57" t="b">
        <x:f>AND(P403&lt;&gt;"",ABS(L403)&lt;='Assumptions'!$B$10)</x:f>
        <x:v>0</x:v>
      </x:c>
      <x:c r="P403" s="53" t="n">
        <x:v>46007</x:v>
      </x:c>
      <x:c r="Q403" s="54" t="n">
        <x:v>24965.349</x:v>
      </x:c>
      <x:c r="R403" s="55" t="n">
        <x:v>-0.00855</x:v>
      </x:c>
      <x:c r="S403" s="57" t="str">
        <x:f>IF(I403,"DAMAGE SKIP",IF(AND(M403,N403),IF(O403,"TUESDAY RE-ENTRY","GAP/MOM SKIP"),"BASELINE"))</x:f>
        <x:v>BASELINE</x:v>
      </x:c>
      <x:c r="T403" s="56" t="n">
        <x:f>IF(I403,0,IF(AND(M403,N403),IF(O403,R403,0),G403))</x:f>
        <x:v>-0.02528</x:v>
      </x:c>
      <x:c r="U403" s="56" t="n">
        <x:f>G403*'Assumptions'!$B$6</x:f>
        <x:v>-0.28566400000000003</x:v>
      </x:c>
      <x:c r="V403" s="56" t="n">
        <x:f>T403*'Assumptions'!$B$6</x:f>
        <x:v>-0.28566400000000003</x:v>
      </x:c>
      <x:c r="W403" s="56" t="n">
        <x:f>V403-U403</x:f>
        <x:v>0</x:v>
      </x:c>
      <x:c r="X403" s="58" t="n">
        <x:f>X402*(1+U403)</x:f>
        <x:v>66928368.90209216</x:v>
      </x:c>
      <x:c r="Y403" s="58" t="n">
        <x:f>MAX(Y402,X403)</x:f>
        <x:v>98186631.6654159</x:v>
      </x:c>
      <x:c r="Z403" s="59" t="n">
        <x:f>X403/Y403-1</x:f>
        <x:v>-0.3183555870400001</x:v>
      </x:c>
      <x:c r="AA403" s="58" t="n">
        <x:f>AA402*(1+V403)</x:f>
        <x:v>481200276.14509284</x:v>
      </x:c>
      <x:c r="AB403" s="58" t="n">
        <x:f>MAX(AB402,AA403)</x:f>
        <x:v>705940321.6634748</x:v>
      </x:c>
      <x:c r="AC403" s="59" t="n">
        <x:f>AA403/AB403-1</x:f>
        <x:v>-0.31835558704</x:v>
      </x:c>
      <x:c r="AD403" s="60" t="n">
        <x:f>AA403-X403</x:f>
        <x:v>414271907.2430007</x:v>
      </x:c>
      <x:c r="AE403" s="28" t="str">
        <x:v>Baseline trade unchanged.</x:v>
      </x:c>
    </x:row>
    <x:row r="404" ht="18" customHeight="1">
      <x:c r="A404" s="23" t="n">
        <x:v>400</x:v>
      </x:c>
      <x:c r="B404" s="53" t="n">
        <x:v>46013</x:v>
      </x:c>
      <x:c r="C404" s="53" t="n">
        <x:v>46017</x:v>
      </x:c>
      <x:c r="D404" s="23" t="str">
        <x:v>TO</x:v>
      </x:c>
      <x:c r="E404" s="54" t="n">
        <x:v>25543.261</x:v>
      </x:c>
      <x:c r="F404" s="54" t="n">
        <x:v>25653.111</x:v>
      </x:c>
      <x:c r="G404" s="55" t="n">
        <x:v>0.0043</x:v>
      </x:c>
      <x:c r="H404" s="56" t="n">
        <x:f>SUM(T401:T403)</x:f>
        <x:v>-0.00976</x:v>
      </x:c>
      <x:c r="I404" s="57" t="b">
        <x:f>AND(A404&gt;3,H404&lt;='Assumptions'!$B$7)</x:f>
        <x:v>0</x:v>
      </x:c>
      <x:c r="J404" s="55" t="n">
        <x:v>0.008123793163669957</x:v>
      </x:c>
      <x:c r="K404" s="55" t="n">
        <x:v>0.028639538566689327</x:v>
      </x:c>
      <x:c r="L404" s="55" t="n">
        <x:v>0.0018637063447048963</x:v>
      </x:c>
      <x:c r="M404" s="57" t="b">
        <x:f>J404&gt;='Assumptions'!$B$8</x:f>
        <x:v>0</x:v>
      </x:c>
      <x:c r="N404" s="57" t="b">
        <x:f>AND(K404&lt;&gt;"",K404&lt;='Assumptions'!$B$9)</x:f>
        <x:v>0</x:v>
      </x:c>
      <x:c r="O404" s="57" t="b">
        <x:f>AND(P404&lt;&gt;"",ABS(L404)&lt;='Assumptions'!$B$10)</x:f>
        <x:v>1</x:v>
      </x:c>
      <x:c r="P404" s="53" t="n">
        <x:v>46014</x:v>
      </x:c>
      <x:c r="Q404" s="54" t="n">
        <x:v>25412.864</x:v>
      </x:c>
      <x:c r="R404" s="55" t="n">
        <x:v>0.00945</x:v>
      </x:c>
      <x:c r="S404" s="57" t="str">
        <x:f>IF(I404,"DAMAGE SKIP",IF(AND(M404,N404),IF(O404,"TUESDAY RE-ENTRY","GAP/MOM SKIP"),"BASELINE"))</x:f>
        <x:v>BASELINE</x:v>
      </x:c>
      <x:c r="T404" s="56" t="n">
        <x:f>IF(I404,0,IF(AND(M404,N404),IF(O404,R404,0),G404))</x:f>
        <x:v>0.0043</x:v>
      </x:c>
      <x:c r="U404" s="56" t="n">
        <x:f>G404*'Assumptions'!$B$6</x:f>
        <x:v>0.04859</x:v>
      </x:c>
      <x:c r="V404" s="56" t="n">
        <x:f>T404*'Assumptions'!$B$6</x:f>
        <x:v>0.04859</x:v>
      </x:c>
      <x:c r="W404" s="56" t="n">
        <x:f>V404-U404</x:f>
        <x:v>0</x:v>
      </x:c>
      <x:c r="X404" s="58" t="n">
        <x:f>X403*(1+U404)</x:f>
        <x:v>70180418.34704481</x:v>
      </x:c>
      <x:c r="Y404" s="58" t="n">
        <x:f>MAX(Y403,X404)</x:f>
        <x:v>98186631.6654159</x:v>
      </x:c>
      <x:c r="Z404" s="59" t="n">
        <x:f>X404/Y404-1</x:f>
        <x:v>-0.28523448501427373</x:v>
      </x:c>
      <x:c r="AA404" s="58" t="n">
        <x:f>AA403*(1+V404)</x:f>
        <x:v>504581797.56298286</x:v>
      </x:c>
      <x:c r="AB404" s="58" t="n">
        <x:f>MAX(AB403,AA404)</x:f>
        <x:v>705940321.6634748</x:v>
      </x:c>
      <x:c r="AC404" s="59" t="n">
        <x:f>AA404/AB404-1</x:f>
        <x:v>-0.28523448501427373</x:v>
      </x:c>
      <x:c r="AD404" s="60" t="n">
        <x:f>AA404-X404</x:f>
        <x:v>434401379.21593803</x:v>
      </x:c>
      <x:c r="AE404" s="28" t="str">
        <x:v>Baseline trade unchanged.</x:v>
      </x:c>
    </x:row>
    <x:row r="405" ht="18" customHeight="1">
      <x:c r="A405" s="23" t="n">
        <x:v>401</x:v>
      </x:c>
      <x:c r="B405" s="53" t="n">
        <x:v>46020</x:v>
      </x:c>
      <x:c r="C405" s="53" t="n">
        <x:v>46024</x:v>
      </x:c>
      <x:c r="D405" s="23" t="str">
        <x:v>BEPRE</x:v>
      </x:c>
      <x:c r="E405" s="54" t="n">
        <x:v>25491.577</x:v>
      </x:c>
      <x:c r="F405" s="54" t="n">
        <x:v>25390.329</x:v>
      </x:c>
      <x:c r="G405" s="55" t="n">
        <x:v>-0.00397</x:v>
      </x:c>
      <x:c r="H405" s="56" t="n">
        <x:f>SUM(T402:T404)</x:f>
        <x:v>-0.025030000000000004</x:v>
      </x:c>
      <x:c r="I405" s="57" t="b">
        <x:f>AND(A405&gt;3,H405&lt;='Assumptions'!$B$7)</x:f>
        <x:v>1</x:v>
      </x:c>
      <x:c r="J405" s="55" t="n">
        <x:v>-0.006296858108164716</x:v>
      </x:c>
      <x:c r="K405" s="55" t="n">
        <x:v>0.02463499154198634</x:v>
      </x:c>
      <x:c r="L405" s="55" t="n">
        <x:v>-0.006491528955424708</x:v>
      </x:c>
      <x:c r="M405" s="57" t="b">
        <x:f>J405&gt;='Assumptions'!$B$8</x:f>
        <x:v>0</x:v>
      </x:c>
      <x:c r="N405" s="57" t="b">
        <x:f>AND(K405&lt;&gt;"",K405&lt;='Assumptions'!$B$9)</x:f>
        <x:v>0</x:v>
      </x:c>
      <x:c r="O405" s="57" t="b">
        <x:f>AND(P405&lt;&gt;"",ABS(L405)&lt;='Assumptions'!$B$10)</x:f>
        <x:v>0</x:v>
      </x:c>
      <x:c r="P405" s="53" t="n">
        <x:v>46021</x:v>
      </x:c>
      <x:c r="Q405" s="54" t="n">
        <x:v>25479.805</x:v>
      </x:c>
      <x:c r="R405" s="55" t="n">
        <x:v>-0.00351</x:v>
      </x:c>
      <x:c r="S405" s="57" t="str">
        <x:f>IF(I405,"DAMAGE SKIP",IF(AND(M405,N405),IF(O405,"TUESDAY RE-ENTRY","GAP/MOM SKIP"),"BASELINE"))</x:f>
        <x:v>DAMAGE SKIP</x:v>
      </x:c>
      <x:c r="T405" s="56" t="n">
        <x:f>IF(I405,0,IF(AND(M405,N405),IF(O405,R405,0),G405))</x:f>
        <x:v>0</x:v>
      </x:c>
      <x:c r="U405" s="56" t="n">
        <x:f>G405*'Assumptions'!$B$6</x:f>
        <x:v>-0.044861</x:v>
      </x:c>
      <x:c r="V405" s="56" t="n">
        <x:f>T405*'Assumptions'!$B$6</x:f>
        <x:v>0</x:v>
      </x:c>
      <x:c r="W405" s="56" t="n">
        <x:f>V405-U405</x:f>
        <x:v>0.044861</x:v>
      </x:c>
      <x:c r="X405" s="58" t="n">
        <x:f>X404*(1+U405)</x:f>
        <x:v>67032054.59957803</x:v>
      </x:c>
      <x:c r="Y405" s="58" t="n">
        <x:f>MAX(Y404,X405)</x:f>
        <x:v>98186631.6654159</x:v>
      </x:c>
      <x:c r="Z405" s="59" t="n">
        <x:f>X405/Y405-1</x:f>
        <x:v>-0.31729958078204845</x:v>
      </x:c>
      <x:c r="AA405" s="58" t="n">
        <x:f>AA404*(1+V405)</x:f>
        <x:v>504581797.56298286</x:v>
      </x:c>
      <x:c r="AB405" s="58" t="n">
        <x:f>MAX(AB404,AA405)</x:f>
        <x:v>705940321.6634748</x:v>
      </x:c>
      <x:c r="AC405" s="59" t="n">
        <x:f>AA405/AB405-1</x:f>
        <x:v>-0.28523448501427373</x:v>
      </x:c>
      <x:c r="AD405" s="60" t="n">
        <x:f>AA405-X405</x:f>
        <x:v>437549742.96340483</x:v>
      </x:c>
      <x:c r="AE405" s="28" t="str">
        <x:v>Skipped because the previous three rule outcomes totalled at or below the damage threshold.</x:v>
      </x:c>
    </x:row>
    <x:row r="406" ht="18" customHeight="1">
      <x:c r="A406" s="23" t="n">
        <x:v>402</x:v>
      </x:c>
      <x:c r="B406" s="53" t="n">
        <x:v>46027</x:v>
      </x:c>
      <x:c r="C406" s="53" t="n">
        <x:v>46031</x:v>
      </x:c>
      <x:c r="D406" s="23" t="str">
        <x:v>TO</x:v>
      </x:c>
      <x:c r="E406" s="54" t="n">
        <x:v>25460.925</x:v>
      </x:c>
      <x:c r="F406" s="54" t="n">
        <x:v>25757.269</x:v>
      </x:c>
      <x:c r="G406" s="55" t="n">
        <x:v>0.01163</x:v>
      </x:c>
      <x:c r="H406" s="56" t="n">
        <x:f>SUM(T403:T405)</x:f>
        <x:v>-0.02098</x:v>
      </x:c>
      <x:c r="I406" s="57" t="b">
        <x:f>AND(A406&gt;3,H406&lt;='Assumptions'!$B$7)</x:f>
        <x:v>1</x:v>
      </x:c>
      <x:c r="J406" s="55" t="n">
        <x:v>0.009427015963829444</x:v>
      </x:c>
      <x:c r="K406" s="55" t="n">
        <x:v>-0.01667949704901206</x:v>
      </x:c>
      <x:c r="L406" s="55" t="n">
        <x:v>0.009965422755741082</x:v>
      </x:c>
      <x:c r="M406" s="57" t="b">
        <x:f>J406&gt;='Assumptions'!$B$8</x:f>
        <x:v>0</x:v>
      </x:c>
      <x:c r="N406" s="57" t="b">
        <x:f>AND(K406&lt;&gt;"",K406&lt;='Assumptions'!$B$9)</x:f>
        <x:v>1</x:v>
      </x:c>
      <x:c r="O406" s="57" t="b">
        <x:f>AND(P406&lt;&gt;"",ABS(L406)&lt;='Assumptions'!$B$10)</x:f>
        <x:v>0</x:v>
      </x:c>
      <x:c r="P406" s="53" t="n">
        <x:v>46028</x:v>
      </x:c>
      <x:c r="Q406" s="54" t="n">
        <x:v>25450.294</x:v>
      </x:c>
      <x:c r="R406" s="55" t="n">
        <x:v>0.01206</x:v>
      </x:c>
      <x:c r="S406" s="57" t="str">
        <x:f>IF(I406,"DAMAGE SKIP",IF(AND(M406,N406),IF(O406,"TUESDAY RE-ENTRY","GAP/MOM SKIP"),"BASELINE"))</x:f>
        <x:v>DAMAGE SKIP</x:v>
      </x:c>
      <x:c r="T406" s="56" t="n">
        <x:f>IF(I406,0,IF(AND(M406,N406),IF(O406,R406,0),G406))</x:f>
        <x:v>0</x:v>
      </x:c>
      <x:c r="U406" s="56" t="n">
        <x:f>G406*'Assumptions'!$B$6</x:f>
        <x:v>0.131419</x:v>
      </x:c>
      <x:c r="V406" s="56" t="n">
        <x:f>T406*'Assumptions'!$B$6</x:f>
        <x:v>0</x:v>
      </x:c>
      <x:c r="W406" s="56" t="n">
        <x:f>V406-U406</x:f>
        <x:v>-0.131419</x:v>
      </x:c>
      <x:c r="X406" s="58" t="n">
        <x:f>X405*(1+U406)</x:f>
        <x:v>75841340.18299997</x:v>
      </x:c>
      <x:c r="Y406" s="58" t="n">
        <x:f>MAX(Y405,X406)</x:f>
        <x:v>98186631.6654159</x:v>
      </x:c>
      <x:c r="Z406" s="59" t="n">
        <x:f>X406/Y406-1</x:f>
        <x:v>-0.22757977438884458</x:v>
      </x:c>
      <x:c r="AA406" s="58" t="n">
        <x:f>AA405*(1+V406)</x:f>
        <x:v>504581797.56298286</x:v>
      </x:c>
      <x:c r="AB406" s="58" t="n">
        <x:f>MAX(AB405,AA406)</x:f>
        <x:v>705940321.6634748</x:v>
      </x:c>
      <x:c r="AC406" s="59" t="n">
        <x:f>AA406/AB406-1</x:f>
        <x:v>-0.28523448501427373</x:v>
      </x:c>
      <x:c r="AD406" s="60" t="n">
        <x:f>AA406-X406</x:f>
        <x:v>428740457.3799829</x:v>
      </x:c>
      <x:c r="AE406" s="28" t="str">
        <x:v>Skipped because the previous three rule outcomes totalled at or below the damage threshold.</x:v>
      </x:c>
    </x:row>
    <x:row r="407" ht="18" customHeight="1">
      <x:c r="A407" s="23" t="n">
        <x:v>403</x:v>
      </x:c>
      <x:c r="B407" s="53" t="n">
        <x:v>46034</x:v>
      </x:c>
      <x:c r="C407" s="53" t="n">
        <x:v>46034</x:v>
      </x:c>
      <x:c r="D407" s="23" t="str">
        <x:v>CH</x:v>
      </x:c>
      <x:c r="E407" s="54" t="n">
        <x:v>25577.849</x:v>
      </x:c>
      <x:c r="F407" s="54" t="n">
        <x:v>25785.912</x:v>
      </x:c>
      <x:c r="G407" s="55" t="n">
        <x:v>0.00813</x:v>
      </x:c>
      <x:c r="H407" s="56" t="n">
        <x:f>SUM(T404:T406)</x:f>
        <x:v>0.0043</x:v>
      </x:c>
      <x:c r="I407" s="57" t="b">
        <x:f>AND(A407&gt;3,H407&lt;='Assumptions'!$B$7)</x:f>
        <x:v>0</x:v>
      </x:c>
      <x:c r="J407" s="55" t="n">
        <x:v>-0.006965800605646555</x:v>
      </x:c>
      <x:c r="K407" s="55" t="n">
        <x:v>-0.0015296123388729432</x:v>
      </x:c>
      <x:c r="L407" s="55" t="n">
        <x:v>0.000989388015638637</x:v>
      </x:c>
      <x:c r="M407" s="57" t="b">
        <x:f>J407&gt;='Assumptions'!$B$8</x:f>
        <x:v>0</x:v>
      </x:c>
      <x:c r="N407" s="57" t="b">
        <x:f>AND(K407&lt;&gt;"",K407&lt;='Assumptions'!$B$9)</x:f>
        <x:v>0</x:v>
      </x:c>
      <x:c r="O407" s="57" t="b">
        <x:f>AND(P407&lt;&gt;"",ABS(L407)&lt;='Assumptions'!$B$10)</x:f>
        <x:v>1</x:v>
      </x:c>
      <x:c r="P407" s="53" t="n">
        <x:v>46035</x:v>
      </x:c>
      <x:c r="Q407" s="54" t="n">
        <x:v>25784.37</x:v>
      </x:c>
      <x:c r="R407" s="55" t="n">
        <x:v>0.00005</x:v>
      </x:c>
      <x:c r="S407" s="57" t="str">
        <x:f>IF(I407,"DAMAGE SKIP",IF(AND(M407,N407),IF(O407,"TUESDAY RE-ENTRY","GAP/MOM SKIP"),"BASELINE"))</x:f>
        <x:v>BASELINE</x:v>
      </x:c>
      <x:c r="T407" s="56" t="n">
        <x:f>IF(I407,0,IF(AND(M407,N407),IF(O407,R407,0),G407))</x:f>
        <x:v>0.00813</x:v>
      </x:c>
      <x:c r="U407" s="56" t="n">
        <x:f>G407*'Assumptions'!$B$6</x:f>
        <x:v>0.091869</x:v>
      </x:c>
      <x:c r="V407" s="56" t="n">
        <x:f>T407*'Assumptions'!$B$6</x:f>
        <x:v>0.091869</x:v>
      </x:c>
      <x:c r="W407" s="56" t="n">
        <x:f>V407-U407</x:f>
        <x:v>0</x:v>
      </x:c>
      <x:c r="X407" s="58" t="n">
        <x:f>X406*(1+U407)</x:f>
        <x:v>82808808.26427199</x:v>
      </x:c>
      <x:c r="Y407" s="58" t="n">
        <x:f>MAX(Y406,X407)</x:f>
        <x:v>98186631.6654159</x:v>
      </x:c>
      <x:c r="Z407" s="59" t="n">
        <x:f>X407/Y407-1</x:f>
        <x:v>-0.1566183006821733</x:v>
      </x:c>
      <x:c r="AA407" s="58" t="n">
        <x:f>AA406*(1+V407)</x:f>
        <x:v>550937222.7232965</x:v>
      </x:c>
      <x:c r="AB407" s="58" t="n">
        <x:f>MAX(AB406,AA407)</x:f>
        <x:v>705940321.6634748</x:v>
      </x:c>
      <x:c r="AC407" s="59" t="n">
        <x:f>AA407/AB407-1</x:f>
        <x:v>-0.21956969191804998</x:v>
      </x:c>
      <x:c r="AD407" s="60" t="n">
        <x:f>AA407-X407</x:f>
        <x:v>468128414.45902455</x:v>
      </x:c>
      <x:c r="AE407" s="28" t="str">
        <x:v>Baseline trade unchanged.</x:v>
      </x:c>
    </x:row>
    <x:row r="408" ht="18" customHeight="1">
      <x:c r="A408" s="23" t="n">
        <x:v>404</x:v>
      </x:c>
      <x:c r="B408" s="53" t="n">
        <x:v>46042</x:v>
      </x:c>
      <x:c r="C408" s="53" t="n">
        <x:v>46045</x:v>
      </x:c>
      <x:c r="D408" s="23" t="str">
        <x:v>TO</x:v>
      </x:c>
      <x:c r="E408" s="54" t="n">
        <x:v>25092.175</x:v>
      </x:c>
      <x:c r="F408" s="54" t="n">
        <x:v>25599.607</x:v>
      </x:c>
      <x:c r="G408" s="55" t="n">
        <x:v>0.02022</x:v>
      </x:c>
      <x:c r="H408" s="56" t="n">
        <x:f>SUM(T405:T407)</x:f>
        <x:v>0.00813</x:v>
      </x:c>
      <x:c r="I408" s="57" t="b">
        <x:f>AND(A408&gt;3,H408&lt;='Assumptions'!$B$7)</x:f>
        <x:v>0</x:v>
      </x:c>
      <x:c r="J408" s="55" t="n">
        <x:v>-0.017387137369353933</x:v>
      </x:c>
      <x:c r="K408" s="55" t="n">
        <x:v>0.03472627038190579</x:v>
      </x:c>
      <x:c r="L408" s="55"/>
      <x:c r="M408" s="57" t="b">
        <x:f>J408&gt;='Assumptions'!$B$8</x:f>
        <x:v>0</x:v>
      </x:c>
      <x:c r="N408" s="57" t="b">
        <x:f>AND(K408&lt;&gt;"",K408&lt;='Assumptions'!$B$9)</x:f>
        <x:v>0</x:v>
      </x:c>
      <x:c r="O408" s="57" t="b">
        <x:f>AND(P408&lt;&gt;"",ABS(L408)&lt;='Assumptions'!$B$10)</x:f>
        <x:v>0</x:v>
      </x:c>
      <x:c r="P408" s="53"/>
      <x:c r="Q408" s="54"/>
      <x:c r="R408" s="55"/>
      <x:c r="S408" s="57" t="str">
        <x:f>IF(I408,"DAMAGE SKIP",IF(AND(M408,N408),IF(O408,"TUESDAY RE-ENTRY","GAP/MOM SKIP"),"BASELINE"))</x:f>
        <x:v>BASELINE</x:v>
      </x:c>
      <x:c r="T408" s="56" t="n">
        <x:f>IF(I408,0,IF(AND(M408,N408),IF(O408,R408,0),G408))</x:f>
        <x:v>0.02022</x:v>
      </x:c>
      <x:c r="U408" s="56" t="n">
        <x:f>G408*'Assumptions'!$B$6</x:f>
        <x:v>0.228486</x:v>
      </x:c>
      <x:c r="V408" s="56" t="n">
        <x:f>T408*'Assumptions'!$B$6</x:f>
        <x:v>0.228486</x:v>
      </x:c>
      <x:c r="W408" s="56" t="n">
        <x:f>V408-U408</x:f>
        <x:v>0</x:v>
      </x:c>
      <x:c r="X408" s="58" t="n">
        <x:f>X407*(1+U408)</x:f>
        <x:v>101729461.62934244</x:v>
      </x:c>
      <x:c r="Y408" s="58" t="n">
        <x:f>MAX(Y407,X408)</x:f>
        <x:v>101729461.62934244</x:v>
      </x:c>
      <x:c r="Z408" s="59" t="n">
        <x:f>X408/Y408-1</x:f>
        <x:v>0</x:v>
      </x:c>
      <x:c r="AA408" s="58" t="n">
        <x:f>AA407*(1+V408)</x:f>
        <x:v>676818664.9944516</x:v>
      </x:c>
      <x:c r="AB408" s="58" t="n">
        <x:f>MAX(AB407,AA408)</x:f>
        <x:v>705940321.6634748</x:v>
      </x:c>
      <x:c r="AC408" s="59" t="n">
        <x:f>AA408/AB408-1</x:f>
        <x:v>-0.04125229254563756</x:v>
      </x:c>
      <x:c r="AD408" s="60" t="n">
        <x:f>AA408-X408</x:f>
        <x:v>575089203.3651092</x:v>
      </x:c>
      <x:c r="AE408" s="28" t="str">
        <x:v>Baseline trade unchanged.</x:v>
      </x:c>
    </x:row>
    <x:row r="409" ht="18" customHeight="1">
      <x:c r="A409" s="23" t="n">
        <x:v>405</x:v>
      </x:c>
      <x:c r="B409" s="53" t="n">
        <x:v>46048</x:v>
      </x:c>
      <x:c r="C409" s="53" t="n">
        <x:v>46051</x:v>
      </x:c>
      <x:c r="D409" s="23" t="str">
        <x:v>TSL2</x:v>
      </x:c>
      <x:c r="E409" s="54" t="n">
        <x:v>25618.099</x:v>
      </x:c>
      <x:c r="F409" s="54" t="n">
        <x:v>25515.626603999997</x:v>
      </x:c>
      <x:c r="G409" s="55" t="n">
        <x:v>-0.004</x:v>
      </x:c>
      <x:c r="H409" s="56" t="n">
        <x:f>SUM(T406:T408)</x:f>
        <x:v>0.02835</x:v>
      </x:c>
      <x:c r="I409" s="57" t="b">
        <x:f>AND(A409&gt;3,H409&lt;='Assumptions'!$B$7)</x:f>
        <x:v>0</x:v>
      </x:c>
      <x:c r="J409" s="55" t="n">
        <x:v>0.0007223548392754076</x:v>
      </x:c>
      <x:c r="K409" s="55" t="n">
        <x:v>0.000980533989165977</x:v>
      </x:c>
      <x:c r="L409" s="55" t="n">
        <x:v>0.009940262076053363</x:v>
      </x:c>
      <x:c r="M409" s="57" t="b">
        <x:f>J409&gt;='Assumptions'!$B$8</x:f>
        <x:v>0</x:v>
      </x:c>
      <x:c r="N409" s="57" t="b">
        <x:f>AND(K409&lt;&gt;"",K409&lt;='Assumptions'!$B$9)</x:f>
        <x:v>0</x:v>
      </x:c>
      <x:c r="O409" s="57" t="b">
        <x:f>AND(P409&lt;&gt;"",ABS(L409)&lt;='Assumptions'!$B$10)</x:f>
        <x:v>0</x:v>
      </x:c>
      <x:c r="P409" s="53" t="n">
        <x:v>46049</x:v>
      </x:c>
      <x:c r="Q409" s="54" t="n">
        <x:v>25853.958</x:v>
      </x:c>
      <x:c r="R409" s="55" t="n">
        <x:v>-0.01308</x:v>
      </x:c>
      <x:c r="S409" s="57" t="str">
        <x:f>IF(I409,"DAMAGE SKIP",IF(AND(M409,N409),IF(O409,"TUESDAY RE-ENTRY","GAP/MOM SKIP"),"BASELINE"))</x:f>
        <x:v>BASELINE</x:v>
      </x:c>
      <x:c r="T409" s="56" t="n">
        <x:f>IF(I409,0,IF(AND(M409,N409),IF(O409,R409,0),G409))</x:f>
        <x:v>-0.004</x:v>
      </x:c>
      <x:c r="U409" s="56" t="n">
        <x:f>G409*'Assumptions'!$B$6</x:f>
        <x:v>-0.045200000000000004</x:v>
      </x:c>
      <x:c r="V409" s="56" t="n">
        <x:f>T409*'Assumptions'!$B$6</x:f>
        <x:v>-0.045200000000000004</x:v>
      </x:c>
      <x:c r="W409" s="56" t="n">
        <x:f>V409-U409</x:f>
        <x:v>0</x:v>
      </x:c>
      <x:c r="X409" s="58" t="n">
        <x:f>X408*(1+U409)</x:f>
        <x:v>97131289.96369615</x:v>
      </x:c>
      <x:c r="Y409" s="58" t="n">
        <x:f>MAX(Y408,X409)</x:f>
        <x:v>101729461.62934244</x:v>
      </x:c>
      <x:c r="Z409" s="59" t="n">
        <x:f>X409/Y409-1</x:f>
        <x:v>-0.04520000000000002</x:v>
      </x:c>
      <x:c r="AA409" s="58" t="n">
        <x:f>AA408*(1+V409)</x:f>
        <x:v>646226461.3367025</x:v>
      </x:c>
      <x:c r="AB409" s="58" t="n">
        <x:f>MAX(AB408,AA409)</x:f>
        <x:v>705940321.6634748</x:v>
      </x:c>
      <x:c r="AC409" s="59" t="n">
        <x:f>AA409/AB409-1</x:f>
        <x:v>-0.08458768892257473</x:v>
      </x:c>
      <x:c r="AD409" s="60" t="n">
        <x:f>AA409-X409</x:f>
        <x:v>549095171.3730063</x:v>
      </x:c>
      <x:c r="AE409" s="28" t="str">
        <x:v>Baseline trade unchanged.</x:v>
      </x:c>
    </x:row>
    <x:row r="410" ht="18" customHeight="1">
      <x:c r="A410" s="23" t="n">
        <x:v>406</x:v>
      </x:c>
      <x:c r="B410" s="53" t="n">
        <x:v>46055</x:v>
      </x:c>
      <x:c r="C410" s="53" t="n">
        <x:v>46055</x:v>
      </x:c>
      <x:c r="D410" s="23" t="str">
        <x:v>CH</x:v>
      </x:c>
      <x:c r="E410" s="54" t="n">
        <x:v>25428.892</x:v>
      </x:c>
      <x:c r="F410" s="54" t="n">
        <x:v>25723.497</x:v>
      </x:c>
      <x:c r="G410" s="55" t="n">
        <x:v>0.01158</x:v>
      </x:c>
      <x:c r="H410" s="56" t="n">
        <x:f>SUM(T407:T409)</x:f>
        <x:v>0.02435</x:v>
      </x:c>
      <x:c r="I410" s="57" t="b">
        <x:f>AND(A410&gt;3,H410&lt;='Assumptions'!$B$7)</x:f>
        <x:v>0</x:v>
      </x:c>
      <x:c r="J410" s="55" t="n">
        <x:v>-0.004649386266999733</x:v>
      </x:c>
      <x:c r="K410" s="55" t="n">
        <x:v>0.01230649020852681</x:v>
      </x:c>
      <x:c r="L410" s="55" t="n">
        <x:v>0.010339781626384825</x:v>
      </x:c>
      <x:c r="M410" s="57" t="b">
        <x:f>J410&gt;='Assumptions'!$B$8</x:f>
        <x:v>0</x:v>
      </x:c>
      <x:c r="N410" s="57" t="b">
        <x:f>AND(K410&lt;&gt;"",K410&lt;='Assumptions'!$B$9)</x:f>
        <x:v>0</x:v>
      </x:c>
      <x:c r="O410" s="57" t="b">
        <x:f>AND(P410&lt;&gt;"",ABS(L410)&lt;='Assumptions'!$B$10)</x:f>
        <x:v>0</x:v>
      </x:c>
      <x:c r="P410" s="53" t="n">
        <x:v>46056</x:v>
      </x:c>
      <x:c r="Q410" s="54" t="n">
        <x:v>25823.229</x:v>
      </x:c>
      <x:c r="R410" s="55" t="n">
        <x:v>-0.00386</x:v>
      </x:c>
      <x:c r="S410" s="57" t="str">
        <x:f>IF(I410,"DAMAGE SKIP",IF(AND(M410,N410),IF(O410,"TUESDAY RE-ENTRY","GAP/MOM SKIP"),"BASELINE"))</x:f>
        <x:v>BASELINE</x:v>
      </x:c>
      <x:c r="T410" s="56" t="n">
        <x:f>IF(I410,0,IF(AND(M410,N410),IF(O410,R410,0),G410))</x:f>
        <x:v>0.01158</x:v>
      </x:c>
      <x:c r="U410" s="56" t="n">
        <x:f>G410*'Assumptions'!$B$6</x:f>
        <x:v>0.130854</x:v>
      </x:c>
      <x:c r="V410" s="56" t="n">
        <x:f>T410*'Assumptions'!$B$6</x:f>
        <x:v>0.130854</x:v>
      </x:c>
      <x:c r="W410" s="56" t="n">
        <x:f>V410-U410</x:f>
        <x:v>0</x:v>
      </x:c>
      <x:c r="X410" s="58" t="n">
        <x:f>X409*(1+U410)</x:f>
        <x:v>109841307.78060564</x:v>
      </x:c>
      <x:c r="Y410" s="58" t="n">
        <x:f>MAX(Y409,X410)</x:f>
        <x:v>109841307.78060564</x:v>
      </x:c>
      <x:c r="Z410" s="59" t="n">
        <x:f>X410/Y410-1</x:f>
        <x:v>0</x:v>
      </x:c>
      <x:c r="AA410" s="58" t="n">
        <x:f>AA409*(1+V410)</x:f>
        <x:v>730787778.7084553</x:v>
      </x:c>
      <x:c r="AB410" s="58" t="n">
        <x:f>MAX(AB409,AA410)</x:f>
        <x:v>730787778.7084553</x:v>
      </x:c>
      <x:c r="AC410" s="59" t="n">
        <x:f>AA410/AB410-1</x:f>
        <x:v>0</x:v>
      </x:c>
      <x:c r="AD410" s="60" t="n">
        <x:f>AA410-X410</x:f>
        <x:v>620946470.9278497</x:v>
      </x:c>
      <x:c r="AE410" s="28" t="str">
        <x:v>Baseline trade unchanged.</x:v>
      </x:c>
    </x:row>
    <x:row r="411" ht="18" customHeight="1">
      <x:c r="A411" s="23" t="n">
        <x:v>407</x:v>
      </x:c>
      <x:c r="B411" s="53" t="n">
        <x:v>46062</x:v>
      </x:c>
      <x:c r="C411" s="53" t="n">
        <x:v>46062</x:v>
      </x:c>
      <x:c r="D411" s="23" t="str">
        <x:v>CH</x:v>
      </x:c>
      <x:c r="E411" s="54" t="n">
        <x:v>24970.772</x:v>
      </x:c>
      <x:c r="F411" s="54" t="n">
        <x:v>25264.472</x:v>
      </x:c>
      <x:c r="G411" s="55" t="n">
        <x:v>0.01176</x:v>
      </x:c>
      <x:c r="H411" s="56" t="n">
        <x:f>SUM(T408:T410)</x:f>
        <x:v>0.0278</x:v>
      </x:c>
      <x:c r="I411" s="57" t="b">
        <x:f>AND(A411&gt;3,H411&lt;='Assumptions'!$B$7)</x:f>
        <x:v>0</x:v>
      </x:c>
      <x:c r="J411" s="55" t="n">
        <x:v>-0.0029389034463825903</x:v>
      </x:c>
      <x:c r="K411" s="55" t="n">
        <x:v>-0.017438393475913472</x:v>
      </x:c>
      <x:c r="L411" s="55" t="n">
        <x:v>0.009275813991634463</x:v>
      </x:c>
      <x:c r="M411" s="57" t="b">
        <x:f>J411&gt;='Assumptions'!$B$8</x:f>
        <x:v>0</x:v>
      </x:c>
      <x:c r="N411" s="57" t="b">
        <x:f>AND(K411&lt;&gt;"",K411&lt;='Assumptions'!$B$9)</x:f>
        <x:v>1</x:v>
      </x:c>
      <x:c r="O411" s="57" t="b">
        <x:f>AND(P411&lt;&gt;"",ABS(L411)&lt;='Assumptions'!$B$10)</x:f>
        <x:v>0</x:v>
      </x:c>
      <x:c r="P411" s="53" t="n">
        <x:v>46063</x:v>
      </x:c>
      <x:c r="Q411" s="54" t="n">
        <x:v>25290.283</x:v>
      </x:c>
      <x:c r="R411" s="55" t="n">
        <x:v>-0.00102</x:v>
      </x:c>
      <x:c r="S411" s="57" t="str">
        <x:f>IF(I411,"DAMAGE SKIP",IF(AND(M411,N411),IF(O411,"TUESDAY RE-ENTRY","GAP/MOM SKIP"),"BASELINE"))</x:f>
        <x:v>BASELINE</x:v>
      </x:c>
      <x:c r="T411" s="56" t="n">
        <x:f>IF(I411,0,IF(AND(M411,N411),IF(O411,R411,0),G411))</x:f>
        <x:v>0.01176</x:v>
      </x:c>
      <x:c r="U411" s="56" t="n">
        <x:f>G411*'Assumptions'!$B$6</x:f>
        <x:v>0.132888</x:v>
      </x:c>
      <x:c r="V411" s="56" t="n">
        <x:f>T411*'Assumptions'!$B$6</x:f>
        <x:v>0.132888</x:v>
      </x:c>
      <x:c r="W411" s="56" t="n">
        <x:f>V411-U411</x:f>
        <x:v>0</x:v>
      </x:c>
      <x:c r="X411" s="58" t="n">
        <x:f>X410*(1+U411)</x:f>
        <x:v>124437899.48895475</x:v>
      </x:c>
      <x:c r="Y411" s="58" t="n">
        <x:f>MAX(Y410,X411)</x:f>
        <x:v>124437899.48895475</x:v>
      </x:c>
      <x:c r="Z411" s="59" t="n">
        <x:f>X411/Y411-1</x:f>
        <x:v>0</x:v>
      </x:c>
      <x:c r="AA411" s="58" t="n">
        <x:f>AA410*(1+V411)</x:f>
        <x:v>827900705.0454645</x:v>
      </x:c>
      <x:c r="AB411" s="58" t="n">
        <x:f>MAX(AB410,AA411)</x:f>
        <x:v>827900705.0454645</x:v>
      </x:c>
      <x:c r="AC411" s="59" t="n">
        <x:f>AA411/AB411-1</x:f>
        <x:v>0</x:v>
      </x:c>
      <x:c r="AD411" s="60" t="n">
        <x:f>AA411-X411</x:f>
        <x:v>703462805.5565097</x:v>
      </x:c>
      <x:c r="AE411" s="28" t="str">
        <x:v>Baseline trade unchanged.</x:v>
      </x:c>
    </x:row>
    <x:row r="412" ht="18" customHeight="1">
      <x:c r="A412" s="23" t="n">
        <x:v>408</x:v>
      </x:c>
      <x:c r="B412" s="53" t="n">
        <x:v>46070</x:v>
      </x:c>
      <x:c r="C412" s="53" t="n">
        <x:v>46073</x:v>
      </x:c>
      <x:c r="D412" s="23" t="str">
        <x:v>TO</x:v>
      </x:c>
      <x:c r="E412" s="54" t="n">
        <x:v>24588.316</x:v>
      </x:c>
      <x:c r="F412" s="54" t="n">
        <x:v>25009.319</x:v>
      </x:c>
      <x:c r="G412" s="55" t="n">
        <x:v>0.01712</x:v>
      </x:c>
      <x:c r="H412" s="56" t="n">
        <x:f>SUM(T409:T411)</x:f>
        <x:v>0.01934</x:v>
      </x:c>
      <x:c r="I412" s="57" t="b">
        <x:f>AND(A412&gt;3,H412&lt;='Assumptions'!$B$7)</x:f>
        <x:v>0</x:v>
      </x:c>
      <x:c r="J412" s="55" t="n">
        <x:v>-0.006370494416058192</x:v>
      </x:c>
      <x:c r="K412" s="55" t="n">
        <x:v>-0.03194055775354632</x:v>
      </x:c>
      <x:c r="L412" s="55"/>
      <x:c r="M412" s="57" t="b">
        <x:f>J412&gt;='Assumptions'!$B$8</x:f>
        <x:v>0</x:v>
      </x:c>
      <x:c r="N412" s="57" t="b">
        <x:f>AND(K412&lt;&gt;"",K412&lt;='Assumptions'!$B$9)</x:f>
        <x:v>1</x:v>
      </x:c>
      <x:c r="O412" s="57" t="b">
        <x:f>AND(P412&lt;&gt;"",ABS(L412)&lt;='Assumptions'!$B$10)</x:f>
        <x:v>0</x:v>
      </x:c>
      <x:c r="P412" s="53"/>
      <x:c r="Q412" s="54"/>
      <x:c r="R412" s="55"/>
      <x:c r="S412" s="57" t="str">
        <x:f>IF(I412,"DAMAGE SKIP",IF(AND(M412,N412),IF(O412,"TUESDAY RE-ENTRY","GAP/MOM SKIP"),"BASELINE"))</x:f>
        <x:v>BASELINE</x:v>
      </x:c>
      <x:c r="T412" s="56" t="n">
        <x:f>IF(I412,0,IF(AND(M412,N412),IF(O412,R412,0),G412))</x:f>
        <x:v>0.01712</x:v>
      </x:c>
      <x:c r="U412" s="56" t="n">
        <x:f>G412*'Assumptions'!$B$6</x:f>
        <x:v>0.19345600000000002</x:v>
      </x:c>
      <x:c r="V412" s="56" t="n">
        <x:f>T412*'Assumptions'!$B$6</x:f>
        <x:v>0.19345600000000002</x:v>
      </x:c>
      <x:c r="W412" s="56" t="n">
        <x:f>V412-U412</x:f>
        <x:v>0</x:v>
      </x:c>
      <x:c r="X412" s="58" t="n">
        <x:f>X411*(1+U412)</x:f>
        <x:v>148511157.77249</x:v>
      </x:c>
      <x:c r="Y412" s="58" t="n">
        <x:f>MAX(Y411,X412)</x:f>
        <x:v>148511157.77249</x:v>
      </x:c>
      <x:c r="Z412" s="59" t="n">
        <x:f>X412/Y412-1</x:f>
        <x:v>0</x:v>
      </x:c>
      <x:c r="AA412" s="58" t="n">
        <x:f>AA411*(1+V412)</x:f>
        <x:v>988063063.84074</x:v>
      </x:c>
      <x:c r="AB412" s="58" t="n">
        <x:f>MAX(AB411,AA412)</x:f>
        <x:v>988063063.84074</x:v>
      </x:c>
      <x:c r="AC412" s="59" t="n">
        <x:f>AA412/AB412-1</x:f>
        <x:v>0</x:v>
      </x:c>
      <x:c r="AD412" s="60" t="n">
        <x:f>AA412-X412</x:f>
        <x:v>839551906.06825</x:v>
      </x:c>
      <x:c r="AE412" s="28" t="str">
        <x:v>Baseline trade unchanged.</x:v>
      </x:c>
    </x:row>
    <x:row r="413" ht="18" customHeight="1">
      <x:c r="A413" s="23" t="n">
        <x:v>409</x:v>
      </x:c>
      <x:c r="B413" s="53" t="n">
        <x:v>46076</x:v>
      </x:c>
      <x:c r="C413" s="53" t="n">
        <x:v>46079</x:v>
      </x:c>
      <x:c r="D413" s="23" t="str">
        <x:v>TSL2</x:v>
      </x:c>
      <x:c r="E413" s="54" t="n">
        <x:v>24924.186</x:v>
      </x:c>
      <x:c r="F413" s="54" t="n">
        <x:v>24824.489256</x:v>
      </x:c>
      <x:c r="G413" s="55" t="n">
        <x:v>-0.004</x:v>
      </x:c>
      <x:c r="H413" s="56" t="n">
        <x:f>SUM(T410:T412)</x:f>
        <x:v>0.040459999999999996</x:v>
      </x:c>
      <x:c r="I413" s="57" t="b">
        <x:f>AND(A413&gt;3,H413&lt;='Assumptions'!$B$7)</x:f>
        <x:v>0</x:v>
      </x:c>
      <x:c r="J413" s="55" t="n">
        <x:v>-0.003404051105909689</x:v>
      </x:c>
      <x:c r="K413" s="55" t="n">
        <x:v>-0.01925059604355961</x:v>
      </x:c>
      <x:c r="L413" s="55" t="n">
        <x:v>-0.010528736387378612</x:v>
      </x:c>
      <x:c r="M413" s="57" t="b">
        <x:f>J413&gt;='Assumptions'!$B$8</x:f>
        <x:v>0</x:v>
      </x:c>
      <x:c r="N413" s="57" t="b">
        <x:f>AND(K413&lt;&gt;"",K413&lt;='Assumptions'!$B$9)</x:f>
        <x:v>1</x:v>
      </x:c>
      <x:c r="O413" s="57" t="b">
        <x:f>AND(P413&lt;&gt;"",ABS(L413)&lt;='Assumptions'!$B$10)</x:f>
        <x:v>0</x:v>
      </x:c>
      <x:c r="P413" s="53" t="n">
        <x:v>46077</x:v>
      </x:c>
      <x:c r="Q413" s="54" t="n">
        <x:v>24754.719</x:v>
      </x:c>
      <x:c r="R413" s="55" t="n">
        <x:v>0.00281</x:v>
      </x:c>
      <x:c r="S413" s="57" t="str">
        <x:f>IF(I413,"DAMAGE SKIP",IF(AND(M413,N413),IF(O413,"TUESDAY RE-ENTRY","GAP/MOM SKIP"),"BASELINE"))</x:f>
        <x:v>BASELINE</x:v>
      </x:c>
      <x:c r="T413" s="56" t="n">
        <x:f>IF(I413,0,IF(AND(M413,N413),IF(O413,R413,0),G413))</x:f>
        <x:v>-0.004</x:v>
      </x:c>
      <x:c r="U413" s="56" t="n">
        <x:f>G413*'Assumptions'!$B$6</x:f>
        <x:v>-0.045200000000000004</x:v>
      </x:c>
      <x:c r="V413" s="56" t="n">
        <x:f>T413*'Assumptions'!$B$6</x:f>
        <x:v>-0.045200000000000004</x:v>
      </x:c>
      <x:c r="W413" s="56" t="n">
        <x:f>V413-U413</x:f>
        <x:v>0</x:v>
      </x:c>
      <x:c r="X413" s="58" t="n">
        <x:f>X412*(1+U413)</x:f>
        <x:v>141798453.44117343</x:v>
      </x:c>
      <x:c r="Y413" s="58" t="n">
        <x:f>MAX(Y412,X413)</x:f>
        <x:v>148511157.77249</x:v>
      </x:c>
      <x:c r="Z413" s="59" t="n">
        <x:f>X413/Y413-1</x:f>
        <x:v>-0.04520000000000013</x:v>
      </x:c>
      <x:c r="AA413" s="58" t="n">
        <x:f>AA412*(1+V413)</x:f>
        <x:v>943402613.3551385</x:v>
      </x:c>
      <x:c r="AB413" s="58" t="n">
        <x:f>MAX(AB412,AA413)</x:f>
        <x:v>988063063.84074</x:v>
      </x:c>
      <x:c r="AC413" s="59" t="n">
        <x:f>AA413/AB413-1</x:f>
        <x:v>-0.04520000000000002</x:v>
      </x:c>
      <x:c r="AD413" s="60" t="n">
        <x:f>AA413-X413</x:f>
        <x:v>801604159.9139651</x:v>
      </x:c>
      <x:c r="AE413" s="28" t="str">
        <x:v>Baseline trade unchanged.</x:v>
      </x:c>
    </x:row>
    <x:row r="414" ht="18" customHeight="1">
      <x:c r="A414" s="23" t="n">
        <x:v>410</x:v>
      </x:c>
      <x:c r="B414" s="53" t="n">
        <x:v>46083</x:v>
      </x:c>
      <x:c r="C414" s="53" t="n">
        <x:v>46083</x:v>
      </x:c>
      <x:c r="D414" s="23" t="str">
        <x:v>CH</x:v>
      </x:c>
      <x:c r="E414" s="54" t="n">
        <x:v>24607.258</x:v>
      </x:c>
      <x:c r="F414" s="54" t="n">
        <x:v>24980.961</x:v>
      </x:c>
      <x:c r="G414" s="55" t="n">
        <x:v>0.01518</x:v>
      </x:c>
      <x:c r="H414" s="56" t="n">
        <x:f>SUM(T411:T413)</x:f>
        <x:v>0.02488</x:v>
      </x:c>
      <x:c r="I414" s="57" t="b">
        <x:f>AND(A414&gt;3,H414&lt;='Assumptions'!$B$7)</x:f>
        <x:v>0</x:v>
      </x:c>
      <x:c r="J414" s="55" t="n">
        <x:v>-0.013472590986223998</x:v>
      </x:c>
      <x:c r="K414" s="55" t="n">
        <x:v>-0.035174681855011714</x:v>
      </x:c>
      <x:c r="L414" s="55" t="n">
        <x:v>-0.018047390867624857</x:v>
      </x:c>
      <x:c r="M414" s="57" t="b">
        <x:f>J414&gt;='Assumptions'!$B$8</x:f>
        <x:v>0</x:v>
      </x:c>
      <x:c r="N414" s="57" t="b">
        <x:f>AND(K414&lt;&gt;"",K414&lt;='Assumptions'!$B$9)</x:f>
        <x:v>1</x:v>
      </x:c>
      <x:c r="O414" s="57" t="b">
        <x:f>AND(P414&lt;&gt;"",ABS(L414)&lt;='Assumptions'!$B$10)</x:f>
        <x:v>0</x:v>
      </x:c>
      <x:c r="P414" s="53" t="n">
        <x:v>46084</x:v>
      </x:c>
      <x:c r="Q414" s="54" t="n">
        <x:v>24488.892</x:v>
      </x:c>
      <x:c r="R414" s="55" t="n">
        <x:v>0.02009</x:v>
      </x:c>
      <x:c r="S414" s="57" t="str">
        <x:f>IF(I414,"DAMAGE SKIP",IF(AND(M414,N414),IF(O414,"TUESDAY RE-ENTRY","GAP/MOM SKIP"),"BASELINE"))</x:f>
        <x:v>BASELINE</x:v>
      </x:c>
      <x:c r="T414" s="56" t="n">
        <x:f>IF(I414,0,IF(AND(M414,N414),IF(O414,R414,0),G414))</x:f>
        <x:v>0.01518</x:v>
      </x:c>
      <x:c r="U414" s="56" t="n">
        <x:f>G414*'Assumptions'!$B$6</x:f>
        <x:v>0.17153400000000002</x:v>
      </x:c>
      <x:c r="V414" s="56" t="n">
        <x:f>T414*'Assumptions'!$B$6</x:f>
        <x:v>0.17153400000000002</x:v>
      </x:c>
      <x:c r="W414" s="56" t="n">
        <x:f>V414-U414</x:f>
        <x:v>0</x:v>
      </x:c>
      <x:c r="X414" s="58" t="n">
        <x:f>X413*(1+U414)</x:f>
        <x:v>166121709.3537517</x:v>
      </x:c>
      <x:c r="Y414" s="58" t="n">
        <x:f>MAX(Y413,X414)</x:f>
        <x:v>166121709.3537517</x:v>
      </x:c>
      <x:c r="Z414" s="59" t="n">
        <x:f>X414/Y414-1</x:f>
        <x:v>0</x:v>
      </x:c>
      <x:c r="AA414" s="58" t="n">
        <x:f>AA413*(1+V414)</x:f>
        <x:v>1105228237.2343988</x:v>
      </x:c>
      <x:c r="AB414" s="58" t="n">
        <x:f>MAX(AB413,AA414)</x:f>
        <x:v>1105228237.2343988</x:v>
      </x:c>
      <x:c r="AC414" s="59" t="n">
        <x:f>AA414/AB414-1</x:f>
        <x:v>0</x:v>
      </x:c>
      <x:c r="AD414" s="60" t="n">
        <x:f>AA414-X414</x:f>
        <x:v>939106527.8806472</x:v>
      </x:c>
      <x:c r="AE414" s="28" t="str">
        <x:v>Baseline trade unchanged.</x:v>
      </x:c>
    </x:row>
    <x:row r="415" ht="18" customHeight="1">
      <x:c r="A415" s="23" t="n">
        <x:v>411</x:v>
      </x:c>
      <x:c r="B415" s="53" t="n">
        <x:v>46090</x:v>
      </x:c>
      <x:c r="C415" s="53" t="n">
        <x:v>46090</x:v>
      </x:c>
      <x:c r="D415" s="23" t="str">
        <x:v>CH</x:v>
      </x:c>
      <x:c r="E415" s="54" t="n">
        <x:v>24406.522</x:v>
      </x:c>
      <x:c r="F415" s="54" t="n">
        <x:v>24987.087</x:v>
      </x:c>
      <x:c r="G415" s="55" t="n">
        <x:v>0.02378</x:v>
      </x:c>
      <x:c r="H415" s="56" t="n">
        <x:f>SUM(T412:T414)</x:f>
        <x:v>0.0283</x:v>
      </x:c>
      <x:c r="I415" s="57" t="b">
        <x:f>AND(A415&gt;3,H415&lt;='Assumptions'!$B$7)</x:f>
        <x:v>0</x:v>
      </x:c>
      <x:c r="J415" s="55" t="n">
        <x:v>-0.008800474414026649</x:v>
      </x:c>
      <x:c r="K415" s="55" t="n">
        <x:v>0.004689881580490107</x:v>
      </x:c>
      <x:c r="L415" s="55" t="n">
        <x:v>0.013253755230648645</x:v>
      </x:c>
      <x:c r="M415" s="57" t="b">
        <x:f>J415&gt;='Assumptions'!$B$8</x:f>
        <x:v>0</x:v>
      </x:c>
      <x:c r="N415" s="57" t="b">
        <x:f>AND(K415&lt;&gt;"",K415&lt;='Assumptions'!$B$9)</x:f>
        <x:v>0</x:v>
      </x:c>
      <x:c r="O415" s="57" t="b">
        <x:f>AND(P415&lt;&gt;"",ABS(L415)&lt;='Assumptions'!$B$10)</x:f>
        <x:v>0</x:v>
      </x:c>
      <x:c r="P415" s="53" t="n">
        <x:v>46091</x:v>
      </x:c>
      <x:c r="Q415" s="54" t="n">
        <x:v>24962.158</x:v>
      </x:c>
      <x:c r="R415" s="55" t="n">
        <x:v>0.00099</x:v>
      </x:c>
      <x:c r="S415" s="57" t="str">
        <x:f>IF(I415,"DAMAGE SKIP",IF(AND(M415,N415),IF(O415,"TUESDAY RE-ENTRY","GAP/MOM SKIP"),"BASELINE"))</x:f>
        <x:v>BASELINE</x:v>
      </x:c>
      <x:c r="T415" s="56" t="n">
        <x:f>IF(I415,0,IF(AND(M415,N415),IF(O415,R415,0),G415))</x:f>
        <x:v>0.02378</x:v>
      </x:c>
      <x:c r="U415" s="56" t="n">
        <x:f>G415*'Assumptions'!$B$6</x:f>
        <x:v>0.268714</x:v>
      </x:c>
      <x:c r="V415" s="56" t="n">
        <x:f>T415*'Assumptions'!$B$6</x:f>
        <x:v>0.268714</x:v>
      </x:c>
      <x:c r="W415" s="56" t="n">
        <x:f>V415-U415</x:f>
        <x:v>0</x:v>
      </x:c>
      <x:c r="X415" s="58" t="n">
        <x:f>X414*(1+U415)</x:f>
        <x:v>210760938.36103573</x:v>
      </x:c>
      <x:c r="Y415" s="58" t="n">
        <x:f>MAX(Y414,X415)</x:f>
        <x:v>210760938.36103573</x:v>
      </x:c>
      <x:c r="Z415" s="59" t="n">
        <x:f>X415/Y415-1</x:f>
        <x:v>0</x:v>
      </x:c>
      <x:c r="AA415" s="58" t="n">
        <x:f>AA414*(1+V415)</x:f>
        <x:v>1402218537.7746031</x:v>
      </x:c>
      <x:c r="AB415" s="58" t="n">
        <x:f>MAX(AB414,AA415)</x:f>
        <x:v>1402218537.7746031</x:v>
      </x:c>
      <x:c r="AC415" s="59" t="n">
        <x:f>AA415/AB415-1</x:f>
        <x:v>0</x:v>
      </x:c>
      <x:c r="AD415" s="60" t="n">
        <x:f>AA415-X415</x:f>
        <x:v>1191457599.4135673</x:v>
      </x:c>
      <x:c r="AE415" s="28" t="str">
        <x:v>Baseline trade unchanged.</x:v>
      </x:c>
    </x:row>
    <x:row r="416" ht="18" customHeight="1">
      <x:c r="A416" s="23" t="n">
        <x:v>412</x:v>
      </x:c>
      <x:c r="B416" s="53" t="n">
        <x:v>46097</x:v>
      </x:c>
      <x:c r="C416" s="53" t="n">
        <x:v>46100</x:v>
      </x:c>
      <x:c r="D416" s="23" t="str">
        <x:v>TSL1PRE</x:v>
      </x:c>
      <x:c r="E416" s="54" t="n">
        <x:v>24640.779</x:v>
      </x:c>
      <x:c r="F416" s="54" t="n">
        <x:v>24402.764</x:v>
      </x:c>
      <x:c r="G416" s="55" t="n">
        <x:v>-0.00965</x:v>
      </x:c>
      <x:c r="H416" s="56" t="n">
        <x:f>SUM(T413:T415)</x:f>
        <x:v>0.03496</x:v>
      </x:c>
      <x:c r="I416" s="57" t="b">
        <x:f>AND(A416&gt;3,H416&lt;='Assumptions'!$B$7)</x:f>
        <x:v>0</x:v>
      </x:c>
      <x:c r="J416" s="55" t="n">
        <x:v>0.011162155038512145</x:v>
      </x:c>
      <x:c r="K416" s="55" t="n">
        <x:v>-0.011521044219499177</x:v>
      </x:c>
      <x:c r="L416" s="55" t="n">
        <x:v>0.015866064811695724</x:v>
      </x:c>
      <x:c r="M416" s="57" t="b">
        <x:f>J416&gt;='Assumptions'!$B$8</x:f>
        <x:v>1</x:v>
      </x:c>
      <x:c r="N416" s="57" t="b">
        <x:f>AND(K416&lt;&gt;"",K416&lt;='Assumptions'!$B$9)</x:f>
        <x:v>1</x:v>
      </x:c>
      <x:c r="O416" s="57" t="b">
        <x:f>AND(P416&lt;&gt;"",ABS(L416)&lt;='Assumptions'!$B$10)</x:f>
        <x:v>0</x:v>
      </x:c>
      <x:c r="P416" s="53" t="n">
        <x:v>46098</x:v>
      </x:c>
      <x:c r="Q416" s="54" t="n">
        <x:v>24770.033</x:v>
      </x:c>
      <x:c r="R416" s="55" t="n">
        <x:v>-0.01482</x:v>
      </x:c>
      <x:c r="S416" s="57" t="str">
        <x:f>IF(I416,"DAMAGE SKIP",IF(AND(M416,N416),IF(O416,"TUESDAY RE-ENTRY","GAP/MOM SKIP"),"BASELINE"))</x:f>
        <x:v>GAP/MOM SKIP</x:v>
      </x:c>
      <x:c r="T416" s="56" t="n">
        <x:f>IF(I416,0,IF(AND(M416,N416),IF(O416,R416,0),G416))</x:f>
        <x:v>0</x:v>
      </x:c>
      <x:c r="U416" s="56" t="n">
        <x:f>G416*'Assumptions'!$B$6</x:f>
        <x:v>-0.10904500000000002</x:v>
      </x:c>
      <x:c r="V416" s="56" t="n">
        <x:f>T416*'Assumptions'!$B$6</x:f>
        <x:v>0</x:v>
      </x:c>
      <x:c r="W416" s="56" t="n">
        <x:f>V416-U416</x:f>
        <x:v>0.10904500000000002</x:v>
      </x:c>
      <x:c r="X416" s="58" t="n">
        <x:f>X415*(1+U416)</x:f>
        <x:v>187778511.83745658</x:v>
      </x:c>
      <x:c r="Y416" s="58" t="n">
        <x:f>MAX(Y415,X416)</x:f>
        <x:v>210760938.36103573</x:v>
      </x:c>
      <x:c r="Z416" s="59" t="n">
        <x:f>X416/Y416-1</x:f>
        <x:v>-0.10904500000000006</x:v>
      </x:c>
      <x:c r="AA416" s="58" t="n">
        <x:f>AA415*(1+V416)</x:f>
        <x:v>1402218537.7746031</x:v>
      </x:c>
      <x:c r="AB416" s="58" t="n">
        <x:f>MAX(AB415,AA416)</x:f>
        <x:v>1402218537.7746031</x:v>
      </x:c>
      <x:c r="AC416" s="59" t="n">
        <x:f>AA416/AB416-1</x:f>
        <x:v>0</x:v>
      </x:c>
      <x:c r="AD416" s="60" t="n">
        <x:f>AA416-X416</x:f>
        <x:v>1214440025.9371467</x:v>
      </x:c>
      <x:c r="AE416" s="28" t="str">
        <x:v>Monday entry skipped; Tuesday did not normalize within the Friday-based tolerance.</x:v>
      </x:c>
    </x:row>
    <x:row r="417" ht="18" customHeight="1">
      <x:c r="A417" s="23" t="n">
        <x:v>413</x:v>
      </x:c>
      <x:c r="B417" s="53" t="n">
        <x:v>46104</x:v>
      </x:c>
      <x:c r="C417" s="53" t="n">
        <x:v>46106</x:v>
      </x:c>
      <x:c r="D417" s="23" t="str">
        <x:v>BEPRE</x:v>
      </x:c>
      <x:c r="E417" s="54" t="n">
        <x:v>24277.453</x:v>
      </x:c>
      <x:c r="F417" s="54" t="n">
        <x:v>24227.864</x:v>
      </x:c>
      <x:c r="G417" s="55" t="n">
        <x:v>-0.00204</x:v>
      </x:c>
      <x:c r="H417" s="56" t="n">
        <x:f>SUM(T414:T416)</x:f>
        <x:v>0.03896</x:v>
      </x:c>
      <x:c r="I417" s="57" t="b">
        <x:f>AND(A417&gt;3,H417&lt;='Assumptions'!$B$7)</x:f>
        <x:v>0</x:v>
      </x:c>
      <x:c r="J417" s="55" t="n">
        <x:v>0.015012684390669717</x:v>
      </x:c>
      <x:c r="K417" s="55" t="n">
        <x:v>-0.04393817447151005</x:v>
      </x:c>
      <x:c r="L417" s="55" t="n">
        <x:v>0.004724598838607763</x:v>
      </x:c>
      <x:c r="M417" s="57" t="b">
        <x:f>J417&gt;='Assumptions'!$B$8</x:f>
        <x:v>1</x:v>
      </x:c>
      <x:c r="N417" s="57" t="b">
        <x:f>AND(K417&lt;&gt;"",K417&lt;='Assumptions'!$B$9)</x:f>
        <x:v>1</x:v>
      </x:c>
      <x:c r="O417" s="57" t="b">
        <x:f>AND(P417&lt;&gt;"",ABS(L417)&lt;='Assumptions'!$B$10)</x:f>
        <x:v>1</x:v>
      </x:c>
      <x:c r="P417" s="53" t="n">
        <x:v>46105</x:v>
      </x:c>
      <x:c r="Q417" s="54" t="n">
        <x:v>24040.522</x:v>
      </x:c>
      <x:c r="R417" s="55" t="n">
        <x:v>0.00779</x:v>
      </x:c>
      <x:c r="S417" s="57" t="str">
        <x:f>IF(I417,"DAMAGE SKIP",IF(AND(M417,N417),IF(O417,"TUESDAY RE-ENTRY","GAP/MOM SKIP"),"BASELINE"))</x:f>
        <x:v>TUESDAY RE-ENTRY</x:v>
      </x:c>
      <x:c r="T417" s="56" t="n">
        <x:f>IF(I417,0,IF(AND(M417,N417),IF(O417,R417,0),G417))</x:f>
        <x:v>0.00779</x:v>
      </x:c>
      <x:c r="U417" s="56" t="n">
        <x:f>G417*'Assumptions'!$B$6</x:f>
        <x:v>-0.023052000000000003</x:v>
      </x:c>
      <x:c r="V417" s="56" t="n">
        <x:f>T417*'Assumptions'!$B$6</x:f>
        <x:v>0.08802700000000001</x:v>
      </x:c>
      <x:c r="W417" s="56" t="n">
        <x:f>V417-U417</x:f>
        <x:v>0.11107900000000001</x:v>
      </x:c>
      <x:c r="X417" s="58" t="n">
        <x:f>X416*(1+U417)</x:f>
        <x:v>183449841.58257955</x:v>
      </x:c>
      <x:c r="Y417" s="58" t="n">
        <x:f>MAX(Y416,X417)</x:f>
        <x:v>210760938.36103573</x:v>
      </x:c>
      <x:c r="Z417" s="59" t="n">
        <x:f>X417/Y417-1</x:f>
        <x:v>-0.12958329465999996</x:v>
      </x:c>
      <x:c r="AA417" s="58" t="n">
        <x:f>AA416*(1+V417)</x:f>
        <x:v>1525651628.9992883</x:v>
      </x:c>
      <x:c r="AB417" s="58" t="n">
        <x:f>MAX(AB416,AA417)</x:f>
        <x:v>1525651628.9992883</x:v>
      </x:c>
      <x:c r="AC417" s="59" t="n">
        <x:f>AA417/AB417-1</x:f>
        <x:v>0</x:v>
      </x:c>
      <x:c r="AD417" s="60" t="n">
        <x:f>AA417-X417</x:f>
        <x:v>1342201787.4167087</x:v>
      </x:c>
      <x:c r="AE417" s="28" t="str">
        <x:v>Monday entry delayed; Tuesday opened within the Friday-normalization tolerance. Original exit price reused.</x:v>
      </x:c>
    </x:row>
    <x:row r="418" ht="18" customHeight="1">
      <x:c r="A418" s="23" t="n">
        <x:v>414</x:v>
      </x:c>
      <x:c r="B418" s="53" t="n">
        <x:v>46111</x:v>
      </x:c>
      <x:c r="C418" s="53" t="n">
        <x:v>46114</x:v>
      </x:c>
      <x:c r="D418" s="23" t="str">
        <x:v>TO</x:v>
      </x:c>
      <x:c r="E418" s="54" t="n">
        <x:v>23327.399</x:v>
      </x:c>
      <x:c r="F418" s="54" t="n">
        <x:v>24041.917</x:v>
      </x:c>
      <x:c r="G418" s="55" t="n">
        <x:v>0.03062</x:v>
      </x:c>
      <x:c r="H418" s="56" t="n">
        <x:f>SUM(T415:T417)</x:f>
        <x:v>0.03157</x:v>
      </x:c>
      <x:c r="I418" s="57" t="b">
        <x:f>AND(A418&gt;3,H418&lt;='Assumptions'!$B$7)</x:f>
        <x:v>0</x:v>
      </x:c>
      <x:c r="J418" s="55" t="n">
        <x:v>0.009532075367181037</x:v>
      </x:c>
      <x:c r="K418" s="55" t="n">
        <x:v>-0.07362215745360523</x:v>
      </x:c>
      <x:c r="L418" s="55" t="n">
        <x:v>0.0030395677059260606</x:v>
      </x:c>
      <x:c r="M418" s="57" t="b">
        <x:f>J418&gt;='Assumptions'!$B$8</x:f>
        <x:v>0</x:v>
      </x:c>
      <x:c r="N418" s="57" t="b">
        <x:f>AND(K418&lt;&gt;"",K418&lt;='Assumptions'!$B$9)</x:f>
        <x:v>1</x:v>
      </x:c>
      <x:c r="O418" s="57" t="b">
        <x:f>AND(P418&lt;&gt;"",ABS(L418)&lt;='Assumptions'!$B$10)</x:f>
        <x:v>1</x:v>
      </x:c>
      <x:c r="P418" s="53" t="n">
        <x:v>46112</x:v>
      </x:c>
      <x:c r="Q418" s="54" t="n">
        <x:v>23199.425</x:v>
      </x:c>
      <x:c r="R418" s="55" t="n">
        <x:v>0.03631</x:v>
      </x:c>
      <x:c r="S418" s="57" t="str">
        <x:f>IF(I418,"DAMAGE SKIP",IF(AND(M418,N418),IF(O418,"TUESDAY RE-ENTRY","GAP/MOM SKIP"),"BASELINE"))</x:f>
        <x:v>BASELINE</x:v>
      </x:c>
      <x:c r="T418" s="56" t="n">
        <x:f>IF(I418,0,IF(AND(M418,N418),IF(O418,R418,0),G418))</x:f>
        <x:v>0.03062</x:v>
      </x:c>
      <x:c r="U418" s="56" t="n">
        <x:f>G418*'Assumptions'!$B$6</x:f>
        <x:v>0.34600600000000004</x:v>
      </x:c>
      <x:c r="V418" s="56" t="n">
        <x:f>T418*'Assumptions'!$B$6</x:f>
        <x:v>0.34600600000000004</x:v>
      </x:c>
      <x:c r="W418" s="56" t="n">
        <x:f>V418-U418</x:f>
        <x:v>0</x:v>
      </x:c>
      <x:c r="X418" s="58" t="n">
        <x:f>X417*(1+U418)</x:f>
        <x:v>246924587.4692016</x:v>
      </x:c>
      <x:c r="Y418" s="58" t="n">
        <x:f>MAX(Y417,X418)</x:f>
        <x:v>246924587.4692016</x:v>
      </x:c>
      <x:c r="Z418" s="59" t="n">
        <x:f>X418/Y418-1</x:f>
        <x:v>0</x:v>
      </x:c>
      <x:c r="AA418" s="58" t="n">
        <x:f>AA417*(1+V418)</x:f>
        <x:v>2053536246.5428162</x:v>
      </x:c>
      <x:c r="AB418" s="58" t="n">
        <x:f>MAX(AB417,AA418)</x:f>
        <x:v>2053536246.5428162</x:v>
      </x:c>
      <x:c r="AC418" s="59" t="n">
        <x:f>AA418/AB418-1</x:f>
        <x:v>0</x:v>
      </x:c>
      <x:c r="AD418" s="60" t="n">
        <x:f>AA418-X418</x:f>
        <x:v>1806611659.0736146</x:v>
      </x:c>
      <x:c r="AE418" s="28" t="str">
        <x:v>Baseline trade unchanged.</x:v>
      </x:c>
    </x:row>
    <x:row r="419" ht="18" customHeight="1">
      <x:c r="A419" s="23" t="n">
        <x:v>415</x:v>
      </x:c>
      <x:c r="B419" s="53" t="n">
        <x:v>46118</x:v>
      </x:c>
      <x:c r="C419" s="53" t="n">
        <x:v>46122</x:v>
      </x:c>
      <x:c r="D419" s="23" t="str">
        <x:v>TO</x:v>
      </x:c>
      <x:c r="E419" s="54" t="n">
        <x:v>24091.219</x:v>
      </x:c>
      <x:c r="F419" s="54" t="n">
        <x:v>25111.349</x:v>
      </x:c>
      <x:c r="G419" s="55" t="n">
        <x:v>0.04234</x:v>
      </x:c>
      <x:c r="H419" s="56" t="n">
        <x:f>SUM(T416:T418)</x:f>
        <x:v>0.03841</x:v>
      </x:c>
      <x:c r="I419" s="57" t="b">
        <x:f>AND(A419&gt;3,H419&lt;='Assumptions'!$B$7)</x:f>
        <x:v>0</x:v>
      </x:c>
      <x:c r="J419" s="55" t="n">
        <x:v>0.0020506684221561766</x:v>
      </x:c>
      <x:c r="K419" s="55" t="n">
        <x:v>-0.03933128602630831</x:v>
      </x:c>
      <x:c r="L419" s="55" t="n">
        <x:v>0.001128243700639242</x:v>
      </x:c>
      <x:c r="M419" s="57" t="b">
        <x:f>J419&gt;='Assumptions'!$B$8</x:f>
        <x:v>0</x:v>
      </x:c>
      <x:c r="N419" s="57" t="b">
        <x:f>AND(K419&lt;&gt;"",K419&lt;='Assumptions'!$B$9)</x:f>
        <x:v>1</x:v>
      </x:c>
      <x:c r="O419" s="57" t="b">
        <x:f>AND(P419&lt;&gt;"",ABS(L419)&lt;='Assumptions'!$B$10)</x:f>
        <x:v>1</x:v>
      </x:c>
      <x:c r="P419" s="53" t="n">
        <x:v>46119</x:v>
      </x:c>
      <x:c r="Q419" s="54" t="n">
        <x:v>24073.511</x:v>
      </x:c>
      <x:c r="R419" s="55" t="n">
        <x:v>0.04311</x:v>
      </x:c>
      <x:c r="S419" s="57" t="str">
        <x:f>IF(I419,"DAMAGE SKIP",IF(AND(M419,N419),IF(O419,"TUESDAY RE-ENTRY","GAP/MOM SKIP"),"BASELINE"))</x:f>
        <x:v>BASELINE</x:v>
      </x:c>
      <x:c r="T419" s="56" t="n">
        <x:f>IF(I419,0,IF(AND(M419,N419),IF(O419,R419,0),G419))</x:f>
        <x:v>0.04234</x:v>
      </x:c>
      <x:c r="U419" s="56" t="n">
        <x:f>G419*'Assumptions'!$B$6</x:f>
        <x:v>0.47844200000000003</x:v>
      </x:c>
      <x:c r="V419" s="56" t="n">
        <x:f>T419*'Assumptions'!$B$6</x:f>
        <x:v>0.47844200000000003</x:v>
      </x:c>
      <x:c r="W419" s="56" t="n">
        <x:f>V419-U419</x:f>
        <x:v>0</x:v>
      </x:c>
      <x:c r="X419" s="58" t="n">
        <x:f>X418*(1+U419)</x:f>
        <x:v>365063680.94714135</x:v>
      </x:c>
      <x:c r="Y419" s="58" t="n">
        <x:f>MAX(Y418,X419)</x:f>
        <x:v>365063680.94714135</x:v>
      </x:c>
      <x:c r="Z419" s="59" t="n">
        <x:f>X419/Y419-1</x:f>
        <x:v>0</x:v>
      </x:c>
      <x:c r="AA419" s="58" t="n">
        <x:f>AA418*(1+V419)</x:f>
        <x:v>3036034235.4112544</x:v>
      </x:c>
      <x:c r="AB419" s="58" t="n">
        <x:f>MAX(AB418,AA419)</x:f>
        <x:v>3036034235.4112544</x:v>
      </x:c>
      <x:c r="AC419" s="59" t="n">
        <x:f>AA419/AB419-1</x:f>
        <x:v>0</x:v>
      </x:c>
      <x:c r="AD419" s="60" t="n">
        <x:f>AA419-X419</x:f>
        <x:v>2670970554.464113</x:v>
      </x:c>
      <x:c r="AE419" s="28" t="str">
        <x:v>Baseline trade unchanged.</x:v>
      </x:c>
    </x:row>
    <x:row r="420" ht="18" customHeight="1">
      <x:c r="A420" s="23" t="n">
        <x:v>416</x:v>
      </x:c>
      <x:c r="B420" s="53" t="n">
        <x:v>46125</x:v>
      </x:c>
      <x:c r="C420" s="53" t="n">
        <x:v>46125</x:v>
      </x:c>
      <x:c r="D420" s="23" t="str">
        <x:v>CH</x:v>
      </x:c>
      <x:c r="E420" s="54" t="n">
        <x:v>25052.153</x:v>
      </x:c>
      <x:c r="F420" s="54" t="n">
        <x:v>25375.347</x:v>
      </x:c>
      <x:c r="G420" s="55" t="n">
        <x:v>0.0129</x:v>
      </x:c>
      <x:c r="H420" s="56" t="n">
        <x:f>SUM(T417:T419)</x:f>
        <x:v>0.08075</x:v>
      </x:c>
      <x:c r="I420" s="57" t="b">
        <x:f>AND(A420&gt;3,H420&lt;='Assumptions'!$B$7)</x:f>
        <x:v>0</x:v>
      </x:c>
      <x:c r="J420" s="55" t="n">
        <x:v>-0.0023573404997079273</x:v>
      </x:c>
      <x:c r="K420" s="55" t="n">
        <x:v>0.023122258312962662</x:v>
      </x:c>
      <x:c r="L420" s="55" t="n">
        <x:v>0.014973734596690935</x:v>
      </x:c>
      <x:c r="M420" s="57" t="b">
        <x:f>J420&gt;='Assumptions'!$B$8</x:f>
        <x:v>0</x:v>
      </x:c>
      <x:c r="N420" s="57" t="b">
        <x:f>AND(K420&lt;&gt;"",K420&lt;='Assumptions'!$B$9)</x:f>
        <x:v>0</x:v>
      </x:c>
      <x:c r="O420" s="57" t="b">
        <x:f>AND(P420&lt;&gt;"",ABS(L420)&lt;='Assumptions'!$B$10)</x:f>
        <x:v>0</x:v>
      </x:c>
      <x:c r="P420" s="53" t="n">
        <x:v>46126</x:v>
      </x:c>
      <x:c r="Q420" s="54" t="n">
        <x:v>25495.077</x:v>
      </x:c>
      <x:c r="R420" s="55" t="n">
        <x:v>-0.00469</x:v>
      </x:c>
      <x:c r="S420" s="57" t="str">
        <x:f>IF(I420,"DAMAGE SKIP",IF(AND(M420,N420),IF(O420,"TUESDAY RE-ENTRY","GAP/MOM SKIP"),"BASELINE"))</x:f>
        <x:v>BASELINE</x:v>
      </x:c>
      <x:c r="T420" s="56" t="n">
        <x:f>IF(I420,0,IF(AND(M420,N420),IF(O420,R420,0),G420))</x:f>
        <x:v>0.0129</x:v>
      </x:c>
      <x:c r="U420" s="56" t="n">
        <x:f>G420*'Assumptions'!$B$6</x:f>
        <x:v>0.14577</x:v>
      </x:c>
      <x:c r="V420" s="56" t="n">
        <x:f>T420*'Assumptions'!$B$6</x:f>
        <x:v>0.14577</x:v>
      </x:c>
      <x:c r="W420" s="56" t="n">
        <x:f>V420-U420</x:f>
        <x:v>0</x:v>
      </x:c>
      <x:c r="X420" s="58" t="n">
        <x:f>X419*(1+U420)</x:f>
        <x:v>418279013.71880615</x:v>
      </x:c>
      <x:c r="Y420" s="58" t="n">
        <x:f>MAX(Y419,X420)</x:f>
        <x:v>418279013.71880615</x:v>
      </x:c>
      <x:c r="Z420" s="59" t="n">
        <x:f>X420/Y420-1</x:f>
        <x:v>0</x:v>
      </x:c>
      <x:c r="AA420" s="58" t="n">
        <x:f>AA419*(1+V420)</x:f>
        <x:v>3478596945.9071527</x:v>
      </x:c>
      <x:c r="AB420" s="58" t="n">
        <x:f>MAX(AB419,AA420)</x:f>
        <x:v>3478596945.9071527</x:v>
      </x:c>
      <x:c r="AC420" s="59" t="n">
        <x:f>AA420/AB420-1</x:f>
        <x:v>0</x:v>
      </x:c>
      <x:c r="AD420" s="60" t="n">
        <x:f>AA420-X420</x:f>
        <x:v>3060317932.1883464</x:v>
      </x:c>
      <x:c r="AE420" s="28" t="str">
        <x:v>Baseline trade unchanged.</x:v>
      </x:c>
    </x:row>
    <x:row r="421" ht="18" customHeight="1">
      <x:c r="A421" s="23" t="n">
        <x:v>417</x:v>
      </x:c>
      <x:c r="B421" s="53" t="n">
        <x:v>46132</x:v>
      </x:c>
      <x:c r="C421" s="53" t="n">
        <x:v>46134</x:v>
      </x:c>
      <x:c r="D421" s="23" t="str">
        <x:v>BEPRE</x:v>
      </x:c>
      <x:c r="E421" s="54" t="n">
        <x:v>26638.72</x:v>
      </x:c>
      <x:c r="F421" s="54" t="n">
        <x:v>26584.929</x:v>
      </x:c>
      <x:c r="G421" s="55" t="n">
        <x:v>-0.00201</x:v>
      </x:c>
      <x:c r="H421" s="56" t="n">
        <x:f>SUM(T418:T420)</x:f>
        <x:v>0.08585999999999999</x:v>
      </x:c>
      <x:c r="I421" s="57" t="b">
        <x:f>AND(A421&gt;3,H421&lt;='Assumptions'!$B$7)</x:f>
        <x:v>0</x:v>
      </x:c>
      <x:c r="J421" s="55" t="n">
        <x:v>-0.0011976081132747396</x:v>
      </x:c>
      <x:c r="K421" s="55" t="n">
        <x:v>0.0941452227580859</x:v>
      </x:c>
      <x:c r="L421" s="55" t="n">
        <x:v>-0.0006781228327040756</x:v>
      </x:c>
      <x:c r="M421" s="57" t="b">
        <x:f>J421&gt;='Assumptions'!$B$8</x:f>
        <x:v>0</x:v>
      </x:c>
      <x:c r="N421" s="57" t="b">
        <x:f>AND(K421&lt;&gt;"",K421&lt;='Assumptions'!$B$9)</x:f>
        <x:v>0</x:v>
      </x:c>
      <x:c r="O421" s="57" t="b">
        <x:f>AND(P421&lt;&gt;"",ABS(L421)&lt;='Assumptions'!$B$10)</x:f>
        <x:v>1</x:v>
      </x:c>
      <x:c r="P421" s="53" t="n">
        <x:v>46133</x:v>
      </x:c>
      <x:c r="Q421" s="54" t="n">
        <x:v>26653.761</x:v>
      </x:c>
      <x:c r="R421" s="55" t="n">
        <x:v>-0.00258</x:v>
      </x:c>
      <x:c r="S421" s="57" t="str">
        <x:f>IF(I421,"DAMAGE SKIP",IF(AND(M421,N421),IF(O421,"TUESDAY RE-ENTRY","GAP/MOM SKIP"),"BASELINE"))</x:f>
        <x:v>BASELINE</x:v>
      </x:c>
      <x:c r="T421" s="56" t="n">
        <x:f>IF(I421,0,IF(AND(M421,N421),IF(O421,R421,0),G421))</x:f>
        <x:v>-0.00201</x:v>
      </x:c>
      <x:c r="U421" s="56" t="n">
        <x:f>G421*'Assumptions'!$B$6</x:f>
        <x:v>-0.022713</x:v>
      </x:c>
      <x:c r="V421" s="56" t="n">
        <x:f>T421*'Assumptions'!$B$6</x:f>
        <x:v>-0.022713</x:v>
      </x:c>
      <x:c r="W421" s="56" t="n">
        <x:f>V421-U421</x:f>
        <x:v>0</x:v>
      </x:c>
      <x:c r="X421" s="58" t="n">
        <x:f>X420*(1+U421)</x:f>
        <x:v>408778642.4802109</x:v>
      </x:c>
      <x:c r="Y421" s="58" t="n">
        <x:f>MAX(Y420,X421)</x:f>
        <x:v>418279013.71880615</x:v>
      </x:c>
      <x:c r="Z421" s="59" t="n">
        <x:f>X421/Y421-1</x:f>
        <x:v>-0.022712999999999983</x:v>
      </x:c>
      <x:c r="AA421" s="58" t="n">
        <x:f>AA420*(1+V421)</x:f>
        <x:v>3399587573.4747634</x:v>
      </x:c>
      <x:c r="AB421" s="58" t="n">
        <x:f>MAX(AB420,AA421)</x:f>
        <x:v>3478596945.9071527</x:v>
      </x:c>
      <x:c r="AC421" s="59" t="n">
        <x:f>AA421/AB421-1</x:f>
        <x:v>-0.022712999999999983</x:v>
      </x:c>
      <x:c r="AD421" s="60" t="n">
        <x:f>AA421-X421</x:f>
        <x:v>2990808930.9945526</x:v>
      </x:c>
      <x:c r="AE421" s="28" t="str">
        <x:v>Baseline trade unchanged.</x:v>
      </x:c>
    </x:row>
    <x:row r="422" ht="18" customHeight="1">
      <x:c r="A422" s="23" t="n">
        <x:v>418</x:v>
      </x:c>
      <x:c r="B422" s="53" t="n">
        <x:v>46139</x:v>
      </x:c>
      <x:c r="C422" s="53" t="n">
        <x:v>46141</x:v>
      </x:c>
      <x:c r="D422" s="23" t="str">
        <x:v>BEPRE</x:v>
      </x:c>
      <x:c r="E422" s="54" t="n">
        <x:v>27273.849</x:v>
      </x:c>
      <x:c r="F422" s="54" t="n">
        <x:v>27166.955</x:v>
      </x:c>
      <x:c r="G422" s="55" t="n">
        <x:v>-0.00391</x:v>
      </x:c>
      <x:c r="H422" s="56" t="n">
        <x:f>SUM(T419:T421)</x:f>
        <x:v>0.053230000000000006</x:v>
      </x:c>
      <x:c r="I422" s="57" t="b">
        <x:f>AND(A422&gt;3,H422&lt;='Assumptions'!$B$7)</x:f>
        <x:v>0</x:v>
      </x:c>
      <x:c r="J422" s="55" t="n">
        <x:v>-0.0007720117599900878</x:v>
      </x:c>
      <x:c r="K422" s="55" t="n">
        <x:v>0.15700866170550198</x:v>
      </x:c>
      <x:c r="L422" s="55" t="n">
        <x:v>-0.009745737181418357</x:v>
      </x:c>
      <x:c r="M422" s="57" t="b">
        <x:f>J422&gt;='Assumptions'!$B$8</x:f>
        <x:v>0</x:v>
      </x:c>
      <x:c r="N422" s="57" t="b">
        <x:f>AND(K422&lt;&gt;"",K422&lt;='Assumptions'!$B$9)</x:f>
        <x:v>0</x:v>
      </x:c>
      <x:c r="O422" s="57" t="b">
        <x:f>AND(P422&lt;&gt;"",ABS(L422)&lt;='Assumptions'!$B$10)</x:f>
        <x:v>0</x:v>
      </x:c>
      <x:c r="P422" s="53" t="n">
        <x:v>46140</x:v>
      </x:c>
      <x:c r="Q422" s="54" t="n">
        <x:v>27005.149</x:v>
      </x:c>
      <x:c r="R422" s="55" t="n">
        <x:v>0.00599</x:v>
      </x:c>
      <x:c r="S422" s="57" t="str">
        <x:f>IF(I422,"DAMAGE SKIP",IF(AND(M422,N422),IF(O422,"TUESDAY RE-ENTRY","GAP/MOM SKIP"),"BASELINE"))</x:f>
        <x:v>BASELINE</x:v>
      </x:c>
      <x:c r="T422" s="56" t="n">
        <x:f>IF(I422,0,IF(AND(M422,N422),IF(O422,R422,0),G422))</x:f>
        <x:v>-0.00391</x:v>
      </x:c>
      <x:c r="U422" s="56" t="n">
        <x:f>G422*'Assumptions'!$B$6</x:f>
        <x:v>-0.04418300000000001</x:v>
      </x:c>
      <x:c r="V422" s="56" t="n">
        <x:f>T422*'Assumptions'!$B$6</x:f>
        <x:v>-0.04418300000000001</x:v>
      </x:c>
      <x:c r="W422" s="56" t="n">
        <x:f>V422-U422</x:f>
        <x:v>0</x:v>
      </x:c>
      <x:c r="X422" s="58" t="n">
        <x:f>X421*(1+U422)</x:f>
        <x:v>390717575.71950775</x:v>
      </x:c>
      <x:c r="Y422" s="58" t="n">
        <x:f>MAX(Y421,X422)</x:f>
        <x:v>418279013.71880615</x:v>
      </x:c>
      <x:c r="Z422" s="59" t="n">
        <x:f>X422/Y422-1</x:f>
        <x:v>-0.06589247152099997</x:v>
      </x:c>
      <x:c r="AA422" s="58" t="n">
        <x:f>AA421*(1+V422)</x:f>
        <x:v>3249383595.715928</x:v>
      </x:c>
      <x:c r="AB422" s="58" t="n">
        <x:f>MAX(AB421,AA422)</x:f>
        <x:v>3478596945.9071527</x:v>
      </x:c>
      <x:c r="AC422" s="59" t="n">
        <x:f>AA422/AB422-1</x:f>
        <x:v>-0.06589247152099997</x:v>
      </x:c>
      <x:c r="AD422" s="60" t="n">
        <x:f>AA422-X422</x:f>
        <x:v>2858666019.9964204</x:v>
      </x:c>
      <x:c r="AE422" s="28" t="str">
        <x:v>Baseline trade unchanged.</x:v>
      </x:c>
    </x:row>
    <x:row r="423" ht="18" customHeight="1">
      <x:c r="A423" s="23" t="n">
        <x:v>419</x:v>
      </x:c>
      <x:c r="B423" s="53" t="n">
        <x:v>46146</x:v>
      </x:c>
      <x:c r="C423" s="53" t="n">
        <x:v>46150</x:v>
      </x:c>
      <x:c r="D423" s="23" t="str">
        <x:v>CH</x:v>
      </x:c>
      <x:c r="E423" s="54" t="n">
        <x:v>27734.561</x:v>
      </x:c>
      <x:c r="F423" s="54" t="n">
        <x:v>29221.62</x:v>
      </x:c>
      <x:c r="G423" s="55" t="n">
        <x:v>0.05361</x:v>
      </x:c>
      <x:c r="H423" s="56" t="n">
        <x:f>SUM(T420:T422)</x:f>
        <x:v>0.00698</x:v>
      </x:c>
      <x:c r="I423" s="57" t="b">
        <x:f>AND(A423&gt;3,H423&lt;='Assumptions'!$B$7)</x:f>
        <x:v>0</x:v>
      </x:c>
      <x:c r="J423" s="55" t="n">
        <x:v>0.0010126503148863986</x:v>
      </x:c>
      <x:c r="K423" s="55" t="n">
        <x:v>0.1524325617969844</x:v>
      </x:c>
      <x:c r="L423" s="55" t="n">
        <x:v>0.005651561225246793</x:v>
      </x:c>
      <x:c r="M423" s="57" t="b">
        <x:f>J423&gt;='Assumptions'!$B$8</x:f>
        <x:v>0</x:v>
      </x:c>
      <x:c r="N423" s="57" t="b">
        <x:f>AND(K423&lt;&gt;"",K423&lt;='Assumptions'!$B$9)</x:f>
        <x:v>0</x:v>
      </x:c>
      <x:c r="O423" s="57" t="b">
        <x:f>AND(P423&lt;&gt;"",ABS(L423)&lt;='Assumptions'!$B$10)</x:f>
        <x:v>0</x:v>
      </x:c>
      <x:c r="P423" s="53" t="n">
        <x:v>46147</x:v>
      </x:c>
      <x:c r="Q423" s="54" t="n">
        <x:v>27871.533</x:v>
      </x:c>
      <x:c r="R423" s="55" t="n">
        <x:v>0.04843</x:v>
      </x:c>
      <x:c r="S423" s="57" t="str">
        <x:f>IF(I423,"DAMAGE SKIP",IF(AND(M423,N423),IF(O423,"TUESDAY RE-ENTRY","GAP/MOM SKIP"),"BASELINE"))</x:f>
        <x:v>BASELINE</x:v>
      </x:c>
      <x:c r="T423" s="56" t="n">
        <x:f>IF(I423,0,IF(AND(M423,N423),IF(O423,R423,0),G423))</x:f>
        <x:v>0.05361</x:v>
      </x:c>
      <x:c r="U423" s="56" t="n">
        <x:f>G423*'Assumptions'!$B$6</x:f>
        <x:v>0.605793</x:v>
      </x:c>
      <x:c r="V423" s="56" t="n">
        <x:f>T423*'Assumptions'!$B$6</x:f>
        <x:v>0.605793</x:v>
      </x:c>
      <x:c r="W423" s="56" t="n">
        <x:f>V423-U423</x:f>
        <x:v>0</x:v>
      </x:c>
      <x:c r="X423" s="58" t="n">
        <x:f>X422*(1+U423)</x:f>
        <x:v>627411548.0673555</x:v>
      </x:c>
      <x:c r="Y423" s="58" t="n">
        <x:f>MAX(Y422,X423)</x:f>
        <x:v>627411548.0673555</x:v>
      </x:c>
      <x:c r="Z423" s="59" t="n">
        <x:f>X423/Y423-1</x:f>
        <x:v>0</x:v>
      </x:c>
      <x:c r="AA423" s="58" t="n">
        <x:f>AA422*(1+V423)</x:f>
        <x:v>5217837432.315468</x:v>
      </x:c>
      <x:c r="AB423" s="58" t="n">
        <x:f>MAX(AB422,AA423)</x:f>
        <x:v>5217837432.315468</x:v>
      </x:c>
      <x:c r="AC423" s="59" t="n">
        <x:f>AA423/AB423-1</x:f>
        <x:v>0</x:v>
      </x:c>
      <x:c r="AD423" s="60" t="n">
        <x:f>AA423-X423</x:f>
        <x:v>4590425884.248113</x:v>
      </x:c>
      <x:c r="AE423" s="28" t="str">
        <x:v>Baseline trade unchanged.</x:v>
      </x:c>
    </x:row>
    <x:row r="424" ht="18" customHeight="1">
      <x:c r="A424" s="23" t="n">
        <x:v>420</x:v>
      </x:c>
      <x:c r="B424" s="53" t="n">
        <x:v>46153</x:v>
      </x:c>
      <x:c r="C424" s="53" t="n">
        <x:v>46155</x:v>
      </x:c>
      <x:c r="D424" s="23" t="str">
        <x:v>BEPRE</x:v>
      </x:c>
      <x:c r="E424" s="54" t="n">
        <x:v>29195.86</x:v>
      </x:c>
      <x:c r="F424" s="54" t="n">
        <x:v>29079.589</x:v>
      </x:c>
      <x:c r="G424" s="55" t="n">
        <x:v>-0.00398</x:v>
      </x:c>
      <x:c r="H424" s="56" t="n">
        <x:f>SUM(T421:T423)</x:f>
        <x:v>0.047689999999999996</x:v>
      </x:c>
      <x:c r="I424" s="57" t="b">
        <x:f>AND(A424&gt;3,H424&lt;='Assumptions'!$B$7)</x:f>
        <x:v>0</x:v>
      </x:c>
      <x:c r="J424" s="55" t="n">
        <x:v>-0.0008815390796266254</x:v>
      </x:c>
      <x:c r="K424" s="55" t="n">
        <x:v>0.16390920843765855</x:v>
      </x:c>
      <x:c r="L424" s="55" t="n">
        <x:v>-0.004232104944954518</x:v>
      </x:c>
      <x:c r="M424" s="57" t="b">
        <x:f>J424&gt;='Assumptions'!$B$8</x:f>
        <x:v>0</x:v>
      </x:c>
      <x:c r="N424" s="57" t="b">
        <x:f>AND(K424&lt;&gt;"",K424&lt;='Assumptions'!$B$9)</x:f>
        <x:v>0</x:v>
      </x:c>
      <x:c r="O424" s="57" t="b">
        <x:f>AND(P424&lt;&gt;"",ABS(L424)&lt;='Assumptions'!$B$10)</x:f>
        <x:v>1</x:v>
      </x:c>
      <x:c r="P424" s="53" t="n">
        <x:v>46154</x:v>
      </x:c>
      <x:c r="Q424" s="54" t="n">
        <x:v>29104.279</x:v>
      </x:c>
      <x:c r="R424" s="55" t="n">
        <x:v>-0.00084</x:v>
      </x:c>
      <x:c r="S424" s="57" t="str">
        <x:f>IF(I424,"DAMAGE SKIP",IF(AND(M424,N424),IF(O424,"TUESDAY RE-ENTRY","GAP/MOM SKIP"),"BASELINE"))</x:f>
        <x:v>BASELINE</x:v>
      </x:c>
      <x:c r="T424" s="56" t="n">
        <x:f>IF(I424,0,IF(AND(M424,N424),IF(O424,R424,0),G424))</x:f>
        <x:v>-0.00398</x:v>
      </x:c>
      <x:c r="U424" s="56" t="n">
        <x:f>G424*'Assumptions'!$B$6</x:f>
        <x:v>-0.044974</x:v>
      </x:c>
      <x:c r="V424" s="56" t="n">
        <x:f>T424*'Assumptions'!$B$6</x:f>
        <x:v>-0.044974</x:v>
      </x:c>
      <x:c r="W424" s="56" t="n">
        <x:f>V424-U424</x:f>
        <x:v>0</x:v>
      </x:c>
      <x:c r="X424" s="58" t="n">
        <x:f>X423*(1+U424)</x:f>
        <x:v>599194341.1045743</x:v>
      </x:c>
      <x:c r="Y424" s="58" t="n">
        <x:f>MAX(Y423,X424)</x:f>
        <x:v>627411548.0673555</x:v>
      </x:c>
      <x:c r="Z424" s="59" t="n">
        <x:f>X424/Y424-1</x:f>
        <x:v>-0.04497399999999996</x:v>
      </x:c>
      <x:c r="AA424" s="58" t="n">
        <x:f>AA423*(1+V424)</x:f>
        <x:v>4983170411.634512</x:v>
      </x:c>
      <x:c r="AB424" s="58" t="n">
        <x:f>MAX(AB423,AA424)</x:f>
        <x:v>5217837432.315468</x:v>
      </x:c>
      <x:c r="AC424" s="59" t="n">
        <x:f>AA424/AB424-1</x:f>
        <x:v>-0.04497399999999996</x:v>
      </x:c>
      <x:c r="AD424" s="60" t="n">
        <x:f>AA424-X424</x:f>
        <x:v>4383976070.529938</x:v>
      </x:c>
      <x:c r="AE424" s="28" t="str">
        <x:v>Baseline trade unchanged.</x:v>
      </x:c>
    </x:row>
    <x:row r="425" ht="18" customHeight="1">
      <x:c r="A425" s="23" t="n">
        <x:v>421</x:v>
      </x:c>
      <x:c r="B425" s="53" t="n">
        <x:v>46160</x:v>
      </x:c>
      <x:c r="C425" s="53" t="n">
        <x:v>46162</x:v>
      </x:c>
      <x:c r="D425" s="23" t="str">
        <x:v>BH</x:v>
      </x:c>
      <x:c r="E425" s="54" t="n">
        <x:v>29243.511</x:v>
      </x:c>
      <x:c r="F425" s="54" t="n">
        <x:v>29126.536956</x:v>
      </x:c>
      <x:c r="G425" s="55" t="n">
        <x:v>-0.004</x:v>
      </x:c>
      <x:c r="H425" s="56" t="n">
        <x:f>SUM(T422:T424)</x:f>
        <x:v>0.04572</x:v>
      </x:c>
      <x:c r="I425" s="57" t="b">
        <x:f>AND(A425&gt;3,H425&lt;='Assumptions'!$B$7)</x:f>
        <x:v>0</x:v>
      </x:c>
      <x:c r="J425" s="55" t="n">
        <x:v>0.005698745338540645</x:v>
      </x:c>
      <x:c r="K425" s="55" t="n">
        <x:v>0.09259459042922091</x:v>
      </x:c>
      <x:c r="L425" s="55" t="n">
        <x:v>-0.012864457703863574</x:v>
      </x:c>
      <x:c r="M425" s="57" t="b">
        <x:f>J425&gt;='Assumptions'!$B$8</x:f>
        <x:v>0</x:v>
      </x:c>
      <x:c r="N425" s="57" t="b">
        <x:f>AND(K425&lt;&gt;"",K425&lt;='Assumptions'!$B$9)</x:f>
        <x:v>0</x:v>
      </x:c>
      <x:c r="O425" s="57" t="b">
        <x:f>AND(P425&lt;&gt;"",ABS(L425)&lt;='Assumptions'!$B$10)</x:f>
        <x:v>0</x:v>
      </x:c>
      <x:c r="P425" s="53" t="n">
        <x:v>46161</x:v>
      </x:c>
      <x:c r="Q425" s="54" t="n">
        <x:v>28753.055</x:v>
      </x:c>
      <x:c r="R425" s="55" t="n">
        <x:v>0.01298</x:v>
      </x:c>
      <x:c r="S425" s="57" t="str">
        <x:f>IF(I425,"DAMAGE SKIP",IF(AND(M425,N425),IF(O425,"TUESDAY RE-ENTRY","GAP/MOM SKIP"),"BASELINE"))</x:f>
        <x:v>BASELINE</x:v>
      </x:c>
      <x:c r="T425" s="56" t="n">
        <x:f>IF(I425,0,IF(AND(M425,N425),IF(O425,R425,0),G425))</x:f>
        <x:v>-0.004</x:v>
      </x:c>
      <x:c r="U425" s="56" t="n">
        <x:f>G425*'Assumptions'!$B$6</x:f>
        <x:v>-0.045200000000000004</x:v>
      </x:c>
      <x:c r="V425" s="56" t="n">
        <x:f>T425*'Assumptions'!$B$6</x:f>
        <x:v>-0.045200000000000004</x:v>
      </x:c>
      <x:c r="W425" s="56" t="n">
        <x:f>V425-U425</x:f>
        <x:v>0</x:v>
      </x:c>
      <x:c r="X425" s="58" t="n">
        <x:f>X424*(1+U425)</x:f>
        <x:v>572110756.8866476</x:v>
      </x:c>
      <x:c r="Y425" s="58" t="n">
        <x:f>MAX(Y424,X425)</x:f>
        <x:v>627411548.0673555</x:v>
      </x:c>
      <x:c r="Z425" s="59" t="n">
        <x:f>X425/Y425-1</x:f>
        <x:v>-0.08814117519999987</x:v>
      </x:c>
      <x:c r="AA425" s="58" t="n">
        <x:f>AA424*(1+V425)</x:f>
        <x:v>4757931109.028632</x:v>
      </x:c>
      <x:c r="AB425" s="58" t="n">
        <x:f>MAX(AB424,AA425)</x:f>
        <x:v>5217837432.315468</x:v>
      </x:c>
      <x:c r="AC425" s="59" t="n">
        <x:f>AA425/AB425-1</x:f>
        <x:v>-0.08814117519999998</x:v>
      </x:c>
      <x:c r="AD425" s="60" t="n">
        <x:f>AA425-X425</x:f>
        <x:v>4185820352.1419845</x:v>
      </x:c>
      <x:c r="AE425" s="28" t="str">
        <x:v>Baseline trade unchanged.</x:v>
      </x:c>
    </x:row>
    <x:row r="426" ht="18" customHeight="1">
      <x:c r="A426" s="23" t="n">
        <x:v>422</x:v>
      </x:c>
      <x:c r="B426" s="53" t="n">
        <x:v>46168</x:v>
      </x:c>
      <x:c r="C426" s="53" t="n">
        <x:v>46170</x:v>
      </x:c>
      <x:c r="D426" s="23" t="str">
        <x:v>TSL1PRE</x:v>
      </x:c>
      <x:c r="E426" s="54" t="n">
        <x:v>29830.003</x:v>
      </x:c>
      <x:c r="F426" s="54" t="n">
        <x:v>29709.566</x:v>
      </x:c>
      <x:c r="G426" s="55" t="n">
        <x:v>-0.00403</x:v>
      </x:c>
      <x:c r="H426" s="56" t="n">
        <x:f>SUM(T423:T425)</x:f>
        <x:v>0.045630000000000004</x:v>
      </x:c>
      <x:c r="I426" s="57" t="b">
        <x:f>AND(A426&gt;3,H426&lt;='Assumptions'!$B$7)</x:f>
        <x:v>0</x:v>
      </x:c>
      <x:c r="J426" s="55" t="n">
        <x:v>0.011889754300098643</x:v>
      </x:c>
      <x:c r="K426" s="55" t="n">
        <x:v>0.08082786045670898</x:v>
      </x:c>
      <x:c r="L426" s="55"/>
      <x:c r="M426" s="57" t="b">
        <x:f>J426&gt;='Assumptions'!$B$8</x:f>
        <x:v>1</x:v>
      </x:c>
      <x:c r="N426" s="57" t="b">
        <x:f>AND(K426&lt;&gt;"",K426&lt;='Assumptions'!$B$9)</x:f>
        <x:v>0</x:v>
      </x:c>
      <x:c r="O426" s="57" t="b">
        <x:f>AND(P426&lt;&gt;"",ABS(L426)&lt;='Assumptions'!$B$10)</x:f>
        <x:v>0</x:v>
      </x:c>
      <x:c r="P426" s="53"/>
      <x:c r="Q426" s="54"/>
      <x:c r="R426" s="55"/>
      <x:c r="S426" s="57" t="str">
        <x:f>IF(I426,"DAMAGE SKIP",IF(AND(M426,N426),IF(O426,"TUESDAY RE-ENTRY","GAP/MOM SKIP"),"BASELINE"))</x:f>
        <x:v>BASELINE</x:v>
      </x:c>
      <x:c r="T426" s="56" t="n">
        <x:f>IF(I426,0,IF(AND(M426,N426),IF(O426,R426,0),G426))</x:f>
        <x:v>-0.00403</x:v>
      </x:c>
      <x:c r="U426" s="56" t="n">
        <x:f>G426*'Assumptions'!$B$6</x:f>
        <x:v>-0.045539</x:v>
      </x:c>
      <x:c r="V426" s="56" t="n">
        <x:f>T426*'Assumptions'!$B$6</x:f>
        <x:v>-0.045539</x:v>
      </x:c>
      <x:c r="W426" s="56" t="n">
        <x:f>V426-U426</x:f>
        <x:v>0</x:v>
      </x:c>
      <x:c r="X426" s="58" t="n">
        <x:f>X425*(1+U426)</x:f>
        <x:v>546057405.1287866</x:v>
      </x:c>
      <x:c r="Y426" s="58" t="n">
        <x:f>MAX(Y425,X426)</x:f>
        <x:v>627411548.0673555</x:v>
      </x:c>
      <x:c r="Z426" s="59" t="n">
        <x:f>X426/Y426-1</x:f>
        <x:v>-0.12966631422256703</x:v>
      </x:c>
      <x:c r="AA426" s="58" t="n">
        <x:f>AA425*(1+V426)</x:f>
        <x:v>4541259684.254578</x:v>
      </x:c>
      <x:c r="AB426" s="58" t="n">
        <x:f>MAX(AB425,AA426)</x:f>
        <x:v>5217837432.315468</x:v>
      </x:c>
      <x:c r="AC426" s="59" t="n">
        <x:f>AA426/AB426-1</x:f>
        <x:v>-0.12966631422256714</x:v>
      </x:c>
      <x:c r="AD426" s="60" t="n">
        <x:f>AA426-X426</x:f>
        <x:v>3995202279.125791</x:v>
      </x:c>
      <x:c r="AE426" s="28" t="str">
        <x:v>Baseline trade unchanged.</x:v>
      </x:c>
    </x:row>
    <x:row r="427" ht="18" customHeight="1">
      <x:c r="A427" s="23" t="n">
        <x:v>423</x:v>
      </x:c>
      <x:c r="B427" s="53" t="n">
        <x:v>46174</x:v>
      </x:c>
      <x:c r="C427" s="53" t="n">
        <x:v>46174</x:v>
      </x:c>
      <x:c r="D427" s="23" t="str">
        <x:v>CH</x:v>
      </x:c>
      <x:c r="E427" s="54" t="n">
        <x:v>30282.494</x:v>
      </x:c>
      <x:c r="F427" s="54" t="n">
        <x:v>30501.947</x:v>
      </x:c>
      <x:c r="G427" s="55" t="n">
        <x:v>0.00724</x:v>
      </x:c>
      <x:c r="H427" s="56" t="n">
        <x:f>SUM(T424:T426)</x:f>
        <x:v>-0.01201</x:v>
      </x:c>
      <x:c r="I427" s="57" t="b">
        <x:f>AND(A427&gt;3,H427&lt;='Assumptions'!$B$7)</x:f>
        <x:v>0</x:v>
      </x:c>
      <x:c r="J427" s="55" t="n">
        <x:v>-0.0017085926064676071</x:v>
      </x:c>
      <x:c r="K427" s="55" t="n">
        <x:v>0.10568484739569284</x:v>
      </x:c>
      <x:c r="L427" s="55" t="n">
        <x:v>0.005539678454849595</x:v>
      </x:c>
      <x:c r="M427" s="57" t="b">
        <x:f>J427&gt;='Assumptions'!$B$8</x:f>
        <x:v>0</x:v>
      </x:c>
      <x:c r="N427" s="57" t="b">
        <x:f>AND(K427&lt;&gt;"",K427&lt;='Assumptions'!$B$9)</x:f>
        <x:v>0</x:v>
      </x:c>
      <x:c r="O427" s="57" t="b">
        <x:f>AND(P427&lt;&gt;"",ABS(L427)&lt;='Assumptions'!$B$10)</x:f>
        <x:v>0</x:v>
      </x:c>
      <x:c r="P427" s="53" t="n">
        <x:v>46175</x:v>
      </x:c>
      <x:c r="Q427" s="54" t="n">
        <x:v>30502.511</x:v>
      </x:c>
      <x:c r="R427" s="55" t="n">
        <x:v>-0.00001</x:v>
      </x:c>
      <x:c r="S427" s="57" t="str">
        <x:f>IF(I427,"DAMAGE SKIP",IF(AND(M427,N427),IF(O427,"TUESDAY RE-ENTRY","GAP/MOM SKIP"),"BASELINE"))</x:f>
        <x:v>BASELINE</x:v>
      </x:c>
      <x:c r="T427" s="56" t="n">
        <x:f>IF(I427,0,IF(AND(M427,N427),IF(O427,R427,0),G427))</x:f>
        <x:v>0.00724</x:v>
      </x:c>
      <x:c r="U427" s="56" t="n">
        <x:f>G427*'Assumptions'!$B$6</x:f>
        <x:v>0.08181200000000001</x:v>
      </x:c>
      <x:c r="V427" s="56" t="n">
        <x:f>T427*'Assumptions'!$B$6</x:f>
        <x:v>0.08181200000000001</x:v>
      </x:c>
      <x:c r="W427" s="56" t="n">
        <x:f>V427-U427</x:f>
        <x:v>0</x:v>
      </x:c>
      <x:c r="X427" s="58" t="n">
        <x:f>X426*(1+U427)</x:f>
        <x:v>590731453.5571828</x:v>
      </x:c>
      <x:c r="Y427" s="58" t="n">
        <x:f>MAX(Y426,X427)</x:f>
        <x:v>627411548.0673555</x:v>
      </x:c>
      <x:c r="Z427" s="59" t="n">
        <x:f>X427/Y427-1</x:f>
        <x:v>-0.058462574721743765</x:v>
      </x:c>
      <x:c r="AA427" s="58" t="n">
        <x:f>AA426*(1+V427)</x:f>
        <x:v>4912789221.542813</x:v>
      </x:c>
      <x:c r="AB427" s="58" t="n">
        <x:f>MAX(AB426,AA427)</x:f>
        <x:v>5217837432.315468</x:v>
      </x:c>
      <x:c r="AC427" s="59" t="n">
        <x:f>AA427/AB427-1</x:f>
        <x:v>-0.058462574721743765</x:v>
      </x:c>
      <x:c r="AD427" s="60" t="n">
        <x:f>AA427-X427</x:f>
        <x:v>4322057767.98563</x:v>
      </x:c>
      <x:c r="AE427" s="28" t="str">
        <x:v>Baseline trade unchanged.</x:v>
      </x:c>
    </x:row>
    <x:row r="428" ht="18" customHeight="1">
      <x:c r="A428" s="23" t="n">
        <x:v>424</x:v>
      </x:c>
      <x:c r="B428" s="53" t="n">
        <x:v>46181</x:v>
      </x:c>
      <x:c r="C428" s="53" t="n">
        <x:v>46184</x:v>
      </x:c>
      <x:c r="D428" s="23" t="str">
        <x:v>TSL1PRE</x:v>
      </x:c>
      <x:c r="E428" s="54" t="n">
        <x:v>29483.816</x:v>
      </x:c>
      <x:c r="F428" s="54" t="n">
        <x:v>28413.658</x:v>
      </x:c>
      <x:c r="G428" s="55" t="n">
        <x:v>-0.03629</x:v>
      </x:c>
      <x:c r="H428" s="56" t="n">
        <x:f>SUM(T425:T427)</x:f>
        <x:v>-0.000789999999999999</x:v>
      </x:c>
      <x:c r="I428" s="57" t="b">
        <x:f>AND(A428&gt;3,H428&lt;='Assumptions'!$B$7)</x:f>
        <x:v>0</x:v>
      </x:c>
      <x:c r="J428" s="55" t="n">
        <x:v>0.017323908686086797</x:v>
      </x:c>
      <x:c r="K428" s="55" t="n">
        <x:v>0.014562408265461624</x:v>
      </x:c>
      <x:c r="L428" s="55" t="n">
        <x:v>0.025416276628939416</x:v>
      </x:c>
      <x:c r="M428" s="57" t="b">
        <x:f>J428&gt;='Assumptions'!$B$8</x:f>
        <x:v>1</x:v>
      </x:c>
      <x:c r="N428" s="57" t="b">
        <x:f>AND(K428&lt;&gt;"",K428&lt;='Assumptions'!$B$9)</x:f>
        <x:v>0</x:v>
      </x:c>
      <x:c r="O428" s="57" t="b">
        <x:f>AND(P428&lt;&gt;"",ABS(L428)&lt;='Assumptions'!$B$10)</x:f>
        <x:v>0</x:v>
      </x:c>
      <x:c r="P428" s="53" t="n">
        <x:v>46182</x:v>
      </x:c>
      <x:c r="Q428" s="54" t="n">
        <x:v>29698.588</x:v>
      </x:c>
      <x:c r="R428" s="55" t="n">
        <x:v>-0.04326</x:v>
      </x:c>
      <x:c r="S428" s="57" t="str">
        <x:f>IF(I428,"DAMAGE SKIP",IF(AND(M428,N428),IF(O428,"TUESDAY RE-ENTRY","GAP/MOM SKIP"),"BASELINE"))</x:f>
        <x:v>BASELINE</x:v>
      </x:c>
      <x:c r="T428" s="56" t="n">
        <x:f>IF(I428,0,IF(AND(M428,N428),IF(O428,R428,0),G428))</x:f>
        <x:v>-0.03629</x:v>
      </x:c>
      <x:c r="U428" s="56" t="n">
        <x:f>G428*'Assumptions'!$B$6</x:f>
        <x:v>-0.4100770000000001</x:v>
      </x:c>
      <x:c r="V428" s="56" t="n">
        <x:f>T428*'Assumptions'!$B$6</x:f>
        <x:v>-0.4100770000000001</x:v>
      </x:c>
      <x:c r="W428" s="56" t="n">
        <x:f>V428-U428</x:f>
        <x:v>0</x:v>
      </x:c>
      <x:c r="X428" s="58" t="n">
        <x:f>X427*(1+U428)</x:f>
        <x:v>348486071.2768139</x:v>
      </x:c>
      <x:c r="Y428" s="58" t="n">
        <x:f>MAX(Y427,X428)</x:f>
        <x:v>627411548.0673555</x:v>
      </x:c>
      <x:c r="Z428" s="59" t="n">
        <x:f>X428/Y428-1</x:f>
        <x:v>-0.4445654174675753</x:v>
      </x:c>
      <x:c r="AA428" s="58" t="n">
        <x:f>AA427*(1+V428)</x:f>
        <x:v>2898167355.940201</x:v>
      </x:c>
      <x:c r="AB428" s="58" t="n">
        <x:f>MAX(AB427,AA428)</x:f>
        <x:v>5217837432.315468</x:v>
      </x:c>
      <x:c r="AC428" s="59" t="n">
        <x:f>AA428/AB428-1</x:f>
        <x:v>-0.4445654174675753</x:v>
      </x:c>
      <x:c r="AD428" s="60" t="n">
        <x:f>AA428-X428</x:f>
        <x:v>2549681284.663387</x:v>
      </x:c>
      <x:c r="AE428" s="28" t="str">
        <x:v>Baseline trade unchanged.</x:v>
      </x:c>
    </x:row>
    <x:row r="429" ht="18" customHeight="1">
      <x:c r="A429" s="23" t="n">
        <x:v>425</x:v>
      </x:c>
      <x:c r="B429" s="53" t="n">
        <x:v>46188</x:v>
      </x:c>
      <x:c r="C429" s="53" t="n">
        <x:v>46188</x:v>
      </x:c>
      <x:c r="D429" s="23" t="str">
        <x:v>CH</x:v>
      </x:c>
      <x:c r="E429" s="54" t="n">
        <x:v>30304.021</x:v>
      </x:c>
      <x:c r="F429" s="54" t="n">
        <x:v>30556.975</x:v>
      </x:c>
      <x:c r="G429" s="55" t="n">
        <x:v>0.00834</x:v>
      </x:c>
      <x:c r="H429" s="56" t="n">
        <x:f>SUM(T426:T428)</x:f>
        <x:v>-0.033080000000000005</x:v>
      </x:c>
      <x:c r="I429" s="57" t="b">
        <x:f>AND(A429&gt;3,H429&lt;='Assumptions'!$B$7)</x:f>
        <x:v>1</x:v>
      </x:c>
      <x:c r="J429" s="55" t="n">
        <x:v>0.022809783163396213</x:v>
      </x:c>
      <x:c r="K429" s="55" t="n">
        <x:v>0.002153405854485424</x:v>
      </x:c>
      <x:c r="L429" s="55" t="n">
        <x:v>0.02898771730390659</x:v>
      </x:c>
      <x:c r="M429" s="57" t="b">
        <x:f>J429&gt;='Assumptions'!$B$8</x:f>
        <x:v>1</x:v>
      </x:c>
      <x:c r="N429" s="57" t="b">
        <x:f>AND(K429&lt;&gt;"",K429&lt;='Assumptions'!$B$9)</x:f>
        <x:v>0</x:v>
      </x:c>
      <x:c r="O429" s="57" t="b">
        <x:f>AND(P429&lt;&gt;"",ABS(L429)&lt;='Assumptions'!$B$10)</x:f>
        <x:v>0</x:v>
      </x:c>
      <x:c r="P429" s="53" t="n">
        <x:v>46189</x:v>
      </x:c>
      <x:c r="Q429" s="54" t="n">
        <x:v>30490.038</x:v>
      </x:c>
      <x:c r="R429" s="55" t="n">
        <x:v>0.00219</x:v>
      </x:c>
      <x:c r="S429" s="57" t="str">
        <x:f>IF(I429,"DAMAGE SKIP",IF(AND(M429,N429),IF(O429,"TUESDAY RE-ENTRY","GAP/MOM SKIP"),"BASELINE"))</x:f>
        <x:v>DAMAGE SKIP</x:v>
      </x:c>
      <x:c r="T429" s="56" t="n">
        <x:f>IF(I429,0,IF(AND(M429,N429),IF(O429,R429,0),G429))</x:f>
        <x:v>0</x:v>
      </x:c>
      <x:c r="U429" s="56" t="n">
        <x:f>G429*'Assumptions'!$B$6</x:f>
        <x:v>0.094242</x:v>
      </x:c>
      <x:c r="V429" s="56" t="n">
        <x:f>T429*'Assumptions'!$B$6</x:f>
        <x:v>0</x:v>
      </x:c>
      <x:c r="W429" s="56" t="n">
        <x:f>V429-U429</x:f>
        <x:v>-0.094242</x:v>
      </x:c>
      <x:c r="X429" s="58" t="n">
        <x:f>X428*(1+U429)</x:f>
        <x:v>381328095.6060834</x:v>
      </x:c>
      <x:c r="Y429" s="58" t="n">
        <x:f>MAX(Y428,X429)</x:f>
        <x:v>627411548.0673555</x:v>
      </x:c>
      <x:c r="Z429" s="59" t="n">
        <x:f>X429/Y429-1</x:f>
        <x:v>-0.39222015154055456</x:v>
      </x:c>
      <x:c r="AA429" s="58" t="n">
        <x:f>AA428*(1+V429)</x:f>
        <x:v>2898167355.940201</x:v>
      </x:c>
      <x:c r="AB429" s="58" t="n">
        <x:f>MAX(AB428,AA429)</x:f>
        <x:v>5217837432.315468</x:v>
      </x:c>
      <x:c r="AC429" s="59" t="n">
        <x:f>AA429/AB429-1</x:f>
        <x:v>-0.4445654174675753</x:v>
      </x:c>
      <x:c r="AD429" s="60" t="n">
        <x:f>AA429-X429</x:f>
        <x:v>2516839260.3341174</x:v>
      </x:c>
      <x:c r="AE429" s="28" t="str">
        <x:v>Skipped because the previous three rule outcomes totalled at or below the damage threshold.</x:v>
      </x:c>
    </x:row>
    <x:row r="430" ht="18" customHeight="1">
      <x:c r="A430" s="23" t="n">
        <x:v>426</x:v>
      </x:c>
      <x:c r="B430" s="53" t="n">
        <x:v>46195</x:v>
      </x:c>
      <x:c r="C430" s="53" t="n">
        <x:v>46198</x:v>
      </x:c>
      <x:c r="D430" s="23" t="str">
        <x:v>TSL1PRE</x:v>
      </x:c>
      <x:c r="E430" s="54" t="n">
        <x:v>30513.62</x:v>
      </x:c>
      <x:c r="F430" s="54" t="n">
        <x:v>29785.014</x:v>
      </x:c>
      <x:c r="G430" s="55" t="n">
        <x:v>-0.02387</x:v>
      </x:c>
      <x:c r="H430" s="56" t="n">
        <x:f>SUM(T427:T429)</x:f>
        <x:v>-0.029050000000000003</x:v>
      </x:c>
      <x:c r="I430" s="57" t="b">
        <x:f>AND(A430&gt;3,H430&lt;='Assumptions'!$B$7)</x:f>
        <x:v>1</x:v>
      </x:c>
      <x:c r="J430" s="55" t="n">
        <x:v>0.004532402351018261</x:v>
      </x:c>
      <x:c r="K430" s="55" t="n">
        <x:v>0.03851924560050479</x:v>
      </x:c>
      <x:c r="L430" s="55" t="n">
        <x:v>-0.03359347573654503</x:v>
      </x:c>
      <x:c r="M430" s="57" t="b">
        <x:f>J430&gt;='Assumptions'!$B$8</x:f>
        <x:v>0</x:v>
      </x:c>
      <x:c r="N430" s="57" t="b">
        <x:f>AND(K430&lt;&gt;"",K430&lt;='Assumptions'!$B$9)</x:f>
        <x:v>0</x:v>
      </x:c>
      <x:c r="O430" s="57" t="b">
        <x:f>AND(P430&lt;&gt;"",ABS(L430)&lt;='Assumptions'!$B$10)</x:f>
        <x:v>0</x:v>
      </x:c>
      <x:c r="P430" s="53" t="n">
        <x:v>46196</x:v>
      </x:c>
      <x:c r="Q430" s="54" t="n">
        <x:v>29407.286</x:v>
      </x:c>
      <x:c r="R430" s="55" t="n">
        <x:v>0.01284</x:v>
      </x:c>
      <x:c r="S430" s="57" t="str">
        <x:f>IF(I430,"DAMAGE SKIP",IF(AND(M430,N430),IF(O430,"TUESDAY RE-ENTRY","GAP/MOM SKIP"),"BASELINE"))</x:f>
        <x:v>DAMAGE SKIP</x:v>
      </x:c>
      <x:c r="T430" s="56" t="n">
        <x:f>IF(I430,0,IF(AND(M430,N430),IF(O430,R430,0),G430))</x:f>
        <x:v>0</x:v>
      </x:c>
      <x:c r="U430" s="56" t="n">
        <x:f>G430*'Assumptions'!$B$6</x:f>
        <x:v>-0.269731</x:v>
      </x:c>
      <x:c r="V430" s="56" t="n">
        <x:f>T430*'Assumptions'!$B$6</x:f>
        <x:v>0</x:v>
      </x:c>
      <x:c r="W430" s="56" t="n">
        <x:f>V430-U430</x:f>
        <x:v>0.269731</x:v>
      </x:c>
      <x:c r="X430" s="58" t="n">
        <x:f>X429*(1+U430)</x:f>
        <x:v>278472087.0501589</x:v>
      </x:c>
      <x:c r="Y430" s="58" t="n">
        <x:f>MAX(Y429,X430)</x:f>
        <x:v>627411548.0673555</x:v>
      </x:c>
      <x:c r="Z430" s="59" t="n">
        <x:f>X430/Y430-1</x:f>
        <x:v>-0.5561572178453693</x:v>
      </x:c>
      <x:c r="AA430" s="58" t="n">
        <x:f>AA429*(1+V430)</x:f>
        <x:v>2898167355.940201</x:v>
      </x:c>
      <x:c r="AB430" s="58" t="n">
        <x:f>MAX(AB429,AA430)</x:f>
        <x:v>5217837432.315468</x:v>
      </x:c>
      <x:c r="AC430" s="59" t="n">
        <x:f>AA430/AB430-1</x:f>
        <x:v>-0.4445654174675753</x:v>
      </x:c>
      <x:c r="AD430" s="60" t="n">
        <x:f>AA430-X430</x:f>
        <x:v>2619695268.890042</x:v>
      </x:c>
      <x:c r="AE430" s="28" t="str">
        <x:v>Skipped because the previous three rule outcomes totalled at or below the damage threshold.</x:v>
      </x:c>
    </x:row>
    <x:row r="431" ht="18" customHeight="1">
      <x:c r="A431" s="23" t="n">
        <x:v>427</x:v>
      </x:c>
      <x:c r="B431" s="53" t="n">
        <x:v>46202</x:v>
      </x:c>
      <x:c r="C431" s="53" t="n">
        <x:v>46202</x:v>
      </x:c>
      <x:c r="D431" s="23" t="str">
        <x:v>CH</x:v>
      </x:c>
      <x:c r="E431" s="54" t="n">
        <x:v>29356.592</x:v>
      </x:c>
      <x:c r="F431" s="54" t="n">
        <x:v>29724.708</x:v>
      </x:c>
      <x:c r="G431" s="55" t="n">
        <x:v>0.01253</x:v>
      </x:c>
      <x:c r="H431" s="56" t="n">
        <x:f>SUM(T428:T430)</x:f>
        <x:v>-0.03629</x:v>
      </x:c>
      <x:c r="I431" s="57" t="b">
        <x:f>AND(A431&gt;3,H431&lt;='Assumptions'!$B$7)</x:f>
        <x:v>1</x:v>
      </x:c>
      <x:c r="J431" s="55" t="n">
        <x:v>0.008763377803337358</x:v>
      </x:c>
      <x:c r="K431" s="55" t="n">
        <x:v>-0.03953235454051118</x:v>
      </x:c>
      <x:c r="L431" s="55" t="n">
        <x:v>0.02499575383570174</x:v>
      </x:c>
      <x:c r="M431" s="57" t="b">
        <x:f>J431&gt;='Assumptions'!$B$8</x:f>
        <x:v>0</x:v>
      </x:c>
      <x:c r="N431" s="57" t="b">
        <x:f>AND(K431&lt;&gt;"",K431&lt;='Assumptions'!$B$9)</x:f>
        <x:v>1</x:v>
      </x:c>
      <x:c r="O431" s="57" t="b">
        <x:f>AND(P431&lt;&gt;"",ABS(L431)&lt;='Assumptions'!$B$10)</x:f>
        <x:v>0</x:v>
      </x:c>
      <x:c r="P431" s="53" t="n">
        <x:v>46203</x:v>
      </x:c>
      <x:c r="Q431" s="54" t="n">
        <x:v>29762.842</x:v>
      </x:c>
      <x:c r="R431" s="55" t="n">
        <x:v>-0.00128</x:v>
      </x:c>
      <x:c r="S431" s="57" t="str">
        <x:f>IF(I431,"DAMAGE SKIP",IF(AND(M431,N431),IF(O431,"TUESDAY RE-ENTRY","GAP/MOM SKIP"),"BASELINE"))</x:f>
        <x:v>DAMAGE SKIP</x:v>
      </x:c>
      <x:c r="T431" s="56" t="n">
        <x:f>IF(I431,0,IF(AND(M431,N431),IF(O431,R431,0),G431))</x:f>
        <x:v>0</x:v>
      </x:c>
      <x:c r="U431" s="56" t="n">
        <x:f>G431*'Assumptions'!$B$6</x:f>
        <x:v>0.141589</x:v>
      </x:c>
      <x:c r="V431" s="56" t="n">
        <x:f>T431*'Assumptions'!$B$6</x:f>
        <x:v>0</x:v>
      </x:c>
      <x:c r="W431" s="56" t="n">
        <x:f>V431-U431</x:f>
        <x:v>-0.141589</x:v>
      </x:c>
      <x:c r="X431" s="58" t="n">
        <x:f>X430*(1+U431)</x:f>
        <x:v>317900671.38350385</x:v>
      </x:c>
      <x:c r="Y431" s="58" t="n">
        <x:f>MAX(Y430,X431)</x:f>
        <x:v>627411548.0673555</x:v>
      </x:c>
      <x:c r="Z431" s="59" t="n">
        <x:f>X431/Y431-1</x:f>
        <x:v>-0.49331396216287726</x:v>
      </x:c>
      <x:c r="AA431" s="58" t="n">
        <x:f>AA430*(1+V431)</x:f>
        <x:v>2898167355.940201</x:v>
      </x:c>
      <x:c r="AB431" s="58" t="n">
        <x:f>MAX(AB430,AA431)</x:f>
        <x:v>5217837432.315468</x:v>
      </x:c>
      <x:c r="AC431" s="59" t="n">
        <x:f>AA431/AB431-1</x:f>
        <x:v>-0.4445654174675753</x:v>
      </x:c>
      <x:c r="AD431" s="60" t="n">
        <x:f>AA431-X431</x:f>
        <x:v>2580266684.556697</x:v>
      </x:c>
      <x:c r="AE431" s="28" t="str">
        <x:v>Skipped because the previous three rule outcomes totalled at or below the damage threshold.</x:v>
      </x:c>
    </x:row>
    <x:row r="432" ht="18" customHeight="1">
      <x:c r="A432" s="23" t="n">
        <x:v>428</x:v>
      </x:c>
      <x:c r="B432" s="53" t="n">
        <x:v>46209</x:v>
      </x:c>
      <x:c r="C432" s="53" t="n">
        <x:v>46212</x:v>
      </x:c>
      <x:c r="D432" s="23" t="str">
        <x:v>TSL1PRE</x:v>
      </x:c>
      <x:c r="E432" s="54" t="n">
        <x:v>29591.075</x:v>
      </x:c>
      <x:c r="F432" s="54" t="n">
        <x:v>29198.208</x:v>
      </x:c>
      <x:c r="G432" s="55" t="n">
        <x:v>-0.01327</x:v>
      </x:c>
      <x:c r="H432" s="56" t="n">
        <x:f>SUM(T429:T431)</x:f>
        <x:v>0</x:v>
      </x:c>
      <x:c r="I432" s="57" t="b">
        <x:f>AND(A432&gt;3,H432&lt;='Assumptions'!$B$7)</x:f>
        <x:v>0</x:v>
      </x:c>
      <x:c r="J432" s="55" t="n">
        <x:v>0.010142706916836497</x:v>
      </x:c>
      <x:c r="K432" s="55" t="n">
        <x:v>-0.04247457034976687</x:v>
      </x:c>
      <x:c r="L432" s="55" t="n">
        <x:v>0.0022031995509401714</x:v>
      </x:c>
      <x:c r="M432" s="57" t="b">
        <x:f>J432&gt;='Assumptions'!$B$8</x:f>
        <x:v>1</x:v>
      </x:c>
      <x:c r="N432" s="57" t="b">
        <x:f>AND(K432&lt;&gt;"",K432&lt;='Assumptions'!$B$9)</x:f>
        <x:v>1</x:v>
      </x:c>
      <x:c r="O432" s="57" t="b">
        <x:f>AND(P432&lt;&gt;"",ABS(L432)&lt;='Assumptions'!$B$10)</x:f>
        <x:v>1</x:v>
      </x:c>
      <x:c r="P432" s="53" t="n">
        <x:v>46210</x:v>
      </x:c>
      <x:c r="Q432" s="54" t="n">
        <x:v>29355.164</x:v>
      </x:c>
      <x:c r="R432" s="55" t="n">
        <x:v>-0.00534</x:v>
      </x:c>
      <x:c r="S432" s="57" t="str">
        <x:f>IF(I432,"DAMAGE SKIP",IF(AND(M432,N432),IF(O432,"TUESDAY RE-ENTRY","GAP/MOM SKIP"),"BASELINE"))</x:f>
        <x:v>TUESDAY RE-ENTRY</x:v>
      </x:c>
      <x:c r="T432" s="56" t="n">
        <x:f>IF(I432,0,IF(AND(M432,N432),IF(O432,R432,0),G432))</x:f>
        <x:v>-0.00534</x:v>
      </x:c>
      <x:c r="U432" s="56" t="n">
        <x:f>G432*'Assumptions'!$B$6</x:f>
        <x:v>-0.14995100000000003</x:v>
      </x:c>
      <x:c r="V432" s="56" t="n">
        <x:f>T432*'Assumptions'!$B$6</x:f>
        <x:v>-0.06034200000000001</x:v>
      </x:c>
      <x:c r="W432" s="56" t="n">
        <x:f>V432-U432</x:f>
        <x:v>0.08960900000000002</x:v>
      </x:c>
      <x:c r="X432" s="58" t="n">
        <x:f>X431*(1+U432)</x:f>
        <x:v>270231147.80887604</x:v>
      </x:c>
      <x:c r="Y432" s="58" t="n">
        <x:f>MAX(Y431,X432)</x:f>
        <x:v>627411548.0673555</x:v>
      </x:c>
      <x:c r="Z432" s="59" t="n">
        <x:f>X432/Y432-1</x:f>
        <x:v>-0.5692920402225916</x:v>
      </x:c>
      <x:c r="AA432" s="58" t="n">
        <x:f>AA431*(1+V432)</x:f>
        <x:v>2723286141.3480573</x:v>
      </x:c>
      <x:c r="AB432" s="58" t="n">
        <x:f>MAX(AB431,AA432)</x:f>
        <x:v>5217837432.315468</x:v>
      </x:c>
      <x:c r="AC432" s="59" t="n">
        <x:f>AA432/AB432-1</x:f>
        <x:v>-0.4780814510467468</x:v>
      </x:c>
      <x:c r="AD432" s="60" t="n">
        <x:f>AA432-X432</x:f>
        <x:v>2453054993.539181</x:v>
      </x:c>
      <x:c r="AE432" s="28" t="str">
        <x:v>Monday entry delayed; Tuesday opened within the Friday-normalization tolerance. Original exit price reused.</x:v>
      </x:c>
    </x:row>
    <x:row r="433" ht="18" customHeight="1">
      <x:c r="A433" s="23" t="n">
        <x:v>429</x:v>
      </x:c>
      <x:c r="B433" s="53" t="n">
        <x:v>46216</x:v>
      </x:c>
      <x:c r="C433" s="53" t="n">
        <x:v>46219</x:v>
      </x:c>
      <x:c r="D433" s="23" t="str">
        <x:v>TSL1PRE</x:v>
      </x:c>
      <x:c r="E433" s="54" t="n">
        <x:v>29498.12</x:v>
      </x:c>
      <x:c r="F433" s="54" t="n">
        <x:v>29375.71</x:v>
      </x:c>
      <x:c r="G433" s="55" t="n">
        <x:v>-0.00414</x:v>
      </x:c>
      <x:c r="H433" s="56" t="n">
        <x:f>SUM(T430:T432)</x:f>
        <x:v>-0.00534</x:v>
      </x:c>
      <x:c r="I433" s="57" t="b">
        <x:f>AND(A433&gt;3,H433&lt;='Assumptions'!$B$7)</x:f>
        <x:v>0</x:v>
      </x:c>
      <x:c r="J433" s="55" t="n">
        <x:v>-0.011247193397123767</x:v>
      </x:c>
      <x:c r="K433" s="55" t="n">
        <x:v>0.04587063385662171</x:v>
      </x:c>
      <x:c r="L433" s="55" t="n">
        <x:v>-0.007291422585491536</x:v>
      </x:c>
      <x:c r="M433" s="57" t="b">
        <x:f>J433&gt;='Assumptions'!$B$8</x:f>
        <x:v>0</x:v>
      </x:c>
      <x:c r="N433" s="57" t="b">
        <x:f>AND(K433&lt;&gt;"",K433&lt;='Assumptions'!$B$9)</x:f>
        <x:v>0</x:v>
      </x:c>
      <x:c r="O433" s="57" t="b">
        <x:f>AND(P433&lt;&gt;"",ABS(L433)&lt;='Assumptions'!$B$10)</x:f>
        <x:v>0</x:v>
      </x:c>
      <x:c r="P433" s="53" t="n">
        <x:v>46217</x:v>
      </x:c>
      <x:c r="Q433" s="54" t="n">
        <x:v>29606.775</x:v>
      </x:c>
      <x:c r="R433" s="55" t="n">
        <x:v>-0.0078</x:v>
      </x:c>
      <x:c r="S433" s="57" t="str">
        <x:f>IF(I433,"DAMAGE SKIP",IF(AND(M433,N433),IF(O433,"TUESDAY RE-ENTRY","GAP/MOM SKIP"),"BASELINE"))</x:f>
        <x:v>BASELINE</x:v>
      </x:c>
      <x:c r="T433" s="56" t="n">
        <x:f>IF(I433,0,IF(AND(M433,N433),IF(O433,R433,0),G433))</x:f>
        <x:v>-0.00414</x:v>
      </x:c>
      <x:c r="U433" s="56" t="n">
        <x:f>G433*'Assumptions'!$B$6</x:f>
        <x:v>-0.046782</x:v>
      </x:c>
      <x:c r="V433" s="56" t="n">
        <x:f>T433*'Assumptions'!$B$6</x:f>
        <x:v>-0.046782</x:v>
      </x:c>
      <x:c r="W433" s="56" t="n">
        <x:f>V433-U433</x:f>
        <x:v>0</x:v>
      </x:c>
      <x:c r="X433" s="58" t="n">
        <x:f>X432*(1+U433)</x:f>
        <x:v>257589194.25208122</x:v>
      </x:c>
      <x:c r="Y433" s="58" t="n">
        <x:f>MAX(Y432,X433)</x:f>
        <x:v>627411548.0673555</x:v>
      </x:c>
      <x:c r="Z433" s="59" t="n">
        <x:f>X433/Y433-1</x:f>
        <x:v>-0.5894414199968984</x:v>
      </x:c>
      <x:c r="AA433" s="58" t="n">
        <x:f>AA432*(1+V433)</x:f>
        <x:v>2595885369.0835123</x:v>
      </x:c>
      <x:c r="AB433" s="58" t="n">
        <x:f>MAX(AB432,AA433)</x:f>
        <x:v>5217837432.315468</x:v>
      </x:c>
      <x:c r="AC433" s="59" t="n">
        <x:f>AA433/AB433-1</x:f>
        <x:v>-0.5024978446038779</x:v>
      </x:c>
      <x:c r="AD433" s="60" t="n">
        <x:f>AA433-X433</x:f>
        <x:v>2338296174.831431</x:v>
      </x:c>
      <x:c r="AE433" s="28" t="str">
        <x:v>Baseline trade unchanged.</x:v>
      </x:c>
    </x:row>
    <x:row r="434" ht="18" customHeight="1">
      <x:c r="A434" s="23" t="n">
        <x:v>430</x:v>
      </x:c>
      <x:c r="B434" s="53" t="n">
        <x:v>46223</x:v>
      </x:c>
      <x:c r="C434" s="53" t="n">
        <x:v>46226</x:v>
      </x:c>
      <x:c r="D434" s="23" t="str">
        <x:v>TSL1PRE</x:v>
      </x:c>
      <x:c r="E434" s="54" t="n">
        <x:v>28867.51</x:v>
      </x:c>
      <x:c r="F434" s="54" t="n">
        <x:v>28749.543</x:v>
      </x:c>
      <x:c r="G434" s="55" t="n">
        <x:v>-0.00408</x:v>
      </x:c>
      <x:c r="H434" s="56" t="n">
        <x:f>SUM(T431:T433)</x:f>
        <x:v>-0.009479999999999999</x:v>
      </x:c>
      <x:c r="I434" s="57" t="b">
        <x:f>AND(A434&gt;3,H434&lt;='Assumptions'!$B$7)</x:f>
        <x:v>0</x:v>
      </x:c>
      <x:c r="J434" s="55" t="n">
        <x:v>0.010607604002575322</x:v>
      </x:c>
      <x:c r="K434" s="55" t="n">
        <x:v>-0.037618856486415386</x:v>
      </x:c>
      <x:c r="L434" s="55" t="n">
        <x:v>0.01616498640933073</x:v>
      </x:c>
      <x:c r="M434" s="57" t="b">
        <x:f>J434&gt;='Assumptions'!$B$8</x:f>
        <x:v>1</x:v>
      </x:c>
      <x:c r="N434" s="57" t="b">
        <x:f>AND(K434&lt;&gt;"",K434&lt;='Assumptions'!$B$9)</x:f>
        <x:v>1</x:v>
      </x:c>
      <x:c r="O434" s="57" t="b">
        <x:f>AND(P434&lt;&gt;"",ABS(L434)&lt;='Assumptions'!$B$10)</x:f>
        <x:v>0</x:v>
      </x:c>
      <x:c r="P434" s="53" t="n">
        <x:v>46224</x:v>
      </x:c>
      <x:c r="Q434" s="54" t="n">
        <x:v>29051.01</x:v>
      </x:c>
      <x:c r="R434" s="55" t="n">
        <x:v>-0.01037</x:v>
      </x:c>
      <x:c r="S434" s="57" t="str">
        <x:f>IF(I434,"DAMAGE SKIP",IF(AND(M434,N434),IF(O434,"TUESDAY RE-ENTRY","GAP/MOM SKIP"),"BASELINE"))</x:f>
        <x:v>GAP/MOM SKIP</x:v>
      </x:c>
      <x:c r="T434" s="56" t="n">
        <x:f>IF(I434,0,IF(AND(M434,N434),IF(O434,R434,0),G434))</x:f>
        <x:v>0</x:v>
      </x:c>
      <x:c r="U434" s="56" t="n">
        <x:f>G434*'Assumptions'!$B$6</x:f>
        <x:v>-0.046104000000000006</x:v>
      </x:c>
      <x:c r="V434" s="56" t="n">
        <x:f>T434*'Assumptions'!$B$6</x:f>
        <x:v>0</x:v>
      </x:c>
      <x:c r="W434" s="56" t="n">
        <x:f>V434-U434</x:f>
        <x:v>0.046104000000000006</x:v>
      </x:c>
      <x:c r="X434" s="58" t="n">
        <x:f>X433*(1+U434)</x:f>
        <x:v>245713302.04028326</x:v>
      </x:c>
      <x:c r="Y434" s="58" t="n">
        <x:f>MAX(Y433,X434)</x:f>
        <x:v>627411548.0673555</x:v>
      </x:c>
      <x:c r="Z434" s="59" t="n">
        <x:f>X434/Y434-1</x:f>
        <x:v>-0.6083698127693613</x:v>
      </x:c>
      <x:c r="AA434" s="58" t="n">
        <x:f>AA433*(1+V434)</x:f>
        <x:v>2595885369.0835123</x:v>
      </x:c>
      <x:c r="AB434" s="58" t="n">
        <x:f>MAX(AB433,AA434)</x:f>
        <x:v>5217837432.315468</x:v>
      </x:c>
      <x:c r="AC434" s="59" t="n">
        <x:f>AA434/AB434-1</x:f>
        <x:v>-0.5024978446038779</x:v>
      </x:c>
      <x:c r="AD434" s="60" t="n">
        <x:f>AA434-X434</x:f>
        <x:v>2350172067.043229</x:v>
      </x:c>
      <x:c r="AE434" s="28" t="str">
        <x:v>Monday entry skipped; Tuesday did not normalize within the Friday-based tolerance.</x:v>
      </x:c>
    </x:row>
    <x:row r="435" ht="18" customHeight="1">
      <x:c r="A435" s="61" t="n">
        <x:v>431</x:v>
      </x:c>
      <x:c r="B435" s="62" t="n">
        <x:v>46230</x:v>
      </x:c>
      <x:c r="C435" s="62" t="n">
        <x:v>46233</x:v>
      </x:c>
      <x:c r="D435" s="61" t="str">
        <x:v>TSL1PRE</x:v>
      </x:c>
      <x:c r="E435" s="63" t="n">
        <x:v>28440.589</x:v>
      </x:c>
      <x:c r="F435" s="63" t="n">
        <x:v>27103.153</x:v>
      </x:c>
      <x:c r="G435" s="64" t="n">
        <x:v>-0.04702</x:v>
      </x:c>
      <x:c r="H435" s="65" t="n">
        <x:f>SUM(T432:T434)</x:f>
        <x:v>-0.009479999999999999</x:v>
      </x:c>
      <x:c r="I435" s="66" t="b">
        <x:f>AND(A435&gt;3,H435&lt;='Assumptions'!$B$7)</x:f>
        <x:v>0</x:v>
      </x:c>
      <x:c r="J435" s="64" t="n">
        <x:v>0.010992143466909576</x:v>
      </x:c>
      <x:c r="K435" s="64" t="n">
        <x:v>-0.04487841648287216</x:v>
      </x:c>
      <x:c r="L435" s="64" t="n">
        <x:v>-0.011691974920713832</x:v>
      </x:c>
      <x:c r="M435" s="66" t="b">
        <x:f>J435&gt;='Assumptions'!$B$8</x:f>
        <x:v>1</x:v>
      </x:c>
      <x:c r="N435" s="66" t="b">
        <x:f>AND(K435&lt;&gt;"",K435&lt;='Assumptions'!$B$9)</x:f>
        <x:v>1</x:v>
      </x:c>
      <x:c r="O435" s="66" t="b">
        <x:f>AND(P435&lt;&gt;"",ABS(L435)&lt;='Assumptions'!$B$10)</x:f>
        <x:v>0</x:v>
      </x:c>
      <x:c r="P435" s="62" t="n">
        <x:v>46231</x:v>
      </x:c>
      <x:c r="Q435" s="63" t="n">
        <x:v>27788.164</x:v>
      </x:c>
      <x:c r="R435" s="64" t="n">
        <x:v>-0.02465</x:v>
      </x:c>
      <x:c r="S435" s="66" t="str">
        <x:f>IF(I435,"DAMAGE SKIP",IF(AND(M435,N435),IF(O435,"TUESDAY RE-ENTRY","GAP/MOM SKIP"),"BASELINE"))</x:f>
        <x:v>GAP/MOM SKIP</x:v>
      </x:c>
      <x:c r="T435" s="65" t="n">
        <x:f>IF(I435,0,IF(AND(M435,N435),IF(O435,R435,0),G435))</x:f>
        <x:v>0</x:v>
      </x:c>
      <x:c r="U435" s="65" t="n">
        <x:f>G435*'Assumptions'!$B$6</x:f>
        <x:v>-0.5313260000000001</x:v>
      </x:c>
      <x:c r="V435" s="65" t="n">
        <x:f>T435*'Assumptions'!$B$6</x:f>
        <x:v>0</x:v>
      </x:c>
      <x:c r="W435" s="65" t="n">
        <x:f>V435-U435</x:f>
        <x:v>0.5313260000000001</x:v>
      </x:c>
      <x:c r="X435" s="67" t="n">
        <x:f>X434*(1+U435)</x:f>
        <x:v>115159436.1204277</x:v>
      </x:c>
      <x:c r="Y435" s="67" t="n">
        <x:f>MAX(Y434,X435)</x:f>
        <x:v>627411548.0673555</x:v>
      </x:c>
      <x:c r="Z435" s="68" t="n">
        <x:f>X435/Y435-1</x:f>
        <x:v>-0.8164531136298677</x:v>
      </x:c>
      <x:c r="AA435" s="67" t="n">
        <x:f>AA434*(1+V435)</x:f>
        <x:v>2595885369.0835123</x:v>
      </x:c>
      <x:c r="AB435" s="67" t="n">
        <x:f>MAX(AB434,AA435)</x:f>
        <x:v>5217837432.315468</x:v>
      </x:c>
      <x:c r="AC435" s="68" t="n">
        <x:f>AA435/AB435-1</x:f>
        <x:v>-0.5024978446038779</x:v>
      </x:c>
      <x:c r="AD435" s="69" t="n">
        <x:f>AA435-X435</x:f>
        <x:v>2480725932.9630847</x:v>
      </x:c>
      <x:c r="AE435" s="70" t="str">
        <x:v>Monday entry skipped; Tuesday did not normalize within the Friday-based tolerance.</x:v>
      </x:c>
    </x:row>
    <x:row r="436" ht="18" customHeight="1">
      <x:c r="A436" s="23" t="n">
        <x:v>432</x:v>
      </x:c>
      <x:c r="B436" s="53" t="n">
        <x:v>46237</x:v>
      </x:c>
      <x:c r="C436" s="53" t="n">
        <x:v>46237</x:v>
      </x:c>
      <x:c r="D436" s="23" t="str">
        <x:v>CH</x:v>
      </x:c>
      <x:c r="E436" s="54" t="n">
        <x:v>28297.932</x:v>
      </x:c>
      <x:c r="F436" s="54" t="n">
        <x:v>28754.675</x:v>
      </x:c>
      <x:c r="G436" s="55" t="n">
        <x:v>0.01614</x:v>
      </x:c>
      <x:c r="H436" s="56" t="n">
        <x:f>SUM(T433:T435)</x:f>
        <x:v>-0.00414</x:v>
      </x:c>
      <x:c r="I436" s="57" t="b">
        <x:f>AND(A436&gt;3,H436&lt;='Assumptions'!$B$7)</x:f>
        <x:v>0</x:v>
      </x:c>
      <x:c r="J436" s="55" t="n">
        <x:v>0.0004505184674565843</x:v>
      </x:c>
      <x:c r="K436" s="55" t="n">
        <x:v>-0.03453550378894188</x:v>
      </x:c>
      <x:c r="L436" s="55" t="n">
        <x:v>0.029317286588467883</x:v>
      </x:c>
      <x:c r="M436" s="57" t="b">
        <x:f>J436&gt;='Assumptions'!$B$8</x:f>
        <x:v>0</x:v>
      </x:c>
      <x:c r="N436" s="57" t="b">
        <x:f>AND(K436&lt;&gt;"",K436&lt;='Assumptions'!$B$9)</x:f>
        <x:v>1</x:v>
      </x:c>
      <x:c r="O436" s="57" t="b">
        <x:f>AND(P436&lt;&gt;"",ABS(L436)&lt;='Assumptions'!$B$10)</x:f>
        <x:v>0</x:v>
      </x:c>
      <x:c r="P436" s="53" t="n">
        <x:v>46238</x:v>
      </x:c>
      <x:c r="Q436" s="54" t="n">
        <x:v>29114.053</x:v>
      </x:c>
      <x:c r="R436" s="55" t="n">
        <x:v>-0.01234</x:v>
      </x:c>
      <x:c r="S436" s="57" t="str">
        <x:f>IF(I436,"DAMAGE SKIP",IF(AND(M436,N436),IF(O436,"TUESDAY RE-ENTRY","GAP/MOM SKIP"),"BASELINE"))</x:f>
        <x:v>BASELINE</x:v>
      </x:c>
      <x:c r="T436" s="56" t="n">
        <x:f>IF(I436,0,IF(AND(M436,N436),IF(O436,R436,0),G436))</x:f>
        <x:v>0.01614</x:v>
      </x:c>
      <x:c r="U436" s="56" t="n">
        <x:f>G436*'Assumptions'!$B$6</x:f>
        <x:v>0.18238200000000002</x:v>
      </x:c>
      <x:c r="V436" s="56" t="n">
        <x:f>T436*'Assumptions'!$B$6</x:f>
        <x:v>0.18238200000000002</x:v>
      </x:c>
      <x:c r="W436" s="56" t="n">
        <x:f>V436-U436</x:f>
        <x:v>0</x:v>
      </x:c>
      <x:c r="X436" s="58" t="n">
        <x:f>X435*(1+U436)</x:f>
        <x:v>136162444.39894354</x:v>
      </x:c>
      <x:c r="Y436" s="58" t="n">
        <x:f>MAX(Y435,X436)</x:f>
        <x:v>627411548.0673555</x:v>
      </x:c>
      <x:c r="Z436" s="59" t="n">
        <x:f>X436/Y436-1</x:f>
        <x:v>-0.7829774653999102</x:v>
      </x:c>
      <x:c r="AA436" s="58" t="n">
        <x:f>AA435*(1+V436)</x:f>
        <x:v>3069328134.4677014</x:v>
      </x:c>
      <x:c r="AB436" s="58" t="n">
        <x:f>MAX(AB435,AA436)</x:f>
        <x:v>5217837432.315468</x:v>
      </x:c>
      <x:c r="AC436" s="59" t="n">
        <x:f>AA436/AB436-1</x:f>
        <x:v>-0.41176240649842244</x:v>
      </x:c>
      <x:c r="AD436" s="60" t="n">
        <x:f>AA436-X436</x:f>
        <x:v>2933165690.068758</x:v>
      </x:c>
      <x:c r="AE436" s="28" t="str">
        <x:v>Baseline trade unchanged.</x:v>
      </x:c>
    </x:row>
  </x:sheetData>
  <x:mergeCells>
    <x:mergeCell ref="A1:AE2"/>
    <x:mergeCell ref="A3:AE3"/>
  </x:mergeCells>
  <x:conditionalFormatting sqref="G5:G436">
    <x:cfRule type="cellIs" dxfId="0" priority="1" operator="greaterThan">
      <x:formula>0</x:formula>
    </x:cfRule>
    <x:cfRule type="cellIs" dxfId="1" priority="2" operator="lessThan">
      <x:formula>0</x:formula>
    </x:cfRule>
  </x:conditionalFormatting>
  <x:conditionalFormatting sqref="T5:W436">
    <x:cfRule type="cellIs" dxfId="2" priority="3" operator="greaterThan">
      <x:formula>0</x:formula>
    </x:cfRule>
    <x:cfRule type="cellIs" dxfId="3" priority="4" operator="lessThan">
      <x:formula>0</x:formula>
    </x:cfRule>
  </x:conditionalFormatting>
  <x:conditionalFormatting sqref="AD5:AD436">
    <x:cfRule type="cellIs" dxfId="4" priority="5" operator="greaterThan">
      <x:formula>0</x:formula>
    </x:cfRule>
    <x:cfRule type="cellIs" dxfId="5" priority="6" operator="lessThan">
      <x:formula>0</x:formula>
    </x:cfRule>
  </x:conditionalFormatting>
  <x:conditionalFormatting sqref="S5:S436">
    <x:cfRule type="containsText" dxfId="6" priority="7" operator="containsText" text="SKIP"/>
    <x:cfRule type="containsText" dxfId="7" priority="8" operator="containsText" text="TUESDAY"/>
    <x:cfRule type="containsText" dxfId="8" priority="9" operator="containsText" text="BASELINE"/>
  </x:conditionalFormatting>
  <x:pageMargins left="0.7" right="0.7" top="0.75" bottom="0.75" header="0.3" footer="0.3"/>
  <x:tableParts count="1">
    <x:tablePart xmlns:r="http://schemas.openxmlformats.org/officeDocument/2006/relationships" r:id="R536bf9907cd2495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3" hidden="0" customWidth="1"/>
    <x:col min="4" max="4" width="15" hidden="0" customWidth="1"/>
    <x:col min="5" max="5" width="16" hidden="0" customWidth="1"/>
    <x:col min="6" max="6" width="19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55" hidden="0" customWidth="1"/>
  </x:cols>
  <x:sheetData>
    <x:row r="1" ht="30" customHeight="1">
      <x:c r="A1" s="3" t="str">
        <x:v>Changed-trade snapshot</x:v>
      </x:c>
      <x:c r="B1" s="3" t="str">
        <x:v>Changed-trade snapshot</x:v>
      </x:c>
      <x:c r="C1" s="3" t="str">
        <x:v>Changed-trade snapshot</x:v>
      </x:c>
      <x:c r="D1" s="3" t="str">
        <x:v>Changed-trade snapshot</x:v>
      </x:c>
      <x:c r="E1" s="3" t="str">
        <x:v>Changed-trade snapshot</x:v>
      </x:c>
      <x:c r="F1" s="3" t="str">
        <x:v>Changed-trade snapshot</x:v>
      </x:c>
      <x:c r="G1" s="3" t="str">
        <x:v>Changed-trade snapshot</x:v>
      </x:c>
      <x:c r="H1" s="3" t="str">
        <x:v>Changed-trade snapshot</x:v>
      </x:c>
      <x:c r="I1" s="3" t="str">
        <x:v>Changed-trade snapshot</x:v>
      </x:c>
      <x:c r="J1" s="3" t="str">
        <x:v>Changed-trade snapshot</x:v>
      </x:c>
      <x:c r="K1" s="3" t="str">
        <x:v>Changed-trade snapshot</x:v>
      </x:c>
      <x:c r="L1" s="3" t="str">
        <x:v>Changed-trade snapshot</x:v>
      </x:c>
    </x:row>
    <x:row r="2" ht="30" customHeight="1">
      <x:c r="A2" s="3" t="str">
        <x:v>Changed-trade snapshot</x:v>
      </x:c>
      <x:c r="B2" s="3" t="str">
        <x:v>Changed-trade snapshot</x:v>
      </x:c>
      <x:c r="C2" s="3" t="str">
        <x:v>Changed-trade snapshot</x:v>
      </x:c>
      <x:c r="D2" s="3" t="str">
        <x:v>Changed-trade snapshot</x:v>
      </x:c>
      <x:c r="E2" s="3" t="str">
        <x:v>Changed-trade snapshot</x:v>
      </x:c>
      <x:c r="F2" s="3" t="str">
        <x:v>Changed-trade snapshot</x:v>
      </x:c>
      <x:c r="G2" s="3" t="str">
        <x:v>Changed-trade snapshot</x:v>
      </x:c>
      <x:c r="H2" s="3" t="str">
        <x:v>Changed-trade snapshot</x:v>
      </x:c>
      <x:c r="I2" s="3" t="str">
        <x:v>Changed-trade snapshot</x:v>
      </x:c>
      <x:c r="J2" s="3" t="str">
        <x:v>Changed-trade snapshot</x:v>
      </x:c>
      <x:c r="K2" s="3" t="str">
        <x:v>Changed-trade snapshot</x:v>
      </x:c>
      <x:c r="L2" s="3" t="str">
        <x:v>Changed-trade snapshot</x:v>
      </x:c>
    </x:row>
    <x:row r="3" ht="26" customHeight="1">
      <x:c r="A3" s="7" t="str">
        <x:v>Snapshot membership reflects the stated assumptions. Values remain linked to All Trades.</x:v>
      </x:c>
      <x:c r="B3" s="7" t="str">
        <x:v>Snapshot membership reflects the stated assumptions. Values remain linked to All Trades.</x:v>
      </x:c>
      <x:c r="C3" s="7" t="str">
        <x:v>Snapshot membership reflects the stated assumptions. Values remain linked to All Trades.</x:v>
      </x:c>
      <x:c r="D3" s="7" t="str">
        <x:v>Snapshot membership reflects the stated assumptions. Values remain linked to All Trades.</x:v>
      </x:c>
      <x:c r="E3" s="7" t="str">
        <x:v>Snapshot membership reflects the stated assumptions. Values remain linked to All Trades.</x:v>
      </x:c>
      <x:c r="F3" s="7" t="str">
        <x:v>Snapshot membership reflects the stated assumptions. Values remain linked to All Trades.</x:v>
      </x:c>
      <x:c r="G3" s="7" t="str">
        <x:v>Snapshot membership reflects the stated assumptions. Values remain linked to All Trades.</x:v>
      </x:c>
      <x:c r="H3" s="7" t="str">
        <x:v>Snapshot membership reflects the stated assumptions. Values remain linked to All Trades.</x:v>
      </x:c>
      <x:c r="I3" s="7" t="str">
        <x:v>Snapshot membership reflects the stated assumptions. Values remain linked to All Trades.</x:v>
      </x:c>
      <x:c r="J3" s="7" t="str">
        <x:v>Snapshot membership reflects the stated assumptions. Values remain linked to All Trades.</x:v>
      </x:c>
      <x:c r="K3" s="7" t="str">
        <x:v>Snapshot membership reflects the stated assumptions. Values remain linked to All Trades.</x:v>
      </x:c>
      <x:c r="L3" s="7" t="str">
        <x:v>Snapshot membership reflects the stated assumptions. Values remain linked to All Trades.</x:v>
      </x:c>
    </x:row>
    <x:row r="4">
      <x:c r="A4" s="13" t="str">
        <x:v>Trade #</x:v>
      </x:c>
      <x:c r="B4" s="14" t="str">
        <x:v>Open date</x:v>
      </x:c>
      <x:c r="C4" s="14" t="str">
        <x:v>Close date</x:v>
      </x:c>
      <x:c r="D4" s="14" t="str">
        <x:v>Exit reason</x:v>
      </x:c>
      <x:c r="E4" s="14" t="str">
        <x:v>Baseline raw</x:v>
      </x:c>
      <x:c r="F4" s="14" t="str">
        <x:v>Rule action</x:v>
      </x:c>
      <x:c r="G4" s="14" t="str">
        <x:v>Rule raw</x:v>
      </x:c>
      <x:c r="H4" s="14" t="str">
        <x:v>11.3x difference</x:v>
      </x:c>
      <x:c r="I4" s="14" t="str">
        <x:v>Cash-open gap</x:v>
      </x:c>
      <x:c r="J4" s="14" t="str">
        <x:v>Momentum 20d</x:v>
      </x:c>
      <x:c r="K4" s="14" t="str">
        <x:v>Tuesday vs Friday</x:v>
      </x:c>
      <x:c r="L4" s="15" t="str">
        <x:v>Notes</x:v>
      </x:c>
    </x:row>
    <x:row r="5">
      <x:c r="A5" s="57" t="n">
        <x:f>'All Trades'!A31</x:f>
        <x:v>27</x:v>
      </x:c>
      <x:c r="B5" s="71" t="n">
        <x:f>'All Trades'!B31</x:f>
        <x:v>43388</x:v>
      </x:c>
      <x:c r="C5" s="71" t="n">
        <x:f>'All Trades'!C31</x:f>
        <x:v>43391</x:v>
      </x:c>
      <x:c r="D5" s="57" t="str">
        <x:f>'All Trades'!D31</x:f>
        <x:v>TSL2</x:v>
      </x:c>
      <x:c r="E5" s="56" t="n">
        <x:f>'All Trades'!G31</x:f>
        <x:v>-0.004</x:v>
      </x:c>
      <x:c r="F5" s="57" t="str">
        <x:f>'All Trades'!S31</x:f>
        <x:v>DAMAGE SKIP</x:v>
      </x:c>
      <x:c r="G5" s="56" t="n">
        <x:f>'All Trades'!T31</x:f>
        <x:v>0</x:v>
      </x:c>
      <x:c r="H5" s="56" t="n">
        <x:f>'All Trades'!W31</x:f>
        <x:v>0.045200000000000004</x:v>
      </x:c>
      <x:c r="I5" s="56" t="n">
        <x:f>'All Trades'!J31</x:f>
        <x:v>-0.0031595267420386763</x:v>
      </x:c>
      <x:c r="J5" s="56" t="n">
        <x:f>'All Trades'!K31</x:f>
        <x:v>-0.0509111189519571</x:v>
      </x:c>
      <x:c r="K5" s="56" t="n">
        <x:f>'All Trades'!L31</x:f>
        <x:v>-0.001720912383373574</x:v>
      </x:c>
      <x:c r="L5" s="72" t="str">
        <x:f>'All Trades'!AE31</x:f>
        <x:v>Skipped because the previous three rule outcomes totalled at or below the damage threshold.</x:v>
      </x:c>
    </x:row>
    <x:row r="6">
      <x:c r="A6" s="57" t="n">
        <x:f>'All Trades'!A32</x:f>
        <x:v>28</x:v>
      </x:c>
      <x:c r="B6" s="71" t="n">
        <x:f>'All Trades'!B32</x:f>
        <x:v>43395</x:v>
      </x:c>
      <x:c r="C6" s="71" t="n">
        <x:f>'All Trades'!C32</x:f>
        <x:v>43397</x:v>
      </x:c>
      <x:c r="D6" s="57" t="str">
        <x:f>'All Trades'!D32</x:f>
        <x:v>BEPRE</x:v>
      </x:c>
      <x:c r="E6" s="56" t="n">
        <x:f>'All Trades'!G32</x:f>
        <x:v>-0.00319</x:v>
      </x:c>
      <x:c r="F6" s="57" t="str">
        <x:f>'All Trades'!S32</x:f>
        <x:v>DAMAGE SKIP</x:v>
      </x:c>
      <x:c r="G6" s="56" t="n">
        <x:f>'All Trades'!T32</x:f>
        <x:v>0</x:v>
      </x:c>
      <x:c r="H6" s="56" t="n">
        <x:f>'All Trades'!W32</x:f>
        <x:v>0.036047</x:v>
      </x:c>
      <x:c r="I6" s="56" t="n">
        <x:f>'All Trades'!J32</x:f>
        <x:v>0.006777277166537088</x:v>
      </x:c>
      <x:c r="J6" s="56" t="n">
        <x:f>'All Trades'!K32</x:f>
        <x:v>-0.056606461982138034</x:v>
      </x:c>
      <x:c r="K6" s="56" t="n">
        <x:f>'All Trades'!L32</x:f>
        <x:v>-0.012862105422141834</x:v>
      </x:c>
      <x:c r="L6" s="72" t="str">
        <x:f>'All Trades'!AE32</x:f>
        <x:v>Skipped because the previous three rule outcomes totalled at or below the damage threshold.</x:v>
      </x:c>
    </x:row>
    <x:row r="7">
      <x:c r="A7" s="57" t="n">
        <x:f>'All Trades'!A33</x:f>
        <x:v>29</x:v>
      </x:c>
      <x:c r="B7" s="71" t="n">
        <x:f>'All Trades'!B33</x:f>
        <x:v>43402</x:v>
      </x:c>
      <x:c r="C7" s="71" t="n">
        <x:f>'All Trades'!C33</x:f>
        <x:v>43402</x:v>
      </x:c>
      <x:c r="D7" s="57" t="str">
        <x:f>'All Trades'!D33</x:f>
        <x:v>SL</x:v>
      </x:c>
      <x:c r="E7" s="56" t="n">
        <x:f>'All Trades'!G33</x:f>
        <x:v>-0.05044</x:v>
      </x:c>
      <x:c r="F7" s="57" t="str">
        <x:f>'All Trades'!S33</x:f>
        <x:v>DAMAGE SKIP</x:v>
      </x:c>
      <x:c r="G7" s="56" t="n">
        <x:f>'All Trades'!T33</x:f>
        <x:v>0</x:v>
      </x:c>
      <x:c r="H7" s="56" t="n">
        <x:f>'All Trades'!W33</x:f>
        <x:v>0.569972</x:v>
      </x:c>
      <x:c r="I7" s="56" t="n">
        <x:f>'All Trades'!J33</x:f>
        <x:v>0.011307423069188971</x:v>
      </x:c>
      <x:c r="J7" s="56" t="n">
        <x:f>'All Trades'!K33</x:f>
        <x:v>-0.10300520932953794</x:v>
      </x:c>
      <x:c r="K7" s="56" t="n">
        <x:f>'All Trades'!L33</x:f>
        <x:v>-0.022991821785158795</x:v>
      </x:c>
      <x:c r="L7" s="72" t="str">
        <x:f>'All Trades'!AE33</x:f>
        <x:v>Skipped because the previous three rule outcomes totalled at or below the damage threshold.</x:v>
      </x:c>
    </x:row>
    <x:row r="8">
      <x:c r="A8" s="57" t="n">
        <x:f>'All Trades'!A36</x:f>
        <x:v>32</x:v>
      </x:c>
      <x:c r="B8" s="71" t="n">
        <x:f>'All Trades'!B36</x:f>
        <x:v>43423</x:v>
      </x:c>
      <x:c r="C8" s="71" t="n">
        <x:f>'All Trades'!C36</x:f>
        <x:v>43424</x:v>
      </x:c>
      <x:c r="D8" s="57" t="str">
        <x:f>'All Trades'!D36</x:f>
        <x:v>SLPRE</x:v>
      </x:c>
      <x:c r="E8" s="56" t="n">
        <x:f>'All Trades'!G36</x:f>
        <x:v>-0.05116</x:v>
      </x:c>
      <x:c r="F8" s="57" t="str">
        <x:f>'All Trades'!S36</x:f>
        <x:v>DAMAGE SKIP</x:v>
      </x:c>
      <x:c r="G8" s="56" t="n">
        <x:f>'All Trades'!T36</x:f>
        <x:v>0</x:v>
      </x:c>
      <x:c r="H8" s="56" t="n">
        <x:f>'All Trades'!W36</x:f>
        <x:v>0.578108</x:v>
      </x:c>
      <x:c r="I8" s="56" t="n">
        <x:f>'All Trades'!J36</x:f>
        <x:v>-0.005300726320340843</x:v>
      </x:c>
      <x:c r="J8" s="56" t="n">
        <x:f>'All Trades'!K36</x:f>
        <x:v>-0.03180184262196051</x:v>
      </x:c>
      <x:c r="K8" s="56" t="n">
        <x:f>'All Trades'!L36</x:f>
        <x:v>-0.05444868058978791</x:v>
      </x:c>
      <x:c r="L8" s="72" t="str">
        <x:f>'All Trades'!AE36</x:f>
        <x:v>Skipped because the previous three rule outcomes totalled at or below the damage threshold.</x:v>
      </x:c>
    </x:row>
    <x:row r="9">
      <x:c r="A9" s="57" t="n">
        <x:f>'All Trades'!A37</x:f>
        <x:v>33</x:v>
      </x:c>
      <x:c r="B9" s="71" t="n">
        <x:f>'All Trades'!B37</x:f>
        <x:v>43430</x:v>
      </x:c>
      <x:c r="C9" s="71" t="n">
        <x:f>'All Trades'!C37</x:f>
        <x:v>43430</x:v>
      </x:c>
      <x:c r="D9" s="57" t="str">
        <x:f>'All Trades'!D37</x:f>
        <x:v>CH</x:v>
      </x:c>
      <x:c r="E9" s="56" t="n">
        <x:f>'All Trades'!G37</x:f>
        <x:v>0.0105</x:v>
      </x:c>
      <x:c r="F9" s="57" t="str">
        <x:f>'All Trades'!S37</x:f>
        <x:v>DAMAGE SKIP</x:v>
      </x:c>
      <x:c r="G9" s="56" t="n">
        <x:f>'All Trades'!T37</x:f>
        <x:v>0</x:v>
      </x:c>
      <x:c r="H9" s="56" t="n">
        <x:f>'All Trades'!W37</x:f>
        <x:v>-0.11865000000000002</x:v>
      </x:c>
      <x:c r="I9" s="56" t="n">
        <x:f>'All Trades'!J37</x:f>
        <x:v>0.014134448963448287</x:v>
      </x:c>
      <x:c r="J9" s="56" t="n">
        <x:f>'All Trades'!K37</x:f>
        <x:v>-0.0691237481898781</x:v>
      </x:c>
      <x:c r="K9" s="56" t="n">
        <x:f>'All Trades'!L37</x:f>
        <x:v>0.017387594355103397</x:v>
      </x:c>
      <x:c r="L9" s="72" t="str">
        <x:f>'All Trades'!AE37</x:f>
        <x:v>Skipped because the previous three rule outcomes totalled at or below the damage threshold.</x:v>
      </x:c>
    </x:row>
    <x:row r="10">
      <x:c r="A10" s="57" t="n">
        <x:f>'All Trades'!A38</x:f>
        <x:v>34</x:v>
      </x:c>
      <x:c r="B10" s="71" t="n">
        <x:f>'All Trades'!B38</x:f>
        <x:v>43437</x:v>
      </x:c>
      <x:c r="C10" s="71" t="n">
        <x:f>'All Trades'!C38</x:f>
        <x:v>43440</x:v>
      </x:c>
      <x:c r="D10" s="57" t="str">
        <x:f>'All Trades'!D38</x:f>
        <x:v>TSL1PRE</x:v>
      </x:c>
      <x:c r="E10" s="56" t="n">
        <x:f>'All Trades'!G38</x:f>
        <x:v>-0.03736</x:v>
      </x:c>
      <x:c r="F10" s="57" t="str">
        <x:f>'All Trades'!S38</x:f>
        <x:v>DAMAGE SKIP</x:v>
      </x:c>
      <x:c r="G10" s="56" t="n">
        <x:f>'All Trades'!T38</x:f>
        <x:v>0</x:v>
      </x:c>
      <x:c r="H10" s="56" t="n">
        <x:f>'All Trades'!W38</x:f>
        <x:v>0.422168</x:v>
      </x:c>
      <x:c r="I10" s="56" t="n">
        <x:f>'All Trades'!J38</x:f>
        <x:v>0.021619616035043032</x:v>
      </x:c>
      <x:c r="J10" s="56" t="n">
        <x:f>'All Trades'!K38</x:f>
        <x:v>-0.015623386484434287</x:v>
      </x:c>
      <x:c r="K10" s="56" t="n">
        <x:f>'All Trades'!L38</x:f>
        <x:v>0.011878829765570531</x:v>
      </x:c>
      <x:c r="L10" s="72" t="str">
        <x:f>'All Trades'!AE38</x:f>
        <x:v>Skipped because the previous three rule outcomes totalled at or below the damage threshold.</x:v>
      </x:c>
    </x:row>
    <x:row r="11">
      <x:c r="A11" s="57" t="n">
        <x:f>'All Trades'!A42</x:f>
        <x:v>38</x:v>
      </x:c>
      <x:c r="B11" s="71" t="n">
        <x:f>'All Trades'!B42</x:f>
        <x:v>43465</x:v>
      </x:c>
      <x:c r="C11" s="71" t="n">
        <x:f>'All Trades'!C42</x:f>
        <x:v>43468</x:v>
      </x:c>
      <x:c r="D11" s="57" t="str">
        <x:f>'All Trades'!D42</x:f>
        <x:v>TSL1PRE</x:v>
      </x:c>
      <x:c r="E11" s="56" t="n">
        <x:f>'All Trades'!G42</x:f>
        <x:v>-0.01875</x:v>
      </x:c>
      <x:c r="F11" s="57" t="str">
        <x:f>'All Trades'!S42</x:f>
        <x:v>GAP/MOM SKIP</x:v>
      </x:c>
      <x:c r="G11" s="56" t="n">
        <x:f>'All Trades'!T42</x:f>
        <x:v>0</x:v>
      </x:c>
      <x:c r="H11" s="56" t="n">
        <x:f>'All Trades'!W42</x:f>
        <x:v>0.211875</x:v>
      </x:c>
      <x:c r="I11" s="56" t="n">
        <x:f>'All Trades'!J42</x:f>
        <x:v>0.011000261652839072</x:v>
      </x:c>
      <x:c r="J11" s="56" t="n">
        <x:f>'All Trades'!K42</x:f>
        <x:v>-0.09060383974426489</x:v>
      </x:c>
      <x:c r="K11" s="56" t="n">
        <x:f>'All Trades'!L42</x:f>
        <x:v>0</x:v>
      </x:c>
      <x:c r="L11" s="72" t="str">
        <x:f>'All Trades'!AE42</x:f>
        <x:v>Monday entry skipped; Tuesday did not normalize within the Friday-based tolerance.</x:v>
      </x:c>
    </x:row>
    <x:row r="12">
      <x:c r="A12" s="57" t="n">
        <x:f>'All Trades'!A75</x:f>
        <x:v>71</x:v>
      </x:c>
      <x:c r="B12" s="71" t="n">
        <x:f>'All Trades'!B75</x:f>
        <x:v>43696</x:v>
      </x:c>
      <x:c r="C12" s="71" t="n">
        <x:f>'All Trades'!C75</x:f>
        <x:v>43698</x:v>
      </x:c>
      <x:c r="D12" s="57" t="str">
        <x:f>'All Trades'!D75</x:f>
        <x:v>BEPRE</x:v>
      </x:c>
      <x:c r="E12" s="56" t="n">
        <x:f>'All Trades'!G75</x:f>
        <x:v>-0.00398</x:v>
      </x:c>
      <x:c r="F12" s="57" t="str">
        <x:f>'All Trades'!S75</x:f>
        <x:v>GAP/MOM SKIP</x:v>
      </x:c>
      <x:c r="G12" s="56" t="n">
        <x:f>'All Trades'!T75</x:f>
        <x:v>0</x:v>
      </x:c>
      <x:c r="H12" s="56" t="n">
        <x:f>'All Trades'!W75</x:f>
        <x:v>0.044974</x:v>
      </x:c>
      <x:c r="I12" s="56" t="n">
        <x:f>'All Trades'!J75</x:f>
        <x:v>0.014601982735953367</x:v>
      </x:c>
      <x:c r="J12" s="56" t="n">
        <x:f>'All Trades'!K75</x:f>
        <x:v>-0.028874372296254336</x:v>
      </x:c>
      <x:c r="K12" s="56" t="n">
        <x:f>'All Trades'!L75</x:f>
        <x:v>0.013559720411212561</x:v>
      </x:c>
      <x:c r="L12" s="72" t="str">
        <x:f>'All Trades'!AE75</x:f>
        <x:v>Monday entry skipped; Tuesday did not normalize within the Friday-based tolerance.</x:v>
      </x:c>
    </x:row>
    <x:row r="13">
      <x:c r="A13" s="57" t="n">
        <x:f>'All Trades'!A103</x:f>
        <x:v>99</x:v>
      </x:c>
      <x:c r="B13" s="71" t="n">
        <x:f>'All Trades'!B103</x:f>
        <x:v>43892</x:v>
      </x:c>
      <x:c r="C13" s="71" t="n">
        <x:f>'All Trades'!C103</x:f>
        <x:v>43892</x:v>
      </x:c>
      <x:c r="D13" s="57" t="str">
        <x:f>'All Trades'!D103</x:f>
        <x:v>CH</x:v>
      </x:c>
      <x:c r="E13" s="56" t="n">
        <x:f>'All Trades'!G103</x:f>
        <x:v>0.03639</x:v>
      </x:c>
      <x:c r="F13" s="57" t="str">
        <x:f>'All Trades'!S103</x:f>
        <x:v>GAP/MOM SKIP</x:v>
      </x:c>
      <x:c r="G13" s="56" t="n">
        <x:f>'All Trades'!T103</x:f>
        <x:v>0</x:v>
      </x:c>
      <x:c r="H13" s="56" t="n">
        <x:f>'All Trades'!W103</x:f>
        <x:v>-0.411207</x:v>
      </x:c>
      <x:c r="I13" s="56" t="n">
        <x:f>'All Trades'!J103</x:f>
        <x:v>0.010849822023709876</x:v>
      </x:c>
      <x:c r="J13" s="56" t="n">
        <x:f>'All Trades'!K103</x:f>
        <x:v>-0.07544059256507307</x:v>
      </x:c>
      <x:c r="K13" s="56" t="n">
        <x:f>'All Trades'!L103</x:f>
        <x:v>0.05490983977095776</x:v>
      </x:c>
      <x:c r="L13" s="72" t="str">
        <x:f>'All Trades'!AE103</x:f>
        <x:v>Monday entry skipped; Tuesday did not normalize within the Friday-based tolerance.</x:v>
      </x:c>
    </x:row>
    <x:row r="14">
      <x:c r="A14" s="57" t="n">
        <x:f>'All Trades'!A105</x:f>
        <x:v>101</x:v>
      </x:c>
      <x:c r="B14" s="71" t="n">
        <x:f>'All Trades'!B105</x:f>
        <x:v>43920</x:v>
      </x:c>
      <x:c r="C14" s="71" t="n">
        <x:f>'All Trades'!C105</x:f>
        <x:v>43920</x:v>
      </x:c>
      <x:c r="D14" s="57" t="str">
        <x:f>'All Trades'!D105</x:f>
        <x:v>CH</x:v>
      </x:c>
      <x:c r="E14" s="56" t="n">
        <x:f>'All Trades'!G105</x:f>
        <x:v>0.02549</x:v>
      </x:c>
      <x:c r="F14" s="57" t="str">
        <x:f>'All Trades'!S105</x:f>
        <x:v>GAP/MOM SKIP</x:v>
      </x:c>
      <x:c r="G14" s="56" t="n">
        <x:f>'All Trades'!T105</x:f>
        <x:v>0</x:v>
      </x:c>
      <x:c r="H14" s="56" t="n">
        <x:f>'All Trades'!W105</x:f>
        <x:v>-0.288037</x:v>
      </x:c>
      <x:c r="I14" s="56" t="n">
        <x:f>'All Trades'!J105</x:f>
        <x:v>0.010775220940732355</x:v>
      </x:c>
      <x:c r="J14" s="56" t="n">
        <x:f>'All Trades'!K105</x:f>
        <x:v>-0.20616315801100082</x:v>
      </x:c>
      <x:c r="K14" s="56" t="n">
        <x:f>'All Trades'!L105</x:f>
        <x:v>0.03355947484709021</x:v>
      </x:c>
      <x:c r="L14" s="72" t="str">
        <x:f>'All Trades'!AE105</x:f>
        <x:v>Monday entry skipped; Tuesday did not normalize within the Friday-based tolerance.</x:v>
      </x:c>
    </x:row>
    <x:row r="15">
      <x:c r="A15" s="57" t="n">
        <x:f>'All Trades'!A106</x:f>
        <x:v>102</x:v>
      </x:c>
      <x:c r="B15" s="71" t="n">
        <x:f>'All Trades'!B106</x:f>
        <x:v>43927</x:v>
      </x:c>
      <x:c r="C15" s="71" t="n">
        <x:f>'All Trades'!C106</x:f>
        <x:v>43927</x:v>
      </x:c>
      <x:c r="D15" s="57" t="str">
        <x:f>'All Trades'!D106</x:f>
        <x:v>CH</x:v>
      </x:c>
      <x:c r="E15" s="56" t="n">
        <x:f>'All Trades'!G106</x:f>
        <x:v>0.0279</x:v>
      </x:c>
      <x:c r="F15" s="57" t="str">
        <x:f>'All Trades'!S106</x:f>
        <x:v>GAP/MOM SKIP</x:v>
      </x:c>
      <x:c r="G15" s="56" t="n">
        <x:f>'All Trades'!T106</x:f>
        <x:v>0</x:v>
      </x:c>
      <x:c r="H15" s="56" t="n">
        <x:f>'All Trades'!W106</x:f>
        <x:v>-0.31527000000000005</x:v>
      </x:c>
      <x:c r="I15" s="56" t="n">
        <x:f>'All Trades'!J106</x:f>
        <x:v>0.03763467276824661</x:v>
      </x:c>
      <x:c r="J15" s="56" t="n">
        <x:f>'All Trades'!K106</x:f>
        <x:v>-0.2018755948212394</x:v>
      </x:c>
      <x:c r="K15" s="56" t="n">
        <x:f>'All Trades'!L106</x:f>
        <x:v>0.1024596849038455</x:v>
      </x:c>
      <x:c r="L15" s="72" t="str">
        <x:f>'All Trades'!AE106</x:f>
        <x:v>Monday entry skipped; Tuesday did not normalize within the Friday-based tolerance.</x:v>
      </x:c>
    </x:row>
    <x:row r="16">
      <x:c r="A16" s="57" t="n">
        <x:f>'All Trades'!A129</x:f>
        <x:v>125</x:v>
      </x:c>
      <x:c r="B16" s="71" t="n">
        <x:f>'All Trades'!B129</x:f>
        <x:v>44088</x:v>
      </x:c>
      <x:c r="C16" s="71" t="n">
        <x:f>'All Trades'!C129</x:f>
        <x:v>44091</x:v>
      </x:c>
      <x:c r="D16" s="57" t="str">
        <x:f>'All Trades'!D129</x:f>
        <x:v>TSL1PRE</x:v>
      </x:c>
      <x:c r="E16" s="56" t="n">
        <x:f>'All Trades'!G129</x:f>
        <x:v>-0.00401</x:v>
      </x:c>
      <x:c r="F16" s="57" t="str">
        <x:f>'All Trades'!S129</x:f>
        <x:v>GAP/MOM SKIP</x:v>
      </x:c>
      <x:c r="G16" s="56" t="n">
        <x:f>'All Trades'!T129</x:f>
        <x:v>0</x:v>
      </x:c>
      <x:c r="H16" s="56" t="n">
        <x:f>'All Trades'!W129</x:f>
        <x:v>0.045313</x:v>
      </x:c>
      <x:c r="I16" s="56" t="n">
        <x:f>'All Trades'!J129</x:f>
        <x:v>0.013580342623074948</x:v>
      </x:c>
      <x:c r="J16" s="56" t="n">
        <x:f>'All Trades'!K129</x:f>
        <x:v>-0.007451491620850459</x:v>
      </x:c>
      <x:c r="K16" s="56" t="n">
        <x:f>'All Trades'!L129</x:f>
        <x:v>0.03127462662702296</x:v>
      </x:c>
      <x:c r="L16" s="72" t="str">
        <x:f>'All Trades'!AE129</x:f>
        <x:v>Monday entry skipped; Tuesday did not normalize within the Friday-based tolerance.</x:v>
      </x:c>
    </x:row>
    <x:row r="17">
      <x:c r="A17" s="57" t="n">
        <x:f>'All Trades'!A131</x:f>
        <x:v>127</x:v>
      </x:c>
      <x:c r="B17" s="71" t="n">
        <x:f>'All Trades'!B131</x:f>
        <x:v>44102</x:v>
      </x:c>
      <x:c r="C17" s="71" t="n">
        <x:f>'All Trades'!C131</x:f>
        <x:v>44106</x:v>
      </x:c>
      <x:c r="D17" s="57" t="str">
        <x:f>'All Trades'!D131</x:f>
        <x:v>TSL4</x:v>
      </x:c>
      <x:c r="E17" s="56" t="n">
        <x:f>'All Trades'!G131</x:f>
        <x:v>-0.004</x:v>
      </x:c>
      <x:c r="F17" s="57" t="str">
        <x:f>'All Trades'!S131</x:f>
        <x:v>GAP/MOM SKIP</x:v>
      </x:c>
      <x:c r="G17" s="56" t="n">
        <x:f>'All Trades'!T131</x:f>
        <x:v>0</x:v>
      </x:c>
      <x:c r="H17" s="56" t="n">
        <x:f>'All Trades'!W131</x:f>
        <x:v>0.045200000000000004</x:v>
      </x:c>
      <x:c r="I17" s="56" t="n">
        <x:f>'All Trades'!J131</x:f>
        <x:v>0.019048208739724126</x:v>
      </x:c>
      <x:c r="J17" s="56" t="n">
        <x:f>'All Trades'!K131</x:f>
        <x:v>-0.06561743855329638</x:v>
      </x:c>
      <x:c r="K17" s="56" t="n">
        <x:f>'All Trades'!L131</x:f>
        <x:v>0.019039506313059507</x:v>
      </x:c>
      <x:c r="L17" s="72" t="str">
        <x:f>'All Trades'!AE131</x:f>
        <x:v>Monday entry skipped; Tuesday did not normalize within the Friday-based tolerance.</x:v>
      </x:c>
    </x:row>
    <x:row r="18">
      <x:c r="A18" s="57" t="n">
        <x:f>'All Trades'!A136</x:f>
        <x:v>132</x:v>
      </x:c>
      <x:c r="B18" s="71" t="n">
        <x:f>'All Trades'!B136</x:f>
        <x:v>44137</x:v>
      </x:c>
      <x:c r="C18" s="71" t="n">
        <x:f>'All Trades'!C136</x:f>
        <x:v>44139</x:v>
      </x:c>
      <x:c r="D18" s="57" t="str">
        <x:f>'All Trades'!D136</x:f>
        <x:v>CH</x:v>
      </x:c>
      <x:c r="E18" s="56" t="n">
        <x:f>'All Trades'!G136</x:f>
        <x:v>0.05593</x:v>
      </x:c>
      <x:c r="F18" s="57" t="str">
        <x:f>'All Trades'!S136</x:f>
        <x:v>DAMAGE SKIP</x:v>
      </x:c>
      <x:c r="G18" s="56" t="n">
        <x:f>'All Trades'!T136</x:f>
        <x:v>0</x:v>
      </x:c>
      <x:c r="H18" s="56" t="n">
        <x:f>'All Trades'!W136</x:f>
        <x:v>-0.632009</x:v>
      </x:c>
      <x:c r="I18" s="56" t="n">
        <x:f>'All Trades'!J136</x:f>
        <x:v>0.006033876521436277</x:v>
      </x:c>
      <x:c r="J18" s="56" t="n">
        <x:f>'All Trades'!K136</x:f>
        <x:v>-0.017926547256297387</x:v>
      </x:c>
      <x:c r="K18" s="56" t="n">
        <x:f>'All Trades'!L136</x:f>
        <x:v>0.009159326484192487</x:v>
      </x:c>
      <x:c r="L18" s="72" t="str">
        <x:f>'All Trades'!AE136</x:f>
        <x:v>Skipped because the previous three rule outcomes totalled at or below the damage threshold.</x:v>
      </x:c>
    </x:row>
    <x:row r="19">
      <x:c r="A19" s="57" t="n">
        <x:f>'All Trades'!A137</x:f>
        <x:v>133</x:v>
      </x:c>
      <x:c r="B19" s="71" t="n">
        <x:f>'All Trades'!B137</x:f>
        <x:v>44144</x:v>
      </x:c>
      <x:c r="C19" s="71" t="n">
        <x:f>'All Trades'!C137</x:f>
        <x:v>44147</x:v>
      </x:c>
      <x:c r="D19" s="57" t="str">
        <x:f>'All Trades'!D137</x:f>
        <x:v>TSL1PRE</x:v>
      </x:c>
      <x:c r="E19" s="56" t="n">
        <x:f>'All Trades'!G137</x:f>
        <x:v>-0.02358</x:v>
      </x:c>
      <x:c r="F19" s="57" t="str">
        <x:f>'All Trades'!S137</x:f>
        <x:v>DAMAGE SKIP</x:v>
      </x:c>
      <x:c r="G19" s="56" t="n">
        <x:f>'All Trades'!T137</x:f>
        <x:v>0</x:v>
      </x:c>
      <x:c r="H19" s="56" t="n">
        <x:f>'All Trades'!W137</x:f>
        <x:v>0.266454</x:v>
      </x:c>
      <x:c r="I19" s="56" t="n">
        <x:f>'All Trades'!J137</x:f>
        <x:v>0.009116549574672783</x:v>
      </x:c>
      <x:c r="J19" s="56" t="n">
        <x:f>'All Trades'!K137</x:f>
        <x:v>0.031187701962590575</x:v>
      </x:c>
      <x:c r="K19" s="56" t="n">
        <x:f>'All Trades'!L137</x:f>
        <x:v>-0.03175195854343693</x:v>
      </x:c>
      <x:c r="L19" s="72" t="str">
        <x:f>'All Trades'!AE137</x:f>
        <x:v>Skipped because the previous three rule outcomes totalled at or below the damage threshold.</x:v>
      </x:c>
    </x:row>
    <x:row r="20">
      <x:c r="A20" s="57" t="n">
        <x:f>'All Trades'!A138</x:f>
        <x:v>134</x:v>
      </x:c>
      <x:c r="B20" s="71" t="n">
        <x:f>'All Trades'!B138</x:f>
        <x:v>44151</x:v>
      </x:c>
      <x:c r="C20" s="71" t="n">
        <x:f>'All Trades'!C138</x:f>
        <x:v>44151</x:v>
      </x:c>
      <x:c r="D20" s="57" t="str">
        <x:f>'All Trades'!D138</x:f>
        <x:v>CH</x:v>
      </x:c>
      <x:c r="E20" s="56" t="n">
        <x:f>'All Trades'!G138</x:f>
        <x:v>0.00853</x:v>
      </x:c>
      <x:c r="F20" s="57" t="str">
        <x:f>'All Trades'!S138</x:f>
        <x:v>DAMAGE SKIP</x:v>
      </x:c>
      <x:c r="G20" s="56" t="n">
        <x:f>'All Trades'!T138</x:f>
        <x:v>0</x:v>
      </x:c>
      <x:c r="H20" s="56" t="n">
        <x:f>'All Trades'!W138</x:f>
        <x:v>-0.096389</x:v>
      </x:c>
      <x:c r="I20" s="56" t="n">
        <x:f>'All Trades'!J138</x:f>
        <x:v>-0.0018543600368158275</x:v>
      </x:c>
      <x:c r="J20" s="56" t="n">
        <x:f>'All Trades'!K138</x:f>
        <x:v>0.008413692830721464</x:v>
      </x:c>
      <x:c r="K20" s="56" t="n">
        <x:f>'All Trades'!L138</x:f>
        <x:v>0.008530788938952094</x:v>
      </x:c>
      <x:c r="L20" s="72" t="str">
        <x:f>'All Trades'!AE138</x:f>
        <x:v>Skipped because the previous three rule outcomes totalled at or below the damage threshold.</x:v>
      </x:c>
    </x:row>
    <x:row r="21">
      <x:c r="A21" s="57" t="n">
        <x:f>'All Trades'!A149</x:f>
        <x:v>145</x:v>
      </x:c>
      <x:c r="B21" s="71" t="n">
        <x:f>'All Trades'!B149</x:f>
        <x:v>44228</x:v>
      </x:c>
      <x:c r="C21" s="71" t="n">
        <x:f>'All Trades'!C149</x:f>
        <x:v>44228</x:v>
      </x:c>
      <x:c r="D21" s="57" t="str">
        <x:f>'All Trades'!D149</x:f>
        <x:v>CH</x:v>
      </x:c>
      <x:c r="E21" s="56" t="n">
        <x:f>'All Trades'!G149</x:f>
        <x:v>0.0132</x:v>
      </x:c>
      <x:c r="F21" s="57" t="str">
        <x:f>'All Trades'!S149</x:f>
        <x:v>DAMAGE SKIP</x:v>
      </x:c>
      <x:c r="G21" s="56" t="n">
        <x:f>'All Trades'!T149</x:f>
        <x:v>0</x:v>
      </x:c>
      <x:c r="H21" s="56" t="n">
        <x:f>'All Trades'!W149</x:f>
        <x:v>-0.14916000000000001</x:v>
      </x:c>
      <x:c r="I21" s="56" t="n">
        <x:f>'All Trades'!J149</x:f>
        <x:v>0.010049894524825964</x:v>
      </x:c>
      <x:c r="J21" s="56" t="n">
        <x:f>'All Trades'!K149</x:f>
        <x:v>0.0050791214988819</x:v>
      </x:c>
      <x:c r="K21" s="56" t="n">
        <x:f>'All Trades'!L149</x:f>
        <x:v>0.0346727651758596</x:v>
      </x:c>
      <x:c r="L21" s="72" t="str">
        <x:f>'All Trades'!AE149</x:f>
        <x:v>Skipped because the previous three rule outcomes totalled at or below the damage threshold.</x:v>
      </x:c>
    </x:row>
    <x:row r="22">
      <x:c r="A22" s="57" t="n">
        <x:f>'All Trades'!A150</x:f>
        <x:v>146</x:v>
      </x:c>
      <x:c r="B22" s="71" t="n">
        <x:f>'All Trades'!B150</x:f>
        <x:v>44235</x:v>
      </x:c>
      <x:c r="C22" s="71" t="n">
        <x:f>'All Trades'!C150</x:f>
        <x:v>44239</x:v>
      </x:c>
      <x:c r="D22" s="57" t="str">
        <x:f>'All Trades'!D150</x:f>
        <x:v>TO</x:v>
      </x:c>
      <x:c r="E22" s="56" t="n">
        <x:f>'All Trades'!G150</x:f>
        <x:v>0.01051</x:v>
      </x:c>
      <x:c r="F22" s="57" t="str">
        <x:f>'All Trades'!S150</x:f>
        <x:v>DAMAGE SKIP</x:v>
      </x:c>
      <x:c r="G22" s="56" t="n">
        <x:f>'All Trades'!T150</x:f>
        <x:v>0</x:v>
      </x:c>
      <x:c r="H22" s="56" t="n">
        <x:f>'All Trades'!W150</x:f>
        <x:v>-0.11876300000000001</x:v>
      </x:c>
      <x:c r="I22" s="56" t="n">
        <x:f>'All Trades'!J150</x:f>
        <x:v>0.005065093062079473</x:v>
      </x:c>
      <x:c r="J22" s="56" t="n">
        <x:f>'All Trades'!K150</x:f>
        <x:v>0.052004665498120106</x:v>
      </x:c>
      <x:c r="K22" s="56" t="n">
        <x:f>'All Trades'!L150</x:f>
        <x:v>0.0038278578861303814</x:v>
      </x:c>
      <x:c r="L22" s="72" t="str">
        <x:f>'All Trades'!AE150</x:f>
        <x:v>Skipped because the previous three rule outcomes totalled at or below the damage threshold.</x:v>
      </x:c>
    </x:row>
    <x:row r="23">
      <x:c r="A23" s="57" t="n">
        <x:f>'All Trades'!A151</x:f>
        <x:v>147</x:v>
      </x:c>
      <x:c r="B23" s="71" t="n">
        <x:f>'All Trades'!B151</x:f>
        <x:v>44243</x:v>
      </x:c>
      <x:c r="C23" s="71" t="n">
        <x:f>'All Trades'!C151</x:f>
        <x:v>44245</x:v>
      </x:c>
      <x:c r="D23" s="57" t="str">
        <x:f>'All Trades'!D151</x:f>
        <x:v>TSL1PRE</x:v>
      </x:c>
      <x:c r="E23" s="56" t="n">
        <x:f>'All Trades'!G151</x:f>
        <x:v>-0.00993</x:v>
      </x:c>
      <x:c r="F23" s="57" t="str">
        <x:f>'All Trades'!S151</x:f>
        <x:v>DAMAGE SKIP</x:v>
      </x:c>
      <x:c r="G23" s="56" t="n">
        <x:f>'All Trades'!T151</x:f>
        <x:v>0</x:v>
      </x:c>
      <x:c r="H23" s="56" t="n">
        <x:f>'All Trades'!W151</x:f>
        <x:v>0.112209</x:v>
      </x:c>
      <x:c r="I23" s="56" t="n">
        <x:f>'All Trades'!J151</x:f>
        <x:v>0.001829094531615283</x:v>
      </x:c>
      <x:c r="J23" s="56" t="n">
        <x:f>'All Trades'!K151</x:f>
        <x:v>0.07028013463177052</x:v>
      </x:c>
      <x:c r="K23" s="56" t="n">
        <x:f>'All Trades'!L151</x:f>
        <x:v>0</x:v>
      </x:c>
      <x:c r="L23" s="72" t="str">
        <x:f>'All Trades'!AE151</x:f>
        <x:v>Skipped because the previous three rule outcomes totalled at or below the damage threshold.</x:v>
      </x:c>
    </x:row>
    <x:row r="24">
      <x:c r="A24" s="57" t="n">
        <x:f>'All Trades'!A153</x:f>
        <x:v>149</x:v>
      </x:c>
      <x:c r="B24" s="71" t="n">
        <x:f>'All Trades'!B153</x:f>
        <x:v>44256</x:v>
      </x:c>
      <x:c r="C24" s="71" t="n">
        <x:f>'All Trades'!C153</x:f>
        <x:v>44256</x:v>
      </x:c>
      <x:c r="D24" s="57" t="str">
        <x:f>'All Trades'!D153</x:f>
        <x:v>CH</x:v>
      </x:c>
      <x:c r="E24" s="56" t="n">
        <x:f>'All Trades'!G153</x:f>
        <x:v>0.01315</x:v>
      </x:c>
      <x:c r="F24" s="57" t="str">
        <x:f>'All Trades'!S153</x:f>
        <x:v>GAP/MOM SKIP</x:v>
      </x:c>
      <x:c r="G24" s="56" t="n">
        <x:f>'All Trades'!T153</x:f>
        <x:v>0</x:v>
      </x:c>
      <x:c r="H24" s="56" t="n">
        <x:f>'All Trades'!W153</x:f>
        <x:v>-0.148595</x:v>
      </x:c>
      <x:c r="I24" s="56" t="n">
        <x:f>'All Trades'!J153</x:f>
        <x:v>0.015032910838798541</x:v>
      </x:c>
      <x:c r="J24" s="56" t="n">
        <x:f>'All Trades'!K153</x:f>
        <x:v>-0.022349830092746492</x:v>
      </x:c>
      <x:c r="K24" s="56" t="n">
        <x:f>'All Trades'!L153</x:f>
        <x:v>0.0322167558491282</x:v>
      </x:c>
      <x:c r="L24" s="72" t="str">
        <x:f>'All Trades'!AE153</x:f>
        <x:v>Monday entry skipped; Tuesday did not normalize within the Friday-based tolerance.</x:v>
      </x:c>
    </x:row>
    <x:row r="25">
      <x:c r="A25" s="57" t="n">
        <x:f>'All Trades'!A163</x:f>
        <x:v>159</x:v>
      </x:c>
      <x:c r="B25" s="71" t="n">
        <x:f>'All Trades'!B163</x:f>
        <x:v>44326</x:v>
      </x:c>
      <x:c r="C25" s="71" t="n">
        <x:f>'All Trades'!C163</x:f>
        <x:v>44328</x:v>
      </x:c>
      <x:c r="D25" s="57" t="str">
        <x:f>'All Trades'!D163</x:f>
        <x:v>SL</x:v>
      </x:c>
      <x:c r="E25" s="56" t="n">
        <x:f>'All Trades'!G163</x:f>
        <x:v>-0.0504</x:v>
      </x:c>
      <x:c r="F25" s="57" t="str">
        <x:f>'All Trades'!S163</x:f>
        <x:v>DAMAGE SKIP</x:v>
      </x:c>
      <x:c r="G25" s="56" t="n">
        <x:f>'All Trades'!T163</x:f>
        <x:v>0</x:v>
      </x:c>
      <x:c r="H25" s="56" t="n">
        <x:f>'All Trades'!W163</x:f>
        <x:v>0.56952</x:v>
      </x:c>
      <x:c r="I25" s="56" t="n">
        <x:f>'All Trades'!J163</x:f>
        <x:v>-0.004494954056513456</x:v>
      </x:c>
      <x:c r="J25" s="56" t="n">
        <x:f>'All Trades'!K163</x:f>
        <x:v>-0.008637805067147508</x:v>
      </x:c>
      <x:c r="K25" s="56" t="n">
        <x:f>'All Trades'!L163</x:f>
        <x:v>-0.043387453919806585</x:v>
      </x:c>
      <x:c r="L25" s="72" t="str">
        <x:f>'All Trades'!AE163</x:f>
        <x:v>Skipped because the previous three rule outcomes totalled at or below the damage threshold.</x:v>
      </x:c>
    </x:row>
    <x:row r="26">
      <x:c r="A26" s="57" t="n">
        <x:f>'All Trades'!A164</x:f>
        <x:v>160</x:v>
      </x:c>
      <x:c r="B26" s="71" t="n">
        <x:f>'All Trades'!B164</x:f>
        <x:v>44333</x:v>
      </x:c>
      <x:c r="C26" s="71" t="n">
        <x:f>'All Trades'!C164</x:f>
        <x:v>44336</x:v>
      </x:c>
      <x:c r="D26" s="57" t="str">
        <x:f>'All Trades'!D164</x:f>
        <x:v>TSL1PRE</x:v>
      </x:c>
      <x:c r="E26" s="56" t="n">
        <x:f>'All Trades'!G164</x:f>
        <x:v>-0.00703</x:v>
      </x:c>
      <x:c r="F26" s="57" t="str">
        <x:f>'All Trades'!S164</x:f>
        <x:v>DAMAGE SKIP</x:v>
      </x:c>
      <x:c r="G26" s="56" t="n">
        <x:f>'All Trades'!T164</x:f>
        <x:v>0</x:v>
      </x:c>
      <x:c r="H26" s="56" t="n">
        <x:f>'All Trades'!W164</x:f>
        <x:v>0.079439</x:v>
      </x:c>
      <x:c r="I26" s="56" t="n">
        <x:f>'All Trades'!J164</x:f>
        <x:v>-0.006127231933789501</x:v>
      </x:c>
      <x:c r="J26" s="56" t="n">
        <x:f>'All Trades'!K164</x:f>
        <x:v>-0.04568625276829619</x:v>
      </x:c>
      <x:c r="K26" s="56" t="n">
        <x:f>'All Trades'!L164</x:f>
        <x:v>-0.0030774641695243687</x:v>
      </x:c>
      <x:c r="L26" s="72" t="str">
        <x:f>'All Trades'!AE164</x:f>
        <x:v>Skipped because the previous three rule outcomes totalled at or below the damage threshold.</x:v>
      </x:c>
    </x:row>
    <x:row r="27">
      <x:c r="A27" s="57" t="n">
        <x:f>'All Trades'!A165</x:f>
        <x:v>161</x:v>
      </x:c>
      <x:c r="B27" s="71" t="n">
        <x:f>'All Trades'!B165</x:f>
        <x:v>44340</x:v>
      </x:c>
      <x:c r="C27" s="71" t="n">
        <x:f>'All Trades'!C165</x:f>
        <x:v>44340</x:v>
      </x:c>
      <x:c r="D27" s="57" t="str">
        <x:f>'All Trades'!D165</x:f>
        <x:v>CH</x:v>
      </x:c>
      <x:c r="E27" s="56" t="n">
        <x:f>'All Trades'!G165</x:f>
        <x:v>0.00936</x:v>
      </x:c>
      <x:c r="F27" s="57" t="str">
        <x:f>'All Trades'!S165</x:f>
        <x:v>DAMAGE SKIP</x:v>
      </x:c>
      <x:c r="G27" s="56" t="n">
        <x:f>'All Trades'!T165</x:f>
        <x:v>0</x:v>
      </x:c>
      <x:c r="H27" s="56" t="n">
        <x:f>'All Trades'!W165</x:f>
        <x:v>-0.10576800000000001</x:v>
      </x:c>
      <x:c r="I27" s="56" t="n">
        <x:f>'All Trades'!J165</x:f>
        <x:v>0.006520608706345854</x:v>
      </x:c>
      <x:c r="J27" s="56" t="n">
        <x:f>'All Trades'!K165</x:f>
        <x:v>-0.03658676522989035</x:v>
      </x:c>
      <x:c r="K27" s="56" t="n">
        <x:f>'All Trades'!L165</x:f>
        <x:v>0.021602171500931133</x:v>
      </x:c>
      <x:c r="L27" s="72" t="str">
        <x:f>'All Trades'!AE165</x:f>
        <x:v>Skipped because the previous three rule outcomes totalled at or below the damage threshold.</x:v>
      </x:c>
    </x:row>
    <x:row r="28">
      <x:c r="A28" s="57" t="n">
        <x:f>'All Trades'!A186</x:f>
        <x:v>182</x:v>
      </x:c>
      <x:c r="B28" s="71" t="n">
        <x:f>'All Trades'!B186</x:f>
        <x:v>44487</x:v>
      </x:c>
      <x:c r="C28" s="71" t="n">
        <x:f>'All Trades'!C186</x:f>
        <x:v>44487</x:v>
      </x:c>
      <x:c r="D28" s="57" t="str">
        <x:f>'All Trades'!D186</x:f>
        <x:v>CH</x:v>
      </x:c>
      <x:c r="E28" s="56" t="n">
        <x:f>'All Trades'!G186</x:f>
        <x:v>0.01416</x:v>
      </x:c>
      <x:c r="F28" s="57" t="str">
        <x:f>'All Trades'!S186</x:f>
        <x:v>DAMAGE SKIP</x:v>
      </x:c>
      <x:c r="G28" s="56" t="n">
        <x:f>'All Trades'!T186</x:f>
        <x:v>0</x:v>
      </x:c>
      <x:c r="H28" s="56" t="n">
        <x:f>'All Trades'!W186</x:f>
        <x:v>-0.160008</x:v>
      </x:c>
      <x:c r="I28" s="56" t="n">
        <x:f>'All Trades'!J186</x:f>
        <x:v>-0.003789476992098084</x:v>
      </x:c>
      <x:c r="J28" s="56" t="n">
        <x:f>'All Trades'!K186</x:f>
        <x:v>-0.011970554244055909</x:v>
      </x:c>
      <x:c r="K28" s="56" t="n">
        <x:f>'All Trades'!L186</x:f>
        <x:v>0.013008107546254699</x:v>
      </x:c>
      <x:c r="L28" s="72" t="str">
        <x:f>'All Trades'!AE186</x:f>
        <x:v>Skipped because the previous three rule outcomes totalled at or below the damage threshold.</x:v>
      </x:c>
    </x:row>
    <x:row r="29">
      <x:c r="A29" s="57" t="n">
        <x:f>'All Trades'!A192</x:f>
        <x:v>188</x:v>
      </x:c>
      <x:c r="B29" s="71" t="n">
        <x:f>'All Trades'!B192</x:f>
        <x:v>44529</x:v>
      </x:c>
      <x:c r="C29" s="71" t="n">
        <x:f>'All Trades'!C192</x:f>
        <x:v>44529</x:v>
      </x:c>
      <x:c r="D29" s="57" t="str">
        <x:f>'All Trades'!D192</x:f>
        <x:v>CH</x:v>
      </x:c>
      <x:c r="E29" s="56" t="n">
        <x:f>'All Trades'!G192</x:f>
        <x:v>0.00962</x:v>
      </x:c>
      <x:c r="F29" s="57" t="str">
        <x:f>'All Trades'!S192</x:f>
        <x:v>DAMAGE SKIP</x:v>
      </x:c>
      <x:c r="G29" s="56" t="n">
        <x:f>'All Trades'!T192</x:f>
        <x:v>0</x:v>
      </x:c>
      <x:c r="H29" s="56" t="n">
        <x:f>'All Trades'!W192</x:f>
        <x:v>-0.10870600000000001</x:v>
      </x:c>
      <x:c r="I29" s="56" t="n">
        <x:f>'All Trades'!J192</x:f>
        <x:v>0.012232759797007553</x:v>
      </x:c>
      <x:c r="J29" s="56" t="n">
        <x:f>'All Trades'!K192</x:f>
        <x:v>0.018160089855581596</x:v>
      </x:c>
      <x:c r="K29" s="56" t="n">
        <x:f>'All Trades'!L192</x:f>
        <x:v>0.019375903507373282</x:v>
      </x:c>
      <x:c r="L29" s="72" t="str">
        <x:f>'All Trades'!AE192</x:f>
        <x:v>Skipped because the previous three rule outcomes totalled at or below the damage threshold.</x:v>
      </x:c>
    </x:row>
    <x:row r="30">
      <x:c r="A30" s="57" t="n">
        <x:f>'All Trades'!A207</x:f>
        <x:v>203</x:v>
      </x:c>
      <x:c r="B30" s="71" t="n">
        <x:f>'All Trades'!B207</x:f>
        <x:v>44634</x:v>
      </x:c>
      <x:c r="C30" s="71" t="n">
        <x:f>'All Trades'!C207</x:f>
        <x:v>44636</x:v>
      </x:c>
      <x:c r="D30" s="57" t="str">
        <x:f>'All Trades'!D207</x:f>
        <x:v>CH</x:v>
      </x:c>
      <x:c r="E30" s="56" t="n">
        <x:f>'All Trades'!G207</x:f>
        <x:v>0.05285</x:v>
      </x:c>
      <x:c r="F30" s="57" t="str">
        <x:f>'All Trades'!S207</x:f>
        <x:v>DAMAGE SKIP</x:v>
      </x:c>
      <x:c r="G30" s="56" t="n">
        <x:f>'All Trades'!T207</x:f>
        <x:v>0</x:v>
      </x:c>
      <x:c r="H30" s="56" t="n">
        <x:f>'All Trades'!W207</x:f>
        <x:v>-0.5972050000000001</x:v>
      </x:c>
      <x:c r="I30" s="56" t="n">
        <x:f>'All Trades'!J207</x:f>
        <x:v>-0.004910771993937857</x:v>
      </x:c>
      <x:c r="J30" s="56" t="n">
        <x:f>'All Trades'!K207</x:f>
        <x:v>-0.09494731323124628</x:v>
      </x:c>
      <x:c r="K30" s="56" t="n">
        <x:f>'All Trades'!L207</x:f>
        <x:v>-0.010833666539680875</x:v>
      </x:c>
      <x:c r="L30" s="72" t="str">
        <x:f>'All Trades'!AE207</x:f>
        <x:v>Skipped because the previous three rule outcomes totalled at or below the damage threshold.</x:v>
      </x:c>
    </x:row>
    <x:row r="31">
      <x:c r="A31" s="57" t="n">
        <x:f>'All Trades'!A219</x:f>
        <x:v>215</x:v>
      </x:c>
      <x:c r="B31" s="71" t="n">
        <x:f>'All Trades'!B219</x:f>
        <x:v>44718</x:v>
      </x:c>
      <x:c r="C31" s="71" t="n">
        <x:f>'All Trades'!C219</x:f>
        <x:v>44721</x:v>
      </x:c>
      <x:c r="D31" s="57" t="str">
        <x:f>'All Trades'!D219</x:f>
        <x:v>TSL1PRE</x:v>
      </x:c>
      <x:c r="E31" s="56" t="n">
        <x:f>'All Trades'!G219</x:f>
        <x:v>-0.00978</x:v>
      </x:c>
      <x:c r="F31" s="57" t="str">
        <x:f>'All Trades'!S219</x:f>
        <x:v>GAP/MOM SKIP</x:v>
      </x:c>
      <x:c r="G31" s="56" t="n">
        <x:f>'All Trades'!T219</x:f>
        <x:v>0</x:v>
      </x:c>
      <x:c r="H31" s="56" t="n">
        <x:f>'All Trades'!W219</x:f>
        <x:v>0.11051400000000002</x:v>
      </x:c>
      <x:c r="I31" s="56" t="n">
        <x:f>'All Trades'!J219</x:f>
        <x:v>0.01537713630786608</x:v>
      </x:c>
      <x:c r="J31" s="56" t="n">
        <x:f>'All Trades'!K219</x:f>
        <x:v>-0.021728007195956134</x:v>
      </x:c>
      <x:c r="K31" s="56" t="n">
        <x:f>'All Trades'!L219</x:f>
        <x:v>-0.007808856255746899</x:v>
      </x:c>
      <x:c r="L31" s="72" t="str">
        <x:f>'All Trades'!AE219</x:f>
        <x:v>Monday entry skipped; Tuesday did not normalize within the Friday-based tolerance.</x:v>
      </x:c>
    </x:row>
    <x:row r="32">
      <x:c r="A32" s="57" t="n">
        <x:f>'All Trades'!A221</x:f>
        <x:v>217</x:v>
      </x:c>
      <x:c r="B32" s="71" t="n">
        <x:f>'All Trades'!B221</x:f>
        <x:v>44733</x:v>
      </x:c>
      <x:c r="C32" s="71" t="n">
        <x:f>'All Trades'!C221</x:f>
        <x:v>44733</x:v>
      </x:c>
      <x:c r="D32" s="57" t="str">
        <x:f>'All Trades'!D221</x:f>
        <x:v>CH</x:v>
      </x:c>
      <x:c r="E32" s="56" t="n">
        <x:f>'All Trades'!G221</x:f>
        <x:v>0.00855</x:v>
      </x:c>
      <x:c r="F32" s="57" t="str">
        <x:f>'All Trades'!S221</x:f>
        <x:v>GAP/MOM SKIP</x:v>
      </x:c>
      <x:c r="G32" s="56" t="n">
        <x:f>'All Trades'!T221</x:f>
        <x:v>0</x:v>
      </x:c>
      <x:c r="H32" s="56" t="n">
        <x:f>'All Trades'!W221</x:f>
        <x:v>-0.096615</x:v>
      </x:c>
      <x:c r="I32" s="56" t="n">
        <x:f>'All Trades'!J221</x:f>
        <x:v>0.015812646725976043</x:v>
      </x:c>
      <x:c r="J32" s="56" t="n">
        <x:f>'All Trades'!K221</x:f>
        <x:v>-0.05142665915175426</x:v>
      </x:c>
      <x:c r="K32" s="56" t="n">
        <x:f>'All Trades'!L221</x:f>
        <x:v>0</x:v>
      </x:c>
      <x:c r="L32" s="72" t="str">
        <x:f>'All Trades'!AE221</x:f>
        <x:v>Monday entry skipped; Tuesday did not normalize within the Friday-based tolerance.</x:v>
      </x:c>
    </x:row>
    <x:row r="33">
      <x:c r="A33" s="57" t="n">
        <x:f>'All Trades'!A223</x:f>
        <x:v>219</x:v>
      </x:c>
      <x:c r="B33" s="71" t="n">
        <x:f>'All Trades'!B223</x:f>
        <x:v>44747</x:v>
      </x:c>
      <x:c r="C33" s="71" t="n">
        <x:f>'All Trades'!C223</x:f>
        <x:v>44747</x:v>
      </x:c>
      <x:c r="D33" s="57" t="str">
        <x:f>'All Trades'!D223</x:f>
        <x:v>CH</x:v>
      </x:c>
      <x:c r="E33" s="56" t="n">
        <x:f>'All Trades'!G223</x:f>
        <x:v>0.03024</x:v>
      </x:c>
      <x:c r="F33" s="57" t="str">
        <x:f>'All Trades'!S223</x:f>
        <x:v>DAMAGE SKIP</x:v>
      </x:c>
      <x:c r="G33" s="56" t="n">
        <x:f>'All Trades'!T223</x:f>
        <x:v>0</x:v>
      </x:c>
      <x:c r="H33" s="56" t="n">
        <x:f>'All Trades'!W223</x:f>
        <x:v>-0.341712</x:v>
      </x:c>
      <x:c r="I33" s="56" t="n">
        <x:f>'All Trades'!J223</x:f>
        <x:v>-0.014133538901620946</x:v>
      </x:c>
      <x:c r="J33" s="56" t="n">
        <x:f>'All Trades'!K223</x:f>
        <x:v>-0.10085953191365082</x:v>
      </x:c>
      <x:c r="K33" s="56" t="n">
        <x:f>'All Trades'!L223</x:f>
        <x:v>0</x:v>
      </x:c>
      <x:c r="L33" s="72" t="str">
        <x:f>'All Trades'!AE223</x:f>
        <x:v>Skipped because the previous three rule outcomes totalled at or below the damage threshold.</x:v>
      </x:c>
    </x:row>
    <x:row r="34">
      <x:c r="A34" s="57" t="n">
        <x:f>'All Trades'!A224</x:f>
        <x:v>220</x:v>
      </x:c>
      <x:c r="B34" s="71" t="n">
        <x:f>'All Trades'!B224</x:f>
        <x:v>44753</x:v>
      </x:c>
      <x:c r="C34" s="71" t="n">
        <x:f>'All Trades'!C224</x:f>
        <x:v>44756</x:v>
      </x:c>
      <x:c r="D34" s="57" t="str">
        <x:f>'All Trades'!D224</x:f>
        <x:v>TSL1PRE</x:v>
      </x:c>
      <x:c r="E34" s="56" t="n">
        <x:f>'All Trades'!G224</x:f>
        <x:v>-0.02696</x:v>
      </x:c>
      <x:c r="F34" s="57" t="str">
        <x:f>'All Trades'!S224</x:f>
        <x:v>DAMAGE SKIP</x:v>
      </x:c>
      <x:c r="G34" s="56" t="n">
        <x:f>'All Trades'!T224</x:f>
        <x:v>0</x:v>
      </x:c>
      <x:c r="H34" s="56" t="n">
        <x:f>'All Trades'!W224</x:f>
        <x:v>0.30464800000000003</x:v>
      </x:c>
      <x:c r="I34" s="56" t="n">
        <x:f>'All Trades'!J224</x:f>
        <x:v>-0.009075187379249283</x:v>
      </x:c>
      <x:c r="J34" s="56" t="n">
        <x:f>'All Trades'!K224</x:f>
        <x:v>-0.03810559613771336</x:v>
      </x:c>
      <x:c r="K34" s="56" t="n">
        <x:f>'All Trades'!L224</x:f>
        <x:v>-0.017029139132203386</x:v>
      </x:c>
      <x:c r="L34" s="72" t="str">
        <x:f>'All Trades'!AE224</x:f>
        <x:v>Skipped because the previous three rule outcomes totalled at or below the damage threshold.</x:v>
      </x:c>
    </x:row>
    <x:row r="35">
      <x:c r="A35" s="57" t="n">
        <x:f>'All Trades'!A225</x:f>
        <x:v>221</x:v>
      </x:c>
      <x:c r="B35" s="71" t="n">
        <x:f>'All Trades'!B225</x:f>
        <x:v>44760</x:v>
      </x:c>
      <x:c r="C35" s="71" t="n">
        <x:f>'All Trades'!C225</x:f>
        <x:v>44764</x:v>
      </x:c>
      <x:c r="D35" s="57" t="str">
        <x:f>'All Trades'!D225</x:f>
        <x:v>TO</x:v>
      </x:c>
      <x:c r="E35" s="56" t="n">
        <x:f>'All Trades'!G225</x:f>
        <x:v>0.02421</x:v>
      </x:c>
      <x:c r="F35" s="57" t="str">
        <x:f>'All Trades'!S225</x:f>
        <x:v>DAMAGE SKIP</x:v>
      </x:c>
      <x:c r="G35" s="56" t="n">
        <x:f>'All Trades'!T225</x:f>
        <x:v>0</x:v>
      </x:c>
      <x:c r="H35" s="56" t="n">
        <x:f>'All Trades'!W225</x:f>
        <x:v>-0.273573</x:v>
      </x:c>
      <x:c r="I35" s="56" t="n">
        <x:f>'All Trades'!J225</x:f>
        <x:v>0.009818624726217973</x:v>
      </x:c>
      <x:c r="J35" s="56" t="n">
        <x:f>'All Trades'!K225</x:f>
        <x:v>0.03405811738904574</x:v>
      </x:c>
      <x:c r="K35" s="56" t="n">
        <x:f>'All Trades'!L225</x:f>
        <x:v>0.004252216803756204</x:v>
      </x:c>
      <x:c r="L35" s="72" t="str">
        <x:f>'All Trades'!AE225</x:f>
        <x:v>Skipped because the previous three rule outcomes totalled at or below the damage threshold.</x:v>
      </x:c>
    </x:row>
    <x:row r="36">
      <x:c r="A36" s="57" t="n">
        <x:f>'All Trades'!A238</x:f>
        <x:v>234</x:v>
      </x:c>
      <x:c r="B36" s="71" t="n">
        <x:f>'All Trades'!B238</x:f>
        <x:v>44851</x:v>
      </x:c>
      <x:c r="C36" s="71" t="n">
        <x:f>'All Trades'!C238</x:f>
        <x:v>44851</x:v>
      </x:c>
      <x:c r="D36" s="57" t="str">
        <x:f>'All Trades'!D238</x:f>
        <x:v>CH</x:v>
      </x:c>
      <x:c r="E36" s="56" t="n">
        <x:f>'All Trades'!G238</x:f>
        <x:v>0.0101</x:v>
      </x:c>
      <x:c r="F36" s="57" t="str">
        <x:f>'All Trades'!S238</x:f>
        <x:v>GAP/MOM SKIP</x:v>
      </x:c>
      <x:c r="G36" s="56" t="n">
        <x:f>'All Trades'!T238</x:f>
        <x:v>0</x:v>
      </x:c>
      <x:c r="H36" s="56" t="n">
        <x:f>'All Trades'!W238</x:f>
        <x:v>-0.11413000000000001</x:v>
      </x:c>
      <x:c r="I36" s="56" t="n">
        <x:f>'All Trades'!J238</x:f>
        <x:v>0.02333899452745003</x:v>
      </x:c>
      <x:c r="J36" s="56" t="n">
        <x:f>'All Trades'!K238</x:f>
        <x:v>-0.09716049252381487</x:v>
      </x:c>
      <x:c r="K36" s="56" t="n">
        <x:f>'All Trades'!L238</x:f>
        <x:v>0.06055916962569996</x:v>
      </x:c>
      <x:c r="L36" s="72" t="str">
        <x:f>'All Trades'!AE238</x:f>
        <x:v>Monday entry skipped; Tuesday did not normalize within the Friday-based tolerance.</x:v>
      </x:c>
    </x:row>
    <x:row r="37">
      <x:c r="A37" s="57" t="n">
        <x:f>'All Trades'!A246</x:f>
        <x:v>242</x:v>
      </x:c>
      <x:c r="B37" s="71" t="n">
        <x:f>'All Trades'!B246</x:f>
        <x:v>44907</x:v>
      </x:c>
      <x:c r="C37" s="71" t="n">
        <x:f>'All Trades'!C246</x:f>
        <x:v>44907</x:v>
      </x:c>
      <x:c r="D37" s="57" t="str">
        <x:f>'All Trades'!D246</x:f>
        <x:v>CH</x:v>
      </x:c>
      <x:c r="E37" s="56" t="n">
        <x:f>'All Trades'!G246</x:f>
        <x:v>0.01024</x:v>
      </x:c>
      <x:c r="F37" s="57" t="str">
        <x:f>'All Trades'!S246</x:f>
        <x:v>DAMAGE SKIP</x:v>
      </x:c>
      <x:c r="G37" s="56" t="n">
        <x:f>'All Trades'!T246</x:f>
        <x:v>0</x:v>
      </x:c>
      <x:c r="H37" s="56" t="n">
        <x:f>'All Trades'!W246</x:f>
        <x:v>-0.11571200000000002</x:v>
      </x:c>
      <x:c r="I37" s="56" t="n">
        <x:f>'All Trades'!J246</x:f>
        <x:v>0.0006738352705448758</x:v>
      </x:c>
      <x:c r="J37" s="56" t="n">
        <x:f>'All Trades'!K246</x:f>
        <x:v>-0.0025124363803663563</x:v>
      </x:c>
      <x:c r="K37" s="56" t="n">
        <x:f>'All Trades'!L246</x:f>
        <x:v>0.05179862855248518</x:v>
      </x:c>
      <x:c r="L37" s="72" t="str">
        <x:f>'All Trades'!AE246</x:f>
        <x:v>Skipped because the previous three rule outcomes totalled at or below the damage threshold.</x:v>
      </x:c>
    </x:row>
    <x:row r="38">
      <x:c r="A38" s="57" t="n">
        <x:f>'All Trades'!A247</x:f>
        <x:v>243</x:v>
      </x:c>
      <x:c r="B38" s="71" t="n">
        <x:f>'All Trades'!B247</x:f>
        <x:v>44914</x:v>
      </x:c>
      <x:c r="C38" s="71" t="n">
        <x:f>'All Trades'!C247</x:f>
        <x:v>44916</x:v>
      </x:c>
      <x:c r="D38" s="57" t="str">
        <x:f>'All Trades'!D247</x:f>
        <x:v>BH</x:v>
      </x:c>
      <x:c r="E38" s="56" t="n">
        <x:f>'All Trades'!G247</x:f>
        <x:v>-0.004</x:v>
      </x:c>
      <x:c r="F38" s="57" t="str">
        <x:f>'All Trades'!S247</x:f>
        <x:v>DAMAGE SKIP</x:v>
      </x:c>
      <x:c r="G38" s="56" t="n">
        <x:f>'All Trades'!T247</x:f>
        <x:v>0</x:v>
      </x:c>
      <x:c r="H38" s="56" t="n">
        <x:f>'All Trades'!W247</x:f>
        <x:v>0.045200000000000004</x:v>
      </x:c>
      <x:c r="I38" s="56" t="n">
        <x:f>'All Trades'!J247</x:f>
        <x:v>0.0012063715291332766</x:v>
      </x:c>
      <x:c r="J38" s="56" t="n">
        <x:f>'All Trades'!K247</x:f>
        <x:v>-0.03707496708213942</x:v>
      </x:c>
      <x:c r="K38" s="56" t="n">
        <x:f>'All Trades'!L247</x:f>
        <x:v>-0.018406317513609216</x:v>
      </x:c>
      <x:c r="L38" s="72" t="str">
        <x:f>'All Trades'!AE247</x:f>
        <x:v>Skipped because the previous three rule outcomes totalled at or below the damage threshold.</x:v>
      </x:c>
    </x:row>
    <x:row r="39">
      <x:c r="A39" s="57" t="n">
        <x:f>'All Trades'!A248</x:f>
        <x:v>244</x:v>
      </x:c>
      <x:c r="B39" s="71" t="n">
        <x:f>'All Trades'!B248</x:f>
        <x:v>44922</x:v>
      </x:c>
      <x:c r="C39" s="71" t="n">
        <x:f>'All Trades'!C248</x:f>
        <x:v>44924</x:v>
      </x:c>
      <x:c r="D39" s="57" t="str">
        <x:f>'All Trades'!D248</x:f>
        <x:v>TSL1PRE</x:v>
      </x:c>
      <x:c r="E39" s="56" t="n">
        <x:f>'All Trades'!G248</x:f>
        <x:v>-0.02401</x:v>
      </x:c>
      <x:c r="F39" s="57" t="str">
        <x:f>'All Trades'!S248</x:f>
        <x:v>DAMAGE SKIP</x:v>
      </x:c>
      <x:c r="G39" s="56" t="n">
        <x:f>'All Trades'!T248</x:f>
        <x:v>0</x:v>
      </x:c>
      <x:c r="H39" s="56" t="n">
        <x:f>'All Trades'!W248</x:f>
        <x:v>0.271313</x:v>
      </x:c>
      <x:c r="I39" s="56" t="n">
        <x:f>'All Trades'!J248</x:f>
        <x:v>-0.0019186746842526636</x:v>
      </x:c>
      <x:c r="J39" s="56" t="n">
        <x:f>'All Trades'!K248</x:f>
        <x:v>-0.06594313524771633</x:v>
      </x:c>
      <x:c r="K39" s="56" t="n">
        <x:f>'All Trades'!L248</x:f>
        <x:v>0</x:v>
      </x:c>
      <x:c r="L39" s="72" t="str">
        <x:f>'All Trades'!AE248</x:f>
        <x:v>Skipped because the previous three rule outcomes totalled at or below the damage threshold.</x:v>
      </x:c>
    </x:row>
    <x:row r="40">
      <x:c r="A40" s="57" t="n">
        <x:f>'All Trades'!A257</x:f>
        <x:v>253</x:v>
      </x:c>
      <x:c r="B40" s="71" t="n">
        <x:f>'All Trades'!B257</x:f>
        <x:v>44984</x:v>
      </x:c>
      <x:c r="C40" s="71" t="n">
        <x:f>'All Trades'!C257</x:f>
        <x:v>44986</x:v>
      </x:c>
      <x:c r="D40" s="57" t="str">
        <x:f>'All Trades'!D257</x:f>
        <x:v>BEPRE</x:v>
      </x:c>
      <x:c r="E40" s="56" t="n">
        <x:f>'All Trades'!G257</x:f>
        <x:v>-0.00393</x:v>
      </x:c>
      <x:c r="F40" s="57" t="str">
        <x:f>'All Trades'!S257</x:f>
        <x:v>TUESDAY RE-ENTRY</x:v>
      </x:c>
      <x:c r="G40" s="56" t="n">
        <x:f>'All Trades'!T257</x:f>
        <x:v>0.00242</x:v>
      </x:c>
      <x:c r="H40" s="56" t="n">
        <x:f>'All Trades'!W257</x:f>
        <x:v>0.071755</x:v>
      </x:c>
      <x:c r="I40" s="56" t="n">
        <x:f>'All Trades'!J257</x:f>
        <x:v>0.011334141295731293</x:v>
      </x:c>
      <x:c r="J40" s="56" t="n">
        <x:f>'All Trades'!K257</x:f>
        <x:v>-0.005077282530553506</x:v>
      </x:c>
      <x:c r="K40" s="56" t="n">
        <x:f>'All Trades'!L257</x:f>
        <x:v>0.0049642359627457555</x:v>
      </x:c>
      <x:c r="L40" s="72" t="str">
        <x:f>'All Trades'!AE257</x:f>
        <x:v>Monday entry delayed; Tuesday opened within the Friday-normalization tolerance. Original exit price reused.</x:v>
      </x:c>
    </x:row>
    <x:row r="41">
      <x:c r="A41" s="57" t="n">
        <x:f>'All Trades'!A272</x:f>
        <x:v>268</x:v>
      </x:c>
      <x:c r="B41" s="71" t="n">
        <x:f>'All Trades'!B272</x:f>
        <x:v>45089</x:v>
      </x:c>
      <x:c r="C41" s="71" t="n">
        <x:f>'All Trades'!C272</x:f>
        <x:v>45089</x:v>
      </x:c>
      <x:c r="D41" s="57" t="str">
        <x:f>'All Trades'!D272</x:f>
        <x:v>CH</x:v>
      </x:c>
      <x:c r="E41" s="56" t="n">
        <x:f>'All Trades'!G272</x:f>
        <x:v>0.01287</x:v>
      </x:c>
      <x:c r="F41" s="57" t="str">
        <x:f>'All Trades'!S272</x:f>
        <x:v>DAMAGE SKIP</x:v>
      </x:c>
      <x:c r="G41" s="56" t="n">
        <x:f>'All Trades'!T272</x:f>
        <x:v>0</x:v>
      </x:c>
      <x:c r="H41" s="56" t="n">
        <x:f>'All Trades'!W272</x:f>
        <x:v>-0.145431</x:v>
      </x:c>
      <x:c r="I41" s="56" t="n">
        <x:f>'All Trades'!J272</x:f>
        <x:v>0.004020682390215358</x:v>
      </x:c>
      <x:c r="J41" s="56" t="n">
        <x:f>'All Trades'!K272</x:f>
        <x:v>0.08675291788342121</x:v>
      </x:c>
      <x:c r="K41" s="56" t="n">
        <x:f>'All Trades'!L272</x:f>
        <x:v>0.024794969616667384</x:v>
      </x:c>
      <x:c r="L41" s="72" t="str">
        <x:f>'All Trades'!AE272</x:f>
        <x:v>Skipped because the previous three rule outcomes totalled at or below the damage threshold.</x:v>
      </x:c>
    </x:row>
    <x:row r="42">
      <x:c r="A42" s="57" t="n">
        <x:f>'All Trades'!A273</x:f>
        <x:v>269</x:v>
      </x:c>
      <x:c r="B42" s="71" t="n">
        <x:f>'All Trades'!B273</x:f>
        <x:v>45097</x:v>
      </x:c>
      <x:c r="C42" s="71" t="n">
        <x:f>'All Trades'!C273</x:f>
        <x:v>45099</x:v>
      </x:c>
      <x:c r="D42" s="57" t="str">
        <x:f>'All Trades'!D273</x:f>
        <x:v>TSL1PRE</x:v>
      </x:c>
      <x:c r="E42" s="56" t="n">
        <x:f>'All Trades'!G273</x:f>
        <x:v>-0.01121</x:v>
      </x:c>
      <x:c r="F42" s="57" t="str">
        <x:f>'All Trades'!S273</x:f>
        <x:v>DAMAGE SKIP</x:v>
      </x:c>
      <x:c r="G42" s="56" t="n">
        <x:f>'All Trades'!T273</x:f>
        <x:v>0</x:v>
      </x:c>
      <x:c r="H42" s="56" t="n">
        <x:f>'All Trades'!W273</x:f>
        <x:v>0.126673</x:v>
      </x:c>
      <x:c r="I42" s="56" t="n">
        <x:f>'All Trades'!J273</x:f>
        <x:v>-0.005303981414817471</x:v>
      </x:c>
      <x:c r="J42" s="56" t="n">
        <x:f>'All Trades'!K273</x:f>
        <x:v>0.09090854518714164</x:v>
      </x:c>
      <x:c r="K42" s="56" t="n">
        <x:f>'All Trades'!L273</x:f>
        <x:v>0</x:v>
      </x:c>
      <x:c r="L42" s="72" t="str">
        <x:f>'All Trades'!AE273</x:f>
        <x:v>Skipped because the previous three rule outcomes totalled at or below the damage threshold.</x:v>
      </x:c>
    </x:row>
    <x:row r="43">
      <x:c r="A43" s="57" t="n">
        <x:f>'All Trades'!A287</x:f>
        <x:v>283</x:v>
      </x:c>
      <x:c r="B43" s="71" t="n">
        <x:f>'All Trades'!B287</x:f>
        <x:v>45194</x:v>
      </x:c>
      <x:c r="C43" s="71" t="n">
        <x:f>'All Trades'!C287</x:f>
        <x:v>45194</x:v>
      </x:c>
      <x:c r="D43" s="57" t="str">
        <x:f>'All Trades'!D287</x:f>
        <x:v>CH</x:v>
      </x:c>
      <x:c r="E43" s="56" t="n">
        <x:f>'All Trades'!G287</x:f>
        <x:v>0.00822</x:v>
      </x:c>
      <x:c r="F43" s="57" t="str">
        <x:f>'All Trades'!S287</x:f>
        <x:v>DAMAGE SKIP</x:v>
      </x:c>
      <x:c r="G43" s="56" t="n">
        <x:f>'All Trades'!T287</x:f>
        <x:v>0</x:v>
      </x:c>
      <x:c r="H43" s="56" t="n">
        <x:f>'All Trades'!W287</x:f>
        <x:v>-0.09288600000000001</x:v>
      </x:c>
      <x:c r="I43" s="56" t="n">
        <x:f>'All Trades'!J287</x:f>
        <x:v>-0.004047254482133833</x:v>
      </x:c>
      <x:c r="J43" s="56" t="n">
        <x:f>'All Trades'!K287</x:f>
        <x:v>-0.007729787668721788</x:v>
      </x:c>
      <x:c r="K43" s="56" t="n">
        <x:f>'All Trades'!L287</x:f>
        <x:v>-0.0025665830881917984</x:v>
      </x:c>
      <x:c r="L43" s="72" t="str">
        <x:f>'All Trades'!AE287</x:f>
        <x:v>Skipped because the previous three rule outcomes totalled at or below the damage threshold.</x:v>
      </x:c>
    </x:row>
    <x:row r="44">
      <x:c r="A44" s="57" t="n">
        <x:f>'All Trades'!A311</x:f>
        <x:v>307</x:v>
      </x:c>
      <x:c r="B44" s="71" t="n">
        <x:f>'All Trades'!B311</x:f>
        <x:v>45362</x:v>
      </x:c>
      <x:c r="C44" s="71" t="n">
        <x:f>'All Trades'!C311</x:f>
        <x:v>45366</x:v>
      </x:c>
      <x:c r="D44" s="57" t="str">
        <x:f>'All Trades'!D311</x:f>
        <x:v>TSL4</x:v>
      </x:c>
      <x:c r="E44" s="56" t="n">
        <x:f>'All Trades'!G311</x:f>
        <x:v>-0.004</x:v>
      </x:c>
      <x:c r="F44" s="57" t="str">
        <x:f>'All Trades'!S311</x:f>
        <x:v>DAMAGE SKIP</x:v>
      </x:c>
      <x:c r="G44" s="56" t="n">
        <x:f>'All Trades'!T311</x:f>
        <x:v>0</x:v>
      </x:c>
      <x:c r="H44" s="56" t="n">
        <x:f>'All Trades'!W311</x:f>
        <x:v>0.045200000000000004</x:v>
      </x:c>
      <x:c r="I44" s="56" t="n">
        <x:f>'All Trades'!J311</x:f>
        <x:v>-0.00490379040280009</x:v>
      </x:c>
      <x:c r="J44" s="56" t="n">
        <x:f>'All Trades'!K311</x:f>
        <x:v>0.014392625612495547</x:v>
      </x:c>
      <x:c r="K44" s="56" t="n">
        <x:f>'All Trades'!L311</x:f>
        <x:v>0.0016155014709324789</x:v>
      </x:c>
      <x:c r="L44" s="72" t="str">
        <x:f>'All Trades'!AE311</x:f>
        <x:v>Skipped because the previous three rule outcomes totalled at or below the damage threshold.</x:v>
      </x:c>
    </x:row>
    <x:row r="45">
      <x:c r="A45" s="57" t="n">
        <x:f>'All Trades'!A312</x:f>
        <x:v>308</x:v>
      </x:c>
      <x:c r="B45" s="71" t="n">
        <x:f>'All Trades'!B312</x:f>
        <x:v>45369</x:v>
      </x:c>
      <x:c r="C45" s="71" t="n">
        <x:f>'All Trades'!C312</x:f>
        <x:v>45373</x:v>
      </x:c>
      <x:c r="D45" s="57" t="str">
        <x:f>'All Trades'!D312</x:f>
        <x:v>TO</x:v>
      </x:c>
      <x:c r="E45" s="56" t="n">
        <x:f>'All Trades'!G312</x:f>
        <x:v>0.01624</x:v>
      </x:c>
      <x:c r="F45" s="57" t="str">
        <x:f>'All Trades'!S312</x:f>
        <x:v>DAMAGE SKIP</x:v>
      </x:c>
      <x:c r="G45" s="56" t="n">
        <x:f>'All Trades'!T312</x:f>
        <x:v>0</x:v>
      </x:c>
      <x:c r="H45" s="56" t="n">
        <x:f>'All Trades'!W312</x:f>
        <x:v>-0.18351200000000004</x:v>
      </x:c>
      <x:c r="I45" s="56" t="n">
        <x:f>'All Trades'!J312</x:f>
        <x:v>0.011920416786554089</x:v>
      </x:c>
      <x:c r="J45" s="56" t="n">
        <x:f>'All Trades'!K312</x:f>
        <x:v>-0.0013563613346595504</x:v>
      </x:c>
      <x:c r="K45" s="56" t="n">
        <x:f>'All Trades'!L312</x:f>
        <x:v>0.004850063615003952</x:v>
      </x:c>
      <x:c r="L45" s="72" t="str">
        <x:f>'All Trades'!AE312</x:f>
        <x:v>Skipped because the previous three rule outcomes totalled at or below the damage threshold.</x:v>
      </x:c>
    </x:row>
    <x:row r="46">
      <x:c r="A46" s="57" t="n">
        <x:f>'All Trades'!A317</x:f>
        <x:v>313</x:v>
      </x:c>
      <x:c r="B46" s="71" t="n">
        <x:f>'All Trades'!B317</x:f>
        <x:v>45404</x:v>
      </x:c>
      <x:c r="C46" s="71" t="n">
        <x:f>'All Trades'!C317</x:f>
        <x:v>45408</x:v>
      </x:c>
      <x:c r="D46" s="57" t="str">
        <x:f>'All Trades'!D317</x:f>
        <x:v>TO</x:v>
      </x:c>
      <x:c r="E46" s="56" t="n">
        <x:f>'All Trades'!G317</x:f>
        <x:v>0.03334</x:v>
      </x:c>
      <x:c r="F46" s="57" t="str">
        <x:f>'All Trades'!S317</x:f>
        <x:v>DAMAGE SKIP</x:v>
      </x:c>
      <x:c r="G46" s="56" t="n">
        <x:f>'All Trades'!T317</x:f>
        <x:v>0</x:v>
      </x:c>
      <x:c r="H46" s="56" t="n">
        <x:f>'All Trades'!W317</x:f>
        <x:v>-0.376742</x:v>
      </x:c>
      <x:c r="I46" s="56" t="n">
        <x:f>'All Trades'!J317</x:f>
        <x:v>0.006666306141707157</x:v>
      </x:c>
      <x:c r="J46" s="56" t="n">
        <x:f>'All Trades'!K317</x:f>
        <x:v>-0.07001954138667121</x:v>
      </x:c>
      <x:c r="K46" s="56" t="n">
        <x:f>'All Trades'!L317</x:f>
        <x:v>0.014762260634942237</x:v>
      </x:c>
      <x:c r="L46" s="72" t="str">
        <x:f>'All Trades'!AE317</x:f>
        <x:v>Skipped because the previous three rule outcomes totalled at or below the damage threshold.</x:v>
      </x:c>
    </x:row>
    <x:row r="47">
      <x:c r="A47" s="57" t="n">
        <x:f>'All Trades'!A318</x:f>
        <x:v>314</x:v>
      </x:c>
      <x:c r="B47" s="71" t="n">
        <x:f>'All Trades'!B318</x:f>
        <x:v>45411</x:v>
      </x:c>
      <x:c r="C47" s="71" t="n">
        <x:f>'All Trades'!C318</x:f>
        <x:v>45414</x:v>
      </x:c>
      <x:c r="D47" s="57" t="str">
        <x:f>'All Trades'!D318</x:f>
        <x:v>TSL1PRE</x:v>
      </x:c>
      <x:c r="E47" s="56" t="n">
        <x:f>'All Trades'!G318</x:f>
        <x:v>-0.02245</x:v>
      </x:c>
      <x:c r="F47" s="57" t="str">
        <x:f>'All Trades'!S318</x:f>
        <x:v>DAMAGE SKIP</x:v>
      </x:c>
      <x:c r="G47" s="56" t="n">
        <x:f>'All Trades'!T318</x:f>
        <x:v>0</x:v>
      </x:c>
      <x:c r="H47" s="56" t="n">
        <x:f>'All Trades'!W318</x:f>
        <x:v>0.25368500000000005</x:v>
      </x:c>
      <x:c r="I47" s="56" t="n">
        <x:f>'All Trades'!J318</x:f>
        <x:v>0.004388290591391675</x:v>
      </x:c>
      <x:c r="J47" s="56" t="n">
        <x:f>'All Trades'!K318</x:f>
        <x:v>-0.02930566444753635</x:v>
      </x:c>
      <x:c r="K47" s="56" t="n">
        <x:f>'All Trades'!L318</x:f>
        <x:v>0.0003501555857987615</x:v>
      </x:c>
      <x:c r="L47" s="72" t="str">
        <x:f>'All Trades'!AE318</x:f>
        <x:v>Skipped because the previous three rule outcomes totalled at or below the damage threshold.</x:v>
      </x:c>
    </x:row>
    <x:row r="48">
      <x:c r="A48" s="57" t="n">
        <x:f>'All Trades'!A319</x:f>
        <x:v>315</x:v>
      </x:c>
      <x:c r="B48" s="71" t="n">
        <x:f>'All Trades'!B319</x:f>
        <x:v>45418</x:v>
      </x:c>
      <x:c r="C48" s="71" t="n">
        <x:f>'All Trades'!C319</x:f>
        <x:v>45422</x:v>
      </x:c>
      <x:c r="D48" s="57" t="str">
        <x:f>'All Trades'!D319</x:f>
        <x:v>TO</x:v>
      </x:c>
      <x:c r="E48" s="56" t="n">
        <x:f>'All Trades'!G319</x:f>
        <x:v>0.01084</x:v>
      </x:c>
      <x:c r="F48" s="57" t="str">
        <x:f>'All Trades'!S319</x:f>
        <x:v>DAMAGE SKIP</x:v>
      </x:c>
      <x:c r="G48" s="56" t="n">
        <x:f>'All Trades'!T319</x:f>
        <x:v>0</x:v>
      </x:c>
      <x:c r="H48" s="56" t="n">
        <x:f>'All Trades'!W319</x:f>
        <x:v>-0.12249200000000002</x:v>
      </x:c>
      <x:c r="I48" s="56" t="n">
        <x:f>'All Trades'!J319</x:f>
        <x:v>0.0034459647874671706</x:v>
      </x:c>
      <x:c r="J48" s="56" t="n">
        <x:f>'All Trades'!K319</x:f>
        <x:v>-0.011327245234059813</x:v>
      </x:c>
      <x:c r="K48" s="56" t="n">
        <x:f>'All Trades'!L319</x:f>
        <x:v>0.011988402046969382</x:v>
      </x:c>
      <x:c r="L48" s="72" t="str">
        <x:f>'All Trades'!AE319</x:f>
        <x:v>Skipped because the previous three rule outcomes totalled at or below the damage threshold.</x:v>
      </x:c>
    </x:row>
    <x:row r="49">
      <x:c r="A49" s="57" t="n">
        <x:f>'All Trades'!A330</x:f>
        <x:v>326</x:v>
      </x:c>
      <x:c r="B49" s="71" t="n">
        <x:f>'All Trades'!B330</x:f>
        <x:v>45495</x:v>
      </x:c>
      <x:c r="C49" s="71" t="n">
        <x:f>'All Trades'!C330</x:f>
        <x:v>45498</x:v>
      </x:c>
      <x:c r="D49" s="57" t="str">
        <x:f>'All Trades'!D330</x:f>
        <x:v>TSL1PRE</x:v>
      </x:c>
      <x:c r="E49" s="56" t="n">
        <x:f>'All Trades'!G330</x:f>
        <x:v>-0.03438</x:v>
      </x:c>
      <x:c r="F49" s="57" t="str">
        <x:f>'All Trades'!S330</x:f>
        <x:v>GAP/MOM SKIP</x:v>
      </x:c>
      <x:c r="G49" s="56" t="n">
        <x:f>'All Trades'!T330</x:f>
        <x:v>0</x:v>
      </x:c>
      <x:c r="H49" s="56" t="n">
        <x:f>'All Trades'!W330</x:f>
        <x:v>0.38849400000000006</x:v>
      </x:c>
      <x:c r="I49" s="56" t="n">
        <x:f>'All Trades'!J330</x:f>
        <x:v>0.011833509978467438</x:v>
      </x:c>
      <x:c r="J49" s="56" t="n">
        <x:f>'All Trades'!K330</x:f>
        <x:v>-0.011374013419789608</x:v>
      </x:c>
      <x:c r="K49" s="56" t="n">
        <x:f>'All Trades'!L330</x:f>
        <x:v>0.012984460076431503</x:v>
      </x:c>
      <x:c r="L49" s="72" t="str">
        <x:f>'All Trades'!AE330</x:f>
        <x:v>Monday entry skipped; Tuesday did not normalize within the Friday-based tolerance.</x:v>
      </x:c>
    </x:row>
    <x:row r="50">
      <x:c r="A50" s="57" t="n">
        <x:f>'All Trades'!A331</x:f>
        <x:v>327</x:v>
      </x:c>
      <x:c r="B50" s="71" t="n">
        <x:f>'All Trades'!B331</x:f>
        <x:v>45502</x:v>
      </x:c>
      <x:c r="C50" s="71" t="n">
        <x:f>'All Trades'!C331</x:f>
        <x:v>45504</x:v>
      </x:c>
      <x:c r="D50" s="57" t="str">
        <x:f>'All Trades'!D331</x:f>
        <x:v>BEPRE</x:v>
      </x:c>
      <x:c r="E50" s="56" t="n">
        <x:f>'All Trades'!G331</x:f>
        <x:v>-0.00377</x:v>
      </x:c>
      <x:c r="F50" s="57" t="str">
        <x:f>'All Trades'!S331</x:f>
        <x:v>DAMAGE SKIP</x:v>
      </x:c>
      <x:c r="G50" s="56" t="n">
        <x:f>'All Trades'!T331</x:f>
        <x:v>0</x:v>
      </x:c>
      <x:c r="H50" s="56" t="n">
        <x:f>'All Trades'!W331</x:f>
        <x:v>0.042601</x:v>
      </x:c>
      <x:c r="I50" s="56" t="n">
        <x:f>'All Trades'!J331</x:f>
        <x:v>0.005869756549355287</x:v>
      </x:c>
      <x:c r="J50" s="56" t="n">
        <x:f>'All Trades'!K331</x:f>
        <x:v>-0.038703083773946934</x:v>
      </x:c>
      <x:c r="K50" s="56" t="n">
        <x:f>'All Trades'!L331</x:f>
        <x:v>0.006220586735634637</x:v>
      </x:c>
      <x:c r="L50" s="72" t="str">
        <x:f>'All Trades'!AE331</x:f>
        <x:v>Skipped because the previous three rule outcomes totalled at or below the damage threshold.</x:v>
      </x:c>
    </x:row>
    <x:row r="51">
      <x:c r="A51" s="57" t="n">
        <x:f>'All Trades'!A332</x:f>
        <x:v>328</x:v>
      </x:c>
      <x:c r="B51" s="71" t="n">
        <x:f>'All Trades'!B332</x:f>
        <x:v>45509</x:v>
      </x:c>
      <x:c r="C51" s="71" t="n">
        <x:f>'All Trades'!C332</x:f>
        <x:v>45509</x:v>
      </x:c>
      <x:c r="D51" s="57" t="str">
        <x:f>'All Trades'!D332</x:f>
        <x:v>CH</x:v>
      </x:c>
      <x:c r="E51" s="56" t="n">
        <x:f>'All Trades'!G332</x:f>
        <x:v>0.02821</x:v>
      </x:c>
      <x:c r="F51" s="57" t="str">
        <x:f>'All Trades'!S332</x:f>
        <x:v>DAMAGE SKIP</x:v>
      </x:c>
      <x:c r="G51" s="56" t="n">
        <x:f>'All Trades'!T332</x:f>
        <x:v>0</x:v>
      </x:c>
      <x:c r="H51" s="56" t="n">
        <x:f>'All Trades'!W332</x:f>
        <x:v>-0.31877300000000003</x:v>
      </x:c>
      <x:c r="I51" s="56" t="n">
        <x:f>'All Trades'!J332</x:f>
        <x:v>-0.0533958318433313</x:v>
      </x:c>
      <x:c r="J51" s="56" t="n">
        <x:f>'All Trades'!K332</x:f>
        <x:v>-0.09555585699217095</x:v>
      </x:c>
      <x:c r="K51" s="56" t="n">
        <x:f>'All Trades'!L332</x:f>
        <x:v>-0.02567081455813658</x:v>
      </x:c>
      <x:c r="L51" s="72" t="str">
        <x:f>'All Trades'!AE332</x:f>
        <x:v>Skipped because the previous three rule outcomes totalled at or below the damage threshold.</x:v>
      </x:c>
    </x:row>
    <x:row r="52">
      <x:c r="A52" s="57" t="n">
        <x:f>'All Trades'!A345</x:f>
        <x:v>341</x:v>
      </x:c>
      <x:c r="B52" s="71" t="n">
        <x:f>'All Trades'!B345</x:f>
        <x:v>45600</x:v>
      </x:c>
      <x:c r="C52" s="71" t="n">
        <x:f>'All Trades'!C345</x:f>
        <x:v>45603</x:v>
      </x:c>
      <x:c r="D52" s="57" t="str">
        <x:f>'All Trades'!D345</x:f>
        <x:v>CH</x:v>
      </x:c>
      <x:c r="E52" s="56" t="n">
        <x:f>'All Trades'!G345</x:f>
        <x:v>0.05503</x:v>
      </x:c>
      <x:c r="F52" s="57" t="str">
        <x:f>'All Trades'!S345</x:f>
        <x:v>DAMAGE SKIP</x:v>
      </x:c>
      <x:c r="G52" s="56" t="n">
        <x:f>'All Trades'!T345</x:f>
        <x:v>0</x:v>
      </x:c>
      <x:c r="H52" s="56" t="n">
        <x:f>'All Trades'!W345</x:f>
        <x:v>-0.621839</x:v>
      </x:c>
      <x:c r="I52" s="56" t="n">
        <x:f>'All Trades'!J345</x:f>
        <x:v>-0.0020496163935783684</x:v>
      </x:c>
      <x:c r="J52" s="56" t="n">
        <x:f>'All Trades'!K345</x:f>
        <x:v>0.0002264250368455567</x:v>
      </x:c>
      <x:c r="K52" s="56" t="n">
        <x:f>'All Trades'!L345</x:f>
        <x:v>0.00036631393515840216</x:v>
      </x:c>
      <x:c r="L52" s="72" t="str">
        <x:f>'All Trades'!AE345</x:f>
        <x:v>Skipped because the previous three rule outcomes totalled at or below the damage threshold.</x:v>
      </x:c>
    </x:row>
    <x:row r="53">
      <x:c r="A53" s="57" t="n">
        <x:f>'All Trades'!A354</x:f>
        <x:v>350</x:v>
      </x:c>
      <x:c r="B53" s="71" t="n">
        <x:f>'All Trades'!B354</x:f>
        <x:v>45663</x:v>
      </x:c>
      <x:c r="C53" s="71" t="n">
        <x:f>'All Trades'!C354</x:f>
        <x:v>45667</x:v>
      </x:c>
      <x:c r="D53" s="57" t="str">
        <x:f>'All Trades'!D354</x:f>
        <x:v>TSL3</x:v>
      </x:c>
      <x:c r="E53" s="56" t="n">
        <x:f>'All Trades'!G354</x:f>
        <x:v>-0.02405</x:v>
      </x:c>
      <x:c r="F53" s="57" t="str">
        <x:f>'All Trades'!S354</x:f>
        <x:v>GAP/MOM SKIP</x:v>
      </x:c>
      <x:c r="G53" s="56" t="n">
        <x:f>'All Trades'!T354</x:f>
        <x:v>0</x:v>
      </x:c>
      <x:c r="H53" s="56" t="n">
        <x:f>'All Trades'!W354</x:f>
        <x:v>0.271765</x:v>
      </x:c>
      <x:c r="I53" s="56" t="n">
        <x:f>'All Trades'!J354</x:f>
        <x:v>0.01073211568653587</x:v>
      </x:c>
      <x:c r="J53" s="56" t="n">
        <x:f>'All Trades'!K354</x:f>
        <x:v>-0.0073460624185262</x:v>
      </x:c>
      <x:c r="K53" s="56" t="n">
        <x:f>'All Trades'!L354</x:f>
        <x:v>0.013518524240645258</x:v>
      </x:c>
      <x:c r="L53" s="72" t="str">
        <x:f>'All Trades'!AE354</x:f>
        <x:v>Monday entry skipped; Tuesday did not normalize within the Friday-based tolerance.</x:v>
      </x:c>
    </x:row>
    <x:row r="54">
      <x:c r="A54" s="57" t="n">
        <x:f>'All Trades'!A363</x:f>
        <x:v>359</x:v>
      </x:c>
      <x:c r="B54" s="71" t="n">
        <x:f>'All Trades'!B363</x:f>
        <x:v>45726</x:v>
      </x:c>
      <x:c r="C54" s="71" t="n">
        <x:f>'All Trades'!C363</x:f>
        <x:v>45729</x:v>
      </x:c>
      <x:c r="D54" s="57" t="str">
        <x:f>'All Trades'!D363</x:f>
        <x:v>TSL1PRE</x:v>
      </x:c>
      <x:c r="E54" s="56" t="n">
        <x:f>'All Trades'!G363</x:f>
        <x:v>-0.01453</x:v>
      </x:c>
      <x:c r="F54" s="57" t="str">
        <x:f>'All Trades'!S363</x:f>
        <x:v>DAMAGE SKIP</x:v>
      </x:c>
      <x:c r="G54" s="56" t="n">
        <x:f>'All Trades'!T363</x:f>
        <x:v>0</x:v>
      </x:c>
      <x:c r="H54" s="56" t="n">
        <x:f>'All Trades'!W363</x:f>
        <x:v>0.164189</x:v>
      </x:c>
      <x:c r="I54" s="56" t="n">
        <x:f>'All Trades'!J363</x:f>
        <x:v>-0.016159091698579986</x:v>
      </x:c>
      <x:c r="J54" s="56" t="n">
        <x:f>'All Trades'!K363</x:f>
        <x:v>-0.07139399257202939</x:v>
      </x:c>
      <x:c r="K54" s="56" t="n">
        <x:f>'All Trades'!L363</x:f>
        <x:v>-0.039528935482162963</x:v>
      </x:c>
      <x:c r="L54" s="72" t="str">
        <x:f>'All Trades'!AE363</x:f>
        <x:v>Skipped because the previous three rule outcomes totalled at or below the damage threshold.</x:v>
      </x:c>
    </x:row>
    <x:row r="55">
      <x:c r="A55" s="57" t="n">
        <x:f>'All Trades'!A364</x:f>
        <x:v>360</x:v>
      </x:c>
      <x:c r="B55" s="71" t="n">
        <x:f>'All Trades'!B364</x:f>
        <x:v>45733</x:v>
      </x:c>
      <x:c r="C55" s="71" t="n">
        <x:f>'All Trades'!C364</x:f>
        <x:v>45734</x:v>
      </x:c>
      <x:c r="D55" s="57" t="str">
        <x:f>'All Trades'!D364</x:f>
        <x:v>PREOH</x:v>
      </x:c>
      <x:c r="E55" s="56" t="n">
        <x:f>'All Trades'!G364</x:f>
        <x:v>0.00755</x:v>
      </x:c>
      <x:c r="F55" s="57" t="str">
        <x:f>'All Trades'!S364</x:f>
        <x:v>DAMAGE SKIP</x:v>
      </x:c>
      <x:c r="G55" s="56" t="n">
        <x:f>'All Trades'!T364</x:f>
        <x:v>0</x:v>
      </x:c>
      <x:c r="H55" s="56" t="n">
        <x:f>'All Trades'!W364</x:f>
        <x:v>-0.085315</x:v>
      </x:c>
      <x:c r="I55" s="56" t="n">
        <x:f>'All Trades'!J364</x:f>
        <x:v>0.0013360246768086004</x:v>
      </x:c>
      <x:c r="J55" s="56" t="n">
        <x:f>'All Trades'!K364</x:f>
        <x:v>-0.10494447787524608</x:v>
      </x:c>
      <x:c r="K55" s="56" t="n">
        <x:f>'All Trades'!L364</x:f>
        <x:v>-0.000521979513348092</x:v>
      </x:c>
      <x:c r="L55" s="72" t="str">
        <x:f>'All Trades'!AE364</x:f>
        <x:v>Skipped because the previous three rule outcomes totalled at or below the damage threshold.</x:v>
      </x:c>
    </x:row>
    <x:row r="56">
      <x:c r="A56" s="57" t="n">
        <x:f>'All Trades'!A365</x:f>
        <x:v>361</x:v>
      </x:c>
      <x:c r="B56" s="71" t="n">
        <x:f>'All Trades'!B365</x:f>
        <x:v>45740</x:v>
      </x:c>
      <x:c r="C56" s="71" t="n">
        <x:f>'All Trades'!C365</x:f>
        <x:v>45743</x:v>
      </x:c>
      <x:c r="D56" s="57" t="str">
        <x:f>'All Trades'!D365</x:f>
        <x:v>TSL1PRE</x:v>
      </x:c>
      <x:c r="E56" s="56" t="n">
        <x:f>'All Trades'!G365</x:f>
        <x:v>-0.01148</x:v>
      </x:c>
      <x:c r="F56" s="57" t="str">
        <x:f>'All Trades'!S365</x:f>
        <x:v>DAMAGE SKIP</x:v>
      </x:c>
      <x:c r="G56" s="56" t="n">
        <x:f>'All Trades'!T365</x:f>
        <x:v>0</x:v>
      </x:c>
      <x:c r="H56" s="56" t="n">
        <x:f>'All Trades'!W365</x:f>
        <x:v>0.129724</x:v>
      </x:c>
      <x:c r="I56" s="56" t="n">
        <x:f>'All Trades'!J365</x:f>
        <x:v>0.015708868695834433</x:v>
      </x:c>
      <x:c r="J56" s="56" t="n">
        <x:f>'All Trades'!K365</x:f>
        <x:v>-0.0859951608328241</x:v>
      </x:c>
      <x:c r="K56" s="56" t="n">
        <x:f>'All Trades'!L365</x:f>
        <x:v>0.02346477160066973</x:v>
      </x:c>
      <x:c r="L56" s="72" t="str">
        <x:f>'All Trades'!AE365</x:f>
        <x:v>Skipped because the previous three rule outcomes totalled at or below the damage threshold.</x:v>
      </x:c>
    </x:row>
    <x:row r="57">
      <x:c r="A57" s="57" t="n">
        <x:f>'All Trades'!A368</x:f>
        <x:v>364</x:v>
      </x:c>
      <x:c r="B57" s="71" t="n">
        <x:f>'All Trades'!B368</x:f>
        <x:v>45761</x:v>
      </x:c>
      <x:c r="C57" s="71" t="n">
        <x:f>'All Trades'!C368</x:f>
        <x:v>45764</x:v>
      </x:c>
      <x:c r="D57" s="57" t="str">
        <x:f>'All Trades'!D368</x:f>
        <x:v>TSL1PRE</x:v>
      </x:c>
      <x:c r="E57" s="56" t="n">
        <x:f>'All Trades'!G368</x:f>
        <x:v>-0.04156</x:v>
      </x:c>
      <x:c r="F57" s="57" t="str">
        <x:f>'All Trades'!S368</x:f>
        <x:v>GAP/MOM SKIP</x:v>
      </x:c>
      <x:c r="G57" s="56" t="n">
        <x:f>'All Trades'!T368</x:f>
        <x:v>0</x:v>
      </x:c>
      <x:c r="H57" s="56" t="n">
        <x:f>'All Trades'!W368</x:f>
        <x:v>0.46962800000000005</x:v>
      </x:c>
      <x:c r="I57" s="56" t="n">
        <x:f>'All Trades'!J368</x:f>
        <x:v>0.021724039661823014</x:v>
      </x:c>
      <x:c r="J57" s="56" t="n">
        <x:f>'All Trades'!K368</x:f>
        <x:v>-0.05125003653856608</x:v>
      </x:c>
      <x:c r="K57" s="56" t="n">
        <x:f>'All Trades'!L368</x:f>
        <x:v>0.009110915492957838</x:v>
      </x:c>
      <x:c r="L57" s="72" t="str">
        <x:f>'All Trades'!AE368</x:f>
        <x:v>Monday entry skipped; Tuesday did not normalize within the Friday-based tolerance.</x:v>
      </x:c>
    </x:row>
    <x:row r="58">
      <x:c r="A58" s="57" t="n">
        <x:f>'All Trades'!A405</x:f>
        <x:v>401</x:v>
      </x:c>
      <x:c r="B58" s="71" t="n">
        <x:f>'All Trades'!B405</x:f>
        <x:v>46020</x:v>
      </x:c>
      <x:c r="C58" s="71" t="n">
        <x:f>'All Trades'!C405</x:f>
        <x:v>46024</x:v>
      </x:c>
      <x:c r="D58" s="57" t="str">
        <x:f>'All Trades'!D405</x:f>
        <x:v>BEPRE</x:v>
      </x:c>
      <x:c r="E58" s="56" t="n">
        <x:f>'All Trades'!G405</x:f>
        <x:v>-0.00397</x:v>
      </x:c>
      <x:c r="F58" s="57" t="str">
        <x:f>'All Trades'!S405</x:f>
        <x:v>DAMAGE SKIP</x:v>
      </x:c>
      <x:c r="G58" s="56" t="n">
        <x:f>'All Trades'!T405</x:f>
        <x:v>0</x:v>
      </x:c>
      <x:c r="H58" s="56" t="n">
        <x:f>'All Trades'!W405</x:f>
        <x:v>0.044861</x:v>
      </x:c>
      <x:c r="I58" s="56" t="n">
        <x:f>'All Trades'!J405</x:f>
        <x:v>-0.006296858108164716</x:v>
      </x:c>
      <x:c r="J58" s="56" t="n">
        <x:f>'All Trades'!K405</x:f>
        <x:v>0.02463499154198634</x:v>
      </x:c>
      <x:c r="K58" s="56" t="n">
        <x:f>'All Trades'!L405</x:f>
        <x:v>-0.006491528955424708</x:v>
      </x:c>
      <x:c r="L58" s="72" t="str">
        <x:f>'All Trades'!AE405</x:f>
        <x:v>Skipped because the previous three rule outcomes totalled at or below the damage threshold.</x:v>
      </x:c>
    </x:row>
    <x:row r="59">
      <x:c r="A59" s="57" t="n">
        <x:f>'All Trades'!A406</x:f>
        <x:v>402</x:v>
      </x:c>
      <x:c r="B59" s="71" t="n">
        <x:f>'All Trades'!B406</x:f>
        <x:v>46027</x:v>
      </x:c>
      <x:c r="C59" s="71" t="n">
        <x:f>'All Trades'!C406</x:f>
        <x:v>46031</x:v>
      </x:c>
      <x:c r="D59" s="57" t="str">
        <x:f>'All Trades'!D406</x:f>
        <x:v>TO</x:v>
      </x:c>
      <x:c r="E59" s="56" t="n">
        <x:f>'All Trades'!G406</x:f>
        <x:v>0.01163</x:v>
      </x:c>
      <x:c r="F59" s="57" t="str">
        <x:f>'All Trades'!S406</x:f>
        <x:v>DAMAGE SKIP</x:v>
      </x:c>
      <x:c r="G59" s="56" t="n">
        <x:f>'All Trades'!T406</x:f>
        <x:v>0</x:v>
      </x:c>
      <x:c r="H59" s="56" t="n">
        <x:f>'All Trades'!W406</x:f>
        <x:v>-0.131419</x:v>
      </x:c>
      <x:c r="I59" s="56" t="n">
        <x:f>'All Trades'!J406</x:f>
        <x:v>0.009427015963829444</x:v>
      </x:c>
      <x:c r="J59" s="56" t="n">
        <x:f>'All Trades'!K406</x:f>
        <x:v>-0.01667949704901206</x:v>
      </x:c>
      <x:c r="K59" s="56" t="n">
        <x:f>'All Trades'!L406</x:f>
        <x:v>0.009965422755741082</x:v>
      </x:c>
      <x:c r="L59" s="72" t="str">
        <x:f>'All Trades'!AE406</x:f>
        <x:v>Skipped because the previous three rule outcomes totalled at or below the damage threshold.</x:v>
      </x:c>
    </x:row>
    <x:row r="60">
      <x:c r="A60" s="57" t="n">
        <x:f>'All Trades'!A416</x:f>
        <x:v>412</x:v>
      </x:c>
      <x:c r="B60" s="71" t="n">
        <x:f>'All Trades'!B416</x:f>
        <x:v>46097</x:v>
      </x:c>
      <x:c r="C60" s="71" t="n">
        <x:f>'All Trades'!C416</x:f>
        <x:v>46100</x:v>
      </x:c>
      <x:c r="D60" s="57" t="str">
        <x:f>'All Trades'!D416</x:f>
        <x:v>TSL1PRE</x:v>
      </x:c>
      <x:c r="E60" s="56" t="n">
        <x:f>'All Trades'!G416</x:f>
        <x:v>-0.00965</x:v>
      </x:c>
      <x:c r="F60" s="57" t="str">
        <x:f>'All Trades'!S416</x:f>
        <x:v>GAP/MOM SKIP</x:v>
      </x:c>
      <x:c r="G60" s="56" t="n">
        <x:f>'All Trades'!T416</x:f>
        <x:v>0</x:v>
      </x:c>
      <x:c r="H60" s="56" t="n">
        <x:f>'All Trades'!W416</x:f>
        <x:v>0.10904500000000002</x:v>
      </x:c>
      <x:c r="I60" s="56" t="n">
        <x:f>'All Trades'!J416</x:f>
        <x:v>0.011162155038512145</x:v>
      </x:c>
      <x:c r="J60" s="56" t="n">
        <x:f>'All Trades'!K416</x:f>
        <x:v>-0.011521044219499177</x:v>
      </x:c>
      <x:c r="K60" s="56" t="n">
        <x:f>'All Trades'!L416</x:f>
        <x:v>0.015866064811695724</x:v>
      </x:c>
      <x:c r="L60" s="72" t="str">
        <x:f>'All Trades'!AE416</x:f>
        <x:v>Monday entry skipped; Tuesday did not normalize within the Friday-based tolerance.</x:v>
      </x:c>
    </x:row>
    <x:row r="61">
      <x:c r="A61" s="57" t="n">
        <x:f>'All Trades'!A417</x:f>
        <x:v>413</x:v>
      </x:c>
      <x:c r="B61" s="71" t="n">
        <x:f>'All Trades'!B417</x:f>
        <x:v>46104</x:v>
      </x:c>
      <x:c r="C61" s="71" t="n">
        <x:f>'All Trades'!C417</x:f>
        <x:v>46106</x:v>
      </x:c>
      <x:c r="D61" s="57" t="str">
        <x:f>'All Trades'!D417</x:f>
        <x:v>BEPRE</x:v>
      </x:c>
      <x:c r="E61" s="56" t="n">
        <x:f>'All Trades'!G417</x:f>
        <x:v>-0.00204</x:v>
      </x:c>
      <x:c r="F61" s="57" t="str">
        <x:f>'All Trades'!S417</x:f>
        <x:v>TUESDAY RE-ENTRY</x:v>
      </x:c>
      <x:c r="G61" s="56" t="n">
        <x:f>'All Trades'!T417</x:f>
        <x:v>0.00779</x:v>
      </x:c>
      <x:c r="H61" s="56" t="n">
        <x:f>'All Trades'!W417</x:f>
        <x:v>0.11107900000000001</x:v>
      </x:c>
      <x:c r="I61" s="56" t="n">
        <x:f>'All Trades'!J417</x:f>
        <x:v>0.015012684390669717</x:v>
      </x:c>
      <x:c r="J61" s="56" t="n">
        <x:f>'All Trades'!K417</x:f>
        <x:v>-0.04393817447151005</x:v>
      </x:c>
      <x:c r="K61" s="56" t="n">
        <x:f>'All Trades'!L417</x:f>
        <x:v>0.004724598838607763</x:v>
      </x:c>
      <x:c r="L61" s="72" t="str">
        <x:f>'All Trades'!AE417</x:f>
        <x:v>Monday entry delayed; Tuesday opened within the Friday-normalization tolerance. Original exit price reused.</x:v>
      </x:c>
    </x:row>
    <x:row r="62">
      <x:c r="A62" s="57" t="n">
        <x:f>'All Trades'!A429</x:f>
        <x:v>425</x:v>
      </x:c>
      <x:c r="B62" s="71" t="n">
        <x:f>'All Trades'!B429</x:f>
        <x:v>46188</x:v>
      </x:c>
      <x:c r="C62" s="71" t="n">
        <x:f>'All Trades'!C429</x:f>
        <x:v>46188</x:v>
      </x:c>
      <x:c r="D62" s="57" t="str">
        <x:f>'All Trades'!D429</x:f>
        <x:v>CH</x:v>
      </x:c>
      <x:c r="E62" s="56" t="n">
        <x:f>'All Trades'!G429</x:f>
        <x:v>0.00834</x:v>
      </x:c>
      <x:c r="F62" s="57" t="str">
        <x:f>'All Trades'!S429</x:f>
        <x:v>DAMAGE SKIP</x:v>
      </x:c>
      <x:c r="G62" s="56" t="n">
        <x:f>'All Trades'!T429</x:f>
        <x:v>0</x:v>
      </x:c>
      <x:c r="H62" s="56" t="n">
        <x:f>'All Trades'!W429</x:f>
        <x:v>-0.094242</x:v>
      </x:c>
      <x:c r="I62" s="56" t="n">
        <x:f>'All Trades'!J429</x:f>
        <x:v>0.022809783163396213</x:v>
      </x:c>
      <x:c r="J62" s="56" t="n">
        <x:f>'All Trades'!K429</x:f>
        <x:v>0.002153405854485424</x:v>
      </x:c>
      <x:c r="K62" s="56" t="n">
        <x:f>'All Trades'!L429</x:f>
        <x:v>0.02898771730390659</x:v>
      </x:c>
      <x:c r="L62" s="72" t="str">
        <x:f>'All Trades'!AE429</x:f>
        <x:v>Skipped because the previous three rule outcomes totalled at or below the damage threshold.</x:v>
      </x:c>
    </x:row>
    <x:row r="63">
      <x:c r="A63" s="57" t="n">
        <x:f>'All Trades'!A430</x:f>
        <x:v>426</x:v>
      </x:c>
      <x:c r="B63" s="71" t="n">
        <x:f>'All Trades'!B430</x:f>
        <x:v>46195</x:v>
      </x:c>
      <x:c r="C63" s="71" t="n">
        <x:f>'All Trades'!C430</x:f>
        <x:v>46198</x:v>
      </x:c>
      <x:c r="D63" s="57" t="str">
        <x:f>'All Trades'!D430</x:f>
        <x:v>TSL1PRE</x:v>
      </x:c>
      <x:c r="E63" s="56" t="n">
        <x:f>'All Trades'!G430</x:f>
        <x:v>-0.02387</x:v>
      </x:c>
      <x:c r="F63" s="57" t="str">
        <x:f>'All Trades'!S430</x:f>
        <x:v>DAMAGE SKIP</x:v>
      </x:c>
      <x:c r="G63" s="56" t="n">
        <x:f>'All Trades'!T430</x:f>
        <x:v>0</x:v>
      </x:c>
      <x:c r="H63" s="56" t="n">
        <x:f>'All Trades'!W430</x:f>
        <x:v>0.269731</x:v>
      </x:c>
      <x:c r="I63" s="56" t="n">
        <x:f>'All Trades'!J430</x:f>
        <x:v>0.004532402351018261</x:v>
      </x:c>
      <x:c r="J63" s="56" t="n">
        <x:f>'All Trades'!K430</x:f>
        <x:v>0.03851924560050479</x:v>
      </x:c>
      <x:c r="K63" s="56" t="n">
        <x:f>'All Trades'!L430</x:f>
        <x:v>-0.03359347573654503</x:v>
      </x:c>
      <x:c r="L63" s="72" t="str">
        <x:f>'All Trades'!AE430</x:f>
        <x:v>Skipped because the previous three rule outcomes totalled at or below the damage threshold.</x:v>
      </x:c>
    </x:row>
    <x:row r="64">
      <x:c r="A64" s="57" t="n">
        <x:f>'All Trades'!A431</x:f>
        <x:v>427</x:v>
      </x:c>
      <x:c r="B64" s="71" t="n">
        <x:f>'All Trades'!B431</x:f>
        <x:v>46202</x:v>
      </x:c>
      <x:c r="C64" s="71" t="n">
        <x:f>'All Trades'!C431</x:f>
        <x:v>46202</x:v>
      </x:c>
      <x:c r="D64" s="57" t="str">
        <x:f>'All Trades'!D431</x:f>
        <x:v>CH</x:v>
      </x:c>
      <x:c r="E64" s="56" t="n">
        <x:f>'All Trades'!G431</x:f>
        <x:v>0.01253</x:v>
      </x:c>
      <x:c r="F64" s="57" t="str">
        <x:f>'All Trades'!S431</x:f>
        <x:v>DAMAGE SKIP</x:v>
      </x:c>
      <x:c r="G64" s="56" t="n">
        <x:f>'All Trades'!T431</x:f>
        <x:v>0</x:v>
      </x:c>
      <x:c r="H64" s="56" t="n">
        <x:f>'All Trades'!W431</x:f>
        <x:v>-0.141589</x:v>
      </x:c>
      <x:c r="I64" s="56" t="n">
        <x:f>'All Trades'!J431</x:f>
        <x:v>0.008763377803337358</x:v>
      </x:c>
      <x:c r="J64" s="56" t="n">
        <x:f>'All Trades'!K431</x:f>
        <x:v>-0.03953235454051118</x:v>
      </x:c>
      <x:c r="K64" s="56" t="n">
        <x:f>'All Trades'!L431</x:f>
        <x:v>0.02499575383570174</x:v>
      </x:c>
      <x:c r="L64" s="72" t="str">
        <x:f>'All Trades'!AE431</x:f>
        <x:v>Skipped because the previous three rule outcomes totalled at or below the damage threshold.</x:v>
      </x:c>
    </x:row>
    <x:row r="65">
      <x:c r="A65" s="57" t="n">
        <x:f>'All Trades'!A432</x:f>
        <x:v>428</x:v>
      </x:c>
      <x:c r="B65" s="71" t="n">
        <x:f>'All Trades'!B432</x:f>
        <x:v>46209</x:v>
      </x:c>
      <x:c r="C65" s="71" t="n">
        <x:f>'All Trades'!C432</x:f>
        <x:v>46212</x:v>
      </x:c>
      <x:c r="D65" s="57" t="str">
        <x:f>'All Trades'!D432</x:f>
        <x:v>TSL1PRE</x:v>
      </x:c>
      <x:c r="E65" s="56" t="n">
        <x:f>'All Trades'!G432</x:f>
        <x:v>-0.01327</x:v>
      </x:c>
      <x:c r="F65" s="57" t="str">
        <x:f>'All Trades'!S432</x:f>
        <x:v>TUESDAY RE-ENTRY</x:v>
      </x:c>
      <x:c r="G65" s="56" t="n">
        <x:f>'All Trades'!T432</x:f>
        <x:v>-0.00534</x:v>
      </x:c>
      <x:c r="H65" s="56" t="n">
        <x:f>'All Trades'!W432</x:f>
        <x:v>0.08960900000000002</x:v>
      </x:c>
      <x:c r="I65" s="56" t="n">
        <x:f>'All Trades'!J432</x:f>
        <x:v>0.010142706916836497</x:v>
      </x:c>
      <x:c r="J65" s="56" t="n">
        <x:f>'All Trades'!K432</x:f>
        <x:v>-0.04247457034976687</x:v>
      </x:c>
      <x:c r="K65" s="56" t="n">
        <x:f>'All Trades'!L432</x:f>
        <x:v>0.0022031995509401714</x:v>
      </x:c>
      <x:c r="L65" s="72" t="str">
        <x:f>'All Trades'!AE432</x:f>
        <x:v>Monday entry delayed; Tuesday opened within the Friday-normalization tolerance. Original exit price reused.</x:v>
      </x:c>
    </x:row>
    <x:row r="66">
      <x:c r="A66" s="57" t="n">
        <x:f>'All Trades'!A434</x:f>
        <x:v>430</x:v>
      </x:c>
      <x:c r="B66" s="71" t="n">
        <x:f>'All Trades'!B434</x:f>
        <x:v>46223</x:v>
      </x:c>
      <x:c r="C66" s="71" t="n">
        <x:f>'All Trades'!C434</x:f>
        <x:v>46226</x:v>
      </x:c>
      <x:c r="D66" s="57" t="str">
        <x:f>'All Trades'!D434</x:f>
        <x:v>TSL1PRE</x:v>
      </x:c>
      <x:c r="E66" s="56" t="n">
        <x:f>'All Trades'!G434</x:f>
        <x:v>-0.00408</x:v>
      </x:c>
      <x:c r="F66" s="57" t="str">
        <x:f>'All Trades'!S434</x:f>
        <x:v>GAP/MOM SKIP</x:v>
      </x:c>
      <x:c r="G66" s="56" t="n">
        <x:f>'All Trades'!T434</x:f>
        <x:v>0</x:v>
      </x:c>
      <x:c r="H66" s="56" t="n">
        <x:f>'All Trades'!W434</x:f>
        <x:v>0.046104000000000006</x:v>
      </x:c>
      <x:c r="I66" s="56" t="n">
        <x:f>'All Trades'!J434</x:f>
        <x:v>0.010607604002575322</x:v>
      </x:c>
      <x:c r="J66" s="56" t="n">
        <x:f>'All Trades'!K434</x:f>
        <x:v>-0.037618856486415386</x:v>
      </x:c>
      <x:c r="K66" s="56" t="n">
        <x:f>'All Trades'!L434</x:f>
        <x:v>0.01616498640933073</x:v>
      </x:c>
      <x:c r="L66" s="72" t="str">
        <x:f>'All Trades'!AE434</x:f>
        <x:v>Monday entry skipped; Tuesday did not normalize within the Friday-based tolerance.</x:v>
      </x:c>
    </x:row>
    <x:row r="67">
      <x:c r="A67" s="57" t="n">
        <x:f>'All Trades'!A435</x:f>
        <x:v>431</x:v>
      </x:c>
      <x:c r="B67" s="71" t="n">
        <x:f>'All Trades'!B435</x:f>
        <x:v>46230</x:v>
      </x:c>
      <x:c r="C67" s="71" t="n">
        <x:f>'All Trades'!C435</x:f>
        <x:v>46233</x:v>
      </x:c>
      <x:c r="D67" s="57" t="str">
        <x:f>'All Trades'!D435</x:f>
        <x:v>TSL1PRE</x:v>
      </x:c>
      <x:c r="E67" s="56" t="n">
        <x:f>'All Trades'!G435</x:f>
        <x:v>-0.04702</x:v>
      </x:c>
      <x:c r="F67" s="57" t="str">
        <x:f>'All Trades'!S435</x:f>
        <x:v>GAP/MOM SKIP</x:v>
      </x:c>
      <x:c r="G67" s="56" t="n">
        <x:f>'All Trades'!T435</x:f>
        <x:v>0</x:v>
      </x:c>
      <x:c r="H67" s="56" t="n">
        <x:f>'All Trades'!W435</x:f>
        <x:v>0.5313260000000001</x:v>
      </x:c>
      <x:c r="I67" s="56" t="n">
        <x:f>'All Trades'!J435</x:f>
        <x:v>0.010992143466909576</x:v>
      </x:c>
      <x:c r="J67" s="56" t="n">
        <x:f>'All Trades'!K435</x:f>
        <x:v>-0.04487841648287216</x:v>
      </x:c>
      <x:c r="K67" s="56" t="n">
        <x:f>'All Trades'!L435</x:f>
        <x:v>-0.011691974920713832</x:v>
      </x:c>
      <x:c r="L67" s="72" t="str">
        <x:f>'All Trades'!AE435</x:f>
        <x:v>Monday entry skipped; Tuesday did not normalize within the Friday-based tolerance.</x:v>
      </x:c>
    </x:row>
  </x:sheetData>
  <x:mergeCells>
    <x:mergeCell ref="A1:L2"/>
    <x:mergeCell ref="A3:L3"/>
  </x:mergeCells>
  <x:conditionalFormatting sqref="E5:E67">
    <x:cfRule type="cellIs" dxfId="9" priority="1" operator="greaterThan">
      <x:formula>0</x:formula>
    </x:cfRule>
    <x:cfRule type="cellIs" dxfId="10" priority="2" operator="lessThan">
      <x:formula>0</x:formula>
    </x:cfRule>
  </x:conditionalFormatting>
  <x:conditionalFormatting sqref="G5:H67">
    <x:cfRule type="cellIs" dxfId="11" priority="3" operator="greaterThan">
      <x:formula>0</x:formula>
    </x:cfRule>
    <x:cfRule type="cellIs" dxfId="12" priority="4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cf30ff51af9459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45" hidden="0" customWidth="1"/>
  </x:cols>
  <x:sheetData>
    <x:row r="1" ht="30" customHeight="1">
      <x:c r="A1" s="22" t="str">
        <x:v>Workbook checks</x:v>
      </x:c>
      <x:c r="B1" s="22" t="str">
        <x:v>Workbook checks</x:v>
      </x:c>
      <x:c r="C1" s="22" t="str">
        <x:v>Workbook checks</x:v>
      </x:c>
      <x:c r="D1" s="22" t="str">
        <x:v>Workbook checks</x:v>
      </x:c>
      <x:c r="E1" s="22" t="str">
        <x:v>Workbook checks</x:v>
      </x:c>
      <x:c r="F1" s="22" t="str">
        <x:v>Workbook checks</x:v>
      </x:c>
      <x:c r="G1" s="22" t="str">
        <x:v>Workbook checks</x:v>
      </x:c>
    </x:row>
    <x:row r="2" ht="30" customHeight="1">
      <x:c r="A2" s="22" t="str">
        <x:v>Workbook checks</x:v>
      </x:c>
      <x:c r="B2" s="22" t="str">
        <x:v>Workbook checks</x:v>
      </x:c>
      <x:c r="C2" s="22" t="str">
        <x:v>Workbook checks</x:v>
      </x:c>
      <x:c r="D2" s="22" t="str">
        <x:v>Workbook checks</x:v>
      </x:c>
      <x:c r="E2" s="22" t="str">
        <x:v>Workbook checks</x:v>
      </x:c>
      <x:c r="F2" s="22" t="str">
        <x:v>Workbook checks</x:v>
      </x:c>
      <x:c r="G2" s="22" t="str">
        <x:v>Workbook checks</x:v>
      </x:c>
    </x:row>
    <x:row r="3" ht="26" customHeight="1">
      <x:c r="A3" s="7" t="str">
        <x:v>All checks should report OK before delivery.</x:v>
      </x:c>
      <x:c r="B3" s="7" t="str">
        <x:v>All checks should report OK before delivery.</x:v>
      </x:c>
      <x:c r="C3" s="7" t="str">
        <x:v>All checks should report OK before delivery.</x:v>
      </x:c>
      <x:c r="D3" s="7" t="str">
        <x:v>All checks should report OK before delivery.</x:v>
      </x:c>
      <x:c r="E3" s="7" t="str">
        <x:v>All checks should report OK before delivery.</x:v>
      </x:c>
      <x:c r="F3" s="7" t="str">
        <x:v>All checks should report OK before delivery.</x:v>
      </x:c>
      <x:c r="G3" s="7" t="str">
        <x:v>All checks should report OK before delivery.</x:v>
      </x:c>
    </x:row>
    <x:row r="4">
      <x:c r="A4" s="13" t="str">
        <x:v>Check</x:v>
      </x:c>
      <x:c r="B4" s="14" t="str">
        <x:v>Expected</x:v>
      </x:c>
      <x:c r="C4" s="14" t="str">
        <x:v>Actual</x:v>
      </x:c>
      <x:c r="D4" s="14" t="str">
        <x:v>Difference</x:v>
      </x:c>
      <x:c r="E4" s="14" t="str">
        <x:v>Tolerance</x:v>
      </x:c>
      <x:c r="F4" s="14" t="str">
        <x:v>Status</x:v>
      </x:c>
      <x:c r="G4" s="15" t="str">
        <x:v>Notes</x:v>
      </x:c>
    </x:row>
    <x:row r="5">
      <x:c r="A5" s="23" t="str">
        <x:v>Trade count</x:v>
      </x:c>
      <x:c r="B5" s="23" t="n">
        <x:v>432</x:v>
      </x:c>
      <x:c r="C5" s="57" t="n">
        <x:f>COUNT('All Trades'!$A$5:$A$436)</x:f>
        <x:v>432</x:v>
      </x:c>
      <x:c r="D5" s="57" t="n">
        <x:f>C5-B5</x:f>
        <x:v>0</x:v>
      </x:c>
      <x:c r="E5" s="57" t="n">
        <x:v>0</x:v>
      </x:c>
      <x:c r="F5" s="57" t="str">
        <x:f>IF(ABS(D5)&lt;=E5,"OK","CHECK")</x:f>
        <x:v>OK</x:v>
      </x:c>
      <x:c r="G5" s="23" t="str">
        <x:v>All captured closed baseline trades</x:v>
      </x:c>
    </x:row>
    <x:row r="6">
      <x:c r="A6" s="23" t="str">
        <x:v>Baseline weekly geo</x:v>
      </x:c>
      <x:c r="B6" s="110" t="n">
        <x:v>0.03323523238959214</x:v>
      </x:c>
      <x:c r="C6" s="111" t="n">
        <x:f>'Summary'!A9</x:f>
        <x:v>0.03323523238959214</x:v>
      </x:c>
      <x:c r="D6" s="111" t="n">
        <x:f>C6-B6</x:f>
        <x:v>0</x:v>
      </x:c>
      <x:c r="E6" s="112" t="n">
        <x:v>1e-10</x:v>
      </x:c>
      <x:c r="F6" s="57" t="str">
        <x:f>IF(ABS(D6)&lt;=E6,"OK","CHECK")</x:f>
        <x:v>OK</x:v>
      </x:c>
      <x:c r="G6" s="23" t="str">
        <x:v>Reconciles to Python extraction</x:v>
      </x:c>
    </x:row>
    <x:row r="7">
      <x:c r="A7" s="23" t="str">
        <x:v>Rule weekly geo</x:v>
      </x:c>
      <x:c r="B7" s="110" t="n">
        <x:v>0.04071333366403529</x:v>
      </x:c>
      <x:c r="C7" s="111" t="n">
        <x:f>'Summary'!D9</x:f>
        <x:v>0.04071333366403529</x:v>
      </x:c>
      <x:c r="D7" s="111" t="n">
        <x:f>C7-B7</x:f>
        <x:v>0</x:v>
      </x:c>
      <x:c r="E7" s="112" t="n">
        <x:v>1e-10</x:v>
      </x:c>
      <x:c r="F7" s="57" t="str">
        <x:f>IF(ABS(D7)&lt;=E7,"OK","CHECK")</x:f>
        <x:v>OK</x:v>
      </x:c>
      <x:c r="G7" s="23" t="str">
        <x:v>Reconciles to stateful overlay</x:v>
      </x:c>
    </x:row>
    <x:row r="8">
      <x:c r="A8" s="23" t="str">
        <x:v>Damage skips</x:v>
      </x:c>
      <x:c r="B8" s="23" t="n">
        <x:v>43</x:v>
      </x:c>
      <x:c r="C8" s="57" t="n">
        <x:f>COUNTIF('All Trades'!$S$5:$S$436,"DAMAGE SKIP")</x:f>
        <x:v>43</x:v>
      </x:c>
      <x:c r="D8" s="57" t="n">
        <x:f>C8-B8</x:f>
        <x:v>0</x:v>
      </x:c>
      <x:c r="E8" s="57" t="n">
        <x:v>0</x:v>
      </x:c>
      <x:c r="F8" s="57" t="str">
        <x:f>IF(ABS(D8)&lt;=E8,"OK","CHECK")</x:f>
        <x:v>OK</x:v>
      </x:c>
      <x:c r="G8" s="23" t="str">
        <x:v>Priority branch</x:v>
      </x:c>
    </x:row>
    <x:row r="9">
      <x:c r="A9" s="23" t="str">
        <x:v>Gap/momentum skips</x:v>
      </x:c>
      <x:c r="B9" s="23" t="n">
        <x:v>17</x:v>
      </x:c>
      <x:c r="C9" s="57" t="n">
        <x:f>COUNTIF('All Trades'!$S$5:$S$436,"GAP/MOM SKIP")</x:f>
        <x:v>17</x:v>
      </x:c>
      <x:c r="D9" s="57" t="n">
        <x:f>C9-B9</x:f>
        <x:v>0</x:v>
      </x:c>
      <x:c r="E9" s="57" t="n">
        <x:v>0</x:v>
      </x:c>
      <x:c r="F9" s="57" t="str">
        <x:f>IF(ABS(D9)&lt;=E9,"OK","CHECK")</x:f>
        <x:v>OK</x:v>
      </x:c>
      <x:c r="G9" s="23" t="str">
        <x:v>Tuesday not normalized</x:v>
      </x:c>
    </x:row>
    <x:row r="10">
      <x:c r="A10" s="23" t="str">
        <x:v>Tuesday re-entries</x:v>
      </x:c>
      <x:c r="B10" s="23" t="n">
        <x:v>3</x:v>
      </x:c>
      <x:c r="C10" s="57" t="n">
        <x:f>COUNTIF('All Trades'!$S$5:$S$436,"TUESDAY RE-ENTRY")</x:f>
        <x:v>3</x:v>
      </x:c>
      <x:c r="D10" s="57" t="n">
        <x:f>C10-B10</x:f>
        <x:v>0</x:v>
      </x:c>
      <x:c r="E10" s="57" t="n">
        <x:v>0</x:v>
      </x:c>
      <x:c r="F10" s="57" t="str">
        <x:f>IF(ABS(D10)&lt;=E10,"OK","CHECK")</x:f>
        <x:v>OK</x:v>
      </x:c>
      <x:c r="G10" s="23" t="str">
        <x:v>Friday-normalized overlay</x:v>
      </x:c>
    </x:row>
    <x:row r="11">
      <x:c r="A11" s="23" t="str">
        <x:v>2026-07-27 rule return</x:v>
      </x:c>
      <x:c r="B11" s="113" t="n">
        <x:v>0</x:v>
      </x:c>
      <x:c r="C11" s="105" t="n">
        <x:f>'All Trades'!T435</x:f>
        <x:v>0</x:v>
      </x:c>
      <x:c r="D11" s="105" t="n">
        <x:f>C11-B11</x:f>
        <x:v>0</x:v>
      </x:c>
      <x:c r="E11" s="105" t="n">
        <x:v>1e-12</x:v>
      </x:c>
      <x:c r="F11" s="57" t="str">
        <x:f>IF(ABS(D11)&lt;=E11,"OK","CHECK")</x:f>
        <x:v>OK</x:v>
      </x:c>
      <x:c r="G11" s="23" t="str">
        <x:v>Recent -4.702% baseline trade is skipped</x:v>
      </x:c>
    </x:row>
  </x:sheetData>
  <x:mergeCells>
    <x:mergeCell ref="A1:G2"/>
    <x:mergeCell ref="A3:G3"/>
  </x:mergeCells>
  <x:conditionalFormatting sqref="F5:F11">
    <x:cfRule type="containsText" dxfId="15" priority="1" operator="containsText" text="OK"/>
    <x:cfRule type="containsText" dxfId="16" priority="2" operator="containsText" text="CHECK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0" hidden="0" customWidth="1"/>
  </x:cols>
  <x:sheetData>
    <x:row r="1" ht="30" customHeight="1">
      <x:c r="A1" s="22" t="str">
        <x:v>Methodology and audit trail</x:v>
      </x:c>
      <x:c r="B1" s="22" t="str">
        <x:v>Methodology and audit trail</x:v>
      </x:c>
      <x:c r="C1" s="22" t="str">
        <x:v>Methodology and audit trail</x:v>
      </x:c>
      <x:c r="D1" s="22" t="str">
        <x:v>Methodology and audit trail</x:v>
      </x:c>
      <x:c r="E1" s="22" t="str">
        <x:v>Methodology and audit trail</x:v>
      </x:c>
      <x:c r="F1" s="22" t="str">
        <x:v>Methodology and audit trail</x:v>
      </x:c>
    </x:row>
    <x:row r="2" ht="30" customHeight="1">
      <x:c r="A2" s="22" t="str">
        <x:v>Methodology and audit trail</x:v>
      </x:c>
      <x:c r="B2" s="22" t="str">
        <x:v>Methodology and audit trail</x:v>
      </x:c>
      <x:c r="C2" s="22" t="str">
        <x:v>Methodology and audit trail</x:v>
      </x:c>
      <x:c r="D2" s="22" t="str">
        <x:v>Methodology and audit trail</x:v>
      </x:c>
      <x:c r="E2" s="22" t="str">
        <x:v>Methodology and audit trail</x:v>
      </x:c>
      <x:c r="F2" s="22" t="str">
        <x:v>Methodology and audit trail</x:v>
      </x:c>
    </x:row>
    <x:row r="3" ht="26" customHeight="1">
      <x:c r="A3" s="7" t="str">
        <x:v>Definitions used to reproduce the comparison.</x:v>
      </x:c>
      <x:c r="B3" s="7" t="str">
        <x:v>Definitions used to reproduce the comparison.</x:v>
      </x:c>
      <x:c r="C3" s="7" t="str">
        <x:v>Definitions used to reproduce the comparison.</x:v>
      </x:c>
      <x:c r="D3" s="7" t="str">
        <x:v>Definitions used to reproduce the comparison.</x:v>
      </x:c>
      <x:c r="E3" s="7" t="str">
        <x:v>Definitions used to reproduce the comparison.</x:v>
      </x:c>
      <x:c r="F3" s="7" t="str">
        <x:v>Definitions used to reproduce the comparison.</x:v>
      </x:c>
    </x:row>
    <x:row r="4">
      <x:c r="A4" s="23"/>
      <x:c r="B4" s="23"/>
      <x:c r="C4" s="23"/>
      <x:c r="D4" s="23"/>
      <x:c r="E4" s="23"/>
      <x:c r="F4" s="23"/>
    </x:row>
    <x:row r="5">
      <x:c r="A5" s="13" t="str">
        <x:v>Topic</x:v>
      </x:c>
      <x:c r="B5" s="15" t="str">
        <x:v>Definition</x:v>
      </x:c>
      <x:c r="C5" s="23"/>
      <x:c r="D5" s="23"/>
      <x:c r="E5" s="23"/>
      <x:c r="F5" s="23"/>
    </x:row>
    <x:row r="6" ht="30" customHeight="1">
      <x:c r="A6" s="116" t="str">
        <x:v>Baseline source</x:v>
      </x:c>
      <x:c r="B6" s="28" t="str">
        <x:v>D:\oppw\backtest\oppw24.py</x:v>
      </x:c>
      <x:c r="C6" s="23"/>
      <x:c r="D6" s="23"/>
      <x:c r="E6" s="23"/>
      <x:c r="F6" s="23"/>
    </x:row>
    <x:row r="7" ht="30" customHeight="1">
      <x:c r="A7" s="116" t="str">
        <x:v>Quote source</x:v>
      </x:c>
      <x:c r="B7" s="28" t="str">
        <x:v>D:\oppw\backtest\quotes.pkl</x:v>
      </x:c>
      <x:c r="C7" s="23"/>
      <x:c r="D7" s="23"/>
      <x:c r="E7" s="23"/>
      <x:c r="F7" s="23"/>
    </x:row>
    <x:row r="8" ht="30" customHeight="1">
      <x:c r="A8" s="116" t="str">
        <x:v>History</x:v>
      </x:c>
      <x:c r="B8" s="28" t="str">
        <x:v>20180416 through 20260803; 432 closed trades</x:v>
      </x:c>
      <x:c r="C8" s="23"/>
      <x:c r="D8" s="23"/>
      <x:c r="E8" s="23"/>
      <x:c r="F8" s="23"/>
    </x:row>
    <x:row r="9" ht="30" customHeight="1">
      <x:c r="A9" s="116" t="str">
        <x:v>Last three</x:v>
      </x:c>
      <x:c r="B9" s="28" t="str">
        <x:v>Sum of the previous three rule raw outcomes; skipped weeks enter the history as 0.0.</x:v>
      </x:c>
      <x:c r="C9" s="23"/>
      <x:c r="D9" s="23"/>
      <x:c r="E9" s="23"/>
      <x:c r="F9" s="23"/>
    </x:row>
    <x:row r="10" ht="30" customHeight="1">
      <x:c r="A10" s="116" t="str">
        <x:v>Damage priority</x:v>
      </x:c>
      <x:c r="B10" s="28" t="str">
        <x:v>When the last-three condition is true, the week is skipped before evaluating gap or momentum.</x:v>
      </x:c>
      <x:c r="C10" s="23"/>
      <x:c r="D10" s="23"/>
      <x:c r="E10" s="23"/>
      <x:c r="F10" s="23"/>
    </x:row>
    <x:row r="11" ht="30" customHeight="1">
      <x:c r="A11" s="116" t="str">
        <x:v>Cash-opening gap</x:v>
      </x:c>
      <x:c r="B11" s="28" t="str">
        <x:v>Monday adjusted cash open / previous session adjusted cash close - 1.</x:v>
      </x:c>
      <x:c r="C11" s="23"/>
      <x:c r="D11" s="23"/>
      <x:c r="E11" s="23"/>
      <x:c r="F11" s="23"/>
    </x:row>
    <x:row r="12" ht="30" customHeight="1">
      <x:c r="A12" s="116" t="str">
        <x:v>Momentum 20d</x:v>
      </x:c>
      <x:c r="B12" s="28" t="str">
        <x:v>Previous Friday daily close / daily close 20 sessions earlier - 1.</x:v>
      </x:c>
      <x:c r="C12" s="23"/>
      <x:c r="D12" s="23"/>
      <x:c r="E12" s="23"/>
      <x:c r="F12" s="23"/>
    </x:row>
    <x:row r="13" ht="30" customHeight="1">
      <x:c r="A13" s="116" t="str">
        <x:v>Friday normalization</x:v>
      </x:c>
      <x:c r="B13" s="28" t="str">
        <x:v>Tuesday daily cash open / previous Friday daily cash close - 1; absolute value must be within tolerance.</x:v>
      </x:c>
      <x:c r="C13" s="23"/>
      <x:c r="D13" s="23"/>
      <x:c r="E13" s="23"/>
      <x:c r="F13" s="23"/>
    </x:row>
    <x:row r="14" ht="30" customHeight="1">
      <x:c r="A14" s="116" t="str">
        <x:v>Tuesday return</x:v>
      </x:c>
      <x:c r="B14" s="28" t="str">
        <x:v>Original baseline exit price / Tuesday adjusted cash open - 1, truncated to five decimal places.</x:v>
      </x:c>
      <x:c r="C14" s="23"/>
      <x:c r="D14" s="23"/>
      <x:c r="E14" s="23"/>
      <x:c r="F14" s="23"/>
    </x:row>
    <x:row r="15" ht="30" customHeight="1">
      <x:c r="A15" s="116" t="str">
        <x:v>Overlay limitation</x:v>
      </x:c>
      <x:c r="B15" s="28" t="str">
        <x:v>Repriced overlay reuses the original baseline exit price; it does not rerun exit state.</x:v>
      </x:c>
      <x:c r="C15" s="23"/>
      <x:c r="D15" s="23"/>
      <x:c r="E15" s="23"/>
      <x:c r="F15" s="23"/>
    </x:row>
    <x:row r="16" ht="30" customHeight="1">
      <x:c r="A16" s="116" t="str">
        <x:v>Interpretation</x:v>
      </x:c>
      <x:c r="B16" s="28" t="str">
        <x:v>Use the Tuesday result for research screening. Confirm it with an exact strategy-engine state-machine backtest before implementation.</x:v>
      </x:c>
      <x:c r="C16" s="23"/>
      <x:c r="D16" s="23"/>
      <x:c r="E16" s="23"/>
      <x:c r="F16" s="23"/>
    </x:row>
  </x:sheetData>
  <x:mergeCells>
    <x:mergeCell ref="A1:F2"/>
    <x:mergeCell ref="A3:F3"/>
  </x:mergeCells>
  <x:pageMargins left="0.7" right="0.7" top="0.75" bottom="0.75" header="0.3" footer="0.3"/>
</x:worksheet>
</file>