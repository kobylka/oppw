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9858bf776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aa21f313db40ec"/>
    <x:sheet xmlns:r="http://schemas.openxmlformats.org/officeDocument/2006/relationships" name="All 200 Ideas" sheetId="2" r:id="Rcf3d115b6f2a429e"/>
    <x:sheet xmlns:r="http://schemas.openxmlformats.org/officeDocument/2006/relationships" name="Protected Results" sheetId="3" r:id="R8bb9cf6f77cf405f"/>
    <x:sheet xmlns:r="http://schemas.openxmlformats.org/officeDocument/2006/relationships" name="Leverage Only Results" sheetId="4" r:id="Rd8efa45f82ac4134"/>
    <x:sheet xmlns:r="http://schemas.openxmlformats.org/officeDocument/2006/relationships" name="Worst 20 Baselines" sheetId="5" r:id="Re174f71b9d1e4047"/>
    <x:sheet xmlns:r="http://schemas.openxmlformats.org/officeDocument/2006/relationships" name="Methodology" sheetId="6" r:id="R7c5a158cfa4c4910"/>
    <x:sheet xmlns:r="http://schemas.openxmlformats.org/officeDocument/2006/relationships" name="Checks" sheetId="7" r:id="R7b6b4d02942c45a8"/>
  </x:sheets>
</x:workbook>
</file>

<file path=xl/comments1.xml><?xml version="1.0" encoding="utf-8"?>
<x:comments xmlns:x="http://schemas.openxmlformats.org/spreadsheetml/2006/main">
  <x:authors>
    <x:author>tc={B6B80EFC-84DF-10F0-CD10-D464F8F1A5A4}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is the current workspace copy of oppw24.py; the study did not alter that source file.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.0%;[Red](0.0%);-"/>
    <x:numFmt numFmtId="202" formatCode="0.000"/>
    <x:numFmt numFmtId="203" formatCode="#,##0"/>
    <x:numFmt numFmtId="204" formatCode="0.0%"/>
    <x:numFmt numFmtId="205" formatCode="yyyy-mm-dd"/>
    <x:numFmt numFmtId="206" formatCode="0.0%;[Red](0.0%)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0" borderId="0" xfId="0" applyNumberFormat="1" applyFont="1" applyFill="1" applyBorder="1"/>
    <x:xf numFmtId="201" fontId="4" fillId="4" borderId="0" xfId="0" applyNumberFormat="1" applyFont="1" applyFill="1" applyBorder="1"/>
    <x:xf numFmtId="201" fontId="0" fillId="0" borderId="0" xfId="0" applyNumberFormat="1" applyFont="1" applyFill="1" applyBorder="1"/>
    <x:xf numFmtId="202" fontId="4" fillId="4" borderId="0" xfId="0" applyNumberFormat="1" applyFont="1" applyFill="1" applyBorder="1"/>
    <x:xf numFmtId="202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201" fontId="0" fillId="6" borderId="5" xfId="0" applyNumberFormat="1" applyFont="1" applyFill="1" applyBorder="1" applyAlignment="1">
      <x:alignment wrapText="1"/>
    </x:xf>
    <x:xf numFmtId="203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026d1c34a4901" /><Relationship Type="http://schemas.openxmlformats.org/officeDocument/2006/relationships/theme" Target="/xl/theme/theme1.xml" Id="Rdf0897fd66c94721" /><Relationship Type="http://schemas.openxmlformats.org/officeDocument/2006/relationships/sharedStrings" Target="/xl/sharedStrings.xml" Id="Rc440eb9cea9c44e8" /><Relationship Type="http://schemas.openxmlformats.org/officeDocument/2006/relationships/worksheet" Target="/xl/worksheets/sheet1.xml" Id="R6eaa21f313db40ec" /><Relationship Type="http://schemas.openxmlformats.org/officeDocument/2006/relationships/worksheet" Target="/xl/worksheets/sheet2.xml" Id="Rcf3d115b6f2a429e" /><Relationship Type="http://schemas.openxmlformats.org/officeDocument/2006/relationships/worksheet" Target="/xl/worksheets/sheet3.xml" Id="R8bb9cf6f77cf405f" /><Relationship Type="http://schemas.openxmlformats.org/officeDocument/2006/relationships/worksheet" Target="/xl/worksheets/sheet4.xml" Id="Rd8efa45f82ac4134" /><Relationship Type="http://schemas.openxmlformats.org/officeDocument/2006/relationships/worksheet" Target="/xl/worksheets/sheet5.xml" Id="Re174f71b9d1e4047" /><Relationship Type="http://schemas.openxmlformats.org/officeDocument/2006/relationships/worksheet" Target="/xl/worksheets/sheet6.xml" Id="R7c5a158cfa4c4910" /><Relationship Type="http://schemas.openxmlformats.org/officeDocument/2006/relationships/worksheet" Target="/xl/worksheets/sheet7.xml" Id="R7b6b4d02942c45a8" /><Relationship Type="http://schemas.microsoft.com/office/2017/10/relationships/person" Target="/xl/persons/person.xml" Id="Raf9acda783e2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95109bf5954069" /><Relationship Type="http://schemas.openxmlformats.org/officeDocument/2006/relationships/chart" Target="/xl/drawings/charts/chart2.xml" Id="R5b7d43998a6e49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Protected daily maximum drawdown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Daily max DD</c:v>
          </c:tx>
          <c:cat>
            <c:strRef>
              <c:f>'Summary'!$A$43:$A$45</c:f>
              <c:strCache>
                <c:ptCount val="0"/>
              </c:strCache>
            </c:strRef>
          </c:cat>
          <c:val>
            <c:numRef>
              <c:f>'Summary'!$B$43:$B$45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Leverage-only daily maximum drawdown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Daily max DD</c:v>
          </c:tx>
          <c:cat>
            <c:strRef>
              <c:f>'Summary'!$J$43:$J$47</c:f>
              <c:strCache>
                <c:ptCount val="0"/>
              </c:strCache>
            </c:strRef>
          </c:cat>
          <c:val>
            <c:numRef>
              <c:f>'Summary'!$K$43:$K$47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95109bf5954069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7d43998a6e493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205B529D-A700-4165-8A4C-555A2152B362}"/>
</xltc:personList>
</file>

<file path=xl/tables/table1.xml><?xml version="1.0" encoding="utf-8"?>
<x:table xmlns:x="http://schemas.openxmlformats.org/spreadsheetml/2006/main" id="3" name="AllIdeasTable" displayName="AllIdeasTable" ref="A5:T205" headerRowCount="1" totalsRowCount="0" totalsRowShown="0">
  <x:tableColumns count="20">
    <x:tableColumn id="1" name="Idea ID"/>
    <x:tableColumn id="2" name="Family"/>
    <x:tableColumn id="3" name="Entry rule"/>
    <x:tableColumn id="4" name="Protected CAGR"/>
    <x:tableColumn id="5" name="Protected retention"/>
    <x:tableColumn id="6" name="Protected daily DD"/>
    <x:tableColumn id="7" name="Protected DD improvement"/>
    <x:tableColumn id="8" name="Protected worst 20"/>
    <x:tableColumn id="9" name="Protected skips"/>
    <x:tableColumn id="10" name="Leverage CAGR"/>
    <x:tableColumn id="11" name="Leverage retention"/>
    <x:tableColumn id="12" name="Leverage daily DD"/>
    <x:tableColumn id="13" name="Leverage DD improvement"/>
    <x:tableColumn id="14" name="Leverage worst 20"/>
    <x:tableColumn id="15" name="Leverage skips"/>
    <x:tableColumn id="16" name="Minimum retention"/>
    <x:tableColumn id="17" name="Average DD improvement"/>
    <x:tableColumn id="18" name="Total worst 20 avoided"/>
    <x:tableColumn id="19" name="Cross-mode screen"/>
    <x:tableColumn id="20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tectedResultsTable" displayName="ProtectedResultsTable" ref="A5:V206" headerRowCount="1" totalsRowCount="0" totalsRowShown="0">
  <x:autoFilter ref="A5:V206"/>
  <x:tableColumns count="22">
    <x:tableColumn id="1" name="Idea ID"/>
    <x:tableColumn id="2" name="Family"/>
    <x:tableColumn id="3" name="Entry rule"/>
    <x:tableColumn id="4" name="Final balance"/>
    <x:tableColumn id="5" name="Deposited"/>
    <x:tableColumn id="6" name="Exact CAGR"/>
    <x:tableColumn id="7" name="CAGR retention"/>
    <x:tableColumn id="8" name="Daily max DD"/>
    <x:tableColumn id="9" name="Daily DD improvement"/>
    <x:tableColumn id="10" name="Closed-trade DD"/>
    <x:tableColumn id="11" name="Closed DD improvement"/>
    <x:tableColumn id="12" name="Config worst 20 avoided"/>
    <x:tableColumn id="13" name="Reference worst 20 avoided"/>
    <x:tableColumn id="14" name="Entries skipped"/>
    <x:tableColumn id="15" name="Baseline losers skipped"/>
    <x:tableColumn id="16" name="Baseline winners skipped"/>
    <x:tableColumn id="17" name="Closed trades"/>
    <x:tableColumn id="18" name="Worst trade return"/>
    <x:tableColumn id="19" name="Pre-2023 daily DD"/>
    <x:tableColumn id="20" name="2023+ daily DD"/>
    <x:tableColumn id="21" name="Recommended screen"/>
    <x:tableColumn id="22" name="Tradeoff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LeverageResultsTable" displayName="LeverageResultsTable" ref="A5:V206" headerRowCount="1" totalsRowCount="0" totalsRowShown="0">
  <x:autoFilter ref="A5:V206"/>
  <x:tableColumns count="22">
    <x:tableColumn id="1" name="Idea ID"/>
    <x:tableColumn id="2" name="Family"/>
    <x:tableColumn id="3" name="Entry rule"/>
    <x:tableColumn id="4" name="Final balance"/>
    <x:tableColumn id="5" name="Deposited"/>
    <x:tableColumn id="6" name="Exact CAGR"/>
    <x:tableColumn id="7" name="CAGR retention"/>
    <x:tableColumn id="8" name="Daily max DD"/>
    <x:tableColumn id="9" name="Daily DD improvement"/>
    <x:tableColumn id="10" name="Closed-trade DD"/>
    <x:tableColumn id="11" name="Closed DD improvement"/>
    <x:tableColumn id="12" name="Config worst 20 avoided"/>
    <x:tableColumn id="13" name="Reference worst 20 avoided"/>
    <x:tableColumn id="14" name="Entries skipped"/>
    <x:tableColumn id="15" name="Baseline losers skipped"/>
    <x:tableColumn id="16" name="Baseline winners skipped"/>
    <x:tableColumn id="17" name="Closed trades"/>
    <x:tableColumn id="18" name="Worst trade return"/>
    <x:tableColumn id="19" name="Pre-2023 daily DD"/>
    <x:tableColumn id="20" name="2023+ daily DD"/>
    <x:tableColumn id="21" name="Recommended screen"/>
    <x:tableColumn id="22" name="Tradeoff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13T17:31:24.195" personId="{205B529D-A700-4165-8A4C-555A2152B362}" id="{B6B80EFC-84DF-10F0-CD10-D464F8F1A5A4}">
    <xltc:text>Source is the current workspace copy of oppw24.py; the study did not alter that source file.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3a7445fc1640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cea7f20658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efba2584354a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4d06b02dd94d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03cbab2bf3df4dc1" /><Relationship Type="http://schemas.openxmlformats.org/officeDocument/2006/relationships/vmlDrawing" Target="/xl/drawings/vmldrawing.vml" Id="R75d1c0a4385a4c04" /><Relationship Type="http://schemas.microsoft.com/office/2017/10/relationships/threadedComment" Target="/xl/threadedcomments/threadedcomment.xml" Id="R785d3917fb12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58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38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8" customHeight="1">
      <x:c r="A1" s="3" t="str">
        <x:v>OPPW trade-avoidance study — 200 ideas × 2 configurations</x:v>
      </x:c>
      <x:c r="B1" s="3" t="str">
        <x:v>OPPW trade-avoidance study — 200 ideas × 2 configurations</x:v>
      </x:c>
      <x:c r="C1" s="3" t="str">
        <x:v>OPPW trade-avoidance study — 200 ideas × 2 configurations</x:v>
      </x:c>
      <x:c r="D1" s="3" t="str">
        <x:v>OPPW trade-avoidance study — 200 ideas × 2 configurations</x:v>
      </x:c>
      <x:c r="E1" s="3" t="str">
        <x:v>OPPW trade-avoidance study — 200 ideas × 2 configurations</x:v>
      </x:c>
      <x:c r="F1" s="3" t="str">
        <x:v>OPPW trade-avoidance study — 200 ideas × 2 configurations</x:v>
      </x:c>
      <x:c r="G1" s="3" t="str">
        <x:v>OPPW trade-avoidance study — 200 ideas × 2 configurations</x:v>
      </x:c>
      <x:c r="H1" s="3" t="str">
        <x:v>OPPW trade-avoidance study — 200 ideas × 2 configurations</x:v>
      </x:c>
      <x:c r="I1" s="3" t="str">
        <x:v>OPPW trade-avoidance study — 200 ideas × 2 configurations</x:v>
      </x:c>
      <x:c r="J1" s="3" t="str">
        <x:v>OPPW trade-avoidance study — 200 ideas × 2 configurations</x:v>
      </x:c>
      <x:c r="K1" s="3" t="str">
        <x:v>OPPW trade-avoidance study — 200 ideas × 2 configurations</x:v>
      </x:c>
      <x:c r="L1" s="3" t="str">
        <x:v>OPPW trade-avoidance study — 200 ideas × 2 configurations</x:v>
      </x:c>
      <x:c r="M1" s="3" t="str">
        <x:v>OPPW trade-avoidance study — 200 ideas × 2 configurations</x:v>
      </x:c>
      <x:c r="N1" s="3" t="str">
        <x:v>OPPW trade-avoidance study — 200 ideas × 2 configurations</x:v>
      </x:c>
      <x:c r="O1" s="3" t="str">
        <x:v>OPPW trade-avoidance study — 200 ideas × 2 configurations</x:v>
      </x:c>
      <x:c r="P1" s="3" t="str">
        <x:v>OPPW trade-avoidance study — 200 ideas × 2 configurations</x:v>
      </x:c>
      <x:c r="Q1" s="3" t="str">
        <x:v>OPPW trade-avoidance study — 200 ideas × 2 configurations</x:v>
      </x:c>
    </x:row>
    <x:row r="2">
      <x:c r="A2" s="5" t="str">
        <x:v>Research screen only | 2018-04-13 through 2026-08-12 | Exact current oppw24.py reruns | No rule uses future data</x:v>
      </x:c>
      <x:c r="B2" s="5" t="str">
        <x:v>Research screen only | 2018-04-13 through 2026-08-12 | Exact current oppw24.py reruns | No rule uses future data</x:v>
      </x:c>
      <x:c r="C2" s="5" t="str">
        <x:v>Research screen only | 2018-04-13 through 2026-08-12 | Exact current oppw24.py reruns | No rule uses future data</x:v>
      </x:c>
      <x:c r="D2" s="5" t="str">
        <x:v>Research screen only | 2018-04-13 through 2026-08-12 | Exact current oppw24.py reruns | No rule uses future data</x:v>
      </x:c>
      <x:c r="E2" s="5" t="str">
        <x:v>Research screen only | 2018-04-13 through 2026-08-12 | Exact current oppw24.py reruns | No rule uses future data</x:v>
      </x:c>
      <x:c r="F2" s="5" t="str">
        <x:v>Research screen only | 2018-04-13 through 2026-08-12 | Exact current oppw24.py reruns | No rule uses future data</x:v>
      </x:c>
      <x:c r="G2" s="5" t="str">
        <x:v>Research screen only | 2018-04-13 through 2026-08-12 | Exact current oppw24.py reruns | No rule uses future data</x:v>
      </x:c>
      <x:c r="H2" s="5" t="str">
        <x:v>Research screen only | 2018-04-13 through 2026-08-12 | Exact current oppw24.py reruns | No rule uses future data</x:v>
      </x:c>
      <x:c r="I2" s="5" t="str">
        <x:v>Research screen only | 2018-04-13 through 2026-08-12 | Exact current oppw24.py reruns | No rule uses future data</x:v>
      </x:c>
      <x:c r="J2" s="5" t="str">
        <x:v>Research screen only | 2018-04-13 through 2026-08-12 | Exact current oppw24.py reruns | No rule uses future data</x:v>
      </x:c>
      <x:c r="K2" s="5" t="str">
        <x:v>Research screen only | 2018-04-13 through 2026-08-12 | Exact current oppw24.py reruns | No rule uses future data</x:v>
      </x:c>
      <x:c r="L2" s="5" t="str">
        <x:v>Research screen only | 2018-04-13 through 2026-08-12 | Exact current oppw24.py reruns | No rule uses future data</x:v>
      </x:c>
      <x:c r="M2" s="5" t="str">
        <x:v>Research screen only | 2018-04-13 through 2026-08-12 | Exact current oppw24.py reruns | No rule uses future data</x:v>
      </x:c>
      <x:c r="N2" s="5" t="str">
        <x:v>Research screen only | 2018-04-13 through 2026-08-12 | Exact current oppw24.py reruns | No rule uses future data</x:v>
      </x:c>
      <x:c r="O2" s="5" t="str">
        <x:v>Research screen only | 2018-04-13 through 2026-08-12 | Exact current oppw24.py reruns | No rule uses future data</x:v>
      </x:c>
      <x:c r="P2" s="5" t="str">
        <x:v>Research screen only | 2018-04-13 through 2026-08-12 | Exact current oppw24.py reruns | No rule uses future data</x:v>
      </x:c>
      <x:c r="Q2" s="5" t="str">
        <x:v>Research screen only | 2018-04-13 through 2026-08-12 | Exact current oppw24.py reruns | No rule uses future data</x:v>
      </x:c>
    </x:row>
    <x:row r="4">
      <x:c r="A4" s="42" t="str">
        <x:v>Baseline results</x:v>
      </x:c>
      <x:c r="B4" s="42" t="str">
        <x:v>Baseline results</x:v>
      </x:c>
      <x:c r="C4" s="42" t="str">
        <x:v>Baseline results</x:v>
      </x:c>
      <x:c r="D4" s="42" t="str">
        <x:v>Baseline results</x:v>
      </x:c>
      <x:c r="E4" s="42" t="str">
        <x:v>Baseline results</x:v>
      </x:c>
      <x:c r="F4" s="42" t="str">
        <x:v>Baseline results</x:v>
      </x:c>
      <x:c r="G4" s="42" t="str">
        <x:v>Baseline results</x:v>
      </x:c>
      <x:c r="H4" s="42" t="str">
        <x:v>Baseline results</x:v>
      </x:c>
    </x:row>
    <x:row r="5" ht="48" customHeight="1">
      <x:c r="A5" s="13" t="str">
        <x:v>Configuration</x:v>
      </x:c>
      <x:c r="B5" s="14" t="str">
        <x:v>Exact CAGR</x:v>
      </x:c>
      <x:c r="C5" s="14" t="str">
        <x:v>Daily max DD</x:v>
      </x:c>
      <x:c r="D5" s="14" t="str">
        <x:v>Closed-trade DD</x:v>
      </x:c>
      <x:c r="E5" s="14" t="str">
        <x:v>Closed trades</x:v>
      </x:c>
      <x:c r="F5" s="14" t="str">
        <x:v>Final balance</x:v>
      </x:c>
      <x:c r="G5" s="14" t="str">
        <x:v>Deposited</x:v>
      </x:c>
      <x:c r="H5" s="15" t="str">
        <x:v>Worst trade</x:v>
      </x:c>
    </x:row>
    <x:row r="6">
      <x:c r="A6" t="str">
        <x:v>Protected</x:v>
      </x:c>
      <x:c r="B6" s="21" t="n">
        <x:f>'Protected Results'!F6</x:f>
        <x:v>7.189004290748413</x:v>
      </x:c>
      <x:c r="C6" s="21" t="n">
        <x:v>0.8134642808936471</x:v>
      </x:c>
      <x:c r="D6" s="21" t="n">
        <x:v>0.802</x:v>
      </x:c>
      <x:c r="E6" t="n">
        <x:v>376</x:v>
      </x:c>
      <x:c r="F6" s="19" t="n">
        <x:v>463060842662.48914</x:v>
      </x:c>
      <x:c r="G6" s="19" t="n">
        <x:v>12080</x:v>
      </x:c>
      <x:c r="H6" s="21" t="n">
        <x:v>-0.7230426999112742</x:v>
      </x:c>
    </x:row>
    <x:row r="7">
      <x:c r="A7" t="str">
        <x:v>Leverage only</x:v>
      </x:c>
      <x:c r="B7" s="21" t="n">
        <x:f>'Leverage Only Results'!F6</x:f>
        <x:v>3.8341790836315575</x:v>
      </x:c>
      <x:c r="C7" s="21" t="n">
        <x:v>0.9107812639081152</x:v>
      </x:c>
      <x:c r="D7" s="21" t="n">
        <x:v>0.911</x:v>
      </x:c>
      <x:c r="E7" t="n">
        <x:v>433</x:v>
      </x:c>
      <x:c r="F7" s="19" t="n">
        <x:v>6925479870.037004</x:v>
      </x:c>
      <x:c r="G7" s="19" t="n">
        <x:v>14380</x:v>
      </x:c>
      <x:c r="H7" s="21" t="n">
        <x:v>-0.7239999461253781</x:v>
      </x:c>
    </x:row>
    <x:row r="9">
      <x:c r="A9" s="42" t="str">
        <x:v>Shortlist — choose by objective, not by one composite score</x:v>
      </x:c>
      <x:c r="B9" s="42" t="str">
        <x:v>Shortlist — choose by objective, not by one composite score</x:v>
      </x:c>
      <x:c r="C9" s="42" t="str">
        <x:v>Shortlist — choose by objective, not by one composite score</x:v>
      </x:c>
      <x:c r="D9" s="42" t="str">
        <x:v>Shortlist — choose by objective, not by one composite score</x:v>
      </x:c>
      <x:c r="E9" s="42" t="str">
        <x:v>Shortlist — choose by objective, not by one composite score</x:v>
      </x:c>
      <x:c r="F9" s="42" t="str">
        <x:v>Shortlist — choose by objective, not by one composite score</x:v>
      </x:c>
      <x:c r="G9" s="42" t="str">
        <x:v>Shortlist — choose by objective, not by one composite score</x:v>
      </x:c>
      <x:c r="H9" s="42" t="str">
        <x:v>Shortlist — choose by objective, not by one composite score</x:v>
      </x:c>
      <x:c r="I9" s="42" t="str">
        <x:v>Shortlist — choose by objective, not by one composite score</x:v>
      </x:c>
      <x:c r="J9" s="42" t="str">
        <x:v>Shortlist — choose by objective, not by one composite score</x:v>
      </x:c>
      <x:c r="K9" s="42" t="str">
        <x:v>Shortlist — choose by objective, not by one composite score</x:v>
      </x:c>
    </x:row>
    <x:row r="10" ht="48" customHeight="1">
      <x:c r="A10" s="13" t="str">
        <x:v>Objective</x:v>
      </x:c>
      <x:c r="B10" s="14" t="str">
        <x:v>Idea</x:v>
      </x:c>
      <x:c r="C10" s="14" t="str">
        <x:v>Rule</x:v>
      </x:c>
      <x:c r="D10" s="14" t="str">
        <x:v>Configuration</x:v>
      </x:c>
      <x:c r="E10" s="14" t="str">
        <x:v>Exact CAGR</x:v>
      </x:c>
      <x:c r="F10" s="14" t="str">
        <x:v>Retention</x:v>
      </x:c>
      <x:c r="G10" s="14" t="str">
        <x:v>Daily DD</x:v>
      </x:c>
      <x:c r="H10" s="14" t="str">
        <x:v>DD improvement</x:v>
      </x:c>
      <x:c r="I10" s="14" t="str">
        <x:v>Worst 20 avoided</x:v>
      </x:c>
      <x:c r="J10" s="14" t="str">
        <x:v>Skips</x:v>
      </x:c>
      <x:c r="K10" s="15" t="str">
        <x:v>Assessment</x:v>
      </x:c>
    </x:row>
    <x:row r="11">
      <x:c r="A11" s="60" t="str">
        <x:v>Best cross-mode drawdown</x:v>
      </x:c>
      <x:c r="B11" s="61" t="n">
        <x:v>148</x:v>
      </x:c>
      <x:c r="C11" s="61" t="str">
        <x:v>Skip when 10-session daily realized volatility is at least 2.0%.</x:v>
      </x:c>
      <x:c r="D11" s="61" t="str">
        <x:v>Both</x:v>
      </x:c>
      <x:c r="E11" s="62" t="n">
        <x:f>AVERAGE('Protected Results'!F154,'Leverage Only Results'!F154)</x:f>
        <x:v>4.5648201579923375</x:v>
      </x:c>
      <x:c r="F11" s="62" t="n">
        <x:f>MIN('Protected Results'!G154,'Leverage Only Results'!G154)</x:f>
        <x:v>0.802146186392614</x:v>
      </x:c>
      <x:c r="G11" s="62" t="n">
        <x:f>AVERAGE('Protected Results'!H154,'Leverage Only Results'!H154)</x:f>
        <x:v>0.7752349970131158</x:v>
      </x:c>
      <x:c r="H11" s="62" t="n">
        <x:f>AVERAGE('Protected Results'!I154,'Leverage Only Results'!I154)</x:f>
        <x:v>0.08688777538776532</x:v>
      </x:c>
      <x:c r="I11" s="63" t="n">
        <x:f>'Protected Results'!L154+'Leverage Only Results'!L154</x:f>
        <x:v>7</x:v>
      </x:c>
      <x:c r="J11" s="63" t="n">
        <x:f>'Protected Results'!N154+'Leverage Only Results'!N154</x:f>
        <x:v>76</x:v>
      </x:c>
      <x:c r="K11" s="64" t="str">
        <x:v>Strongest consistent risk reducer; material protected-mode benefit.</x:v>
      </x:c>
    </x:row>
    <x:row r="12">
      <x:c r="A12" s="50" t="str">
        <x:v>Protected low-regret</x:v>
      </x:c>
      <x:c r="B12" s="51" t="n">
        <x:v>5</x:v>
      </x:c>
      <x:c r="C12" s="51" t="str">
        <x:v>Skip when the worst premarket 1-minute candle is -0.6% or worse.</x:v>
      </x:c>
      <x:c r="D12" s="51" t="str">
        <x:v>Protected</x:v>
      </x:c>
      <x:c r="E12" s="52" t="n">
        <x:f>'Protected Results'!F11</x:f>
        <x:v>7.468507831106876</x:v>
      </x:c>
      <x:c r="F12" s="52" t="n">
        <x:f>'Protected Results'!G11</x:f>
        <x:v>1.0388793119400637</x:v>
      </x:c>
      <x:c r="G12" s="52" t="n">
        <x:f>'Protected Results'!H11</x:f>
        <x:v>0.7907189886608056</x:v>
      </x:c>
      <x:c r="H12" s="52" t="n">
        <x:f>'Protected Results'!I11</x:f>
        <x:v>0.022745292232841496</x:v>
      </x:c>
      <x:c r="I12" s="53" t="n">
        <x:f>'Protected Results'!L11</x:f>
        <x:v>1</x:v>
      </x:c>
      <x:c r="J12" s="53" t="n">
        <x:f>'Protected Results'!N11</x:f>
        <x:v>6</x:v>
      </x:c>
      <x:c r="K12" s="54" t="str">
        <x:v>Higher historical CAGR and 2.3pp lower daily DD, but only six skips: treat as fragile.</x:v>
      </x:c>
    </x:row>
    <x:row r="13">
      <x:c r="A13" s="50" t="str">
        <x:v>Protected conservative</x:v>
      </x:c>
      <x:c r="B13" s="51" t="n">
        <x:v>18</x:v>
      </x:c>
      <x:c r="C13" s="51" t="str">
        <x:v>Skip when the worst premarket 3-minute candle is -0.9% or worse.</x:v>
      </x:c>
      <x:c r="D13" s="51" t="str">
        <x:v>Protected</x:v>
      </x:c>
      <x:c r="E13" s="52" t="n">
        <x:f>'Protected Results'!F24</x:f>
        <x:v>7.04457806583558</x:v>
      </x:c>
      <x:c r="F13" s="52" t="n">
        <x:f>'Protected Results'!G24</x:f>
        <x:v>0.9799101211973548</x:v>
      </x:c>
      <x:c r="G13" s="52" t="n">
        <x:f>'Protected Results'!H24</x:f>
        <x:v>0.7907174414675654</x:v>
      </x:c>
      <x:c r="H13" s="52" t="n">
        <x:f>'Protected Results'!I24</x:f>
        <x:v>0.02274683942608169</x:v>
      </x:c>
      <x:c r="I13" s="53" t="n">
        <x:f>'Protected Results'!L24</x:f>
        <x:v>1</x:v>
      </x:c>
      <x:c r="J13" s="53" t="n">
        <x:f>'Protected Results'!N24</x:f>
        <x:v>7</x:v>
      </x:c>
      <x:c r="K13" s="54" t="str">
        <x:v>Retains about 98% of CAGR and lowers daily DD by 2.3pp.</x:v>
      </x:c>
    </x:row>
    <x:row r="14">
      <x:c r="A14" s="50" t="str">
        <x:v>Leverage-only balanced</x:v>
      </x:c>
      <x:c r="B14" s="51" t="n">
        <x:v>61</x:v>
      </x:c>
      <x:c r="C14" s="51" t="str">
        <x:v>Skip when premarket range is at least 0.6% and closes in its bottom 10%.</x:v>
      </x:c>
      <x:c r="D14" s="51" t="str">
        <x:v>Leverage</x:v>
      </x:c>
      <x:c r="E14" s="52" t="n">
        <x:f>'Leverage Only Results'!F67</x:f>
        <x:v>4.137313288486604</x:v>
      </x:c>
      <x:c r="F14" s="52" t="n">
        <x:f>'Leverage Only Results'!G67</x:f>
        <x:v>1.0790610449441844</x:v>
      </x:c>
      <x:c r="G14" s="52" t="n">
        <x:f>'Leverage Only Results'!H67</x:f>
        <x:v>0.8871498807961479</x:v>
      </x:c>
      <x:c r="H14" s="52" t="n">
        <x:f>'Leverage Only Results'!I67</x:f>
        <x:v>0.02363138311196733</x:v>
      </x:c>
      <x:c r="I14" s="53" t="n">
        <x:f>'Leverage Only Results'!L67</x:f>
        <x:v>3</x:v>
      </x:c>
      <x:c r="J14" s="53" t="n">
        <x:f>'Leverage Only Results'!N67</x:f>
        <x:v>26</x:v>
      </x:c>
      <x:c r="K14" s="54" t="str">
        <x:v>Historical CAGR and DD both improve; simple range/location rule.</x:v>
      </x:c>
    </x:row>
    <x:row r="15">
      <x:c r="A15" s="50" t="str">
        <x:v>Leverage-only growth + DD</x:v>
      </x:c>
      <x:c r="B15" s="51" t="n">
        <x:v>97</x:v>
      </x:c>
      <x:c r="C15" s="51" t="str">
        <x:v>Skip when cash gap is at least 1.0% and 20-session momentum is no better than 0.0%.</x:v>
      </x:c>
      <x:c r="D15" s="51" t="str">
        <x:v>Leverage</x:v>
      </x:c>
      <x:c r="E15" s="52" t="n">
        <x:f>'Leverage Only Results'!F103</x:f>
        <x:v>6.23079621938013</x:v>
      </x:c>
      <x:c r="F15" s="52" t="n">
        <x:f>'Leverage Only Results'!G103</x:f>
        <x:v>1.6250665614394326</x:v>
      </x:c>
      <x:c r="G15" s="52" t="n">
        <x:f>'Leverage Only Results'!H103</x:f>
        <x:v>0.8907320924864718</x:v>
      </x:c>
      <x:c r="H15" s="52" t="n">
        <x:f>'Leverage Only Results'!I103</x:f>
        <x:v>0.02004917142164342</x:v>
      </x:c>
      <x:c r="I15" s="53" t="n">
        <x:f>'Leverage Only Results'!L103</x:f>
        <x:v>5</x:v>
      </x:c>
      <x:c r="J15" s="53" t="n">
        <x:f>'Leverage Only Results'!N103</x:f>
        <x:v>27</x:v>
      </x:c>
      <x:c r="K15" s="54" t="str">
        <x:v>Large historical CAGR lift with modest DD reduction; highest overfit risk.</x:v>
      </x:c>
    </x:row>
    <x:row r="16">
      <x:c r="A16" s="55" t="str">
        <x:v>Leverage-only maximum DD</x:v>
      </x:c>
      <x:c r="B16" s="56" t="n">
        <x:v>67</x:v>
      </x:c>
      <x:c r="C16" s="56" t="str">
        <x:v>Skip when premarket range is at least 0.8% and closes in its bottom 30%.</x:v>
      </x:c>
      <x:c r="D16" s="56" t="str">
        <x:v>Leverage</x:v>
      </x:c>
      <x:c r="E16" s="57" t="n">
        <x:f>'Leverage Only Results'!F73</x:f>
        <x:v>2.5028005110395983</x:v>
      </x:c>
      <x:c r="F16" s="57" t="n">
        <x:f>'Leverage Only Results'!G73</x:f>
        <x:v>0.6527604622653831</x:v>
      </x:c>
      <x:c r="G16" s="57" t="n">
        <x:f>'Leverage Only Results'!H73</x:f>
        <x:v>0.8184307491297869</x:v>
      </x:c>
      <x:c r="H16" s="57" t="n">
        <x:f>'Leverage Only Results'!I73</x:f>
        <x:v>0.09235051477832834</x:v>
      </x:c>
      <x:c r="I16" s="58" t="n">
        <x:f>'Leverage Only Results'!L73</x:f>
        <x:v>6</x:v>
      </x:c>
      <x:c r="J16" s="58" t="n">
        <x:f>'Leverage Only Results'!N73</x:f>
        <x:v>76</x:v>
      </x:c>
      <x:c r="K16" s="59" t="str">
        <x:v>Largest leverage-only DD reduction, at roughly 65% CAGR retention.</x:v>
      </x:c>
    </x:row>
    <x:row r="18">
      <x:c r="A18" s="42" t="str">
        <x:v>Interpretation</x:v>
      </x:c>
      <x:c r="B18" s="42" t="str">
        <x:v>Interpretation</x:v>
      </x:c>
      <x:c r="C18" s="42" t="str">
        <x:v>Interpretation</x:v>
      </x:c>
      <x:c r="D18" s="42" t="str">
        <x:v>Interpretation</x:v>
      </x:c>
      <x:c r="E18" s="42" t="str">
        <x:v>Interpretation</x:v>
      </x:c>
      <x:c r="F18" s="42" t="str">
        <x:v>Interpretation</x:v>
      </x:c>
      <x:c r="G18" s="42" t="str">
        <x:v>Interpretation</x:v>
      </x:c>
      <x:c r="H18" s="42" t="str">
        <x:v>Interpretation</x:v>
      </x:c>
      <x:c r="I18" s="42" t="str">
        <x:v>Interpretation</x:v>
      </x:c>
      <x:c r="J18" s="42" t="str">
        <x:v>Interpretation</x:v>
      </x:c>
      <x:c r="K18" s="42" t="str">
        <x:v>Interpretation</x:v>
      </x:c>
      <x:c r="L18" s="42" t="str">
        <x:v>Interpretation</x:v>
      </x:c>
      <x:c r="M18" s="42" t="str">
        <x:v>Interpretation</x:v>
      </x:c>
      <x:c r="N18" s="42" t="str">
        <x:v>Interpretation</x:v>
      </x:c>
      <x:c r="O18" s="42" t="str">
        <x:v>Interpretation</x:v>
      </x:c>
      <x:c r="P18" s="42" t="str">
        <x:v>Interpretation</x:v>
      </x:c>
      <x:c r="Q18" s="42" t="str">
        <x:v>Interpretation</x:v>
      </x:c>
    </x:row>
    <x:row r="19">
      <x:c r="A19" s="67" t="str">
        <x:v>1. Idea 148 is the only candidate with a large protected-mode DD improvement and positive DD improvement in leverage-only while keeping at least 80% CAGR retention in both.</x:v>
      </x:c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</x:row>
    <x:row r="20">
      <x:c r="A20" s="67" t="str">
        <x:v>2. Idea 61 is the strongest simple leverage-only low-regret result: premarket range ≥0.6% and close in bottom 10%. It does not materially improve protected mode because the built-in premarket-low rule already overlaps it.</x:v>
      </x:c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</x:row>
    <x:row r="21">
      <x:c r="A21" s="67" t="str">
        <x:v>3. Idea 97 looks unusually strong in leverage-only, but the historical gain is concentrated enough to demand walk-forward and untouched-data validation before implementation.</x:v>
      </x:c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</x:row>
    <x:row r="22">
      <x:c r="A22" s="67" t="str">
        <x:v>4. Daily max DD remains very high in every shortlisted result. Entry avoidance alone is not sufficient risk control at 8×/10× exposure.</x:v>
      </x:c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</x:row>
    <x:row r="42">
      <x:c r="A42" t="str">
        <x:v>Protected scenario</x:v>
      </x:c>
      <x:c r="B42" t="str">
        <x:v>Daily max DD</x:v>
      </x:c>
      <x:c r="J42" t="str">
        <x:v>Scenario</x:v>
      </x:c>
      <x:c r="K42" t="str">
        <x:v>Daily max DD</x:v>
      </x:c>
    </x:row>
    <x:row r="43">
      <x:c r="A43" t="str">
        <x:v>Baseline</x:v>
      </x:c>
      <x:c r="B43" s="68" t="n">
        <x:v>0.8134642808936471</x:v>
      </x:c>
      <x:c r="J43" t="str">
        <x:v>Baseline</x:v>
      </x:c>
      <x:c r="K43" s="68" t="n">
        <x:v>0.9107812639081152</x:v>
      </x:c>
    </x:row>
    <x:row r="44">
      <x:c r="A44" t="str">
        <x:v>Idea 148</x:v>
      </x:c>
      <x:c r="B44" s="68" t="n">
        <x:v>0.6576200313191638</x:v>
      </x:c>
      <x:c r="J44" t="str">
        <x:v>Idea 61</x:v>
      </x:c>
      <x:c r="K44" s="68" t="n">
        <x:v>0.8871498807961479</x:v>
      </x:c>
    </x:row>
    <x:row r="45">
      <x:c r="A45" t="str">
        <x:v>Idea 5</x:v>
      </x:c>
      <x:c r="B45" s="68" t="n">
        <x:v>0.7907189886608056</x:v>
      </x:c>
      <x:c r="J45" t="str">
        <x:v>Idea 97</x:v>
      </x:c>
      <x:c r="K45" s="68" t="n">
        <x:v>0.8907320924864718</x:v>
      </x:c>
    </x:row>
    <x:row r="46">
      <x:c r="J46" t="str">
        <x:v>Idea 67</x:v>
      </x:c>
      <x:c r="K46" s="68" t="n">
        <x:v>0.8184307491297869</x:v>
      </x:c>
    </x:row>
    <x:row r="47">
      <x:c r="J47" t="str">
        <x:v>Idea 148</x:v>
      </x:c>
      <x:c r="K47" s="68" t="n">
        <x:v>0.8928499627070678</x:v>
      </x:c>
    </x:row>
  </x:sheetData>
  <x:mergeCells>
    <x:mergeCell ref="A1:Q1"/>
    <x:mergeCell ref="A2:Q2"/>
    <x:mergeCell ref="A4:H4"/>
    <x:mergeCell ref="A9:K9"/>
    <x:mergeCell ref="A18:Q18"/>
    <x:mergeCell ref="A19:Q19"/>
    <x:mergeCell ref="A20:Q20"/>
    <x:mergeCell ref="A21:Q21"/>
    <x:mergeCell ref="A22:Q22"/>
  </x:mergeCells>
  <x:pageMargins left="0.7" right="0.7" top="0.75" bottom="0.75" header="0.3" footer="0.3"/>
  <x:drawing xmlns:r="http://schemas.openxmlformats.org/officeDocument/2006/relationships" r:id="Rd03a7445fc16400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60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2" hidden="0" customWidth="1"/>
    <x:col min="9" max="9" width="10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2" hidden="0" customWidth="1"/>
    <x:col min="15" max="15" width="10" hidden="0" customWidth="1"/>
    <x:col min="16" max="16" width="13" hidden="0" customWidth="1"/>
    <x:col min="17" max="17" width="16" hidden="0" customWidth="1"/>
    <x:col min="18" max="18" width="12" hidden="0" customWidth="1"/>
    <x:col min="19" max="19" width="14" hidden="0" customWidth="1"/>
    <x:col min="20" max="20" width="30" hidden="0" customWidth="1"/>
  </x:cols>
  <x:sheetData>
    <x:row r="1" ht="28" customHeight="1">
      <x:c r="A1" s="3" t="str">
        <x:v>All 200 entry-filter ideas — paired comparison</x:v>
      </x:c>
      <x:c r="B1" s="3" t="str">
        <x:v>All 200 entry-filter ideas — paired comparison</x:v>
      </x:c>
      <x:c r="C1" s="3" t="str">
        <x:v>All 200 entry-filter ideas — paired comparison</x:v>
      </x:c>
      <x:c r="D1" s="3" t="str">
        <x:v>All 200 entry-filter ideas — paired comparison</x:v>
      </x:c>
      <x:c r="E1" s="3" t="str">
        <x:v>All 200 entry-filter ideas — paired comparison</x:v>
      </x:c>
      <x:c r="F1" s="3" t="str">
        <x:v>All 200 entry-filter ideas — paired comparison</x:v>
      </x:c>
      <x:c r="G1" s="3" t="str">
        <x:v>All 200 entry-filter ideas — paired comparison</x:v>
      </x:c>
      <x:c r="H1" s="3" t="str">
        <x:v>All 200 entry-filter ideas — paired comparison</x:v>
      </x:c>
      <x:c r="I1" s="3" t="str">
        <x:v>All 200 entry-filter ideas — paired comparison</x:v>
      </x:c>
      <x:c r="J1" s="3" t="str">
        <x:v>All 200 entry-filter ideas — paired comparison</x:v>
      </x:c>
      <x:c r="K1" s="3" t="str">
        <x:v>All 200 entry-filter ideas — paired comparison</x:v>
      </x:c>
      <x:c r="L1" s="3" t="str">
        <x:v>All 200 entry-filter ideas — paired comparison</x:v>
      </x:c>
      <x:c r="M1" s="3" t="str">
        <x:v>All 200 entry-filter ideas — paired comparison</x:v>
      </x:c>
      <x:c r="N1" s="3" t="str">
        <x:v>All 200 entry-filter ideas — paired comparison</x:v>
      </x:c>
      <x:c r="O1" s="3" t="str">
        <x:v>All 200 entry-filter ideas — paired comparison</x:v>
      </x:c>
      <x:c r="P1" s="3" t="str">
        <x:v>All 200 entry-filter ideas — paired comparison</x:v>
      </x:c>
      <x:c r="Q1" s="3" t="str">
        <x:v>All 200 entry-filter ideas — paired comparison</x:v>
      </x:c>
      <x:c r="R1" s="3" t="str">
        <x:v>All 200 entry-filter ideas — paired comparison</x:v>
      </x:c>
      <x:c r="S1" s="3" t="str">
        <x:v>All 200 entry-filter ideas — paired comparison</x:v>
      </x:c>
      <x:c r="T1" s="3" t="str">
        <x:v>All 200 entry-filter ideas — paired comparison</x:v>
      </x:c>
    </x:row>
    <x:row r="2">
      <x:c r="A2" s="37" t="str">
        <x:v>Use filters to compare all ideas. Cross-mode screen requires positive average DD improvement, at least 75% minimum CAGR retention, and avoidance of at least two config-specific worst-20 trades.</x:v>
      </x:c>
      <x:c r="B2" s="37" t="str">
        <x:v>Use filters to compare all ideas. Cross-mode screen requires positive average DD improvement, at least 75% minimum CAGR retention, and avoidance of at least two config-specific worst-20 trades.</x:v>
      </x:c>
      <x:c r="C2" s="37" t="str">
        <x:v>Use filters to compare all ideas. Cross-mode screen requires positive average DD improvement, at least 75% minimum CAGR retention, and avoidance of at least two config-specific worst-20 trades.</x:v>
      </x:c>
      <x:c r="D2" s="37" t="str">
        <x:v>Use filters to compare all ideas. Cross-mode screen requires positive average DD improvement, at least 75% minimum CAGR retention, and avoidance of at least two config-specific worst-20 trades.</x:v>
      </x:c>
      <x:c r="E2" s="37" t="str">
        <x:v>Use filters to compare all ideas. Cross-mode screen requires positive average DD improvement, at least 75% minimum CAGR retention, and avoidance of at least two config-specific worst-20 trades.</x:v>
      </x:c>
      <x:c r="F2" s="37" t="str">
        <x:v>Use filters to compare all ideas. Cross-mode screen requires positive average DD improvement, at least 75% minimum CAGR retention, and avoidance of at least two config-specific worst-20 trades.</x:v>
      </x:c>
      <x:c r="G2" s="37" t="str">
        <x:v>Use filters to compare all ideas. Cross-mode screen requires positive average DD improvement, at least 75% minimum CAGR retention, and avoidance of at least two config-specific worst-20 trades.</x:v>
      </x:c>
      <x:c r="H2" s="37" t="str">
        <x:v>Use filters to compare all ideas. Cross-mode screen requires positive average DD improvement, at least 75% minimum CAGR retention, and avoidance of at least two config-specific worst-20 trades.</x:v>
      </x:c>
      <x:c r="I2" s="37" t="str">
        <x:v>Use filters to compare all ideas. Cross-mode screen requires positive average DD improvement, at least 75% minimum CAGR retention, and avoidance of at least two config-specific worst-20 trades.</x:v>
      </x:c>
      <x:c r="J2" s="37" t="str">
        <x:v>Use filters to compare all ideas. Cross-mode screen requires positive average DD improvement, at least 75% minimum CAGR retention, and avoidance of at least two config-specific worst-20 trades.</x:v>
      </x:c>
      <x:c r="K2" s="37" t="str">
        <x:v>Use filters to compare all ideas. Cross-mode screen requires positive average DD improvement, at least 75% minimum CAGR retention, and avoidance of at least two config-specific worst-20 trades.</x:v>
      </x:c>
      <x:c r="L2" s="37" t="str">
        <x:v>Use filters to compare all ideas. Cross-mode screen requires positive average DD improvement, at least 75% minimum CAGR retention, and avoidance of at least two config-specific worst-20 trades.</x:v>
      </x:c>
      <x:c r="M2" s="37" t="str">
        <x:v>Use filters to compare all ideas. Cross-mode screen requires positive average DD improvement, at least 75% minimum CAGR retention, and avoidance of at least two config-specific worst-20 trades.</x:v>
      </x:c>
      <x:c r="N2" s="37" t="str">
        <x:v>Use filters to compare all ideas. Cross-mode screen requires positive average DD improvement, at least 75% minimum CAGR retention, and avoidance of at least two config-specific worst-20 trades.</x:v>
      </x:c>
      <x:c r="O2" s="37" t="str">
        <x:v>Use filters to compare all ideas. Cross-mode screen requires positive average DD improvement, at least 75% minimum CAGR retention, and avoidance of at least two config-specific worst-20 trades.</x:v>
      </x:c>
      <x:c r="P2" s="37" t="str">
        <x:v>Use filters to compare all ideas. Cross-mode screen requires positive average DD improvement, at least 75% minimum CAGR retention, and avoidance of at least two config-specific worst-20 trades.</x:v>
      </x:c>
      <x:c r="Q2" s="37" t="str">
        <x:v>Use filters to compare all ideas. Cross-mode screen requires positive average DD improvement, at least 75% minimum CAGR retention, and avoidance of at least two config-specific worst-20 trades.</x:v>
      </x:c>
      <x:c r="R2" s="37" t="str">
        <x:v>Use filters to compare all ideas. Cross-mode screen requires positive average DD improvement, at least 75% minimum CAGR retention, and avoidance of at least two config-specific worst-20 trades.</x:v>
      </x:c>
      <x:c r="S2" s="37" t="str">
        <x:v>Use filters to compare all ideas. Cross-mode screen requires positive average DD improvement, at least 75% minimum CAGR retention, and avoidance of at least two config-specific worst-20 trades.</x:v>
      </x:c>
      <x:c r="T2" s="37" t="str">
        <x:v>Use filters to compare all ideas. Cross-mode screen requires positive average DD improvement, at least 75% minimum CAGR retention, and avoidance of at least two config-specific worst-20 trades.</x:v>
      </x:c>
    </x:row>
    <x:row r="5" ht="48" customHeight="1">
      <x:c r="A5" s="13" t="str">
        <x:v>Idea ID</x:v>
      </x:c>
      <x:c r="B5" s="14" t="str">
        <x:v>Family</x:v>
      </x:c>
      <x:c r="C5" s="14" t="str">
        <x:v>Entry rule</x:v>
      </x:c>
      <x:c r="D5" s="14" t="str">
        <x:v>Protected CAGR</x:v>
      </x:c>
      <x:c r="E5" s="14" t="str">
        <x:v>Protected retention</x:v>
      </x:c>
      <x:c r="F5" s="14" t="str">
        <x:v>Protected daily DD</x:v>
      </x:c>
      <x:c r="G5" s="14" t="str">
        <x:v>Protected DD improvement</x:v>
      </x:c>
      <x:c r="H5" s="14" t="str">
        <x:v>Protected worst 20</x:v>
      </x:c>
      <x:c r="I5" s="14" t="str">
        <x:v>Protected skips</x:v>
      </x:c>
      <x:c r="J5" s="14" t="str">
        <x:v>Leverage CAGR</x:v>
      </x:c>
      <x:c r="K5" s="14" t="str">
        <x:v>Leverage retention</x:v>
      </x:c>
      <x:c r="L5" s="14" t="str">
        <x:v>Leverage daily DD</x:v>
      </x:c>
      <x:c r="M5" s="14" t="str">
        <x:v>Leverage DD improvement</x:v>
      </x:c>
      <x:c r="N5" s="14" t="str">
        <x:v>Leverage worst 20</x:v>
      </x:c>
      <x:c r="O5" s="14" t="str">
        <x:v>Leverage skips</x:v>
      </x:c>
      <x:c r="P5" s="14" t="str">
        <x:v>Minimum retention</x:v>
      </x:c>
      <x:c r="Q5" s="14" t="str">
        <x:v>Average DD improvement</x:v>
      </x:c>
      <x:c r="R5" s="14" t="str">
        <x:v>Total worst 20 avoided</x:v>
      </x:c>
      <x:c r="S5" s="14" t="str">
        <x:v>Cross-mode screen</x:v>
      </x:c>
      <x:c r="T5" s="15" t="str">
        <x:v>Interpretation</x:v>
      </x:c>
    </x:row>
    <x:row r="6">
      <x:c r="A6" t="n">
        <x:v>1</x:v>
      </x:c>
      <x:c r="B6" s="39" t="str">
        <x:v>Premarket rolling shock</x:v>
      </x:c>
      <x:c r="C6" s="39" t="str">
        <x:v>Skip when the worst premarket 1-minute candle is -0.2% or worse.</x:v>
      </x:c>
      <x:c r="D6" s="21" t="n">
        <x:f>'Protected Results'!F7</x:f>
        <x:v>1.9708386224871806</x:v>
      </x:c>
      <x:c r="E6" s="21" t="n">
        <x:f>'Protected Results'!G7</x:f>
        <x:v>0.2741462576428656</x:v>
      </x:c>
      <x:c r="F6" s="21" t="n">
        <x:f>'Protected Results'!H7</x:f>
        <x:v>0.7889291055170525</x:v>
      </x:c>
      <x:c r="G6" s="21" t="n">
        <x:f>'Protected Results'!I7</x:f>
        <x:v>0.024535175376594553</x:v>
      </x:c>
      <x:c r="H6" s="38" t="n">
        <x:f>'Protected Results'!L7</x:f>
        <x:v>4</x:v>
      </x:c>
      <x:c r="I6" s="38" t="n">
        <x:f>'Protected Results'!N7</x:f>
        <x:v>81</x:v>
      </x:c>
      <x:c r="J6" s="21" t="n">
        <x:f>'Leverage Only Results'!F7</x:f>
        <x:v>0.6593374327113595</x:v>
      </x:c>
      <x:c r="K6" s="21" t="n">
        <x:f>'Leverage Only Results'!G7</x:f>
        <x:v>0.1719631290896474</x:v>
      </x:c>
      <x:c r="L6" s="21" t="n">
        <x:f>'Leverage Only Results'!H7</x:f>
        <x:v>0.9239560255686399</x:v>
      </x:c>
      <x:c r="M6" s="21" t="n">
        <x:f>'Leverage Only Results'!I7</x:f>
        <x:v>-0.01317476166052467</x:v>
      </x:c>
      <x:c r="N6" s="38" t="n">
        <x:f>'Leverage Only Results'!L7</x:f>
        <x:v>4</x:v>
      </x:c>
      <x:c r="O6" s="38" t="n">
        <x:f>'Leverage Only Results'!N7</x:f>
        <x:v>99</x:v>
      </x:c>
      <x:c r="P6" s="21" t="n">
        <x:f>MIN(E6,K6)</x:f>
        <x:v>0.1719631290896474</x:v>
      </x:c>
      <x:c r="Q6" s="21" t="n">
        <x:f>AVERAGE(G6,M6)</x:f>
        <x:v>0.005680206858034942</x:v>
      </x:c>
      <x:c r="R6" s="38" t="n">
        <x:f>H6+N6</x:f>
        <x:v>8</x:v>
      </x:c>
      <x:c r="S6" t="str">
        <x:f>IF(AND(P6&gt;=75%,Q6&gt;0,R6&gt;=2),"YES","")</x:f>
      </x:c>
      <x:c r="T6" t="str">
        <x:f>IF(AND(P6&gt;=80%,Q6&gt;=5%),"Strong cross-mode risk reducer",IF(S6="YES","Balanced candidate","Mode-specific / fragile"))</x:f>
        <x:v>Mode-specific / fragile</x:v>
      </x:c>
    </x:row>
    <x:row r="7">
      <x:c r="A7" t="n">
        <x:v>2</x:v>
      </x:c>
      <x:c r="B7" s="39" t="str">
        <x:v>Premarket rolling shock</x:v>
      </x:c>
      <x:c r="C7" s="39" t="str">
        <x:v>Skip when the worst premarket 1-minute candle is -0.3% or worse.</x:v>
      </x:c>
      <x:c r="D7" s="21" t="n">
        <x:f>'Protected Results'!F8</x:f>
        <x:v>4.481717574582109</x:v>
      </x:c>
      <x:c r="E7" s="21" t="n">
        <x:f>'Protected Results'!G8</x:f>
        <x:v>0.6234128390143914</x:v>
      </x:c>
      <x:c r="F7" s="21" t="n">
        <x:f>'Protected Results'!H8</x:f>
        <x:v>0.8018000514068797</x:v>
      </x:c>
      <x:c r="G7" s="21" t="n">
        <x:f>'Protected Results'!I8</x:f>
        <x:v>0.011664229486767375</x:v>
      </x:c>
      <x:c r="H7" s="38" t="n">
        <x:f>'Protected Results'!L8</x:f>
        <x:v>1</x:v>
      </x:c>
      <x:c r="I7" s="38" t="n">
        <x:f>'Protected Results'!N8</x:f>
        <x:v>30</x:v>
      </x:c>
      <x:c r="J7" s="21" t="n">
        <x:f>'Leverage Only Results'!F8</x:f>
        <x:v>1.8915926307388324</x:v>
      </x:c>
      <x:c r="K7" s="21" t="n">
        <x:f>'Leverage Only Results'!G8</x:f>
        <x:v>0.49335009906402266</x:v>
      </x:c>
      <x:c r="L7" s="21" t="n">
        <x:f>'Leverage Only Results'!H8</x:f>
        <x:v>0.9149934609329069</x:v>
      </x:c>
      <x:c r="M7" s="21" t="n">
        <x:f>'Leverage Only Results'!I8</x:f>
        <x:v>-0.004212197024791697</x:v>
      </x:c>
      <x:c r="N7" s="38" t="n">
        <x:f>'Leverage Only Results'!L8</x:f>
        <x:v>1</x:v>
      </x:c>
      <x:c r="O7" s="38" t="n">
        <x:f>'Leverage Only Results'!N8</x:f>
        <x:v>39</x:v>
      </x:c>
      <x:c r="P7" s="21" t="n">
        <x:f>MIN(E7,K7)</x:f>
        <x:v>0.49335009906402266</x:v>
      </x:c>
      <x:c r="Q7" s="21" t="n">
        <x:f>AVERAGE(G7,M7)</x:f>
        <x:v>0.0037260162309878386</x:v>
      </x:c>
      <x:c r="R7" s="38" t="n">
        <x:f>H7+N7</x:f>
        <x:v>2</x:v>
      </x:c>
      <x:c r="S7" t="str">
        <x:f>IF(AND(P7&gt;=75%,Q7&gt;0,R7&gt;=2),"YES","")</x:f>
      </x:c>
      <x:c r="T7" t="str">
        <x:f>IF(AND(P7&gt;=80%,Q7&gt;=5%),"Strong cross-mode risk reducer",IF(S7="YES","Balanced candidate","Mode-specific / fragile"))</x:f>
        <x:v>Mode-specific / fragile</x:v>
      </x:c>
    </x:row>
    <x:row r="8">
      <x:c r="A8" t="n">
        <x:v>3</x:v>
      </x:c>
      <x:c r="B8" s="39" t="str">
        <x:v>Premarket rolling shock</x:v>
      </x:c>
      <x:c r="C8" s="39" t="str">
        <x:v>Skip when the worst premarket 1-minute candle is -0.4% or worse.</x:v>
      </x:c>
      <x:c r="D8" s="21" t="n">
        <x:f>'Protected Results'!F9</x:f>
        <x:v>5.756597585294715</x:v>
      </x:c>
      <x:c r="E8" s="21" t="n">
        <x:f>'Protected Results'!G9</x:f>
        <x:v>0.800750333770551</x:v>
      </x:c>
      <x:c r="F8" s="21" t="n">
        <x:f>'Protected Results'!H9</x:f>
        <x:v>0.7907126626433496</x:v>
      </x:c>
      <x:c r="G8" s="21" t="n">
        <x:f>'Protected Results'!I9</x:f>
        <x:v>0.02275161825029748</x:v>
      </x:c>
      <x:c r="H8" s="38" t="n">
        <x:f>'Protected Results'!L9</x:f>
        <x:v>1</x:v>
      </x:c>
      <x:c r="I8" s="38" t="n">
        <x:f>'Protected Results'!N9</x:f>
        <x:v>17</x:v>
      </x:c>
      <x:c r="J8" s="21" t="n">
        <x:f>'Leverage Only Results'!F9</x:f>
        <x:v>2.466677162955554</x:v>
      </x:c>
      <x:c r="K8" s="21" t="n">
        <x:f>'Leverage Only Results'!G9</x:f>
        <x:v>0.6433390588055765</x:v>
      </x:c>
      <x:c r="L8" s="21" t="n">
        <x:f>'Leverage Only Results'!H9</x:f>
        <x:v>0.9107812639081152</x:v>
      </x:c>
      <x:c r="M8" s="21" t="n">
        <x:f>'Leverage Only Results'!I9</x:f>
        <x:v>0</x:v>
      </x:c>
      <x:c r="N8" s="38" t="n">
        <x:f>'Leverage Only Results'!L9</x:f>
        <x:v>1</x:v>
      </x:c>
      <x:c r="O8" s="38" t="n">
        <x:f>'Leverage Only Results'!N9</x:f>
        <x:v>20</x:v>
      </x:c>
      <x:c r="P8" s="21" t="n">
        <x:f>MIN(E8,K8)</x:f>
        <x:v>0.6433390588055765</x:v>
      </x:c>
      <x:c r="Q8" s="21" t="n">
        <x:f>AVERAGE(G8,M8)</x:f>
        <x:v>0.01137580912514874</x:v>
      </x:c>
      <x:c r="R8" s="38" t="n">
        <x:f>H8+N8</x:f>
        <x:v>2</x:v>
      </x:c>
      <x:c r="S8" t="str">
        <x:f>IF(AND(P8&gt;=75%,Q8&gt;0,R8&gt;=2),"YES","")</x:f>
      </x:c>
      <x:c r="T8" t="str">
        <x:f>IF(AND(P8&gt;=80%,Q8&gt;=5%),"Strong cross-mode risk reducer",IF(S8="YES","Balanced candidate","Mode-specific / fragile"))</x:f>
        <x:v>Mode-specific / fragile</x:v>
      </x:c>
    </x:row>
    <x:row r="9">
      <x:c r="A9" t="n">
        <x:v>4</x:v>
      </x:c>
      <x:c r="B9" s="39" t="str">
        <x:v>Premarket rolling shock</x:v>
      </x:c>
      <x:c r="C9" s="39" t="str">
        <x:v>Skip when the worst premarket 1-minute candle is -0.5% or worse.</x:v>
      </x:c>
      <x:c r="D9" s="21" t="n">
        <x:f>'Protected Results'!F10</x:f>
        <x:v>6.941244290170845</x:v>
      </x:c>
      <x:c r="E9" s="21" t="n">
        <x:f>'Protected Results'!G10</x:f>
        <x:v>0.9655362564052977</x:v>
      </x:c>
      <x:c r="F9" s="21" t="n">
        <x:f>'Protected Results'!H10</x:f>
        <x:v>0.7907174414675654</x:v>
      </x:c>
      <x:c r="G9" s="21" t="n">
        <x:f>'Protected Results'!I10</x:f>
        <x:v>0.02274683942608169</x:v>
      </x:c>
      <x:c r="H9" s="38" t="n">
        <x:f>'Protected Results'!L10</x:f>
        <x:v>1</x:v>
      </x:c>
      <x:c r="I9" s="38" t="n">
        <x:f>'Protected Results'!N10</x:f>
        <x:v>8</x:v>
      </x:c>
      <x:c r="J9" s="21" t="n">
        <x:f>'Leverage Only Results'!F10</x:f>
        <x:v>3.473226075666857</x:v>
      </x:c>
      <x:c r="K9" s="21" t="n">
        <x:f>'Leverage Only Results'!G10</x:f>
        <x:v>0.9058591160998087</x:v>
      </x:c>
      <x:c r="L9" s="21" t="n">
        <x:f>'Leverage Only Results'!H10</x:f>
        <x:v>0.9107812639081152</x:v>
      </x:c>
      <x:c r="M9" s="21" t="n">
        <x:f>'Leverage Only Results'!I10</x:f>
        <x:v>0</x:v>
      </x:c>
      <x:c r="N9" s="38" t="n">
        <x:f>'Leverage Only Results'!L10</x:f>
        <x:v>1</x:v>
      </x:c>
      <x:c r="O9" s="38" t="n">
        <x:f>'Leverage Only Results'!N10</x:f>
        <x:v>9</x:v>
      </x:c>
      <x:c r="P9" s="21" t="n">
        <x:f>MIN(E9,K9)</x:f>
        <x:v>0.9058591160998087</x:v>
      </x:c>
      <x:c r="Q9" s="21" t="n">
        <x:f>AVERAGE(G9,M9)</x:f>
        <x:v>0.011373419713040844</x:v>
      </x:c>
      <x:c r="R9" s="38" t="n">
        <x:f>H9+N9</x:f>
        <x:v>2</x:v>
      </x:c>
      <x:c r="S9" t="str">
        <x:f>IF(AND(P9&gt;=75%,Q9&gt;0,R9&gt;=2),"YES","")</x:f>
        <x:v>YES</x:v>
      </x:c>
      <x:c r="T9" t="str">
        <x:f>IF(AND(P9&gt;=80%,Q9&gt;=5%),"Strong cross-mode risk reducer",IF(S9="YES","Balanced candidate","Mode-specific / fragile"))</x:f>
        <x:v>Balanced candidate</x:v>
      </x:c>
    </x:row>
    <x:row r="10">
      <x:c r="A10" t="n">
        <x:v>5</x:v>
      </x:c>
      <x:c r="B10" s="39" t="str">
        <x:v>Premarket rolling shock</x:v>
      </x:c>
      <x:c r="C10" s="39" t="str">
        <x:v>Skip when the worst premarket 1-minute candle is -0.6% or worse.</x:v>
      </x:c>
      <x:c r="D10" s="21" t="n">
        <x:f>'Protected Results'!F11</x:f>
        <x:v>7.468507831106876</x:v>
      </x:c>
      <x:c r="E10" s="21" t="n">
        <x:f>'Protected Results'!G11</x:f>
        <x:v>1.0388793119400637</x:v>
      </x:c>
      <x:c r="F10" s="21" t="n">
        <x:f>'Protected Results'!H11</x:f>
        <x:v>0.7907189886608056</x:v>
      </x:c>
      <x:c r="G10" s="21" t="n">
        <x:f>'Protected Results'!I11</x:f>
        <x:v>0.022745292232841496</x:v>
      </x:c>
      <x:c r="H10" s="38" t="n">
        <x:f>'Protected Results'!L11</x:f>
        <x:v>1</x:v>
      </x:c>
      <x:c r="I10" s="38" t="n">
        <x:f>'Protected Results'!N11</x:f>
        <x:v>6</x:v>
      </x:c>
      <x:c r="J10" s="21" t="n">
        <x:f>'Leverage Only Results'!F11</x:f>
        <x:v>3.770744584618927</x:v>
      </x:c>
      <x:c r="K10" s="21" t="n">
        <x:f>'Leverage Only Results'!G11</x:f>
        <x:v>0.983455520039886</x:v>
      </x:c>
      <x:c r="L10" s="21" t="n">
        <x:f>'Leverage Only Results'!H11</x:f>
        <x:v>0.9107812639081152</x:v>
      </x:c>
      <x:c r="M10" s="21" t="n">
        <x:f>'Leverage Only Results'!I11</x:f>
        <x:v>0</x:v>
      </x:c>
      <x:c r="N10" s="38" t="n">
        <x:f>'Leverage Only Results'!L11</x:f>
        <x:v>1</x:v>
      </x:c>
      <x:c r="O10" s="38" t="n">
        <x:f>'Leverage Only Results'!N11</x:f>
        <x:v>7</x:v>
      </x:c>
      <x:c r="P10" s="21" t="n">
        <x:f>MIN(E10,K10)</x:f>
        <x:v>0.983455520039886</x:v>
      </x:c>
      <x:c r="Q10" s="21" t="n">
        <x:f>AVERAGE(G10,M10)</x:f>
        <x:v>0.011372646116420748</x:v>
      </x:c>
      <x:c r="R10" s="38" t="n">
        <x:f>H10+N10</x:f>
        <x:v>2</x:v>
      </x:c>
      <x:c r="S10" t="str">
        <x:f>IF(AND(P10&gt;=75%,Q10&gt;0,R10&gt;=2),"YES","")</x:f>
        <x:v>YES</x:v>
      </x:c>
      <x:c r="T10" t="str">
        <x:f>IF(AND(P10&gt;=80%,Q10&gt;=5%),"Strong cross-mode risk reducer",IF(S10="YES","Balanced candidate","Mode-specific / fragile"))</x:f>
        <x:v>Balanced candidate</x:v>
      </x:c>
    </x:row>
    <x:row r="11">
      <x:c r="A11" t="n">
        <x:v>6</x:v>
      </x:c>
      <x:c r="B11" s="39" t="str">
        <x:v>Premarket rolling shock</x:v>
      </x:c>
      <x:c r="C11" s="39" t="str">
        <x:v>Skip when the worst premarket 1-minute candle is -0.7% or worse.</x:v>
      </x:c>
      <x:c r="D11" s="21" t="n">
        <x:f>'Protected Results'!F12</x:f>
        <x:v>7.468507831106876</x:v>
      </x:c>
      <x:c r="E11" s="21" t="n">
        <x:f>'Protected Results'!G12</x:f>
        <x:v>1.0388793119400637</x:v>
      </x:c>
      <x:c r="F11" s="21" t="n">
        <x:f>'Protected Results'!H12</x:f>
        <x:v>0.7907189886608056</x:v>
      </x:c>
      <x:c r="G11" s="21" t="n">
        <x:f>'Protected Results'!I12</x:f>
        <x:v>0.022745292232841496</x:v>
      </x:c>
      <x:c r="H11" s="38" t="n">
        <x:f>'Protected Results'!L12</x:f>
        <x:v>1</x:v>
      </x:c>
      <x:c r="I11" s="38" t="n">
        <x:f>'Protected Results'!N12</x:f>
        <x:v>6</x:v>
      </x:c>
      <x:c r="J11" s="21" t="n">
        <x:f>'Leverage Only Results'!F12</x:f>
        <x:v>3.770744584618927</x:v>
      </x:c>
      <x:c r="K11" s="21" t="n">
        <x:f>'Leverage Only Results'!G12</x:f>
        <x:v>0.983455520039886</x:v>
      </x:c>
      <x:c r="L11" s="21" t="n">
        <x:f>'Leverage Only Results'!H12</x:f>
        <x:v>0.9107812639081152</x:v>
      </x:c>
      <x:c r="M11" s="21" t="n">
        <x:f>'Leverage Only Results'!I12</x:f>
        <x:v>0</x:v>
      </x:c>
      <x:c r="N11" s="38" t="n">
        <x:f>'Leverage Only Results'!L12</x:f>
        <x:v>1</x:v>
      </x:c>
      <x:c r="O11" s="38" t="n">
        <x:f>'Leverage Only Results'!N12</x:f>
        <x:v>7</x:v>
      </x:c>
      <x:c r="P11" s="21" t="n">
        <x:f>MIN(E11,K11)</x:f>
        <x:v>0.983455520039886</x:v>
      </x:c>
      <x:c r="Q11" s="21" t="n">
        <x:f>AVERAGE(G11,M11)</x:f>
        <x:v>0.011372646116420748</x:v>
      </x:c>
      <x:c r="R11" s="38" t="n">
        <x:f>H11+N11</x:f>
        <x:v>2</x:v>
      </x:c>
      <x:c r="S11" t="str">
        <x:f>IF(AND(P11&gt;=75%,Q11&gt;0,R11&gt;=2),"YES","")</x:f>
        <x:v>YES</x:v>
      </x:c>
      <x:c r="T11" t="str">
        <x:f>IF(AND(P11&gt;=80%,Q11&gt;=5%),"Strong cross-mode risk reducer",IF(S11="YES","Balanced candidate","Mode-specific / fragile"))</x:f>
        <x:v>Balanced candidate</x:v>
      </x:c>
    </x:row>
    <x:row r="12">
      <x:c r="A12" t="n">
        <x:v>7</x:v>
      </x:c>
      <x:c r="B12" s="39" t="str">
        <x:v>Premarket rolling shock</x:v>
      </x:c>
      <x:c r="C12" s="39" t="str">
        <x:v>Skip when the worst premarket 1-minute candle is -0.8% or worse.</x:v>
      </x:c>
      <x:c r="D12" s="21" t="n">
        <x:f>'Protected Results'!F13</x:f>
        <x:v>6.248342193225722</x:v>
      </x:c>
      <x:c r="E12" s="21" t="n">
        <x:f>'Protected Results'!G13</x:f>
        <x:v>0.8691526587717806</x:v>
      </x:c>
      <x:c r="F12" s="21" t="n">
        <x:f>'Protected Results'!H13</x:f>
        <x:v>0.8133931364941237</x:v>
      </x:c>
      <x:c r="G12" s="21" t="n">
        <x:f>'Protected Results'!I13</x:f>
        <x:v>0.00007114439952338181</x:v>
      </x:c>
      <x:c r="H12" s="38" t="n">
        <x:f>'Protected Results'!L13</x:f>
        <x:v>0</x:v>
      </x:c>
      <x:c r="I12" s="38" t="n">
        <x:f>'Protected Results'!N13</x:f>
        <x:v>5</x:v>
      </x:c>
      <x:c r="J12" s="21" t="n">
        <x:f>'Leverage Only Results'!F13</x:f>
        <x:v>3.0875418712404965</x:v>
      </x:c>
      <x:c r="K12" s="21" t="n">
        <x:f>'Leverage Only Results'!G13</x:f>
        <x:v>0.8052680388408252</x:v>
      </x:c>
      <x:c r="L12" s="21" t="n">
        <x:f>'Leverage Only Results'!H13</x:f>
        <x:v>0.9107812639081152</x:v>
      </x:c>
      <x:c r="M12" s="21" t="n">
        <x:f>'Leverage Only Results'!I13</x:f>
        <x:v>0</x:v>
      </x:c>
      <x:c r="N12" s="38" t="n">
        <x:f>'Leverage Only Results'!L13</x:f>
        <x:v>0</x:v>
      </x:c>
      <x:c r="O12" s="38" t="n">
        <x:f>'Leverage Only Results'!N13</x:f>
        <x:v>6</x:v>
      </x:c>
      <x:c r="P12" s="21" t="n">
        <x:f>MIN(E12,K12)</x:f>
        <x:v>0.8052680388408252</x:v>
      </x:c>
      <x:c r="Q12" s="21" t="n">
        <x:f>AVERAGE(G12,M12)</x:f>
        <x:v>0.000035572199761690904</x:v>
      </x:c>
      <x:c r="R12" s="38" t="n">
        <x:f>H12+N12</x:f>
        <x:v>0</x:v>
      </x:c>
      <x:c r="S12" t="str">
        <x:f>IF(AND(P12&gt;=75%,Q12&gt;0,R12&gt;=2),"YES","")</x:f>
      </x:c>
      <x:c r="T12" t="str">
        <x:f>IF(AND(P12&gt;=80%,Q12&gt;=5%),"Strong cross-mode risk reducer",IF(S12="YES","Balanced candidate","Mode-specific / fragile"))</x:f>
        <x:v>Mode-specific / fragile</x:v>
      </x:c>
    </x:row>
    <x:row r="13">
      <x:c r="A13" t="n">
        <x:v>8</x:v>
      </x:c>
      <x:c r="B13" s="39" t="str">
        <x:v>Premarket rolling shock</x:v>
      </x:c>
      <x:c r="C13" s="39" t="str">
        <x:v>Skip when the worst premarket 1-minute candle is -0.9% or worse.</x:v>
      </x:c>
      <x:c r="D13" s="21" t="n">
        <x:f>'Protected Results'!F14</x:f>
        <x:v>6.518471650929724</x:v>
      </x:c>
      <x:c r="E13" s="21" t="n">
        <x:f>'Protected Results'!G14</x:f>
        <x:v>0.9067280234229931</x:v>
      </x:c>
      <x:c r="F13" s="21" t="n">
        <x:f>'Protected Results'!H14</x:f>
        <x:v>0.813430872658145</x:v>
      </x:c>
      <x:c r="G13" s="21" t="n">
        <x:f>'Protected Results'!I14</x:f>
        <x:v>0.000033408235502130346</x:v>
      </x:c>
      <x:c r="H13" s="38" t="n">
        <x:f>'Protected Results'!L14</x:f>
        <x:v>0</x:v>
      </x:c>
      <x:c r="I13" s="38" t="n">
        <x:f>'Protected Results'!N14</x:f>
        <x:v>3</x:v>
      </x:c>
      <x:c r="J13" s="21" t="n">
        <x:f>'Leverage Only Results'!F14</x:f>
        <x:v>3.4394510074685947</x:v>
      </x:c>
      <x:c r="K13" s="21" t="n">
        <x:f>'Leverage Only Results'!G14</x:f>
        <x:v>0.8970501722655336</x:v>
      </x:c>
      <x:c r="L13" s="21" t="n">
        <x:f>'Leverage Only Results'!H14</x:f>
        <x:v>0.9107812639081152</x:v>
      </x:c>
      <x:c r="M13" s="21" t="n">
        <x:f>'Leverage Only Results'!I14</x:f>
        <x:v>0</x:v>
      </x:c>
      <x:c r="N13" s="38" t="n">
        <x:f>'Leverage Only Results'!L14</x:f>
        <x:v>0</x:v>
      </x:c>
      <x:c r="O13" s="38" t="n">
        <x:f>'Leverage Only Results'!N14</x:f>
        <x:v>3</x:v>
      </x:c>
      <x:c r="P13" s="21" t="n">
        <x:f>MIN(E13,K13)</x:f>
        <x:v>0.8970501722655336</x:v>
      </x:c>
      <x:c r="Q13" s="21" t="n">
        <x:f>AVERAGE(G13,M13)</x:f>
        <x:v>0.000016704117751065173</x:v>
      </x:c>
      <x:c r="R13" s="38" t="n">
        <x:f>H13+N13</x:f>
        <x:v>0</x:v>
      </x:c>
      <x:c r="S13" t="str">
        <x:f>IF(AND(P13&gt;=75%,Q13&gt;0,R13&gt;=2),"YES","")</x:f>
      </x:c>
      <x:c r="T13" t="str">
        <x:f>IF(AND(P13&gt;=80%,Q13&gt;=5%),"Strong cross-mode risk reducer",IF(S13="YES","Balanced candidate","Mode-specific / fragile"))</x:f>
        <x:v>Mode-specific / fragile</x:v>
      </x:c>
    </x:row>
    <x:row r="14">
      <x:c r="A14" t="n">
        <x:v>9</x:v>
      </x:c>
      <x:c r="B14" s="39" t="str">
        <x:v>Premarket rolling shock</x:v>
      </x:c>
      <x:c r="C14" s="39" t="str">
        <x:v>Skip when the worst premarket 1-minute candle is -1.0% or worse.</x:v>
      </x:c>
      <x:c r="D14" s="21" t="n">
        <x:f>'Protected Results'!F15</x:f>
        <x:v>6.662122558464025</x:v>
      </x:c>
      <x:c r="E14" s="21" t="n">
        <x:f>'Protected Results'!G15</x:f>
        <x:v>0.9267100545533913</x:v>
      </x:c>
      <x:c r="F14" s="21" t="n">
        <x:f>'Protected Results'!H15</x:f>
        <x:v>0.813430872658145</x:v>
      </x:c>
      <x:c r="G14" s="21" t="n">
        <x:f>'Protected Results'!I15</x:f>
        <x:v>0.000033408235502130346</x:v>
      </x:c>
      <x:c r="H14" s="38" t="n">
        <x:f>'Protected Results'!L15</x:f>
        <x:v>0</x:v>
      </x:c>
      <x:c r="I14" s="38" t="n">
        <x:f>'Protected Results'!N15</x:f>
        <x:v>2</x:v>
      </x:c>
      <x:c r="J14" s="21" t="n">
        <x:f>'Leverage Only Results'!F15</x:f>
        <x:v>3.5242608678930827</x:v>
      </x:c>
      <x:c r="K14" s="21" t="n">
        <x:f>'Leverage Only Results'!G15</x:f>
        <x:v>0.9191696034591753</x:v>
      </x:c>
      <x:c r="L14" s="21" t="n">
        <x:f>'Leverage Only Results'!H15</x:f>
        <x:v>0.9107812639081152</x:v>
      </x:c>
      <x:c r="M14" s="21" t="n">
        <x:f>'Leverage Only Results'!I15</x:f>
        <x:v>0</x:v>
      </x:c>
      <x:c r="N14" s="38" t="n">
        <x:f>'Leverage Only Results'!L15</x:f>
        <x:v>0</x:v>
      </x:c>
      <x:c r="O14" s="38" t="n">
        <x:f>'Leverage Only Results'!N15</x:f>
        <x:v>2</x:v>
      </x:c>
      <x:c r="P14" s="21" t="n">
        <x:f>MIN(E14,K14)</x:f>
        <x:v>0.9191696034591753</x:v>
      </x:c>
      <x:c r="Q14" s="21" t="n">
        <x:f>AVERAGE(G14,M14)</x:f>
        <x:v>0.000016704117751065173</x:v>
      </x:c>
      <x:c r="R14" s="38" t="n">
        <x:f>H14+N14</x:f>
        <x:v>0</x:v>
      </x:c>
      <x:c r="S14" t="str">
        <x:f>IF(AND(P14&gt;=75%,Q14&gt;0,R14&gt;=2),"YES","")</x:f>
      </x:c>
      <x:c r="T14" t="str">
        <x:f>IF(AND(P14&gt;=80%,Q14&gt;=5%),"Strong cross-mode risk reducer",IF(S14="YES","Balanced candidate","Mode-specific / fragile"))</x:f>
        <x:v>Mode-specific / fragile</x:v>
      </x:c>
    </x:row>
    <x:row r="15">
      <x:c r="A15" t="n">
        <x:v>10</x:v>
      </x:c>
      <x:c r="B15" s="39" t="str">
        <x:v>Premarket rolling shock</x:v>
      </x:c>
      <x:c r="C15" s="39" t="str">
        <x:v>Skip when the worst premarket 1-minute candle is -1.1% or worse.</x:v>
      </x:c>
      <x:c r="D15" s="21" t="n">
        <x:f>'Protected Results'!F16</x:f>
        <x:v>6.662122558464025</x:v>
      </x:c>
      <x:c r="E15" s="21" t="n">
        <x:f>'Protected Results'!G16</x:f>
        <x:v>0.9267100545533913</x:v>
      </x:c>
      <x:c r="F15" s="21" t="n">
        <x:f>'Protected Results'!H16</x:f>
        <x:v>0.813430872658145</x:v>
      </x:c>
      <x:c r="G15" s="21" t="n">
        <x:f>'Protected Results'!I16</x:f>
        <x:v>0.000033408235502130346</x:v>
      </x:c>
      <x:c r="H15" s="38" t="n">
        <x:f>'Protected Results'!L16</x:f>
        <x:v>0</x:v>
      </x:c>
      <x:c r="I15" s="38" t="n">
        <x:f>'Protected Results'!N16</x:f>
        <x:v>2</x:v>
      </x:c>
      <x:c r="J15" s="21" t="n">
        <x:f>'Leverage Only Results'!F16</x:f>
        <x:v>3.5242608678930827</x:v>
      </x:c>
      <x:c r="K15" s="21" t="n">
        <x:f>'Leverage Only Results'!G16</x:f>
        <x:v>0.9191696034591753</x:v>
      </x:c>
      <x:c r="L15" s="21" t="n">
        <x:f>'Leverage Only Results'!H16</x:f>
        <x:v>0.9107812639081152</x:v>
      </x:c>
      <x:c r="M15" s="21" t="n">
        <x:f>'Leverage Only Results'!I16</x:f>
        <x:v>0</x:v>
      </x:c>
      <x:c r="N15" s="38" t="n">
        <x:f>'Leverage Only Results'!L16</x:f>
        <x:v>0</x:v>
      </x:c>
      <x:c r="O15" s="38" t="n">
        <x:f>'Leverage Only Results'!N16</x:f>
        <x:v>2</x:v>
      </x:c>
      <x:c r="P15" s="21" t="n">
        <x:f>MIN(E15,K15)</x:f>
        <x:v>0.9191696034591753</x:v>
      </x:c>
      <x:c r="Q15" s="21" t="n">
        <x:f>AVERAGE(G15,M15)</x:f>
        <x:v>0.000016704117751065173</x:v>
      </x:c>
      <x:c r="R15" s="38" t="n">
        <x:f>H15+N15</x:f>
        <x:v>0</x:v>
      </x:c>
      <x:c r="S15" t="str">
        <x:f>IF(AND(P15&gt;=75%,Q15&gt;0,R15&gt;=2),"YES","")</x:f>
      </x:c>
      <x:c r="T15" t="str">
        <x:f>IF(AND(P15&gt;=80%,Q15&gt;=5%),"Strong cross-mode risk reducer",IF(S15="YES","Balanced candidate","Mode-specific / fragile"))</x:f>
        <x:v>Mode-specific / fragile</x:v>
      </x:c>
    </x:row>
    <x:row r="16">
      <x:c r="A16" t="n">
        <x:v>11</x:v>
      </x:c>
      <x:c r="B16" s="39" t="str">
        <x:v>Premarket rolling shock</x:v>
      </x:c>
      <x:c r="C16" s="39" t="str">
        <x:v>Skip when the worst premarket 3-minute candle is -0.2% or worse.</x:v>
      </x:c>
      <x:c r="D16" s="21" t="n">
        <x:f>'Protected Results'!F17</x:f>
        <x:v>1.2295994754715625</x:v>
      </x:c>
      <x:c r="E16" s="21" t="n">
        <x:f>'Protected Results'!G17</x:f>
        <x:v>0.1710389124477146</x:v>
      </x:c>
      <x:c r="F16" s="21" t="n">
        <x:f>'Protected Results'!H17</x:f>
        <x:v>0.7245095146342299</x:v>
      </x:c>
      <x:c r="G16" s="21" t="n">
        <x:f>'Protected Results'!I17</x:f>
        <x:v>0.08895476625941723</x:v>
      </x:c>
      <x:c r="H16" s="38" t="n">
        <x:f>'Protected Results'!L17</x:f>
        <x:v>10</x:v>
      </x:c>
      <x:c r="I16" s="38" t="n">
        <x:f>'Protected Results'!N17</x:f>
        <x:v>154</x:v>
      </x:c>
      <x:c r="J16" s="21" t="n">
        <x:f>'Leverage Only Results'!F17</x:f>
        <x:v>0.7486823281804884</x:v>
      </x:c>
      <x:c r="K16" s="21" t="n">
        <x:f>'Leverage Only Results'!G17</x:f>
        <x:v>0.1952653519436998</x:v>
      </x:c>
      <x:c r="L16" s="21" t="n">
        <x:f>'Leverage Only Results'!H17</x:f>
        <x:v>0.8836226143734934</x:v>
      </x:c>
      <x:c r="M16" s="21" t="n">
        <x:f>'Leverage Only Results'!I17</x:f>
        <x:v>0.02715864953462177</x:v>
      </x:c>
      <x:c r="N16" s="38" t="n">
        <x:f>'Leverage Only Results'!L17</x:f>
        <x:v>12</x:v>
      </x:c>
      <x:c r="O16" s="38" t="n">
        <x:f>'Leverage Only Results'!N17</x:f>
        <x:v>194</x:v>
      </x:c>
      <x:c r="P16" s="21" t="n">
        <x:f>MIN(E16,K16)</x:f>
        <x:v>0.1710389124477146</x:v>
      </x:c>
      <x:c r="Q16" s="21" t="n">
        <x:f>AVERAGE(G16,M16)</x:f>
        <x:v>0.0580567078970195</x:v>
      </x:c>
      <x:c r="R16" s="38" t="n">
        <x:f>H16+N16</x:f>
        <x:v>22</x:v>
      </x:c>
      <x:c r="S16" t="str">
        <x:f>IF(AND(P16&gt;=75%,Q16&gt;0,R16&gt;=2),"YES","")</x:f>
      </x:c>
      <x:c r="T16" t="str">
        <x:f>IF(AND(P16&gt;=80%,Q16&gt;=5%),"Strong cross-mode risk reducer",IF(S16="YES","Balanced candidate","Mode-specific / fragile"))</x:f>
        <x:v>Mode-specific / fragile</x:v>
      </x:c>
    </x:row>
    <x:row r="17">
      <x:c r="A17" t="n">
        <x:v>12</x:v>
      </x:c>
      <x:c r="B17" s="39" t="str">
        <x:v>Premarket rolling shock</x:v>
      </x:c>
      <x:c r="C17" s="39" t="str">
        <x:v>Skip when the worst premarket 3-minute candle is -0.3% or worse.</x:v>
      </x:c>
      <x:c r="D17" s="21" t="n">
        <x:f>'Protected Results'!F18</x:f>
        <x:v>2.324655362983478</x:v>
      </x:c>
      <x:c r="E17" s="21" t="n">
        <x:f>'Protected Results'!G18</x:f>
        <x:v>0.3233626339568465</x:v>
      </x:c>
      <x:c r="F17" s="21" t="n">
        <x:f>'Protected Results'!H18</x:f>
        <x:v>0.7899481392743767</x:v>
      </x:c>
      <x:c r="G17" s="21" t="n">
        <x:f>'Protected Results'!I18</x:f>
        <x:v>0.023516141619270403</x:v>
      </x:c>
      <x:c r="H17" s="38" t="n">
        <x:f>'Protected Results'!L18</x:f>
        <x:v>4</x:v>
      </x:c>
      <x:c r="I17" s="38" t="n">
        <x:f>'Protected Results'!N18</x:f>
        <x:v>74</x:v>
      </x:c>
      <x:c r="J17" s="21" t="n">
        <x:f>'Leverage Only Results'!F18</x:f>
        <x:v>0.9944122091863483</x:v>
      </x:c>
      <x:c r="K17" s="21" t="n">
        <x:f>'Leverage Only Results'!G18</x:f>
        <x:v>0.25935465910592964</x:v>
      </x:c>
      <x:c r="L17" s="21" t="n">
        <x:f>'Leverage Only Results'!H18</x:f>
        <x:v>0.8846367642093663</x:v>
      </x:c>
      <x:c r="M17" s="21" t="n">
        <x:f>'Leverage Only Results'!I18</x:f>
        <x:v>0.02614449969874888</x:v>
      </x:c>
      <x:c r="N17" s="38" t="n">
        <x:f>'Leverage Only Results'!L18</x:f>
        <x:v>4</x:v>
      </x:c>
      <x:c r="O17" s="38" t="n">
        <x:f>'Leverage Only Results'!N18</x:f>
        <x:v>95</x:v>
      </x:c>
      <x:c r="P17" s="21" t="n">
        <x:f>MIN(E17,K17)</x:f>
        <x:v>0.25935465910592964</x:v>
      </x:c>
      <x:c r="Q17" s="21" t="n">
        <x:f>AVERAGE(G17,M17)</x:f>
        <x:v>0.02483032065900964</x:v>
      </x:c>
      <x:c r="R17" s="38" t="n">
        <x:f>H17+N17</x:f>
        <x:v>8</x:v>
      </x:c>
      <x:c r="S17" t="str">
        <x:f>IF(AND(P17&gt;=75%,Q17&gt;0,R17&gt;=2),"YES","")</x:f>
      </x:c>
      <x:c r="T17" t="str">
        <x:f>IF(AND(P17&gt;=80%,Q17&gt;=5%),"Strong cross-mode risk reducer",IF(S17="YES","Balanced candidate","Mode-specific / fragile"))</x:f>
        <x:v>Mode-specific / fragile</x:v>
      </x:c>
    </x:row>
    <x:row r="18">
      <x:c r="A18" t="n">
        <x:v>13</x:v>
      </x:c>
      <x:c r="B18" s="39" t="str">
        <x:v>Premarket rolling shock</x:v>
      </x:c>
      <x:c r="C18" s="39" t="str">
        <x:v>Skip when the worst premarket 3-minute candle is -0.4% or worse.</x:v>
      </x:c>
      <x:c r="D18" s="21" t="n">
        <x:f>'Protected Results'!F19</x:f>
        <x:v>3.9596897762577257</x:v>
      </x:c>
      <x:c r="E18" s="21" t="n">
        <x:f>'Protected Results'!G19</x:f>
        <x:v>0.5507980821980427</x:v>
      </x:c>
      <x:c r="F18" s="21" t="n">
        <x:f>'Protected Results'!H19</x:f>
        <x:v>0.8017519369064491</x:v>
      </x:c>
      <x:c r="G18" s="21" t="n">
        <x:f>'Protected Results'!I19</x:f>
        <x:v>0.011712343987198004</x:v>
      </x:c>
      <x:c r="H18" s="38" t="n">
        <x:f>'Protected Results'!L19</x:f>
        <x:v>2</x:v>
      </x:c>
      <x:c r="I18" s="38" t="n">
        <x:f>'Protected Results'!N19</x:f>
        <x:v>44</x:v>
      </x:c>
      <x:c r="J18" s="21" t="n">
        <x:f>'Leverage Only Results'!F19</x:f>
        <x:v>2.0523923303973977</x:v>
      </x:c>
      <x:c r="K18" s="21" t="n">
        <x:f>'Leverage Only Results'!G19</x:f>
        <x:v>0.5352885938894295</x:v>
      </x:c>
      <x:c r="L18" s="21" t="n">
        <x:f>'Leverage Only Results'!H19</x:f>
        <x:v>0.9107812639081152</x:v>
      </x:c>
      <x:c r="M18" s="21" t="n">
        <x:f>'Leverage Only Results'!I19</x:f>
        <x:v>0</x:v>
      </x:c>
      <x:c r="N18" s="38" t="n">
        <x:f>'Leverage Only Results'!L19</x:f>
        <x:v>2</x:v>
      </x:c>
      <x:c r="O18" s="38" t="n">
        <x:f>'Leverage Only Results'!N19</x:f>
        <x:v>58</x:v>
      </x:c>
      <x:c r="P18" s="21" t="n">
        <x:f>MIN(E18,K18)</x:f>
        <x:v>0.5352885938894295</x:v>
      </x:c>
      <x:c r="Q18" s="21" t="n">
        <x:f>AVERAGE(G18,M18)</x:f>
        <x:v>0.005856171993599002</x:v>
      </x:c>
      <x:c r="R18" s="38" t="n">
        <x:f>H18+N18</x:f>
        <x:v>4</x:v>
      </x:c>
      <x:c r="S18" t="str">
        <x:f>IF(AND(P18&gt;=75%,Q18&gt;0,R18&gt;=2),"YES","")</x:f>
      </x:c>
      <x:c r="T18" t="str">
        <x:f>IF(AND(P18&gt;=80%,Q18&gt;=5%),"Strong cross-mode risk reducer",IF(S18="YES","Balanced candidate","Mode-specific / fragile"))</x:f>
        <x:v>Mode-specific / fragile</x:v>
      </x:c>
    </x:row>
    <x:row r="19">
      <x:c r="A19" t="n">
        <x:v>14</x:v>
      </x:c>
      <x:c r="B19" s="39" t="str">
        <x:v>Premarket rolling shock</x:v>
      </x:c>
      <x:c r="C19" s="39" t="str">
        <x:v>Skip when the worst premarket 3-minute candle is -0.5% or worse.</x:v>
      </x:c>
      <x:c r="D19" s="21" t="n">
        <x:f>'Protected Results'!F20</x:f>
        <x:v>4.88704254487696</x:v>
      </x:c>
      <x:c r="E19" s="21" t="n">
        <x:f>'Protected Results'!G20</x:f>
        <x:v>0.6797940781821669</x:v>
      </x:c>
      <x:c r="F19" s="21" t="n">
        <x:f>'Protected Results'!H20</x:f>
        <x:v>0.8018097511718354</x:v>
      </x:c>
      <x:c r="G19" s="21" t="n">
        <x:f>'Protected Results'!I20</x:f>
        <x:v>0.01165452972181169</x:v>
      </x:c>
      <x:c r="H19" s="38" t="n">
        <x:f>'Protected Results'!L20</x:f>
        <x:v>2</x:v>
      </x:c>
      <x:c r="I19" s="38" t="n">
        <x:f>'Protected Results'!N20</x:f>
        <x:v>28</x:v>
      </x:c>
      <x:c r="J19" s="21" t="n">
        <x:f>'Leverage Only Results'!F20</x:f>
        <x:v>2.241661069602571</x:v>
      </x:c>
      <x:c r="K19" s="21" t="n">
        <x:f>'Leverage Only Results'!G20</x:f>
        <x:v>0.5846521564870082</x:v>
      </x:c>
      <x:c r="L19" s="21" t="n">
        <x:f>'Leverage Only Results'!H20</x:f>
        <x:v>0.9157665400128623</x:v>
      </x:c>
      <x:c r="M19" s="21" t="n">
        <x:f>'Leverage Only Results'!I20</x:f>
        <x:v>-0.004985276104747083</x:v>
      </x:c>
      <x:c r="N19" s="38" t="n">
        <x:f>'Leverage Only Results'!L20</x:f>
        <x:v>1</x:v>
      </x:c>
      <x:c r="O19" s="38" t="n">
        <x:f>'Leverage Only Results'!N20</x:f>
        <x:v>32</x:v>
      </x:c>
      <x:c r="P19" s="21" t="n">
        <x:f>MIN(E19,K19)</x:f>
        <x:v>0.5846521564870082</x:v>
      </x:c>
      <x:c r="Q19" s="21" t="n">
        <x:f>AVERAGE(G19,M19)</x:f>
        <x:v>0.003334626808532304</x:v>
      </x:c>
      <x:c r="R19" s="38" t="n">
        <x:f>H19+N19</x:f>
        <x:v>3</x:v>
      </x:c>
      <x:c r="S19" t="str">
        <x:f>IF(AND(P19&gt;=75%,Q19&gt;0,R19&gt;=2),"YES","")</x:f>
      </x:c>
      <x:c r="T19" t="str">
        <x:f>IF(AND(P19&gt;=80%,Q19&gt;=5%),"Strong cross-mode risk reducer",IF(S19="YES","Balanced candidate","Mode-specific / fragile"))</x:f>
        <x:v>Mode-specific / fragile</x:v>
      </x:c>
    </x:row>
    <x:row r="20">
      <x:c r="A20" t="n">
        <x:v>15</x:v>
      </x:c>
      <x:c r="B20" s="39" t="str">
        <x:v>Premarket rolling shock</x:v>
      </x:c>
      <x:c r="C20" s="39" t="str">
        <x:v>Skip when the worst premarket 3-minute candle is -0.6% or worse.</x:v>
      </x:c>
      <x:c r="D20" s="21" t="n">
        <x:f>'Protected Results'!F21</x:f>
        <x:v>5.931075001681046</x:v>
      </x:c>
      <x:c r="E20" s="21" t="n">
        <x:f>'Protected Results'!G21</x:f>
        <x:v>0.8250203730318807</x:v>
      </x:c>
      <x:c r="F20" s="21" t="n">
        <x:f>'Protected Results'!H21</x:f>
        <x:v>0.7907167508993652</x:v>
      </x:c>
      <x:c r="G20" s="21" t="n">
        <x:f>'Protected Results'!I21</x:f>
        <x:v>0.022747529994281868</x:v>
      </x:c>
      <x:c r="H20" s="38" t="n">
        <x:f>'Protected Results'!L21</x:f>
        <x:v>1</x:v>
      </x:c>
      <x:c r="I20" s="38" t="n">
        <x:f>'Protected Results'!N21</x:f>
        <x:v>14</x:v>
      </x:c>
      <x:c r="J20" s="21" t="n">
        <x:f>'Leverage Only Results'!F21</x:f>
        <x:v>2.7699699703164224</x:v>
      </x:c>
      <x:c r="K20" s="21" t="n">
        <x:f>'Leverage Only Results'!G21</x:f>
        <x:v>0.7224414691900188</x:v>
      </x:c>
      <x:c r="L20" s="21" t="n">
        <x:f>'Leverage Only Results'!H21</x:f>
        <x:v>0.9157689200907383</x:v>
      </x:c>
      <x:c r="M20" s="21" t="n">
        <x:f>'Leverage Only Results'!I21</x:f>
        <x:v>-0.00498765618262309</x:v>
      </x:c>
      <x:c r="N20" s="38" t="n">
        <x:f>'Leverage Only Results'!L21</x:f>
        <x:v>1</x:v>
      </x:c>
      <x:c r="O20" s="38" t="n">
        <x:f>'Leverage Only Results'!N21</x:f>
        <x:v>16</x:v>
      </x:c>
      <x:c r="P20" s="21" t="n">
        <x:f>MIN(E20,K20)</x:f>
        <x:v>0.7224414691900188</x:v>
      </x:c>
      <x:c r="Q20" s="21" t="n">
        <x:f>AVERAGE(G20,M20)</x:f>
        <x:v>0.008879936905829389</x:v>
      </x:c>
      <x:c r="R20" s="38" t="n">
        <x:f>H20+N20</x:f>
        <x:v>2</x:v>
      </x:c>
      <x:c r="S20" t="str">
        <x:f>IF(AND(P20&gt;=75%,Q20&gt;0,R20&gt;=2),"YES","")</x:f>
      </x:c>
      <x:c r="T20" t="str">
        <x:f>IF(AND(P20&gt;=80%,Q20&gt;=5%),"Strong cross-mode risk reducer",IF(S20="YES","Balanced candidate","Mode-specific / fragile"))</x:f>
        <x:v>Mode-specific / fragile</x:v>
      </x:c>
    </x:row>
    <x:row r="21">
      <x:c r="A21" t="n">
        <x:v>16</x:v>
      </x:c>
      <x:c r="B21" s="39" t="str">
        <x:v>Premarket rolling shock</x:v>
      </x:c>
      <x:c r="C21" s="39" t="str">
        <x:v>Skip when the worst premarket 3-minute candle is -0.7% or worse.</x:v>
      </x:c>
      <x:c r="D21" s="21" t="n">
        <x:f>'Protected Results'!F22</x:f>
        <x:v>6.446613024663605</x:v>
      </x:c>
      <x:c r="E21" s="21" t="n">
        <x:f>'Protected Results'!G22</x:f>
        <x:v>0.8967323935193365</x:v>
      </x:c>
      <x:c r="F21" s="21" t="n">
        <x:f>'Protected Results'!H22</x:f>
        <x:v>0.7907174414675654</x:v>
      </x:c>
      <x:c r="G21" s="21" t="n">
        <x:f>'Protected Results'!I22</x:f>
        <x:v>0.02274683942608169</x:v>
      </x:c>
      <x:c r="H21" s="38" t="n">
        <x:f>'Protected Results'!L22</x:f>
        <x:v>1</x:v>
      </x:c>
      <x:c r="I21" s="38" t="n">
        <x:f>'Protected Results'!N22</x:f>
        <x:v>11</x:v>
      </x:c>
      <x:c r="J21" s="21" t="n">
        <x:f>'Leverage Only Results'!F22</x:f>
        <x:v>3.1946052608650746</x:v>
      </x:c>
      <x:c r="K21" s="21" t="n">
        <x:f>'Leverage Only Results'!G22</x:f>
        <x:v>0.8331914579846104</x:v>
      </x:c>
      <x:c r="L21" s="21" t="n">
        <x:f>'Leverage Only Results'!H22</x:f>
        <x:v>0.9107812639081152</x:v>
      </x:c>
      <x:c r="M21" s="21" t="n">
        <x:f>'Leverage Only Results'!I22</x:f>
        <x:v>0</x:v>
      </x:c>
      <x:c r="N21" s="38" t="n">
        <x:f>'Leverage Only Results'!L22</x:f>
        <x:v>1</x:v>
      </x:c>
      <x:c r="O21" s="38" t="n">
        <x:f>'Leverage Only Results'!N22</x:f>
        <x:v>12</x:v>
      </x:c>
      <x:c r="P21" s="21" t="n">
        <x:f>MIN(E21,K21)</x:f>
        <x:v>0.8331914579846104</x:v>
      </x:c>
      <x:c r="Q21" s="21" t="n">
        <x:f>AVERAGE(G21,M21)</x:f>
        <x:v>0.011373419713040844</x:v>
      </x:c>
      <x:c r="R21" s="38" t="n">
        <x:f>H21+N21</x:f>
        <x:v>2</x:v>
      </x:c>
      <x:c r="S21" t="str">
        <x:f>IF(AND(P21&gt;=75%,Q21&gt;0,R21&gt;=2),"YES","")</x:f>
        <x:v>YES</x:v>
      </x:c>
      <x:c r="T21" t="str">
        <x:f>IF(AND(P21&gt;=80%,Q21&gt;=5%),"Strong cross-mode risk reducer",IF(S21="YES","Balanced candidate","Mode-specific / fragile"))</x:f>
        <x:v>Balanced candidate</x:v>
      </x:c>
    </x:row>
    <x:row r="22">
      <x:c r="A22" t="n">
        <x:v>17</x:v>
      </x:c>
      <x:c r="B22" s="39" t="str">
        <x:v>Premarket rolling shock</x:v>
      </x:c>
      <x:c r="C22" s="39" t="str">
        <x:v>Skip when the worst premarket 3-minute candle is -0.8% or worse.</x:v>
      </x:c>
      <x:c r="D22" s="21" t="n">
        <x:f>'Protected Results'!F23</x:f>
        <x:v>6.568128292659463</x:v>
      </x:c>
      <x:c r="E22" s="21" t="n">
        <x:f>'Protected Results'!G23</x:f>
        <x:v>0.9136353279287981</x:v>
      </x:c>
      <x:c r="F22" s="21" t="n">
        <x:f>'Protected Results'!H23</x:f>
        <x:v>0.7907174414675654</x:v>
      </x:c>
      <x:c r="G22" s="21" t="n">
        <x:f>'Protected Results'!I23</x:f>
        <x:v>0.02274683942608169</x:v>
      </x:c>
      <x:c r="H22" s="38" t="n">
        <x:f>'Protected Results'!L23</x:f>
        <x:v>1</x:v>
      </x:c>
      <x:c r="I22" s="38" t="n">
        <x:f>'Protected Results'!N23</x:f>
        <x:v>10</x:v>
      </x:c>
      <x:c r="J22" s="21" t="n">
        <x:f>'Leverage Only Results'!F23</x:f>
        <x:v>3.2630536572989257</x:v>
      </x:c>
      <x:c r="K22" s="21" t="n">
        <x:f>'Leverage Only Results'!G23</x:f>
        <x:v>0.8510436226698915</x:v>
      </x:c>
      <x:c r="L22" s="21" t="n">
        <x:f>'Leverage Only Results'!H23</x:f>
        <x:v>0.9107812639081152</x:v>
      </x:c>
      <x:c r="M22" s="21" t="n">
        <x:f>'Leverage Only Results'!I23</x:f>
        <x:v>0</x:v>
      </x:c>
      <x:c r="N22" s="38" t="n">
        <x:f>'Leverage Only Results'!L23</x:f>
        <x:v>1</x:v>
      </x:c>
      <x:c r="O22" s="38" t="n">
        <x:f>'Leverage Only Results'!N23</x:f>
        <x:v>11</x:v>
      </x:c>
      <x:c r="P22" s="21" t="n">
        <x:f>MIN(E22,K22)</x:f>
        <x:v>0.8510436226698915</x:v>
      </x:c>
      <x:c r="Q22" s="21" t="n">
        <x:f>AVERAGE(G22,M22)</x:f>
        <x:v>0.011373419713040844</x:v>
      </x:c>
      <x:c r="R22" s="38" t="n">
        <x:f>H22+N22</x:f>
        <x:v>2</x:v>
      </x:c>
      <x:c r="S22" t="str">
        <x:f>IF(AND(P22&gt;=75%,Q22&gt;0,R22&gt;=2),"YES","")</x:f>
        <x:v>YES</x:v>
      </x:c>
      <x:c r="T22" t="str">
        <x:f>IF(AND(P22&gt;=80%,Q22&gt;=5%),"Strong cross-mode risk reducer",IF(S22="YES","Balanced candidate","Mode-specific / fragile"))</x:f>
        <x:v>Balanced candidate</x:v>
      </x:c>
    </x:row>
    <x:row r="23">
      <x:c r="A23" t="n">
        <x:v>18</x:v>
      </x:c>
      <x:c r="B23" s="39" t="str">
        <x:v>Premarket rolling shock</x:v>
      </x:c>
      <x:c r="C23" s="39" t="str">
        <x:v>Skip when the worst premarket 3-minute candle is -0.9% or worse.</x:v>
      </x:c>
      <x:c r="D23" s="21" t="n">
        <x:f>'Protected Results'!F24</x:f>
        <x:v>7.04457806583558</x:v>
      </x:c>
      <x:c r="E23" s="21" t="n">
        <x:f>'Protected Results'!G24</x:f>
        <x:v>0.9799101211973548</x:v>
      </x:c>
      <x:c r="F23" s="21" t="n">
        <x:f>'Protected Results'!H24</x:f>
        <x:v>0.7907174414675654</x:v>
      </x:c>
      <x:c r="G23" s="21" t="n">
        <x:f>'Protected Results'!I24</x:f>
        <x:v>0.02274683942608169</x:v>
      </x:c>
      <x:c r="H23" s="38" t="n">
        <x:f>'Protected Results'!L24</x:f>
        <x:v>1</x:v>
      </x:c>
      <x:c r="I23" s="38" t="n">
        <x:f>'Protected Results'!N24</x:f>
        <x:v>7</x:v>
      </x:c>
      <x:c r="J23" s="21" t="n">
        <x:f>'Leverage Only Results'!F24</x:f>
        <x:v>3.53143263749019</x:v>
      </x:c>
      <x:c r="K23" s="21" t="n">
        <x:f>'Leverage Only Results'!G24</x:f>
        <x:v>0.9210400871900277</x:v>
      </x:c>
      <x:c r="L23" s="21" t="n">
        <x:f>'Leverage Only Results'!H24</x:f>
        <x:v>0.9107812639081152</x:v>
      </x:c>
      <x:c r="M23" s="21" t="n">
        <x:f>'Leverage Only Results'!I24</x:f>
        <x:v>0</x:v>
      </x:c>
      <x:c r="N23" s="38" t="n">
        <x:f>'Leverage Only Results'!L24</x:f>
        <x:v>1</x:v>
      </x:c>
      <x:c r="O23" s="38" t="n">
        <x:f>'Leverage Only Results'!N24</x:f>
        <x:v>8</x:v>
      </x:c>
      <x:c r="P23" s="21" t="n">
        <x:f>MIN(E23,K23)</x:f>
        <x:v>0.9210400871900277</x:v>
      </x:c>
      <x:c r="Q23" s="21" t="n">
        <x:f>AVERAGE(G23,M23)</x:f>
        <x:v>0.011373419713040844</x:v>
      </x:c>
      <x:c r="R23" s="38" t="n">
        <x:f>H23+N23</x:f>
        <x:v>2</x:v>
      </x:c>
      <x:c r="S23" t="str">
        <x:f>IF(AND(P23&gt;=75%,Q23&gt;0,R23&gt;=2),"YES","")</x:f>
        <x:v>YES</x:v>
      </x:c>
      <x:c r="T23" t="str">
        <x:f>IF(AND(P23&gt;=80%,Q23&gt;=5%),"Strong cross-mode risk reducer",IF(S23="YES","Balanced candidate","Mode-specific / fragile"))</x:f>
        <x:v>Balanced candidate</x:v>
      </x:c>
    </x:row>
    <x:row r="24">
      <x:c r="A24" t="n">
        <x:v>19</x:v>
      </x:c>
      <x:c r="B24" s="39" t="str">
        <x:v>Premarket rolling shock</x:v>
      </x:c>
      <x:c r="C24" s="39" t="str">
        <x:v>Skip when the worst premarket 3-minute candle is -1.0% or worse.</x:v>
      </x:c>
      <x:c r="D24" s="21" t="n">
        <x:f>'Protected Results'!F25</x:f>
        <x:v>7.255127727185991</x:v>
      </x:c>
      <x:c r="E24" s="21" t="n">
        <x:f>'Protected Results'!G25</x:f>
        <x:v>1.0091978574171494</x:v>
      </x:c>
      <x:c r="F24" s="21" t="n">
        <x:f>'Protected Results'!H25</x:f>
        <x:v>0.7907189886608056</x:v>
      </x:c>
      <x:c r="G24" s="21" t="n">
        <x:f>'Protected Results'!I25</x:f>
        <x:v>0.022745292232841496</x:v>
      </x:c>
      <x:c r="H24" s="38" t="n">
        <x:f>'Protected Results'!L25</x:f>
        <x:v>1</x:v>
      </x:c>
      <x:c r="I24" s="38" t="n">
        <x:f>'Protected Results'!N25</x:f>
        <x:v>6</x:v>
      </x:c>
      <x:c r="J24" s="21" t="n">
        <x:f>'Leverage Only Results'!F25</x:f>
        <x:v>3.650536667434171</x:v>
      </x:c>
      <x:c r="K24" s="21" t="n">
        <x:f>'Leverage Only Results'!G25</x:f>
        <x:v>0.9521038500832233</x:v>
      </x:c>
      <x:c r="L24" s="21" t="n">
        <x:f>'Leverage Only Results'!H25</x:f>
        <x:v>0.9107812639081152</x:v>
      </x:c>
      <x:c r="M24" s="21" t="n">
        <x:f>'Leverage Only Results'!I25</x:f>
        <x:v>0</x:v>
      </x:c>
      <x:c r="N24" s="38" t="n">
        <x:f>'Leverage Only Results'!L25</x:f>
        <x:v>1</x:v>
      </x:c>
      <x:c r="O24" s="38" t="n">
        <x:f>'Leverage Only Results'!N25</x:f>
        <x:v>7</x:v>
      </x:c>
      <x:c r="P24" s="21" t="n">
        <x:f>MIN(E24,K24)</x:f>
        <x:v>0.9521038500832233</x:v>
      </x:c>
      <x:c r="Q24" s="21" t="n">
        <x:f>AVERAGE(G24,M24)</x:f>
        <x:v>0.011372646116420748</x:v>
      </x:c>
      <x:c r="R24" s="38" t="n">
        <x:f>H24+N24</x:f>
        <x:v>2</x:v>
      </x:c>
      <x:c r="S24" t="str">
        <x:f>IF(AND(P24&gt;=75%,Q24&gt;0,R24&gt;=2),"YES","")</x:f>
        <x:v>YES</x:v>
      </x:c>
      <x:c r="T24" t="str">
        <x:f>IF(AND(P24&gt;=80%,Q24&gt;=5%),"Strong cross-mode risk reducer",IF(S24="YES","Balanced candidate","Mode-specific / fragile"))</x:f>
        <x:v>Balanced candidate</x:v>
      </x:c>
    </x:row>
    <x:row r="25">
      <x:c r="A25" t="n">
        <x:v>20</x:v>
      </x:c>
      <x:c r="B25" s="39" t="str">
        <x:v>Premarket rolling shock</x:v>
      </x:c>
      <x:c r="C25" s="39" t="str">
        <x:v>Skip when the worst premarket 3-minute candle is -1.1% or worse.</x:v>
      </x:c>
      <x:c r="D25" s="21" t="n">
        <x:f>'Protected Results'!F26</x:f>
        <x:v>7.255127727185991</x:v>
      </x:c>
      <x:c r="E25" s="21" t="n">
        <x:f>'Protected Results'!G26</x:f>
        <x:v>1.0091978574171494</x:v>
      </x:c>
      <x:c r="F25" s="21" t="n">
        <x:f>'Protected Results'!H26</x:f>
        <x:v>0.7907189886608056</x:v>
      </x:c>
      <x:c r="G25" s="21" t="n">
        <x:f>'Protected Results'!I26</x:f>
        <x:v>0.022745292232841496</x:v>
      </x:c>
      <x:c r="H25" s="38" t="n">
        <x:f>'Protected Results'!L26</x:f>
        <x:v>1</x:v>
      </x:c>
      <x:c r="I25" s="38" t="n">
        <x:f>'Protected Results'!N26</x:f>
        <x:v>6</x:v>
      </x:c>
      <x:c r="J25" s="21" t="n">
        <x:f>'Leverage Only Results'!F26</x:f>
        <x:v>3.650536667434171</x:v>
      </x:c>
      <x:c r="K25" s="21" t="n">
        <x:f>'Leverage Only Results'!G26</x:f>
        <x:v>0.9521038500832233</x:v>
      </x:c>
      <x:c r="L25" s="21" t="n">
        <x:f>'Leverage Only Results'!H26</x:f>
        <x:v>0.9107812639081152</x:v>
      </x:c>
      <x:c r="M25" s="21" t="n">
        <x:f>'Leverage Only Results'!I26</x:f>
        <x:v>0</x:v>
      </x:c>
      <x:c r="N25" s="38" t="n">
        <x:f>'Leverage Only Results'!L26</x:f>
        <x:v>1</x:v>
      </x:c>
      <x:c r="O25" s="38" t="n">
        <x:f>'Leverage Only Results'!N26</x:f>
        <x:v>7</x:v>
      </x:c>
      <x:c r="P25" s="21" t="n">
        <x:f>MIN(E25,K25)</x:f>
        <x:v>0.9521038500832233</x:v>
      </x:c>
      <x:c r="Q25" s="21" t="n">
        <x:f>AVERAGE(G25,M25)</x:f>
        <x:v>0.011372646116420748</x:v>
      </x:c>
      <x:c r="R25" s="38" t="n">
        <x:f>H25+N25</x:f>
        <x:v>2</x:v>
      </x:c>
      <x:c r="S25" t="str">
        <x:f>IF(AND(P25&gt;=75%,Q25&gt;0,R25&gt;=2),"YES","")</x:f>
        <x:v>YES</x:v>
      </x:c>
      <x:c r="T25" t="str">
        <x:f>IF(AND(P25&gt;=80%,Q25&gt;=5%),"Strong cross-mode risk reducer",IF(S25="YES","Balanced candidate","Mode-specific / fragile"))</x:f>
        <x:v>Balanced candidate</x:v>
      </x:c>
    </x:row>
    <x:row r="26">
      <x:c r="A26" t="n">
        <x:v>21</x:v>
      </x:c>
      <x:c r="B26" s="39" t="str">
        <x:v>Premarket rolling shock</x:v>
      </x:c>
      <x:c r="C26" s="39" t="str">
        <x:v>Skip when the worst premarket 5-minute candle is -0.2% or worse.</x:v>
      </x:c>
      <x:c r="D26" s="21" t="n">
        <x:f>'Protected Results'!F27</x:f>
        <x:v>0.7771035217265185</x:v>
      </x:c>
      <x:c r="E26" s="21" t="n">
        <x:f>'Protected Results'!G27</x:f>
        <x:v>0.10809612712661464</x:v>
      </x:c>
      <x:c r="F26" s="21" t="n">
        <x:f>'Protected Results'!H27</x:f>
        <x:v>0.6695966592131521</x:v>
      </x:c>
      <x:c r="G26" s="21" t="n">
        <x:f>'Protected Results'!I27</x:f>
        <x:v>0.14386762168049494</x:v>
      </x:c>
      <x:c r="H26" s="38" t="n">
        <x:f>'Protected Results'!L27</x:f>
        <x:v>11</x:v>
      </x:c>
      <x:c r="I26" s="38" t="n">
        <x:f>'Protected Results'!N27</x:f>
        <x:v>194</x:v>
      </x:c>
      <x:c r="J26" s="21" t="n">
        <x:f>'Leverage Only Results'!F27</x:f>
        <x:v>0.533535330277239</x:v>
      </x:c>
      <x:c r="K26" s="21" t="n">
        <x:f>'Leverage Only Results'!G27</x:f>
        <x:v>0.13915242836594344</x:v>
      </x:c>
      <x:c r="L26" s="21" t="n">
        <x:f>'Leverage Only Results'!H27</x:f>
        <x:v>0.8883762665460542</x:v>
      </x:c>
      <x:c r="M26" s="21" t="n">
        <x:f>'Leverage Only Results'!I27</x:f>
        <x:v>0.02240499736206103</x:v>
      </x:c>
      <x:c r="N26" s="38" t="n">
        <x:f>'Leverage Only Results'!L27</x:f>
        <x:v>15</x:v>
      </x:c>
      <x:c r="O26" s="38" t="n">
        <x:f>'Leverage Only Results'!N27</x:f>
        <x:v>241</x:v>
      </x:c>
      <x:c r="P26" s="21" t="n">
        <x:f>MIN(E26,K26)</x:f>
        <x:v>0.10809612712661464</x:v>
      </x:c>
      <x:c r="Q26" s="21" t="n">
        <x:f>AVERAGE(G26,M26)</x:f>
        <x:v>0.08313630952127798</x:v>
      </x:c>
      <x:c r="R26" s="38" t="n">
        <x:f>H26+N26</x:f>
        <x:v>26</x:v>
      </x:c>
      <x:c r="S26" t="str">
        <x:f>IF(AND(P26&gt;=75%,Q26&gt;0,R26&gt;=2),"YES","")</x:f>
      </x:c>
      <x:c r="T26" t="str">
        <x:f>IF(AND(P26&gt;=80%,Q26&gt;=5%),"Strong cross-mode risk reducer",IF(S26="YES","Balanced candidate","Mode-specific / fragile"))</x:f>
        <x:v>Mode-specific / fragile</x:v>
      </x:c>
    </x:row>
    <x:row r="27">
      <x:c r="A27" t="n">
        <x:v>22</x:v>
      </x:c>
      <x:c r="B27" s="39" t="str">
        <x:v>Premarket rolling shock</x:v>
      </x:c>
      <x:c r="C27" s="39" t="str">
        <x:v>Skip when the worst premarket 5-minute candle is -0.3% or worse.</x:v>
      </x:c>
      <x:c r="D27" s="21" t="n">
        <x:f>'Protected Results'!F28</x:f>
        <x:v>2.1630915045528862</x:v>
      </x:c>
      <x:c r="E27" s="21" t="n">
        <x:f>'Protected Results'!G28</x:f>
        <x:v>0.3008888876776143</x:v>
      </x:c>
      <x:c r="F27" s="21" t="n">
        <x:f>'Protected Results'!H28</x:f>
        <x:v>0.7600184635196368</x:v>
      </x:c>
      <x:c r="G27" s="21" t="n">
        <x:f>'Protected Results'!I28</x:f>
        <x:v>0.05344581737401033</x:v>
      </x:c>
      <x:c r="H27" s="38" t="n">
        <x:f>'Protected Results'!L28</x:f>
        <x:v>8</x:v>
      </x:c>
      <x:c r="I27" s="38" t="n">
        <x:f>'Protected Results'!N28</x:f>
        <x:v>106</x:v>
      </x:c>
      <x:c r="J27" s="21" t="n">
        <x:f>'Leverage Only Results'!F28</x:f>
        <x:v>1.114652564616243</x:v>
      </x:c>
      <x:c r="K27" s="21" t="n">
        <x:f>'Leverage Only Results'!G28</x:f>
        <x:v>0.29071478934690126</x:v>
      </x:c>
      <x:c r="L27" s="21" t="n">
        <x:f>'Leverage Only Results'!H28</x:f>
        <x:v>0.8682893724288587</x:v>
      </x:c>
      <x:c r="M27" s="21" t="n">
        <x:f>'Leverage Only Results'!I28</x:f>
        <x:v>0.04249189147925647</x:v>
      </x:c>
      <x:c r="N27" s="38" t="n">
        <x:f>'Leverage Only Results'!L28</x:f>
        <x:v>7</x:v>
      </x:c>
      <x:c r="O27" s="38" t="n">
        <x:f>'Leverage Only Results'!N28</x:f>
        <x:v>137</x:v>
      </x:c>
      <x:c r="P27" s="21" t="n">
        <x:f>MIN(E27,K27)</x:f>
        <x:v>0.29071478934690126</x:v>
      </x:c>
      <x:c r="Q27" s="21" t="n">
        <x:f>AVERAGE(G27,M27)</x:f>
        <x:v>0.0479688544266334</x:v>
      </x:c>
      <x:c r="R27" s="38" t="n">
        <x:f>H27+N27</x:f>
        <x:v>15</x:v>
      </x:c>
      <x:c r="S27" t="str">
        <x:f>IF(AND(P27&gt;=75%,Q27&gt;0,R27&gt;=2),"YES","")</x:f>
      </x:c>
      <x:c r="T27" t="str">
        <x:f>IF(AND(P27&gt;=80%,Q27&gt;=5%),"Strong cross-mode risk reducer",IF(S27="YES","Balanced candidate","Mode-specific / fragile"))</x:f>
        <x:v>Mode-specific / fragile</x:v>
      </x:c>
    </x:row>
    <x:row r="28">
      <x:c r="A28" t="n">
        <x:v>23</x:v>
      </x:c>
      <x:c r="B28" s="39" t="str">
        <x:v>Premarket rolling shock</x:v>
      </x:c>
      <x:c r="C28" s="39" t="str">
        <x:v>Skip when the worst premarket 5-minute candle is -0.4% or worse.</x:v>
      </x:c>
      <x:c r="D28" s="21" t="n">
        <x:f>'Protected Results'!F29</x:f>
        <x:v>3.1988215997611427</x:v>
      </x:c>
      <x:c r="E28" s="21" t="n">
        <x:f>'Protected Results'!G29</x:f>
        <x:v>0.4449603130544423</x:v>
      </x:c>
      <x:c r="F28" s="21" t="n">
        <x:f>'Protected Results'!H29</x:f>
        <x:v>0.8014710784991973</x:v>
      </x:c>
      <x:c r="G28" s="21" t="n">
        <x:f>'Protected Results'!I29</x:f>
        <x:v>0.011993202394449787</x:v>
      </x:c>
      <x:c r="H28" s="38" t="n">
        <x:f>'Protected Results'!L29</x:f>
        <x:v>2</x:v>
      </x:c>
      <x:c r="I28" s="38" t="n">
        <x:f>'Protected Results'!N29</x:f>
        <x:v>54</x:v>
      </x:c>
      <x:c r="J28" s="21" t="n">
        <x:f>'Leverage Only Results'!F29</x:f>
        <x:v>1.5577141156427632</x:v>
      </x:c>
      <x:c r="K28" s="21" t="n">
        <x:f>'Leverage Only Results'!G29</x:f>
        <x:v>0.4062705683969692</x:v>
      </x:c>
      <x:c r="L28" s="21" t="n">
        <x:f>'Leverage Only Results'!H29</x:f>
        <x:v>0.9107812639081152</x:v>
      </x:c>
      <x:c r="M28" s="21" t="n">
        <x:f>'Leverage Only Results'!I29</x:f>
        <x:v>0</x:v>
      </x:c>
      <x:c r="N28" s="38" t="n">
        <x:f>'Leverage Only Results'!L29</x:f>
        <x:v>2</x:v>
      </x:c>
      <x:c r="O28" s="38" t="n">
        <x:f>'Leverage Only Results'!N29</x:f>
        <x:v>70</x:v>
      </x:c>
      <x:c r="P28" s="21" t="n">
        <x:f>MIN(E28,K28)</x:f>
        <x:v>0.4062705683969692</x:v>
      </x:c>
      <x:c r="Q28" s="21" t="n">
        <x:f>AVERAGE(G28,M28)</x:f>
        <x:v>0.005996601197224893</x:v>
      </x:c>
      <x:c r="R28" s="38" t="n">
        <x:f>H28+N28</x:f>
        <x:v>4</x:v>
      </x:c>
      <x:c r="S28" t="str">
        <x:f>IF(AND(P28&gt;=75%,Q28&gt;0,R28&gt;=2),"YES","")</x:f>
      </x:c>
      <x:c r="T28" t="str">
        <x:f>IF(AND(P28&gt;=80%,Q28&gt;=5%),"Strong cross-mode risk reducer",IF(S28="YES","Balanced candidate","Mode-specific / fragile"))</x:f>
        <x:v>Mode-specific / fragile</x:v>
      </x:c>
    </x:row>
    <x:row r="29">
      <x:c r="A29" t="n">
        <x:v>24</x:v>
      </x:c>
      <x:c r="B29" s="39" t="str">
        <x:v>Premarket rolling shock</x:v>
      </x:c>
      <x:c r="C29" s="39" t="str">
        <x:v>Skip when the worst premarket 5-minute candle is -0.5% or worse.</x:v>
      </x:c>
      <x:c r="D29" s="21" t="n">
        <x:f>'Protected Results'!F30</x:f>
        <x:v>4.314801793698931</x:v>
      </x:c>
      <x:c r="E29" s="21" t="n">
        <x:f>'Protected Results'!G30</x:f>
        <x:v>0.600194633247289</x:v>
      </x:c>
      <x:c r="F29" s="21" t="n">
        <x:f>'Protected Results'!H30</x:f>
        <x:v>0.8017895670420365</x:v>
      </x:c>
      <x:c r="G29" s="21" t="n">
        <x:f>'Protected Results'!I30</x:f>
        <x:v>0.011674713851610563</x:v>
      </x:c>
      <x:c r="H29" s="38" t="n">
        <x:f>'Protected Results'!L30</x:f>
        <x:v>2</x:v>
      </x:c>
      <x:c r="I29" s="38" t="n">
        <x:f>'Protected Results'!N30</x:f>
        <x:v>33</x:v>
      </x:c>
      <x:c r="J29" s="21" t="n">
        <x:f>'Leverage Only Results'!F30</x:f>
        <x:v>2.264157040553741</x:v>
      </x:c>
      <x:c r="K29" s="21" t="n">
        <x:f>'Leverage Only Results'!G30</x:f>
        <x:v>0.590519376160499</x:v>
      </x:c>
      <x:c r="L29" s="21" t="n">
        <x:f>'Leverage Only Results'!H30</x:f>
        <x:v>0.9107812639081152</x:v>
      </x:c>
      <x:c r="M29" s="21" t="n">
        <x:f>'Leverage Only Results'!I30</x:f>
        <x:v>0</x:v>
      </x:c>
      <x:c r="N29" s="38" t="n">
        <x:f>'Leverage Only Results'!L30</x:f>
        <x:v>2</x:v>
      </x:c>
      <x:c r="O29" s="38" t="n">
        <x:f>'Leverage Only Results'!N30</x:f>
        <x:v>42</x:v>
      </x:c>
      <x:c r="P29" s="21" t="n">
        <x:f>MIN(E29,K29)</x:f>
        <x:v>0.590519376160499</x:v>
      </x:c>
      <x:c r="Q29" s="21" t="n">
        <x:f>AVERAGE(G29,M29)</x:f>
        <x:v>0.0058373569258052815</x:v>
      </x:c>
      <x:c r="R29" s="38" t="n">
        <x:f>H29+N29</x:f>
        <x:v>4</x:v>
      </x:c>
      <x:c r="S29" t="str">
        <x:f>IF(AND(P29&gt;=75%,Q29&gt;0,R29&gt;=2),"YES","")</x:f>
      </x:c>
      <x:c r="T29" t="str">
        <x:f>IF(AND(P29&gt;=80%,Q29&gt;=5%),"Strong cross-mode risk reducer",IF(S29="YES","Balanced candidate","Mode-specific / fragile"))</x:f>
        <x:v>Mode-specific / fragile</x:v>
      </x:c>
    </x:row>
    <x:row r="30">
      <x:c r="A30" t="n">
        <x:v>25</x:v>
      </x:c>
      <x:c r="B30" s="39" t="str">
        <x:v>Premarket rolling shock</x:v>
      </x:c>
      <x:c r="C30" s="39" t="str">
        <x:v>Skip when the worst premarket 5-minute candle is -0.6% or worse.</x:v>
      </x:c>
      <x:c r="D30" s="21" t="n">
        <x:f>'Protected Results'!F31</x:f>
        <x:v>4.990694726171749</x:v>
      </x:c>
      <x:c r="E30" s="21" t="n">
        <x:f>'Protected Results'!G31</x:f>
        <x:v>0.6942122336182653</x:v>
      </x:c>
      <x:c r="F30" s="21" t="n">
        <x:f>'Protected Results'!H31</x:f>
        <x:v>0.79071050683159</x:v>
      </x:c>
      <x:c r="G30" s="21" t="n">
        <x:f>'Protected Results'!I31</x:f>
        <x:v>0.02275377406205703</x:v>
      </x:c>
      <x:c r="H30" s="38" t="n">
        <x:f>'Protected Results'!L31</x:f>
        <x:v>1</x:v>
      </x:c>
      <x:c r="I30" s="38" t="n">
        <x:f>'Protected Results'!N31</x:f>
        <x:v>24</x:v>
      </x:c>
      <x:c r="J30" s="21" t="n">
        <x:f>'Leverage Only Results'!F31</x:f>
        <x:v>2.2829989767316263</x:v>
      </x:c>
      <x:c r="K30" s="21" t="n">
        <x:f>'Leverage Only Results'!G31</x:f>
        <x:v>0.5954335796358461</x:v>
      </x:c>
      <x:c r="L30" s="21" t="n">
        <x:f>'Leverage Only Results'!H31</x:f>
        <x:v>0.9157681644303919</x:v>
      </x:c>
      <x:c r="M30" s="21" t="n">
        <x:f>'Leverage Only Results'!I31</x:f>
        <x:v>-0.004986900522276683</x:v>
      </x:c>
      <x:c r="N30" s="38" t="n">
        <x:f>'Leverage Only Results'!L31</x:f>
        <x:v>1</x:v>
      </x:c>
      <x:c r="O30" s="38" t="n">
        <x:f>'Leverage Only Results'!N31</x:f>
        <x:v>27</x:v>
      </x:c>
      <x:c r="P30" s="21" t="n">
        <x:f>MIN(E30,K30)</x:f>
        <x:v>0.5954335796358461</x:v>
      </x:c>
      <x:c r="Q30" s="21" t="n">
        <x:f>AVERAGE(G30,M30)</x:f>
        <x:v>0.008883436769890174</x:v>
      </x:c>
      <x:c r="R30" s="38" t="n">
        <x:f>H30+N30</x:f>
        <x:v>2</x:v>
      </x:c>
      <x:c r="S30" t="str">
        <x:f>IF(AND(P30&gt;=75%,Q30&gt;0,R30&gt;=2),"YES","")</x:f>
      </x:c>
      <x:c r="T30" t="str">
        <x:f>IF(AND(P30&gt;=80%,Q30&gt;=5%),"Strong cross-mode risk reducer",IF(S30="YES","Balanced candidate","Mode-specific / fragile"))</x:f>
        <x:v>Mode-specific / fragile</x:v>
      </x:c>
    </x:row>
    <x:row r="31">
      <x:c r="A31" t="n">
        <x:v>26</x:v>
      </x:c>
      <x:c r="B31" s="39" t="str">
        <x:v>Premarket rolling shock</x:v>
      </x:c>
      <x:c r="C31" s="39" t="str">
        <x:v>Skip when the worst premarket 5-minute candle is -0.7% or worse.</x:v>
      </x:c>
      <x:c r="D31" s="21" t="n">
        <x:f>'Protected Results'!F32</x:f>
        <x:v>6.206566669951636</x:v>
      </x:c>
      <x:c r="E31" s="21" t="n">
        <x:f>'Protected Results'!G32</x:f>
        <x:v>0.8633416282612206</x:v>
      </x:c>
      <x:c r="F31" s="21" t="n">
        <x:f>'Protected Results'!H32</x:f>
        <x:v>0.7907177482230545</x:v>
      </x:c>
      <x:c r="G31" s="21" t="n">
        <x:f>'Protected Results'!I32</x:f>
        <x:v>0.022746532670592567</x:v>
      </x:c>
      <x:c r="H31" s="38" t="n">
        <x:f>'Protected Results'!L32</x:f>
        <x:v>1</x:v>
      </x:c>
      <x:c r="I31" s="38" t="n">
        <x:f>'Protected Results'!N32</x:f>
        <x:v>14</x:v>
      </x:c>
      <x:c r="J31" s="21" t="n">
        <x:f>'Leverage Only Results'!F32</x:f>
        <x:v>2.924315877536725</x:v>
      </x:c>
      <x:c r="K31" s="21" t="n">
        <x:f>'Leverage Only Results'!G32</x:f>
        <x:v>0.7626967373592127</x:v>
      </x:c>
      <x:c r="L31" s="21" t="n">
        <x:f>'Leverage Only Results'!H32</x:f>
        <x:v>0.9107812639081152</x:v>
      </x:c>
      <x:c r="M31" s="21" t="n">
        <x:f>'Leverage Only Results'!I32</x:f>
        <x:v>0</x:v>
      </x:c>
      <x:c r="N31" s="38" t="n">
        <x:f>'Leverage Only Results'!L32</x:f>
        <x:v>1</x:v>
      </x:c>
      <x:c r="O31" s="38" t="n">
        <x:f>'Leverage Only Results'!N32</x:f>
        <x:v>16</x:v>
      </x:c>
      <x:c r="P31" s="21" t="n">
        <x:f>MIN(E31,K31)</x:f>
        <x:v>0.7626967373592127</x:v>
      </x:c>
      <x:c r="Q31" s="21" t="n">
        <x:f>AVERAGE(G31,M31)</x:f>
        <x:v>0.011373266335296284</x:v>
      </x:c>
      <x:c r="R31" s="38" t="n">
        <x:f>H31+N31</x:f>
        <x:v>2</x:v>
      </x:c>
      <x:c r="S31" t="str">
        <x:f>IF(AND(P31&gt;=75%,Q31&gt;0,R31&gt;=2),"YES","")</x:f>
        <x:v>YES</x:v>
      </x:c>
      <x:c r="T31" t="str">
        <x:f>IF(AND(P31&gt;=80%,Q31&gt;=5%),"Strong cross-mode risk reducer",IF(S31="YES","Balanced candidate","Mode-specific / fragile"))</x:f>
        <x:v>Balanced candidate</x:v>
      </x:c>
    </x:row>
    <x:row r="32">
      <x:c r="A32" t="n">
        <x:v>27</x:v>
      </x:c>
      <x:c r="B32" s="39" t="str">
        <x:v>Premarket rolling shock</x:v>
      </x:c>
      <x:c r="C32" s="39" t="str">
        <x:v>Skip when the worst premarket 5-minute candle is -0.8% or worse.</x:v>
      </x:c>
      <x:c r="D32" s="21" t="n">
        <x:f>'Protected Results'!F33</x:f>
        <x:v>6.348592321437056</x:v>
      </x:c>
      <x:c r="E32" s="21" t="n">
        <x:f>'Protected Results'!G33</x:f>
        <x:v>0.8830975841267907</x:v>
      </x:c>
      <x:c r="F32" s="21" t="n">
        <x:f>'Protected Results'!H33</x:f>
        <x:v>0.7907182029520958</x:v>
      </x:c>
      <x:c r="G32" s="21" t="n">
        <x:f>'Protected Results'!I33</x:f>
        <x:v>0.022746077941551257</x:v>
      </x:c>
      <x:c r="H32" s="38" t="n">
        <x:f>'Protected Results'!L33</x:f>
        <x:v>1</x:v>
      </x:c>
      <x:c r="I32" s="38" t="n">
        <x:f>'Protected Results'!N33</x:f>
        <x:v>13</x:v>
      </x:c>
      <x:c r="J32" s="21" t="n">
        <x:f>'Leverage Only Results'!F33</x:f>
        <x:v>3.1434816831091608</x:v>
      </x:c>
      <x:c r="K32" s="21" t="n">
        <x:f>'Leverage Only Results'!G33</x:f>
        <x:v>0.8198578142917101</x:v>
      </x:c>
      <x:c r="L32" s="21" t="n">
        <x:f>'Leverage Only Results'!H33</x:f>
        <x:v>0.9107812639081152</x:v>
      </x:c>
      <x:c r="M32" s="21" t="n">
        <x:f>'Leverage Only Results'!I33</x:f>
        <x:v>0</x:v>
      </x:c>
      <x:c r="N32" s="38" t="n">
        <x:f>'Leverage Only Results'!L33</x:f>
        <x:v>1</x:v>
      </x:c>
      <x:c r="O32" s="38" t="n">
        <x:f>'Leverage Only Results'!N33</x:f>
        <x:v>14</x:v>
      </x:c>
      <x:c r="P32" s="21" t="n">
        <x:f>MIN(E32,K32)</x:f>
        <x:v>0.8198578142917101</x:v>
      </x:c>
      <x:c r="Q32" s="21" t="n">
        <x:f>AVERAGE(G32,M32)</x:f>
        <x:v>0.011373038970775629</x:v>
      </x:c>
      <x:c r="R32" s="38" t="n">
        <x:f>H32+N32</x:f>
        <x:v>2</x:v>
      </x:c>
      <x:c r="S32" t="str">
        <x:f>IF(AND(P32&gt;=75%,Q32&gt;0,R32&gt;=2),"YES","")</x:f>
        <x:v>YES</x:v>
      </x:c>
      <x:c r="T32" t="str">
        <x:f>IF(AND(P32&gt;=80%,Q32&gt;=5%),"Strong cross-mode risk reducer",IF(S32="YES","Balanced candidate","Mode-specific / fragile"))</x:f>
        <x:v>Balanced candidate</x:v>
      </x:c>
    </x:row>
    <x:row r="33">
      <x:c r="A33" t="n">
        <x:v>28</x:v>
      </x:c>
      <x:c r="B33" s="39" t="str">
        <x:v>Premarket rolling shock</x:v>
      </x:c>
      <x:c r="C33" s="39" t="str">
        <x:v>Skip when the worst premarket 5-minute candle is -0.9% or worse.</x:v>
      </x:c>
      <x:c r="D33" s="21" t="n">
        <x:f>'Protected Results'!F34</x:f>
        <x:v>6.977602895052345</x:v>
      </x:c>
      <x:c r="E33" s="21" t="n">
        <x:f>'Protected Results'!G34</x:f>
        <x:v>0.9705937864068155</x:v>
      </x:c>
      <x:c r="F33" s="21" t="n">
        <x:f>'Protected Results'!H34</x:f>
        <x:v>0.7907182029520958</x:v>
      </x:c>
      <x:c r="G33" s="21" t="n">
        <x:f>'Protected Results'!I34</x:f>
        <x:v>0.022746077941551257</x:v>
      </x:c>
      <x:c r="H33" s="38" t="n">
        <x:f>'Protected Results'!L34</x:f>
        <x:v>1</x:v>
      </x:c>
      <x:c r="I33" s="38" t="n">
        <x:f>'Protected Results'!N34</x:f>
        <x:v>9</x:v>
      </x:c>
      <x:c r="J33" s="21" t="n">
        <x:f>'Leverage Only Results'!F34</x:f>
        <x:v>3.4981470313522314</x:v>
      </x:c>
      <x:c r="K33" s="21" t="n">
        <x:f>'Leverage Only Results'!G34</x:f>
        <x:v>0.9123588009454551</x:v>
      </x:c>
      <x:c r="L33" s="21" t="n">
        <x:f>'Leverage Only Results'!H34</x:f>
        <x:v>0.9107812639081152</x:v>
      </x:c>
      <x:c r="M33" s="21" t="n">
        <x:f>'Leverage Only Results'!I34</x:f>
        <x:v>0</x:v>
      </x:c>
      <x:c r="N33" s="38" t="n">
        <x:f>'Leverage Only Results'!L34</x:f>
        <x:v>1</x:v>
      </x:c>
      <x:c r="O33" s="38" t="n">
        <x:f>'Leverage Only Results'!N34</x:f>
        <x:v>10</x:v>
      </x:c>
      <x:c r="P33" s="21" t="n">
        <x:f>MIN(E33,K33)</x:f>
        <x:v>0.9123588009454551</x:v>
      </x:c>
      <x:c r="Q33" s="21" t="n">
        <x:f>AVERAGE(G33,M33)</x:f>
        <x:v>0.011373038970775629</x:v>
      </x:c>
      <x:c r="R33" s="38" t="n">
        <x:f>H33+N33</x:f>
        <x:v>2</x:v>
      </x:c>
      <x:c r="S33" t="str">
        <x:f>IF(AND(P33&gt;=75%,Q33&gt;0,R33&gt;=2),"YES","")</x:f>
        <x:v>YES</x:v>
      </x:c>
      <x:c r="T33" t="str">
        <x:f>IF(AND(P33&gt;=80%,Q33&gt;=5%),"Strong cross-mode risk reducer",IF(S33="YES","Balanced candidate","Mode-specific / fragile"))</x:f>
        <x:v>Balanced candidate</x:v>
      </x:c>
    </x:row>
    <x:row r="34">
      <x:c r="A34" t="n">
        <x:v>29</x:v>
      </x:c>
      <x:c r="B34" s="39" t="str">
        <x:v>Premarket rolling shock</x:v>
      </x:c>
      <x:c r="C34" s="39" t="str">
        <x:v>Skip when the worst premarket 5-minute candle is -1.0% or worse.</x:v>
      </x:c>
      <x:c r="D34" s="21" t="n">
        <x:f>'Protected Results'!F35</x:f>
        <x:v>7.255127727185991</x:v>
      </x:c>
      <x:c r="E34" s="21" t="n">
        <x:f>'Protected Results'!G35</x:f>
        <x:v>1.0091978574171494</x:v>
      </x:c>
      <x:c r="F34" s="21" t="n">
        <x:f>'Protected Results'!H35</x:f>
        <x:v>0.7907189886608056</x:v>
      </x:c>
      <x:c r="G34" s="21" t="n">
        <x:f>'Protected Results'!I35</x:f>
        <x:v>0.022745292232841496</x:v>
      </x:c>
      <x:c r="H34" s="38" t="n">
        <x:f>'Protected Results'!L35</x:f>
        <x:v>1</x:v>
      </x:c>
      <x:c r="I34" s="38" t="n">
        <x:f>'Protected Results'!N35</x:f>
        <x:v>6</x:v>
      </x:c>
      <x:c r="J34" s="21" t="n">
        <x:f>'Leverage Only Results'!F35</x:f>
        <x:v>3.650536667434171</x:v>
      </x:c>
      <x:c r="K34" s="21" t="n">
        <x:f>'Leverage Only Results'!G35</x:f>
        <x:v>0.9521038500832233</x:v>
      </x:c>
      <x:c r="L34" s="21" t="n">
        <x:f>'Leverage Only Results'!H35</x:f>
        <x:v>0.9107812639081152</x:v>
      </x:c>
      <x:c r="M34" s="21" t="n">
        <x:f>'Leverage Only Results'!I35</x:f>
        <x:v>0</x:v>
      </x:c>
      <x:c r="N34" s="38" t="n">
        <x:f>'Leverage Only Results'!L35</x:f>
        <x:v>1</x:v>
      </x:c>
      <x:c r="O34" s="38" t="n">
        <x:f>'Leverage Only Results'!N35</x:f>
        <x:v>7</x:v>
      </x:c>
      <x:c r="P34" s="21" t="n">
        <x:f>MIN(E34,K34)</x:f>
        <x:v>0.9521038500832233</x:v>
      </x:c>
      <x:c r="Q34" s="21" t="n">
        <x:f>AVERAGE(G34,M34)</x:f>
        <x:v>0.011372646116420748</x:v>
      </x:c>
      <x:c r="R34" s="38" t="n">
        <x:f>H34+N34</x:f>
        <x:v>2</x:v>
      </x:c>
      <x:c r="S34" t="str">
        <x:f>IF(AND(P34&gt;=75%,Q34&gt;0,R34&gt;=2),"YES","")</x:f>
        <x:v>YES</x:v>
      </x:c>
      <x:c r="T34" t="str">
        <x:f>IF(AND(P34&gt;=80%,Q34&gt;=5%),"Strong cross-mode risk reducer",IF(S34="YES","Balanced candidate","Mode-specific / fragile"))</x:f>
        <x:v>Balanced candidate</x:v>
      </x:c>
    </x:row>
    <x:row r="35">
      <x:c r="A35" t="n">
        <x:v>30</x:v>
      </x:c>
      <x:c r="B35" s="39" t="str">
        <x:v>Premarket rolling shock</x:v>
      </x:c>
      <x:c r="C35" s="39" t="str">
        <x:v>Skip when the worst premarket 5-minute candle is -1.1% or worse.</x:v>
      </x:c>
      <x:c r="D35" s="21" t="n">
        <x:f>'Protected Results'!F36</x:f>
        <x:v>7.255127727185991</x:v>
      </x:c>
      <x:c r="E35" s="21" t="n">
        <x:f>'Protected Results'!G36</x:f>
        <x:v>1.0091978574171494</x:v>
      </x:c>
      <x:c r="F35" s="21" t="n">
        <x:f>'Protected Results'!H36</x:f>
        <x:v>0.7907189886608056</x:v>
      </x:c>
      <x:c r="G35" s="21" t="n">
        <x:f>'Protected Results'!I36</x:f>
        <x:v>0.022745292232841496</x:v>
      </x:c>
      <x:c r="H35" s="38" t="n">
        <x:f>'Protected Results'!L36</x:f>
        <x:v>1</x:v>
      </x:c>
      <x:c r="I35" s="38" t="n">
        <x:f>'Protected Results'!N36</x:f>
        <x:v>6</x:v>
      </x:c>
      <x:c r="J35" s="21" t="n">
        <x:f>'Leverage Only Results'!F36</x:f>
        <x:v>3.650536667434171</x:v>
      </x:c>
      <x:c r="K35" s="21" t="n">
        <x:f>'Leverage Only Results'!G36</x:f>
        <x:v>0.9521038500832233</x:v>
      </x:c>
      <x:c r="L35" s="21" t="n">
        <x:f>'Leverage Only Results'!H36</x:f>
        <x:v>0.9107812639081152</x:v>
      </x:c>
      <x:c r="M35" s="21" t="n">
        <x:f>'Leverage Only Results'!I36</x:f>
        <x:v>0</x:v>
      </x:c>
      <x:c r="N35" s="38" t="n">
        <x:f>'Leverage Only Results'!L36</x:f>
        <x:v>1</x:v>
      </x:c>
      <x:c r="O35" s="38" t="n">
        <x:f>'Leverage Only Results'!N36</x:f>
        <x:v>7</x:v>
      </x:c>
      <x:c r="P35" s="21" t="n">
        <x:f>MIN(E35,K35)</x:f>
        <x:v>0.9521038500832233</x:v>
      </x:c>
      <x:c r="Q35" s="21" t="n">
        <x:f>AVERAGE(G35,M35)</x:f>
        <x:v>0.011372646116420748</x:v>
      </x:c>
      <x:c r="R35" s="38" t="n">
        <x:f>H35+N35</x:f>
        <x:v>2</x:v>
      </x:c>
      <x:c r="S35" t="str">
        <x:f>IF(AND(P35&gt;=75%,Q35&gt;0,R35&gt;=2),"YES","")</x:f>
        <x:v>YES</x:v>
      </x:c>
      <x:c r="T35" t="str">
        <x:f>IF(AND(P35&gt;=80%,Q35&gt;=5%),"Strong cross-mode risk reducer",IF(S35="YES","Balanced candidate","Mode-specific / fragile"))</x:f>
        <x:v>Balanced candidate</x:v>
      </x:c>
    </x:row>
    <x:row r="36">
      <x:c r="A36" t="n">
        <x:v>31</x:v>
      </x:c>
      <x:c r="B36" s="39" t="str">
        <x:v>Premarket rolling shock</x:v>
      </x:c>
      <x:c r="C36" s="39" t="str">
        <x:v>Skip when the worst premarket 15-minute candle is -0.2% or worse.</x:v>
      </x:c>
      <x:c r="D36" s="21" t="n">
        <x:f>'Protected Results'!F37</x:f>
        <x:v>0.675745518931276</x:v>
      </x:c>
      <x:c r="E36" s="21" t="n">
        <x:f>'Protected Results'!G37</x:f>
        <x:v>0.09399709495248157</x:v>
      </x:c>
      <x:c r="F36" s="21" t="n">
        <x:f>'Protected Results'!H37</x:f>
        <x:v>0.5876756718626062</x:v>
      </x:c>
      <x:c r="G36" s="21" t="n">
        <x:f>'Protected Results'!I37</x:f>
        <x:v>0.22578860903104092</x:v>
      </x:c>
      <x:c r="H36" s="38" t="n">
        <x:f>'Protected Results'!L37</x:f>
        <x:v>15</x:v>
      </x:c>
      <x:c r="I36" s="38" t="n">
        <x:f>'Protected Results'!N37</x:f>
        <x:v>271</x:v>
      </x:c>
      <x:c r="J36" s="21" t="n">
        <x:f>'Leverage Only Results'!F37</x:f>
        <x:v>0.6183329636296289</x:v>
      </x:c>
      <x:c r="K36" s="21" t="n">
        <x:f>'Leverage Only Results'!G37</x:f>
        <x:v>0.16126867059218644</x:v>
      </x:c>
      <x:c r="L36" s="21" t="n">
        <x:f>'Leverage Only Results'!H37</x:f>
        <x:v>0.5876052570986994</x:v>
      </x:c>
      <x:c r="M36" s="21" t="n">
        <x:f>'Leverage Only Results'!I37</x:f>
        <x:v>0.32317600680941583</x:v>
      </x:c>
      <x:c r="N36" s="38" t="n">
        <x:f>'Leverage Only Results'!L37</x:f>
        <x:v>18</x:v>
      </x:c>
      <x:c r="O36" s="38" t="n">
        <x:f>'Leverage Only Results'!N37</x:f>
        <x:v>326</x:v>
      </x:c>
      <x:c r="P36" s="21" t="n">
        <x:f>MIN(E36,K36)</x:f>
        <x:v>0.09399709495248157</x:v>
      </x:c>
      <x:c r="Q36" s="21" t="n">
        <x:f>AVERAGE(G36,M36)</x:f>
        <x:v>0.2744823079202284</x:v>
      </x:c>
      <x:c r="R36" s="38" t="n">
        <x:f>H36+N36</x:f>
        <x:v>33</x:v>
      </x:c>
      <x:c r="S36" t="str">
        <x:f>IF(AND(P36&gt;=75%,Q36&gt;0,R36&gt;=2),"YES","")</x:f>
      </x:c>
      <x:c r="T36" t="str">
        <x:f>IF(AND(P36&gt;=80%,Q36&gt;=5%),"Strong cross-mode risk reducer",IF(S36="YES","Balanced candidate","Mode-specific / fragile"))</x:f>
        <x:v>Mode-specific / fragile</x:v>
      </x:c>
    </x:row>
    <x:row r="37">
      <x:c r="A37" t="n">
        <x:v>32</x:v>
      </x:c>
      <x:c r="B37" s="39" t="str">
        <x:v>Premarket rolling shock</x:v>
      </x:c>
      <x:c r="C37" s="39" t="str">
        <x:v>Skip when the worst premarket 15-minute candle is -0.3% or worse.</x:v>
      </x:c>
      <x:c r="D37" s="21" t="n">
        <x:f>'Protected Results'!F38</x:f>
        <x:v>0.7999724468434255</x:v>
      </x:c>
      <x:c r="E37" s="21" t="n">
        <x:f>'Protected Results'!G38</x:f>
        <x:v>0.11127722484084708</x:v>
      </x:c>
      <x:c r="F37" s="21" t="n">
        <x:f>'Protected Results'!H38</x:f>
        <x:v>0.8049715004670492</x:v>
      </x:c>
      <x:c r="G37" s="21" t="n">
        <x:f>'Protected Results'!I38</x:f>
        <x:v>0.008492780426597846</x:v>
      </x:c>
      <x:c r="H37" s="38" t="n">
        <x:f>'Protected Results'!L38</x:f>
        <x:v>10</x:v>
      </x:c>
      <x:c r="I37" s="38" t="n">
        <x:f>'Protected Results'!N38</x:f>
        <x:v>169</x:v>
      </x:c>
      <x:c r="J37" s="21" t="n">
        <x:f>'Leverage Only Results'!F38</x:f>
        <x:v>0.5330793473951811</x:v>
      </x:c>
      <x:c r="K37" s="21" t="n">
        <x:f>'Leverage Only Results'!G38</x:f>
        <x:v>0.13903350254841854</x:v>
      </x:c>
      <x:c r="L37" s="21" t="n">
        <x:f>'Leverage Only Results'!H38</x:f>
        <x:v>0.8309068966753386</x:v>
      </x:c>
      <x:c r="M37" s="21" t="n">
        <x:f>'Leverage Only Results'!I38</x:f>
        <x:v>0.07987436723277663</x:v>
      </x:c>
      <x:c r="N37" s="38" t="n">
        <x:f>'Leverage Only Results'!L38</x:f>
        <x:v>14</x:v>
      </x:c>
      <x:c r="O37" s="38" t="n">
        <x:f>'Leverage Only Results'!N38</x:f>
        <x:v>216</x:v>
      </x:c>
      <x:c r="P37" s="21" t="n">
        <x:f>MIN(E37,K37)</x:f>
        <x:v>0.11127722484084708</x:v>
      </x:c>
      <x:c r="Q37" s="21" t="n">
        <x:f>AVERAGE(G37,M37)</x:f>
        <x:v>0.04418357382968724</x:v>
      </x:c>
      <x:c r="R37" s="38" t="n">
        <x:f>H37+N37</x:f>
        <x:v>24</x:v>
      </x:c>
      <x:c r="S37" t="str">
        <x:f>IF(AND(P37&gt;=75%,Q37&gt;0,R37&gt;=2),"YES","")</x:f>
      </x:c>
      <x:c r="T37" t="str">
        <x:f>IF(AND(P37&gt;=80%,Q37&gt;=5%),"Strong cross-mode risk reducer",IF(S37="YES","Balanced candidate","Mode-specific / fragile"))</x:f>
        <x:v>Mode-specific / fragile</x:v>
      </x:c>
    </x:row>
    <x:row r="38">
      <x:c r="A38" t="n">
        <x:v>33</x:v>
      </x:c>
      <x:c r="B38" s="39" t="str">
        <x:v>Premarket rolling shock</x:v>
      </x:c>
      <x:c r="C38" s="39" t="str">
        <x:v>Skip when the worst premarket 15-minute candle is -0.4% or worse.</x:v>
      </x:c>
      <x:c r="D38" s="21" t="n">
        <x:f>'Protected Results'!F39</x:f>
        <x:v>2.6867557104081072</x:v>
      </x:c>
      <x:c r="E38" s="21" t="n">
        <x:f>'Protected Results'!G39</x:f>
        <x:v>0.37373127094467234</x:v>
      </x:c>
      <x:c r="F38" s="21" t="n">
        <x:f>'Protected Results'!H39</x:f>
        <x:v>0.6074539897570164</x:v>
      </x:c>
      <x:c r="G38" s="21" t="n">
        <x:f>'Protected Results'!I39</x:f>
        <x:v>0.20601029113663072</x:v>
      </x:c>
      <x:c r="H38" s="38" t="n">
        <x:f>'Protected Results'!L39</x:f>
        <x:v>8</x:v>
      </x:c>
      <x:c r="I38" s="38" t="n">
        <x:f>'Protected Results'!N39</x:f>
        <x:v>108</x:v>
      </x:c>
      <x:c r="J38" s="21" t="n">
        <x:f>'Leverage Only Results'!F39</x:f>
        <x:v>1.4001692721133603</x:v>
      </x:c>
      <x:c r="K38" s="21" t="n">
        <x:f>'Leverage Only Results'!G39</x:f>
        <x:v>0.3651809791803424</x:v>
      </x:c>
      <x:c r="L38" s="21" t="n">
        <x:f>'Leverage Only Results'!H39</x:f>
        <x:v>0.8606344872778967</x:v>
      </x:c>
      <x:c r="M38" s="21" t="n">
        <x:f>'Leverage Only Results'!I39</x:f>
        <x:v>0.05014677663021849</x:v>
      </x:c>
      <x:c r="N38" s="38" t="n">
        <x:f>'Leverage Only Results'!L39</x:f>
        <x:v>7</x:v>
      </x:c>
      <x:c r="O38" s="38" t="n">
        <x:f>'Leverage Only Results'!N39</x:f>
        <x:v>136</x:v>
      </x:c>
      <x:c r="P38" s="21" t="n">
        <x:f>MIN(E38,K38)</x:f>
        <x:v>0.3651809791803424</x:v>
      </x:c>
      <x:c r="Q38" s="21" t="n">
        <x:f>AVERAGE(G38,M38)</x:f>
        <x:v>0.1280785338834246</x:v>
      </x:c>
      <x:c r="R38" s="38" t="n">
        <x:f>H38+N38</x:f>
        <x:v>15</x:v>
      </x:c>
      <x:c r="S38" t="str">
        <x:f>IF(AND(P38&gt;=75%,Q38&gt;0,R38&gt;=2),"YES","")</x:f>
      </x:c>
      <x:c r="T38" t="str">
        <x:f>IF(AND(P38&gt;=80%,Q38&gt;=5%),"Strong cross-mode risk reducer",IF(S38="YES","Balanced candidate","Mode-specific / fragile"))</x:f>
        <x:v>Mode-specific / fragile</x:v>
      </x:c>
    </x:row>
    <x:row r="39">
      <x:c r="A39" t="n">
        <x:v>34</x:v>
      </x:c>
      <x:c r="B39" s="39" t="str">
        <x:v>Premarket rolling shock</x:v>
      </x:c>
      <x:c r="C39" s="39" t="str">
        <x:v>Skip when the worst premarket 15-minute candle is -0.5% or worse.</x:v>
      </x:c>
      <x:c r="D39" s="21" t="n">
        <x:f>'Protected Results'!F40</x:f>
        <x:v>2.3109962035969276</x:v>
      </x:c>
      <x:c r="E39" s="21" t="n">
        <x:f>'Protected Results'!G40</x:f>
        <x:v>0.3214626268301115</x:v>
      </x:c>
      <x:c r="F39" s="21" t="n">
        <x:f>'Protected Results'!H40</x:f>
        <x:v>0.758227877094311</x:v>
      </x:c>
      <x:c r="G39" s="21" t="n">
        <x:f>'Protected Results'!I40</x:f>
        <x:v>0.05523640379933603</x:v>
      </x:c>
      <x:c r="H39" s="38" t="n">
        <x:f>'Protected Results'!L40</x:f>
        <x:v>2</x:v>
      </x:c>
      <x:c r="I39" s="38" t="n">
        <x:f>'Protected Results'!N40</x:f>
        <x:v>70</x:v>
      </x:c>
      <x:c r="J39" s="21" t="n">
        <x:f>'Leverage Only Results'!F40</x:f>
        <x:v>1.0802824153745703</x:v>
      </x:c>
      <x:c r="K39" s="21" t="n">
        <x:f>'Leverage Only Results'!G40</x:f>
        <x:v>0.28175064122236476</x:v>
      </x:c>
      <x:c r="L39" s="21" t="n">
        <x:f>'Leverage Only Results'!H40</x:f>
        <x:v>0.9070595928314227</x:v>
      </x:c>
      <x:c r="M39" s="21" t="n">
        <x:f>'Leverage Only Results'!I40</x:f>
        <x:v>0.003721671076692523</x:v>
      </x:c>
      <x:c r="N39" s="38" t="n">
        <x:f>'Leverage Only Results'!L40</x:f>
        <x:v>3</x:v>
      </x:c>
      <x:c r="O39" s="38" t="n">
        <x:f>'Leverage Only Results'!N40</x:f>
        <x:v>93</x:v>
      </x:c>
      <x:c r="P39" s="21" t="n">
        <x:f>MIN(E39,K39)</x:f>
        <x:v>0.28175064122236476</x:v>
      </x:c>
      <x:c r="Q39" s="21" t="n">
        <x:f>AVERAGE(G39,M39)</x:f>
        <x:v>0.029479037438014277</x:v>
      </x:c>
      <x:c r="R39" s="38" t="n">
        <x:f>H39+N39</x:f>
        <x:v>5</x:v>
      </x:c>
      <x:c r="S39" t="str">
        <x:f>IF(AND(P39&gt;=75%,Q39&gt;0,R39&gt;=2),"YES","")</x:f>
      </x:c>
      <x:c r="T39" t="str">
        <x:f>IF(AND(P39&gt;=80%,Q39&gt;=5%),"Strong cross-mode risk reducer",IF(S39="YES","Balanced candidate","Mode-specific / fragile"))</x:f>
        <x:v>Mode-specific / fragile</x:v>
      </x:c>
    </x:row>
    <x:row r="40">
      <x:c r="A40" t="n">
        <x:v>35</x:v>
      </x:c>
      <x:c r="B40" s="39" t="str">
        <x:v>Premarket rolling shock</x:v>
      </x:c>
      <x:c r="C40" s="39" t="str">
        <x:v>Skip when the worst premarket 15-minute candle is -0.6% or worse.</x:v>
      </x:c>
      <x:c r="D40" s="21" t="n">
        <x:f>'Protected Results'!F41</x:f>
        <x:v>2.9841378502541014</x:v>
      </x:c>
      <x:c r="E40" s="21" t="n">
        <x:f>'Protected Results'!G41</x:f>
        <x:v>0.4150975197072023</x:v>
      </x:c>
      <x:c r="F40" s="21" t="n">
        <x:f>'Protected Results'!H41</x:f>
        <x:v>0.8016934703589635</x:v>
      </x:c>
      <x:c r="G40" s="21" t="n">
        <x:f>'Protected Results'!I41</x:f>
        <x:v>0.01177081053468354</x:v>
      </x:c>
      <x:c r="H40" s="38" t="n">
        <x:f>'Protected Results'!L41</x:f>
        <x:v>1</x:v>
      </x:c>
      <x:c r="I40" s="38" t="n">
        <x:f>'Protected Results'!N41</x:f>
        <x:v>45</x:v>
      </x:c>
      <x:c r="J40" s="21" t="n">
        <x:f>'Leverage Only Results'!F41</x:f>
        <x:v>1.4098021757006194</x:v>
      </x:c>
      <x:c r="K40" s="21" t="n">
        <x:f>'Leverage Only Results'!G41</x:f>
        <x:v>0.36769335624389243</x:v>
      </x:c>
      <x:c r="L40" s="21" t="n">
        <x:f>'Leverage Only Results'!H41</x:f>
        <x:v>0.9107812639081152</x:v>
      </x:c>
      <x:c r="M40" s="21" t="n">
        <x:f>'Leverage Only Results'!I41</x:f>
        <x:v>0</x:v>
      </x:c>
      <x:c r="N40" s="38" t="n">
        <x:f>'Leverage Only Results'!L41</x:f>
        <x:v>2</x:v>
      </x:c>
      <x:c r="O40" s="38" t="n">
        <x:f>'Leverage Only Results'!N41</x:f>
        <x:v>62</x:v>
      </x:c>
      <x:c r="P40" s="21" t="n">
        <x:f>MIN(E40,K40)</x:f>
        <x:v>0.36769335624389243</x:v>
      </x:c>
      <x:c r="Q40" s="21" t="n">
        <x:f>AVERAGE(G40,M40)</x:f>
        <x:v>0.00588540526734177</x:v>
      </x:c>
      <x:c r="R40" s="38" t="n">
        <x:f>H40+N40</x:f>
        <x:v>3</x:v>
      </x:c>
      <x:c r="S40" t="str">
        <x:f>IF(AND(P40&gt;=75%,Q40&gt;0,R40&gt;=2),"YES","")</x:f>
      </x:c>
      <x:c r="T40" t="str">
        <x:f>IF(AND(P40&gt;=80%,Q40&gt;=5%),"Strong cross-mode risk reducer",IF(S40="YES","Balanced candidate","Mode-specific / fragile"))</x:f>
        <x:v>Mode-specific / fragile</x:v>
      </x:c>
    </x:row>
    <x:row r="41">
      <x:c r="A41" t="n">
        <x:v>36</x:v>
      </x:c>
      <x:c r="B41" s="39" t="str">
        <x:v>Premarket rolling shock</x:v>
      </x:c>
      <x:c r="C41" s="39" t="str">
        <x:v>Skip when the worst premarket 15-minute candle is -0.7% or worse.</x:v>
      </x:c>
      <x:c r="D41" s="21" t="n">
        <x:f>'Protected Results'!F42</x:f>
        <x:v>3.8801262399788605</x:v>
      </x:c>
      <x:c r="E41" s="21" t="n">
        <x:f>'Protected Results'!G42</x:f>
        <x:v>0.5397306891264797</x:v>
      </x:c>
      <x:c r="F41" s="21" t="n">
        <x:f>'Protected Results'!H42</x:f>
        <x:v>0.8017878985375819</x:v>
      </x:c>
      <x:c r="G41" s="21" t="n">
        <x:f>'Protected Results'!I42</x:f>
        <x:v>0.011676382356065163</x:v>
      </x:c>
      <x:c r="H41" s="38" t="n">
        <x:f>'Protected Results'!L42</x:f>
        <x:v>1</x:v>
      </x:c>
      <x:c r="I41" s="38" t="n">
        <x:f>'Protected Results'!N42</x:f>
        <x:v>32</x:v>
      </x:c>
      <x:c r="J41" s="21" t="n">
        <x:f>'Leverage Only Results'!F42</x:f>
        <x:v>1.8563936884876937</x:v>
      </x:c>
      <x:c r="K41" s="21" t="n">
        <x:f>'Leverage Only Results'!G42</x:f>
        <x:v>0.4841697917587624</x:v>
      </x:c>
      <x:c r="L41" s="21" t="n">
        <x:f>'Leverage Only Results'!H42</x:f>
        <x:v>0.9107812639081152</x:v>
      </x:c>
      <x:c r="M41" s="21" t="n">
        <x:f>'Leverage Only Results'!I42</x:f>
        <x:v>0</x:v>
      </x:c>
      <x:c r="N41" s="38" t="n">
        <x:f>'Leverage Only Results'!L42</x:f>
        <x:v>2</x:v>
      </x:c>
      <x:c r="O41" s="38" t="n">
        <x:f>'Leverage Only Results'!N42</x:f>
        <x:v>44</x:v>
      </x:c>
      <x:c r="P41" s="21" t="n">
        <x:f>MIN(E41,K41)</x:f>
        <x:v>0.4841697917587624</x:v>
      </x:c>
      <x:c r="Q41" s="21" t="n">
        <x:f>AVERAGE(G41,M41)</x:f>
        <x:v>0.005838191178032581</x:v>
      </x:c>
      <x:c r="R41" s="38" t="n">
        <x:f>H41+N41</x:f>
        <x:v>3</x:v>
      </x:c>
      <x:c r="S41" t="str">
        <x:f>IF(AND(P41&gt;=75%,Q41&gt;0,R41&gt;=2),"YES","")</x:f>
      </x:c>
      <x:c r="T41" t="str">
        <x:f>IF(AND(P41&gt;=80%,Q41&gt;=5%),"Strong cross-mode risk reducer",IF(S41="YES","Balanced candidate","Mode-specific / fragile"))</x:f>
        <x:v>Mode-specific / fragile</x:v>
      </x:c>
    </x:row>
    <x:row r="42">
      <x:c r="A42" t="n">
        <x:v>37</x:v>
      </x:c>
      <x:c r="B42" s="39" t="str">
        <x:v>Premarket rolling shock</x:v>
      </x:c>
      <x:c r="C42" s="39" t="str">
        <x:v>Skip when the worst premarket 15-minute candle is -0.8% or worse.</x:v>
      </x:c>
      <x:c r="D42" s="21" t="n">
        <x:f>'Protected Results'!F43</x:f>
        <x:v>4.6890824616340705</x:v>
      </x:c>
      <x:c r="E42" s="21" t="n">
        <x:f>'Protected Results'!G43</x:f>
        <x:v>0.6522575689193131</x:v>
      </x:c>
      <x:c r="F42" s="21" t="n">
        <x:f>'Protected Results'!H43</x:f>
        <x:v>0.7906984396181927</x:v>
      </x:c>
      <x:c r="G42" s="21" t="n">
        <x:f>'Protected Results'!I43</x:f>
        <x:v>0.022765841275454335</x:v>
      </x:c>
      <x:c r="H42" s="38" t="n">
        <x:f>'Protected Results'!L43</x:f>
        <x:v>1</x:v>
      </x:c>
      <x:c r="I42" s="38" t="n">
        <x:f>'Protected Results'!N43</x:f>
        <x:v>21</x:v>
      </x:c>
      <x:c r="J42" s="21" t="n">
        <x:f>'Leverage Only Results'!F43</x:f>
        <x:v>2.2109180539944093</x:v>
      </x:c>
      <x:c r="K42" s="21" t="n">
        <x:f>'Leverage Only Results'!G43</x:f>
        <x:v>0.5766340084199536</x:v>
      </x:c>
      <x:c r="L42" s="21" t="n">
        <x:f>'Leverage Only Results'!H43</x:f>
        <x:v>0.9107812639081152</x:v>
      </x:c>
      <x:c r="M42" s="21" t="n">
        <x:f>'Leverage Only Results'!I43</x:f>
        <x:v>0</x:v>
      </x:c>
      <x:c r="N42" s="38" t="n">
        <x:f>'Leverage Only Results'!L43</x:f>
        <x:v>1</x:v>
      </x:c>
      <x:c r="O42" s="38" t="n">
        <x:f>'Leverage Only Results'!N43</x:f>
        <x:v>27</x:v>
      </x:c>
      <x:c r="P42" s="21" t="n">
        <x:f>MIN(E42,K42)</x:f>
        <x:v>0.5766340084199536</x:v>
      </x:c>
      <x:c r="Q42" s="21" t="n">
        <x:f>AVERAGE(G42,M42)</x:f>
        <x:v>0.011382920637727167</x:v>
      </x:c>
      <x:c r="R42" s="38" t="n">
        <x:f>H42+N42</x:f>
        <x:v>2</x:v>
      </x:c>
      <x:c r="S42" t="str">
        <x:f>IF(AND(P42&gt;=75%,Q42&gt;0,R42&gt;=2),"YES","")</x:f>
      </x:c>
      <x:c r="T42" t="str">
        <x:f>IF(AND(P42&gt;=80%,Q42&gt;=5%),"Strong cross-mode risk reducer",IF(S42="YES","Balanced candidate","Mode-specific / fragile"))</x:f>
        <x:v>Mode-specific / fragile</x:v>
      </x:c>
    </x:row>
    <x:row r="43">
      <x:c r="A43" t="n">
        <x:v>38</x:v>
      </x:c>
      <x:c r="B43" s="39" t="str">
        <x:v>Premarket rolling shock</x:v>
      </x:c>
      <x:c r="C43" s="39" t="str">
        <x:v>Skip when the worst premarket 15-minute candle is -0.9% or worse.</x:v>
      </x:c>
      <x:c r="D43" s="21" t="n">
        <x:f>'Protected Results'!F44</x:f>
        <x:v>5.8412994171408155</x:v>
      </x:c>
      <x:c r="E43" s="21" t="n">
        <x:f>'Protected Results'!G44</x:f>
        <x:v>0.812532470547838</x:v>
      </x:c>
      <x:c r="F43" s="21" t="n">
        <x:f>'Protected Results'!H44</x:f>
        <x:v>0.7907177482230545</x:v>
      </x:c>
      <x:c r="G43" s="21" t="n">
        <x:f>'Protected Results'!I44</x:f>
        <x:v>0.022746532670592567</x:v>
      </x:c>
      <x:c r="H43" s="38" t="n">
        <x:f>'Protected Results'!L44</x:f>
        <x:v>1</x:v>
      </x:c>
      <x:c r="I43" s="38" t="n">
        <x:f>'Protected Results'!N44</x:f>
        <x:v>14</x:v>
      </x:c>
      <x:c r="J43" s="21" t="n">
        <x:f>'Leverage Only Results'!F44</x:f>
        <x:v>2.766268503807523</x:v>
      </x:c>
      <x:c r="K43" s="21" t="n">
        <x:f>'Leverage Only Results'!G44</x:f>
        <x:v>0.7214760822249964</x:v>
      </x:c>
      <x:c r="L43" s="21" t="n">
        <x:f>'Leverage Only Results'!H44</x:f>
        <x:v>0.9107812639081152</x:v>
      </x:c>
      <x:c r="M43" s="21" t="n">
        <x:f>'Leverage Only Results'!I44</x:f>
        <x:v>0</x:v>
      </x:c>
      <x:c r="N43" s="38" t="n">
        <x:f>'Leverage Only Results'!L44</x:f>
        <x:v>1</x:v>
      </x:c>
      <x:c r="O43" s="38" t="n">
        <x:f>'Leverage Only Results'!N44</x:f>
        <x:v>18</x:v>
      </x:c>
      <x:c r="P43" s="21" t="n">
        <x:f>MIN(E43,K43)</x:f>
        <x:v>0.7214760822249964</x:v>
      </x:c>
      <x:c r="Q43" s="21" t="n">
        <x:f>AVERAGE(G43,M43)</x:f>
        <x:v>0.011373266335296284</x:v>
      </x:c>
      <x:c r="R43" s="38" t="n">
        <x:f>H43+N43</x:f>
        <x:v>2</x:v>
      </x:c>
      <x:c r="S43" t="str">
        <x:f>IF(AND(P43&gt;=75%,Q43&gt;0,R43&gt;=2),"YES","")</x:f>
      </x:c>
      <x:c r="T43" t="str">
        <x:f>IF(AND(P43&gt;=80%,Q43&gt;=5%),"Strong cross-mode risk reducer",IF(S43="YES","Balanced candidate","Mode-specific / fragile"))</x:f>
        <x:v>Mode-specific / fragile</x:v>
      </x:c>
    </x:row>
    <x:row r="44">
      <x:c r="A44" t="n">
        <x:v>39</x:v>
      </x:c>
      <x:c r="B44" s="39" t="str">
        <x:v>Premarket rolling shock</x:v>
      </x:c>
      <x:c r="C44" s="39" t="str">
        <x:v>Skip when the worst premarket 15-minute candle is -1.0% or worse.</x:v>
      </x:c>
      <x:c r="D44" s="21" t="n">
        <x:f>'Protected Results'!F45</x:f>
        <x:v>6.844708238756872</x:v>
      </x:c>
      <x:c r="E44" s="21" t="n">
        <x:f>'Protected Results'!G45</x:f>
        <x:v>0.9521079640424449</x:v>
      </x:c>
      <x:c r="F44" s="21" t="n">
        <x:f>'Protected Results'!H45</x:f>
        <x:v>0.7907189886608056</x:v>
      </x:c>
      <x:c r="G44" s="21" t="n">
        <x:f>'Protected Results'!I45</x:f>
        <x:v>0.022745292232841496</x:v>
      </x:c>
      <x:c r="H44" s="38" t="n">
        <x:f>'Protected Results'!L45</x:f>
        <x:v>1</x:v>
      </x:c>
      <x:c r="I44" s="38" t="n">
        <x:f>'Protected Results'!N45</x:f>
        <x:v>9</x:v>
      </x:c>
      <x:c r="J44" s="21" t="n">
        <x:f>'Leverage Only Results'!F45</x:f>
        <x:v>3.267443468563357</x:v>
      </x:c>
      <x:c r="K44" s="21" t="n">
        <x:f>'Leverage Only Results'!G45</x:f>
        <x:v>0.8521885382225249</x:v>
      </x:c>
      <x:c r="L44" s="21" t="n">
        <x:f>'Leverage Only Results'!H45</x:f>
        <x:v>0.9107812639081152</x:v>
      </x:c>
      <x:c r="M44" s="21" t="n">
        <x:f>'Leverage Only Results'!I45</x:f>
        <x:v>0</x:v>
      </x:c>
      <x:c r="N44" s="38" t="n">
        <x:f>'Leverage Only Results'!L45</x:f>
        <x:v>1</x:v>
      </x:c>
      <x:c r="O44" s="38" t="n">
        <x:f>'Leverage Only Results'!N45</x:f>
        <x:v>11</x:v>
      </x:c>
      <x:c r="P44" s="21" t="n">
        <x:f>MIN(E44,K44)</x:f>
        <x:v>0.8521885382225249</x:v>
      </x:c>
      <x:c r="Q44" s="21" t="n">
        <x:f>AVERAGE(G44,M44)</x:f>
        <x:v>0.011372646116420748</x:v>
      </x:c>
      <x:c r="R44" s="38" t="n">
        <x:f>H44+N44</x:f>
        <x:v>2</x:v>
      </x:c>
      <x:c r="S44" t="str">
        <x:f>IF(AND(P44&gt;=75%,Q44&gt;0,R44&gt;=2),"YES","")</x:f>
        <x:v>YES</x:v>
      </x:c>
      <x:c r="T44" t="str">
        <x:f>IF(AND(P44&gt;=80%,Q44&gt;=5%),"Strong cross-mode risk reducer",IF(S44="YES","Balanced candidate","Mode-specific / fragile"))</x:f>
        <x:v>Balanced candidate</x:v>
      </x:c>
    </x:row>
    <x:row r="45">
      <x:c r="A45" t="n">
        <x:v>40</x:v>
      </x:c>
      <x:c r="B45" s="39" t="str">
        <x:v>Premarket rolling shock</x:v>
      </x:c>
      <x:c r="C45" s="39" t="str">
        <x:v>Skip when the worst premarket 15-minute candle is -1.1% or worse.</x:v>
      </x:c>
      <x:c r="D45" s="21" t="n">
        <x:f>'Protected Results'!F46</x:f>
        <x:v>6.844708238756872</x:v>
      </x:c>
      <x:c r="E45" s="21" t="n">
        <x:f>'Protected Results'!G46</x:f>
        <x:v>0.9521079640424449</x:v>
      </x:c>
      <x:c r="F45" s="21" t="n">
        <x:f>'Protected Results'!H46</x:f>
        <x:v>0.7907189886608056</x:v>
      </x:c>
      <x:c r="G45" s="21" t="n">
        <x:f>'Protected Results'!I46</x:f>
        <x:v>0.022745292232841496</x:v>
      </x:c>
      <x:c r="H45" s="38" t="n">
        <x:f>'Protected Results'!L46</x:f>
        <x:v>1</x:v>
      </x:c>
      <x:c r="I45" s="38" t="n">
        <x:f>'Protected Results'!N46</x:f>
        <x:v>9</x:v>
      </x:c>
      <x:c r="J45" s="21" t="n">
        <x:f>'Leverage Only Results'!F46</x:f>
        <x:v>3.267443468563357</x:v>
      </x:c>
      <x:c r="K45" s="21" t="n">
        <x:f>'Leverage Only Results'!G46</x:f>
        <x:v>0.8521885382225249</x:v>
      </x:c>
      <x:c r="L45" s="21" t="n">
        <x:f>'Leverage Only Results'!H46</x:f>
        <x:v>0.9107812639081152</x:v>
      </x:c>
      <x:c r="M45" s="21" t="n">
        <x:f>'Leverage Only Results'!I46</x:f>
        <x:v>0</x:v>
      </x:c>
      <x:c r="N45" s="38" t="n">
        <x:f>'Leverage Only Results'!L46</x:f>
        <x:v>1</x:v>
      </x:c>
      <x:c r="O45" s="38" t="n">
        <x:f>'Leverage Only Results'!N46</x:f>
        <x:v>11</x:v>
      </x:c>
      <x:c r="P45" s="21" t="n">
        <x:f>MIN(E45,K45)</x:f>
        <x:v>0.8521885382225249</x:v>
      </x:c>
      <x:c r="Q45" s="21" t="n">
        <x:f>AVERAGE(G45,M45)</x:f>
        <x:v>0.011372646116420748</x:v>
      </x:c>
      <x:c r="R45" s="38" t="n">
        <x:f>H45+N45</x:f>
        <x:v>2</x:v>
      </x:c>
      <x:c r="S45" t="str">
        <x:f>IF(AND(P45&gt;=75%,Q45&gt;0,R45&gt;=2),"YES","")</x:f>
        <x:v>YES</x:v>
      </x:c>
      <x:c r="T45" t="str">
        <x:f>IF(AND(P45&gt;=80%,Q45&gt;=5%),"Strong cross-mode risk reducer",IF(S45="YES","Balanced candidate","Mode-specific / fragile"))</x:f>
        <x:v>Balanced candidate</x:v>
      </x:c>
    </x:row>
    <x:row r="46">
      <x:c r="A46" t="n">
        <x:v>41</x:v>
      </x:c>
      <x:c r="B46" s="39" t="str">
        <x:v>Premarket rolling shock</x:v>
      </x:c>
      <x:c r="C46" s="39" t="str">
        <x:v>Skip when the worst premarket 30-minute candle is -0.2% or worse.</x:v>
      </x:c>
      <x:c r="D46" s="21" t="n">
        <x:f>'Protected Results'!F47</x:f>
        <x:v>0.5213996719544594</x:v>
      </x:c>
      <x:c r="E46" s="21" t="n">
        <x:f>'Protected Results'!G47</x:f>
        <x:v>0.07252738360797097</x:v>
      </x:c>
      <x:c r="F46" s="21" t="n">
        <x:f>'Protected Results'!H47</x:f>
        <x:v>0.3263407735468158</x:v>
      </x:c>
      <x:c r="G46" s="21" t="n">
        <x:f>'Protected Results'!I47</x:f>
        <x:v>0.4871235073468313</x:v>
      </x:c>
      <x:c r="H46" s="38" t="n">
        <x:f>'Protected Results'!L47</x:f>
        <x:v>18</x:v>
      </x:c>
      <x:c r="I46" s="38" t="n">
        <x:f>'Protected Results'!N47</x:f>
        <x:v>312</x:v>
      </x:c>
      <x:c r="J46" s="21" t="n">
        <x:f>'Leverage Only Results'!F47</x:f>
        <x:v>0.5213996719544594</x:v>
      </x:c>
      <x:c r="K46" s="21" t="n">
        <x:f>'Leverage Only Results'!G47</x:f>
        <x:v>0.13598730277893376</x:v>
      </x:c>
      <x:c r="L46" s="21" t="n">
        <x:f>'Leverage Only Results'!H47</x:f>
        <x:v>0.3263407735468158</x:v>
      </x:c>
      <x:c r="M46" s="21" t="n">
        <x:f>'Leverage Only Results'!I47</x:f>
        <x:v>0.5844404903612994</x:v>
      </x:c>
      <x:c r="N46" s="38" t="n">
        <x:f>'Leverage Only Results'!L47</x:f>
        <x:v>20</x:v>
      </x:c>
      <x:c r="O46" s="38" t="n">
        <x:f>'Leverage Only Results'!N47</x:f>
        <x:v>369</x:v>
      </x:c>
      <x:c r="P46" s="21" t="n">
        <x:f>MIN(E46,K46)</x:f>
        <x:v>0.07252738360797097</x:v>
      </x:c>
      <x:c r="Q46" s="21" t="n">
        <x:f>AVERAGE(G46,M46)</x:f>
        <x:v>0.5357819988540653</x:v>
      </x:c>
      <x:c r="R46" s="38" t="n">
        <x:f>H46+N46</x:f>
        <x:v>38</x:v>
      </x:c>
      <x:c r="S46" t="str">
        <x:f>IF(AND(P46&gt;=75%,Q46&gt;0,R46&gt;=2),"YES","")</x:f>
      </x:c>
      <x:c r="T46" t="str">
        <x:f>IF(AND(P46&gt;=80%,Q46&gt;=5%),"Strong cross-mode risk reducer",IF(S46="YES","Balanced candidate","Mode-specific / fragile"))</x:f>
        <x:v>Mode-specific / fragile</x:v>
      </x:c>
    </x:row>
    <x:row r="47">
      <x:c r="A47" t="n">
        <x:v>42</x:v>
      </x:c>
      <x:c r="B47" s="39" t="str">
        <x:v>Premarket rolling shock</x:v>
      </x:c>
      <x:c r="C47" s="39" t="str">
        <x:v>Skip when the worst premarket 30-minute candle is -0.3% or worse.</x:v>
      </x:c>
      <x:c r="D47" s="21" t="n">
        <x:f>'Protected Results'!F48</x:f>
        <x:v>0.46837358660047834</x:v>
      </x:c>
      <x:c r="E47" s="21" t="n">
        <x:f>'Protected Results'!G48</x:f>
        <x:v>0.06515138503996055</x:v>
      </x:c>
      <x:c r="F47" s="21" t="n">
        <x:f>'Protected Results'!H48</x:f>
        <x:v>0.7218383449386921</x:v>
      </x:c>
      <x:c r="G47" s="21" t="n">
        <x:f>'Protected Results'!I48</x:f>
        <x:v>0.09162593595495494</x:v>
      </x:c>
      <x:c r="H47" s="38" t="n">
        <x:f>'Protected Results'!L48</x:f>
        <x:v>11</x:v>
      </x:c>
      <x:c r="I47" s="38" t="n">
        <x:f>'Protected Results'!N48</x:f>
        <x:v>218</x:v>
      </x:c>
      <x:c r="J47" s="21" t="n">
        <x:f>'Leverage Only Results'!F48</x:f>
        <x:v>0.3194621379871956</x:v>
      </x:c>
      <x:c r="K47" s="21" t="n">
        <x:f>'Leverage Only Results'!G48</x:f>
        <x:v>0.08331956620153898</x:v>
      </x:c>
      <x:c r="L47" s="21" t="n">
        <x:f>'Leverage Only Results'!H48</x:f>
        <x:v>0.7284363703436612</x:v>
      </x:c>
      <x:c r="M47" s="21" t="n">
        <x:f>'Leverage Only Results'!I48</x:f>
        <x:v>0.18234489356445405</x:v>
      </x:c>
      <x:c r="N47" s="38" t="n">
        <x:f>'Leverage Only Results'!L48</x:f>
        <x:v>15</x:v>
      </x:c>
      <x:c r="O47" s="38" t="n">
        <x:f>'Leverage Only Results'!N48</x:f>
        <x:v>269</x:v>
      </x:c>
      <x:c r="P47" s="21" t="n">
        <x:f>MIN(E47,K47)</x:f>
        <x:v>0.06515138503996055</x:v>
      </x:c>
      <x:c r="Q47" s="21" t="n">
        <x:f>AVERAGE(G47,M47)</x:f>
        <x:v>0.1369854147597045</x:v>
      </x:c>
      <x:c r="R47" s="38" t="n">
        <x:f>H47+N47</x:f>
        <x:v>26</x:v>
      </x:c>
      <x:c r="S47" t="str">
        <x:f>IF(AND(P47&gt;=75%,Q47&gt;0,R47&gt;=2),"YES","")</x:f>
      </x:c>
      <x:c r="T47" t="str">
        <x:f>IF(AND(P47&gt;=80%,Q47&gt;=5%),"Strong cross-mode risk reducer",IF(S47="YES","Balanced candidate","Mode-specific / fragile"))</x:f>
        <x:v>Mode-specific / fragile</x:v>
      </x:c>
    </x:row>
    <x:row r="48">
      <x:c r="A48" t="n">
        <x:v>43</x:v>
      </x:c>
      <x:c r="B48" s="39" t="str">
        <x:v>Premarket rolling shock</x:v>
      </x:c>
      <x:c r="C48" s="39" t="str">
        <x:v>Skip when the worst premarket 30-minute candle is -0.4% or worse.</x:v>
      </x:c>
      <x:c r="D48" s="21" t="n">
        <x:f>'Protected Results'!F49</x:f>
        <x:v>0.9889961765374</x:v>
      </x:c>
      <x:c r="E48" s="21" t="n">
        <x:f>'Protected Results'!G49</x:f>
        <x:v>0.137570675512066</x:v>
      </x:c>
      <x:c r="F48" s="21" t="n">
        <x:f>'Protected Results'!H49</x:f>
        <x:v>0.7242224122217353</x:v>
      </x:c>
      <x:c r="G48" s="21" t="n">
        <x:f>'Protected Results'!I49</x:f>
        <x:v>0.08924186867191175</x:v>
      </x:c>
      <x:c r="H48" s="38" t="n">
        <x:f>'Protected Results'!L49</x:f>
        <x:v>8</x:v>
      </x:c>
      <x:c r="I48" s="38" t="n">
        <x:f>'Protected Results'!N49</x:f>
        <x:v>148</x:v>
      </x:c>
      <x:c r="J48" s="21" t="n">
        <x:f>'Leverage Only Results'!F49</x:f>
        <x:v>0.6251124886446855</x:v>
      </x:c>
      <x:c r="K48" s="21" t="n">
        <x:f>'Leverage Only Results'!G49</x:f>
        <x:v>0.16303685222042572</x:v>
      </x:c>
      <x:c r="L48" s="21" t="n">
        <x:f>'Leverage Only Results'!H49</x:f>
        <x:v>0.7675405310685407</x:v>
      </x:c>
      <x:c r="M48" s="21" t="n">
        <x:f>'Leverage Only Results'!I49</x:f>
        <x:v>0.1432407328395745</x:v>
      </x:c>
      <x:c r="N48" s="38" t="n">
        <x:f>'Leverage Only Results'!L49</x:f>
        <x:v>11</x:v>
      </x:c>
      <x:c r="O48" s="38" t="n">
        <x:f>'Leverage Only Results'!N49</x:f>
        <x:v>193</x:v>
      </x:c>
      <x:c r="P48" s="21" t="n">
        <x:f>MIN(E48,K48)</x:f>
        <x:v>0.137570675512066</x:v>
      </x:c>
      <x:c r="Q48" s="21" t="n">
        <x:f>AVERAGE(G48,M48)</x:f>
        <x:v>0.11624130075574313</x:v>
      </x:c>
      <x:c r="R48" s="38" t="n">
        <x:f>H48+N48</x:f>
        <x:v>19</x:v>
      </x:c>
      <x:c r="S48" t="str">
        <x:f>IF(AND(P48&gt;=75%,Q48&gt;0,R48&gt;=2),"YES","")</x:f>
      </x:c>
      <x:c r="T48" t="str">
        <x:f>IF(AND(P48&gt;=80%,Q48&gt;=5%),"Strong cross-mode risk reducer",IF(S48="YES","Balanced candidate","Mode-specific / fragile"))</x:f>
        <x:v>Mode-specific / fragile</x:v>
      </x:c>
    </x:row>
    <x:row r="49">
      <x:c r="A49" t="n">
        <x:v>44</x:v>
      </x:c>
      <x:c r="B49" s="39" t="str">
        <x:v>Premarket rolling shock</x:v>
      </x:c>
      <x:c r="C49" s="39" t="str">
        <x:v>Skip when the worst premarket 30-minute candle is -0.5% or worse.</x:v>
      </x:c>
      <x:c r="D49" s="21" t="n">
        <x:f>'Protected Results'!F50</x:f>
        <x:v>2.6356710208477754</x:v>
      </x:c>
      <x:c r="E49" s="21" t="n">
        <x:f>'Protected Results'!G50</x:f>
        <x:v>0.3666253230978929</x:v>
      </x:c>
      <x:c r="F49" s="21" t="n">
        <x:f>'Protected Results'!H50</x:f>
        <x:v>0.6383135170080347</x:v>
      </x:c>
      <x:c r="G49" s="21" t="n">
        <x:f>'Protected Results'!I50</x:f>
        <x:v>0.17515076388561235</x:v>
      </x:c>
      <x:c r="H49" s="38" t="n">
        <x:f>'Protected Results'!L50</x:f>
        <x:v>6</x:v>
      </x:c>
      <x:c r="I49" s="38" t="n">
        <x:f>'Protected Results'!N50</x:f>
        <x:v>101</x:v>
      </x:c>
      <x:c r="J49" s="21" t="n">
        <x:f>'Leverage Only Results'!F50</x:f>
        <x:v>1.614959529305386</x:v>
      </x:c>
      <x:c r="K49" s="21" t="n">
        <x:f>'Leverage Only Results'!G50</x:f>
        <x:v>0.4212008604918294</x:v>
      </x:c>
      <x:c r="L49" s="21" t="n">
        <x:f>'Leverage Only Results'!H50</x:f>
        <x:v>0.8328443159778184</x:v>
      </x:c>
      <x:c r="M49" s="21" t="n">
        <x:f>'Leverage Only Results'!I50</x:f>
        <x:v>0.07793694793029682</x:v>
      </x:c>
      <x:c r="N49" s="38" t="n">
        <x:f>'Leverage Only Results'!L50</x:f>
        <x:v>9</x:v>
      </x:c>
      <x:c r="O49" s="38" t="n">
        <x:f>'Leverage Only Results'!N50</x:f>
        <x:v>132</x:v>
      </x:c>
      <x:c r="P49" s="21" t="n">
        <x:f>MIN(E49,K49)</x:f>
        <x:v>0.3666253230978929</x:v>
      </x:c>
      <x:c r="Q49" s="21" t="n">
        <x:f>AVERAGE(G49,M49)</x:f>
        <x:v>0.12654385590795458</x:v>
      </x:c>
      <x:c r="R49" s="38" t="n">
        <x:f>H49+N49</x:f>
        <x:v>15</x:v>
      </x:c>
      <x:c r="S49" t="str">
        <x:f>IF(AND(P49&gt;=75%,Q49&gt;0,R49&gt;=2),"YES","")</x:f>
      </x:c>
      <x:c r="T49" t="str">
        <x:f>IF(AND(P49&gt;=80%,Q49&gt;=5%),"Strong cross-mode risk reducer",IF(S49="YES","Balanced candidate","Mode-specific / fragile"))</x:f>
        <x:v>Mode-specific / fragile</x:v>
      </x:c>
    </x:row>
    <x:row r="50">
      <x:c r="A50" t="n">
        <x:v>45</x:v>
      </x:c>
      <x:c r="B50" s="39" t="str">
        <x:v>Premarket rolling shock</x:v>
      </x:c>
      <x:c r="C50" s="39" t="str">
        <x:v>Skip when the worst premarket 30-minute candle is -0.6% or worse.</x:v>
      </x:c>
      <x:c r="D50" s="21" t="n">
        <x:f>'Protected Results'!F51</x:f>
        <x:v>2.739682594406016</x:v>
      </x:c>
      <x:c r="E50" s="21" t="n">
        <x:f>'Protected Results'!G51</x:f>
        <x:v>0.3810934704729187</x:v>
      </x:c>
      <x:c r="F50" s="21" t="n">
        <x:f>'Protected Results'!H51</x:f>
        <x:v>0.7582417657285527</x:v>
      </x:c>
      <x:c r="G50" s="21" t="n">
        <x:f>'Protected Results'!I51</x:f>
        <x:v>0.055222515165094355</x:v>
      </x:c>
      <x:c r="H50" s="38" t="n">
        <x:f>'Protected Results'!L51</x:f>
        <x:v>2</x:v>
      </x:c>
      <x:c r="I50" s="38" t="n">
        <x:f>'Protected Results'!N51</x:f>
        <x:v>70</x:v>
      </x:c>
      <x:c r="J50" s="21" t="n">
        <x:f>'Leverage Only Results'!F51</x:f>
        <x:v>1.04086674750762</x:v>
      </x:c>
      <x:c r="K50" s="21" t="n">
        <x:f>'Leverage Only Results'!G51</x:f>
        <x:v>0.2714705611824889</x:v>
      </x:c>
      <x:c r="L50" s="21" t="n">
        <x:f>'Leverage Only Results'!H51</x:f>
        <x:v>0.8870434685189335</x:v>
      </x:c>
      <x:c r="M50" s="21" t="n">
        <x:f>'Leverage Only Results'!I51</x:f>
        <x:v>0.02373779538918175</x:v>
      </x:c>
      <x:c r="N50" s="38" t="n">
        <x:f>'Leverage Only Results'!L51</x:f>
        <x:v>4</x:v>
      </x:c>
      <x:c r="O50" s="38" t="n">
        <x:f>'Leverage Only Results'!N51</x:f>
        <x:v>93</x:v>
      </x:c>
      <x:c r="P50" s="21" t="n">
        <x:f>MIN(E50,K50)</x:f>
        <x:v>0.2714705611824889</x:v>
      </x:c>
      <x:c r="Q50" s="21" t="n">
        <x:f>AVERAGE(G50,M50)</x:f>
        <x:v>0.03948015527713805</x:v>
      </x:c>
      <x:c r="R50" s="38" t="n">
        <x:f>H50+N50</x:f>
        <x:v>6</x:v>
      </x:c>
      <x:c r="S50" t="str">
        <x:f>IF(AND(P50&gt;=75%,Q50&gt;0,R50&gt;=2),"YES","")</x:f>
      </x:c>
      <x:c r="T50" t="str">
        <x:f>IF(AND(P50&gt;=80%,Q50&gt;=5%),"Strong cross-mode risk reducer",IF(S50="YES","Balanced candidate","Mode-specific / fragile"))</x:f>
        <x:v>Mode-specific / fragile</x:v>
      </x:c>
    </x:row>
    <x:row r="51">
      <x:c r="A51" t="n">
        <x:v>46</x:v>
      </x:c>
      <x:c r="B51" s="39" t="str">
        <x:v>Premarket rolling shock</x:v>
      </x:c>
      <x:c r="C51" s="39" t="str">
        <x:v>Skip when the worst premarket 30-minute candle is -0.7% or worse.</x:v>
      </x:c>
      <x:c r="D51" s="21" t="n">
        <x:f>'Protected Results'!F52</x:f>
        <x:v>3.577273159295199</x:v>
      </x:c>
      <x:c r="E51" s="21" t="n">
        <x:f>'Protected Results'!G52</x:f>
        <x:v>0.49760342526138435</x:v>
      </x:c>
      <x:c r="F51" s="21" t="n">
        <x:f>'Protected Results'!H52</x:f>
        <x:v>0.7714303638391644</x:v>
      </x:c>
      <x:c r="G51" s="21" t="n">
        <x:f>'Protected Results'!I52</x:f>
        <x:v>0.04203391705448267</x:v>
      </x:c>
      <x:c r="H51" s="38" t="n">
        <x:f>'Protected Results'!L52</x:f>
        <x:v>2</x:v>
      </x:c>
      <x:c r="I51" s="38" t="n">
        <x:f>'Protected Results'!N52</x:f>
        <x:v>51</x:v>
      </x:c>
      <x:c r="J51" s="21" t="n">
        <x:f>'Leverage Only Results'!F52</x:f>
        <x:v>1.6743844204207816</x:v>
      </x:c>
      <x:c r="K51" s="21" t="n">
        <x:f>'Leverage Only Results'!G52</x:f>
        <x:v>0.43669958650832813</x:v>
      </x:c>
      <x:c r="L51" s="21" t="n">
        <x:f>'Leverage Only Results'!H52</x:f>
        <x:v>0.8870434685189335</x:v>
      </x:c>
      <x:c r="M51" s="21" t="n">
        <x:f>'Leverage Only Results'!I52</x:f>
        <x:v>0.02373779538918175</x:v>
      </x:c>
      <x:c r="N51" s="38" t="n">
        <x:f>'Leverage Only Results'!L52</x:f>
        <x:v>4</x:v>
      </x:c>
      <x:c r="O51" s="38" t="n">
        <x:f>'Leverage Only Results'!N52</x:f>
        <x:v>70</x:v>
      </x:c>
      <x:c r="P51" s="21" t="n">
        <x:f>MIN(E51,K51)</x:f>
        <x:v>0.43669958650832813</x:v>
      </x:c>
      <x:c r="Q51" s="21" t="n">
        <x:f>AVERAGE(G51,M51)</x:f>
        <x:v>0.03288585622183221</x:v>
      </x:c>
      <x:c r="R51" s="38" t="n">
        <x:f>H51+N51</x:f>
        <x:v>6</x:v>
      </x:c>
      <x:c r="S51" t="str">
        <x:f>IF(AND(P51&gt;=75%,Q51&gt;0,R51&gt;=2),"YES","")</x:f>
      </x:c>
      <x:c r="T51" t="str">
        <x:f>IF(AND(P51&gt;=80%,Q51&gt;=5%),"Strong cross-mode risk reducer",IF(S51="YES","Balanced candidate","Mode-specific / fragile"))</x:f>
        <x:v>Mode-specific / fragile</x:v>
      </x:c>
    </x:row>
    <x:row r="52">
      <x:c r="A52" t="n">
        <x:v>47</x:v>
      </x:c>
      <x:c r="B52" s="39" t="str">
        <x:v>Premarket rolling shock</x:v>
      </x:c>
      <x:c r="C52" s="39" t="str">
        <x:v>Skip when the worst premarket 30-minute candle is -0.8% or worse.</x:v>
      </x:c>
      <x:c r="D52" s="21" t="n">
        <x:f>'Protected Results'!F53</x:f>
        <x:v>4.071816956717007</x:v>
      </x:c>
      <x:c r="E52" s="21" t="n">
        <x:f>'Protected Results'!G53</x:f>
        <x:v>0.5663951212210376</x:v>
      </x:c>
      <x:c r="F52" s="21" t="n">
        <x:f>'Protected Results'!H53</x:f>
        <x:v>0.77145184999895</x:v>
      </x:c>
      <x:c r="G52" s="21" t="n">
        <x:f>'Protected Results'!I53</x:f>
        <x:v>0.042012430894697084</x:v>
      </x:c>
      <x:c r="H52" s="38" t="n">
        <x:f>'Protected Results'!L53</x:f>
        <x:v>1</x:v>
      </x:c>
      <x:c r="I52" s="38" t="n">
        <x:f>'Protected Results'!N53</x:f>
        <x:v>36</x:v>
      </x:c>
      <x:c r="J52" s="21" t="n">
        <x:f>'Leverage Only Results'!F53</x:f>
        <x:v>1.9342439675357919</x:v>
      </x:c>
      <x:c r="K52" s="21" t="n">
        <x:f>'Leverage Only Results'!G53</x:f>
        <x:v>0.5044740804604685</x:v>
      </x:c>
      <x:c r="L52" s="21" t="n">
        <x:f>'Leverage Only Results'!H53</x:f>
        <x:v>0.9107812639081152</x:v>
      </x:c>
      <x:c r="M52" s="21" t="n">
        <x:f>'Leverage Only Results'!I53</x:f>
        <x:v>0</x:v>
      </x:c>
      <x:c r="N52" s="38" t="n">
        <x:f>'Leverage Only Results'!L53</x:f>
        <x:v>2</x:v>
      </x:c>
      <x:c r="O52" s="38" t="n">
        <x:f>'Leverage Only Results'!N53</x:f>
        <x:v>52</x:v>
      </x:c>
      <x:c r="P52" s="21" t="n">
        <x:f>MIN(E52,K52)</x:f>
        <x:v>0.5044740804604685</x:v>
      </x:c>
      <x:c r="Q52" s="21" t="n">
        <x:f>AVERAGE(G52,M52)</x:f>
        <x:v>0.021006215447348542</x:v>
      </x:c>
      <x:c r="R52" s="38" t="n">
        <x:f>H52+N52</x:f>
        <x:v>3</x:v>
      </x:c>
      <x:c r="S52" t="str">
        <x:f>IF(AND(P52&gt;=75%,Q52&gt;0,R52&gt;=2),"YES","")</x:f>
      </x:c>
      <x:c r="T52" t="str">
        <x:f>IF(AND(P52&gt;=80%,Q52&gt;=5%),"Strong cross-mode risk reducer",IF(S52="YES","Balanced candidate","Mode-specific / fragile"))</x:f>
        <x:v>Mode-specific / fragile</x:v>
      </x:c>
    </x:row>
    <x:row r="53">
      <x:c r="A53" t="n">
        <x:v>48</x:v>
      </x:c>
      <x:c r="B53" s="39" t="str">
        <x:v>Premarket rolling shock</x:v>
      </x:c>
      <x:c r="C53" s="39" t="str">
        <x:v>Skip when the worst premarket 30-minute candle is -0.9% or worse.</x:v>
      </x:c>
      <x:c r="D53" s="21" t="n">
        <x:f>'Protected Results'!F54</x:f>
        <x:v>4.21739903019452</x:v>
      </x:c>
      <x:c r="E53" s="21" t="n">
        <x:f>'Protected Results'!G54</x:f>
        <x:v>0.5866457800869481</x:v>
      </x:c>
      <x:c r="F53" s="21" t="n">
        <x:f>'Protected Results'!H54</x:f>
        <x:v>0.7906692964428157</x:v>
      </x:c>
      <x:c r="G53" s="21" t="n">
        <x:f>'Protected Results'!I54</x:f>
        <x:v>0.02279498445083139</x:v>
      </x:c>
      <x:c r="H53" s="38" t="n">
        <x:f>'Protected Results'!L54</x:f>
        <x:v>1</x:v>
      </x:c>
      <x:c r="I53" s="38" t="n">
        <x:f>'Protected Results'!N54</x:f>
        <x:v>25</x:v>
      </x:c>
      <x:c r="J53" s="21" t="n">
        <x:f>'Leverage Only Results'!F54</x:f>
        <x:v>1.6539937830854887</x:v>
      </x:c>
      <x:c r="K53" s="21" t="n">
        <x:f>'Leverage Only Results'!G54</x:f>
        <x:v>0.43138146315244674</x:v>
      </x:c>
      <x:c r="L53" s="21" t="n">
        <x:f>'Leverage Only Results'!H54</x:f>
        <x:v>0.9107812639081152</x:v>
      </x:c>
      <x:c r="M53" s="21" t="n">
        <x:f>'Leverage Only Results'!I54</x:f>
        <x:v>0</x:v>
      </x:c>
      <x:c r="N53" s="38" t="n">
        <x:f>'Leverage Only Results'!L54</x:f>
        <x:v>1</x:v>
      </x:c>
      <x:c r="O53" s="38" t="n">
        <x:f>'Leverage Only Results'!N54</x:f>
        <x:v>35</x:v>
      </x:c>
      <x:c r="P53" s="21" t="n">
        <x:f>MIN(E53,K53)</x:f>
        <x:v>0.43138146315244674</x:v>
      </x:c>
      <x:c r="Q53" s="21" t="n">
        <x:f>AVERAGE(G53,M53)</x:f>
        <x:v>0.011397492225415695</x:v>
      </x:c>
      <x:c r="R53" s="38" t="n">
        <x:f>H53+N53</x:f>
        <x:v>2</x:v>
      </x:c>
      <x:c r="S53" t="str">
        <x:f>IF(AND(P53&gt;=75%,Q53&gt;0,R53&gt;=2),"YES","")</x:f>
      </x:c>
      <x:c r="T53" t="str">
        <x:f>IF(AND(P53&gt;=80%,Q53&gt;=5%),"Strong cross-mode risk reducer",IF(S53="YES","Balanced candidate","Mode-specific / fragile"))</x:f>
        <x:v>Mode-specific / fragile</x:v>
      </x:c>
    </x:row>
    <x:row r="54">
      <x:c r="A54" t="n">
        <x:v>49</x:v>
      </x:c>
      <x:c r="B54" s="39" t="str">
        <x:v>Premarket rolling shock</x:v>
      </x:c>
      <x:c r="C54" s="39" t="str">
        <x:v>Skip when the worst premarket 30-minute candle is -1.0% or worse.</x:v>
      </x:c>
      <x:c r="D54" s="21" t="n">
        <x:f>'Protected Results'!F55</x:f>
        <x:v>5.707438389281316</x:v>
      </x:c>
      <x:c r="E54" s="21" t="n">
        <x:f>'Protected Results'!G55</x:f>
        <x:v>0.7939122246214632</x:v>
      </x:c>
      <x:c r="F54" s="21" t="n">
        <x:f>'Protected Results'!H55</x:f>
        <x:v>0.7907077631920749</x:v>
      </x:c>
      <x:c r="G54" s="21" t="n">
        <x:f>'Protected Results'!I55</x:f>
        <x:v>0.022756517701572165</x:v>
      </x:c>
      <x:c r="H54" s="38" t="n">
        <x:f>'Protected Results'!L55</x:f>
        <x:v>1</x:v>
      </x:c>
      <x:c r="I54" s="38" t="n">
        <x:f>'Protected Results'!N55</x:f>
        <x:v>16</x:v>
      </x:c>
      <x:c r="J54" s="21" t="n">
        <x:f>'Leverage Only Results'!F55</x:f>
        <x:v>2.5181073226696857</x:v>
      </x:c>
      <x:c r="K54" s="21" t="n">
        <x:f>'Leverage Only Results'!G55</x:f>
        <x:v>0.6567526627589473</x:v>
      </x:c>
      <x:c r="L54" s="21" t="n">
        <x:f>'Leverage Only Results'!H55</x:f>
        <x:v>0.9107812639081152</x:v>
      </x:c>
      <x:c r="M54" s="21" t="n">
        <x:f>'Leverage Only Results'!I55</x:f>
        <x:v>0</x:v>
      </x:c>
      <x:c r="N54" s="38" t="n">
        <x:f>'Leverage Only Results'!L55</x:f>
        <x:v>1</x:v>
      </x:c>
      <x:c r="O54" s="38" t="n">
        <x:f>'Leverage Only Results'!N55</x:f>
        <x:v>23</x:v>
      </x:c>
      <x:c r="P54" s="21" t="n">
        <x:f>MIN(E54,K54)</x:f>
        <x:v>0.6567526627589473</x:v>
      </x:c>
      <x:c r="Q54" s="21" t="n">
        <x:f>AVERAGE(G54,M54)</x:f>
        <x:v>0.011378258850786083</x:v>
      </x:c>
      <x:c r="R54" s="38" t="n">
        <x:f>H54+N54</x:f>
        <x:v>2</x:v>
      </x:c>
      <x:c r="S54" t="str">
        <x:f>IF(AND(P54&gt;=75%,Q54&gt;0,R54&gt;=2),"YES","")</x:f>
      </x:c>
      <x:c r="T54" t="str">
        <x:f>IF(AND(P54&gt;=80%,Q54&gt;=5%),"Strong cross-mode risk reducer",IF(S54="YES","Balanced candidate","Mode-specific / fragile"))</x:f>
        <x:v>Mode-specific / fragile</x:v>
      </x:c>
    </x:row>
    <x:row r="55">
      <x:c r="A55" t="n">
        <x:v>50</x:v>
      </x:c>
      <x:c r="B55" s="39" t="str">
        <x:v>Premarket rolling shock</x:v>
      </x:c>
      <x:c r="C55" s="39" t="str">
        <x:v>Skip when the worst premarket 30-minute candle is -1.1% or worse.</x:v>
      </x:c>
      <x:c r="D55" s="21" t="n">
        <x:f>'Protected Results'!F56</x:f>
        <x:v>6.4000312463210784</x:v>
      </x:c>
      <x:c r="E55" s="21" t="n">
        <x:f>'Protected Results'!G56</x:f>
        <x:v>0.8902528065753599</x:v>
      </x:c>
      <x:c r="F55" s="21" t="n">
        <x:f>'Protected Results'!H56</x:f>
        <x:v>0.7907154303017709</x:v>
      </x:c>
      <x:c r="G55" s="21" t="n">
        <x:f>'Protected Results'!I56</x:f>
        <x:v>0.022748850591876146</x:v>
      </x:c>
      <x:c r="H55" s="38" t="n">
        <x:f>'Protected Results'!L56</x:f>
        <x:v>1</x:v>
      </x:c>
      <x:c r="I55" s="38" t="n">
        <x:f>'Protected Results'!N56</x:f>
        <x:v>12</x:v>
      </x:c>
      <x:c r="J55" s="21" t="n">
        <x:f>'Leverage Only Results'!F56</x:f>
        <x:v>3.1357554487493795</x:v>
      </x:c>
      <x:c r="K55" s="21" t="n">
        <x:f>'Leverage Only Results'!G56</x:f>
        <x:v>0.8178427194849065</x:v>
      </x:c>
      <x:c r="L55" s="21" t="n">
        <x:f>'Leverage Only Results'!H56</x:f>
        <x:v>0.9107812639081152</x:v>
      </x:c>
      <x:c r="M55" s="21" t="n">
        <x:f>'Leverage Only Results'!I56</x:f>
        <x:v>0</x:v>
      </x:c>
      <x:c r="N55" s="38" t="n">
        <x:f>'Leverage Only Results'!L56</x:f>
        <x:v>1</x:v>
      </x:c>
      <x:c r="O55" s="38" t="n">
        <x:f>'Leverage Only Results'!N56</x:f>
        <x:v>18</x:v>
      </x:c>
      <x:c r="P55" s="21" t="n">
        <x:f>MIN(E55,K55)</x:f>
        <x:v>0.8178427194849065</x:v>
      </x:c>
      <x:c r="Q55" s="21" t="n">
        <x:f>AVERAGE(G55,M55)</x:f>
        <x:v>0.011374425295938073</x:v>
      </x:c>
      <x:c r="R55" s="38" t="n">
        <x:f>H55+N55</x:f>
        <x:v>2</x:v>
      </x:c>
      <x:c r="S55" t="str">
        <x:f>IF(AND(P55&gt;=75%,Q55&gt;0,R55&gt;=2),"YES","")</x:f>
        <x:v>YES</x:v>
      </x:c>
      <x:c r="T55" t="str">
        <x:f>IF(AND(P55&gt;=80%,Q55&gt;=5%),"Strong cross-mode risk reducer",IF(S55="YES","Balanced candidate","Mode-specific / fragile"))</x:f>
        <x:v>Balanced candidate</x:v>
      </x:c>
    </x:row>
    <x:row r="56">
      <x:c r="A56" t="n">
        <x:v>51</x:v>
      </x:c>
      <x:c r="B56" s="39" t="str">
        <x:v>Premarket rolling shock</x:v>
      </x:c>
      <x:c r="C56" s="39" t="str">
        <x:v>Skip when the worst premarket 60-minute candle is -0.2% or worse.</x:v>
      </x:c>
      <x:c r="D56" s="21" t="n">
        <x:f>'Protected Results'!F57</x:f>
        <x:v>0.2556649159087345</x:v>
      </x:c>
      <x:c r="E56" s="21" t="n">
        <x:f>'Protected Results'!G57</x:f>
        <x:v>0.03556332776678848</x:v>
      </x:c>
      <x:c r="F56" s="21" t="n">
        <x:f>'Protected Results'!H57</x:f>
        <x:v>0.3220765147254053</x:v>
      </x:c>
      <x:c r="G56" s="21" t="n">
        <x:f>'Protected Results'!I57</x:f>
        <x:v>0.49138776616824176</x:v>
      </x:c>
      <x:c r="H56" s="38" t="n">
        <x:f>'Protected Results'!L57</x:f>
        <x:v>19</x:v>
      </x:c>
      <x:c r="I56" s="38" t="n">
        <x:f>'Protected Results'!N57</x:f>
        <x:v>338</x:v>
      </x:c>
      <x:c r="J56" s="21" t="n">
        <x:f>'Leverage Only Results'!F57</x:f>
        <x:v>0.2556649159087345</x:v>
      </x:c>
      <x:c r="K56" s="21" t="n">
        <x:f>'Leverage Only Results'!G57</x:f>
        <x:v>0.06668048370515352</x:v>
      </x:c>
      <x:c r="L56" s="21" t="n">
        <x:f>'Leverage Only Results'!H57</x:f>
        <x:v>0.3220765147254053</x:v>
      </x:c>
      <x:c r="M56" s="21" t="n">
        <x:f>'Leverage Only Results'!I57</x:f>
        <x:v>0.5887047491827099</x:v>
      </x:c>
      <x:c r="N56" s="38" t="n">
        <x:f>'Leverage Only Results'!L57</x:f>
        <x:v>20</x:v>
      </x:c>
      <x:c r="O56" s="38" t="n">
        <x:f>'Leverage Only Results'!N57</x:f>
        <x:v>395</x:v>
      </x:c>
      <x:c r="P56" s="21" t="n">
        <x:f>MIN(E56,K56)</x:f>
        <x:v>0.03556332776678848</x:v>
      </x:c>
      <x:c r="Q56" s="21" t="n">
        <x:f>AVERAGE(G56,M56)</x:f>
        <x:v>0.5400462576754759</x:v>
      </x:c>
      <x:c r="R56" s="38" t="n">
        <x:f>H56+N56</x:f>
        <x:v>39</x:v>
      </x:c>
      <x:c r="S56" t="str">
        <x:f>IF(AND(P56&gt;=75%,Q56&gt;0,R56&gt;=2),"YES","")</x:f>
      </x:c>
      <x:c r="T56" t="str">
        <x:f>IF(AND(P56&gt;=80%,Q56&gt;=5%),"Strong cross-mode risk reducer",IF(S56="YES","Balanced candidate","Mode-specific / fragile"))</x:f>
        <x:v>Mode-specific / fragile</x:v>
      </x:c>
    </x:row>
    <x:row r="57">
      <x:c r="A57" t="n">
        <x:v>52</x:v>
      </x:c>
      <x:c r="B57" s="39" t="str">
        <x:v>Premarket rolling shock</x:v>
      </x:c>
      <x:c r="C57" s="39" t="str">
        <x:v>Skip when the worst premarket 60-minute candle is -0.3% or worse.</x:v>
      </x:c>
      <x:c r="D57" s="21" t="n">
        <x:f>'Protected Results'!F58</x:f>
        <x:v>0.7386113892701625</x:v>
      </x:c>
      <x:c r="E57" s="21" t="n">
        <x:f>'Protected Results'!G58</x:f>
        <x:v>0.1027418206191207</x:v>
      </x:c>
      <x:c r="F57" s="21" t="n">
        <x:f>'Protected Results'!H58</x:f>
        <x:v>0.5879979560762267</x:v>
      </x:c>
      <x:c r="G57" s="21" t="n">
        <x:f>'Protected Results'!I58</x:f>
        <x:v>0.22546632481742035</x:v>
      </x:c>
      <x:c r="H57" s="38" t="n">
        <x:f>'Protected Results'!L58</x:f>
        <x:v>15</x:v>
      </x:c>
      <x:c r="I57" s="38" t="n">
        <x:f>'Protected Results'!N58</x:f>
        <x:v>264</x:v>
      </x:c>
      <x:c r="J57" s="21" t="n">
        <x:f>'Leverage Only Results'!F58</x:f>
        <x:v>0.6818071337045157</x:v>
      </x:c>
      <x:c r="K57" s="21" t="n">
        <x:f>'Leverage Only Results'!G58</x:f>
        <x:v>0.17782349724226743</x:v>
      </x:c>
      <x:c r="L57" s="21" t="n">
        <x:f>'Leverage Only Results'!H58</x:f>
        <x:v>0.5879354870812282</x:v>
      </x:c>
      <x:c r="M57" s="21" t="n">
        <x:f>'Leverage Only Results'!I58</x:f>
        <x:v>0.322845776826887</x:v>
      </x:c>
      <x:c r="N57" s="38" t="n">
        <x:f>'Leverage Only Results'!L58</x:f>
        <x:v>18</x:v>
      </x:c>
      <x:c r="O57" s="38" t="n">
        <x:f>'Leverage Only Results'!N58</x:f>
        <x:v>316</x:v>
      </x:c>
      <x:c r="P57" s="21" t="n">
        <x:f>MIN(E57,K57)</x:f>
        <x:v>0.1027418206191207</x:v>
      </x:c>
      <x:c r="Q57" s="21" t="n">
        <x:f>AVERAGE(G57,M57)</x:f>
        <x:v>0.27415605082215366</x:v>
      </x:c>
      <x:c r="R57" s="38" t="n">
        <x:f>H57+N57</x:f>
        <x:v>33</x:v>
      </x:c>
      <x:c r="S57" t="str">
        <x:f>IF(AND(P57&gt;=75%,Q57&gt;0,R57&gt;=2),"YES","")</x:f>
      </x:c>
      <x:c r="T57" t="str">
        <x:f>IF(AND(P57&gt;=80%,Q57&gt;=5%),"Strong cross-mode risk reducer",IF(S57="YES","Balanced candidate","Mode-specific / fragile"))</x:f>
        <x:v>Mode-specific / fragile</x:v>
      </x:c>
    </x:row>
    <x:row r="58">
      <x:c r="A58" t="n">
        <x:v>53</x:v>
      </x:c>
      <x:c r="B58" s="39" t="str">
        <x:v>Premarket rolling shock</x:v>
      </x:c>
      <x:c r="C58" s="39" t="str">
        <x:v>Skip when the worst premarket 60-minute candle is -0.4% or worse.</x:v>
      </x:c>
      <x:c r="D58" s="21" t="n">
        <x:f>'Protected Results'!F59</x:f>
        <x:v>0.6591093807419965</x:v>
      </x:c>
      <x:c r="E58" s="21" t="n">
        <x:f>'Protected Results'!G59</x:f>
        <x:v>0.09168298613901367</x:v>
      </x:c>
      <x:c r="F58" s="21" t="n">
        <x:f>'Protected Results'!H59</x:f>
        <x:v>0.7230460117897946</x:v>
      </x:c>
      <x:c r="G58" s="21" t="n">
        <x:f>'Protected Results'!I59</x:f>
        <x:v>0.09041826910385253</x:v>
      </x:c>
      <x:c r="H58" s="38" t="n">
        <x:f>'Protected Results'!L59</x:f>
        <x:v>9</x:v>
      </x:c>
      <x:c r="I58" s="38" t="n">
        <x:f>'Protected Results'!N59</x:f>
        <x:v>187</x:v>
      </x:c>
      <x:c r="J58" s="21" t="n">
        <x:f>'Leverage Only Results'!F59</x:f>
        <x:v>0.3707976935185957</x:v>
      </x:c>
      <x:c r="K58" s="21" t="n">
        <x:f>'Leverage Only Results'!G59</x:f>
        <x:v>0.0967084962467098</x:v>
      </x:c>
      <x:c r="L58" s="21" t="n">
        <x:f>'Leverage Only Results'!H59</x:f>
        <x:v>0.7220140350874952</x:v>
      </x:c>
      <x:c r="M58" s="21" t="n">
        <x:f>'Leverage Only Results'!I59</x:f>
        <x:v>0.18876722882062003</x:v>
      </x:c>
      <x:c r="N58" s="38" t="n">
        <x:f>'Leverage Only Results'!L59</x:f>
        <x:v>13</x:v>
      </x:c>
      <x:c r="O58" s="38" t="n">
        <x:f>'Leverage Only Results'!N59</x:f>
        <x:v>235</x:v>
      </x:c>
      <x:c r="P58" s="21" t="n">
        <x:f>MIN(E58,K58)</x:f>
        <x:v>0.09168298613901367</x:v>
      </x:c>
      <x:c r="Q58" s="21" t="n">
        <x:f>AVERAGE(G58,M58)</x:f>
        <x:v>0.13959274896223628</x:v>
      </x:c>
      <x:c r="R58" s="38" t="n">
        <x:f>H58+N58</x:f>
        <x:v>22</x:v>
      </x:c>
      <x:c r="S58" t="str">
        <x:f>IF(AND(P58&gt;=75%,Q58&gt;0,R58&gt;=2),"YES","")</x:f>
      </x:c>
      <x:c r="T58" t="str">
        <x:f>IF(AND(P58&gt;=80%,Q58&gt;=5%),"Strong cross-mode risk reducer",IF(S58="YES","Balanced candidate","Mode-specific / fragile"))</x:f>
        <x:v>Mode-specific / fragile</x:v>
      </x:c>
    </x:row>
    <x:row r="59">
      <x:c r="A59" t="n">
        <x:v>54</x:v>
      </x:c>
      <x:c r="B59" s="39" t="str">
        <x:v>Premarket rolling shock</x:v>
      </x:c>
      <x:c r="C59" s="39" t="str">
        <x:v>Skip when the worst premarket 60-minute candle is -0.5% or worse.</x:v>
      </x:c>
      <x:c r="D59" s="21" t="n">
        <x:f>'Protected Results'!F60</x:f>
        <x:v>1.817250470966652</x:v>
      </x:c>
      <x:c r="E59" s="21" t="n">
        <x:f>'Protected Results'!G60</x:f>
        <x:v>0.25278194273792354</x:v>
      </x:c>
      <x:c r="F59" s="21" t="n">
        <x:f>'Protected Results'!H60</x:f>
        <x:v>0.5942453483780921</x:v>
      </x:c>
      <x:c r="G59" s="21" t="n">
        <x:f>'Protected Results'!I60</x:f>
        <x:v>0.21921893251555502</x:v>
      </x:c>
      <x:c r="H59" s="38" t="n">
        <x:f>'Protected Results'!L60</x:f>
        <x:v>8</x:v>
      </x:c>
      <x:c r="I59" s="38" t="n">
        <x:f>'Protected Results'!N60</x:f>
        <x:v>139</x:v>
      </x:c>
      <x:c r="J59" s="21" t="n">
        <x:f>'Leverage Only Results'!F60</x:f>
        <x:v>1.1095075327285953</x:v>
      </x:c>
      <x:c r="K59" s="21" t="n">
        <x:f>'Leverage Only Results'!G60</x:f>
        <x:v>0.2893729031763746</x:v>
      </x:c>
      <x:c r="L59" s="21" t="n">
        <x:f>'Leverage Only Results'!H60</x:f>
        <x:v>0.7157214182585171</x:v>
      </x:c>
      <x:c r="M59" s="21" t="n">
        <x:f>'Leverage Only Results'!I60</x:f>
        <x:v>0.1950598456495981</x:v>
      </x:c>
      <x:c r="N59" s="38" t="n">
        <x:f>'Leverage Only Results'!L60</x:f>
        <x:v>12</x:v>
      </x:c>
      <x:c r="O59" s="38" t="n">
        <x:f>'Leverage Only Results'!N60</x:f>
        <x:v>178</x:v>
      </x:c>
      <x:c r="P59" s="21" t="n">
        <x:f>MIN(E59,K59)</x:f>
        <x:v>0.25278194273792354</x:v>
      </x:c>
      <x:c r="Q59" s="21" t="n">
        <x:f>AVERAGE(G59,M59)</x:f>
        <x:v>0.20713938908257656</x:v>
      </x:c>
      <x:c r="R59" s="38" t="n">
        <x:f>H59+N59</x:f>
        <x:v>20</x:v>
      </x:c>
      <x:c r="S59" t="str">
        <x:f>IF(AND(P59&gt;=75%,Q59&gt;0,R59&gt;=2),"YES","")</x:f>
      </x:c>
      <x:c r="T59" t="str">
        <x:f>IF(AND(P59&gt;=80%,Q59&gt;=5%),"Strong cross-mode risk reducer",IF(S59="YES","Balanced candidate","Mode-specific / fragile"))</x:f>
        <x:v>Mode-specific / fragile</x:v>
      </x:c>
    </x:row>
    <x:row r="60">
      <x:c r="A60" t="n">
        <x:v>55</x:v>
      </x:c>
      <x:c r="B60" s="39" t="str">
        <x:v>Premarket rolling shock</x:v>
      </x:c>
      <x:c r="C60" s="39" t="str">
        <x:v>Skip when the worst premarket 60-minute candle is -0.6% or worse.</x:v>
      </x:c>
      <x:c r="D60" s="21" t="n">
        <x:f>'Protected Results'!F61</x:f>
        <x:v>2.7293995108450866</x:v>
      </x:c>
      <x:c r="E60" s="21" t="n">
        <x:f>'Protected Results'!G61</x:f>
        <x:v>0.3796630799563679</x:v>
      </x:c>
      <x:c r="F60" s="21" t="n">
        <x:f>'Protected Results'!H61</x:f>
        <x:v>0.6576120698105302</x:v>
      </x:c>
      <x:c r="G60" s="21" t="n">
        <x:f>'Protected Results'!I61</x:f>
        <x:v>0.15585221108311686</x:v>
      </x:c>
      <x:c r="H60" s="38" t="n">
        <x:f>'Protected Results'!L61</x:f>
        <x:v>6</x:v>
      </x:c>
      <x:c r="I60" s="38" t="n">
        <x:f>'Protected Results'!N61</x:f>
        <x:v>90</x:v>
      </x:c>
      <x:c r="J60" s="21" t="n">
        <x:f>'Leverage Only Results'!F61</x:f>
        <x:v>1.062496539615223</x:v>
      </x:c>
      <x:c r="K60" s="21" t="n">
        <x:f>'Leverage Only Results'!G61</x:f>
        <x:v>0.2771118710002652</x:v>
      </x:c>
      <x:c r="L60" s="21" t="n">
        <x:f>'Leverage Only Results'!H61</x:f>
        <x:v>0.8298718305714604</x:v>
      </x:c>
      <x:c r="M60" s="21" t="n">
        <x:f>'Leverage Only Results'!I61</x:f>
        <x:v>0.08090943333665479</x:v>
      </x:c>
      <x:c r="N60" s="38" t="n">
        <x:f>'Leverage Only Results'!L61</x:f>
        <x:v>7</x:v>
      </x:c>
      <x:c r="O60" s="38" t="n">
        <x:f>'Leverage Only Results'!N61</x:f>
        <x:v>122</x:v>
      </x:c>
      <x:c r="P60" s="21" t="n">
        <x:f>MIN(E60,K60)</x:f>
        <x:v>0.2771118710002652</x:v>
      </x:c>
      <x:c r="Q60" s="21" t="n">
        <x:f>AVERAGE(G60,M60)</x:f>
        <x:v>0.11838082220988583</x:v>
      </x:c>
      <x:c r="R60" s="38" t="n">
        <x:f>H60+N60</x:f>
        <x:v>13</x:v>
      </x:c>
      <x:c r="S60" t="str">
        <x:f>IF(AND(P60&gt;=75%,Q60&gt;0,R60&gt;=2),"YES","")</x:f>
      </x:c>
      <x:c r="T60" t="str">
        <x:f>IF(AND(P60&gt;=80%,Q60&gt;=5%),"Strong cross-mode risk reducer",IF(S60="YES","Balanced candidate","Mode-specific / fragile"))</x:f>
        <x:v>Mode-specific / fragile</x:v>
      </x:c>
    </x:row>
    <x:row r="61">
      <x:c r="A61" t="n">
        <x:v>56</x:v>
      </x:c>
      <x:c r="B61" s="39" t="str">
        <x:v>Premarket rolling shock</x:v>
      </x:c>
      <x:c r="C61" s="39" t="str">
        <x:v>Skip when the worst premarket 60-minute candle is -0.7% or worse.</x:v>
      </x:c>
      <x:c r="D61" s="21" t="n">
        <x:f>'Protected Results'!F62</x:f>
        <x:v>3.575594184264043</x:v>
      </x:c>
      <x:c r="E61" s="21" t="n">
        <x:f>'Protected Results'!G62</x:f>
        <x:v>0.4973698776151106</x:v>
      </x:c>
      <x:c r="F61" s="21" t="n">
        <x:f>'Protected Results'!H62</x:f>
        <x:v>0.7585441830938673</x:v>
      </x:c>
      <x:c r="G61" s="21" t="n">
        <x:f>'Protected Results'!I62</x:f>
        <x:v>0.0549200977997798</x:v>
      </x:c>
      <x:c r="H61" s="38" t="n">
        <x:f>'Protected Results'!L62</x:f>
        <x:v>5</x:v>
      </x:c>
      <x:c r="I61" s="38" t="n">
        <x:f>'Protected Results'!N62</x:f>
        <x:v>75</x:v>
      </x:c>
      <x:c r="J61" s="21" t="n">
        <x:f>'Leverage Only Results'!F62</x:f>
        <x:v>1.7750016471175996</x:v>
      </x:c>
      <x:c r="K61" s="21" t="n">
        <x:f>'Leverage Only Results'!G62</x:f>
        <x:v>0.4629417688639624</x:v>
      </x:c>
      <x:c r="L61" s="21" t="n">
        <x:f>'Leverage Only Results'!H62</x:f>
        <x:v>0.8870434685189335</x:v>
      </x:c>
      <x:c r="M61" s="21" t="n">
        <x:f>'Leverage Only Results'!I62</x:f>
        <x:v>0.02373779538918175</x:v>
      </x:c>
      <x:c r="N61" s="38" t="n">
        <x:f>'Leverage Only Results'!L62</x:f>
        <x:v>5</x:v>
      </x:c>
      <x:c r="O61" s="38" t="n">
        <x:f>'Leverage Only Results'!N62</x:f>
        <x:v>97</x:v>
      </x:c>
      <x:c r="P61" s="21" t="n">
        <x:f>MIN(E61,K61)</x:f>
        <x:v>0.4629417688639624</x:v>
      </x:c>
      <x:c r="Q61" s="21" t="n">
        <x:f>AVERAGE(G61,M61)</x:f>
        <x:v>0.039328946594480774</x:v>
      </x:c>
      <x:c r="R61" s="38" t="n">
        <x:f>H61+N61</x:f>
        <x:v>10</x:v>
      </x:c>
      <x:c r="S61" t="str">
        <x:f>IF(AND(P61&gt;=75%,Q61&gt;0,R61&gt;=2),"YES","")</x:f>
      </x:c>
      <x:c r="T61" t="str">
        <x:f>IF(AND(P61&gt;=80%,Q61&gt;=5%),"Strong cross-mode risk reducer",IF(S61="YES","Balanced candidate","Mode-specific / fragile"))</x:f>
        <x:v>Mode-specific / fragile</x:v>
      </x:c>
    </x:row>
    <x:row r="62">
      <x:c r="A62" t="n">
        <x:v>57</x:v>
      </x:c>
      <x:c r="B62" s="39" t="str">
        <x:v>Premarket rolling shock</x:v>
      </x:c>
      <x:c r="C62" s="39" t="str">
        <x:v>Skip when the worst premarket 60-minute candle is -0.8% or worse.</x:v>
      </x:c>
      <x:c r="D62" s="21" t="n">
        <x:f>'Protected Results'!F63</x:f>
        <x:v>4.7494950000884515</x:v>
      </x:c>
      <x:c r="E62" s="21" t="n">
        <x:f>'Protected Results'!G63</x:f>
        <x:v>0.660661032877754</x:v>
      </x:c>
      <x:c r="F62" s="21" t="n">
        <x:f>'Protected Results'!H63</x:f>
        <x:v>0.758636401809916</x:v>
      </x:c>
      <x:c r="G62" s="21" t="n">
        <x:f>'Protected Results'!I63</x:f>
        <x:v>0.0548278790837311</x:v>
      </x:c>
      <x:c r="H62" s="38" t="n">
        <x:f>'Protected Results'!L63</x:f>
        <x:v>3</x:v>
      </x:c>
      <x:c r="I62" s="38" t="n">
        <x:f>'Protected Results'!N63</x:f>
        <x:v>56</x:v>
      </x:c>
      <x:c r="J62" s="21" t="n">
        <x:f>'Leverage Only Results'!F63</x:f>
        <x:v>2.5292871296603225</x:v>
      </x:c>
      <x:c r="K62" s="21" t="n">
        <x:f>'Leverage Only Results'!G63</x:f>
        <x:v>0.6596684908271677</x:v>
      </x:c>
      <x:c r="L62" s="21" t="n">
        <x:f>'Leverage Only Results'!H63</x:f>
        <x:v>0.8870434685189335</x:v>
      </x:c>
      <x:c r="M62" s="21" t="n">
        <x:f>'Leverage Only Results'!I63</x:f>
        <x:v>0.02373779538918175</x:v>
      </x:c>
      <x:c r="N62" s="38" t="n">
        <x:f>'Leverage Only Results'!L63</x:f>
        <x:v>5</x:v>
      </x:c>
      <x:c r="O62" s="38" t="n">
        <x:f>'Leverage Only Results'!N63</x:f>
        <x:v>76</x:v>
      </x:c>
      <x:c r="P62" s="21" t="n">
        <x:f>MIN(E62,K62)</x:f>
        <x:v>0.6596684908271677</x:v>
      </x:c>
      <x:c r="Q62" s="21" t="n">
        <x:f>AVERAGE(G62,M62)</x:f>
        <x:v>0.039282837236456425</x:v>
      </x:c>
      <x:c r="R62" s="38" t="n">
        <x:f>H62+N62</x:f>
        <x:v>8</x:v>
      </x:c>
      <x:c r="S62" t="str">
        <x:f>IF(AND(P62&gt;=75%,Q62&gt;0,R62&gt;=2),"YES","")</x:f>
      </x:c>
      <x:c r="T62" t="str">
        <x:f>IF(AND(P62&gt;=80%,Q62&gt;=5%),"Strong cross-mode risk reducer",IF(S62="YES","Balanced candidate","Mode-specific / fragile"))</x:f>
        <x:v>Mode-specific / fragile</x:v>
      </x:c>
    </x:row>
    <x:row r="63">
      <x:c r="A63" t="n">
        <x:v>58</x:v>
      </x:c>
      <x:c r="B63" s="39" t="str">
        <x:v>Premarket rolling shock</x:v>
      </x:c>
      <x:c r="C63" s="39" t="str">
        <x:v>Skip when the worst premarket 60-minute candle is -0.9% or worse.</x:v>
      </x:c>
      <x:c r="D63" s="21" t="n">
        <x:f>'Protected Results'!F64</x:f>
        <x:v>4.049027756649895</x:v>
      </x:c>
      <x:c r="E63" s="21" t="n">
        <x:f>'Protected Results'!G64</x:f>
        <x:v>0.5632251133666204</x:v>
      </x:c>
      <x:c r="F63" s="21" t="n">
        <x:f>'Protected Results'!H64</x:f>
        <x:v>0.7586344173568174</x:v>
      </x:c>
      <x:c r="G63" s="21" t="n">
        <x:f>'Protected Results'!I64</x:f>
        <x:v>0.054829863536829726</x:v>
      </x:c>
      <x:c r="H63" s="38" t="n">
        <x:f>'Protected Results'!L64</x:f>
        <x:v>2</x:v>
      </x:c>
      <x:c r="I63" s="38" t="n">
        <x:f>'Protected Results'!N64</x:f>
        <x:v>43</x:v>
      </x:c>
      <x:c r="J63" s="21" t="n">
        <x:f>'Leverage Only Results'!F64</x:f>
        <x:v>1.4352883920876809</x:v>
      </x:c>
      <x:c r="K63" s="21" t="n">
        <x:f>'Leverage Only Results'!G64</x:f>
        <x:v>0.3743404678761749</x:v>
      </x:c>
      <x:c r="L63" s="21" t="n">
        <x:f>'Leverage Only Results'!H64</x:f>
        <x:v>0.9107812639081152</x:v>
      </x:c>
      <x:c r="M63" s="21" t="n">
        <x:f>'Leverage Only Results'!I64</x:f>
        <x:v>0</x:v>
      </x:c>
      <x:c r="N63" s="38" t="n">
        <x:f>'Leverage Only Results'!L64</x:f>
        <x:v>2</x:v>
      </x:c>
      <x:c r="O63" s="38" t="n">
        <x:f>'Leverage Only Results'!N64</x:f>
        <x:v>58</x:v>
      </x:c>
      <x:c r="P63" s="21" t="n">
        <x:f>MIN(E63,K63)</x:f>
        <x:v>0.3743404678761749</x:v>
      </x:c>
      <x:c r="Q63" s="21" t="n">
        <x:f>AVERAGE(G63,M63)</x:f>
        <x:v>0.027414931768414863</x:v>
      </x:c>
      <x:c r="R63" s="38" t="n">
        <x:f>H63+N63</x:f>
        <x:v>4</x:v>
      </x:c>
      <x:c r="S63" t="str">
        <x:f>IF(AND(P63&gt;=75%,Q63&gt;0,R63&gt;=2),"YES","")</x:f>
      </x:c>
      <x:c r="T63" t="str">
        <x:f>IF(AND(P63&gt;=80%,Q63&gt;=5%),"Strong cross-mode risk reducer",IF(S63="YES","Balanced candidate","Mode-specific / fragile"))</x:f>
        <x:v>Mode-specific / fragile</x:v>
      </x:c>
    </x:row>
    <x:row r="64">
      <x:c r="A64" t="n">
        <x:v>59</x:v>
      </x:c>
      <x:c r="B64" s="39" t="str">
        <x:v>Premarket rolling shock</x:v>
      </x:c>
      <x:c r="C64" s="39" t="str">
        <x:v>Skip when the worst premarket 60-minute candle is -1.0% or worse.</x:v>
      </x:c>
      <x:c r="D64" s="21" t="n">
        <x:f>'Protected Results'!F65</x:f>
        <x:v>4.871580339409228</x:v>
      </x:c>
      <x:c r="E64" s="21" t="n">
        <x:f>'Protected Results'!G65</x:f>
        <x:v>0.6776432649620899</x:v>
      </x:c>
      <x:c r="F64" s="21" t="n">
        <x:f>'Protected Results'!H65</x:f>
        <x:v>0.7586391929989218</x:v>
      </x:c>
      <x:c r="G64" s="21" t="n">
        <x:f>'Protected Results'!I65</x:f>
        <x:v>0.05482508789472529</x:v>
      </x:c>
      <x:c r="H64" s="38" t="n">
        <x:f>'Protected Results'!L65</x:f>
        <x:v>1</x:v>
      </x:c>
      <x:c r="I64" s="38" t="n">
        <x:f>'Protected Results'!N65</x:f>
        <x:v>31</x:v>
      </x:c>
      <x:c r="J64" s="21" t="n">
        <x:f>'Leverage Only Results'!F65</x:f>
        <x:v>1.7961374344716288</x:v>
      </x:c>
      <x:c r="K64" s="21" t="n">
        <x:f>'Leverage Only Results'!G65</x:f>
        <x:v>0.4684542363030186</x:v>
      </x:c>
      <x:c r="L64" s="21" t="n">
        <x:f>'Leverage Only Results'!H65</x:f>
        <x:v>0.9107812639081152</x:v>
      </x:c>
      <x:c r="M64" s="21" t="n">
        <x:f>'Leverage Only Results'!I65</x:f>
        <x:v>0</x:v>
      </x:c>
      <x:c r="N64" s="38" t="n">
        <x:f>'Leverage Only Results'!L65</x:f>
        <x:v>1</x:v>
      </x:c>
      <x:c r="O64" s="38" t="n">
        <x:f>'Leverage Only Results'!N65</x:f>
        <x:v>45</x:v>
      </x:c>
      <x:c r="P64" s="21" t="n">
        <x:f>MIN(E64,K64)</x:f>
        <x:v>0.4684542363030186</x:v>
      </x:c>
      <x:c r="Q64" s="21" t="n">
        <x:f>AVERAGE(G64,M64)</x:f>
        <x:v>0.027412543947362644</x:v>
      </x:c>
      <x:c r="R64" s="38" t="n">
        <x:f>H64+N64</x:f>
        <x:v>2</x:v>
      </x:c>
      <x:c r="S64" t="str">
        <x:f>IF(AND(P64&gt;=75%,Q64&gt;0,R64&gt;=2),"YES","")</x:f>
      </x:c>
      <x:c r="T64" t="str">
        <x:f>IF(AND(P64&gt;=80%,Q64&gt;=5%),"Strong cross-mode risk reducer",IF(S64="YES","Balanced candidate","Mode-specific / fragile"))</x:f>
        <x:v>Mode-specific / fragile</x:v>
      </x:c>
    </x:row>
    <x:row r="65">
      <x:c r="A65" t="n">
        <x:v>60</x:v>
      </x:c>
      <x:c r="B65" s="39" t="str">
        <x:v>Premarket rolling shock</x:v>
      </x:c>
      <x:c r="C65" s="39" t="str">
        <x:v>Skip when the worst premarket 60-minute candle is -1.1% or worse.</x:v>
      </x:c>
      <x:c r="D65" s="21" t="n">
        <x:f>'Protected Results'!F66</x:f>
        <x:v>5.123275065441922</x:v>
      </x:c>
      <x:c r="E65" s="21" t="n">
        <x:f>'Protected Results'!G66</x:f>
        <x:v>0.7126543340689204</x:v>
      </x:c>
      <x:c r="F65" s="21" t="n">
        <x:f>'Protected Results'!H66</x:f>
        <x:v>0.8018169004433184</x:v>
      </x:c>
      <x:c r="G65" s="21" t="n">
        <x:f>'Protected Results'!I66</x:f>
        <x:v>0.011647380450328648</x:v>
      </x:c>
      <x:c r="H65" s="38" t="n">
        <x:f>'Protected Results'!L66</x:f>
        <x:v>1</x:v>
      </x:c>
      <x:c r="I65" s="38" t="n">
        <x:f>'Protected Results'!N66</x:f>
        <x:v>20</x:v>
      </x:c>
      <x:c r="J65" s="21" t="n">
        <x:f>'Leverage Only Results'!F66</x:f>
        <x:v>1.9782711454999538</x:v>
      </x:c>
      <x:c r="K65" s="21" t="n">
        <x:f>'Leverage Only Results'!G66</x:f>
        <x:v>0.5159568977738584</x:v>
      </x:c>
      <x:c r="L65" s="21" t="n">
        <x:f>'Leverage Only Results'!H66</x:f>
        <x:v>0.9107812639081152</x:v>
      </x:c>
      <x:c r="M65" s="21" t="n">
        <x:f>'Leverage Only Results'!I66</x:f>
        <x:v>0</x:v>
      </x:c>
      <x:c r="N65" s="38" t="n">
        <x:f>'Leverage Only Results'!L66</x:f>
        <x:v>1</x:v>
      </x:c>
      <x:c r="O65" s="38" t="n">
        <x:f>'Leverage Only Results'!N66</x:f>
        <x:v>30</x:v>
      </x:c>
      <x:c r="P65" s="21" t="n">
        <x:f>MIN(E65,K65)</x:f>
        <x:v>0.5159568977738584</x:v>
      </x:c>
      <x:c r="Q65" s="21" t="n">
        <x:f>AVERAGE(G65,M65)</x:f>
        <x:v>0.005823690225164324</x:v>
      </x:c>
      <x:c r="R65" s="38" t="n">
        <x:f>H65+N65</x:f>
        <x:v>2</x:v>
      </x:c>
      <x:c r="S65" t="str">
        <x:f>IF(AND(P65&gt;=75%,Q65&gt;0,R65&gt;=2),"YES","")</x:f>
      </x:c>
      <x:c r="T65" t="str">
        <x:f>IF(AND(P65&gt;=80%,Q65&gt;=5%),"Strong cross-mode risk reducer",IF(S65="YES","Balanced candidate","Mode-specific / fragile"))</x:f>
        <x:v>Mode-specific / fragile</x:v>
      </x:c>
    </x:row>
    <x:row r="66">
      <x:c r="A66" t="n">
        <x:v>61</x:v>
      </x:c>
      <x:c r="B66" s="39" t="str">
        <x:v>Premarket range and weak close</x:v>
      </x:c>
      <x:c r="C66" s="39" t="str">
        <x:v>Skip when premarket range is at least 0.6% and closes in its bottom 10%.</x:v>
      </x:c>
      <x:c r="D66" s="21" t="n">
        <x:f>'Protected Results'!F67</x:f>
        <x:v>7.9651619299624326</x:v>
      </x:c>
      <x:c r="E66" s="21" t="n">
        <x:f>'Protected Results'!G67</x:f>
        <x:v>1.1079645536187623</x:v>
      </x:c>
      <x:c r="F66" s="21" t="n">
        <x:f>'Protected Results'!H67</x:f>
        <x:v>0.8134708872156257</x:v>
      </x:c>
      <x:c r="G66" s="21" t="n">
        <x:f>'Protected Results'!I67</x:f>
        <x:v>-0.000006606321978575025</x:v>
      </x:c>
      <x:c r="H66" s="38" t="n">
        <x:f>'Protected Results'!L67</x:f>
        <x:v>1</x:v>
      </x:c>
      <x:c r="I66" s="38" t="n">
        <x:f>'Protected Results'!N67</x:f>
        <x:v>4</x:v>
      </x:c>
      <x:c r="J66" s="21" t="n">
        <x:f>'Leverage Only Results'!F67</x:f>
        <x:v>4.137313288486604</x:v>
      </x:c>
      <x:c r="K66" s="21" t="n">
        <x:f>'Leverage Only Results'!G67</x:f>
        <x:v>1.0790610449441844</x:v>
      </x:c>
      <x:c r="L66" s="21" t="n">
        <x:f>'Leverage Only Results'!H67</x:f>
        <x:v>0.8871498807961479</x:v>
      </x:c>
      <x:c r="M66" s="21" t="n">
        <x:f>'Leverage Only Results'!I67</x:f>
        <x:v>0.02363138311196733</x:v>
      </x:c>
      <x:c r="N66" s="38" t="n">
        <x:f>'Leverage Only Results'!L67</x:f>
        <x:v>3</x:v>
      </x:c>
      <x:c r="O66" s="38" t="n">
        <x:f>'Leverage Only Results'!N67</x:f>
        <x:v>26</x:v>
      </x:c>
      <x:c r="P66" s="21" t="n">
        <x:f>MIN(E66,K66)</x:f>
        <x:v>1.0790610449441844</x:v>
      </x:c>
      <x:c r="Q66" s="21" t="n">
        <x:f>AVERAGE(G66,M66)</x:f>
        <x:v>0.011812388394994378</x:v>
      </x:c>
      <x:c r="R66" s="38" t="n">
        <x:f>H66+N66</x:f>
        <x:v>4</x:v>
      </x:c>
      <x:c r="S66" t="str">
        <x:f>IF(AND(P66&gt;=75%,Q66&gt;0,R66&gt;=2),"YES","")</x:f>
        <x:v>YES</x:v>
      </x:c>
      <x:c r="T66" t="str">
        <x:f>IF(AND(P66&gt;=80%,Q66&gt;=5%),"Strong cross-mode risk reducer",IF(S66="YES","Balanced candidate","Mode-specific / fragile"))</x:f>
        <x:v>Balanced candidate</x:v>
      </x:c>
    </x:row>
    <x:row r="67">
      <x:c r="A67" t="n">
        <x:v>62</x:v>
      </x:c>
      <x:c r="B67" s="39" t="str">
        <x:v>Premarket range and weak close</x:v>
      </x:c>
      <x:c r="C67" s="39" t="str">
        <x:v>Skip when premarket range is at least 0.6% and closes in its bottom 20%.</x:v>
      </x:c>
      <x:c r="D67" s="21" t="n">
        <x:f>'Protected Results'!F68</x:f>
        <x:v>5.429100033350369</x:v>
      </x:c>
      <x:c r="E67" s="21" t="n">
        <x:f>'Protected Results'!G68</x:f>
        <x:v>0.7551949913755263</x:v>
      </x:c>
      <x:c r="F67" s="21" t="n">
        <x:f>'Protected Results'!H68</x:f>
        <x:v>0.8133111971667685</x:v>
      </x:c>
      <x:c r="G67" s="21" t="n">
        <x:f>'Protected Results'!I68</x:f>
        <x:v>0.00015308372687861116</x:v>
      </x:c>
      <x:c r="H67" s="38" t="n">
        <x:f>'Protected Results'!L68</x:f>
        <x:v>1</x:v>
      </x:c>
      <x:c r="I67" s="38" t="n">
        <x:f>'Protected Results'!N68</x:f>
        <x:v>27</x:v>
      </x:c>
      <x:c r="J67" s="21" t="n">
        <x:f>'Leverage Only Results'!F68</x:f>
        <x:v>3.2839766409345614</x:v>
      </x:c>
      <x:c r="K67" s="21" t="n">
        <x:f>'Leverage Only Results'!G68</x:f>
        <x:v>0.8565005883408373</x:v>
      </x:c>
      <x:c r="L67" s="21" t="n">
        <x:f>'Leverage Only Results'!H68</x:f>
        <x:v>0.8970846320976544</x:v>
      </x:c>
      <x:c r="M67" s="21" t="n">
        <x:f>'Leverage Only Results'!I68</x:f>
        <x:v>0.013696631810460769</x:v>
      </x:c>
      <x:c r="N67" s="38" t="n">
        <x:f>'Leverage Only Results'!L68</x:f>
        <x:v>6</x:v>
      </x:c>
      <x:c r="O67" s="38" t="n">
        <x:f>'Leverage Only Results'!N68</x:f>
        <x:v>62</x:v>
      </x:c>
      <x:c r="P67" s="21" t="n">
        <x:f>MIN(E67,K67)</x:f>
        <x:v>0.7551949913755263</x:v>
      </x:c>
      <x:c r="Q67" s="21" t="n">
        <x:f>AVERAGE(G67,M67)</x:f>
        <x:v>0.00692485776866969</x:v>
      </x:c>
      <x:c r="R67" s="38" t="n">
        <x:f>H67+N67</x:f>
        <x:v>7</x:v>
      </x:c>
      <x:c r="S67" t="str">
        <x:f>IF(AND(P67&gt;=75%,Q67&gt;0,R67&gt;=2),"YES","")</x:f>
        <x:v>YES</x:v>
      </x:c>
      <x:c r="T67" t="str">
        <x:f>IF(AND(P67&gt;=80%,Q67&gt;=5%),"Strong cross-mode risk reducer",IF(S67="YES","Balanced candidate","Mode-specific / fragile"))</x:f>
        <x:v>Balanced candidate</x:v>
      </x:c>
    </x:row>
    <x:row r="68">
      <x:c r="A68" t="n">
        <x:v>63</x:v>
      </x:c>
      <x:c r="B68" s="39" t="str">
        <x:v>Premarket range and weak close</x:v>
      </x:c>
      <x:c r="C68" s="39" t="str">
        <x:v>Skip when premarket range is at least 0.6% and closes in its bottom 30%.</x:v>
      </x:c>
      <x:c r="D68" s="21" t="n">
        <x:f>'Protected Results'!F69</x:f>
        <x:v>4.0404456764655015</x:v>
      </x:c>
      <x:c r="E68" s="21" t="n">
        <x:f>'Protected Results'!G69</x:f>
        <x:v>0.562031334668305</x:v>
      </x:c>
      <x:c r="F68" s="21" t="n">
        <x:f>'Protected Results'!H69</x:f>
        <x:v>0.8321570190536367</x:v>
      </x:c>
      <x:c r="G68" s="21" t="n">
        <x:f>'Protected Results'!I69</x:f>
        <x:v>-0.01869273815998962</x:v>
      </x:c>
      <x:c r="H68" s="38" t="n">
        <x:f>'Protected Results'!L69</x:f>
        <x:v>1</x:v>
      </x:c>
      <x:c r="I68" s="38" t="n">
        <x:f>'Protected Results'!N69</x:f>
        <x:v>57</x:v>
      </x:c>
      <x:c r="J68" s="21" t="n">
        <x:f>'Leverage Only Results'!F69</x:f>
        <x:v>2.6855072870675</x:v>
      </x:c>
      <x:c r="K68" s="21" t="n">
        <x:f>'Leverage Only Results'!G69</x:f>
        <x:v>0.7004125859775728</x:v>
      </x:c>
      <x:c r="L68" s="21" t="n">
        <x:f>'Leverage Only Results'!H69</x:f>
        <x:v>0.8184315957331105</x:v>
      </x:c>
      <x:c r="M68" s="21" t="n">
        <x:f>'Leverage Only Results'!I69</x:f>
        <x:v>0.09234966817500467</x:v>
      </x:c>
      <x:c r="N68" s="38" t="n">
        <x:f>'Leverage Only Results'!L69</x:f>
        <x:v>7</x:v>
      </x:c>
      <x:c r="O68" s="38" t="n">
        <x:f>'Leverage Only Results'!N69</x:f>
        <x:v>91</x:v>
      </x:c>
      <x:c r="P68" s="21" t="n">
        <x:f>MIN(E68,K68)</x:f>
        <x:v>0.562031334668305</x:v>
      </x:c>
      <x:c r="Q68" s="21" t="n">
        <x:f>AVERAGE(G68,M68)</x:f>
        <x:v>0.03682846500750753</x:v>
      </x:c>
      <x:c r="R68" s="38" t="n">
        <x:f>H68+N68</x:f>
        <x:v>8</x:v>
      </x:c>
      <x:c r="S68" t="str">
        <x:f>IF(AND(P68&gt;=75%,Q68&gt;0,R68&gt;=2),"YES","")</x:f>
      </x:c>
      <x:c r="T68" t="str">
        <x:f>IF(AND(P68&gt;=80%,Q68&gt;=5%),"Strong cross-mode risk reducer",IF(S68="YES","Balanced candidate","Mode-specific / fragile"))</x:f>
        <x:v>Mode-specific / fragile</x:v>
      </x:c>
    </x:row>
    <x:row r="69">
      <x:c r="A69" t="n">
        <x:v>64</x:v>
      </x:c>
      <x:c r="B69" s="39" t="str">
        <x:v>Premarket range and weak close</x:v>
      </x:c>
      <x:c r="C69" s="39" t="str">
        <x:v>Skip when premarket range is at least 0.6% and closes in its bottom 40%.</x:v>
      </x:c>
      <x:c r="D69" s="21" t="n">
        <x:f>'Protected Results'!F70</x:f>
        <x:v>3.3562822944540747</x:v>
      </x:c>
      <x:c r="E69" s="21" t="n">
        <x:f>'Protected Results'!G70</x:f>
        <x:v>0.466863303833787</x:v>
      </x:c>
      <x:c r="F69" s="21" t="n">
        <x:f>'Protected Results'!H70</x:f>
        <x:v>0.7865894180566431</x:v>
      </x:c>
      <x:c r="G69" s="21" t="n">
        <x:f>'Protected Results'!I70</x:f>
        <x:v>0.02687486283700402</x:v>
      </x:c>
      <x:c r="H69" s="38" t="n">
        <x:f>'Protected Results'!L70</x:f>
        <x:v>3</x:v>
      </x:c>
      <x:c r="I69" s="38" t="n">
        <x:f>'Protected Results'!N70</x:f>
        <x:v>86</x:v>
      </x:c>
      <x:c r="J69" s="21" t="n">
        <x:f>'Leverage Only Results'!F70</x:f>
        <x:v>2.2309863558201184</x:v>
      </x:c>
      <x:c r="K69" s="21" t="n">
        <x:f>'Leverage Only Results'!G70</x:f>
        <x:v>0.581868062799777</x:v>
      </x:c>
      <x:c r="L69" s="21" t="n">
        <x:f>'Leverage Only Results'!H70</x:f>
        <x:v>0.8605662075350387</x:v>
      </x:c>
      <x:c r="M69" s="21" t="n">
        <x:f>'Leverage Only Results'!I70</x:f>
        <x:v>0.05021505637307655</x:v>
      </x:c>
      <x:c r="N69" s="38" t="n">
        <x:f>'Leverage Only Results'!L70</x:f>
        <x:v>9</x:v>
      </x:c>
      <x:c r="O69" s="38" t="n">
        <x:f>'Leverage Only Results'!N70</x:f>
        <x:v>120</x:v>
      </x:c>
      <x:c r="P69" s="21" t="n">
        <x:f>MIN(E69,K69)</x:f>
        <x:v>0.466863303833787</x:v>
      </x:c>
      <x:c r="Q69" s="21" t="n">
        <x:f>AVERAGE(G69,M69)</x:f>
        <x:v>0.038544959605040285</x:v>
      </x:c>
      <x:c r="R69" s="38" t="n">
        <x:f>H69+N69</x:f>
        <x:v>12</x:v>
      </x:c>
      <x:c r="S69" t="str">
        <x:f>IF(AND(P69&gt;=75%,Q69&gt;0,R69&gt;=2),"YES","")</x:f>
      </x:c>
      <x:c r="T69" t="str">
        <x:f>IF(AND(P69&gt;=80%,Q69&gt;=5%),"Strong cross-mode risk reducer",IF(S69="YES","Balanced candidate","Mode-specific / fragile"))</x:f>
        <x:v>Mode-specific / fragile</x:v>
      </x:c>
    </x:row>
    <x:row r="70">
      <x:c r="A70" t="n">
        <x:v>65</x:v>
      </x:c>
      <x:c r="B70" s="39" t="str">
        <x:v>Premarket range and weak close</x:v>
      </x:c>
      <x:c r="C70" s="39" t="str">
        <x:v>Skip when premarket range is at least 0.8% and closes in its bottom 10%.</x:v>
      </x:c>
      <x:c r="D70" s="21" t="n">
        <x:f>'Protected Results'!F71</x:f>
        <x:v>7.262167217795865</x:v>
      </x:c>
      <x:c r="E70" s="21" t="n">
        <x:f>'Protected Results'!G71</x:f>
        <x:v>1.0101770598664972</x:v>
      </x:c>
      <x:c r="F70" s="21" t="n">
        <x:f>'Protected Results'!H71</x:f>
        <x:v>0.8134642808936471</x:v>
      </x:c>
      <x:c r="G70" s="21" t="n">
        <x:f>'Protected Results'!I71</x:f>
        <x:v>0</x:v>
      </x:c>
      <x:c r="H70" s="38" t="n">
        <x:f>'Protected Results'!L71</x:f>
        <x:v>0</x:v>
      </x:c>
      <x:c r="I70" s="38" t="n">
        <x:f>'Protected Results'!N71</x:f>
        <x:v>1</x:v>
      </x:c>
      <x:c r="J70" s="21" t="n">
        <x:f>'Leverage Only Results'!F71</x:f>
        <x:v>3.726011552677739</x:v>
      </x:c>
      <x:c r="K70" s="21" t="n">
        <x:f>'Leverage Only Results'!G71</x:f>
        <x:v>0.9717886075234213</x:v>
      </x:c>
      <x:c r="L70" s="21" t="n">
        <x:f>'Leverage Only Results'!H71</x:f>
        <x:v>0.8871498781440643</x:v>
      </x:c>
      <x:c r="M70" s="21" t="n">
        <x:f>'Leverage Only Results'!I71</x:f>
        <x:v>0.023631385764050883</x:v>
      </x:c>
      <x:c r="N70" s="38" t="n">
        <x:f>'Leverage Only Results'!L71</x:f>
        <x:v>2</x:v>
      </x:c>
      <x:c r="O70" s="38" t="n">
        <x:f>'Leverage Only Results'!N71</x:f>
        <x:v>23</x:v>
      </x:c>
      <x:c r="P70" s="21" t="n">
        <x:f>MIN(E70,K70)</x:f>
        <x:v>0.9717886075234213</x:v>
      </x:c>
      <x:c r="Q70" s="21" t="n">
        <x:f>AVERAGE(G70,M70)</x:f>
        <x:v>0.011815692882025441</x:v>
      </x:c>
      <x:c r="R70" s="38" t="n">
        <x:f>H70+N70</x:f>
        <x:v>2</x:v>
      </x:c>
      <x:c r="S70" t="str">
        <x:f>IF(AND(P70&gt;=75%,Q70&gt;0,R70&gt;=2),"YES","")</x:f>
        <x:v>YES</x:v>
      </x:c>
      <x:c r="T70" t="str">
        <x:f>IF(AND(P70&gt;=80%,Q70&gt;=5%),"Strong cross-mode risk reducer",IF(S70="YES","Balanced candidate","Mode-specific / fragile"))</x:f>
        <x:v>Balanced candidate</x:v>
      </x:c>
    </x:row>
    <x:row r="71">
      <x:c r="A71" t="n">
        <x:v>66</x:v>
      </x:c>
      <x:c r="B71" s="39" t="str">
        <x:v>Premarket range and weak close</x:v>
      </x:c>
      <x:c r="C71" s="39" t="str">
        <x:v>Skip when premarket range is at least 0.8% and closes in its bottom 20%.</x:v>
      </x:c>
      <x:c r="D71" s="21" t="n">
        <x:f>'Protected Results'!F72</x:f>
        <x:v>5.293089423538525</x:v>
      </x:c>
      <x:c r="E71" s="21" t="n">
        <x:f>'Protected Results'!G72</x:f>
        <x:v>0.7362757357580444</x:v>
      </x:c>
      <x:c r="F71" s="21" t="n">
        <x:f>'Protected Results'!H72</x:f>
        <x:v>0.8133138018687878</x:v>
      </x:c>
      <x:c r="G71" s="21" t="n">
        <x:f>'Protected Results'!I72</x:f>
        <x:v>0.00015047902485931797</x:v>
      </x:c>
      <x:c r="H71" s="38" t="n">
        <x:f>'Protected Results'!L72</x:f>
        <x:v>0</x:v>
      </x:c>
      <x:c r="I71" s="38" t="n">
        <x:f>'Protected Results'!N72</x:f>
        <x:v>14</x:v>
      </x:c>
      <x:c r="J71" s="21" t="n">
        <x:f>'Leverage Only Results'!F72</x:f>
        <x:v>3.1828792958266323</x:v>
      </x:c>
      <x:c r="K71" s="21" t="n">
        <x:f>'Leverage Only Results'!G72</x:f>
        <x:v>0.8301331853315407</x:v>
      </x:c>
      <x:c r="L71" s="21" t="n">
        <x:f>'Leverage Only Results'!H72</x:f>
        <x:v>0.9025928930182997</x:v>
      </x:c>
      <x:c r="M71" s="21" t="n">
        <x:f>'Leverage Only Results'!I72</x:f>
        <x:v>0.0081883708898155</x:v>
      </x:c>
      <x:c r="N71" s="38" t="n">
        <x:f>'Leverage Only Results'!L72</x:f>
        <x:v>5</x:v>
      </x:c>
      <x:c r="O71" s="38" t="n">
        <x:f>'Leverage Only Results'!N72</x:f>
        <x:v>49</x:v>
      </x:c>
      <x:c r="P71" s="21" t="n">
        <x:f>MIN(E71,K71)</x:f>
        <x:v>0.7362757357580444</x:v>
      </x:c>
      <x:c r="Q71" s="21" t="n">
        <x:f>AVERAGE(G71,M71)</x:f>
        <x:v>0.004169424957337409</x:v>
      </x:c>
      <x:c r="R71" s="38" t="n">
        <x:f>H71+N71</x:f>
        <x:v>5</x:v>
      </x:c>
      <x:c r="S71" t="str">
        <x:f>IF(AND(P71&gt;=75%,Q71&gt;0,R71&gt;=2),"YES","")</x:f>
      </x:c>
      <x:c r="T71" t="str">
        <x:f>IF(AND(P71&gt;=80%,Q71&gt;=5%),"Strong cross-mode risk reducer",IF(S71="YES","Balanced candidate","Mode-specific / fragile"))</x:f>
        <x:v>Mode-specific / fragile</x:v>
      </x:c>
    </x:row>
    <x:row r="72">
      <x:c r="A72" t="n">
        <x:v>67</x:v>
      </x:c>
      <x:c r="B72" s="39" t="str">
        <x:v>Premarket range and weak close</x:v>
      </x:c>
      <x:c r="C72" s="39" t="str">
        <x:v>Skip when premarket range is at least 0.8% and closes in its bottom 30%.</x:v>
      </x:c>
      <x:c r="D72" s="21" t="n">
        <x:f>'Protected Results'!F73</x:f>
        <x:v>3.7738018759930885</x:v>
      </x:c>
      <x:c r="E72" s="21" t="n">
        <x:f>'Protected Results'!G73</x:f>
        <x:v>0.5249408295457028</x:v>
      </x:c>
      <x:c r="F72" s="21" t="n">
        <x:f>'Protected Results'!H73</x:f>
        <x:v>0.8321696677696384</x:v>
      </x:c>
      <x:c r="G72" s="21" t="n">
        <x:f>'Protected Results'!I73</x:f>
        <x:v>-0.018705386875991326</x:v>
      </x:c>
      <x:c r="H72" s="38" t="n">
        <x:f>'Protected Results'!L73</x:f>
        <x:v>0</x:v>
      </x:c>
      <x:c r="I72" s="38" t="n">
        <x:f>'Protected Results'!N73</x:f>
        <x:v>42</x:v>
      </x:c>
      <x:c r="J72" s="21" t="n">
        <x:f>'Leverage Only Results'!F73</x:f>
        <x:v>2.5028005110395983</x:v>
      </x:c>
      <x:c r="K72" s="21" t="n">
        <x:f>'Leverage Only Results'!G73</x:f>
        <x:v>0.6527604622653831</x:v>
      </x:c>
      <x:c r="L72" s="21" t="n">
        <x:f>'Leverage Only Results'!H73</x:f>
        <x:v>0.8184307491297869</x:v>
      </x:c>
      <x:c r="M72" s="21" t="n">
        <x:f>'Leverage Only Results'!I73</x:f>
        <x:v>0.09235051477832834</x:v>
      </x:c>
      <x:c r="N72" s="38" t="n">
        <x:f>'Leverage Only Results'!L73</x:f>
        <x:v>6</x:v>
      </x:c>
      <x:c r="O72" s="38" t="n">
        <x:f>'Leverage Only Results'!N73</x:f>
        <x:v>76</x:v>
      </x:c>
      <x:c r="P72" s="21" t="n">
        <x:f>MIN(E72,K72)</x:f>
        <x:v>0.5249408295457028</x:v>
      </x:c>
      <x:c r="Q72" s="21" t="n">
        <x:f>AVERAGE(G72,M72)</x:f>
        <x:v>0.03682256395116851</x:v>
      </x:c>
      <x:c r="R72" s="38" t="n">
        <x:f>H72+N72</x:f>
        <x:v>6</x:v>
      </x:c>
      <x:c r="S72" t="str">
        <x:f>IF(AND(P72&gt;=75%,Q72&gt;0,R72&gt;=2),"YES","")</x:f>
      </x:c>
      <x:c r="T72" t="str">
        <x:f>IF(AND(P72&gt;=80%,Q72&gt;=5%),"Strong cross-mode risk reducer",IF(S72="YES","Balanced candidate","Mode-specific / fragile"))</x:f>
        <x:v>Mode-specific / fragile</x:v>
      </x:c>
    </x:row>
    <x:row r="73">
      <x:c r="A73" t="n">
        <x:v>68</x:v>
      </x:c>
      <x:c r="B73" s="39" t="str">
        <x:v>Premarket range and weak close</x:v>
      </x:c>
      <x:c r="C73" s="39" t="str">
        <x:v>Skip when premarket range is at least 0.8% and closes in its bottom 40%.</x:v>
      </x:c>
      <x:c r="D73" s="21" t="n">
        <x:f>'Protected Results'!F74</x:f>
        <x:v>3.193175887610101</x:v>
      </x:c>
      <x:c r="E73" s="21" t="n">
        <x:f>'Protected Results'!G74</x:f>
        <x:v>0.444174987031156</x:v>
      </x:c>
      <x:c r="F73" s="21" t="n">
        <x:f>'Protected Results'!H74</x:f>
        <x:v>0.7867498335388096</x:v>
      </x:c>
      <x:c r="G73" s="21" t="n">
        <x:f>'Protected Results'!I74</x:f>
        <x:v>0.026714447354837523</x:v>
      </x:c>
      <x:c r="H73" s="38" t="n">
        <x:f>'Protected Results'!L74</x:f>
        <x:v>2</x:v>
      </x:c>
      <x:c r="I73" s="38" t="n">
        <x:f>'Protected Results'!N74</x:f>
        <x:v>64</x:v>
      </x:c>
      <x:c r="J73" s="21" t="n">
        <x:f>'Leverage Only Results'!F74</x:f>
        <x:v>2.104076115646379</x:v>
      </x:c>
      <x:c r="K73" s="21" t="n">
        <x:f>'Leverage Only Results'!G74</x:f>
        <x:v>0.5487683464314075</x:v>
      </x:c>
      <x:c r="L73" s="21" t="n">
        <x:f>'Leverage Only Results'!H74</x:f>
        <x:v>0.8331058617596874</x:v>
      </x:c>
      <x:c r="M73" s="21" t="n">
        <x:f>'Leverage Only Results'!I74</x:f>
        <x:v>0.07767540214842783</x:v>
      </x:c>
      <x:c r="N73" s="38" t="n">
        <x:f>'Leverage Only Results'!L74</x:f>
        <x:v>8</x:v>
      </x:c>
      <x:c r="O73" s="38" t="n">
        <x:f>'Leverage Only Results'!N74</x:f>
        <x:v>98</x:v>
      </x:c>
      <x:c r="P73" s="21" t="n">
        <x:f>MIN(E73,K73)</x:f>
        <x:v>0.444174987031156</x:v>
      </x:c>
      <x:c r="Q73" s="21" t="n">
        <x:f>AVERAGE(G73,M73)</x:f>
        <x:v>0.052194924751632676</x:v>
      </x:c>
      <x:c r="R73" s="38" t="n">
        <x:f>H73+N73</x:f>
        <x:v>10</x:v>
      </x:c>
      <x:c r="S73" t="str">
        <x:f>IF(AND(P73&gt;=75%,Q73&gt;0,R73&gt;=2),"YES","")</x:f>
      </x:c>
      <x:c r="T73" t="str">
        <x:f>IF(AND(P73&gt;=80%,Q73&gt;=5%),"Strong cross-mode risk reducer",IF(S73="YES","Balanced candidate","Mode-specific / fragile"))</x:f>
        <x:v>Mode-specific / fragile</x:v>
      </x:c>
    </x:row>
    <x:row r="74">
      <x:c r="A74" t="n">
        <x:v>69</x:v>
      </x:c>
      <x:c r="B74" s="39" t="str">
        <x:v>Premarket range and weak close</x:v>
      </x:c>
      <x:c r="C74" s="39" t="str">
        <x:v>Skip when premarket range is at least 1.0% and closes in its bottom 10%.</x:v>
      </x:c>
      <x:c r="D74" s="21" t="n">
        <x:f>'Protected Results'!F75</x:f>
        <x:v>7.262167217795865</x:v>
      </x:c>
      <x:c r="E74" s="21" t="n">
        <x:f>'Protected Results'!G75</x:f>
        <x:v>1.0101770598664972</x:v>
      </x:c>
      <x:c r="F74" s="21" t="n">
        <x:f>'Protected Results'!H75</x:f>
        <x:v>0.8134642808936471</x:v>
      </x:c>
      <x:c r="G74" s="21" t="n">
        <x:f>'Protected Results'!I75</x:f>
        <x:v>0</x:v>
      </x:c>
      <x:c r="H74" s="38" t="n">
        <x:f>'Protected Results'!L75</x:f>
        <x:v>0</x:v>
      </x:c>
      <x:c r="I74" s="38" t="n">
        <x:f>'Protected Results'!N75</x:f>
        <x:v>1</x:v>
      </x:c>
      <x:c r="J74" s="21" t="n">
        <x:f>'Leverage Only Results'!F75</x:f>
        <x:v>3.6099321319392503</x:v>
      </x:c>
      <x:c r="K74" s="21" t="n">
        <x:f>'Leverage Only Results'!G75</x:f>
        <x:v>0.9415136990732549</x:v>
      </x:c>
      <x:c r="L74" s="21" t="n">
        <x:f>'Leverage Only Results'!H75</x:f>
        <x:v>0.8871498750353441</x:v>
      </x:c>
      <x:c r="M74" s="21" t="n">
        <x:f>'Leverage Only Results'!I75</x:f>
        <x:v>0.023631388872771053</x:v>
      </x:c>
      <x:c r="N74" s="38" t="n">
        <x:f>'Leverage Only Results'!L75</x:f>
        <x:v>1</x:v>
      </x:c>
      <x:c r="O74" s="38" t="n">
        <x:f>'Leverage Only Results'!N75</x:f>
        <x:v>21</x:v>
      </x:c>
      <x:c r="P74" s="21" t="n">
        <x:f>MIN(E74,K74)</x:f>
        <x:v>0.9415136990732549</x:v>
      </x:c>
      <x:c r="Q74" s="21" t="n">
        <x:f>AVERAGE(G74,M74)</x:f>
        <x:v>0.011815694436385527</x:v>
      </x:c>
      <x:c r="R74" s="38" t="n">
        <x:f>H74+N74</x:f>
        <x:v>1</x:v>
      </x:c>
      <x:c r="S74" t="str">
        <x:f>IF(AND(P74&gt;=75%,Q74&gt;0,R74&gt;=2),"YES","")</x:f>
      </x:c>
      <x:c r="T74" t="str">
        <x:f>IF(AND(P74&gt;=80%,Q74&gt;=5%),"Strong cross-mode risk reducer",IF(S74="YES","Balanced candidate","Mode-specific / fragile"))</x:f>
        <x:v>Mode-specific / fragile</x:v>
      </x:c>
    </x:row>
    <x:row r="75">
      <x:c r="A75" t="n">
        <x:v>70</x:v>
      </x:c>
      <x:c r="B75" s="39" t="str">
        <x:v>Premarket range and weak close</x:v>
      </x:c>
      <x:c r="C75" s="39" t="str">
        <x:v>Skip when premarket range is at least 1.0% and closes in its bottom 20%.</x:v>
      </x:c>
      <x:c r="D75" s="21" t="n">
        <x:f>'Protected Results'!F76</x:f>
        <x:v>5.553372050413207</x:v>
      </x:c>
      <x:c r="E75" s="21" t="n">
        <x:f>'Protected Results'!G76</x:f>
        <x:v>0.772481393224356</x:v>
      </x:c>
      <x:c r="F75" s="21" t="n">
        <x:f>'Protected Results'!H76</x:f>
        <x:v>0.8132372752577086</x:v>
      </x:c>
      <x:c r="G75" s="21" t="n">
        <x:f>'Protected Results'!I76</x:f>
        <x:v>0.0002270056359384709</x:v>
      </x:c>
      <x:c r="H75" s="38" t="n">
        <x:f>'Protected Results'!L76</x:f>
        <x:v>0</x:v>
      </x:c>
      <x:c r="I75" s="38" t="n">
        <x:f>'Protected Results'!N76</x:f>
        <x:v>11</x:v>
      </x:c>
      <x:c r="J75" s="21" t="n">
        <x:f>'Leverage Only Results'!F76</x:f>
        <x:v>2.5860329860777527</x:v>
      </x:c>
      <x:c r="K75" s="21" t="n">
        <x:f>'Leverage Only Results'!G76</x:f>
        <x:v>0.674468492386741</x:v>
      </x:c>
      <x:c r="L75" s="21" t="n">
        <x:f>'Leverage Only Results'!H76</x:f>
        <x:v>0.8931897999301911</x:v>
      </x:c>
      <x:c r="M75" s="21" t="n">
        <x:f>'Leverage Only Results'!I76</x:f>
        <x:v>0.017591463977924104</x:v>
      </x:c>
      <x:c r="N75" s="38" t="n">
        <x:f>'Leverage Only Results'!L76</x:f>
        <x:v>3</x:v>
      </x:c>
      <x:c r="O75" s="38" t="n">
        <x:f>'Leverage Only Results'!N76</x:f>
        <x:v>42</x:v>
      </x:c>
      <x:c r="P75" s="21" t="n">
        <x:f>MIN(E75,K75)</x:f>
        <x:v>0.674468492386741</x:v>
      </x:c>
      <x:c r="Q75" s="21" t="n">
        <x:f>AVERAGE(G75,M75)</x:f>
        <x:v>0.008909234806931288</x:v>
      </x:c>
      <x:c r="R75" s="38" t="n">
        <x:f>H75+N75</x:f>
        <x:v>3</x:v>
      </x:c>
      <x:c r="S75" t="str">
        <x:f>IF(AND(P75&gt;=75%,Q75&gt;0,R75&gt;=2),"YES","")</x:f>
      </x:c>
      <x:c r="T75" t="str">
        <x:f>IF(AND(P75&gt;=80%,Q75&gt;=5%),"Strong cross-mode risk reducer",IF(S75="YES","Balanced candidate","Mode-specific / fragile"))</x:f>
        <x:v>Mode-specific / fragile</x:v>
      </x:c>
    </x:row>
    <x:row r="76">
      <x:c r="A76" t="n">
        <x:v>71</x:v>
      </x:c>
      <x:c r="B76" s="39" t="str">
        <x:v>Premarket range and weak close</x:v>
      </x:c>
      <x:c r="C76" s="39" t="str">
        <x:v>Skip when premarket range is at least 1.0% and closes in its bottom 30%.</x:v>
      </x:c>
      <x:c r="D76" s="21" t="n">
        <x:f>'Protected Results'!F77</x:f>
        <x:v>4.540113010463334</x:v>
      </x:c>
      <x:c r="E76" s="21" t="n">
        <x:f>'Protected Results'!G77</x:f>
        <x:v>0.631535721338495</x:v>
      </x:c>
      <x:c r="F76" s="21" t="n">
        <x:f>'Protected Results'!H77</x:f>
        <x:v>0.8323537809023817</x:v>
      </x:c>
      <x:c r="G76" s="21" t="n">
        <x:f>'Protected Results'!I77</x:f>
        <x:v>-0.018889500008734572</x:v>
      </x:c>
      <x:c r="H76" s="38" t="n">
        <x:f>'Protected Results'!L77</x:f>
        <x:v>0</x:v>
      </x:c>
      <x:c r="I76" s="38" t="n">
        <x:f>'Protected Results'!N77</x:f>
        <x:v>31</x:v>
      </x:c>
      <x:c r="J76" s="21" t="n">
        <x:f>'Leverage Only Results'!F77</x:f>
        <x:v>1.9519460648617155</x:v>
      </x:c>
      <x:c r="K76" s="21" t="n">
        <x:f>'Leverage Only Results'!G77</x:f>
        <x:v>0.5090910002599363</x:v>
      </x:c>
      <x:c r="L76" s="21" t="n">
        <x:f>'Leverage Only Results'!H77</x:f>
        <x:v>0.8931894508493899</x:v>
      </x:c>
      <x:c r="M76" s="21" t="n">
        <x:f>'Leverage Only Results'!I77</x:f>
        <x:v>0.01759181305872526</x:v>
      </x:c>
      <x:c r="N76" s="38" t="n">
        <x:f>'Leverage Only Results'!L77</x:f>
        <x:v>3</x:v>
      </x:c>
      <x:c r="O76" s="38" t="n">
        <x:f>'Leverage Only Results'!N77</x:f>
        <x:v>61</x:v>
      </x:c>
      <x:c r="P76" s="21" t="n">
        <x:f>MIN(E76,K76)</x:f>
        <x:v>0.5090910002599363</x:v>
      </x:c>
      <x:c r="Q76" s="21" t="n">
        <x:f>AVERAGE(G76,M76)</x:f>
        <x:v>-0.0006488434750046568</x:v>
      </x:c>
      <x:c r="R76" s="38" t="n">
        <x:f>H76+N76</x:f>
        <x:v>3</x:v>
      </x:c>
      <x:c r="S76" t="str">
        <x:f>IF(AND(P76&gt;=75%,Q76&gt;0,R76&gt;=2),"YES","")</x:f>
      </x:c>
      <x:c r="T76" t="str">
        <x:f>IF(AND(P76&gt;=80%,Q76&gt;=5%),"Strong cross-mode risk reducer",IF(S76="YES","Balanced candidate","Mode-specific / fragile"))</x:f>
        <x:v>Mode-specific / fragile</x:v>
      </x:c>
    </x:row>
    <x:row r="77">
      <x:c r="A77" t="n">
        <x:v>72</x:v>
      </x:c>
      <x:c r="B77" s="39" t="str">
        <x:v>Premarket range and weak close</x:v>
      </x:c>
      <x:c r="C77" s="39" t="str">
        <x:v>Skip when premarket range is at least 1.0% and closes in its bottom 40%.</x:v>
      </x:c>
      <x:c r="D77" s="21" t="n">
        <x:f>'Protected Results'!F78</x:f>
        <x:v>3.5980241877822543</x:v>
      </x:c>
      <x:c r="E77" s="21" t="n">
        <x:f>'Protected Results'!G78</x:f>
        <x:v>0.5004899207547533</x:v>
      </x:c>
      <x:c r="F77" s="21" t="n">
        <x:f>'Protected Results'!H78</x:f>
        <x:v>0.8473197105112045</x:v>
      </x:c>
      <x:c r="G77" s="21" t="n">
        <x:f>'Protected Results'!I78</x:f>
        <x:v>-0.03385542961755739</x:v>
      </x:c>
      <x:c r="H77" s="38" t="n">
        <x:f>'Protected Results'!L78</x:f>
        <x:v>1</x:v>
      </x:c>
      <x:c r="I77" s="38" t="n">
        <x:f>'Protected Results'!N78</x:f>
        <x:v>48</x:v>
      </x:c>
      <x:c r="J77" s="21" t="n">
        <x:f>'Leverage Only Results'!F78</x:f>
        <x:v>1.543398785923931</x:v>
      </x:c>
      <x:c r="K77" s="21" t="n">
        <x:f>'Leverage Only Results'!G78</x:f>
        <x:v>0.40253695830558206</x:v>
      </x:c>
      <x:c r="L77" s="21" t="n">
        <x:f>'Leverage Only Results'!H78</x:f>
        <x:v>0.8869482903907699</x:v>
      </x:c>
      <x:c r="M77" s="21" t="n">
        <x:f>'Leverage Only Results'!I78</x:f>
        <x:v>0.023832973517345257</x:v>
      </x:c>
      <x:c r="N77" s="38" t="n">
        <x:f>'Leverage Only Results'!L78</x:f>
        <x:v>4</x:v>
      </x:c>
      <x:c r="O77" s="38" t="n">
        <x:f>'Leverage Only Results'!N78</x:f>
        <x:v>78</x:v>
      </x:c>
      <x:c r="P77" s="21" t="n">
        <x:f>MIN(E77,K77)</x:f>
        <x:v>0.40253695830558206</x:v>
      </x:c>
      <x:c r="Q77" s="21" t="n">
        <x:f>AVERAGE(G77,M77)</x:f>
        <x:v>-0.005011228050106065</x:v>
      </x:c>
      <x:c r="R77" s="38" t="n">
        <x:f>H77+N77</x:f>
        <x:v>5</x:v>
      </x:c>
      <x:c r="S77" t="str">
        <x:f>IF(AND(P77&gt;=75%,Q77&gt;0,R77&gt;=2),"YES","")</x:f>
      </x:c>
      <x:c r="T77" t="str">
        <x:f>IF(AND(P77&gt;=80%,Q77&gt;=5%),"Strong cross-mode risk reducer",IF(S77="YES","Balanced candidate","Mode-specific / fragile"))</x:f>
        <x:v>Mode-specific / fragile</x:v>
      </x:c>
    </x:row>
    <x:row r="78">
      <x:c r="A78" t="n">
        <x:v>73</x:v>
      </x:c>
      <x:c r="B78" s="39" t="str">
        <x:v>Premarket range and weak close</x:v>
      </x:c>
      <x:c r="C78" s="39" t="str">
        <x:v>Skip when premarket range is at least 1.2% and closes in its bottom 10%.</x:v>
      </x:c>
      <x:c r="D78" s="21" t="n">
        <x:f>'Protected Results'!F79</x:f>
        <x:v>7.262167217795865</x:v>
      </x:c>
      <x:c r="E78" s="21" t="n">
        <x:f>'Protected Results'!G79</x:f>
        <x:v>1.0101770598664972</x:v>
      </x:c>
      <x:c r="F78" s="21" t="n">
        <x:f>'Protected Results'!H79</x:f>
        <x:v>0.8134642808936471</x:v>
      </x:c>
      <x:c r="G78" s="21" t="n">
        <x:f>'Protected Results'!I79</x:f>
        <x:v>0</x:v>
      </x:c>
      <x:c r="H78" s="38" t="n">
        <x:f>'Protected Results'!L79</x:f>
        <x:v>0</x:v>
      </x:c>
      <x:c r="I78" s="38" t="n">
        <x:f>'Protected Results'!N79</x:f>
        <x:v>1</x:v>
      </x:c>
      <x:c r="J78" s="21" t="n">
        <x:f>'Leverage Only Results'!F79</x:f>
        <x:v>3.6283437905804785</x:v>
      </x:c>
      <x:c r="K78" s="21" t="n">
        <x:f>'Leverage Only Results'!G79</x:f>
        <x:v>0.9463156809941905</x:v>
      </x:c>
      <x:c r="L78" s="21" t="n">
        <x:f>'Leverage Only Results'!H79</x:f>
        <x:v>0.8871498760548409</x:v>
      </x:c>
      <x:c r="M78" s="21" t="n">
        <x:f>'Leverage Only Results'!I79</x:f>
        <x:v>0.023631387853274344</x:v>
      </x:c>
      <x:c r="N78" s="38" t="n">
        <x:f>'Leverage Only Results'!L79</x:f>
        <x:v>1</x:v>
      </x:c>
      <x:c r="O78" s="38" t="n">
        <x:f>'Leverage Only Results'!N79</x:f>
        <x:v>18</x:v>
      </x:c>
      <x:c r="P78" s="21" t="n">
        <x:f>MIN(E78,K78)</x:f>
        <x:v>0.9463156809941905</x:v>
      </x:c>
      <x:c r="Q78" s="21" t="n">
        <x:f>AVERAGE(G78,M78)</x:f>
        <x:v>0.011815693926637172</x:v>
      </x:c>
      <x:c r="R78" s="38" t="n">
        <x:f>H78+N78</x:f>
        <x:v>1</x:v>
      </x:c>
      <x:c r="S78" t="str">
        <x:f>IF(AND(P78&gt;=75%,Q78&gt;0,R78&gt;=2),"YES","")</x:f>
      </x:c>
      <x:c r="T78" t="str">
        <x:f>IF(AND(P78&gt;=80%,Q78&gt;=5%),"Strong cross-mode risk reducer",IF(S78="YES","Balanced candidate","Mode-specific / fragile"))</x:f>
        <x:v>Mode-specific / fragile</x:v>
      </x:c>
    </x:row>
    <x:row r="79">
      <x:c r="A79" t="n">
        <x:v>74</x:v>
      </x:c>
      <x:c r="B79" s="39" t="str">
        <x:v>Premarket range and weak close</x:v>
      </x:c>
      <x:c r="C79" s="39" t="str">
        <x:v>Skip when premarket range is at least 1.2% and closes in its bottom 20%.</x:v>
      </x:c>
      <x:c r="D79" s="21" t="n">
        <x:f>'Protected Results'!F80</x:f>
        <x:v>5.516747063342194</x:v>
      </x:c>
      <x:c r="E79" s="21" t="n">
        <x:f>'Protected Results'!G80</x:f>
        <x:v>0.7673868091081459</x:v>
      </x:c>
      <x:c r="F79" s="21" t="n">
        <x:f>'Protected Results'!H80</x:f>
        <x:v>0.8132557423821769</x:v>
      </x:c>
      <x:c r="G79" s="21" t="n">
        <x:f>'Protected Results'!I80</x:f>
        <x:v>0.00020853851147017988</x:v>
      </x:c>
      <x:c r="H79" s="38" t="n">
        <x:f>'Protected Results'!L80</x:f>
        <x:v>0</x:v>
      </x:c>
      <x:c r="I79" s="38" t="n">
        <x:f>'Protected Results'!N80</x:f>
        <x:v>10</x:v>
      </x:c>
      <x:c r="J79" s="21" t="n">
        <x:f>'Leverage Only Results'!F80</x:f>
        <x:v>2.8297999769547966</x:v>
      </x:c>
      <x:c r="K79" s="21" t="n">
        <x:f>'Leverage Only Results'!G80</x:f>
        <x:v>0.7380458542052607</x:v>
      </x:c>
      <x:c r="L79" s="21" t="n">
        <x:f>'Leverage Only Results'!H80</x:f>
        <x:v>0.8871498399552844</x:v>
      </x:c>
      <x:c r="M79" s="21" t="n">
        <x:f>'Leverage Only Results'!I80</x:f>
        <x:v>0.0236314239528308</x:v>
      </x:c>
      <x:c r="N79" s="38" t="n">
        <x:f>'Leverage Only Results'!L80</x:f>
        <x:v>3</x:v>
      </x:c>
      <x:c r="O79" s="38" t="n">
        <x:f>'Leverage Only Results'!N80</x:f>
        <x:v>36</x:v>
      </x:c>
      <x:c r="P79" s="21" t="n">
        <x:f>MIN(E79,K79)</x:f>
        <x:v>0.7380458542052607</x:v>
      </x:c>
      <x:c r="Q79" s="21" t="n">
        <x:f>AVERAGE(G79,M79)</x:f>
        <x:v>0.01191998123215049</x:v>
      </x:c>
      <x:c r="R79" s="38" t="n">
        <x:f>H79+N79</x:f>
        <x:v>3</x:v>
      </x:c>
      <x:c r="S79" t="str">
        <x:f>IF(AND(P79&gt;=75%,Q79&gt;0,R79&gt;=2),"YES","")</x:f>
      </x:c>
      <x:c r="T79" t="str">
        <x:f>IF(AND(P79&gt;=80%,Q79&gt;=5%),"Strong cross-mode risk reducer",IF(S79="YES","Balanced candidate","Mode-specific / fragile"))</x:f>
        <x:v>Mode-specific / fragile</x:v>
      </x:c>
    </x:row>
    <x:row r="80">
      <x:c r="A80" t="n">
        <x:v>75</x:v>
      </x:c>
      <x:c r="B80" s="39" t="str">
        <x:v>Premarket range and weak close</x:v>
      </x:c>
      <x:c r="C80" s="39" t="str">
        <x:v>Skip when premarket range is at least 1.2% and closes in its bottom 30%.</x:v>
      </x:c>
      <x:c r="D80" s="21" t="n">
        <x:f>'Protected Results'!F81</x:f>
        <x:v>4.846151939126996</x:v>
      </x:c>
      <x:c r="E80" s="21" t="n">
        <x:f>'Protected Results'!G81</x:f>
        <x:v>0.6741061408689862</x:v>
      </x:c>
      <x:c r="F80" s="21" t="n">
        <x:f>'Protected Results'!H81</x:f>
        <x:v>0.8323849359396763</x:v>
      </x:c>
      <x:c r="G80" s="21" t="n">
        <x:f>'Protected Results'!I81</x:f>
        <x:v>-0.018920655046029244</x:v>
      </x:c>
      <x:c r="H80" s="38" t="n">
        <x:f>'Protected Results'!L81</x:f>
        <x:v>0</x:v>
      </x:c>
      <x:c r="I80" s="38" t="n">
        <x:f>'Protected Results'!N81</x:f>
        <x:v>25</x:v>
      </x:c>
      <x:c r="J80" s="21" t="n">
        <x:f>'Leverage Only Results'!F81</x:f>
        <x:v>2.3875968597217034</x:v>
      </x:c>
      <x:c r="K80" s="21" t="n">
        <x:f>'Leverage Only Results'!G81</x:f>
        <x:v>0.6227139650087189</x:v>
      </x:c>
      <x:c r="L80" s="21" t="n">
        <x:f>'Leverage Only Results'!H81</x:f>
        <x:v>0.887149754688589</x:v>
      </x:c>
      <x:c r="M80" s="21" t="n">
        <x:f>'Leverage Only Results'!I81</x:f>
        <x:v>0.02363150921952617</x:v>
      </x:c>
      <x:c r="N80" s="38" t="n">
        <x:f>'Leverage Only Results'!L81</x:f>
        <x:v>3</x:v>
      </x:c>
      <x:c r="O80" s="38" t="n">
        <x:f>'Leverage Only Results'!N81</x:f>
        <x:v>50</x:v>
      </x:c>
      <x:c r="P80" s="21" t="n">
        <x:f>MIN(E80,K80)</x:f>
        <x:v>0.6227139650087189</x:v>
      </x:c>
      <x:c r="Q80" s="21" t="n">
        <x:f>AVERAGE(G80,M80)</x:f>
        <x:v>0.002355427086748463</x:v>
      </x:c>
      <x:c r="R80" s="38" t="n">
        <x:f>H80+N80</x:f>
        <x:v>3</x:v>
      </x:c>
      <x:c r="S80" t="str">
        <x:f>IF(AND(P80&gt;=75%,Q80&gt;0,R80&gt;=2),"YES","")</x:f>
      </x:c>
      <x:c r="T80" t="str">
        <x:f>IF(AND(P80&gt;=80%,Q80&gt;=5%),"Strong cross-mode risk reducer",IF(S80="YES","Balanced candidate","Mode-specific / fragile"))</x:f>
        <x:v>Mode-specific / fragile</x:v>
      </x:c>
    </x:row>
    <x:row r="81">
      <x:c r="A81" t="n">
        <x:v>76</x:v>
      </x:c>
      <x:c r="B81" s="39" t="str">
        <x:v>Premarket range and weak close</x:v>
      </x:c>
      <x:c r="C81" s="39" t="str">
        <x:v>Skip when premarket range is at least 1.2% and closes in its bottom 40%.</x:v>
      </x:c>
      <x:c r="D81" s="21" t="n">
        <x:f>'Protected Results'!F82</x:f>
        <x:v>4.027543810263735</x:v>
      </x:c>
      <x:c r="E81" s="21" t="n">
        <x:f>'Protected Results'!G82</x:f>
        <x:v>0.5602366680246406</x:v>
      </x:c>
      <x:c r="F81" s="21" t="n">
        <x:f>'Protected Results'!H82</x:f>
        <x:v>0.8475703620988804</x:v>
      </x:c>
      <x:c r="G81" s="21" t="n">
        <x:f>'Protected Results'!I82</x:f>
        <x:v>-0.034106081205233285</x:v>
      </x:c>
      <x:c r="H81" s="38" t="n">
        <x:f>'Protected Results'!L82</x:f>
        <x:v>0</x:v>
      </x:c>
      <x:c r="I81" s="38" t="n">
        <x:f>'Protected Results'!N82</x:f>
        <x:v>38</x:v>
      </x:c>
      <x:c r="J81" s="21" t="n">
        <x:f>'Leverage Only Results'!F82</x:f>
        <x:v>1.9505764055124004</x:v>
      </x:c>
      <x:c r="K81" s="21" t="n">
        <x:f>'Leverage Only Results'!G82</x:f>
        <x:v>0.5087337766354159</x:v>
      </x:c>
      <x:c r="L81" s="21" t="n">
        <x:f>'Leverage Only Results'!H82</x:f>
        <x:v>0.8805562125446875</x:v>
      </x:c>
      <x:c r="M81" s="21" t="n">
        <x:f>'Leverage Only Results'!I82</x:f>
        <x:v>0.03022505136342768</x:v>
      </x:c>
      <x:c r="N81" s="38" t="n">
        <x:f>'Leverage Only Results'!L82</x:f>
        <x:v>3</x:v>
      </x:c>
      <x:c r="O81" s="38" t="n">
        <x:f>'Leverage Only Results'!N82</x:f>
        <x:v>63</x:v>
      </x:c>
      <x:c r="P81" s="21" t="n">
        <x:f>MIN(E81,K81)</x:f>
        <x:v>0.5087337766354159</x:v>
      </x:c>
      <x:c r="Q81" s="21" t="n">
        <x:f>AVERAGE(G81,M81)</x:f>
        <x:v>-0.0019405149209028028</x:v>
      </x:c>
      <x:c r="R81" s="38" t="n">
        <x:f>H81+N81</x:f>
        <x:v>3</x:v>
      </x:c>
      <x:c r="S81" t="str">
        <x:f>IF(AND(P81&gt;=75%,Q81&gt;0,R81&gt;=2),"YES","")</x:f>
      </x:c>
      <x:c r="T81" t="str">
        <x:f>IF(AND(P81&gt;=80%,Q81&gt;=5%),"Strong cross-mode risk reducer",IF(S81="YES","Balanced candidate","Mode-specific / fragile"))</x:f>
        <x:v>Mode-specific / fragile</x:v>
      </x:c>
    </x:row>
    <x:row r="82">
      <x:c r="A82" t="n">
        <x:v>77</x:v>
      </x:c>
      <x:c r="B82" s="39" t="str">
        <x:v>Premarket range and weak close</x:v>
      </x:c>
      <x:c r="C82" s="39" t="str">
        <x:v>Skip when premarket range is at least 1.4% and closes in its bottom 10%.</x:v>
      </x:c>
      <x:c r="D82" s="21" t="n">
        <x:f>'Protected Results'!F83</x:f>
        <x:v>7.189004290748413</x:v>
      </x:c>
      <x:c r="E82" s="21" t="n">
        <x:f>'Protected Results'!G83</x:f>
        <x:v>1</x:v>
      </x:c>
      <x:c r="F82" s="21" t="n">
        <x:f>'Protected Results'!H83</x:f>
        <x:v>0.8134642808936471</x:v>
      </x:c>
      <x:c r="G82" s="21" t="n">
        <x:f>'Protected Results'!I83</x:f>
        <x:v>0</x:v>
      </x:c>
      <x:c r="H82" s="38" t="n">
        <x:f>'Protected Results'!L83</x:f>
        <x:v>0</x:v>
      </x:c>
      <x:c r="I82" s="38" t="n">
        <x:f>'Protected Results'!N83</x:f>
        <x:v>0</x:v>
      </x:c>
      <x:c r="J82" s="21" t="n">
        <x:f>'Leverage Only Results'!F83</x:f>
        <x:v>3.48770931869963</x:v>
      </x:c>
      <x:c r="K82" s="21" t="n">
        <x:f>'Leverage Only Results'!G83</x:f>
        <x:v>0.9096365200021468</x:v>
      </x:c>
      <x:c r="L82" s="21" t="n">
        <x:f>'Leverage Only Results'!H83</x:f>
        <x:v>0.8871498738412482</x:v>
      </x:c>
      <x:c r="M82" s="21" t="n">
        <x:f>'Leverage Only Results'!I83</x:f>
        <x:v>0.023631390066866986</x:v>
      </x:c>
      <x:c r="N82" s="38" t="n">
        <x:f>'Leverage Only Results'!L83</x:f>
        <x:v>1</x:v>
      </x:c>
      <x:c r="O82" s="38" t="n">
        <x:f>'Leverage Only Results'!N83</x:f>
        <x:v>13</x:v>
      </x:c>
      <x:c r="P82" s="21" t="n">
        <x:f>MIN(E82,K82)</x:f>
        <x:v>0.9096365200021468</x:v>
      </x:c>
      <x:c r="Q82" s="21" t="n">
        <x:f>AVERAGE(G82,M82)</x:f>
        <x:v>0.011815695033433493</x:v>
      </x:c>
      <x:c r="R82" s="38" t="n">
        <x:f>H82+N82</x:f>
        <x:v>1</x:v>
      </x:c>
      <x:c r="S82" t="str">
        <x:f>IF(AND(P82&gt;=75%,Q82&gt;0,R82&gt;=2),"YES","")</x:f>
      </x:c>
      <x:c r="T82" t="str">
        <x:f>IF(AND(P82&gt;=80%,Q82&gt;=5%),"Strong cross-mode risk reducer",IF(S82="YES","Balanced candidate","Mode-specific / fragile"))</x:f>
        <x:v>Mode-specific / fragile</x:v>
      </x:c>
    </x:row>
    <x:row r="83">
      <x:c r="A83" t="n">
        <x:v>78</x:v>
      </x:c>
      <x:c r="B83" s="39" t="str">
        <x:v>Premarket range and weak close</x:v>
      </x:c>
      <x:c r="C83" s="39" t="str">
        <x:v>Skip when premarket range is at least 1.4% and closes in its bottom 20%.</x:v>
      </x:c>
      <x:c r="D83" s="21" t="n">
        <x:f>'Protected Results'!F84</x:f>
        <x:v>5.699387868603396</x:v>
      </x:c>
      <x:c r="E83" s="21" t="n">
        <x:f>'Protected Results'!G84</x:f>
        <x:v>0.7927923865531676</x:v>
      </x:c>
      <x:c r="F83" s="21" t="n">
        <x:f>'Protected Results'!H84</x:f>
        <x:v>0.8132557423821769</x:v>
      </x:c>
      <x:c r="G83" s="21" t="n">
        <x:f>'Protected Results'!I84</x:f>
        <x:v>0.00020853851147017988</x:v>
      </x:c>
      <x:c r="H83" s="38" t="n">
        <x:f>'Protected Results'!L84</x:f>
        <x:v>0</x:v>
      </x:c>
      <x:c r="I83" s="38" t="n">
        <x:f>'Protected Results'!N84</x:f>
        <x:v>6</x:v>
      </x:c>
      <x:c r="J83" s="21" t="n">
        <x:f>'Leverage Only Results'!F84</x:f>
        <x:v>2.886798794741955</x:v>
      </x:c>
      <x:c r="K83" s="21" t="n">
        <x:f>'Leverage Only Results'!G84</x:f>
        <x:v>0.7529118311311929</x:v>
      </x:c>
      <x:c r="L83" s="21" t="n">
        <x:f>'Leverage Only Results'!H84</x:f>
        <x:v>0.8871498511826691</x:v>
      </x:c>
      <x:c r="M83" s="21" t="n">
        <x:f>'Leverage Only Results'!I84</x:f>
        <x:v>0.02363141272544611</x:v>
      </x:c>
      <x:c r="N83" s="38" t="n">
        <x:f>'Leverage Only Results'!L84</x:f>
        <x:v>3</x:v>
      </x:c>
      <x:c r="O83" s="38" t="n">
        <x:f>'Leverage Only Results'!N84</x:f>
        <x:v>26</x:v>
      </x:c>
      <x:c r="P83" s="21" t="n">
        <x:f>MIN(E83,K83)</x:f>
        <x:v>0.7529118311311929</x:v>
      </x:c>
      <x:c r="Q83" s="21" t="n">
        <x:f>AVERAGE(G83,M83)</x:f>
        <x:v>0.011919975618458145</x:v>
      </x:c>
      <x:c r="R83" s="38" t="n">
        <x:f>H83+N83</x:f>
        <x:v>3</x:v>
      </x:c>
      <x:c r="S83" t="str">
        <x:f>IF(AND(P83&gt;=75%,Q83&gt;0,R83&gt;=2),"YES","")</x:f>
        <x:v>YES</x:v>
      </x:c>
      <x:c r="T83" t="str">
        <x:f>IF(AND(P83&gt;=80%,Q83&gt;=5%),"Strong cross-mode risk reducer",IF(S83="YES","Balanced candidate","Mode-specific / fragile"))</x:f>
        <x:v>Balanced candidate</x:v>
      </x:c>
    </x:row>
    <x:row r="84">
      <x:c r="A84" t="n">
        <x:v>79</x:v>
      </x:c>
      <x:c r="B84" s="39" t="str">
        <x:v>Premarket range and weak close</x:v>
      </x:c>
      <x:c r="C84" s="39" t="str">
        <x:v>Skip when premarket range is at least 1.4% and closes in its bottom 30%.</x:v>
      </x:c>
      <x:c r="D84" s="21" t="n">
        <x:f>'Protected Results'!F85</x:f>
        <x:v>4.953270287018518</x:v>
      </x:c>
      <x:c r="E84" s="21" t="n">
        <x:f>'Protected Results'!G85</x:f>
        <x:v>0.6890064446606217</x:v>
      </x:c>
      <x:c r="F84" s="21" t="n">
        <x:f>'Protected Results'!H85</x:f>
        <x:v>0.8323849359396763</x:v>
      </x:c>
      <x:c r="G84" s="21" t="n">
        <x:f>'Protected Results'!I85</x:f>
        <x:v>-0.018920655046029244</x:v>
      </x:c>
      <x:c r="H84" s="38" t="n">
        <x:f>'Protected Results'!L85</x:f>
        <x:v>0</x:v>
      </x:c>
      <x:c r="I84" s="38" t="n">
        <x:f>'Protected Results'!N85</x:f>
        <x:v>17</x:v>
      </x:c>
      <x:c r="J84" s="21" t="n">
        <x:f>'Leverage Only Results'!F85</x:f>
        <x:v>2.4431829425441554</x:v>
      </x:c>
      <x:c r="K84" s="21" t="n">
        <x:f>'Leverage Only Results'!G85</x:f>
        <x:v>0.637211483671776</x:v>
      </x:c>
      <x:c r="L84" s="21" t="n">
        <x:f>'Leverage Only Results'!H85</x:f>
        <x:v>0.8871498000346721</x:v>
      </x:c>
      <x:c r="M84" s="21" t="n">
        <x:f>'Leverage Only Results'!I85</x:f>
        <x:v>0.02363146387344306</x:v>
      </x:c>
      <x:c r="N84" s="38" t="n">
        <x:f>'Leverage Only Results'!L85</x:f>
        <x:v>3</x:v>
      </x:c>
      <x:c r="O84" s="38" t="n">
        <x:f>'Leverage Only Results'!N85</x:f>
        <x:v>37</x:v>
      </x:c>
      <x:c r="P84" s="21" t="n">
        <x:f>MIN(E84,K84)</x:f>
        <x:v>0.637211483671776</x:v>
      </x:c>
      <x:c r="Q84" s="21" t="n">
        <x:f>AVERAGE(G84,M84)</x:f>
        <x:v>0.0023554044137069075</x:v>
      </x:c>
      <x:c r="R84" s="38" t="n">
        <x:f>H84+N84</x:f>
        <x:v>3</x:v>
      </x:c>
      <x:c r="S84" t="str">
        <x:f>IF(AND(P84&gt;=75%,Q84&gt;0,R84&gt;=2),"YES","")</x:f>
      </x:c>
      <x:c r="T84" t="str">
        <x:f>IF(AND(P84&gt;=80%,Q84&gt;=5%),"Strong cross-mode risk reducer",IF(S84="YES","Balanced candidate","Mode-specific / fragile"))</x:f>
        <x:v>Mode-specific / fragile</x:v>
      </x:c>
    </x:row>
    <x:row r="85">
      <x:c r="A85" t="n">
        <x:v>80</x:v>
      </x:c>
      <x:c r="B85" s="39" t="str">
        <x:v>Premarket range and weak close</x:v>
      </x:c>
      <x:c r="C85" s="39" t="str">
        <x:v>Skip when premarket range is at least 1.4% and closes in its bottom 40%.</x:v>
      </x:c>
      <x:c r="D85" s="21" t="n">
        <x:f>'Protected Results'!F86</x:f>
        <x:v>4.340650368032266</x:v>
      </x:c>
      <x:c r="E85" s="21" t="n">
        <x:f>'Protected Results'!G86</x:f>
        <x:v>0.60379020410633</x:v>
      </x:c>
      <x:c r="F85" s="21" t="n">
        <x:f>'Protected Results'!H86</x:f>
        <x:v>0.8475703620988804</x:v>
      </x:c>
      <x:c r="G85" s="21" t="n">
        <x:f>'Protected Results'!I86</x:f>
        <x:v>-0.034106081205233285</x:v>
      </x:c>
      <x:c r="H85" s="38" t="n">
        <x:f>'Protected Results'!L86</x:f>
        <x:v>0</x:v>
      </x:c>
      <x:c r="I85" s="38" t="n">
        <x:f>'Protected Results'!N86</x:f>
        <x:v>27</x:v>
      </x:c>
      <x:c r="J85" s="21" t="n">
        <x:f>'Leverage Only Results'!F86</x:f>
        <x:v>2.138845552632637</x:v>
      </x:c>
      <x:c r="K85" s="21" t="n">
        <x:f>'Leverage Only Results'!G86</x:f>
        <x:v>0.5578366336000198</x:v>
      </x:c>
      <x:c r="L85" s="21" t="n">
        <x:f>'Leverage Only Results'!H86</x:f>
        <x:v>0.8805563951923</x:v>
      </x:c>
      <x:c r="M85" s="21" t="n">
        <x:f>'Leverage Only Results'!I86</x:f>
        <x:v>0.0302248687158152</x:v>
      </x:c>
      <x:c r="N85" s="38" t="n">
        <x:f>'Leverage Only Results'!L86</x:f>
        <x:v>3</x:v>
      </x:c>
      <x:c r="O85" s="38" t="n">
        <x:f>'Leverage Only Results'!N86</x:f>
        <x:v>47</x:v>
      </x:c>
      <x:c r="P85" s="21" t="n">
        <x:f>MIN(E85,K85)</x:f>
        <x:v>0.5578366336000198</x:v>
      </x:c>
      <x:c r="Q85" s="21" t="n">
        <x:f>AVERAGE(G85,M85)</x:f>
        <x:v>-0.0019406062447090422</x:v>
      </x:c>
      <x:c r="R85" s="38" t="n">
        <x:f>H85+N85</x:f>
        <x:v>3</x:v>
      </x:c>
      <x:c r="S85" t="str">
        <x:f>IF(AND(P85&gt;=75%,Q85&gt;0,R85&gt;=2),"YES","")</x:f>
      </x:c>
      <x:c r="T85" t="str">
        <x:f>IF(AND(P85&gt;=80%,Q85&gt;=5%),"Strong cross-mode risk reducer",IF(S85="YES","Balanced candidate","Mode-specific / fragile"))</x:f>
        <x:v>Mode-specific / fragile</x:v>
      </x:c>
    </x:row>
    <x:row r="86">
      <x:c r="A86" t="n">
        <x:v>81</x:v>
      </x:c>
      <x:c r="B86" s="39" t="str">
        <x:v>Cash gap down</x:v>
      </x:c>
      <x:c r="C86" s="39" t="str">
        <x:v>Skip when cash open gaps down 0.3% or more.</x:v>
      </x:c>
      <x:c r="D86" s="21" t="n">
        <x:f>'Protected Results'!F87</x:f>
        <x:v>2.3201276588961366</x:v>
      </x:c>
      <x:c r="E86" s="21" t="n">
        <x:f>'Protected Results'!G87</x:f>
        <x:v>0.3227328243331177</x:v>
      </x:c>
      <x:c r="F86" s="21" t="n">
        <x:f>'Protected Results'!H87</x:f>
        <x:v>0.7595384690784519</x:v>
      </x:c>
      <x:c r="G86" s="21" t="n">
        <x:f>'Protected Results'!I87</x:f>
        <x:v>0.05392581181519518</x:v>
      </x:c>
      <x:c r="H86" s="38" t="n">
        <x:f>'Protected Results'!L87</x:f>
        <x:v>4</x:v>
      </x:c>
      <x:c r="I86" s="38" t="n">
        <x:f>'Protected Results'!N87</x:f>
        <x:v>97</x:v>
      </x:c>
      <x:c r="J86" s="21" t="n">
        <x:f>'Leverage Only Results'!F87</x:f>
        <x:v>1.2407644157470292</x:v>
      </x:c>
      <x:c r="K86" s="21" t="n">
        <x:f>'Leverage Only Results'!G87</x:f>
        <x:v>0.32360627625453386</x:v>
      </x:c>
      <x:c r="L86" s="21" t="n">
        <x:f>'Leverage Only Results'!H87</x:f>
        <x:v>0.886044674389585</x:v>
      </x:c>
      <x:c r="M86" s="21" t="n">
        <x:f>'Leverage Only Results'!I87</x:f>
        <x:v>0.024736589518530194</x:v>
      </x:c>
      <x:c r="N86" s="38" t="n">
        <x:f>'Leverage Only Results'!L87</x:f>
        <x:v>9</x:v>
      </x:c>
      <x:c r="O86" s="38" t="n">
        <x:f>'Leverage Only Results'!N87</x:f>
        <x:v>125</x:v>
      </x:c>
      <x:c r="P86" s="21" t="n">
        <x:f>MIN(E86,K86)</x:f>
        <x:v>0.3227328243331177</x:v>
      </x:c>
      <x:c r="Q86" s="21" t="n">
        <x:f>AVERAGE(G86,M86)</x:f>
        <x:v>0.03933120066686269</x:v>
      </x:c>
      <x:c r="R86" s="38" t="n">
        <x:f>H86+N86</x:f>
        <x:v>13</x:v>
      </x:c>
      <x:c r="S86" t="str">
        <x:f>IF(AND(P86&gt;=75%,Q86&gt;0,R86&gt;=2),"YES","")</x:f>
      </x:c>
      <x:c r="T86" t="str">
        <x:f>IF(AND(P86&gt;=80%,Q86&gt;=5%),"Strong cross-mode risk reducer",IF(S86="YES","Balanced candidate","Mode-specific / fragile"))</x:f>
        <x:v>Mode-specific / fragile</x:v>
      </x:c>
    </x:row>
    <x:row r="87">
      <x:c r="A87" t="n">
        <x:v>82</x:v>
      </x:c>
      <x:c r="B87" s="39" t="str">
        <x:v>Cash gap down</x:v>
      </x:c>
      <x:c r="C87" s="39" t="str">
        <x:v>Skip when cash open gaps down 0.4% or more.</x:v>
      </x:c>
      <x:c r="D87" s="21" t="n">
        <x:f>'Protected Results'!F88</x:f>
        <x:v>2.872284035844933</x:v>
      </x:c>
      <x:c r="E87" s="21" t="n">
        <x:f>'Protected Results'!G88</x:f>
        <x:v>0.3995385062631411</x:v>
      </x:c>
      <x:c r="F87" s="21" t="n">
        <x:f>'Protected Results'!H88</x:f>
        <x:v>0.7613028999073641</x:v>
      </x:c>
      <x:c r="G87" s="21" t="n">
        <x:f>'Protected Results'!I88</x:f>
        <x:v>0.05216138098628298</x:v>
      </x:c>
      <x:c r="H87" s="38" t="n">
        <x:f>'Protected Results'!L88</x:f>
        <x:v>4</x:v>
      </x:c>
      <x:c r="I87" s="38" t="n">
        <x:f>'Protected Results'!N88</x:f>
        <x:v>83</x:v>
      </x:c>
      <x:c r="J87" s="21" t="n">
        <x:f>'Leverage Only Results'!F88</x:f>
        <x:v>1.6537798258902385</x:v>
      </x:c>
      <x:c r="K87" s="21" t="n">
        <x:f>'Leverage Only Results'!G88</x:f>
        <x:v>0.43132566054370486</x:v>
      </x:c>
      <x:c r="L87" s="21" t="n">
        <x:f>'Leverage Only Results'!H88</x:f>
        <x:v>0.8860534594525444</x:v>
      </x:c>
      <x:c r="M87" s="21" t="n">
        <x:f>'Leverage Only Results'!I88</x:f>
        <x:v>0.024727804455570768</x:v>
      </x:c>
      <x:c r="N87" s="38" t="n">
        <x:f>'Leverage Only Results'!L88</x:f>
        <x:v>9</x:v>
      </x:c>
      <x:c r="O87" s="38" t="n">
        <x:f>'Leverage Only Results'!N88</x:f>
        <x:v>111</x:v>
      </x:c>
      <x:c r="P87" s="21" t="n">
        <x:f>MIN(E87,K87)</x:f>
        <x:v>0.3995385062631411</x:v>
      </x:c>
      <x:c r="Q87" s="21" t="n">
        <x:f>AVERAGE(G87,M87)</x:f>
        <x:v>0.03844459272092687</x:v>
      </x:c>
      <x:c r="R87" s="38" t="n">
        <x:f>H87+N87</x:f>
        <x:v>13</x:v>
      </x:c>
      <x:c r="S87" t="str">
        <x:f>IF(AND(P87&gt;=75%,Q87&gt;0,R87&gt;=2),"YES","")</x:f>
      </x:c>
      <x:c r="T87" t="str">
        <x:f>IF(AND(P87&gt;=80%,Q87&gt;=5%),"Strong cross-mode risk reducer",IF(S87="YES","Balanced candidate","Mode-specific / fragile"))</x:f>
        <x:v>Mode-specific / fragile</x:v>
      </x:c>
    </x:row>
    <x:row r="88">
      <x:c r="A88" t="n">
        <x:v>83</x:v>
      </x:c>
      <x:c r="B88" s="39" t="str">
        <x:v>Cash gap down</x:v>
      </x:c>
      <x:c r="C88" s="39" t="str">
        <x:v>Skip when cash open gaps down 0.5% or more.</x:v>
      </x:c>
      <x:c r="D88" s="21" t="n">
        <x:f>'Protected Results'!F89</x:f>
        <x:v>3.6108152134738942</x:v>
      </x:c>
      <x:c r="E88" s="21" t="n">
        <x:f>'Protected Results'!G89</x:f>
        <x:v>0.5022691693369388</x:v>
      </x:c>
      <x:c r="F88" s="21" t="n">
        <x:f>'Protected Results'!H89</x:f>
        <x:v>0.7617993813664278</x:v>
      </x:c>
      <x:c r="G88" s="21" t="n">
        <x:f>'Protected Results'!I89</x:f>
        <x:v>0.05166489952721931</x:v>
      </x:c>
      <x:c r="H88" s="38" t="n">
        <x:f>'Protected Results'!L89</x:f>
        <x:v>4</x:v>
      </x:c>
      <x:c r="I88" s="38" t="n">
        <x:f>'Protected Results'!N89</x:f>
        <x:v>66</x:v>
      </x:c>
      <x:c r="J88" s="21" t="n">
        <x:f>'Leverage Only Results'!F89</x:f>
        <x:v>1.9289668182825</x:v>
      </x:c>
      <x:c r="K88" s="21" t="n">
        <x:f>'Leverage Only Results'!G89</x:f>
        <x:v>0.5030977364926501</x:v>
      </x:c>
      <x:c r="L88" s="21" t="n">
        <x:f>'Leverage Only Results'!H89</x:f>
        <x:v>0.8860544683158694</x:v>
      </x:c>
      <x:c r="M88" s="21" t="n">
        <x:f>'Leverage Only Results'!I89</x:f>
        <x:v>0.024726795592245776</x:v>
      </x:c>
      <x:c r="N88" s="38" t="n">
        <x:f>'Leverage Only Results'!L89</x:f>
        <x:v>8</x:v>
      </x:c>
      <x:c r="O88" s="38" t="n">
        <x:f>'Leverage Only Results'!N89</x:f>
        <x:v>92</x:v>
      </x:c>
      <x:c r="P88" s="21" t="n">
        <x:f>MIN(E88,K88)</x:f>
        <x:v>0.5022691693369388</x:v>
      </x:c>
      <x:c r="Q88" s="21" t="n">
        <x:f>AVERAGE(G88,M88)</x:f>
        <x:v>0.03819584755973254</x:v>
      </x:c>
      <x:c r="R88" s="38" t="n">
        <x:f>H88+N88</x:f>
        <x:v>12</x:v>
      </x:c>
      <x:c r="S88" t="str">
        <x:f>IF(AND(P88&gt;=75%,Q88&gt;0,R88&gt;=2),"YES","")</x:f>
      </x:c>
      <x:c r="T88" t="str">
        <x:f>IF(AND(P88&gt;=80%,Q88&gt;=5%),"Strong cross-mode risk reducer",IF(S88="YES","Balanced candidate","Mode-specific / fragile"))</x:f>
        <x:v>Mode-specific / fragile</x:v>
      </x:c>
    </x:row>
    <x:row r="89">
      <x:c r="A89" t="n">
        <x:v>84</x:v>
      </x:c>
      <x:c r="B89" s="39" t="str">
        <x:v>Cash gap down</x:v>
      </x:c>
      <x:c r="C89" s="39" t="str">
        <x:v>Skip when cash open gaps down 0.6% or more.</x:v>
      </x:c>
      <x:c r="D89" s="21" t="n">
        <x:f>'Protected Results'!F90</x:f>
        <x:v>3.6898356356246245</x:v>
      </x:c>
      <x:c r="E89" s="21" t="n">
        <x:f>'Protected Results'!G90</x:f>
        <x:v>0.5132610145153347</x:v>
      </x:c>
      <x:c r="F89" s="21" t="n">
        <x:f>'Protected Results'!H90</x:f>
        <x:v>0.7620669439003851</x:v>
      </x:c>
      <x:c r="G89" s="21" t="n">
        <x:f>'Protected Results'!I90</x:f>
        <x:v>0.05139733699326199</x:v>
      </x:c>
      <x:c r="H89" s="38" t="n">
        <x:f>'Protected Results'!L90</x:f>
        <x:v>4</x:v>
      </x:c>
      <x:c r="I89" s="38" t="n">
        <x:f>'Protected Results'!N90</x:f>
        <x:v>57</x:v>
      </x:c>
      <x:c r="J89" s="21" t="n">
        <x:f>'Leverage Only Results'!F90</x:f>
        <x:v>1.7682511136961079</x:v>
      </x:c>
      <x:c r="K89" s="21" t="n">
        <x:f>'Leverage Only Results'!G90</x:f>
        <x:v>0.4611811485918655</x:v>
      </x:c>
      <x:c r="L89" s="21" t="n">
        <x:f>'Leverage Only Results'!H90</x:f>
        <x:v>0.8860538841314063</x:v>
      </x:c>
      <x:c r="M89" s="21" t="n">
        <x:f>'Leverage Only Results'!I90</x:f>
        <x:v>0.024727379776708913</x:v>
      </x:c>
      <x:c r="N89" s="38" t="n">
        <x:f>'Leverage Only Results'!L90</x:f>
        <x:v>6</x:v>
      </x:c>
      <x:c r="O89" s="38" t="n">
        <x:f>'Leverage Only Results'!N90</x:f>
        <x:v>82</x:v>
      </x:c>
      <x:c r="P89" s="21" t="n">
        <x:f>MIN(E89,K89)</x:f>
        <x:v>0.4611811485918655</x:v>
      </x:c>
      <x:c r="Q89" s="21" t="n">
        <x:f>AVERAGE(G89,M89)</x:f>
        <x:v>0.03806235838498545</x:v>
      </x:c>
      <x:c r="R89" s="38" t="n">
        <x:f>H89+N89</x:f>
        <x:v>10</x:v>
      </x:c>
      <x:c r="S89" t="str">
        <x:f>IF(AND(P89&gt;=75%,Q89&gt;0,R89&gt;=2),"YES","")</x:f>
      </x:c>
      <x:c r="T89" t="str">
        <x:f>IF(AND(P89&gt;=80%,Q89&gt;=5%),"Strong cross-mode risk reducer",IF(S89="YES","Balanced candidate","Mode-specific / fragile"))</x:f>
        <x:v>Mode-specific / fragile</x:v>
      </x:c>
    </x:row>
    <x:row r="90">
      <x:c r="A90" t="n">
        <x:v>85</x:v>
      </x:c>
      <x:c r="B90" s="39" t="str">
        <x:v>Cash gap down</x:v>
      </x:c>
      <x:c r="C90" s="39" t="str">
        <x:v>Skip when cash open gaps down 0.7% or more.</x:v>
      </x:c>
      <x:c r="D90" s="21" t="n">
        <x:f>'Protected Results'!F91</x:f>
        <x:v>4.431342103149549</x:v>
      </x:c>
      <x:c r="E90" s="21" t="n">
        <x:f>'Protected Results'!G91</x:f>
        <x:v>0.6164055443467017</x:v>
      </x:c>
      <x:c r="F90" s="21" t="n">
        <x:f>'Protected Results'!H91</x:f>
        <x:v>0.7624800949124827</x:v>
      </x:c>
      <x:c r="G90" s="21" t="n">
        <x:f>'Protected Results'!I91</x:f>
        <x:v>0.05098418598116439</x:v>
      </x:c>
      <x:c r="H90" s="38" t="n">
        <x:f>'Protected Results'!L91</x:f>
        <x:v>3</x:v>
      </x:c>
      <x:c r="I90" s="38" t="n">
        <x:f>'Protected Results'!N91</x:f>
        <x:v>43</x:v>
      </x:c>
      <x:c r="J90" s="21" t="n">
        <x:f>'Leverage Only Results'!F91</x:f>
        <x:v>1.9480919625007678</x:v>
      </x:c>
      <x:c r="K90" s="21" t="n">
        <x:f>'Leverage Only Results'!G91</x:f>
        <x:v>0.5080858040296921</x:v>
      </x:c>
      <x:c r="L90" s="21" t="n">
        <x:f>'Leverage Only Results'!H91</x:f>
        <x:v>0.9179069585293212</x:v>
      </x:c>
      <x:c r="M90" s="21" t="n">
        <x:f>'Leverage Only Results'!I91</x:f>
        <x:v>-0.007125694621206047</x:v>
      </x:c>
      <x:c r="N90" s="38" t="n">
        <x:f>'Leverage Only Results'!L91</x:f>
        <x:v>4</x:v>
      </x:c>
      <x:c r="O90" s="38" t="n">
        <x:f>'Leverage Only Results'!N91</x:f>
        <x:v>65</x:v>
      </x:c>
      <x:c r="P90" s="21" t="n">
        <x:f>MIN(E90,K90)</x:f>
        <x:v>0.5080858040296921</x:v>
      </x:c>
      <x:c r="Q90" s="21" t="n">
        <x:f>AVERAGE(G90,M90)</x:f>
        <x:v>0.02192924567997917</x:v>
      </x:c>
      <x:c r="R90" s="38" t="n">
        <x:f>H90+N90</x:f>
        <x:v>7</x:v>
      </x:c>
      <x:c r="S90" t="str">
        <x:f>IF(AND(P90&gt;=75%,Q90&gt;0,R90&gt;=2),"YES","")</x:f>
      </x:c>
      <x:c r="T90" t="str">
        <x:f>IF(AND(P90&gt;=80%,Q90&gt;=5%),"Strong cross-mode risk reducer",IF(S90="YES","Balanced candidate","Mode-specific / fragile"))</x:f>
        <x:v>Mode-specific / fragile</x:v>
      </x:c>
    </x:row>
    <x:row r="91">
      <x:c r="A91" t="n">
        <x:v>86</x:v>
      </x:c>
      <x:c r="B91" s="39" t="str">
        <x:v>Cash gap down</x:v>
      </x:c>
      <x:c r="C91" s="39" t="str">
        <x:v>Skip when cash open gaps down 0.8% or more.</x:v>
      </x:c>
      <x:c r="D91" s="21" t="n">
        <x:f>'Protected Results'!F92</x:f>
        <x:v>4.1183585889912155</x:v>
      </x:c>
      <x:c r="E91" s="21" t="n">
        <x:f>'Protected Results'!G92</x:f>
        <x:v>0.5728691237938422</x:v>
      </x:c>
      <x:c r="F91" s="21" t="n">
        <x:f>'Protected Results'!H92</x:f>
        <x:v>0.8297251488200681</x:v>
      </x:c>
      <x:c r="G91" s="21" t="n">
        <x:f>'Protected Results'!I92</x:f>
        <x:v>-0.016260867926421008</x:v>
      </x:c>
      <x:c r="H91" s="38" t="n">
        <x:f>'Protected Results'!L92</x:f>
        <x:v>2</x:v>
      </x:c>
      <x:c r="I91" s="38" t="n">
        <x:f>'Protected Results'!N92</x:f>
        <x:v>36</x:v>
      </x:c>
      <x:c r="J91" s="21" t="n">
        <x:f>'Leverage Only Results'!F92</x:f>
        <x:v>1.7451132018731612</x:v>
      </x:c>
      <x:c r="K91" s="21" t="n">
        <x:f>'Leverage Only Results'!G92</x:f>
        <x:v>0.45514650302152043</x:v>
      </x:c>
      <x:c r="L91" s="21" t="n">
        <x:f>'Leverage Only Results'!H92</x:f>
        <x:v>0.896732592514629</x:v>
      </x:c>
      <x:c r="M91" s="21" t="n">
        <x:f>'Leverage Only Results'!I92</x:f>
        <x:v>0.0140486713934862</x:v>
      </x:c>
      <x:c r="N91" s="38" t="n">
        <x:f>'Leverage Only Results'!L92</x:f>
        <x:v>3</x:v>
      </x:c>
      <x:c r="O91" s="38" t="n">
        <x:f>'Leverage Only Results'!N92</x:f>
        <x:v>58</x:v>
      </x:c>
      <x:c r="P91" s="21" t="n">
        <x:f>MIN(E91,K91)</x:f>
        <x:v>0.45514650302152043</x:v>
      </x:c>
      <x:c r="Q91" s="21" t="n">
        <x:f>AVERAGE(G91,M91)</x:f>
        <x:v>-0.0011060982664674035</x:v>
      </x:c>
      <x:c r="R91" s="38" t="n">
        <x:f>H91+N91</x:f>
        <x:v>5</x:v>
      </x:c>
      <x:c r="S91" t="str">
        <x:f>IF(AND(P91&gt;=75%,Q91&gt;0,R91&gt;=2),"YES","")</x:f>
      </x:c>
      <x:c r="T91" t="str">
        <x:f>IF(AND(P91&gt;=80%,Q91&gt;=5%),"Strong cross-mode risk reducer",IF(S91="YES","Balanced candidate","Mode-specific / fragile"))</x:f>
        <x:v>Mode-specific / fragile</x:v>
      </x:c>
    </x:row>
    <x:row r="92">
      <x:c r="A92" t="n">
        <x:v>87</x:v>
      </x:c>
      <x:c r="B92" s="39" t="str">
        <x:v>Cash gap down</x:v>
      </x:c>
      <x:c r="C92" s="39" t="str">
        <x:v>Skip when cash open gaps down 0.9% or more.</x:v>
      </x:c>
      <x:c r="D92" s="21" t="n">
        <x:f>'Protected Results'!F93</x:f>
        <x:v>3.9529499952007683</x:v>
      </x:c>
      <x:c r="E92" s="21" t="n">
        <x:f>'Protected Results'!G93</x:f>
        <x:v>0.5498605697436919</x:v>
      </x:c>
      <x:c r="F92" s="21" t="n">
        <x:f>'Protected Results'!H93</x:f>
        <x:v>0.8298820299462604</x:v>
      </x:c>
      <x:c r="G92" s="21" t="n">
        <x:f>'Protected Results'!I93</x:f>
        <x:v>-0.016417749052613284</x:v>
      </x:c>
      <x:c r="H92" s="38" t="n">
        <x:f>'Protected Results'!L93</x:f>
        <x:v>1</x:v>
      </x:c>
      <x:c r="I92" s="38" t="n">
        <x:f>'Protected Results'!N93</x:f>
        <x:v>30</x:v>
      </x:c>
      <x:c r="J92" s="21" t="n">
        <x:f>'Leverage Only Results'!F93</x:f>
        <x:v>1.5154765239739336</x:v>
      </x:c>
      <x:c r="K92" s="21" t="n">
        <x:f>'Leverage Only Results'!G93</x:f>
        <x:v>0.3952544967040361</x:v>
      </x:c>
      <x:c r="L92" s="21" t="n">
        <x:f>'Leverage Only Results'!H93</x:f>
        <x:v>0.896732592514629</x:v>
      </x:c>
      <x:c r="M92" s="21" t="n">
        <x:f>'Leverage Only Results'!I93</x:f>
        <x:v>0.0140486713934862</x:v>
      </x:c>
      <x:c r="N92" s="38" t="n">
        <x:f>'Leverage Only Results'!L93</x:f>
        <x:v>1</x:v>
      </x:c>
      <x:c r="O92" s="38" t="n">
        <x:f>'Leverage Only Results'!N93</x:f>
        <x:v>51</x:v>
      </x:c>
      <x:c r="P92" s="21" t="n">
        <x:f>MIN(E92,K92)</x:f>
        <x:v>0.3952544967040361</x:v>
      </x:c>
      <x:c r="Q92" s="21" t="n">
        <x:f>AVERAGE(G92,M92)</x:f>
        <x:v>-0.0011845388295635417</x:v>
      </x:c>
      <x:c r="R92" s="38" t="n">
        <x:f>H92+N92</x:f>
        <x:v>2</x:v>
      </x:c>
      <x:c r="S92" t="str">
        <x:f>IF(AND(P92&gt;=75%,Q92&gt;0,R92&gt;=2),"YES","")</x:f>
      </x:c>
      <x:c r="T92" t="str">
        <x:f>IF(AND(P92&gt;=80%,Q92&gt;=5%),"Strong cross-mode risk reducer",IF(S92="YES","Balanced candidate","Mode-specific / fragile"))</x:f>
        <x:v>Mode-specific / fragile</x:v>
      </x:c>
    </x:row>
    <x:row r="93">
      <x:c r="A93" t="n">
        <x:v>88</x:v>
      </x:c>
      <x:c r="B93" s="39" t="str">
        <x:v>Cash gap down</x:v>
      </x:c>
      <x:c r="C93" s="39" t="str">
        <x:v>Skip when cash open gaps down 1.0% or more.</x:v>
      </x:c>
      <x:c r="D93" s="21" t="n">
        <x:f>'Protected Results'!F94</x:f>
        <x:v>4.158396513461718</x:v>
      </x:c>
      <x:c r="E93" s="21" t="n">
        <x:f>'Protected Results'!G94</x:f>
        <x:v>0.5784384520138891</x:v>
      </x:c>
      <x:c r="F93" s="21" t="n">
        <x:f>'Protected Results'!H94</x:f>
        <x:v>0.8300890712763531</x:v>
      </x:c>
      <x:c r="G93" s="21" t="n">
        <x:f>'Protected Results'!I94</x:f>
        <x:v>-0.016624790382706034</x:v>
      </x:c>
      <x:c r="H93" s="38" t="n">
        <x:f>'Protected Results'!L94</x:f>
        <x:v>0</x:v>
      </x:c>
      <x:c r="I93" s="38" t="n">
        <x:f>'Protected Results'!N94</x:f>
        <x:v>25</x:v>
      </x:c>
      <x:c r="J93" s="21" t="n">
        <x:f>'Leverage Only Results'!F94</x:f>
        <x:v>1.713144529476442</x:v>
      </x:c>
      <x:c r="K93" s="21" t="n">
        <x:f>'Leverage Only Results'!G94</x:f>
        <x:v>0.44680868892900816</x:v>
      </x:c>
      <x:c r="L93" s="21" t="n">
        <x:f>'Leverage Only Results'!H94</x:f>
        <x:v>0.9136490553512807</x:v>
      </x:c>
      <x:c r="M93" s="21" t="n">
        <x:f>'Leverage Only Results'!I94</x:f>
        <x:v>-0.0028677914431655127</x:v>
      </x:c>
      <x:c r="N93" s="38" t="n">
        <x:f>'Leverage Only Results'!L94</x:f>
        <x:v>0</x:v>
      </x:c>
      <x:c r="O93" s="38" t="n">
        <x:f>'Leverage Only Results'!N94</x:f>
        <x:v>43</x:v>
      </x:c>
      <x:c r="P93" s="21" t="n">
        <x:f>MIN(E93,K93)</x:f>
        <x:v>0.44680868892900816</x:v>
      </x:c>
      <x:c r="Q93" s="21" t="n">
        <x:f>AVERAGE(G93,M93)</x:f>
        <x:v>-0.009746290912935773</x:v>
      </x:c>
      <x:c r="R93" s="38" t="n">
        <x:f>H93+N93</x:f>
        <x:v>0</x:v>
      </x:c>
      <x:c r="S93" t="str">
        <x:f>IF(AND(P93&gt;=75%,Q93&gt;0,R93&gt;=2),"YES","")</x:f>
      </x:c>
      <x:c r="T93" t="str">
        <x:f>IF(AND(P93&gt;=80%,Q93&gt;=5%),"Strong cross-mode risk reducer",IF(S93="YES","Balanced candidate","Mode-specific / fragile"))</x:f>
        <x:v>Mode-specific / fragile</x:v>
      </x:c>
    </x:row>
    <x:row r="94">
      <x:c r="A94" t="n">
        <x:v>89</x:v>
      </x:c>
      <x:c r="B94" s="39" t="str">
        <x:v>Cash gap down</x:v>
      </x:c>
      <x:c r="C94" s="39" t="str">
        <x:v>Skip when cash open gaps down 1.1% or more.</x:v>
      </x:c>
      <x:c r="D94" s="21" t="n">
        <x:f>'Protected Results'!F95</x:f>
        <x:v>4.256913297140677</x:v>
      </x:c>
      <x:c r="E94" s="21" t="n">
        <x:f>'Protected Results'!G95</x:f>
        <x:v>0.5921422668531348</x:v>
      </x:c>
      <x:c r="F94" s="21" t="n">
        <x:f>'Protected Results'!H95</x:f>
        <x:v>0.8300890712763531</x:v>
      </x:c>
      <x:c r="G94" s="21" t="n">
        <x:f>'Protected Results'!I95</x:f>
        <x:v>-0.016624790382706034</x:v>
      </x:c>
      <x:c r="H94" s="38" t="n">
        <x:f>'Protected Results'!L95</x:f>
        <x:v>0</x:v>
      </x:c>
      <x:c r="I94" s="38" t="n">
        <x:f>'Protected Results'!N95</x:f>
        <x:v>24</x:v>
      </x:c>
      <x:c r="J94" s="21" t="n">
        <x:f>'Leverage Only Results'!F95</x:f>
        <x:v>1.8532244492417385</x:v>
      </x:c>
      <x:c r="K94" s="21" t="n">
        <x:f>'Leverage Only Results'!G95</x:f>
        <x:v>0.48334321606241976</x:v>
      </x:c>
      <x:c r="L94" s="21" t="n">
        <x:f>'Leverage Only Results'!H95</x:f>
        <x:v>0.9107812639081152</x:v>
      </x:c>
      <x:c r="M94" s="21" t="n">
        <x:f>'Leverage Only Results'!I95</x:f>
        <x:v>0</x:v>
      </x:c>
      <x:c r="N94" s="38" t="n">
        <x:f>'Leverage Only Results'!L95</x:f>
        <x:v>0</x:v>
      </x:c>
      <x:c r="O94" s="38" t="n">
        <x:f>'Leverage Only Results'!N95</x:f>
        <x:v>40</x:v>
      </x:c>
      <x:c r="P94" s="21" t="n">
        <x:f>MIN(E94,K94)</x:f>
        <x:v>0.48334321606241976</x:v>
      </x:c>
      <x:c r="Q94" s="21" t="n">
        <x:f>AVERAGE(G94,M94)</x:f>
        <x:v>-0.008312395191353017</x:v>
      </x:c>
      <x:c r="R94" s="38" t="n">
        <x:f>H94+N94</x:f>
        <x:v>0</x:v>
      </x:c>
      <x:c r="S94" t="str">
        <x:f>IF(AND(P94&gt;=75%,Q94&gt;0,R94&gt;=2),"YES","")</x:f>
      </x:c>
      <x:c r="T94" t="str">
        <x:f>IF(AND(P94&gt;=80%,Q94&gt;=5%),"Strong cross-mode risk reducer",IF(S94="YES","Balanced candidate","Mode-specific / fragile"))</x:f>
        <x:v>Mode-specific / fragile</x:v>
      </x:c>
    </x:row>
    <x:row r="95">
      <x:c r="A95" t="n">
        <x:v>90</x:v>
      </x:c>
      <x:c r="B95" s="39" t="str">
        <x:v>Cash gap down</x:v>
      </x:c>
      <x:c r="C95" s="39" t="str">
        <x:v>Skip when cash open gaps down 1.2% or more.</x:v>
      </x:c>
      <x:c r="D95" s="21" t="n">
        <x:f>'Protected Results'!F96</x:f>
        <x:v>4.234220625419197</x:v>
      </x:c>
      <x:c r="E95" s="21" t="n">
        <x:f>'Protected Results'!G96</x:f>
        <x:v>0.5889856862191958</x:v>
      </x:c>
      <x:c r="F95" s="21" t="n">
        <x:f>'Protected Results'!H96</x:f>
        <x:v>0.8131422911414159</x:v>
      </x:c>
      <x:c r="G95" s="21" t="n">
        <x:f>'Protected Results'!I96</x:f>
        <x:v>0.00032198975223118875</x:v>
      </x:c>
      <x:c r="H95" s="38" t="n">
        <x:f>'Protected Results'!L96</x:f>
        <x:v>0</x:v>
      </x:c>
      <x:c r="I95" s="38" t="n">
        <x:f>'Protected Results'!N96</x:f>
        <x:v>21</x:v>
      </x:c>
      <x:c r="J95" s="21" t="n">
        <x:f>'Leverage Only Results'!F96</x:f>
        <x:v>1.8450136226431684</x:v>
      </x:c>
      <x:c r="K95" s="21" t="n">
        <x:f>'Leverage Only Results'!G96</x:f>
        <x:v>0.4812017337739104</x:v>
      </x:c>
      <x:c r="L95" s="21" t="n">
        <x:f>'Leverage Only Results'!H96</x:f>
        <x:v>0.9107812639081152</x:v>
      </x:c>
      <x:c r="M95" s="21" t="n">
        <x:f>'Leverage Only Results'!I96</x:f>
        <x:v>0</x:v>
      </x:c>
      <x:c r="N95" s="38" t="n">
        <x:f>'Leverage Only Results'!L96</x:f>
        <x:v>0</x:v>
      </x:c>
      <x:c r="O95" s="38" t="n">
        <x:f>'Leverage Only Results'!N96</x:f>
        <x:v>37</x:v>
      </x:c>
      <x:c r="P95" s="21" t="n">
        <x:f>MIN(E95,K95)</x:f>
        <x:v>0.4812017337739104</x:v>
      </x:c>
      <x:c r="Q95" s="21" t="n">
        <x:f>AVERAGE(G95,M95)</x:f>
        <x:v>0.00016099487611559438</x:v>
      </x:c>
      <x:c r="R95" s="38" t="n">
        <x:f>H95+N95</x:f>
        <x:v>0</x:v>
      </x:c>
      <x:c r="S95" t="str">
        <x:f>IF(AND(P95&gt;=75%,Q95&gt;0,R95&gt;=2),"YES","")</x:f>
      </x:c>
      <x:c r="T95" t="str">
        <x:f>IF(AND(P95&gt;=80%,Q95&gt;=5%),"Strong cross-mode risk reducer",IF(S95="YES","Balanced candidate","Mode-specific / fragile"))</x:f>
        <x:v>Mode-specific / fragile</x:v>
      </x:c>
    </x:row>
    <x:row r="96">
      <x:c r="A96" t="n">
        <x:v>91</x:v>
      </x:c>
      <x:c r="B96" s="39" t="str">
        <x:v>Positive gap with weak momentum</x:v>
      </x:c>
      <x:c r="C96" s="39" t="str">
        <x:v>Skip when cash gap is at least 0.5% and 20-session momentum is no better than -2.0%.</x:v>
      </x:c>
      <x:c r="D96" s="21" t="n">
        <x:f>'Protected Results'!F97</x:f>
        <x:v>4.507352791707901</x:v>
      </x:c>
      <x:c r="E96" s="21" t="n">
        <x:f>'Protected Results'!G97</x:f>
        <x:v>0.6269787316038258</x:v>
      </x:c>
      <x:c r="F96" s="21" t="n">
        <x:f>'Protected Results'!H97</x:f>
        <x:v>0.8929958644138337</x:v>
      </x:c>
      <x:c r="G96" s="21" t="n">
        <x:f>'Protected Results'!I97</x:f>
        <x:v>-0.07953158352018663</x:v>
      </x:c>
      <x:c r="H96" s="38" t="n">
        <x:f>'Protected Results'!L97</x:f>
        <x:v>0</x:v>
      </x:c>
      <x:c r="I96" s="38" t="n">
        <x:f>'Protected Results'!N97</x:f>
        <x:v>19</x:v>
      </x:c>
      <x:c r="J96" s="21" t="n">
        <x:f>'Leverage Only Results'!F97</x:f>
        <x:v>3.0367604121103033</x:v>
      </x:c>
      <x:c r="K96" s="21" t="n">
        <x:f>'Leverage Only Results'!G97</x:f>
        <x:v>0.7920236237985065</x:v>
      </x:c>
      <x:c r="L96" s="21" t="n">
        <x:f>'Leverage Only Results'!H97</x:f>
        <x:v>0.9314681856496578</x:v>
      </x:c>
      <x:c r="M96" s="21" t="n">
        <x:f>'Leverage Only Results'!I97</x:f>
        <x:v>-0.02068692174154263</x:v>
      </x:c>
      <x:c r="N96" s="38" t="n">
        <x:f>'Leverage Only Results'!L97</x:f>
        <x:v>2</x:v>
      </x:c>
      <x:c r="O96" s="38" t="n">
        <x:f>'Leverage Only Results'!N97</x:f>
        <x:v>35</x:v>
      </x:c>
      <x:c r="P96" s="21" t="n">
        <x:f>MIN(E96,K96)</x:f>
        <x:v>0.6269787316038258</x:v>
      </x:c>
      <x:c r="Q96" s="21" t="n">
        <x:f>AVERAGE(G96,M96)</x:f>
        <x:v>-0.05010925263086463</x:v>
      </x:c>
      <x:c r="R96" s="38" t="n">
        <x:f>H96+N96</x:f>
        <x:v>2</x:v>
      </x:c>
      <x:c r="S96" t="str">
        <x:f>IF(AND(P96&gt;=75%,Q96&gt;0,R96&gt;=2),"YES","")</x:f>
      </x:c>
      <x:c r="T96" t="str">
        <x:f>IF(AND(P96&gt;=80%,Q96&gt;=5%),"Strong cross-mode risk reducer",IF(S96="YES","Balanced candidate","Mode-specific / fragile"))</x:f>
        <x:v>Mode-specific / fragile</x:v>
      </x:c>
    </x:row>
    <x:row r="97">
      <x:c r="A97" t="n">
        <x:v>92</x:v>
      </x:c>
      <x:c r="B97" s="39" t="str">
        <x:v>Positive gap with weak momentum</x:v>
      </x:c>
      <x:c r="C97" s="39" t="str">
        <x:v>Skip when cash gap is at least 0.5% and 20-session momentum is no better than -1.0%.</x:v>
      </x:c>
      <x:c r="D97" s="21" t="n">
        <x:f>'Protected Results'!F98</x:f>
        <x:v>4.955876908967066</x:v>
      </x:c>
      <x:c r="E97" s="21" t="n">
        <x:f>'Protected Results'!G98</x:f>
        <x:v>0.6893690292193626</x:v>
      </x:c>
      <x:c r="F97" s="21" t="n">
        <x:f>'Protected Results'!H98</x:f>
        <x:v>0.8929958644138337</x:v>
      </x:c>
      <x:c r="G97" s="21" t="n">
        <x:f>'Protected Results'!I98</x:f>
        <x:v>-0.07953158352018663</x:v>
      </x:c>
      <x:c r="H97" s="38" t="n">
        <x:f>'Protected Results'!L98</x:f>
        <x:v>1</x:v>
      </x:c>
      <x:c r="I97" s="38" t="n">
        <x:f>'Protected Results'!N98</x:f>
        <x:v>21</x:v>
      </x:c>
      <x:c r="J97" s="21" t="n">
        <x:f>'Leverage Only Results'!F98</x:f>
        <x:v>3.5513219074982905</x:v>
      </x:c>
      <x:c r="K97" s="21" t="n">
        <x:f>'Leverage Only Results'!G98</x:f>
        <x:v>0.9262274479194754</x:v>
      </x:c>
      <x:c r="L97" s="21" t="n">
        <x:f>'Leverage Only Results'!H98</x:f>
        <x:v>0.9314681856496578</x:v>
      </x:c>
      <x:c r="M97" s="21" t="n">
        <x:f>'Leverage Only Results'!I98</x:f>
        <x:v>-0.02068692174154263</x:v>
      </x:c>
      <x:c r="N97" s="38" t="n">
        <x:f>'Leverage Only Results'!L98</x:f>
        <x:v>3</x:v>
      </x:c>
      <x:c r="O97" s="38" t="n">
        <x:f>'Leverage Only Results'!N98</x:f>
        <x:v>40</x:v>
      </x:c>
      <x:c r="P97" s="21" t="n">
        <x:f>MIN(E97,K97)</x:f>
        <x:v>0.6893690292193626</x:v>
      </x:c>
      <x:c r="Q97" s="21" t="n">
        <x:f>AVERAGE(G97,M97)</x:f>
        <x:v>-0.05010925263086463</x:v>
      </x:c>
      <x:c r="R97" s="38" t="n">
        <x:f>H97+N97</x:f>
        <x:v>4</x:v>
      </x:c>
      <x:c r="S97" t="str">
        <x:f>IF(AND(P97&gt;=75%,Q97&gt;0,R97&gt;=2),"YES","")</x:f>
      </x:c>
      <x:c r="T97" t="str">
        <x:f>IF(AND(P97&gt;=80%,Q97&gt;=5%),"Strong cross-mode risk reducer",IF(S97="YES","Balanced candidate","Mode-specific / fragile"))</x:f>
        <x:v>Mode-specific / fragile</x:v>
      </x:c>
    </x:row>
    <x:row r="98">
      <x:c r="A98" t="n">
        <x:v>93</x:v>
      </x:c>
      <x:c r="B98" s="39" t="str">
        <x:v>Positive gap with weak momentum</x:v>
      </x:c>
      <x:c r="C98" s="39" t="str">
        <x:v>Skip when cash gap is at least 0.5% and 20-session momentum is no better than 0.0%.</x:v>
      </x:c>
      <x:c r="D98" s="21" t="n">
        <x:f>'Protected Results'!F99</x:f>
        <x:v>5.136698050597702</x:v>
      </x:c>
      <x:c r="E98" s="21" t="n">
        <x:f>'Protected Results'!G99</x:f>
        <x:v>0.7145214890479562</x:v>
      </x:c>
      <x:c r="F98" s="21" t="n">
        <x:f>'Protected Results'!H99</x:f>
        <x:v>0.8929958644138337</x:v>
      </x:c>
      <x:c r="G98" s="21" t="n">
        <x:f>'Protected Results'!I99</x:f>
        <x:v>-0.07953158352018663</x:v>
      </x:c>
      <x:c r="H98" s="38" t="n">
        <x:f>'Protected Results'!L99</x:f>
        <x:v>2</x:v>
      </x:c>
      <x:c r="I98" s="38" t="n">
        <x:f>'Protected Results'!N99</x:f>
        <x:v>24</x:v>
      </x:c>
      <x:c r="J98" s="21" t="n">
        <x:f>'Leverage Only Results'!F99</x:f>
        <x:v>4.268952844594842</x:v>
      </x:c>
      <x:c r="K98" s="21" t="n">
        <x:f>'Leverage Only Results'!G99</x:f>
        <x:v>1.1133942237647092</x:v>
      </x:c>
      <x:c r="L98" s="21" t="n">
        <x:f>'Leverage Only Results'!H99</x:f>
        <x:v>0.9418120596638329</x:v>
      </x:c>
      <x:c r="M98" s="21" t="n">
        <x:f>'Leverage Only Results'!I99</x:f>
        <x:v>-0.031030795755717655</x:v>
      </x:c>
      <x:c r="N98" s="38" t="n">
        <x:f>'Leverage Only Results'!L99</x:f>
        <x:v>6</x:v>
      </x:c>
      <x:c r="O98" s="38" t="n">
        <x:f>'Leverage Only Results'!N99</x:f>
        <x:v>48</x:v>
      </x:c>
      <x:c r="P98" s="21" t="n">
        <x:f>MIN(E98,K98)</x:f>
        <x:v>0.7145214890479562</x:v>
      </x:c>
      <x:c r="Q98" s="21" t="n">
        <x:f>AVERAGE(G98,M98)</x:f>
        <x:v>-0.055281189637952144</x:v>
      </x:c>
      <x:c r="R98" s="38" t="n">
        <x:f>H98+N98</x:f>
        <x:v>8</x:v>
      </x:c>
      <x:c r="S98" t="str">
        <x:f>IF(AND(P98&gt;=75%,Q98&gt;0,R98&gt;=2),"YES","")</x:f>
      </x:c>
      <x:c r="T98" t="str">
        <x:f>IF(AND(P98&gt;=80%,Q98&gt;=5%),"Strong cross-mode risk reducer",IF(S98="YES","Balanced candidate","Mode-specific / fragile"))</x:f>
        <x:v>Mode-specific / fragile</x:v>
      </x:c>
    </x:row>
    <x:row r="99">
      <x:c r="A99" t="n">
        <x:v>94</x:v>
      </x:c>
      <x:c r="B99" s="39" t="str">
        <x:v>Positive gap with weak momentum</x:v>
      </x:c>
      <x:c r="C99" s="39" t="str">
        <x:v>Skip when cash gap is at least 0.5% and 20-session momentum is no better than 1.0%.</x:v>
      </x:c>
      <x:c r="D99" s="21" t="n">
        <x:f>'Protected Results'!F100</x:f>
        <x:v>5.774221704082947</x:v>
      </x:c>
      <x:c r="E99" s="21" t="n">
        <x:f>'Protected Results'!G100</x:f>
        <x:v>0.8032018719913465</x:v>
      </x:c>
      <x:c r="F99" s="21" t="n">
        <x:f>'Protected Results'!H100</x:f>
        <x:v>0.8028036064489555</x:v>
      </x:c>
      <x:c r="G99" s="21" t="n">
        <x:f>'Protected Results'!I100</x:f>
        <x:v>0.010660674444691542</x:v>
      </x:c>
      <x:c r="H99" s="38" t="n">
        <x:f>'Protected Results'!L100</x:f>
        <x:v>4</x:v>
      </x:c>
      <x:c r="I99" s="38" t="n">
        <x:f>'Protected Results'!N100</x:f>
        <x:v>33</x:v>
      </x:c>
      <x:c r="J99" s="21" t="n">
        <x:f>'Leverage Only Results'!F100</x:f>
        <x:v>4.783112071465297</x:v>
      </x:c>
      <x:c r="K99" s="21" t="n">
        <x:f>'Leverage Only Results'!G100</x:f>
        <x:v>1.2474931314201823</x:v>
      </x:c>
      <x:c r="L99" s="21" t="n">
        <x:f>'Leverage Only Results'!H100</x:f>
        <x:v>0.8981797414386349</x:v>
      </x:c>
      <x:c r="M99" s="21" t="n">
        <x:f>'Leverage Only Results'!I100</x:f>
        <x:v>0.01260152246948032</x:v>
      </x:c>
      <x:c r="N99" s="38" t="n">
        <x:f>'Leverage Only Results'!L100</x:f>
        <x:v>7</x:v>
      </x:c>
      <x:c r="O99" s="38" t="n">
        <x:f>'Leverage Only Results'!N100</x:f>
        <x:v>57</x:v>
      </x:c>
      <x:c r="P99" s="21" t="n">
        <x:f>MIN(E99,K99)</x:f>
        <x:v>0.8032018719913465</x:v>
      </x:c>
      <x:c r="Q99" s="21" t="n">
        <x:f>AVERAGE(G99,M99)</x:f>
        <x:v>0.011631098457085931</x:v>
      </x:c>
      <x:c r="R99" s="38" t="n">
        <x:f>H99+N99</x:f>
        <x:v>11</x:v>
      </x:c>
      <x:c r="S99" t="str">
        <x:f>IF(AND(P99&gt;=75%,Q99&gt;0,R99&gt;=2),"YES","")</x:f>
        <x:v>YES</x:v>
      </x:c>
      <x:c r="T99" t="str">
        <x:f>IF(AND(P99&gt;=80%,Q99&gt;=5%),"Strong cross-mode risk reducer",IF(S99="YES","Balanced candidate","Mode-specific / fragile"))</x:f>
        <x:v>Balanced candidate</x:v>
      </x:c>
    </x:row>
    <x:row r="100">
      <x:c r="A100" t="n">
        <x:v>95</x:v>
      </x:c>
      <x:c r="B100" s="39" t="str">
        <x:v>Positive gap with weak momentum</x:v>
      </x:c>
      <x:c r="C100" s="39" t="str">
        <x:v>Skip when cash gap is at least 1.0% and 20-session momentum is no better than -2.0%.</x:v>
      </x:c>
      <x:c r="D100" s="21" t="n">
        <x:f>'Protected Results'!F101</x:f>
        <x:v>7.189004290748413</x:v>
      </x:c>
      <x:c r="E100" s="21" t="n">
        <x:f>'Protected Results'!G101</x:f>
        <x:v>1</x:v>
      </x:c>
      <x:c r="F100" s="21" t="n">
        <x:f>'Protected Results'!H101</x:f>
        <x:v>0.8134642808936471</x:v>
      </x:c>
      <x:c r="G100" s="21" t="n">
        <x:f>'Protected Results'!I101</x:f>
        <x:v>0</x:v>
      </x:c>
      <x:c r="H100" s="38" t="n">
        <x:f>'Protected Results'!L101</x:f>
        <x:v>0</x:v>
      </x:c>
      <x:c r="I100" s="38" t="n">
        <x:f>'Protected Results'!N101</x:f>
        <x:v>0</x:v>
      </x:c>
      <x:c r="J100" s="21" t="n">
        <x:f>'Leverage Only Results'!F101</x:f>
        <x:v>4.921196034151472</x:v>
      </x:c>
      <x:c r="K100" s="21" t="n">
        <x:f>'Leverage Only Results'!G101</x:f>
        <x:v>1.283507088951709</x:v>
      </x:c>
      <x:c r="L100" s="21" t="n">
        <x:f>'Leverage Only Results'!H101</x:f>
        <x:v>0.912546155758612</x:v>
      </x:c>
      <x:c r="M100" s="21" t="n">
        <x:f>'Leverage Only Results'!I101</x:f>
        <x:v>-0.0017648918504967748</x:v>
      </x:c>
      <x:c r="N100" s="38" t="n">
        <x:f>'Leverage Only Results'!L101</x:f>
        <x:v>2</x:v>
      </x:c>
      <x:c r="O100" s="38" t="n">
        <x:f>'Leverage Only Results'!N101</x:f>
        <x:v>16</x:v>
      </x:c>
      <x:c r="P100" s="21" t="n">
        <x:f>MIN(E100,K100)</x:f>
        <x:v>1</x:v>
      </x:c>
      <x:c r="Q100" s="21" t="n">
        <x:f>AVERAGE(G100,M100)</x:f>
        <x:v>-0.0008824459252483874</x:v>
      </x:c>
      <x:c r="R100" s="38" t="n">
        <x:f>H100+N100</x:f>
        <x:v>2</x:v>
      </x:c>
      <x:c r="S100" t="str">
        <x:f>IF(AND(P100&gt;=75%,Q100&gt;0,R100&gt;=2),"YES","")</x:f>
      </x:c>
      <x:c r="T100" t="str">
        <x:f>IF(AND(P100&gt;=80%,Q100&gt;=5%),"Strong cross-mode risk reducer",IF(S100="YES","Balanced candidate","Mode-specific / fragile"))</x:f>
        <x:v>Mode-specific / fragile</x:v>
      </x:c>
    </x:row>
    <x:row r="101">
      <x:c r="A101" t="n">
        <x:v>96</x:v>
      </x:c>
      <x:c r="B101" s="39" t="str">
        <x:v>Positive gap with weak momentum</x:v>
      </x:c>
      <x:c r="C101" s="39" t="str">
        <x:v>Skip when cash gap is at least 1.0% and 20-session momentum is no better than -1.0%.</x:v>
      </x:c>
      <x:c r="D101" s="21" t="n">
        <x:f>'Protected Results'!F102</x:f>
        <x:v>7.189004290748413</x:v>
      </x:c>
      <x:c r="E101" s="21" t="n">
        <x:f>'Protected Results'!G102</x:f>
        <x:v>1</x:v>
      </x:c>
      <x:c r="F101" s="21" t="n">
        <x:f>'Protected Results'!H102</x:f>
        <x:v>0.8134642808936471</x:v>
      </x:c>
      <x:c r="G101" s="21" t="n">
        <x:f>'Protected Results'!I102</x:f>
        <x:v>0</x:v>
      </x:c>
      <x:c r="H101" s="38" t="n">
        <x:f>'Protected Results'!L102</x:f>
        <x:v>0</x:v>
      </x:c>
      <x:c r="I101" s="38" t="n">
        <x:f>'Protected Results'!N102</x:f>
        <x:v>0</x:v>
      </x:c>
      <x:c r="J101" s="21" t="n">
        <x:f>'Leverage Only Results'!F102</x:f>
        <x:v>5.168370795999752</x:v>
      </x:c>
      <x:c r="K101" s="21" t="n">
        <x:f>'Leverage Only Results'!G102</x:f>
        <x:v>1.3479732384081835</x:v>
      </x:c>
      <x:c r="L101" s="21" t="n">
        <x:f>'Leverage Only Results'!H102</x:f>
        <x:v>0.912546155758612</x:v>
      </x:c>
      <x:c r="M101" s="21" t="n">
        <x:f>'Leverage Only Results'!I102</x:f>
        <x:v>-0.0017648918504967748</x:v>
      </x:c>
      <x:c r="N101" s="38" t="n">
        <x:f>'Leverage Only Results'!L102</x:f>
        <x:v>2</x:v>
      </x:c>
      <x:c r="O101" s="38" t="n">
        <x:f>'Leverage Only Results'!N102</x:f>
        <x:v>19</x:v>
      </x:c>
      <x:c r="P101" s="21" t="n">
        <x:f>MIN(E101,K101)</x:f>
        <x:v>1</x:v>
      </x:c>
      <x:c r="Q101" s="21" t="n">
        <x:f>AVERAGE(G101,M101)</x:f>
        <x:v>-0.0008824459252483874</x:v>
      </x:c>
      <x:c r="R101" s="38" t="n">
        <x:f>H101+N101</x:f>
        <x:v>2</x:v>
      </x:c>
      <x:c r="S101" t="str">
        <x:f>IF(AND(P101&gt;=75%,Q101&gt;0,R101&gt;=2),"YES","")</x:f>
      </x:c>
      <x:c r="T101" t="str">
        <x:f>IF(AND(P101&gt;=80%,Q101&gt;=5%),"Strong cross-mode risk reducer",IF(S101="YES","Balanced candidate","Mode-specific / fragile"))</x:f>
        <x:v>Mode-specific / fragile</x:v>
      </x:c>
    </x:row>
    <x:row r="102">
      <x:c r="A102" t="n">
        <x:v>97</x:v>
      </x:c>
      <x:c r="B102" s="39" t="str">
        <x:v>Positive gap with weak momentum</x:v>
      </x:c>
      <x:c r="C102" s="39" t="str">
        <x:v>Skip when cash gap is at least 1.0% and 20-session momentum is no better than 0.0%.</x:v>
      </x:c>
      <x:c r="D102" s="21" t="n">
        <x:f>'Protected Results'!F103</x:f>
        <x:v>7.43515748705844</x:v>
      </x:c>
      <x:c r="E102" s="21" t="n">
        <x:f>'Protected Results'!G103</x:f>
        <x:v>1.03424023499705</x:v>
      </x:c>
      <x:c r="F102" s="21" t="n">
        <x:f>'Protected Results'!H103</x:f>
        <x:v>0.8134642808936471</x:v>
      </x:c>
      <x:c r="G102" s="21" t="n">
        <x:f>'Protected Results'!I103</x:f>
        <x:v>0</x:v>
      </x:c>
      <x:c r="H102" s="38" t="n">
        <x:f>'Protected Results'!L103</x:f>
        <x:v>1</x:v>
      </x:c>
      <x:c r="I102" s="38" t="n">
        <x:f>'Protected Results'!N103</x:f>
        <x:v>3</x:v>
      </x:c>
      <x:c r="J102" s="21" t="n">
        <x:f>'Leverage Only Results'!F103</x:f>
        <x:v>6.23079621938013</x:v>
      </x:c>
      <x:c r="K102" s="21" t="n">
        <x:f>'Leverage Only Results'!G103</x:f>
        <x:v>1.6250665614394326</x:v>
      </x:c>
      <x:c r="L102" s="21" t="n">
        <x:f>'Leverage Only Results'!H103</x:f>
        <x:v>0.8907320924864718</x:v>
      </x:c>
      <x:c r="M102" s="21" t="n">
        <x:f>'Leverage Only Results'!I103</x:f>
        <x:v>0.02004917142164342</x:v>
      </x:c>
      <x:c r="N102" s="38" t="n">
        <x:f>'Leverage Only Results'!L103</x:f>
        <x:v>5</x:v>
      </x:c>
      <x:c r="O102" s="38" t="n">
        <x:f>'Leverage Only Results'!N103</x:f>
        <x:v>27</x:v>
      </x:c>
      <x:c r="P102" s="21" t="n">
        <x:f>MIN(E102,K102)</x:f>
        <x:v>1.03424023499705</x:v>
      </x:c>
      <x:c r="Q102" s="21" t="n">
        <x:f>AVERAGE(G102,M102)</x:f>
        <x:v>0.01002458571082171</x:v>
      </x:c>
      <x:c r="R102" s="38" t="n">
        <x:f>H102+N102</x:f>
        <x:v>6</x:v>
      </x:c>
      <x:c r="S102" t="str">
        <x:f>IF(AND(P102&gt;=75%,Q102&gt;0,R102&gt;=2),"YES","")</x:f>
        <x:v>YES</x:v>
      </x:c>
      <x:c r="T102" t="str">
        <x:f>IF(AND(P102&gt;=80%,Q102&gt;=5%),"Strong cross-mode risk reducer",IF(S102="YES","Balanced candidate","Mode-specific / fragile"))</x:f>
        <x:v>Balanced candidate</x:v>
      </x:c>
    </x:row>
    <x:row r="103">
      <x:c r="A103" t="n">
        <x:v>98</x:v>
      </x:c>
      <x:c r="B103" s="39" t="str">
        <x:v>Positive gap with weak momentum</x:v>
      </x:c>
      <x:c r="C103" s="39" t="str">
        <x:v>Skip when cash gap is at least 1.0% and 20-session momentum is no better than 1.0%.</x:v>
      </x:c>
      <x:c r="D103" s="21" t="n">
        <x:f>'Protected Results'!F104</x:f>
        <x:v>7.079388863607637</x:v>
      </x:c>
      <x:c r="E103" s="21" t="n">
        <x:f>'Protected Results'!G104</x:f>
        <x:v>0.9847523491839001</x:v>
      </x:c>
      <x:c r="F103" s="21" t="n">
        <x:f>'Protected Results'!H104</x:f>
        <x:v>0.841376720433047</x:v>
      </x:c>
      <x:c r="G103" s="21" t="n">
        <x:f>'Protected Results'!I104</x:f>
        <x:v>-0.027912439539399925</x:v>
      </x:c>
      <x:c r="H103" s="38" t="n">
        <x:f>'Protected Results'!L104</x:f>
        <x:v>1</x:v>
      </x:c>
      <x:c r="I103" s="38" t="n">
        <x:f>'Protected Results'!N104</x:f>
        <x:v>5</x:v>
      </x:c>
      <x:c r="J103" s="21" t="n">
        <x:f>'Leverage Only Results'!F104</x:f>
        <x:v>5.926435220110435</x:v>
      </x:c>
      <x:c r="K103" s="21" t="n">
        <x:f>'Leverage Only Results'!G104</x:f>
        <x:v>1.5456855537632295</x:v>
      </x:c>
      <x:c r="L103" s="21" t="n">
        <x:f>'Leverage Only Results'!H104</x:f>
        <x:v>0.8940286250677391</x:v>
      </x:c>
      <x:c r="M103" s="21" t="n">
        <x:f>'Leverage Only Results'!I104</x:f>
        <x:v>0.016752638840376144</x:v>
      </x:c>
      <x:c r="N103" s="38" t="n">
        <x:f>'Leverage Only Results'!L104</x:f>
        <x:v>5</x:v>
      </x:c>
      <x:c r="O103" s="38" t="n">
        <x:f>'Leverage Only Results'!N104</x:f>
        <x:v>29</x:v>
      </x:c>
      <x:c r="P103" s="21" t="n">
        <x:f>MIN(E103,K103)</x:f>
        <x:v>0.9847523491839001</x:v>
      </x:c>
      <x:c r="Q103" s="21" t="n">
        <x:f>AVERAGE(G103,M103)</x:f>
        <x:v>-0.00557990034951189</x:v>
      </x:c>
      <x:c r="R103" s="38" t="n">
        <x:f>H103+N103</x:f>
        <x:v>6</x:v>
      </x:c>
      <x:c r="S103" t="str">
        <x:f>IF(AND(P103&gt;=75%,Q103&gt;0,R103&gt;=2),"YES","")</x:f>
      </x:c>
      <x:c r="T103" t="str">
        <x:f>IF(AND(P103&gt;=80%,Q103&gt;=5%),"Strong cross-mode risk reducer",IF(S103="YES","Balanced candidate","Mode-specific / fragile"))</x:f>
        <x:v>Mode-specific / fragile</x:v>
      </x:c>
    </x:row>
    <x:row r="104">
      <x:c r="A104" t="n">
        <x:v>99</x:v>
      </x:c>
      <x:c r="B104" s="39" t="str">
        <x:v>Positive gap with weak momentum</x:v>
      </x:c>
      <x:c r="C104" s="39" t="str">
        <x:v>Skip when cash gap is at least 1.5% and 20-session momentum is no better than -2.0%.</x:v>
      </x:c>
      <x:c r="D104" s="21" t="n">
        <x:f>'Protected Results'!F105</x:f>
        <x:v>7.189004290748413</x:v>
      </x:c>
      <x:c r="E104" s="21" t="n">
        <x:f>'Protected Results'!G105</x:f>
        <x:v>1</x:v>
      </x:c>
      <x:c r="F104" s="21" t="n">
        <x:f>'Protected Results'!H105</x:f>
        <x:v>0.8134642808936471</x:v>
      </x:c>
      <x:c r="G104" s="21" t="n">
        <x:f>'Protected Results'!I105</x:f>
        <x:v>0</x:v>
      </x:c>
      <x:c r="H104" s="38" t="n">
        <x:f>'Protected Results'!L105</x:f>
        <x:v>0</x:v>
      </x:c>
      <x:c r="I104" s="38" t="n">
        <x:f>'Protected Results'!N105</x:f>
        <x:v>0</x:v>
      </x:c>
      <x:c r="J104" s="21" t="n">
        <x:f>'Leverage Only Results'!F105</x:f>
        <x:v>4.45573687152027</x:v>
      </x:c>
      <x:c r="K104" s="21" t="n">
        <x:f>'Leverage Only Results'!G105</x:f>
        <x:v>1.162109743528203</x:v>
      </x:c>
      <x:c r="L104" s="21" t="n">
        <x:f>'Leverage Only Results'!H105</x:f>
        <x:v>0.9107812639081152</x:v>
      </x:c>
      <x:c r="M104" s="21" t="n">
        <x:f>'Leverage Only Results'!I105</x:f>
        <x:v>0</x:v>
      </x:c>
      <x:c r="N104" s="38" t="n">
        <x:f>'Leverage Only Results'!L105</x:f>
        <x:v>1</x:v>
      </x:c>
      <x:c r="O104" s="38" t="n">
        <x:f>'Leverage Only Results'!N105</x:f>
        <x:v>7</x:v>
      </x:c>
      <x:c r="P104" s="21" t="n">
        <x:f>MIN(E104,K104)</x:f>
        <x:v>1</x:v>
      </x:c>
      <x:c r="Q104" s="21" t="n">
        <x:f>AVERAGE(G104,M104)</x:f>
        <x:v>0</x:v>
      </x:c>
      <x:c r="R104" s="38" t="n">
        <x:f>H104+N104</x:f>
        <x:v>1</x:v>
      </x:c>
      <x:c r="S104" t="str">
        <x:f>IF(AND(P104&gt;=75%,Q104&gt;0,R104&gt;=2),"YES","")</x:f>
      </x:c>
      <x:c r="T104" t="str">
        <x:f>IF(AND(P104&gt;=80%,Q104&gt;=5%),"Strong cross-mode risk reducer",IF(S104="YES","Balanced candidate","Mode-specific / fragile"))</x:f>
        <x:v>Mode-specific / fragile</x:v>
      </x:c>
    </x:row>
    <x:row r="105">
      <x:c r="A105" t="n">
        <x:v>100</x:v>
      </x:c>
      <x:c r="B105" s="39" t="str">
        <x:v>Positive gap with weak momentum</x:v>
      </x:c>
      <x:c r="C105" s="39" t="str">
        <x:v>Skip when cash gap is at least 1.5% and 20-session momentum is no better than -1.0%.</x:v>
      </x:c>
      <x:c r="D105" s="21" t="n">
        <x:f>'Protected Results'!F106</x:f>
        <x:v>7.189004290748413</x:v>
      </x:c>
      <x:c r="E105" s="21" t="n">
        <x:f>'Protected Results'!G106</x:f>
        <x:v>1</x:v>
      </x:c>
      <x:c r="F105" s="21" t="n">
        <x:f>'Protected Results'!H106</x:f>
        <x:v>0.8134642808936471</x:v>
      </x:c>
      <x:c r="G105" s="21" t="n">
        <x:f>'Protected Results'!I106</x:f>
        <x:v>0</x:v>
      </x:c>
      <x:c r="H105" s="38" t="n">
        <x:f>'Protected Results'!L106</x:f>
        <x:v>0</x:v>
      </x:c>
      <x:c r="I105" s="38" t="n">
        <x:f>'Protected Results'!N106</x:f>
        <x:v>0</x:v>
      </x:c>
      <x:c r="J105" s="21" t="n">
        <x:f>'Leverage Only Results'!F106</x:f>
        <x:v>4.553698415975579</x:v>
      </x:c>
      <x:c r="K105" s="21" t="n">
        <x:f>'Leverage Only Results'!G106</x:f>
        <x:v>1.187659292028302</x:v>
      </x:c>
      <x:c r="L105" s="21" t="n">
        <x:f>'Leverage Only Results'!H106</x:f>
        <x:v>0.9107812639081152</x:v>
      </x:c>
      <x:c r="M105" s="21" t="n">
        <x:f>'Leverage Only Results'!I106</x:f>
        <x:v>0</x:v>
      </x:c>
      <x:c r="N105" s="38" t="n">
        <x:f>'Leverage Only Results'!L106</x:f>
        <x:v>1</x:v>
      </x:c>
      <x:c r="O105" s="38" t="n">
        <x:f>'Leverage Only Results'!N106</x:f>
        <x:v>8</x:v>
      </x:c>
      <x:c r="P105" s="21" t="n">
        <x:f>MIN(E105,K105)</x:f>
        <x:v>1</x:v>
      </x:c>
      <x:c r="Q105" s="21" t="n">
        <x:f>AVERAGE(G105,M105)</x:f>
        <x:v>0</x:v>
      </x:c>
      <x:c r="R105" s="38" t="n">
        <x:f>H105+N105</x:f>
        <x:v>1</x:v>
      </x:c>
      <x:c r="S105" t="str">
        <x:f>IF(AND(P105&gt;=75%,Q105&gt;0,R105&gt;=2),"YES","")</x:f>
      </x:c>
      <x:c r="T105" t="str">
        <x:f>IF(AND(P105&gt;=80%,Q105&gt;=5%),"Strong cross-mode risk reducer",IF(S105="YES","Balanced candidate","Mode-specific / fragile"))</x:f>
        <x:v>Mode-specific / fragile</x:v>
      </x:c>
    </x:row>
    <x:row r="106">
      <x:c r="A106" t="n">
        <x:v>101</x:v>
      </x:c>
      <x:c r="B106" s="39" t="str">
        <x:v>Positive gap with weak momentum</x:v>
      </x:c>
      <x:c r="C106" s="39" t="str">
        <x:v>Skip when cash gap is at least 1.5% and 20-session momentum is no better than 0.0%.</x:v>
      </x:c>
      <x:c r="D106" s="21" t="n">
        <x:f>'Protected Results'!F107</x:f>
        <x:v>7.9473150242053645</x:v>
      </x:c>
      <x:c r="E106" s="21" t="n">
        <x:f>'Protected Results'!G107</x:f>
        <x:v>1.1054820254360993</x:v>
      </x:c>
      <x:c r="F106" s="21" t="n">
        <x:f>'Protected Results'!H107</x:f>
        <x:v>0.8134642808936471</x:v>
      </x:c>
      <x:c r="G106" s="21" t="n">
        <x:f>'Protected Results'!I107</x:f>
        <x:v>0</x:v>
      </x:c>
      <x:c r="H106" s="38" t="n">
        <x:f>'Protected Results'!L107</x:f>
        <x:v>1</x:v>
      </x:c>
      <x:c r="I106" s="38" t="n">
        <x:f>'Protected Results'!N107</x:f>
        <x:v>2</x:v>
      </x:c>
      <x:c r="J106" s="21" t="n">
        <x:f>'Leverage Only Results'!F107</x:f>
        <x:v>5.071694753034974</x:v>
      </x:c>
      <x:c r="K106" s="21" t="n">
        <x:f>'Leverage Only Results'!G107</x:f>
        <x:v>1.3227589641512776</x:v>
      </x:c>
      <x:c r="L106" s="21" t="n">
        <x:f>'Leverage Only Results'!H107</x:f>
        <x:v>0.9074985650661912</x:v>
      </x:c>
      <x:c r="M106" s="21" t="n">
        <x:f>'Leverage Only Results'!I107</x:f>
        <x:v>0.0032826988419240033</x:v>
      </x:c>
      <x:c r="N106" s="38" t="n">
        <x:f>'Leverage Only Results'!L107</x:f>
        <x:v>3</x:v>
      </x:c>
      <x:c r="O106" s="38" t="n">
        <x:f>'Leverage Only Results'!N107</x:f>
        <x:v>12</x:v>
      </x:c>
      <x:c r="P106" s="21" t="n">
        <x:f>MIN(E106,K106)</x:f>
        <x:v>1.1054820254360993</x:v>
      </x:c>
      <x:c r="Q106" s="21" t="n">
        <x:f>AVERAGE(G106,M106)</x:f>
        <x:v>0.0016413494209620016</x:v>
      </x:c>
      <x:c r="R106" s="38" t="n">
        <x:f>H106+N106</x:f>
        <x:v>4</x:v>
      </x:c>
      <x:c r="S106" t="str">
        <x:f>IF(AND(P106&gt;=75%,Q106&gt;0,R106&gt;=2),"YES","")</x:f>
        <x:v>YES</x:v>
      </x:c>
      <x:c r="T106" t="str">
        <x:f>IF(AND(P106&gt;=80%,Q106&gt;=5%),"Strong cross-mode risk reducer",IF(S106="YES","Balanced candidate","Mode-specific / fragile"))</x:f>
        <x:v>Balanced candidate</x:v>
      </x:c>
    </x:row>
    <x:row r="107">
      <x:c r="A107" t="n">
        <x:v>102</x:v>
      </x:c>
      <x:c r="B107" s="39" t="str">
        <x:v>Positive gap with weak momentum</x:v>
      </x:c>
      <x:c r="C107" s="39" t="str">
        <x:v>Skip when cash gap is at least 1.5% and 20-session momentum is no better than 1.0%.</x:v>
      </x:c>
      <x:c r="D107" s="21" t="n">
        <x:f>'Protected Results'!F108</x:f>
        <x:v>7.9473150242053645</x:v>
      </x:c>
      <x:c r="E107" s="21" t="n">
        <x:f>'Protected Results'!G108</x:f>
        <x:v>1.1054820254360993</x:v>
      </x:c>
      <x:c r="F107" s="21" t="n">
        <x:f>'Protected Results'!H108</x:f>
        <x:v>0.8134642808936471</x:v>
      </x:c>
      <x:c r="G107" s="21" t="n">
        <x:f>'Protected Results'!I108</x:f>
        <x:v>0</x:v>
      </x:c>
      <x:c r="H107" s="38" t="n">
        <x:f>'Protected Results'!L108</x:f>
        <x:v>1</x:v>
      </x:c>
      <x:c r="I107" s="38" t="n">
        <x:f>'Protected Results'!N108</x:f>
        <x:v>2</x:v>
      </x:c>
      <x:c r="J107" s="21" t="n">
        <x:f>'Leverage Only Results'!F108</x:f>
        <x:v>5.071694753034974</x:v>
      </x:c>
      <x:c r="K107" s="21" t="n">
        <x:f>'Leverage Only Results'!G108</x:f>
        <x:v>1.3227589641512776</x:v>
      </x:c>
      <x:c r="L107" s="21" t="n">
        <x:f>'Leverage Only Results'!H108</x:f>
        <x:v>0.9074985650661912</x:v>
      </x:c>
      <x:c r="M107" s="21" t="n">
        <x:f>'Leverage Only Results'!I108</x:f>
        <x:v>0.0032826988419240033</x:v>
      </x:c>
      <x:c r="N107" s="38" t="n">
        <x:f>'Leverage Only Results'!L108</x:f>
        <x:v>3</x:v>
      </x:c>
      <x:c r="O107" s="38" t="n">
        <x:f>'Leverage Only Results'!N108</x:f>
        <x:v>12</x:v>
      </x:c>
      <x:c r="P107" s="21" t="n">
        <x:f>MIN(E107,K107)</x:f>
        <x:v>1.1054820254360993</x:v>
      </x:c>
      <x:c r="Q107" s="21" t="n">
        <x:f>AVERAGE(G107,M107)</x:f>
        <x:v>0.0016413494209620016</x:v>
      </x:c>
      <x:c r="R107" s="38" t="n">
        <x:f>H107+N107</x:f>
        <x:v>4</x:v>
      </x:c>
      <x:c r="S107" t="str">
        <x:f>IF(AND(P107&gt;=75%,Q107&gt;0,R107&gt;=2),"YES","")</x:f>
        <x:v>YES</x:v>
      </x:c>
      <x:c r="T107" t="str">
        <x:f>IF(AND(P107&gt;=80%,Q107&gt;=5%),"Strong cross-mode risk reducer",IF(S107="YES","Balanced candidate","Mode-specific / fragile"))</x:f>
        <x:v>Balanced candidate</x:v>
      </x:c>
    </x:row>
    <x:row r="108">
      <x:c r="A108" t="n">
        <x:v>103</x:v>
      </x:c>
      <x:c r="B108" s="39" t="str">
        <x:v>Positive gap with weak momentum</x:v>
      </x:c>
      <x:c r="C108" s="39" t="str">
        <x:v>Skip when cash gap is at least 2.0% and 20-session momentum is no better than -2.0%.</x:v>
      </x:c>
      <x:c r="D108" s="21" t="n">
        <x:f>'Protected Results'!F109</x:f>
        <x:v>7.189004290748413</x:v>
      </x:c>
      <x:c r="E108" s="21" t="n">
        <x:f>'Protected Results'!G109</x:f>
        <x:v>1</x:v>
      </x:c>
      <x:c r="F108" s="21" t="n">
        <x:f>'Protected Results'!H109</x:f>
        <x:v>0.8134642808936471</x:v>
      </x:c>
      <x:c r="G108" s="21" t="n">
        <x:f>'Protected Results'!I109</x:f>
        <x:v>0</x:v>
      </x:c>
      <x:c r="H108" s="38" t="n">
        <x:f>'Protected Results'!L109</x:f>
        <x:v>0</x:v>
      </x:c>
      <x:c r="I108" s="38" t="n">
        <x:f>'Protected Results'!N109</x:f>
        <x:v>0</x:v>
      </x:c>
      <x:c r="J108" s="21" t="n">
        <x:f>'Leverage Only Results'!F109</x:f>
        <x:v>4.358738564510398</x:v>
      </x:c>
      <x:c r="K108" s="21" t="n">
        <x:f>'Leverage Only Results'!G109</x:f>
        <x:v>1.1368114189340375</x:v>
      </x:c>
      <x:c r="L108" s="21" t="n">
        <x:f>'Leverage Only Results'!H109</x:f>
        <x:v>0.9107812639081152</x:v>
      </x:c>
      <x:c r="M108" s="21" t="n">
        <x:f>'Leverage Only Results'!I109</x:f>
        <x:v>0</x:v>
      </x:c>
      <x:c r="N108" s="38" t="n">
        <x:f>'Leverage Only Results'!L109</x:f>
        <x:v>1</x:v>
      </x:c>
      <x:c r="O108" s="38" t="n">
        <x:f>'Leverage Only Results'!N109</x:f>
        <x:v>3</x:v>
      </x:c>
      <x:c r="P108" s="21" t="n">
        <x:f>MIN(E108,K108)</x:f>
        <x:v>1</x:v>
      </x:c>
      <x:c r="Q108" s="21" t="n">
        <x:f>AVERAGE(G108,M108)</x:f>
        <x:v>0</x:v>
      </x:c>
      <x:c r="R108" s="38" t="n">
        <x:f>H108+N108</x:f>
        <x:v>1</x:v>
      </x:c>
      <x:c r="S108" t="str">
        <x:f>IF(AND(P108&gt;=75%,Q108&gt;0,R108&gt;=2),"YES","")</x:f>
      </x:c>
      <x:c r="T108" t="str">
        <x:f>IF(AND(P108&gt;=80%,Q108&gt;=5%),"Strong cross-mode risk reducer",IF(S108="YES","Balanced candidate","Mode-specific / fragile"))</x:f>
        <x:v>Mode-specific / fragile</x:v>
      </x:c>
    </x:row>
    <x:row r="109">
      <x:c r="A109" t="n">
        <x:v>104</x:v>
      </x:c>
      <x:c r="B109" s="39" t="str">
        <x:v>Positive gap with weak momentum</x:v>
      </x:c>
      <x:c r="C109" s="39" t="str">
        <x:v>Skip when cash gap is at least 2.0% and 20-session momentum is no better than -1.0%.</x:v>
      </x:c>
      <x:c r="D109" s="21" t="n">
        <x:f>'Protected Results'!F110</x:f>
        <x:v>7.189004290748413</x:v>
      </x:c>
      <x:c r="E109" s="21" t="n">
        <x:f>'Protected Results'!G110</x:f>
        <x:v>1</x:v>
      </x:c>
      <x:c r="F109" s="21" t="n">
        <x:f>'Protected Results'!H110</x:f>
        <x:v>0.8134642808936471</x:v>
      </x:c>
      <x:c r="G109" s="21" t="n">
        <x:f>'Protected Results'!I110</x:f>
        <x:v>0</x:v>
      </x:c>
      <x:c r="H109" s="38" t="n">
        <x:f>'Protected Results'!L110</x:f>
        <x:v>0</x:v>
      </x:c>
      <x:c r="I109" s="38" t="n">
        <x:f>'Protected Results'!N110</x:f>
        <x:v>0</x:v>
      </x:c>
      <x:c r="J109" s="21" t="n">
        <x:f>'Leverage Only Results'!F110</x:f>
        <x:v>4.358738564510398</x:v>
      </x:c>
      <x:c r="K109" s="21" t="n">
        <x:f>'Leverage Only Results'!G110</x:f>
        <x:v>1.1368114189340375</x:v>
      </x:c>
      <x:c r="L109" s="21" t="n">
        <x:f>'Leverage Only Results'!H110</x:f>
        <x:v>0.9107812639081152</x:v>
      </x:c>
      <x:c r="M109" s="21" t="n">
        <x:f>'Leverage Only Results'!I110</x:f>
        <x:v>0</x:v>
      </x:c>
      <x:c r="N109" s="38" t="n">
        <x:f>'Leverage Only Results'!L110</x:f>
        <x:v>1</x:v>
      </x:c>
      <x:c r="O109" s="38" t="n">
        <x:f>'Leverage Only Results'!N110</x:f>
        <x:v>3</x:v>
      </x:c>
      <x:c r="P109" s="21" t="n">
        <x:f>MIN(E109,K109)</x:f>
        <x:v>1</x:v>
      </x:c>
      <x:c r="Q109" s="21" t="n">
        <x:f>AVERAGE(G109,M109)</x:f>
        <x:v>0</x:v>
      </x:c>
      <x:c r="R109" s="38" t="n">
        <x:f>H109+N109</x:f>
        <x:v>1</x:v>
      </x:c>
      <x:c r="S109" t="str">
        <x:f>IF(AND(P109&gt;=75%,Q109&gt;0,R109&gt;=2),"YES","")</x:f>
      </x:c>
      <x:c r="T109" t="str">
        <x:f>IF(AND(P109&gt;=80%,Q109&gt;=5%),"Strong cross-mode risk reducer",IF(S109="YES","Balanced candidate","Mode-specific / fragile"))</x:f>
        <x:v>Mode-specific / fragile</x:v>
      </x:c>
    </x:row>
    <x:row r="110">
      <x:c r="A110" t="n">
        <x:v>105</x:v>
      </x:c>
      <x:c r="B110" s="39" t="str">
        <x:v>Positive gap with weak momentum</x:v>
      </x:c>
      <x:c r="C110" s="39" t="str">
        <x:v>Skip when cash gap is at least 2.0% and 20-session momentum is no better than 0.0%.</x:v>
      </x:c>
      <x:c r="D110" s="21" t="n">
        <x:f>'Protected Results'!F111</x:f>
        <x:v>7.189004290748413</x:v>
      </x:c>
      <x:c r="E110" s="21" t="n">
        <x:f>'Protected Results'!G111</x:f>
        <x:v>1</x:v>
      </x:c>
      <x:c r="F110" s="21" t="n">
        <x:f>'Protected Results'!H111</x:f>
        <x:v>0.8134642808936471</x:v>
      </x:c>
      <x:c r="G110" s="21" t="n">
        <x:f>'Protected Results'!I111</x:f>
        <x:v>0</x:v>
      </x:c>
      <x:c r="H110" s="38" t="n">
        <x:f>'Protected Results'!L111</x:f>
        <x:v>0</x:v>
      </x:c>
      <x:c r="I110" s="38" t="n">
        <x:f>'Protected Results'!N111</x:f>
        <x:v>0</x:v>
      </x:c>
      <x:c r="J110" s="21" t="n">
        <x:f>'Leverage Only Results'!F111</x:f>
        <x:v>4.463638363957924</x:v>
      </x:c>
      <x:c r="K110" s="21" t="n">
        <x:f>'Leverage Only Results'!G111</x:f>
        <x:v>1.1641705477486908</x:v>
      </x:c>
      <x:c r="L110" s="21" t="n">
        <x:f>'Leverage Only Results'!H111</x:f>
        <x:v>0.9074985650661912</x:v>
      </x:c>
      <x:c r="M110" s="21" t="n">
        <x:f>'Leverage Only Results'!I111</x:f>
        <x:v>0.0032826988419240033</x:v>
      </x:c>
      <x:c r="N110" s="38" t="n">
        <x:f>'Leverage Only Results'!L111</x:f>
        <x:v>2</x:v>
      </x:c>
      <x:c r="O110" s="38" t="n">
        <x:f>'Leverage Only Results'!N111</x:f>
        <x:v>4</x:v>
      </x:c>
      <x:c r="P110" s="21" t="n">
        <x:f>MIN(E110,K110)</x:f>
        <x:v>1</x:v>
      </x:c>
      <x:c r="Q110" s="21" t="n">
        <x:f>AVERAGE(G110,M110)</x:f>
        <x:v>0.0016413494209620016</x:v>
      </x:c>
      <x:c r="R110" s="38" t="n">
        <x:f>H110+N110</x:f>
        <x:v>2</x:v>
      </x:c>
      <x:c r="S110" t="str">
        <x:f>IF(AND(P110&gt;=75%,Q110&gt;0,R110&gt;=2),"YES","")</x:f>
        <x:v>YES</x:v>
      </x:c>
      <x:c r="T110" t="str">
        <x:f>IF(AND(P110&gt;=80%,Q110&gt;=5%),"Strong cross-mode risk reducer",IF(S110="YES","Balanced candidate","Mode-specific / fragile"))</x:f>
        <x:v>Balanced candidate</x:v>
      </x:c>
    </x:row>
    <x:row r="111">
      <x:c r="A111" t="n">
        <x:v>106</x:v>
      </x:c>
      <x:c r="B111" s="39" t="str">
        <x:v>Positive gap with weak momentum</x:v>
      </x:c>
      <x:c r="C111" s="39" t="str">
        <x:v>Skip when cash gap is at least 2.0% and 20-session momentum is no better than 1.0%.</x:v>
      </x:c>
      <x:c r="D111" s="21" t="n">
        <x:f>'Protected Results'!F112</x:f>
        <x:v>7.189004290748413</x:v>
      </x:c>
      <x:c r="E111" s="21" t="n">
        <x:f>'Protected Results'!G112</x:f>
        <x:v>1</x:v>
      </x:c>
      <x:c r="F111" s="21" t="n">
        <x:f>'Protected Results'!H112</x:f>
        <x:v>0.8134642808936471</x:v>
      </x:c>
      <x:c r="G111" s="21" t="n">
        <x:f>'Protected Results'!I112</x:f>
        <x:v>0</x:v>
      </x:c>
      <x:c r="H111" s="38" t="n">
        <x:f>'Protected Results'!L112</x:f>
        <x:v>0</x:v>
      </x:c>
      <x:c r="I111" s="38" t="n">
        <x:f>'Protected Results'!N112</x:f>
        <x:v>0</x:v>
      </x:c>
      <x:c r="J111" s="21" t="n">
        <x:f>'Leverage Only Results'!F112</x:f>
        <x:v>4.463638363957924</x:v>
      </x:c>
      <x:c r="K111" s="21" t="n">
        <x:f>'Leverage Only Results'!G112</x:f>
        <x:v>1.1641705477486908</x:v>
      </x:c>
      <x:c r="L111" s="21" t="n">
        <x:f>'Leverage Only Results'!H112</x:f>
        <x:v>0.9074985650661912</x:v>
      </x:c>
      <x:c r="M111" s="21" t="n">
        <x:f>'Leverage Only Results'!I112</x:f>
        <x:v>0.0032826988419240033</x:v>
      </x:c>
      <x:c r="N111" s="38" t="n">
        <x:f>'Leverage Only Results'!L112</x:f>
        <x:v>2</x:v>
      </x:c>
      <x:c r="O111" s="38" t="n">
        <x:f>'Leverage Only Results'!N112</x:f>
        <x:v>4</x:v>
      </x:c>
      <x:c r="P111" s="21" t="n">
        <x:f>MIN(E111,K111)</x:f>
        <x:v>1</x:v>
      </x:c>
      <x:c r="Q111" s="21" t="n">
        <x:f>AVERAGE(G111,M111)</x:f>
        <x:v>0.0016413494209620016</x:v>
      </x:c>
      <x:c r="R111" s="38" t="n">
        <x:f>H111+N111</x:f>
        <x:v>2</x:v>
      </x:c>
      <x:c r="S111" t="str">
        <x:f>IF(AND(P111&gt;=75%,Q111&gt;0,R111&gt;=2),"YES","")</x:f>
        <x:v>YES</x:v>
      </x:c>
      <x:c r="T111" t="str">
        <x:f>IF(AND(P111&gt;=80%,Q111&gt;=5%),"Strong cross-mode risk reducer",IF(S111="YES","Balanced candidate","Mode-specific / fragile"))</x:f>
        <x:v>Balanced candidate</x:v>
      </x:c>
    </x:row>
    <x:row r="112">
      <x:c r="A112" t="n">
        <x:v>107</x:v>
      </x:c>
      <x:c r="B112" s="39" t="str">
        <x:v>Positive gap with weak momentum</x:v>
      </x:c>
      <x:c r="C112" s="39" t="str">
        <x:v>Skip when cash gap is at least 2.5% and 20-session momentum is no better than -2.0%.</x:v>
      </x:c>
      <x:c r="D112" s="21" t="n">
        <x:f>'Protected Results'!F113</x:f>
        <x:v>7.189004290748413</x:v>
      </x:c>
      <x:c r="E112" s="21" t="n">
        <x:f>'Protected Results'!G113</x:f>
        <x:v>1</x:v>
      </x:c>
      <x:c r="F112" s="21" t="n">
        <x:f>'Protected Results'!H113</x:f>
        <x:v>0.8134642808936471</x:v>
      </x:c>
      <x:c r="G112" s="21" t="n">
        <x:f>'Protected Results'!I113</x:f>
        <x:v>0</x:v>
      </x:c>
      <x:c r="H112" s="38" t="n">
        <x:f>'Protected Results'!L113</x:f>
        <x:v>0</x:v>
      </x:c>
      <x:c r="I112" s="38" t="n">
        <x:f>'Protected Results'!N113</x:f>
        <x:v>0</x:v>
      </x:c>
      <x:c r="J112" s="21" t="n">
        <x:f>'Leverage Only Results'!F113</x:f>
        <x:v>3.655018023019978</x:v>
      </x:c>
      <x:c r="K112" s="21" t="n">
        <x:f>'Leverage Only Results'!G113</x:f>
        <x:v>0.953272641495429</x:v>
      </x:c>
      <x:c r="L112" s="21" t="n">
        <x:f>'Leverage Only Results'!H113</x:f>
        <x:v>0.9107812639081152</x:v>
      </x:c>
      <x:c r="M112" s="21" t="n">
        <x:f>'Leverage Only Results'!I113</x:f>
        <x:v>0</x:v>
      </x:c>
      <x:c r="N112" s="38" t="n">
        <x:f>'Leverage Only Results'!L113</x:f>
        <x:v>0</x:v>
      </x:c>
      <x:c r="O112" s="38" t="n">
        <x:f>'Leverage Only Results'!N113</x:f>
        <x:v>1</x:v>
      </x:c>
      <x:c r="P112" s="21" t="n">
        <x:f>MIN(E112,K112)</x:f>
        <x:v>0.953272641495429</x:v>
      </x:c>
      <x:c r="Q112" s="21" t="n">
        <x:f>AVERAGE(G112,M112)</x:f>
        <x:v>0</x:v>
      </x:c>
      <x:c r="R112" s="38" t="n">
        <x:f>H112+N112</x:f>
        <x:v>0</x:v>
      </x:c>
      <x:c r="S112" t="str">
        <x:f>IF(AND(P112&gt;=75%,Q112&gt;0,R112&gt;=2),"YES","")</x:f>
      </x:c>
      <x:c r="T112" t="str">
        <x:f>IF(AND(P112&gt;=80%,Q112&gt;=5%),"Strong cross-mode risk reducer",IF(S112="YES","Balanced candidate","Mode-specific / fragile"))</x:f>
        <x:v>Mode-specific / fragile</x:v>
      </x:c>
    </x:row>
    <x:row r="113">
      <x:c r="A113" t="n">
        <x:v>108</x:v>
      </x:c>
      <x:c r="B113" s="39" t="str">
        <x:v>Positive gap with weak momentum</x:v>
      </x:c>
      <x:c r="C113" s="39" t="str">
        <x:v>Skip when cash gap is at least 2.5% and 20-session momentum is no better than -1.0%.</x:v>
      </x:c>
      <x:c r="D113" s="21" t="n">
        <x:f>'Protected Results'!F114</x:f>
        <x:v>7.189004290748413</x:v>
      </x:c>
      <x:c r="E113" s="21" t="n">
        <x:f>'Protected Results'!G114</x:f>
        <x:v>1</x:v>
      </x:c>
      <x:c r="F113" s="21" t="n">
        <x:f>'Protected Results'!H114</x:f>
        <x:v>0.8134642808936471</x:v>
      </x:c>
      <x:c r="G113" s="21" t="n">
        <x:f>'Protected Results'!I114</x:f>
        <x:v>0</x:v>
      </x:c>
      <x:c r="H113" s="38" t="n">
        <x:f>'Protected Results'!L114</x:f>
        <x:v>0</x:v>
      </x:c>
      <x:c r="I113" s="38" t="n">
        <x:f>'Protected Results'!N114</x:f>
        <x:v>0</x:v>
      </x:c>
      <x:c r="J113" s="21" t="n">
        <x:f>'Leverage Only Results'!F114</x:f>
        <x:v>3.655018023019978</x:v>
      </x:c>
      <x:c r="K113" s="21" t="n">
        <x:f>'Leverage Only Results'!G114</x:f>
        <x:v>0.953272641495429</x:v>
      </x:c>
      <x:c r="L113" s="21" t="n">
        <x:f>'Leverage Only Results'!H114</x:f>
        <x:v>0.9107812639081152</x:v>
      </x:c>
      <x:c r="M113" s="21" t="n">
        <x:f>'Leverage Only Results'!I114</x:f>
        <x:v>0</x:v>
      </x:c>
      <x:c r="N113" s="38" t="n">
        <x:f>'Leverage Only Results'!L114</x:f>
        <x:v>0</x:v>
      </x:c>
      <x:c r="O113" s="38" t="n">
        <x:f>'Leverage Only Results'!N114</x:f>
        <x:v>1</x:v>
      </x:c>
      <x:c r="P113" s="21" t="n">
        <x:f>MIN(E113,K113)</x:f>
        <x:v>0.953272641495429</x:v>
      </x:c>
      <x:c r="Q113" s="21" t="n">
        <x:f>AVERAGE(G113,M113)</x:f>
        <x:v>0</x:v>
      </x:c>
      <x:c r="R113" s="38" t="n">
        <x:f>H113+N113</x:f>
        <x:v>0</x:v>
      </x:c>
      <x:c r="S113" t="str">
        <x:f>IF(AND(P113&gt;=75%,Q113&gt;0,R113&gt;=2),"YES","")</x:f>
      </x:c>
      <x:c r="T113" t="str">
        <x:f>IF(AND(P113&gt;=80%,Q113&gt;=5%),"Strong cross-mode risk reducer",IF(S113="YES","Balanced candidate","Mode-specific / fragile"))</x:f>
        <x:v>Mode-specific / fragile</x:v>
      </x:c>
    </x:row>
    <x:row r="114">
      <x:c r="A114" t="n">
        <x:v>109</x:v>
      </x:c>
      <x:c r="B114" s="39" t="str">
        <x:v>Positive gap with weak momentum</x:v>
      </x:c>
      <x:c r="C114" s="39" t="str">
        <x:v>Skip when cash gap is at least 2.5% and 20-session momentum is no better than 0.0%.</x:v>
      </x:c>
      <x:c r="D114" s="21" t="n">
        <x:f>'Protected Results'!F115</x:f>
        <x:v>7.189004290748413</x:v>
      </x:c>
      <x:c r="E114" s="21" t="n">
        <x:f>'Protected Results'!G115</x:f>
        <x:v>1</x:v>
      </x:c>
      <x:c r="F114" s="21" t="n">
        <x:f>'Protected Results'!H115</x:f>
        <x:v>0.8134642808936471</x:v>
      </x:c>
      <x:c r="G114" s="21" t="n">
        <x:f>'Protected Results'!I115</x:f>
        <x:v>0</x:v>
      </x:c>
      <x:c r="H114" s="38" t="n">
        <x:f>'Protected Results'!L115</x:f>
        <x:v>0</x:v>
      </x:c>
      <x:c r="I114" s="38" t="n">
        <x:f>'Protected Results'!N115</x:f>
        <x:v>0</x:v>
      </x:c>
      <x:c r="J114" s="21" t="n">
        <x:f>'Leverage Only Results'!F115</x:f>
        <x:v>3.655018023019978</x:v>
      </x:c>
      <x:c r="K114" s="21" t="n">
        <x:f>'Leverage Only Results'!G115</x:f>
        <x:v>0.953272641495429</x:v>
      </x:c>
      <x:c r="L114" s="21" t="n">
        <x:f>'Leverage Only Results'!H115</x:f>
        <x:v>0.9107812639081152</x:v>
      </x:c>
      <x:c r="M114" s="21" t="n">
        <x:f>'Leverage Only Results'!I115</x:f>
        <x:v>0</x:v>
      </x:c>
      <x:c r="N114" s="38" t="n">
        <x:f>'Leverage Only Results'!L115</x:f>
        <x:v>0</x:v>
      </x:c>
      <x:c r="O114" s="38" t="n">
        <x:f>'Leverage Only Results'!N115</x:f>
        <x:v>1</x:v>
      </x:c>
      <x:c r="P114" s="21" t="n">
        <x:f>MIN(E114,K114)</x:f>
        <x:v>0.953272641495429</x:v>
      </x:c>
      <x:c r="Q114" s="21" t="n">
        <x:f>AVERAGE(G114,M114)</x:f>
        <x:v>0</x:v>
      </x:c>
      <x:c r="R114" s="38" t="n">
        <x:f>H114+N114</x:f>
        <x:v>0</x:v>
      </x:c>
      <x:c r="S114" t="str">
        <x:f>IF(AND(P114&gt;=75%,Q114&gt;0,R114&gt;=2),"YES","")</x:f>
      </x:c>
      <x:c r="T114" t="str">
        <x:f>IF(AND(P114&gt;=80%,Q114&gt;=5%),"Strong cross-mode risk reducer",IF(S114="YES","Balanced candidate","Mode-specific / fragile"))</x:f>
        <x:v>Mode-specific / fragile</x:v>
      </x:c>
    </x:row>
    <x:row r="115">
      <x:c r="A115" t="n">
        <x:v>110</x:v>
      </x:c>
      <x:c r="B115" s="39" t="str">
        <x:v>Positive gap with weak momentum</x:v>
      </x:c>
      <x:c r="C115" s="39" t="str">
        <x:v>Skip when cash gap is at least 2.5% and 20-session momentum is no better than 1.0%.</x:v>
      </x:c>
      <x:c r="D115" s="21" t="n">
        <x:f>'Protected Results'!F116</x:f>
        <x:v>7.189004290748413</x:v>
      </x:c>
      <x:c r="E115" s="21" t="n">
        <x:f>'Protected Results'!G116</x:f>
        <x:v>1</x:v>
      </x:c>
      <x:c r="F115" s="21" t="n">
        <x:f>'Protected Results'!H116</x:f>
        <x:v>0.8134642808936471</x:v>
      </x:c>
      <x:c r="G115" s="21" t="n">
        <x:f>'Protected Results'!I116</x:f>
        <x:v>0</x:v>
      </x:c>
      <x:c r="H115" s="38" t="n">
        <x:f>'Protected Results'!L116</x:f>
        <x:v>0</x:v>
      </x:c>
      <x:c r="I115" s="38" t="n">
        <x:f>'Protected Results'!N116</x:f>
        <x:v>0</x:v>
      </x:c>
      <x:c r="J115" s="21" t="n">
        <x:f>'Leverage Only Results'!F116</x:f>
        <x:v>3.655018023019978</x:v>
      </x:c>
      <x:c r="K115" s="21" t="n">
        <x:f>'Leverage Only Results'!G116</x:f>
        <x:v>0.953272641495429</x:v>
      </x:c>
      <x:c r="L115" s="21" t="n">
        <x:f>'Leverage Only Results'!H116</x:f>
        <x:v>0.9107812639081152</x:v>
      </x:c>
      <x:c r="M115" s="21" t="n">
        <x:f>'Leverage Only Results'!I116</x:f>
        <x:v>0</x:v>
      </x:c>
      <x:c r="N115" s="38" t="n">
        <x:f>'Leverage Only Results'!L116</x:f>
        <x:v>0</x:v>
      </x:c>
      <x:c r="O115" s="38" t="n">
        <x:f>'Leverage Only Results'!N116</x:f>
        <x:v>1</x:v>
      </x:c>
      <x:c r="P115" s="21" t="n">
        <x:f>MIN(E115,K115)</x:f>
        <x:v>0.953272641495429</x:v>
      </x:c>
      <x:c r="Q115" s="21" t="n">
        <x:f>AVERAGE(G115,M115)</x:f>
        <x:v>0</x:v>
      </x:c>
      <x:c r="R115" s="38" t="n">
        <x:f>H115+N115</x:f>
        <x:v>0</x:v>
      </x:c>
      <x:c r="S115" t="str">
        <x:f>IF(AND(P115&gt;=75%,Q115&gt;0,R115&gt;=2),"YES","")</x:f>
      </x:c>
      <x:c r="T115" t="str">
        <x:f>IF(AND(P115&gt;=80%,Q115&gt;=5%),"Strong cross-mode risk reducer",IF(S115="YES","Balanced candidate","Mode-specific / fragile"))</x:f>
        <x:v>Mode-specific / fragile</x:v>
      </x:c>
    </x:row>
    <x:row r="116">
      <x:c r="A116" t="n">
        <x:v>111</x:v>
      </x:c>
      <x:c r="B116" s="39" t="str">
        <x:v>Weak trailing momentum</x:v>
      </x:c>
      <x:c r="C116" s="39" t="str">
        <x:v>Skip when trailing 5-session momentum is -2% or worse.</x:v>
      </x:c>
      <x:c r="D116" s="21" t="n">
        <x:f>'Protected Results'!F117</x:f>
        <x:v>2.086160033576581</x:v>
      </x:c>
      <x:c r="E116" s="21" t="n">
        <x:f>'Protected Results'!G117</x:f>
        <x:v>0.290187618368969</x:v>
      </x:c>
      <x:c r="F116" s="21" t="n">
        <x:f>'Protected Results'!H117</x:f>
        <x:v>0.8481774262150306</x:v>
      </x:c>
      <x:c r="G116" s="21" t="n">
        <x:f>'Protected Results'!I117</x:f>
        <x:v>-0.034713145321383476</x:v>
      </x:c>
      <x:c r="H116" s="38" t="n">
        <x:f>'Protected Results'!L117</x:f>
        <x:v>2</x:v>
      </x:c>
      <x:c r="I116" s="38" t="n">
        <x:f>'Protected Results'!N117</x:f>
        <x:v>63</x:v>
      </x:c>
      <x:c r="J116" s="21" t="n">
        <x:f>'Leverage Only Results'!F117</x:f>
        <x:v>0.6923706754777916</x:v>
      </x:c>
      <x:c r="K116" s="21" t="n">
        <x:f>'Leverage Only Results'!G117</x:f>
        <x:v>0.18057859593298134</x:v>
      </x:c>
      <x:c r="L116" s="21" t="n">
        <x:f>'Leverage Only Results'!H117</x:f>
        <x:v>0.9344338136917278</x:v>
      </x:c>
      <x:c r="M116" s="21" t="n">
        <x:f>'Leverage Only Results'!I117</x:f>
        <x:v>-0.023652549783612642</x:v>
      </x:c>
      <x:c r="N116" s="38" t="n">
        <x:f>'Leverage Only Results'!L117</x:f>
        <x:v>3</x:v>
      </x:c>
      <x:c r="O116" s="38" t="n">
        <x:f>'Leverage Only Results'!N117</x:f>
        <x:v>85</x:v>
      </x:c>
      <x:c r="P116" s="21" t="n">
        <x:f>MIN(E116,K116)</x:f>
        <x:v>0.18057859593298134</x:v>
      </x:c>
      <x:c r="Q116" s="21" t="n">
        <x:f>AVERAGE(G116,M116)</x:f>
        <x:v>-0.02918284755249806</x:v>
      </x:c>
      <x:c r="R116" s="38" t="n">
        <x:f>H116+N116</x:f>
        <x:v>5</x:v>
      </x:c>
      <x:c r="S116" t="str">
        <x:f>IF(AND(P116&gt;=75%,Q116&gt;0,R116&gt;=2),"YES","")</x:f>
      </x:c>
      <x:c r="T116" t="str">
        <x:f>IF(AND(P116&gt;=80%,Q116&gt;=5%),"Strong cross-mode risk reducer",IF(S116="YES","Balanced candidate","Mode-specific / fragile"))</x:f>
        <x:v>Mode-specific / fragile</x:v>
      </x:c>
    </x:row>
    <x:row r="117">
      <x:c r="A117" t="n">
        <x:v>112</x:v>
      </x:c>
      <x:c r="B117" s="39" t="str">
        <x:v>Weak trailing momentum</x:v>
      </x:c>
      <x:c r="C117" s="39" t="str">
        <x:v>Skip when trailing 5-session momentum is -4% or worse.</x:v>
      </x:c>
      <x:c r="D117" s="21" t="n">
        <x:f>'Protected Results'!F118</x:f>
        <x:v>4.584957797095502</x:v>
      </x:c>
      <x:c r="E117" s="21" t="n">
        <x:f>'Protected Results'!G118</x:f>
        <x:v>0.6377736904394286</x:v>
      </x:c>
      <x:c r="F117" s="21" t="n">
        <x:f>'Protected Results'!H118</x:f>
        <x:v>0.8018193373708205</x:v>
      </x:c>
      <x:c r="G117" s="21" t="n">
        <x:f>'Protected Results'!I118</x:f>
        <x:v>0.011644943522826634</x:v>
      </x:c>
      <x:c r="H117" s="38" t="n">
        <x:f>'Protected Results'!L118</x:f>
        <x:v>1</x:v>
      </x:c>
      <x:c r="I117" s="38" t="n">
        <x:f>'Protected Results'!N118</x:f>
        <x:v>21</x:v>
      </x:c>
      <x:c r="J117" s="21" t="n">
        <x:f>'Leverage Only Results'!F118</x:f>
        <x:v>2.366969069769232</x:v>
      </x:c>
      <x:c r="K117" s="21" t="n">
        <x:f>'Leverage Only Results'!G118</x:f>
        <x:v>0.6173339893991984</x:v>
      </x:c>
      <x:c r="L117" s="21" t="n">
        <x:f>'Leverage Only Results'!H118</x:f>
        <x:v>0.9293126283383314</x:v>
      </x:c>
      <x:c r="M117" s="21" t="n">
        <x:f>'Leverage Only Results'!I118</x:f>
        <x:v>-0.01853136443021619</x:v>
      </x:c>
      <x:c r="N117" s="38" t="n">
        <x:f>'Leverage Only Results'!L118</x:f>
        <x:v>2</x:v>
      </x:c>
      <x:c r="O117" s="38" t="n">
        <x:f>'Leverage Only Results'!N118</x:f>
        <x:v>30</x:v>
      </x:c>
      <x:c r="P117" s="21" t="n">
        <x:f>MIN(E117,K117)</x:f>
        <x:v>0.6173339893991984</x:v>
      </x:c>
      <x:c r="Q117" s="21" t="n">
        <x:f>AVERAGE(G117,M117)</x:f>
        <x:v>-0.0034432104536947783</x:v>
      </x:c>
      <x:c r="R117" s="38" t="n">
        <x:f>H117+N117</x:f>
        <x:v>3</x:v>
      </x:c>
      <x:c r="S117" t="str">
        <x:f>IF(AND(P117&gt;=75%,Q117&gt;0,R117&gt;=2),"YES","")</x:f>
      </x:c>
      <x:c r="T117" t="str">
        <x:f>IF(AND(P117&gt;=80%,Q117&gt;=5%),"Strong cross-mode risk reducer",IF(S117="YES","Balanced candidate","Mode-specific / fragile"))</x:f>
        <x:v>Mode-specific / fragile</x:v>
      </x:c>
    </x:row>
    <x:row r="118">
      <x:c r="A118" t="n">
        <x:v>113</x:v>
      </x:c>
      <x:c r="B118" s="39" t="str">
        <x:v>Weak trailing momentum</x:v>
      </x:c>
      <x:c r="C118" s="39" t="str">
        <x:v>Skip when trailing 5-session momentum is -6% or worse.</x:v>
      </x:c>
      <x:c r="D118" s="21" t="n">
        <x:f>'Protected Results'!F119</x:f>
        <x:v>5.982106138301841</x:v>
      </x:c>
      <x:c r="E118" s="21" t="n">
        <x:f>'Protected Results'!G119</x:f>
        <x:v>0.8321188715939788</x:v>
      </x:c>
      <x:c r="F118" s="21" t="n">
        <x:f>'Protected Results'!H119</x:f>
        <x:v>0.8133020963670303</x:v>
      </x:c>
      <x:c r="G118" s="21" t="n">
        <x:f>'Protected Results'!I119</x:f>
        <x:v>0.00016218452661675986</x:v>
      </x:c>
      <x:c r="H118" s="38" t="n">
        <x:f>'Protected Results'!L119</x:f>
        <x:v>0</x:v>
      </x:c>
      <x:c r="I118" s="38" t="n">
        <x:f>'Protected Results'!N119</x:f>
        <x:v>4</x:v>
      </x:c>
      <x:c r="J118" s="21" t="n">
        <x:f>'Leverage Only Results'!F119</x:f>
        <x:v>3.053407454874069</x:v>
      </x:c>
      <x:c r="K118" s="21" t="n">
        <x:f>'Leverage Only Results'!G119</x:f>
        <x:v>0.7963653726841633</x:v>
      </x:c>
      <x:c r="L118" s="21" t="n">
        <x:f>'Leverage Only Results'!H119</x:f>
        <x:v>0.9107812639081152</x:v>
      </x:c>
      <x:c r="M118" s="21" t="n">
        <x:f>'Leverage Only Results'!I119</x:f>
        <x:v>0</x:v>
      </x:c>
      <x:c r="N118" s="38" t="n">
        <x:f>'Leverage Only Results'!L119</x:f>
        <x:v>0</x:v>
      </x:c>
      <x:c r="O118" s="38" t="n">
        <x:f>'Leverage Only Results'!N119</x:f>
        <x:v>5</x:v>
      </x:c>
      <x:c r="P118" s="21" t="n">
        <x:f>MIN(E118,K118)</x:f>
        <x:v>0.7963653726841633</x:v>
      </x:c>
      <x:c r="Q118" s="21" t="n">
        <x:f>AVERAGE(G118,M118)</x:f>
        <x:v>0.00008109226330837993</x:v>
      </x:c>
      <x:c r="R118" s="38" t="n">
        <x:f>H118+N118</x:f>
        <x:v>0</x:v>
      </x:c>
      <x:c r="S118" t="str">
        <x:f>IF(AND(P118&gt;=75%,Q118&gt;0,R118&gt;=2),"YES","")</x:f>
      </x:c>
      <x:c r="T118" t="str">
        <x:f>IF(AND(P118&gt;=80%,Q118&gt;=5%),"Strong cross-mode risk reducer",IF(S118="YES","Balanced candidate","Mode-specific / fragile"))</x:f>
        <x:v>Mode-specific / fragile</x:v>
      </x:c>
    </x:row>
    <x:row r="119">
      <x:c r="A119" t="n">
        <x:v>114</x:v>
      </x:c>
      <x:c r="B119" s="39" t="str">
        <x:v>Weak trailing momentum</x:v>
      </x:c>
      <x:c r="C119" s="39" t="str">
        <x:v>Skip when trailing 5-session momentum is -8% or worse.</x:v>
      </x:c>
      <x:c r="D119" s="21" t="n">
        <x:f>'Protected Results'!F120</x:f>
        <x:v>6.7800254420232955</x:v>
      </x:c>
      <x:c r="E119" s="21" t="n">
        <x:f>'Protected Results'!G120</x:f>
        <x:v>0.9431105015125063</x:v>
      </x:c>
      <x:c r="F119" s="21" t="n">
        <x:f>'Protected Results'!H120</x:f>
        <x:v>0.8134642808936471</x:v>
      </x:c>
      <x:c r="G119" s="21" t="n">
        <x:f>'Protected Results'!I120</x:f>
        <x:v>0</x:v>
      </x:c>
      <x:c r="H119" s="38" t="n">
        <x:f>'Protected Results'!L120</x:f>
        <x:v>0</x:v>
      </x:c>
      <x:c r="I119" s="38" t="n">
        <x:f>'Protected Results'!N120</x:f>
        <x:v>1</x:v>
      </x:c>
      <x:c r="J119" s="21" t="n">
        <x:f>'Leverage Only Results'!F120</x:f>
        <x:v>3.5971912607902796</x:v>
      </x:c>
      <x:c r="K119" s="21" t="n">
        <x:f>'Leverage Only Results'!G120</x:f>
        <x:v>0.938190726705229</x:v>
      </x:c>
      <x:c r="L119" s="21" t="n">
        <x:f>'Leverage Only Results'!H120</x:f>
        <x:v>0.9107812639081152</x:v>
      </x:c>
      <x:c r="M119" s="21" t="n">
        <x:f>'Leverage Only Results'!I120</x:f>
        <x:v>0</x:v>
      </x:c>
      <x:c r="N119" s="38" t="n">
        <x:f>'Leverage Only Results'!L120</x:f>
        <x:v>0</x:v>
      </x:c>
      <x:c r="O119" s="38" t="n">
        <x:f>'Leverage Only Results'!N120</x:f>
        <x:v>1</x:v>
      </x:c>
      <x:c r="P119" s="21" t="n">
        <x:f>MIN(E119,K119)</x:f>
        <x:v>0.938190726705229</x:v>
      </x:c>
      <x:c r="Q119" s="21" t="n">
        <x:f>AVERAGE(G119,M119)</x:f>
        <x:v>0</x:v>
      </x:c>
      <x:c r="R119" s="38" t="n">
        <x:f>H119+N119</x:f>
        <x:v>0</x:v>
      </x:c>
      <x:c r="S119" t="str">
        <x:f>IF(AND(P119&gt;=75%,Q119&gt;0,R119&gt;=2),"YES","")</x:f>
      </x:c>
      <x:c r="T119" t="str">
        <x:f>IF(AND(P119&gt;=80%,Q119&gt;=5%),"Strong cross-mode risk reducer",IF(S119="YES","Balanced candidate","Mode-specific / fragile"))</x:f>
        <x:v>Mode-specific / fragile</x:v>
      </x:c>
    </x:row>
    <x:row r="120">
      <x:c r="A120" t="n">
        <x:v>115</x:v>
      </x:c>
      <x:c r="B120" s="39" t="str">
        <x:v>Weak trailing momentum</x:v>
      </x:c>
      <x:c r="C120" s="39" t="str">
        <x:v>Skip when trailing 5-session momentum is -10% or worse.</x:v>
      </x:c>
      <x:c r="D120" s="21" t="n">
        <x:f>'Protected Results'!F121</x:f>
        <x:v>7.189004290748413</x:v>
      </x:c>
      <x:c r="E120" s="21" t="n">
        <x:f>'Protected Results'!G121</x:f>
        <x:v>1</x:v>
      </x:c>
      <x:c r="F120" s="21" t="n">
        <x:f>'Protected Results'!H121</x:f>
        <x:v>0.8134642808936471</x:v>
      </x:c>
      <x:c r="G120" s="21" t="n">
        <x:f>'Protected Results'!I121</x:f>
        <x:v>0</x:v>
      </x:c>
      <x:c r="H120" s="38" t="n">
        <x:f>'Protected Results'!L121</x:f>
        <x:v>0</x:v>
      </x:c>
      <x:c r="I120" s="38" t="n">
        <x:f>'Protected Results'!N121</x:f>
        <x:v>0</x:v>
      </x:c>
      <x:c r="J120" s="21" t="n">
        <x:f>'Leverage Only Results'!F121</x:f>
        <x:v>3.8341790836315575</x:v>
      </x:c>
      <x:c r="K120" s="21" t="n">
        <x:f>'Leverage Only Results'!G121</x:f>
        <x:v>1</x:v>
      </x:c>
      <x:c r="L120" s="21" t="n">
        <x:f>'Leverage Only Results'!H121</x:f>
        <x:v>0.9107812639081152</x:v>
      </x:c>
      <x:c r="M120" s="21" t="n">
        <x:f>'Leverage Only Results'!I121</x:f>
        <x:v>0</x:v>
      </x:c>
      <x:c r="N120" s="38" t="n">
        <x:f>'Leverage Only Results'!L121</x:f>
        <x:v>0</x:v>
      </x:c>
      <x:c r="O120" s="38" t="n">
        <x:f>'Leverage Only Results'!N121</x:f>
        <x:v>0</x:v>
      </x:c>
      <x:c r="P120" s="21" t="n">
        <x:f>MIN(E120,K120)</x:f>
        <x:v>1</x:v>
      </x:c>
      <x:c r="Q120" s="21" t="n">
        <x:f>AVERAGE(G120,M120)</x:f>
        <x:v>0</x:v>
      </x:c>
      <x:c r="R120" s="38" t="n">
        <x:f>H120+N120</x:f>
        <x:v>0</x:v>
      </x:c>
      <x:c r="S120" t="str">
        <x:f>IF(AND(P120&gt;=75%,Q120&gt;0,R120&gt;=2),"YES","")</x:f>
      </x:c>
      <x:c r="T120" t="str">
        <x:f>IF(AND(P120&gt;=80%,Q120&gt;=5%),"Strong cross-mode risk reducer",IF(S120="YES","Balanced candidate","Mode-specific / fragile"))</x:f>
        <x:v>Mode-specific / fragile</x:v>
      </x:c>
    </x:row>
    <x:row r="121">
      <x:c r="A121" t="n">
        <x:v>116</x:v>
      </x:c>
      <x:c r="B121" s="39" t="str">
        <x:v>Weak trailing momentum</x:v>
      </x:c>
      <x:c r="C121" s="39" t="str">
        <x:v>Skip when trailing 10-session momentum is -2% or worse.</x:v>
      </x:c>
      <x:c r="D121" s="21" t="n">
        <x:f>'Protected Results'!F122</x:f>
        <x:v>2.7938426803578738</x:v>
      </x:c>
      <x:c r="E121" s="21" t="n">
        <x:f>'Protected Results'!G122</x:f>
        <x:v>0.38862721002313105</x:v>
      </x:c>
      <x:c r="F121" s="21" t="n">
        <x:f>'Protected Results'!H122</x:f>
        <x:v>0.8027864253519692</x:v>
      </x:c>
      <x:c r="G121" s="21" t="n">
        <x:f>'Protected Results'!I122</x:f>
        <x:v>0.010677855541677883</x:v>
      </x:c>
      <x:c r="H121" s="38" t="n">
        <x:f>'Protected Results'!L122</x:f>
        <x:v>2</x:v>
      </x:c>
      <x:c r="I121" s="38" t="n">
        <x:f>'Protected Results'!N122</x:f>
        <x:v>61</x:v>
      </x:c>
      <x:c r="J121" s="21" t="n">
        <x:f>'Leverage Only Results'!F122</x:f>
        <x:v>2.07896464753557</x:v>
      </x:c>
      <x:c r="K121" s="21" t="n">
        <x:f>'Leverage Only Results'!G122</x:f>
        <x:v>0.5422189736548432</x:v>
      </x:c>
      <x:c r="L121" s="21" t="n">
        <x:f>'Leverage Only Results'!H122</x:f>
        <x:v>0.8948601746137406</x:v>
      </x:c>
      <x:c r="M121" s="21" t="n">
        <x:f>'Leverage Only Results'!I122</x:f>
        <x:v>0.015921089294374635</x:v>
      </x:c>
      <x:c r="N121" s="38" t="n">
        <x:f>'Leverage Only Results'!L122</x:f>
        <x:v>6</x:v>
      </x:c>
      <x:c r="O121" s="38" t="n">
        <x:f>'Leverage Only Results'!N122</x:f>
        <x:v>90</x:v>
      </x:c>
      <x:c r="P121" s="21" t="n">
        <x:f>MIN(E121,K121)</x:f>
        <x:v>0.38862721002313105</x:v>
      </x:c>
      <x:c r="Q121" s="21" t="n">
        <x:f>AVERAGE(G121,M121)</x:f>
        <x:v>0.013299472418026259</x:v>
      </x:c>
      <x:c r="R121" s="38" t="n">
        <x:f>H121+N121</x:f>
        <x:v>8</x:v>
      </x:c>
      <x:c r="S121" t="str">
        <x:f>IF(AND(P121&gt;=75%,Q121&gt;0,R121&gt;=2),"YES","")</x:f>
      </x:c>
      <x:c r="T121" t="str">
        <x:f>IF(AND(P121&gt;=80%,Q121&gt;=5%),"Strong cross-mode risk reducer",IF(S121="YES","Balanced candidate","Mode-specific / fragile"))</x:f>
        <x:v>Mode-specific / fragile</x:v>
      </x:c>
    </x:row>
    <x:row r="122">
      <x:c r="A122" t="n">
        <x:v>117</x:v>
      </x:c>
      <x:c r="B122" s="39" t="str">
        <x:v>Weak trailing momentum</x:v>
      </x:c>
      <x:c r="C122" s="39" t="str">
        <x:v>Skip when trailing 10-session momentum is -4% or worse.</x:v>
      </x:c>
      <x:c r="D122" s="21" t="n">
        <x:f>'Protected Results'!F123</x:f>
        <x:v>3.0636582631247373</x:v>
      </x:c>
      <x:c r="E122" s="21" t="n">
        <x:f>'Protected Results'!G123</x:f>
        <x:v>0.4261589142556757</x:v>
      </x:c>
      <x:c r="F122" s="21" t="n">
        <x:f>'Protected Results'!H123</x:f>
        <x:v>0.8864007916272395</x:v>
      </x:c>
      <x:c r="G122" s="21" t="n">
        <x:f>'Protected Results'!I123</x:f>
        <x:v>-0.07293651073359242</x:v>
      </x:c>
      <x:c r="H122" s="38" t="n">
        <x:f>'Protected Results'!L123</x:f>
        <x:v>0</x:v>
      </x:c>
      <x:c r="I122" s="38" t="n">
        <x:f>'Protected Results'!N123</x:f>
        <x:v>37</x:v>
      </x:c>
      <x:c r="J122" s="21" t="n">
        <x:f>'Leverage Only Results'!F123</x:f>
        <x:v>1.2527044080484333</x:v>
      </x:c>
      <x:c r="K122" s="21" t="n">
        <x:f>'Leverage Only Results'!G123</x:f>
        <x:v>0.326720369790847</x:v>
      </x:c>
      <x:c r="L122" s="21" t="n">
        <x:f>'Leverage Only Results'!H123</x:f>
        <x:v>0.9447351457726676</x:v>
      </x:c>
      <x:c r="M122" s="21" t="n">
        <x:f>'Leverage Only Results'!I123</x:f>
        <x:v>-0.03395388186455239</x:v>
      </x:c>
      <x:c r="N122" s="38" t="n">
        <x:f>'Leverage Only Results'!L123</x:f>
        <x:v>1</x:v>
      </x:c>
      <x:c r="O122" s="38" t="n">
        <x:f>'Leverage Only Results'!N123</x:f>
        <x:v>54</x:v>
      </x:c>
      <x:c r="P122" s="21" t="n">
        <x:f>MIN(E122,K122)</x:f>
        <x:v>0.326720369790847</x:v>
      </x:c>
      <x:c r="Q122" s="21" t="n">
        <x:f>AVERAGE(G122,M122)</x:f>
        <x:v>-0.053445196299072406</x:v>
      </x:c>
      <x:c r="R122" s="38" t="n">
        <x:f>H122+N122</x:f>
        <x:v>1</x:v>
      </x:c>
      <x:c r="S122" t="str">
        <x:f>IF(AND(P122&gt;=75%,Q122&gt;0,R122&gt;=2),"YES","")</x:f>
      </x:c>
      <x:c r="T122" t="str">
        <x:f>IF(AND(P122&gt;=80%,Q122&gt;=5%),"Strong cross-mode risk reducer",IF(S122="YES","Balanced candidate","Mode-specific / fragile"))</x:f>
        <x:v>Mode-specific / fragile</x:v>
      </x:c>
    </x:row>
    <x:row r="123">
      <x:c r="A123" t="n">
        <x:v>118</x:v>
      </x:c>
      <x:c r="B123" s="39" t="str">
        <x:v>Weak trailing momentum</x:v>
      </x:c>
      <x:c r="C123" s="39" t="str">
        <x:v>Skip when trailing 10-session momentum is -6% or worse.</x:v>
      </x:c>
      <x:c r="D123" s="21" t="n">
        <x:f>'Protected Results'!F124</x:f>
        <x:v>4.2185730914692465</x:v>
      </x:c>
      <x:c r="E123" s="21" t="n">
        <x:f>'Protected Results'!G124</x:f>
        <x:v>0.5868090935622562</x:v>
      </x:c>
      <x:c r="F123" s="21" t="n">
        <x:f>'Protected Results'!H124</x:f>
        <x:v>0.8132872019453085</x:v>
      </x:c>
      <x:c r="G123" s="21" t="n">
        <x:f>'Protected Results'!I124</x:f>
        <x:v>0.00017707894833862703</x:v>
      </x:c>
      <x:c r="H123" s="38" t="n">
        <x:f>'Protected Results'!L124</x:f>
        <x:v>0</x:v>
      </x:c>
      <x:c r="I123" s="38" t="n">
        <x:f>'Protected Results'!N124</x:f>
        <x:v>18</x:v>
      </x:c>
      <x:c r="J123" s="21" t="n">
        <x:f>'Leverage Only Results'!F124</x:f>
        <x:v>1.6744380327594452</x:v>
      </x:c>
      <x:c r="K123" s="21" t="n">
        <x:f>'Leverage Only Results'!G124</x:f>
        <x:v>0.43671356925078597</x:v>
      </x:c>
      <x:c r="L123" s="21" t="n">
        <x:f>'Leverage Only Results'!H124</x:f>
        <x:v>0.9116637098333635</x:v>
      </x:c>
      <x:c r="M123" s="21" t="n">
        <x:f>'Leverage Only Results'!I124</x:f>
        <x:v>-0.0008824459252483319</x:v>
      </x:c>
      <x:c r="N123" s="38" t="n">
        <x:f>'Leverage Only Results'!L124</x:f>
        <x:v>0</x:v>
      </x:c>
      <x:c r="O123" s="38" t="n">
        <x:f>'Leverage Only Results'!N124</x:f>
        <x:v>28</x:v>
      </x:c>
      <x:c r="P123" s="21" t="n">
        <x:f>MIN(E123,K123)</x:f>
        <x:v>0.43671356925078597</x:v>
      </x:c>
      <x:c r="Q123" s="21" t="n">
        <x:f>AVERAGE(G123,M123)</x:f>
        <x:v>-0.0003526834884548524</x:v>
      </x:c>
      <x:c r="R123" s="38" t="n">
        <x:f>H123+N123</x:f>
        <x:v>0</x:v>
      </x:c>
      <x:c r="S123" t="str">
        <x:f>IF(AND(P123&gt;=75%,Q123&gt;0,R123&gt;=2),"YES","")</x:f>
      </x:c>
      <x:c r="T123" t="str">
        <x:f>IF(AND(P123&gt;=80%,Q123&gt;=5%),"Strong cross-mode risk reducer",IF(S123="YES","Balanced candidate","Mode-specific / fragile"))</x:f>
        <x:v>Mode-specific / fragile</x:v>
      </x:c>
    </x:row>
    <x:row r="124">
      <x:c r="A124" t="n">
        <x:v>119</x:v>
      </x:c>
      <x:c r="B124" s="39" t="str">
        <x:v>Weak trailing momentum</x:v>
      </x:c>
      <x:c r="C124" s="39" t="str">
        <x:v>Skip when trailing 10-session momentum is -8% or worse.</x:v>
      </x:c>
      <x:c r="D124" s="21" t="n">
        <x:f>'Protected Results'!F125</x:f>
        <x:v>6.251534795844064</x:v>
      </x:c>
      <x:c r="E124" s="21" t="n">
        <x:f>'Protected Results'!G125</x:f>
        <x:v>0.8695967540162988</x:v>
      </x:c>
      <x:c r="F124" s="21" t="n">
        <x:f>'Protected Results'!H125</x:f>
        <x:v>0.8133020963670303</x:v>
      </x:c>
      <x:c r="G124" s="21" t="n">
        <x:f>'Protected Results'!I125</x:f>
        <x:v>0.00016218452661675986</x:v>
      </x:c>
      <x:c r="H124" s="38" t="n">
        <x:f>'Protected Results'!L125</x:f>
        <x:v>0</x:v>
      </x:c>
      <x:c r="I124" s="38" t="n">
        <x:f>'Protected Results'!N125</x:f>
        <x:v>4</x:v>
      </x:c>
      <x:c r="J124" s="21" t="n">
        <x:f>'Leverage Only Results'!F125</x:f>
        <x:v>3.013711495939835</x:v>
      </x:c>
      <x:c r="K124" s="21" t="n">
        <x:f>'Leverage Only Results'!G125</x:f>
        <x:v>0.7860121893642449</x:v>
      </x:c>
      <x:c r="L124" s="21" t="n">
        <x:f>'Leverage Only Results'!H125</x:f>
        <x:v>0.9107812639081152</x:v>
      </x:c>
      <x:c r="M124" s="21" t="n">
        <x:f>'Leverage Only Results'!I125</x:f>
        <x:v>0</x:v>
      </x:c>
      <x:c r="N124" s="38" t="n">
        <x:f>'Leverage Only Results'!L125</x:f>
        <x:v>0</x:v>
      </x:c>
      <x:c r="O124" s="38" t="n">
        <x:f>'Leverage Only Results'!N125</x:f>
        <x:v>7</x:v>
      </x:c>
      <x:c r="P124" s="21" t="n">
        <x:f>MIN(E124,K124)</x:f>
        <x:v>0.7860121893642449</x:v>
      </x:c>
      <x:c r="Q124" s="21" t="n">
        <x:f>AVERAGE(G124,M124)</x:f>
        <x:v>0.00008109226330837993</x:v>
      </x:c>
      <x:c r="R124" s="38" t="n">
        <x:f>H124+N124</x:f>
        <x:v>0</x:v>
      </x:c>
      <x:c r="S124" t="str">
        <x:f>IF(AND(P124&gt;=75%,Q124&gt;0,R124&gt;=2),"YES","")</x:f>
      </x:c>
      <x:c r="T124" t="str">
        <x:f>IF(AND(P124&gt;=80%,Q124&gt;=5%),"Strong cross-mode risk reducer",IF(S124="YES","Balanced candidate","Mode-specific / fragile"))</x:f>
        <x:v>Mode-specific / fragile</x:v>
      </x:c>
    </x:row>
    <x:row r="125">
      <x:c r="A125" t="n">
        <x:v>120</x:v>
      </x:c>
      <x:c r="B125" s="39" t="str">
        <x:v>Weak trailing momentum</x:v>
      </x:c>
      <x:c r="C125" s="39" t="str">
        <x:v>Skip when trailing 10-session momentum is -10% or worse.</x:v>
      </x:c>
      <x:c r="D125" s="21" t="n">
        <x:f>'Protected Results'!F126</x:f>
        <x:v>6.84054133309648</x:v>
      </x:c>
      <x:c r="E125" s="21" t="n">
        <x:f>'Protected Results'!G126</x:f>
        <x:v>0.9515283419568448</x:v>
      </x:c>
      <x:c r="F125" s="21" t="n">
        <x:f>'Protected Results'!H126</x:f>
        <x:v>0.8134642808936471</x:v>
      </x:c>
      <x:c r="G125" s="21" t="n">
        <x:f>'Protected Results'!I126</x:f>
        <x:v>0</x:v>
      </x:c>
      <x:c r="H125" s="38" t="n">
        <x:f>'Protected Results'!L126</x:f>
        <x:v>0</x:v>
      </x:c>
      <x:c r="I125" s="38" t="n">
        <x:f>'Protected Results'!N126</x:f>
        <x:v>2</x:v>
      </x:c>
      <x:c r="J125" s="21" t="n">
        <x:f>'Leverage Only Results'!F126</x:f>
        <x:v>3.212600090188655</x:v>
      </x:c>
      <x:c r="K125" s="21" t="n">
        <x:f>'Leverage Only Results'!G126</x:f>
        <x:v>0.8378847258083283</x:v>
      </x:c>
      <x:c r="L125" s="21" t="n">
        <x:f>'Leverage Only Results'!H126</x:f>
        <x:v>0.9107812639081152</x:v>
      </x:c>
      <x:c r="M125" s="21" t="n">
        <x:f>'Leverage Only Results'!I126</x:f>
        <x:v>0</x:v>
      </x:c>
      <x:c r="N125" s="38" t="n">
        <x:f>'Leverage Only Results'!L126</x:f>
        <x:v>0</x:v>
      </x:c>
      <x:c r="O125" s="38" t="n">
        <x:f>'Leverage Only Results'!N126</x:f>
        <x:v>5</x:v>
      </x:c>
      <x:c r="P125" s="21" t="n">
        <x:f>MIN(E125,K125)</x:f>
        <x:v>0.8378847258083283</x:v>
      </x:c>
      <x:c r="Q125" s="21" t="n">
        <x:f>AVERAGE(G125,M125)</x:f>
        <x:v>0</x:v>
      </x:c>
      <x:c r="R125" s="38" t="n">
        <x:f>H125+N125</x:f>
        <x:v>0</x:v>
      </x:c>
      <x:c r="S125" t="str">
        <x:f>IF(AND(P125&gt;=75%,Q125&gt;0,R125&gt;=2),"YES","")</x:f>
      </x:c>
      <x:c r="T125" t="str">
        <x:f>IF(AND(P125&gt;=80%,Q125&gt;=5%),"Strong cross-mode risk reducer",IF(S125="YES","Balanced candidate","Mode-specific / fragile"))</x:f>
        <x:v>Mode-specific / fragile</x:v>
      </x:c>
    </x:row>
    <x:row r="126">
      <x:c r="A126" t="n">
        <x:v>121</x:v>
      </x:c>
      <x:c r="B126" s="39" t="str">
        <x:v>Weak trailing momentum</x:v>
      </x:c>
      <x:c r="C126" s="39" t="str">
        <x:v>Skip when trailing 20-session momentum is -2% or worse.</x:v>
      </x:c>
      <x:c r="D126" s="21" t="n">
        <x:f>'Protected Results'!F127</x:f>
        <x:v>1.7415780529091047</x:v>
      </x:c>
      <x:c r="E126" s="21" t="n">
        <x:f>'Protected Results'!G127</x:f>
        <x:v>0.24225580935462168</x:v>
      </x:c>
      <x:c r="F126" s="21" t="n">
        <x:f>'Protected Results'!H127</x:f>
        <x:v>0.8957592382097784</x:v>
      </x:c>
      <x:c r="G126" s="21" t="n">
        <x:f>'Protected Results'!I127</x:f>
        <x:v>-0.08229495731613135</x:v>
      </x:c>
      <x:c r="H126" s="38" t="n">
        <x:f>'Protected Results'!L127</x:f>
        <x:v>3</x:v>
      </x:c>
      <x:c r="I126" s="38" t="n">
        <x:f>'Protected Results'!N127</x:f>
        <x:v>78</x:v>
      </x:c>
      <x:c r="J126" s="21" t="n">
        <x:f>'Leverage Only Results'!F127</x:f>
        <x:v>0.8854253229319662</x:v>
      </x:c>
      <x:c r="K126" s="21" t="n">
        <x:f>'Leverage Only Results'!G127</x:f>
        <x:v>0.23092956891657032</x:v>
      </x:c>
      <x:c r="L126" s="21" t="n">
        <x:f>'Leverage Only Results'!H127</x:f>
        <x:v>0.9656254383393721</x:v>
      </x:c>
      <x:c r="M126" s="21" t="n">
        <x:f>'Leverage Only Results'!I127</x:f>
        <x:v>-0.05484417443125689</x:v>
      </x:c>
      <x:c r="N126" s="38" t="n">
        <x:f>'Leverage Only Results'!L127</x:f>
        <x:v>4</x:v>
      </x:c>
      <x:c r="O126" s="38" t="n">
        <x:f>'Leverage Only Results'!N127</x:f>
        <x:v>104</x:v>
      </x:c>
      <x:c r="P126" s="21" t="n">
        <x:f>MIN(E126,K126)</x:f>
        <x:v>0.23092956891657032</x:v>
      </x:c>
      <x:c r="Q126" s="21" t="n">
        <x:f>AVERAGE(G126,M126)</x:f>
        <x:v>-0.06856956587369412</x:v>
      </x:c>
      <x:c r="R126" s="38" t="n">
        <x:f>H126+N126</x:f>
        <x:v>7</x:v>
      </x:c>
      <x:c r="S126" t="str">
        <x:f>IF(AND(P126&gt;=75%,Q126&gt;0,R126&gt;=2),"YES","")</x:f>
      </x:c>
      <x:c r="T126" t="str">
        <x:f>IF(AND(P126&gt;=80%,Q126&gt;=5%),"Strong cross-mode risk reducer",IF(S126="YES","Balanced candidate","Mode-specific / fragile"))</x:f>
        <x:v>Mode-specific / fragile</x:v>
      </x:c>
    </x:row>
    <x:row r="127">
      <x:c r="A127" t="n">
        <x:v>122</x:v>
      </x:c>
      <x:c r="B127" s="39" t="str">
        <x:v>Weak trailing momentum</x:v>
      </x:c>
      <x:c r="C127" s="39" t="str">
        <x:v>Skip when trailing 20-session momentum is -4% or worse.</x:v>
      </x:c>
      <x:c r="D127" s="21" t="n">
        <x:f>'Protected Results'!F128</x:f>
        <x:v>2.1422529757588853</x:v>
      </x:c>
      <x:c r="E127" s="21" t="n">
        <x:f>'Protected Results'!G128</x:f>
        <x:v>0.2979902207758824</x:v>
      </x:c>
      <x:c r="F127" s="21" t="n">
        <x:f>'Protected Results'!H128</x:f>
        <x:v>0.8015866013495696</x:v>
      </x:c>
      <x:c r="G127" s="21" t="n">
        <x:f>'Protected Results'!I128</x:f>
        <x:v>0.01187767954407748</x:v>
      </x:c>
      <x:c r="H127" s="38" t="n">
        <x:f>'Protected Results'!L128</x:f>
        <x:v>1</x:v>
      </x:c>
      <x:c r="I127" s="38" t="n">
        <x:f>'Protected Results'!N128</x:f>
        <x:v>49</x:v>
      </x:c>
      <x:c r="J127" s="21" t="n">
        <x:f>'Leverage Only Results'!F128</x:f>
        <x:v>0.7694728784188856</x:v>
      </x:c>
      <x:c r="K127" s="21" t="n">
        <x:f>'Leverage Only Results'!G128</x:f>
        <x:v>0.2006877773925146</x:v>
      </x:c>
      <x:c r="L127" s="21" t="n">
        <x:f>'Leverage Only Results'!H128</x:f>
        <x:v>0.9227002586569559</x:v>
      </x:c>
      <x:c r="M127" s="21" t="n">
        <x:f>'Leverage Only Results'!I128</x:f>
        <x:v>-0.011918994748840728</x:v>
      </x:c>
      <x:c r="N127" s="38" t="n">
        <x:f>'Leverage Only Results'!L128</x:f>
        <x:v>1</x:v>
      </x:c>
      <x:c r="O127" s="38" t="n">
        <x:f>'Leverage Only Results'!N128</x:f>
        <x:v>70</x:v>
      </x:c>
      <x:c r="P127" s="21" t="n">
        <x:f>MIN(E127,K127)</x:f>
        <x:v>0.2006877773925146</x:v>
      </x:c>
      <x:c r="Q127" s="21" t="n">
        <x:f>AVERAGE(G127,M127)</x:f>
        <x:v>-0.000020657602381624063</x:v>
      </x:c>
      <x:c r="R127" s="38" t="n">
        <x:f>H127+N127</x:f>
        <x:v>2</x:v>
      </x:c>
      <x:c r="S127" t="str">
        <x:f>IF(AND(P127&gt;=75%,Q127&gt;0,R127&gt;=2),"YES","")</x:f>
      </x:c>
      <x:c r="T127" t="str">
        <x:f>IF(AND(P127&gt;=80%,Q127&gt;=5%),"Strong cross-mode risk reducer",IF(S127="YES","Balanced candidate","Mode-specific / fragile"))</x:f>
        <x:v>Mode-specific / fragile</x:v>
      </x:c>
    </x:row>
    <x:row r="128">
      <x:c r="A128" t="n">
        <x:v>123</x:v>
      </x:c>
      <x:c r="B128" s="39" t="str">
        <x:v>Weak trailing momentum</x:v>
      </x:c>
      <x:c r="C128" s="39" t="str">
        <x:v>Skip when trailing 20-session momentum is -6% or worse.</x:v>
      </x:c>
      <x:c r="D128" s="21" t="n">
        <x:f>'Protected Results'!F129</x:f>
        <x:v>3.235661186403062</x:v>
      </x:c>
      <x:c r="E128" s="21" t="n">
        <x:f>'Protected Results'!G129</x:f>
        <x:v>0.450084748254645</x:v>
      </x:c>
      <x:c r="F128" s="21" t="n">
        <x:f>'Protected Results'!H129</x:f>
        <x:v>0.8017464715564524</x:v>
      </x:c>
      <x:c r="G128" s="21" t="n">
        <x:f>'Protected Results'!I129</x:f>
        <x:v>0.011717809337194685</x:v>
      </x:c>
      <x:c r="H128" s="38" t="n">
        <x:f>'Protected Results'!L129</x:f>
        <x:v>1</x:v>
      </x:c>
      <x:c r="I128" s="38" t="n">
        <x:f>'Protected Results'!N129</x:f>
        <x:v>31</x:v>
      </x:c>
      <x:c r="J128" s="21" t="n">
        <x:f>'Leverage Only Results'!F129</x:f>
        <x:v>1.0926378476049075</x:v>
      </x:c>
      <x:c r="K128" s="21" t="n">
        <x:f>'Leverage Only Results'!G129</x:f>
        <x:v>0.28497308648661535</x:v>
      </x:c>
      <x:c r="L128" s="21" t="n">
        <x:f>'Leverage Only Results'!H129</x:f>
        <x:v>0.9006625043702056</x:v>
      </x:c>
      <x:c r="M128" s="21" t="n">
        <x:f>'Leverage Only Results'!I129</x:f>
        <x:v>0.010118759537909638</x:v>
      </x:c>
      <x:c r="N128" s="38" t="n">
        <x:f>'Leverage Only Results'!L129</x:f>
        <x:v>0</x:v>
      </x:c>
      <x:c r="O128" s="38" t="n">
        <x:f>'Leverage Only Results'!N129</x:f>
        <x:v>43</x:v>
      </x:c>
      <x:c r="P128" s="21" t="n">
        <x:f>MIN(E128,K128)</x:f>
        <x:v>0.28497308648661535</x:v>
      </x:c>
      <x:c r="Q128" s="21" t="n">
        <x:f>AVERAGE(G128,M128)</x:f>
        <x:v>0.010918284437552161</x:v>
      </x:c>
      <x:c r="R128" s="38" t="n">
        <x:f>H128+N128</x:f>
        <x:v>1</x:v>
      </x:c>
      <x:c r="S128" t="str">
        <x:f>IF(AND(P128&gt;=75%,Q128&gt;0,R128&gt;=2),"YES","")</x:f>
      </x:c>
      <x:c r="T128" t="str">
        <x:f>IF(AND(P128&gt;=80%,Q128&gt;=5%),"Strong cross-mode risk reducer",IF(S128="YES","Balanced candidate","Mode-specific / fragile"))</x:f>
        <x:v>Mode-specific / fragile</x:v>
      </x:c>
    </x:row>
    <x:row r="129">
      <x:c r="A129" t="n">
        <x:v>124</x:v>
      </x:c>
      <x:c r="B129" s="39" t="str">
        <x:v>Weak trailing momentum</x:v>
      </x:c>
      <x:c r="C129" s="39" t="str">
        <x:v>Skip when trailing 20-session momentum is -8% or worse.</x:v>
      </x:c>
      <x:c r="D129" s="21" t="n">
        <x:f>'Protected Results'!F130</x:f>
        <x:v>4.833005357602867</x:v>
      </x:c>
      <x:c r="E129" s="21" t="n">
        <x:f>'Protected Results'!G130</x:f>
        <x:v>0.6722774340004917</x:v>
      </x:c>
      <x:c r="F129" s="21" t="n">
        <x:f>'Protected Results'!H130</x:f>
        <x:v>0.8132436003694434</x:v>
      </x:c>
      <x:c r="G129" s="21" t="n">
        <x:f>'Protected Results'!I130</x:f>
        <x:v>0.00022068052420365358</x:v>
      </x:c>
      <x:c r="H129" s="38" t="n">
        <x:f>'Protected Results'!L130</x:f>
        <x:v>1</x:v>
      </x:c>
      <x:c r="I129" s="38" t="n">
        <x:f>'Protected Results'!N130</x:f>
        <x:v>18</x:v>
      </x:c>
      <x:c r="J129" s="21" t="n">
        <x:f>'Leverage Only Results'!F130</x:f>
        <x:v>2.032627370170391</x:v>
      </x:c>
      <x:c r="K129" s="21" t="n">
        <x:f>'Leverage Only Results'!G130</x:f>
        <x:v>0.530133654645359</x:v>
      </x:c>
      <x:c r="L129" s="21" t="n">
        <x:f>'Leverage Only Results'!H130</x:f>
        <x:v>0.9076592866590611</x:v>
      </x:c>
      <x:c r="M129" s="21" t="n">
        <x:f>'Leverage Only Results'!I130</x:f>
        <x:v>0.003121977249054053</x:v>
      </x:c>
      <x:c r="N129" s="38" t="n">
        <x:f>'Leverage Only Results'!L130</x:f>
        <x:v>0</x:v>
      </x:c>
      <x:c r="O129" s="38" t="n">
        <x:f>'Leverage Only Results'!N130</x:f>
        <x:v>25</x:v>
      </x:c>
      <x:c r="P129" s="21" t="n">
        <x:f>MIN(E129,K129)</x:f>
        <x:v>0.530133654645359</x:v>
      </x:c>
      <x:c r="Q129" s="21" t="n">
        <x:f>AVERAGE(G129,M129)</x:f>
        <x:v>0.0016713288866288534</x:v>
      </x:c>
      <x:c r="R129" s="38" t="n">
        <x:f>H129+N129</x:f>
        <x:v>1</x:v>
      </x:c>
      <x:c r="S129" t="str">
        <x:f>IF(AND(P129&gt;=75%,Q129&gt;0,R129&gt;=2),"YES","")</x:f>
      </x:c>
      <x:c r="T129" t="str">
        <x:f>IF(AND(P129&gt;=80%,Q129&gt;=5%),"Strong cross-mode risk reducer",IF(S129="YES","Balanced candidate","Mode-specific / fragile"))</x:f>
        <x:v>Mode-specific / fragile</x:v>
      </x:c>
    </x:row>
    <x:row r="130">
      <x:c r="A130" t="n">
        <x:v>125</x:v>
      </x:c>
      <x:c r="B130" s="39" t="str">
        <x:v>Weak trailing momentum</x:v>
      </x:c>
      <x:c r="C130" s="39" t="str">
        <x:v>Skip when trailing 20-session momentum is -10% or worse.</x:v>
      </x:c>
      <x:c r="D130" s="21" t="n">
        <x:f>'Protected Results'!F131</x:f>
        <x:v>6.062511813899869</x:v>
      </x:c>
      <x:c r="E130" s="21" t="n">
        <x:f>'Protected Results'!G131</x:f>
        <x:v>0.8433034073580626</x:v>
      </x:c>
      <x:c r="F130" s="21" t="n">
        <x:f>'Protected Results'!H131</x:f>
        <x:v>0.8134642808936471</x:v>
      </x:c>
      <x:c r="G130" s="21" t="n">
        <x:f>'Protected Results'!I131</x:f>
        <x:v>0</x:v>
      </x:c>
      <x:c r="H130" s="38" t="n">
        <x:f>'Protected Results'!L131</x:f>
        <x:v>1</x:v>
      </x:c>
      <x:c r="I130" s="38" t="n">
        <x:f>'Protected Results'!N131</x:f>
        <x:v>10</x:v>
      </x:c>
      <x:c r="J130" s="21" t="n">
        <x:f>'Leverage Only Results'!F131</x:f>
        <x:v>2.8343824337372365</x:v>
      </x:c>
      <x:c r="K130" s="21" t="n">
        <x:f>'Leverage Only Results'!G131</x:f>
        <x:v>0.7392410140249996</x:v>
      </x:c>
      <x:c r="L130" s="21" t="n">
        <x:f>'Leverage Only Results'!H131</x:f>
        <x:v>0.9076636094179457</x:v>
      </x:c>
      <x:c r="M130" s="21" t="n">
        <x:f>'Leverage Only Results'!I131</x:f>
        <x:v>0.0031176544901695413</x:v>
      </x:c>
      <x:c r="N130" s="38" t="n">
        <x:f>'Leverage Only Results'!L131</x:f>
        <x:v>0</x:v>
      </x:c>
      <x:c r="O130" s="38" t="n">
        <x:f>'Leverage Only Results'!N131</x:f>
        <x:v>15</x:v>
      </x:c>
      <x:c r="P130" s="21" t="n">
        <x:f>MIN(E130,K130)</x:f>
        <x:v>0.7392410140249996</x:v>
      </x:c>
      <x:c r="Q130" s="21" t="n">
        <x:f>AVERAGE(G130,M130)</x:f>
        <x:v>0.0015588272450847707</x:v>
      </x:c>
      <x:c r="R130" s="38" t="n">
        <x:f>H130+N130</x:f>
        <x:v>1</x:v>
      </x:c>
      <x:c r="S130" t="str">
        <x:f>IF(AND(P130&gt;=75%,Q130&gt;0,R130&gt;=2),"YES","")</x:f>
      </x:c>
      <x:c r="T130" t="str">
        <x:f>IF(AND(P130&gt;=80%,Q130&gt;=5%),"Strong cross-mode risk reducer",IF(S130="YES","Balanced candidate","Mode-specific / fragile"))</x:f>
        <x:v>Mode-specific / fragile</x:v>
      </x:c>
    </x:row>
    <x:row r="131">
      <x:c r="A131" t="n">
        <x:v>126</x:v>
      </x:c>
      <x:c r="B131" s="39" t="str">
        <x:v>Weak trailing momentum</x:v>
      </x:c>
      <x:c r="C131" s="39" t="str">
        <x:v>Skip when trailing 40-session momentum is -2% or worse.</x:v>
      </x:c>
      <x:c r="D131" s="21" t="n">
        <x:f>'Protected Results'!F132</x:f>
        <x:v>2.256438740014751</x:v>
      </x:c>
      <x:c r="E131" s="21" t="n">
        <x:f>'Protected Results'!G132</x:f>
        <x:v>0.31387361152622767</x:v>
      </x:c>
      <x:c r="F131" s="21" t="n">
        <x:f>'Protected Results'!H132</x:f>
        <x:v>0.7942800227526703</x:v>
      </x:c>
      <x:c r="G131" s="21" t="n">
        <x:f>'Protected Results'!I132</x:f>
        <x:v>0.019184258140976795</x:v>
      </x:c>
      <x:c r="H131" s="38" t="n">
        <x:f>'Protected Results'!L132</x:f>
        <x:v>5</x:v>
      </x:c>
      <x:c r="I131" s="38" t="n">
        <x:f>'Protected Results'!N132</x:f>
        <x:v>67</x:v>
      </x:c>
      <x:c r="J131" s="21" t="n">
        <x:f>'Leverage Only Results'!F132</x:f>
        <x:v>1.5818554958365145</x:v>
      </x:c>
      <x:c r="K131" s="21" t="n">
        <x:f>'Leverage Only Results'!G132</x:f>
        <x:v>0.4125669305822445</x:v>
      </x:c>
      <x:c r="L131" s="21" t="n">
        <x:f>'Leverage Only Results'!H132</x:f>
        <x:v>0.896907933941993</x:v>
      </x:c>
      <x:c r="M131" s="21" t="n">
        <x:f>'Leverage Only Results'!I132</x:f>
        <x:v>0.013873329966122228</x:v>
      </x:c>
      <x:c r="N131" s="38" t="n">
        <x:f>'Leverage Only Results'!L132</x:f>
        <x:v>8</x:v>
      </x:c>
      <x:c r="O131" s="38" t="n">
        <x:f>'Leverage Only Results'!N132</x:f>
        <x:v>94</x:v>
      </x:c>
      <x:c r="P131" s="21" t="n">
        <x:f>MIN(E131,K131)</x:f>
        <x:v>0.31387361152622767</x:v>
      </x:c>
      <x:c r="Q131" s="21" t="n">
        <x:f>AVERAGE(G131,M131)</x:f>
        <x:v>0.01652879405354951</x:v>
      </x:c>
      <x:c r="R131" s="38" t="n">
        <x:f>H131+N131</x:f>
        <x:v>13</x:v>
      </x:c>
      <x:c r="S131" t="str">
        <x:f>IF(AND(P131&gt;=75%,Q131&gt;0,R131&gt;=2),"YES","")</x:f>
      </x:c>
      <x:c r="T131" t="str">
        <x:f>IF(AND(P131&gt;=80%,Q131&gt;=5%),"Strong cross-mode risk reducer",IF(S131="YES","Balanced candidate","Mode-specific / fragile"))</x:f>
        <x:v>Mode-specific / fragile</x:v>
      </x:c>
    </x:row>
    <x:row r="132">
      <x:c r="A132" t="n">
        <x:v>127</x:v>
      </x:c>
      <x:c r="B132" s="39" t="str">
        <x:v>Weak trailing momentum</x:v>
      </x:c>
      <x:c r="C132" s="39" t="str">
        <x:v>Skip when trailing 40-session momentum is -4% or worse.</x:v>
      </x:c>
      <x:c r="D132" s="21" t="n">
        <x:f>'Protected Results'!F133</x:f>
        <x:v>3.1735036520044115</x:v>
      </x:c>
      <x:c r="E132" s="21" t="n">
        <x:f>'Protected Results'!G133</x:f>
        <x:v>0.44143855305364316</x:v>
      </x:c>
      <x:c r="F132" s="21" t="n">
        <x:f>'Protected Results'!H133</x:f>
        <x:v>0.8921689252953136</x:v>
      </x:c>
      <x:c r="G132" s="21" t="n">
        <x:f>'Protected Results'!I133</x:f>
        <x:v>-0.07870464440166647</x:v>
      </x:c>
      <x:c r="H132" s="38" t="n">
        <x:f>'Protected Results'!L133</x:f>
        <x:v>3</x:v>
      </x:c>
      <x:c r="I132" s="38" t="n">
        <x:f>'Protected Results'!N133</x:f>
        <x:v>45</x:v>
      </x:c>
      <x:c r="J132" s="21" t="n">
        <x:f>'Leverage Only Results'!F133</x:f>
        <x:v>2.3258280634558175</x:v>
      </x:c>
      <x:c r="K132" s="21" t="n">
        <x:f>'Leverage Only Results'!G133</x:f>
        <x:v>0.6066039203502462</x:v>
      </x:c>
      <x:c r="L132" s="21" t="n">
        <x:f>'Leverage Only Results'!H133</x:f>
        <x:v>0.9145256755916248</x:v>
      </x:c>
      <x:c r="M132" s="21" t="n">
        <x:f>'Leverage Only Results'!I133</x:f>
        <x:v>-0.0037444116835095853</x:v>
      </x:c>
      <x:c r="N132" s="38" t="n">
        <x:f>'Leverage Only Results'!L133</x:f>
        <x:v>7</x:v>
      </x:c>
      <x:c r="O132" s="38" t="n">
        <x:f>'Leverage Only Results'!N133</x:f>
        <x:v>70</x:v>
      </x:c>
      <x:c r="P132" s="21" t="n">
        <x:f>MIN(E132,K132)</x:f>
        <x:v>0.44143855305364316</x:v>
      </x:c>
      <x:c r="Q132" s="21" t="n">
        <x:f>AVERAGE(G132,M132)</x:f>
        <x:v>-0.04122452804258803</x:v>
      </x:c>
      <x:c r="R132" s="38" t="n">
        <x:f>H132+N132</x:f>
        <x:v>10</x:v>
      </x:c>
      <x:c r="S132" t="str">
        <x:f>IF(AND(P132&gt;=75%,Q132&gt;0,R132&gt;=2),"YES","")</x:f>
      </x:c>
      <x:c r="T132" t="str">
        <x:f>IF(AND(P132&gt;=80%,Q132&gt;=5%),"Strong cross-mode risk reducer",IF(S132="YES","Balanced candidate","Mode-specific / fragile"))</x:f>
        <x:v>Mode-specific / fragile</x:v>
      </x:c>
    </x:row>
    <x:row r="133">
      <x:c r="A133" t="n">
        <x:v>128</x:v>
      </x:c>
      <x:c r="B133" s="39" t="str">
        <x:v>Weak trailing momentum</x:v>
      </x:c>
      <x:c r="C133" s="39" t="str">
        <x:v>Skip when trailing 40-session momentum is -6% or worse.</x:v>
      </x:c>
      <x:c r="D133" s="21" t="n">
        <x:f>'Protected Results'!F134</x:f>
        <x:v>4.120345343789309</x:v>
      </x:c>
      <x:c r="E133" s="21" t="n">
        <x:f>'Protected Results'!G134</x:f>
        <x:v>0.5731454840125516</x:v>
      </x:c>
      <x:c r="F133" s="21" t="n">
        <x:f>'Protected Results'!H134</x:f>
        <x:v>0.8131242078598723</x:v>
      </x:c>
      <x:c r="G133" s="21" t="n">
        <x:f>'Protected Results'!I134</x:f>
        <x:v>0.00034007303377481257</x:v>
      </x:c>
      <x:c r="H133" s="38" t="n">
        <x:f>'Protected Results'!L134</x:f>
        <x:v>3</x:v>
      </x:c>
      <x:c r="I133" s="38" t="n">
        <x:f>'Protected Results'!N134</x:f>
        <x:v>35</x:v>
      </x:c>
      <x:c r="J133" s="21" t="n">
        <x:f>'Leverage Only Results'!F134</x:f>
        <x:v>2.495680809355638</x:v>
      </x:c>
      <x:c r="K133" s="21" t="n">
        <x:f>'Leverage Only Results'!G134</x:f>
        <x:v>0.6509035584722466</x:v>
      </x:c>
      <x:c r="L133" s="21" t="n">
        <x:f>'Leverage Only Results'!H134</x:f>
        <x:v>0.8531880258020033</x:v>
      </x:c>
      <x:c r="M133" s="21" t="n">
        <x:f>'Leverage Only Results'!I134</x:f>
        <x:v>0.057593238106111944</x:v>
      </x:c>
      <x:c r="N133" s="38" t="n">
        <x:f>'Leverage Only Results'!L134</x:f>
        <x:v>6</x:v>
      </x:c>
      <x:c r="O133" s="38" t="n">
        <x:f>'Leverage Only Results'!N134</x:f>
        <x:v>53</x:v>
      </x:c>
      <x:c r="P133" s="21" t="n">
        <x:f>MIN(E133,K133)</x:f>
        <x:v>0.5731454840125516</x:v>
      </x:c>
      <x:c r="Q133" s="21" t="n">
        <x:f>AVERAGE(G133,M133)</x:f>
        <x:v>0.028966655569943378</x:v>
      </x:c>
      <x:c r="R133" s="38" t="n">
        <x:f>H133+N133</x:f>
        <x:v>9</x:v>
      </x:c>
      <x:c r="S133" t="str">
        <x:f>IF(AND(P133&gt;=75%,Q133&gt;0,R133&gt;=2),"YES","")</x:f>
      </x:c>
      <x:c r="T133" t="str">
        <x:f>IF(AND(P133&gt;=80%,Q133&gt;=5%),"Strong cross-mode risk reducer",IF(S133="YES","Balanced candidate","Mode-specific / fragile"))</x:f>
        <x:v>Mode-specific / fragile</x:v>
      </x:c>
    </x:row>
    <x:row r="134">
      <x:c r="A134" t="n">
        <x:v>129</x:v>
      </x:c>
      <x:c r="B134" s="39" t="str">
        <x:v>Weak trailing momentum</x:v>
      </x:c>
      <x:c r="C134" s="39" t="str">
        <x:v>Skip when trailing 40-session momentum is -8% or worse.</x:v>
      </x:c>
      <x:c r="D134" s="21" t="n">
        <x:f>'Protected Results'!F135</x:f>
        <x:v>4.803242635515984</x:v>
      </x:c>
      <x:c r="E134" s="21" t="n">
        <x:f>'Protected Results'!G135</x:f>
        <x:v>0.6681374000148137</x:v>
      </x:c>
      <x:c r="F134" s="21" t="n">
        <x:f>'Protected Results'!H135</x:f>
        <x:v>0.8132196233293232</x:v>
      </x:c>
      <x:c r="G134" s="21" t="n">
        <x:f>'Protected Results'!I135</x:f>
        <x:v>0.0002446575643239024</x:v>
      </x:c>
      <x:c r="H134" s="38" t="n">
        <x:f>'Protected Results'!L135</x:f>
        <x:v>3</x:v>
      </x:c>
      <x:c r="I134" s="38" t="n">
        <x:f>'Protected Results'!N135</x:f>
        <x:v>25</x:v>
      </x:c>
      <x:c r="J134" s="21" t="n">
        <x:f>'Leverage Only Results'!F135</x:f>
        <x:v>2.50396316198934</x:v>
      </x:c>
      <x:c r="K134" s="21" t="n">
        <x:f>'Leverage Only Results'!G135</x:f>
        <x:v>0.6530636956106134</x:v>
      </x:c>
      <x:c r="L134" s="21" t="n">
        <x:f>'Leverage Only Results'!H135</x:f>
        <x:v>0.8871497916353308</x:v>
      </x:c>
      <x:c r="M134" s="21" t="n">
        <x:f>'Leverage Only Results'!I135</x:f>
        <x:v>0.023631472272784393</x:v>
      </x:c>
      <x:c r="N134" s="38" t="n">
        <x:f>'Leverage Only Results'!L135</x:f>
        <x:v>4</x:v>
      </x:c>
      <x:c r="O134" s="38" t="n">
        <x:f>'Leverage Only Results'!N135</x:f>
        <x:v>40</x:v>
      </x:c>
      <x:c r="P134" s="21" t="n">
        <x:f>MIN(E134,K134)</x:f>
        <x:v>0.6530636956106134</x:v>
      </x:c>
      <x:c r="Q134" s="21" t="n">
        <x:f>AVERAGE(G134,M134)</x:f>
        <x:v>0.011938064918554148</x:v>
      </x:c>
      <x:c r="R134" s="38" t="n">
        <x:f>H134+N134</x:f>
        <x:v>7</x:v>
      </x:c>
      <x:c r="S134" t="str">
        <x:f>IF(AND(P134&gt;=75%,Q134&gt;0,R134&gt;=2),"YES","")</x:f>
      </x:c>
      <x:c r="T134" t="str">
        <x:f>IF(AND(P134&gt;=80%,Q134&gt;=5%),"Strong cross-mode risk reducer",IF(S134="YES","Balanced candidate","Mode-specific / fragile"))</x:f>
        <x:v>Mode-specific / fragile</x:v>
      </x:c>
    </x:row>
    <x:row r="135">
      <x:c r="A135" t="n">
        <x:v>130</x:v>
      </x:c>
      <x:c r="B135" s="39" t="str">
        <x:v>Weak trailing momentum</x:v>
      </x:c>
      <x:c r="C135" s="39" t="str">
        <x:v>Skip when trailing 40-session momentum is -10% or worse.</x:v>
      </x:c>
      <x:c r="D135" s="21" t="n">
        <x:f>'Protected Results'!F136</x:f>
        <x:v>6.132719402670232</x:v>
      </x:c>
      <x:c r="E135" s="21" t="n">
        <x:f>'Protected Results'!G136</x:f>
        <x:v>0.8530693757635501</x:v>
      </x:c>
      <x:c r="F135" s="21" t="n">
        <x:f>'Protected Results'!H136</x:f>
        <x:v>0.8132700178830162</x:v>
      </x:c>
      <x:c r="G135" s="21" t="n">
        <x:f>'Protected Results'!I136</x:f>
        <x:v>0.00019426301063085738</x:v>
      </x:c>
      <x:c r="H135" s="38" t="n">
        <x:f>'Protected Results'!L136</x:f>
        <x:v>3</x:v>
      </x:c>
      <x:c r="I135" s="38" t="n">
        <x:f>'Protected Results'!N136</x:f>
        <x:v>18</x:v>
      </x:c>
      <x:c r="J135" s="21" t="n">
        <x:f>'Leverage Only Results'!F136</x:f>
        <x:v>3.3174034289256396</x:v>
      </x:c>
      <x:c r="K135" s="21" t="n">
        <x:f>'Leverage Only Results'!G136</x:f>
        <x:v>0.8652186965100097</x:v>
      </x:c>
      <x:c r="L135" s="21" t="n">
        <x:f>'Leverage Only Results'!H136</x:f>
        <x:v>0.912546155758612</x:v>
      </x:c>
      <x:c r="M135" s="21" t="n">
        <x:f>'Leverage Only Results'!I136</x:f>
        <x:v>-0.0017648918504967748</x:v>
      </x:c>
      <x:c r="N135" s="38" t="n">
        <x:f>'Leverage Only Results'!L136</x:f>
        <x:v>3</x:v>
      </x:c>
      <x:c r="O135" s="38" t="n">
        <x:f>'Leverage Only Results'!N136</x:f>
        <x:v>29</x:v>
      </x:c>
      <x:c r="P135" s="21" t="n">
        <x:f>MIN(E135,K135)</x:f>
        <x:v>0.8530693757635501</x:v>
      </x:c>
      <x:c r="Q135" s="21" t="n">
        <x:f>AVERAGE(G135,M135)</x:f>
        <x:v>-0.0007853144199329587</x:v>
      </x:c>
      <x:c r="R135" s="38" t="n">
        <x:f>H135+N135</x:f>
        <x:v>6</x:v>
      </x:c>
      <x:c r="S135" t="str">
        <x:f>IF(AND(P135&gt;=75%,Q135&gt;0,R135&gt;=2),"YES","")</x:f>
      </x:c>
      <x:c r="T135" t="str">
        <x:f>IF(AND(P135&gt;=80%,Q135&gt;=5%),"Strong cross-mode risk reducer",IF(S135="YES","Balanced candidate","Mode-specific / fragile"))</x:f>
        <x:v>Mode-specific / fragile</x:v>
      </x:c>
    </x:row>
    <x:row r="136">
      <x:c r="A136" t="n">
        <x:v>131</x:v>
      </x:c>
      <x:c r="B136" s="39" t="str">
        <x:v>Prior cash-session loss</x:v>
      </x:c>
      <x:c r="C136" s="39" t="str">
        <x:v>Skip after a prior cash-session loss of 0.5% or more.</x:v>
      </x:c>
      <x:c r="D136" s="21" t="n">
        <x:f>'Protected Results'!F137</x:f>
        <x:v>2.666149856505273</x:v>
      </x:c>
      <x:c r="E136" s="21" t="n">
        <x:f>'Protected Results'!G137</x:f>
        <x:v>0.37086496942787506</x:v>
      </x:c>
      <x:c r="F136" s="21" t="n">
        <x:f>'Protected Results'!H137</x:f>
        <x:v>0.9189566344181009</x:v>
      </x:c>
      <x:c r="G136" s="21" t="n">
        <x:f>'Protected Results'!I137</x:f>
        <x:v>-0.10549235352445385</x:v>
      </x:c>
      <x:c r="H136" s="38" t="n">
        <x:f>'Protected Results'!L137</x:f>
        <x:v>6</x:v>
      </x:c>
      <x:c r="I136" s="38" t="n">
        <x:f>'Protected Results'!N137</x:f>
        <x:v>96</x:v>
      </x:c>
      <x:c r="J136" s="21" t="n">
        <x:f>'Leverage Only Results'!F137</x:f>
        <x:v>1.2269624618595798</x:v>
      </x:c>
      <x:c r="K136" s="21" t="n">
        <x:f>'Leverage Only Results'!G137</x:f>
        <x:v>0.3200065607518409</x:v>
      </x:c>
      <x:c r="L136" s="21" t="n">
        <x:f>'Leverage Only Results'!H137</x:f>
        <x:v>0.9321324797140911</x:v>
      </x:c>
      <x:c r="M136" s="21" t="n">
        <x:f>'Leverage Only Results'!I137</x:f>
        <x:v>-0.021351215805975876</x:v>
      </x:c>
      <x:c r="N136" s="38" t="n">
        <x:f>'Leverage Only Results'!L137</x:f>
        <x:v>7</x:v>
      </x:c>
      <x:c r="O136" s="38" t="n">
        <x:f>'Leverage Only Results'!N137</x:f>
        <x:v>125</x:v>
      </x:c>
      <x:c r="P136" s="21" t="n">
        <x:f>MIN(E136,K136)</x:f>
        <x:v>0.3200065607518409</x:v>
      </x:c>
      <x:c r="Q136" s="21" t="n">
        <x:f>AVERAGE(G136,M136)</x:f>
        <x:v>-0.06342178466521486</x:v>
      </x:c>
      <x:c r="R136" s="38" t="n">
        <x:f>H136+N136</x:f>
        <x:v>13</x:v>
      </x:c>
      <x:c r="S136" t="str">
        <x:f>IF(AND(P136&gt;=75%,Q136&gt;0,R136&gt;=2),"YES","")</x:f>
      </x:c>
      <x:c r="T136" t="str">
        <x:f>IF(AND(P136&gt;=80%,Q136&gt;=5%),"Strong cross-mode risk reducer",IF(S136="YES","Balanced candidate","Mode-specific / fragile"))</x:f>
        <x:v>Mode-specific / fragile</x:v>
      </x:c>
    </x:row>
    <x:row r="137">
      <x:c r="A137" t="n">
        <x:v>132</x:v>
      </x:c>
      <x:c r="B137" s="39" t="str">
        <x:v>Prior cash-session loss</x:v>
      </x:c>
      <x:c r="C137" s="39" t="str">
        <x:v>Skip after a prior cash-session loss of 1.0% or more.</x:v>
      </x:c>
      <x:c r="D137" s="21" t="n">
        <x:f>'Protected Results'!F138</x:f>
        <x:v>4.276715119015399</x:v>
      </x:c>
      <x:c r="E137" s="21" t="n">
        <x:f>'Protected Results'!G138</x:f>
        <x:v>0.5948967264519702</x:v>
      </x:c>
      <x:c r="F137" s="21" t="n">
        <x:f>'Protected Results'!H138</x:f>
        <x:v>0.8775770184015415</x:v>
      </x:c>
      <x:c r="G137" s="21" t="n">
        <x:f>'Protected Results'!I138</x:f>
        <x:v>-0.06411273750789437</x:v>
      </x:c>
      <x:c r="H137" s="38" t="n">
        <x:f>'Protected Results'!L138</x:f>
        <x:v>5</x:v>
      </x:c>
      <x:c r="I137" s="38" t="n">
        <x:f>'Protected Results'!N138</x:f>
        <x:v>54</x:v>
      </x:c>
      <x:c r="J137" s="21" t="n">
        <x:f>'Leverage Only Results'!F138</x:f>
        <x:v>1.7145956907768003</x:v>
      </x:c>
      <x:c r="K137" s="21" t="n">
        <x:f>'Leverage Only Results'!G138</x:f>
        <x:v>0.4471871692421874</x:v>
      </x:c>
      <x:c r="L137" s="21" t="n">
        <x:f>'Leverage Only Results'!H138</x:f>
        <x:v>0.9014144952594454</x:v>
      </x:c>
      <x:c r="M137" s="21" t="n">
        <x:f>'Leverage Only Results'!I138</x:f>
        <x:v>0.00936676864866981</x:v>
      </x:c>
      <x:c r="N137" s="38" t="n">
        <x:f>'Leverage Only Results'!L138</x:f>
        <x:v>3</x:v>
      </x:c>
      <x:c r="O137" s="38" t="n">
        <x:f>'Leverage Only Results'!N138</x:f>
        <x:v>69</x:v>
      </x:c>
      <x:c r="P137" s="21" t="n">
        <x:f>MIN(E137,K137)</x:f>
        <x:v>0.4471871692421874</x:v>
      </x:c>
      <x:c r="Q137" s="21" t="n">
        <x:f>AVERAGE(G137,M137)</x:f>
        <x:v>-0.02737298442961228</x:v>
      </x:c>
      <x:c r="R137" s="38" t="n">
        <x:f>H137+N137</x:f>
        <x:v>8</x:v>
      </x:c>
      <x:c r="S137" t="str">
        <x:f>IF(AND(P137&gt;=75%,Q137&gt;0,R137&gt;=2),"YES","")</x:f>
      </x:c>
      <x:c r="T137" t="str">
        <x:f>IF(AND(P137&gt;=80%,Q137&gt;=5%),"Strong cross-mode risk reducer",IF(S137="YES","Balanced candidate","Mode-specific / fragile"))</x:f>
        <x:v>Mode-specific / fragile</x:v>
      </x:c>
    </x:row>
    <x:row r="138">
      <x:c r="A138" t="n">
        <x:v>133</x:v>
      </x:c>
      <x:c r="B138" s="39" t="str">
        <x:v>Prior cash-session loss</x:v>
      </x:c>
      <x:c r="C138" s="39" t="str">
        <x:v>Skip after a prior cash-session loss of 1.5% or more.</x:v>
      </x:c>
      <x:c r="D138" s="21" t="n">
        <x:f>'Protected Results'!F139</x:f>
        <x:v>4.7015176602240905</x:v>
      </x:c>
      <x:c r="E138" s="21" t="n">
        <x:f>'Protected Results'!G139</x:f>
        <x:v>0.6539873214812949</x:v>
      </x:c>
      <x:c r="F138" s="21" t="n">
        <x:f>'Protected Results'!H139</x:f>
        <x:v>0.8925861818076842</x:v>
      </x:c>
      <x:c r="G138" s="21" t="n">
        <x:f>'Protected Results'!I139</x:f>
        <x:v>-0.07912190091403715</x:v>
      </x:c>
      <x:c r="H138" s="38" t="n">
        <x:f>'Protected Results'!L139</x:f>
        <x:v>3</x:v>
      </x:c>
      <x:c r="I138" s="38" t="n">
        <x:f>'Protected Results'!N139</x:f>
        <x:v>26</x:v>
      </x:c>
      <x:c r="J138" s="21" t="n">
        <x:f>'Leverage Only Results'!F139</x:f>
        <x:v>2.1095776022187187</x:v>
      </x:c>
      <x:c r="K138" s="21" t="n">
        <x:f>'Leverage Only Results'!G139</x:f>
        <x:v>0.5502032002690453</x:v>
      </x:c>
      <x:c r="L138" s="21" t="n">
        <x:f>'Leverage Only Results'!H139</x:f>
        <x:v>0.9159065094358668</x:v>
      </x:c>
      <x:c r="M138" s="21" t="n">
        <x:f>'Leverage Only Results'!I139</x:f>
        <x:v>-0.005125245527751621</x:v>
      </x:c>
      <x:c r="N138" s="38" t="n">
        <x:f>'Leverage Only Results'!L139</x:f>
        <x:v>1</x:v>
      </x:c>
      <x:c r="O138" s="38" t="n">
        <x:f>'Leverage Only Results'!N139</x:f>
        <x:v>32</x:v>
      </x:c>
      <x:c r="P138" s="21" t="n">
        <x:f>MIN(E138,K138)</x:f>
        <x:v>0.5502032002690453</x:v>
      </x:c>
      <x:c r="Q138" s="21" t="n">
        <x:f>AVERAGE(G138,M138)</x:f>
        <x:v>-0.042123573220894384</x:v>
      </x:c>
      <x:c r="R138" s="38" t="n">
        <x:f>H138+N138</x:f>
        <x:v>4</x:v>
      </x:c>
      <x:c r="S138" t="str">
        <x:f>IF(AND(P138&gt;=75%,Q138&gt;0,R138&gt;=2),"YES","")</x:f>
      </x:c>
      <x:c r="T138" t="str">
        <x:f>IF(AND(P138&gt;=80%,Q138&gt;=5%),"Strong cross-mode risk reducer",IF(S138="YES","Balanced candidate","Mode-specific / fragile"))</x:f>
        <x:v>Mode-specific / fragile</x:v>
      </x:c>
    </x:row>
    <x:row r="139">
      <x:c r="A139" t="n">
        <x:v>134</x:v>
      </x:c>
      <x:c r="B139" s="39" t="str">
        <x:v>Prior cash-session loss</x:v>
      </x:c>
      <x:c r="C139" s="39" t="str">
        <x:v>Skip after a prior cash-session loss of 2.0% or more.</x:v>
      </x:c>
      <x:c r="D139" s="21" t="n">
        <x:f>'Protected Results'!F140</x:f>
        <x:v>5.791795172394448</x:v>
      </x:c>
      <x:c r="E139" s="21" t="n">
        <x:f>'Protected Results'!G140</x:f>
        <x:v>0.8056463646638736</x:v>
      </x:c>
      <x:c r="F139" s="21" t="n">
        <x:f>'Protected Results'!H140</x:f>
        <x:v>0.8130654830831845</x:v>
      </x:c>
      <x:c r="G139" s="21" t="n">
        <x:f>'Protected Results'!I140</x:f>
        <x:v>0.0003987978104625922</x:v>
      </x:c>
      <x:c r="H139" s="38" t="n">
        <x:f>'Protected Results'!L140</x:f>
        <x:v>3</x:v>
      </x:c>
      <x:c r="I139" s="38" t="n">
        <x:f>'Protected Results'!N140</x:f>
        <x:v>18</x:v>
      </x:c>
      <x:c r="J139" s="21" t="n">
        <x:f>'Leverage Only Results'!F140</x:f>
        <x:v>2.6833656816457396</x:v>
      </x:c>
      <x:c r="K139" s="21" t="n">
        <x:f>'Leverage Only Results'!G140</x:f>
        <x:v>0.6998540295369249</x:v>
      </x:c>
      <x:c r="L139" s="21" t="n">
        <x:f>'Leverage Only Results'!H140</x:f>
        <x:v>0.9107812639081152</x:v>
      </x:c>
      <x:c r="M139" s="21" t="n">
        <x:f>'Leverage Only Results'!I140</x:f>
        <x:v>0</x:v>
      </x:c>
      <x:c r="N139" s="38" t="n">
        <x:f>'Leverage Only Results'!L140</x:f>
        <x:v>1</x:v>
      </x:c>
      <x:c r="O139" s="38" t="n">
        <x:f>'Leverage Only Results'!N140</x:f>
        <x:v>21</x:v>
      </x:c>
      <x:c r="P139" s="21" t="n">
        <x:f>MIN(E139,K139)</x:f>
        <x:v>0.6998540295369249</x:v>
      </x:c>
      <x:c r="Q139" s="21" t="n">
        <x:f>AVERAGE(G139,M139)</x:f>
        <x:v>0.0001993989052312961</x:v>
      </x:c>
      <x:c r="R139" s="38" t="n">
        <x:f>H139+N139</x:f>
        <x:v>4</x:v>
      </x:c>
      <x:c r="S139" t="str">
        <x:f>IF(AND(P139&gt;=75%,Q139&gt;0,R139&gt;=2),"YES","")</x:f>
      </x:c>
      <x:c r="T139" t="str">
        <x:f>IF(AND(P139&gt;=80%,Q139&gt;=5%),"Strong cross-mode risk reducer",IF(S139="YES","Balanced candidate","Mode-specific / fragile"))</x:f>
        <x:v>Mode-specific / fragile</x:v>
      </x:c>
    </x:row>
    <x:row r="140">
      <x:c r="A140" t="n">
        <x:v>135</x:v>
      </x:c>
      <x:c r="B140" s="39" t="str">
        <x:v>Prior cash-session loss</x:v>
      </x:c>
      <x:c r="C140" s="39" t="str">
        <x:v>Skip after a prior cash-session loss of 2.5% or more.</x:v>
      </x:c>
      <x:c r="D140" s="21" t="n">
        <x:f>'Protected Results'!F141</x:f>
        <x:v>5.963393213060583</x:v>
      </x:c>
      <x:c r="E140" s="21" t="n">
        <x:f>'Protected Results'!G141</x:f>
        <x:v>0.8295158789562724</x:v>
      </x:c>
      <x:c r="F140" s="21" t="n">
        <x:f>'Protected Results'!H141</x:f>
        <x:v>0.8132557514009875</x:v>
      </x:c>
      <x:c r="G140" s="21" t="n">
        <x:f>'Protected Results'!I141</x:f>
        <x:v>0.00020852949265959264</x:v>
      </x:c>
      <x:c r="H140" s="38" t="n">
        <x:f>'Protected Results'!L141</x:f>
        <x:v>1</x:v>
      </x:c>
      <x:c r="I140" s="38" t="n">
        <x:f>'Protected Results'!N141</x:f>
        <x:v>10</x:v>
      </x:c>
      <x:c r="J140" s="21" t="n">
        <x:f>'Leverage Only Results'!F141</x:f>
        <x:v>2.983822219676422</x:v>
      </x:c>
      <x:c r="K140" s="21" t="n">
        <x:f>'Leverage Only Results'!G141</x:f>
        <x:v>0.7782167067820638</x:v>
      </x:c>
      <x:c r="L140" s="21" t="n">
        <x:f>'Leverage Only Results'!H141</x:f>
        <x:v>0.9107812639081152</x:v>
      </x:c>
      <x:c r="M140" s="21" t="n">
        <x:f>'Leverage Only Results'!I141</x:f>
        <x:v>0</x:v>
      </x:c>
      <x:c r="N140" s="38" t="n">
        <x:f>'Leverage Only Results'!L141</x:f>
        <x:v>1</x:v>
      </x:c>
      <x:c r="O140" s="38" t="n">
        <x:f>'Leverage Only Results'!N141</x:f>
        <x:v>12</x:v>
      </x:c>
      <x:c r="P140" s="21" t="n">
        <x:f>MIN(E140,K140)</x:f>
        <x:v>0.7782167067820638</x:v>
      </x:c>
      <x:c r="Q140" s="21" t="n">
        <x:f>AVERAGE(G140,M140)</x:f>
        <x:v>0.00010426474632979632</x:v>
      </x:c>
      <x:c r="R140" s="38" t="n">
        <x:f>H140+N140</x:f>
        <x:v>2</x:v>
      </x:c>
      <x:c r="S140" t="str">
        <x:f>IF(AND(P140&gt;=75%,Q140&gt;0,R140&gt;=2),"YES","")</x:f>
        <x:v>YES</x:v>
      </x:c>
      <x:c r="T140" t="str">
        <x:f>IF(AND(P140&gt;=80%,Q140&gt;=5%),"Strong cross-mode risk reducer",IF(S140="YES","Balanced candidate","Mode-specific / fragile"))</x:f>
        <x:v>Balanced candidate</x:v>
      </x:c>
    </x:row>
    <x:row r="141">
      <x:c r="A141" t="n">
        <x:v>136</x:v>
      </x:c>
      <x:c r="B141" s="39" t="str">
        <x:v>Prior cash-session loss</x:v>
      </x:c>
      <x:c r="C141" s="39" t="str">
        <x:v>Skip after a prior cash-session loss of 3.0% or more.</x:v>
      </x:c>
      <x:c r="D141" s="21" t="n">
        <x:f>'Protected Results'!F142</x:f>
        <x:v>6.7112626148311705</x:v>
      </x:c>
      <x:c r="E141" s="21" t="n">
        <x:f>'Protected Results'!G142</x:f>
        <x:v>0.9335455013523846</x:v>
      </x:c>
      <x:c r="F141" s="21" t="n">
        <x:f>'Protected Results'!H142</x:f>
        <x:v>0.8133020963670303</x:v>
      </x:c>
      <x:c r="G141" s="21" t="n">
        <x:f>'Protected Results'!I142</x:f>
        <x:v>0.00016218452661675986</x:v>
      </x:c>
      <x:c r="H141" s="38" t="n">
        <x:f>'Protected Results'!L142</x:f>
        <x:v>1</x:v>
      </x:c>
      <x:c r="I141" s="38" t="n">
        <x:f>'Protected Results'!N142</x:f>
        <x:v>7</x:v>
      </x:c>
      <x:c r="J141" s="21" t="n">
        <x:f>'Leverage Only Results'!F142</x:f>
        <x:v>3.625021696330969</x:v>
      </x:c>
      <x:c r="K141" s="21" t="n">
        <x:f>'Leverage Only Results'!G142</x:f>
        <x:v>0.9454492388752785</x:v>
      </x:c>
      <x:c r="L141" s="21" t="n">
        <x:f>'Leverage Only Results'!H142</x:f>
        <x:v>0.9107812639081152</x:v>
      </x:c>
      <x:c r="M141" s="21" t="n">
        <x:f>'Leverage Only Results'!I142</x:f>
        <x:v>0</x:v>
      </x:c>
      <x:c r="N141" s="38" t="n">
        <x:f>'Leverage Only Results'!L142</x:f>
        <x:v>1</x:v>
      </x:c>
      <x:c r="O141" s="38" t="n">
        <x:f>'Leverage Only Results'!N142</x:f>
        <x:v>8</x:v>
      </x:c>
      <x:c r="P141" s="21" t="n">
        <x:f>MIN(E141,K141)</x:f>
        <x:v>0.9335455013523846</x:v>
      </x:c>
      <x:c r="Q141" s="21" t="n">
        <x:f>AVERAGE(G141,M141)</x:f>
        <x:v>0.00008109226330837993</x:v>
      </x:c>
      <x:c r="R141" s="38" t="n">
        <x:f>H141+N141</x:f>
        <x:v>2</x:v>
      </x:c>
      <x:c r="S141" t="str">
        <x:f>IF(AND(P141&gt;=75%,Q141&gt;0,R141&gt;=2),"YES","")</x:f>
        <x:v>YES</x:v>
      </x:c>
      <x:c r="T141" t="str">
        <x:f>IF(AND(P141&gt;=80%,Q141&gt;=5%),"Strong cross-mode risk reducer",IF(S141="YES","Balanced candidate","Mode-specific / fragile"))</x:f>
        <x:v>Balanced candidate</x:v>
      </x:c>
    </x:row>
    <x:row r="142">
      <x:c r="A142" t="n">
        <x:v>137</x:v>
      </x:c>
      <x:c r="B142" s="39" t="str">
        <x:v>Prior cash-session loss</x:v>
      </x:c>
      <x:c r="C142" s="39" t="str">
        <x:v>Skip after a prior cash-session loss of 3.5% or more.</x:v>
      </x:c>
      <x:c r="D142" s="21" t="n">
        <x:f>'Protected Results'!F143</x:f>
        <x:v>6.871202106277078</x:v>
      </x:c>
      <x:c r="E142" s="21" t="n">
        <x:f>'Protected Results'!G143</x:f>
        <x:v>0.9557932960367937</x:v>
      </x:c>
      <x:c r="F142" s="21" t="n">
        <x:f>'Protected Results'!H143</x:f>
        <x:v>0.8133020963670303</x:v>
      </x:c>
      <x:c r="G142" s="21" t="n">
        <x:f>'Protected Results'!I143</x:f>
        <x:v>0.00016218452661675986</x:v>
      </x:c>
      <x:c r="H142" s="38" t="n">
        <x:f>'Protected Results'!L143</x:f>
        <x:v>0</x:v>
      </x:c>
      <x:c r="I142" s="38" t="n">
        <x:f>'Protected Results'!N143</x:f>
        <x:v>3</x:v>
      </x:c>
      <x:c r="J142" s="21" t="n">
        <x:f>'Leverage Only Results'!F143</x:f>
        <x:v>3.7170732631512573</x:v>
      </x:c>
      <x:c r="K142" s="21" t="n">
        <x:f>'Leverage Only Results'!G143</x:f>
        <x:v>0.9694573941576607</x:v>
      </x:c>
      <x:c r="L142" s="21" t="n">
        <x:f>'Leverage Only Results'!H143</x:f>
        <x:v>0.9107812639081152</x:v>
      </x:c>
      <x:c r="M142" s="21" t="n">
        <x:f>'Leverage Only Results'!I143</x:f>
        <x:v>0</x:v>
      </x:c>
      <x:c r="N142" s="38" t="n">
        <x:f>'Leverage Only Results'!L143</x:f>
        <x:v>0</x:v>
      </x:c>
      <x:c r="O142" s="38" t="n">
        <x:f>'Leverage Only Results'!N143</x:f>
        <x:v>4</x:v>
      </x:c>
      <x:c r="P142" s="21" t="n">
        <x:f>MIN(E142,K142)</x:f>
        <x:v>0.9557932960367937</x:v>
      </x:c>
      <x:c r="Q142" s="21" t="n">
        <x:f>AVERAGE(G142,M142)</x:f>
        <x:v>0.00008109226330837993</x:v>
      </x:c>
      <x:c r="R142" s="38" t="n">
        <x:f>H142+N142</x:f>
        <x:v>0</x:v>
      </x:c>
      <x:c r="S142" t="str">
        <x:f>IF(AND(P142&gt;=75%,Q142&gt;0,R142&gt;=2),"YES","")</x:f>
      </x:c>
      <x:c r="T142" t="str">
        <x:f>IF(AND(P142&gt;=80%,Q142&gt;=5%),"Strong cross-mode risk reducer",IF(S142="YES","Balanced candidate","Mode-specific / fragile"))</x:f>
        <x:v>Mode-specific / fragile</x:v>
      </x:c>
    </x:row>
    <x:row r="143">
      <x:c r="A143" t="n">
        <x:v>138</x:v>
      </x:c>
      <x:c r="B143" s="39" t="str">
        <x:v>Prior cash-session loss</x:v>
      </x:c>
      <x:c r="C143" s="39" t="str">
        <x:v>Skip after a prior cash-session loss of 4.0% or more.</x:v>
      </x:c>
      <x:c r="D143" s="21" t="n">
        <x:f>'Protected Results'!F144</x:f>
        <x:v>7.226602930802276</x:v>
      </x:c>
      <x:c r="E143" s="21" t="n">
        <x:f>'Protected Results'!G144</x:f>
        <x:v>1.005230020533198</x:v>
      </x:c>
      <x:c r="F143" s="21" t="n">
        <x:f>'Protected Results'!H144</x:f>
        <x:v>0.8134642808936471</x:v>
      </x:c>
      <x:c r="G143" s="21" t="n">
        <x:f>'Protected Results'!I144</x:f>
        <x:v>0</x:v>
      </x:c>
      <x:c r="H143" s="38" t="n">
        <x:f>'Protected Results'!L144</x:f>
        <x:v>0</x:v>
      </x:c>
      <x:c r="I143" s="38" t="n">
        <x:f>'Protected Results'!N144</x:f>
        <x:v>1</x:v>
      </x:c>
      <x:c r="J143" s="21" t="n">
        <x:f>'Leverage Only Results'!F144</x:f>
        <x:v>3.861061938405518</x:v>
      </x:c>
      <x:c r="K143" s="21" t="n">
        <x:f>'Leverage Only Results'!G144</x:f>
        <x:v>1.0070113717141502</x:v>
      </x:c>
      <x:c r="L143" s="21" t="n">
        <x:f>'Leverage Only Results'!H144</x:f>
        <x:v>0.9107812639081152</x:v>
      </x:c>
      <x:c r="M143" s="21" t="n">
        <x:f>'Leverage Only Results'!I144</x:f>
        <x:v>0</x:v>
      </x:c>
      <x:c r="N143" s="38" t="n">
        <x:f>'Leverage Only Results'!L144</x:f>
        <x:v>0</x:v>
      </x:c>
      <x:c r="O143" s="38" t="n">
        <x:f>'Leverage Only Results'!N144</x:f>
        <x:v>1</x:v>
      </x:c>
      <x:c r="P143" s="21" t="n">
        <x:f>MIN(E143,K143)</x:f>
        <x:v>1.005230020533198</x:v>
      </x:c>
      <x:c r="Q143" s="21" t="n">
        <x:f>AVERAGE(G143,M143)</x:f>
        <x:v>0</x:v>
      </x:c>
      <x:c r="R143" s="38" t="n">
        <x:f>H143+N143</x:f>
        <x:v>0</x:v>
      </x:c>
      <x:c r="S143" t="str">
        <x:f>IF(AND(P143&gt;=75%,Q143&gt;0,R143&gt;=2),"YES","")</x:f>
      </x:c>
      <x:c r="T143" t="str">
        <x:f>IF(AND(P143&gt;=80%,Q143&gt;=5%),"Strong cross-mode risk reducer",IF(S143="YES","Balanced candidate","Mode-specific / fragile"))</x:f>
        <x:v>Mode-specific / fragile</x:v>
      </x:c>
    </x:row>
    <x:row r="144">
      <x:c r="A144" t="n">
        <x:v>139</x:v>
      </x:c>
      <x:c r="B144" s="39" t="str">
        <x:v>Prior cash-session loss</x:v>
      </x:c>
      <x:c r="C144" s="39" t="str">
        <x:v>Skip after a prior cash-session loss of 4.5% or more.</x:v>
      </x:c>
      <x:c r="D144" s="21" t="n">
        <x:f>'Protected Results'!F145</x:f>
        <x:v>7.189004290748413</x:v>
      </x:c>
      <x:c r="E144" s="21" t="n">
        <x:f>'Protected Results'!G145</x:f>
        <x:v>1</x:v>
      </x:c>
      <x:c r="F144" s="21" t="n">
        <x:f>'Protected Results'!H145</x:f>
        <x:v>0.8134642808936471</x:v>
      </x:c>
      <x:c r="G144" s="21" t="n">
        <x:f>'Protected Results'!I145</x:f>
        <x:v>0</x:v>
      </x:c>
      <x:c r="H144" s="38" t="n">
        <x:f>'Protected Results'!L145</x:f>
        <x:v>0</x:v>
      </x:c>
      <x:c r="I144" s="38" t="n">
        <x:f>'Protected Results'!N145</x:f>
        <x:v>0</x:v>
      </x:c>
      <x:c r="J144" s="21" t="n">
        <x:f>'Leverage Only Results'!F145</x:f>
        <x:v>3.8341790836315575</x:v>
      </x:c>
      <x:c r="K144" s="21" t="n">
        <x:f>'Leverage Only Results'!G145</x:f>
        <x:v>1</x:v>
      </x:c>
      <x:c r="L144" s="21" t="n">
        <x:f>'Leverage Only Results'!H145</x:f>
        <x:v>0.9107812639081152</x:v>
      </x:c>
      <x:c r="M144" s="21" t="n">
        <x:f>'Leverage Only Results'!I145</x:f>
        <x:v>0</x:v>
      </x:c>
      <x:c r="N144" s="38" t="n">
        <x:f>'Leverage Only Results'!L145</x:f>
        <x:v>0</x:v>
      </x:c>
      <x:c r="O144" s="38" t="n">
        <x:f>'Leverage Only Results'!N145</x:f>
        <x:v>0</x:v>
      </x:c>
      <x:c r="P144" s="21" t="n">
        <x:f>MIN(E144,K144)</x:f>
        <x:v>1</x:v>
      </x:c>
      <x:c r="Q144" s="21" t="n">
        <x:f>AVERAGE(G144,M144)</x:f>
        <x:v>0</x:v>
      </x:c>
      <x:c r="R144" s="38" t="n">
        <x:f>H144+N144</x:f>
        <x:v>0</x:v>
      </x:c>
      <x:c r="S144" t="str">
        <x:f>IF(AND(P144&gt;=75%,Q144&gt;0,R144&gt;=2),"YES","")</x:f>
      </x:c>
      <x:c r="T144" t="str">
        <x:f>IF(AND(P144&gt;=80%,Q144&gt;=5%),"Strong cross-mode risk reducer",IF(S144="YES","Balanced candidate","Mode-specific / fragile"))</x:f>
        <x:v>Mode-specific / fragile</x:v>
      </x:c>
    </x:row>
    <x:row r="145">
      <x:c r="A145" t="n">
        <x:v>140</x:v>
      </x:c>
      <x:c r="B145" s="39" t="str">
        <x:v>Prior cash-session loss</x:v>
      </x:c>
      <x:c r="C145" s="39" t="str">
        <x:v>Skip after a prior cash-session loss of 5.0% or more.</x:v>
      </x:c>
      <x:c r="D145" s="21" t="n">
        <x:f>'Protected Results'!F146</x:f>
        <x:v>7.189004290748413</x:v>
      </x:c>
      <x:c r="E145" s="21" t="n">
        <x:f>'Protected Results'!G146</x:f>
        <x:v>1</x:v>
      </x:c>
      <x:c r="F145" s="21" t="n">
        <x:f>'Protected Results'!H146</x:f>
        <x:v>0.8134642808936471</x:v>
      </x:c>
      <x:c r="G145" s="21" t="n">
        <x:f>'Protected Results'!I146</x:f>
        <x:v>0</x:v>
      </x:c>
      <x:c r="H145" s="38" t="n">
        <x:f>'Protected Results'!L146</x:f>
        <x:v>0</x:v>
      </x:c>
      <x:c r="I145" s="38" t="n">
        <x:f>'Protected Results'!N146</x:f>
        <x:v>0</x:v>
      </x:c>
      <x:c r="J145" s="21" t="n">
        <x:f>'Leverage Only Results'!F146</x:f>
        <x:v>3.8341790836315575</x:v>
      </x:c>
      <x:c r="K145" s="21" t="n">
        <x:f>'Leverage Only Results'!G146</x:f>
        <x:v>1</x:v>
      </x:c>
      <x:c r="L145" s="21" t="n">
        <x:f>'Leverage Only Results'!H146</x:f>
        <x:v>0.9107812639081152</x:v>
      </x:c>
      <x:c r="M145" s="21" t="n">
        <x:f>'Leverage Only Results'!I146</x:f>
        <x:v>0</x:v>
      </x:c>
      <x:c r="N145" s="38" t="n">
        <x:f>'Leverage Only Results'!L146</x:f>
        <x:v>0</x:v>
      </x:c>
      <x:c r="O145" s="38" t="n">
        <x:f>'Leverage Only Results'!N146</x:f>
        <x:v>0</x:v>
      </x:c>
      <x:c r="P145" s="21" t="n">
        <x:f>MIN(E145,K145)</x:f>
        <x:v>1</x:v>
      </x:c>
      <x:c r="Q145" s="21" t="n">
        <x:f>AVERAGE(G145,M145)</x:f>
        <x:v>0</x:v>
      </x:c>
      <x:c r="R145" s="38" t="n">
        <x:f>H145+N145</x:f>
        <x:v>0</x:v>
      </x:c>
      <x:c r="S145" t="str">
        <x:f>IF(AND(P145&gt;=75%,Q145&gt;0,R145&gt;=2),"YES","")</x:f>
      </x:c>
      <x:c r="T145" t="str">
        <x:f>IF(AND(P145&gt;=80%,Q145&gt;=5%),"Strong cross-mode risk reducer",IF(S145="YES","Balanced candidate","Mode-specific / fragile"))</x:f>
        <x:v>Mode-specific / fragile</x:v>
      </x:c>
    </x:row>
    <x:row r="146">
      <x:c r="A146" t="n">
        <x:v>141</x:v>
      </x:c>
      <x:c r="B146" s="39" t="str">
        <x:v>High realized volatility</x:v>
      </x:c>
      <x:c r="C146" s="39" t="str">
        <x:v>Skip when 5-session daily realized volatility is at least 1.2%.</x:v>
      </x:c>
      <x:c r="D146" s="21" t="n">
        <x:f>'Protected Results'!F147</x:f>
        <x:v>2.124938114495374</x:v>
      </x:c>
      <x:c r="E146" s="21" t="n">
        <x:f>'Protected Results'!G147</x:f>
        <x:v>0.29558170068558365</x:v>
      </x:c>
      <x:c r="F146" s="21" t="n">
        <x:f>'Protected Results'!H147</x:f>
        <x:v>0.6488924597262622</x:v>
      </x:c>
      <x:c r="G146" s="21" t="n">
        <x:f>'Protected Results'!I147</x:f>
        <x:v>0.1645718211673849</x:v>
      </x:c>
      <x:c r="H146" s="38" t="n">
        <x:f>'Protected Results'!L147</x:f>
        <x:v>7</x:v>
      </x:c>
      <x:c r="I146" s="38" t="n">
        <x:f>'Protected Results'!N147</x:f>
        <x:v>116</x:v>
      </x:c>
      <x:c r="J146" s="21" t="n">
        <x:f>'Leverage Only Results'!F147</x:f>
        <x:v>1.3051633598957872</x:v>
      </x:c>
      <x:c r="K146" s="21" t="n">
        <x:f>'Leverage Only Results'!G147</x:f>
        <x:v>0.34040229510083203</x:v>
      </x:c>
      <x:c r="L146" s="21" t="n">
        <x:f>'Leverage Only Results'!H147</x:f>
        <x:v>0.8885685636647552</x:v>
      </x:c>
      <x:c r="M146" s="21" t="n">
        <x:f>'Leverage Only Results'!I147</x:f>
        <x:v>0.022212700243359973</x:v>
      </x:c>
      <x:c r="N146" s="38" t="n">
        <x:f>'Leverage Only Results'!L147</x:f>
        <x:v>10</x:v>
      </x:c>
      <x:c r="O146" s="38" t="n">
        <x:f>'Leverage Only Results'!N147</x:f>
        <x:v>149</x:v>
      </x:c>
      <x:c r="P146" s="21" t="n">
        <x:f>MIN(E146,K146)</x:f>
        <x:v>0.29558170068558365</x:v>
      </x:c>
      <x:c r="Q146" s="21" t="n">
        <x:f>AVERAGE(G146,M146)</x:f>
        <x:v>0.09339226070537243</x:v>
      </x:c>
      <x:c r="R146" s="38" t="n">
        <x:f>H146+N146</x:f>
        <x:v>17</x:v>
      </x:c>
      <x:c r="S146" t="str">
        <x:f>IF(AND(P146&gt;=75%,Q146&gt;0,R146&gt;=2),"YES","")</x:f>
      </x:c>
      <x:c r="T146" t="str">
        <x:f>IF(AND(P146&gt;=80%,Q146&gt;=5%),"Strong cross-mode risk reducer",IF(S146="YES","Balanced candidate","Mode-specific / fragile"))</x:f>
        <x:v>Mode-specific / fragile</x:v>
      </x:c>
    </x:row>
    <x:row r="147">
      <x:c r="A147" t="n">
        <x:v>142</x:v>
      </x:c>
      <x:c r="B147" s="39" t="str">
        <x:v>High realized volatility</x:v>
      </x:c>
      <x:c r="C147" s="39" t="str">
        <x:v>Skip when 5-session daily realized volatility is at least 1.6%.</x:v>
      </x:c>
      <x:c r="D147" s="21" t="n">
        <x:f>'Protected Results'!F148</x:f>
        <x:v>4.332518297025219</x:v>
      </x:c>
      <x:c r="E147" s="21" t="n">
        <x:f>'Protected Results'!G148</x:f>
        <x:v>0.6026590222794513</x:v>
      </x:c>
      <x:c r="F147" s="21" t="n">
        <x:f>'Protected Results'!H148</x:f>
        <x:v>0.7586141330396922</x:v>
      </x:c>
      <x:c r="G147" s="21" t="n">
        <x:f>'Protected Results'!I148</x:f>
        <x:v>0.05485014785395492</x:v>
      </x:c>
      <x:c r="H147" s="38" t="n">
        <x:f>'Protected Results'!L148</x:f>
        <x:v>6</x:v>
      </x:c>
      <x:c r="I147" s="38" t="n">
        <x:f>'Protected Results'!N148</x:f>
        <x:v>57</x:v>
      </x:c>
      <x:c r="J147" s="21" t="n">
        <x:f>'Leverage Only Results'!F148</x:f>
        <x:v>2.2573407630936826</x:v>
      </x:c>
      <x:c r="K147" s="21" t="n">
        <x:f>'Leverage Only Results'!G148</x:f>
        <x:v>0.5887416090527606</x:v>
      </x:c>
      <x:c r="L147" s="21" t="n">
        <x:f>'Leverage Only Results'!H148</x:f>
        <x:v>0.8787131789845888</x:v>
      </x:c>
      <x:c r="M147" s="21" t="n">
        <x:f>'Leverage Only Results'!I148</x:f>
        <x:v>0.03206808492352642</x:v>
      </x:c>
      <x:c r="N147" s="38" t="n">
        <x:f>'Leverage Only Results'!L148</x:f>
        <x:v>6</x:v>
      </x:c>
      <x:c r="O147" s="38" t="n">
        <x:f>'Leverage Only Results'!N148</x:f>
        <x:v>80</x:v>
      </x:c>
      <x:c r="P147" s="21" t="n">
        <x:f>MIN(E147,K147)</x:f>
        <x:v>0.5887416090527606</x:v>
      </x:c>
      <x:c r="Q147" s="21" t="n">
        <x:f>AVERAGE(G147,M147)</x:f>
        <x:v>0.04345911638874067</x:v>
      </x:c>
      <x:c r="R147" s="38" t="n">
        <x:f>H147+N147</x:f>
        <x:v>12</x:v>
      </x:c>
      <x:c r="S147" t="str">
        <x:f>IF(AND(P147&gt;=75%,Q147&gt;0,R147&gt;=2),"YES","")</x:f>
      </x:c>
      <x:c r="T147" t="str">
        <x:f>IF(AND(P147&gt;=80%,Q147&gt;=5%),"Strong cross-mode risk reducer",IF(S147="YES","Balanced candidate","Mode-specific / fragile"))</x:f>
        <x:v>Mode-specific / fragile</x:v>
      </x:c>
    </x:row>
    <x:row r="148">
      <x:c r="A148" t="n">
        <x:v>143</x:v>
      </x:c>
      <x:c r="B148" s="39" t="str">
        <x:v>High realized volatility</x:v>
      </x:c>
      <x:c r="C148" s="39" t="str">
        <x:v>Skip when 5-session daily realized volatility is at least 2.0%.</x:v>
      </x:c>
      <x:c r="D148" s="21" t="n">
        <x:f>'Protected Results'!F149</x:f>
        <x:v>4.740988142738509</x:v>
      </x:c>
      <x:c r="E148" s="21" t="n">
        <x:f>'Protected Results'!G149</x:f>
        <x:v>0.6594777177751479</x:v>
      </x:c>
      <x:c r="F148" s="21" t="n">
        <x:f>'Protected Results'!H149</x:f>
        <x:v>0.8863688965124931</x:v>
      </x:c>
      <x:c r="G148" s="21" t="n">
        <x:f>'Protected Results'!I149</x:f>
        <x:v>-0.07290461561884598</x:v>
      </x:c>
      <x:c r="H148" s="38" t="n">
        <x:f>'Protected Results'!L149</x:f>
        <x:v>2</x:v>
      </x:c>
      <x:c r="I148" s="38" t="n">
        <x:f>'Protected Results'!N149</x:f>
        <x:v>27</x:v>
      </x:c>
      <x:c r="J148" s="21" t="n">
        <x:f>'Leverage Only Results'!F149</x:f>
        <x:v>2.4578024359507844</x:v>
      </x:c>
      <x:c r="K148" s="21" t="n">
        <x:f>'Leverage Only Results'!G149</x:f>
        <x:v>0.6410244233096352</x:v>
      </x:c>
      <x:c r="L148" s="21" t="n">
        <x:f>'Leverage Only Results'!H149</x:f>
        <x:v>0.9427468332179908</x:v>
      </x:c>
      <x:c r="M148" s="21" t="n">
        <x:f>'Leverage Only Results'!I149</x:f>
        <x:v>-0.0319655693098756</x:v>
      </x:c>
      <x:c r="N148" s="38" t="n">
        <x:f>'Leverage Only Results'!L149</x:f>
        <x:v>2</x:v>
      </x:c>
      <x:c r="O148" s="38" t="n">
        <x:f>'Leverage Only Results'!N149</x:f>
        <x:v>40</x:v>
      </x:c>
      <x:c r="P148" s="21" t="n">
        <x:f>MIN(E148,K148)</x:f>
        <x:v>0.6410244233096352</x:v>
      </x:c>
      <x:c r="Q148" s="21" t="n">
        <x:f>AVERAGE(G148,M148)</x:f>
        <x:v>-0.05243509246436079</x:v>
      </x:c>
      <x:c r="R148" s="38" t="n">
        <x:f>H148+N148</x:f>
        <x:v>4</x:v>
      </x:c>
      <x:c r="S148" t="str">
        <x:f>IF(AND(P148&gt;=75%,Q148&gt;0,R148&gt;=2),"YES","")</x:f>
      </x:c>
      <x:c r="T148" t="str">
        <x:f>IF(AND(P148&gt;=80%,Q148&gt;=5%),"Strong cross-mode risk reducer",IF(S148="YES","Balanced candidate","Mode-specific / fragile"))</x:f>
        <x:v>Mode-specific / fragile</x:v>
      </x:c>
    </x:row>
    <x:row r="149">
      <x:c r="A149" t="n">
        <x:v>144</x:v>
      </x:c>
      <x:c r="B149" s="39" t="str">
        <x:v>High realized volatility</x:v>
      </x:c>
      <x:c r="C149" s="39" t="str">
        <x:v>Skip when 5-session daily realized volatility is at least 2.4%.</x:v>
      </x:c>
      <x:c r="D149" s="21" t="n">
        <x:f>'Protected Results'!F150</x:f>
        <x:v>6.2485307454966605</x:v>
      </x:c>
      <x:c r="E149" s="21" t="n">
        <x:f>'Protected Results'!G150</x:f>
        <x:v>0.8691788866419158</x:v>
      </x:c>
      <x:c r="F149" s="21" t="n">
        <x:f>'Protected Results'!H150</x:f>
        <x:v>0.8133931364941237</x:v>
      </x:c>
      <x:c r="G149" s="21" t="n">
        <x:f>'Protected Results'!I150</x:f>
        <x:v>0.00007114439952338181</x:v>
      </x:c>
      <x:c r="H149" s="38" t="n">
        <x:f>'Protected Results'!L150</x:f>
        <x:v>1</x:v>
      </x:c>
      <x:c r="I149" s="38" t="n">
        <x:f>'Protected Results'!N150</x:f>
        <x:v>8</x:v>
      </x:c>
      <x:c r="J149" s="21" t="n">
        <x:f>'Leverage Only Results'!F150</x:f>
        <x:v>3.4209391487286913</x:v>
      </x:c>
      <x:c r="K149" s="21" t="n">
        <x:f>'Leverage Only Results'!G150</x:f>
        <x:v>0.8922220569542453</x:v>
      </x:c>
      <x:c r="L149" s="21" t="n">
        <x:f>'Leverage Only Results'!H150</x:f>
        <x:v>0.8940147913283958</x:v>
      </x:c>
      <x:c r="M149" s="21" t="n">
        <x:f>'Leverage Only Results'!I150</x:f>
        <x:v>0.016766472579719416</x:v>
      </x:c>
      <x:c r="N149" s="38" t="n">
        <x:f>'Leverage Only Results'!L150</x:f>
        <x:v>1</x:v>
      </x:c>
      <x:c r="O149" s="38" t="n">
        <x:f>'Leverage Only Results'!N150</x:f>
        <x:v>15</x:v>
      </x:c>
      <x:c r="P149" s="21" t="n">
        <x:f>MIN(E149,K149)</x:f>
        <x:v>0.8691788866419158</x:v>
      </x:c>
      <x:c r="Q149" s="21" t="n">
        <x:f>AVERAGE(G149,M149)</x:f>
        <x:v>0.008418808489621399</x:v>
      </x:c>
      <x:c r="R149" s="38" t="n">
        <x:f>H149+N149</x:f>
        <x:v>2</x:v>
      </x:c>
      <x:c r="S149" t="str">
        <x:f>IF(AND(P149&gt;=75%,Q149&gt;0,R149&gt;=2),"YES","")</x:f>
        <x:v>YES</x:v>
      </x:c>
      <x:c r="T149" t="str">
        <x:f>IF(AND(P149&gt;=80%,Q149&gt;=5%),"Strong cross-mode risk reducer",IF(S149="YES","Balanced candidate","Mode-specific / fragile"))</x:f>
        <x:v>Balanced candidate</x:v>
      </x:c>
    </x:row>
    <x:row r="150">
      <x:c r="A150" t="n">
        <x:v>145</x:v>
      </x:c>
      <x:c r="B150" s="39" t="str">
        <x:v>High realized volatility</x:v>
      </x:c>
      <x:c r="C150" s="39" t="str">
        <x:v>Skip when 5-session daily realized volatility is at least 2.8%.</x:v>
      </x:c>
      <x:c r="D150" s="21" t="n">
        <x:f>'Protected Results'!F151</x:f>
        <x:v>6.230798863887709</x:v>
      </x:c>
      <x:c r="E150" s="21" t="n">
        <x:f>'Protected Results'!G151</x:f>
        <x:v>0.8667123584703064</x:v>
      </x:c>
      <x:c r="F150" s="21" t="n">
        <x:f>'Protected Results'!H151</x:f>
        <x:v>0.813430872658145</x:v>
      </x:c>
      <x:c r="G150" s="21" t="n">
        <x:f>'Protected Results'!I151</x:f>
        <x:v>0.000033408235502130346</x:v>
      </x:c>
      <x:c r="H150" s="38" t="n">
        <x:f>'Protected Results'!L151</x:f>
        <x:v>0</x:v>
      </x:c>
      <x:c r="I150" s="38" t="n">
        <x:f>'Protected Results'!N151</x:f>
        <x:v>4</x:v>
      </x:c>
      <x:c r="J150" s="21" t="n">
        <x:f>'Leverage Only Results'!F151</x:f>
        <x:v>3.798138492489138</x:v>
      </x:c>
      <x:c r="K150" s="21" t="n">
        <x:f>'Leverage Only Results'!G151</x:f>
        <x:v>0.9906001805454837</x:v>
      </x:c>
      <x:c r="L150" s="21" t="n">
        <x:f>'Leverage Only Results'!H151</x:f>
        <x:v>0.9107812639081152</x:v>
      </x:c>
      <x:c r="M150" s="21" t="n">
        <x:f>'Leverage Only Results'!I151</x:f>
        <x:v>0</x:v>
      </x:c>
      <x:c r="N150" s="38" t="n">
        <x:f>'Leverage Only Results'!L151</x:f>
        <x:v>1</x:v>
      </x:c>
      <x:c r="O150" s="38" t="n">
        <x:f>'Leverage Only Results'!N151</x:f>
        <x:v>8</x:v>
      </x:c>
      <x:c r="P150" s="21" t="n">
        <x:f>MIN(E150,K150)</x:f>
        <x:v>0.8667123584703064</x:v>
      </x:c>
      <x:c r="Q150" s="21" t="n">
        <x:f>AVERAGE(G150,M150)</x:f>
        <x:v>0.000016704117751065173</x:v>
      </x:c>
      <x:c r="R150" s="38" t="n">
        <x:f>H150+N150</x:f>
        <x:v>1</x:v>
      </x:c>
      <x:c r="S150" t="str">
        <x:f>IF(AND(P150&gt;=75%,Q150&gt;0,R150&gt;=2),"YES","")</x:f>
      </x:c>
      <x:c r="T150" t="str">
        <x:f>IF(AND(P150&gt;=80%,Q150&gt;=5%),"Strong cross-mode risk reducer",IF(S150="YES","Balanced candidate","Mode-specific / fragile"))</x:f>
        <x:v>Mode-specific / fragile</x:v>
      </x:c>
    </x:row>
    <x:row r="151">
      <x:c r="A151" t="n">
        <x:v>146</x:v>
      </x:c>
      <x:c r="B151" s="39" t="str">
        <x:v>High realized volatility</x:v>
      </x:c>
      <x:c r="C151" s="39" t="str">
        <x:v>Skip when 10-session daily realized volatility is at least 1.2%.</x:v>
      </x:c>
      <x:c r="D151" s="21" t="n">
        <x:f>'Protected Results'!F152</x:f>
        <x:v>1.5572614167012584</x:v>
      </x:c>
      <x:c r="E151" s="21" t="n">
        <x:f>'Protected Results'!G152</x:f>
        <x:v>0.216617121609638</x:v>
      </x:c>
      <x:c r="F151" s="21" t="n">
        <x:f>'Protected Results'!H152</x:f>
        <x:v>0.7455551382299841</x:v>
      </x:c>
      <x:c r="G151" s="21" t="n">
        <x:f>'Protected Results'!I152</x:f>
        <x:v>0.06790914266366299</x:v>
      </x:c>
      <x:c r="H151" s="38" t="n">
        <x:f>'Protected Results'!L152</x:f>
        <x:v>10</x:v>
      </x:c>
      <x:c r="I151" s="38" t="n">
        <x:f>'Protected Results'!N152</x:f>
        <x:v>144</x:v>
      </x:c>
      <x:c r="J151" s="21" t="n">
        <x:f>'Leverage Only Results'!F152</x:f>
        <x:v>1.1012577154717662</x:v>
      </x:c>
      <x:c r="K151" s="21" t="n">
        <x:f>'Leverage Only Results'!G152</x:f>
        <x:v>0.2872212516554406</x:v>
      </x:c>
      <x:c r="L151" s="21" t="n">
        <x:f>'Leverage Only Results'!H152</x:f>
        <x:v>0.9212783949507958</x:v>
      </x:c>
      <x:c r="M151" s="21" t="n">
        <x:f>'Leverage Only Results'!I152</x:f>
        <x:v>-0.010497131042680574</x:v>
      </x:c>
      <x:c r="N151" s="38" t="n">
        <x:f>'Leverage Only Results'!L152</x:f>
        <x:v>12</x:v>
      </x:c>
      <x:c r="O151" s="38" t="n">
        <x:f>'Leverage Only Results'!N152</x:f>
        <x:v>180</x:v>
      </x:c>
      <x:c r="P151" s="21" t="n">
        <x:f>MIN(E151,K151)</x:f>
        <x:v>0.216617121609638</x:v>
      </x:c>
      <x:c r="Q151" s="21" t="n">
        <x:f>AVERAGE(G151,M151)</x:f>
        <x:v>0.02870600581049121</x:v>
      </x:c>
      <x:c r="R151" s="38" t="n">
        <x:f>H151+N151</x:f>
        <x:v>22</x:v>
      </x:c>
      <x:c r="S151" t="str">
        <x:f>IF(AND(P151&gt;=75%,Q151&gt;0,R151&gt;=2),"YES","")</x:f>
      </x:c>
      <x:c r="T151" t="str">
        <x:f>IF(AND(P151&gt;=80%,Q151&gt;=5%),"Strong cross-mode risk reducer",IF(S151="YES","Balanced candidate","Mode-specific / fragile"))</x:f>
        <x:v>Mode-specific / fragile</x:v>
      </x:c>
    </x:row>
    <x:row r="152">
      <x:c r="A152" t="n">
        <x:v>147</x:v>
      </x:c>
      <x:c r="B152" s="39" t="str">
        <x:v>High realized volatility</x:v>
      </x:c>
      <x:c r="C152" s="39" t="str">
        <x:v>Skip when 10-session daily realized volatility is at least 1.6%.</x:v>
      </x:c>
      <x:c r="D152" s="21" t="n">
        <x:f>'Protected Results'!F153</x:f>
        <x:v>4.100166594753029</x:v>
      </x:c>
      <x:c r="E152" s="21" t="n">
        <x:f>'Protected Results'!G153</x:f>
        <x:v>0.5703385933472827</x:v>
      </x:c>
      <x:c r="F152" s="21" t="n">
        <x:f>'Protected Results'!H153</x:f>
        <x:v>0.6576157009170437</x:v>
      </x:c>
      <x:c r="G152" s="21" t="n">
        <x:f>'Protected Results'!I153</x:f>
        <x:v>0.1558485799766034</x:v>
      </x:c>
      <x:c r="H152" s="38" t="n">
        <x:f>'Protected Results'!L153</x:f>
        <x:v>8</x:v>
      </x:c>
      <x:c r="I152" s="38" t="n">
        <x:f>'Protected Results'!N153</x:f>
        <x:v>72</x:v>
      </x:c>
      <x:c r="J152" s="21" t="n">
        <x:f>'Leverage Only Results'!F153</x:f>
        <x:v>2.1760490295209385</x:v>
      </x:c>
      <x:c r="K152" s="21" t="n">
        <x:f>'Leverage Only Results'!G153</x:f>
        <x:v>0.5675397476374227</x:v>
      </x:c>
      <x:c r="L152" s="21" t="n">
        <x:f>'Leverage Only Results'!H153</x:f>
        <x:v>0.8754304801426647</x:v>
      </x:c>
      <x:c r="M152" s="21" t="n">
        <x:f>'Leverage Only Results'!I153</x:f>
        <x:v>0.03535078376545053</x:v>
      </x:c>
      <x:c r="N152" s="38" t="n">
        <x:f>'Leverage Only Results'!L153</x:f>
        <x:v>9</x:v>
      </x:c>
      <x:c r="O152" s="38" t="n">
        <x:f>'Leverage Only Results'!N153</x:f>
        <x:v>93</x:v>
      </x:c>
      <x:c r="P152" s="21" t="n">
        <x:f>MIN(E152,K152)</x:f>
        <x:v>0.5675397476374227</x:v>
      </x:c>
      <x:c r="Q152" s="21" t="n">
        <x:f>AVERAGE(G152,M152)</x:f>
        <x:v>0.09559968187102696</x:v>
      </x:c>
      <x:c r="R152" s="38" t="n">
        <x:f>H152+N152</x:f>
        <x:v>17</x:v>
      </x:c>
      <x:c r="S152" t="str">
        <x:f>IF(AND(P152&gt;=75%,Q152&gt;0,R152&gt;=2),"YES","")</x:f>
      </x:c>
      <x:c r="T152" t="str">
        <x:f>IF(AND(P152&gt;=80%,Q152&gt;=5%),"Strong cross-mode risk reducer",IF(S152="YES","Balanced candidate","Mode-specific / fragile"))</x:f>
        <x:v>Mode-specific / fragile</x:v>
      </x:c>
    </x:row>
    <x:row r="153">
      <x:c r="A153" t="n">
        <x:v>148</x:v>
      </x:c>
      <x:c r="B153" s="39" t="str">
        <x:v>High realized volatility</x:v>
      </x:c>
      <x:c r="C153" s="39" t="str">
        <x:v>Skip when 10-session daily realized volatility is at least 2.0%.</x:v>
      </x:c>
      <x:c r="D153" s="21" t="n">
        <x:f>'Protected Results'!F154</x:f>
        <x:v>5.766632375783979</x:v>
      </x:c>
      <x:c r="E153" s="21" t="n">
        <x:f>'Protected Results'!G154</x:f>
        <x:v>0.802146186392614</x:v>
      </x:c>
      <x:c r="F153" s="21" t="n">
        <x:f>'Protected Results'!H154</x:f>
        <x:v>0.6576200313191638</x:v>
      </x:c>
      <x:c r="G153" s="21" t="n">
        <x:f>'Protected Results'!I154</x:f>
        <x:v>0.15584424957448328</x:v>
      </x:c>
      <x:c r="H153" s="38" t="n">
        <x:f>'Protected Results'!L154</x:f>
        <x:v>4</x:v>
      </x:c>
      <x:c r="I153" s="38" t="n">
        <x:f>'Protected Results'!N154</x:f>
        <x:v>33</x:v>
      </x:c>
      <x:c r="J153" s="21" t="n">
        <x:f>'Leverage Only Results'!F154</x:f>
        <x:v>3.3630079402006965</x:v>
      </x:c>
      <x:c r="K153" s="21" t="n">
        <x:f>'Leverage Only Results'!G154</x:f>
        <x:v>0.8771129013137828</x:v>
      </x:c>
      <x:c r="L153" s="21" t="n">
        <x:f>'Leverage Only Results'!H154</x:f>
        <x:v>0.8928499627070678</x:v>
      </x:c>
      <x:c r="M153" s="21" t="n">
        <x:f>'Leverage Only Results'!I154</x:f>
        <x:v>0.017931301201047356</x:v>
      </x:c>
      <x:c r="N153" s="38" t="n">
        <x:f>'Leverage Only Results'!L154</x:f>
        <x:v>3</x:v>
      </x:c>
      <x:c r="O153" s="38" t="n">
        <x:f>'Leverage Only Results'!N154</x:f>
        <x:v>43</x:v>
      </x:c>
      <x:c r="P153" s="21" t="n">
        <x:f>MIN(E153,K153)</x:f>
        <x:v>0.802146186392614</x:v>
      </x:c>
      <x:c r="Q153" s="21" t="n">
        <x:f>AVERAGE(G153,M153)</x:f>
        <x:v>0.08688777538776532</x:v>
      </x:c>
      <x:c r="R153" s="38" t="n">
        <x:f>H153+N153</x:f>
        <x:v>7</x:v>
      </x:c>
      <x:c r="S153" t="str">
        <x:f>IF(AND(P153&gt;=75%,Q153&gt;0,R153&gt;=2),"YES","")</x:f>
        <x:v>YES</x:v>
      </x:c>
      <x:c r="T153" t="str">
        <x:f>IF(AND(P153&gt;=80%,Q153&gt;=5%),"Strong cross-mode risk reducer",IF(S153="YES","Balanced candidate","Mode-specific / fragile"))</x:f>
        <x:v>Strong cross-mode risk reducer</x:v>
      </x:c>
    </x:row>
    <x:row r="154">
      <x:c r="A154" t="n">
        <x:v>149</x:v>
      </x:c>
      <x:c r="B154" s="39" t="str">
        <x:v>High realized volatility</x:v>
      </x:c>
      <x:c r="C154" s="39" t="str">
        <x:v>Skip when 10-session daily realized volatility is at least 2.4%.</x:v>
      </x:c>
      <x:c r="D154" s="21" t="n">
        <x:f>'Protected Results'!F155</x:f>
        <x:v>6.2322141691742585</x:v>
      </x:c>
      <x:c r="E154" s="21" t="n">
        <x:f>'Protected Results'!G155</x:f>
        <x:v>0.8669092293065599</x:v>
      </x:c>
      <x:c r="F154" s="21" t="n">
        <x:f>'Protected Results'!H155</x:f>
        <x:v>0.8133546246448449</x:v>
      </x:c>
      <x:c r="G154" s="21" t="n">
        <x:f>'Protected Results'!I155</x:f>
        <x:v>0.00010965624880221458</x:v>
      </x:c>
      <x:c r="H154" s="38" t="n">
        <x:f>'Protected Results'!L155</x:f>
        <x:v>2</x:v>
      </x:c>
      <x:c r="I154" s="38" t="n">
        <x:f>'Protected Results'!N155</x:f>
        <x:v>13</x:v>
      </x:c>
      <x:c r="J154" s="21" t="n">
        <x:f>'Leverage Only Results'!F155</x:f>
        <x:v>3.610049474252504</x:v>
      </x:c>
      <x:c r="K154" s="21" t="n">
        <x:f>'Leverage Only Results'!G155</x:f>
        <x:v>0.9415443033592557</x:v>
      </x:c>
      <x:c r="L154" s="21" t="n">
        <x:f>'Leverage Only Results'!H155</x:f>
        <x:v>0.9107812639081152</x:v>
      </x:c>
      <x:c r="M154" s="21" t="n">
        <x:f>'Leverage Only Results'!I155</x:f>
        <x:v>0</x:v>
      </x:c>
      <x:c r="N154" s="38" t="n">
        <x:f>'Leverage Only Results'!L155</x:f>
        <x:v>2</x:v>
      </x:c>
      <x:c r="O154" s="38" t="n">
        <x:f>'Leverage Only Results'!N155</x:f>
        <x:v>18</x:v>
      </x:c>
      <x:c r="P154" s="21" t="n">
        <x:f>MIN(E154,K154)</x:f>
        <x:v>0.8669092293065599</x:v>
      </x:c>
      <x:c r="Q154" s="21" t="n">
        <x:f>AVERAGE(G154,M154)</x:f>
        <x:v>0.00005482812440110729</x:v>
      </x:c>
      <x:c r="R154" s="38" t="n">
        <x:f>H154+N154</x:f>
        <x:v>4</x:v>
      </x:c>
      <x:c r="S154" t="str">
        <x:f>IF(AND(P154&gt;=75%,Q154&gt;0,R154&gt;=2),"YES","")</x:f>
        <x:v>YES</x:v>
      </x:c>
      <x:c r="T154" t="str">
        <x:f>IF(AND(P154&gt;=80%,Q154&gt;=5%),"Strong cross-mode risk reducer",IF(S154="YES","Balanced candidate","Mode-specific / fragile"))</x:f>
        <x:v>Balanced candidate</x:v>
      </x:c>
    </x:row>
    <x:row r="155">
      <x:c r="A155" t="n">
        <x:v>150</x:v>
      </x:c>
      <x:c r="B155" s="39" t="str">
        <x:v>High realized volatility</x:v>
      </x:c>
      <x:c r="C155" s="39" t="str">
        <x:v>Skip when 10-session daily realized volatility is at least 2.8%.</x:v>
      </x:c>
      <x:c r="D155" s="21" t="n">
        <x:f>'Protected Results'!F156</x:f>
        <x:v>6.00549730705806</x:v>
      </x:c>
      <x:c r="E155" s="21" t="n">
        <x:f>'Protected Results'!G156</x:f>
        <x:v>0.8353726140887943</x:v>
      </x:c>
      <x:c r="F155" s="21" t="n">
        <x:f>'Protected Results'!H156</x:f>
        <x:v>0.8133546246448449</x:v>
      </x:c>
      <x:c r="G155" s="21" t="n">
        <x:f>'Protected Results'!I156</x:f>
        <x:v>0.00010965624880221458</x:v>
      </x:c>
      <x:c r="H155" s="38" t="n">
        <x:f>'Protected Results'!L156</x:f>
        <x:v>0</x:v>
      </x:c>
      <x:c r="I155" s="38" t="n">
        <x:f>'Protected Results'!N156</x:f>
        <x:v>6</x:v>
      </x:c>
      <x:c r="J155" s="21" t="n">
        <x:f>'Leverage Only Results'!F156</x:f>
        <x:v>3.5129264406155256</x:v>
      </x:c>
      <x:c r="K155" s="21" t="n">
        <x:f>'Leverage Only Results'!G156</x:f>
        <x:v>0.9162134485612612</x:v>
      </x:c>
      <x:c r="L155" s="21" t="n">
        <x:f>'Leverage Only Results'!H156</x:f>
        <x:v>0.9107812639081152</x:v>
      </x:c>
      <x:c r="M155" s="21" t="n">
        <x:f>'Leverage Only Results'!I156</x:f>
        <x:v>0</x:v>
      </x:c>
      <x:c r="N155" s="38" t="n">
        <x:f>'Leverage Only Results'!L156</x:f>
        <x:v>1</x:v>
      </x:c>
      <x:c r="O155" s="38" t="n">
        <x:f>'Leverage Only Results'!N156</x:f>
        <x:v>9</x:v>
      </x:c>
      <x:c r="P155" s="21" t="n">
        <x:f>MIN(E155,K155)</x:f>
        <x:v>0.8353726140887943</x:v>
      </x:c>
      <x:c r="Q155" s="21" t="n">
        <x:f>AVERAGE(G155,M155)</x:f>
        <x:v>0.00005482812440110729</x:v>
      </x:c>
      <x:c r="R155" s="38" t="n">
        <x:f>H155+N155</x:f>
        <x:v>1</x:v>
      </x:c>
      <x:c r="S155" t="str">
        <x:f>IF(AND(P155&gt;=75%,Q155&gt;0,R155&gt;=2),"YES","")</x:f>
      </x:c>
      <x:c r="T155" t="str">
        <x:f>IF(AND(P155&gt;=80%,Q155&gt;=5%),"Strong cross-mode risk reducer",IF(S155="YES","Balanced candidate","Mode-specific / fragile"))</x:f>
        <x:v>Mode-specific / fragile</x:v>
      </x:c>
    </x:row>
    <x:row r="156">
      <x:c r="A156" t="n">
        <x:v>151</x:v>
      </x:c>
      <x:c r="B156" s="39" t="str">
        <x:v>High realized volatility</x:v>
      </x:c>
      <x:c r="C156" s="39" t="str">
        <x:v>Skip when 20-session daily realized volatility is at least 1.2%.</x:v>
      </x:c>
      <x:c r="D156" s="21" t="n">
        <x:f>'Protected Results'!F157</x:f>
        <x:v>0.8687443025831516</x:v>
      </x:c>
      <x:c r="E156" s="21" t="n">
        <x:f>'Protected Results'!G157</x:f>
        <x:v>0.12084348088387506</x:v>
      </x:c>
      <x:c r="F156" s="21" t="n">
        <x:f>'Protected Results'!H157</x:f>
        <x:v>0.7800157859595129</x:v>
      </x:c>
      <x:c r="G156" s="21" t="n">
        <x:f>'Protected Results'!I157</x:f>
        <x:v>0.033448494934134154</x:v>
      </x:c>
      <x:c r="H156" s="38" t="n">
        <x:f>'Protected Results'!L157</x:f>
        <x:v>9</x:v>
      </x:c>
      <x:c r="I156" s="38" t="n">
        <x:f>'Protected Results'!N157</x:f>
        <x:v>152</x:v>
      </x:c>
      <x:c r="J156" s="21" t="n">
        <x:f>'Leverage Only Results'!F157</x:f>
        <x:v>0.5929254953735028</x:v>
      </x:c>
      <x:c r="K156" s="21" t="n">
        <x:f>'Leverage Only Results'!G157</x:f>
        <x:v>0.15464209741917195</x:v>
      </x:c>
      <x:c r="L156" s="21" t="n">
        <x:f>'Leverage Only Results'!H157</x:f>
        <x:v>0.9258132721767077</x:v>
      </x:c>
      <x:c r="M156" s="21" t="n">
        <x:f>'Leverage Only Results'!I157</x:f>
        <x:v>-0.015032008268592523</x:v>
      </x:c>
      <x:c r="N156" s="38" t="n">
        <x:f>'Leverage Only Results'!L157</x:f>
        <x:v>12</x:v>
      </x:c>
      <x:c r="O156" s="38" t="n">
        <x:f>'Leverage Only Results'!N157</x:f>
        <x:v>190</x:v>
      </x:c>
      <x:c r="P156" s="21" t="n">
        <x:f>MIN(E156,K156)</x:f>
        <x:v>0.12084348088387506</x:v>
      </x:c>
      <x:c r="Q156" s="21" t="n">
        <x:f>AVERAGE(G156,M156)</x:f>
        <x:v>0.009208243332770816</x:v>
      </x:c>
      <x:c r="R156" s="38" t="n">
        <x:f>H156+N156</x:f>
        <x:v>21</x:v>
      </x:c>
      <x:c r="S156" t="str">
        <x:f>IF(AND(P156&gt;=75%,Q156&gt;0,R156&gt;=2),"YES","")</x:f>
      </x:c>
      <x:c r="T156" t="str">
        <x:f>IF(AND(P156&gt;=80%,Q156&gt;=5%),"Strong cross-mode risk reducer",IF(S156="YES","Balanced candidate","Mode-specific / fragile"))</x:f>
        <x:v>Mode-specific / fragile</x:v>
      </x:c>
    </x:row>
    <x:row r="157">
      <x:c r="A157" t="n">
        <x:v>152</x:v>
      </x:c>
      <x:c r="B157" s="39" t="str">
        <x:v>High realized volatility</x:v>
      </x:c>
      <x:c r="C157" s="39" t="str">
        <x:v>Skip when 20-session daily realized volatility is at least 1.6%.</x:v>
      </x:c>
      <x:c r="D157" s="21" t="n">
        <x:f>'Protected Results'!F158</x:f>
        <x:v>3.560315955859295</x:v>
      </x:c>
      <x:c r="E157" s="21" t="n">
        <x:f>'Protected Results'!G158</x:f>
        <x:v>0.4952446558476943</x:v>
      </x:c>
      <x:c r="F157" s="21" t="n">
        <x:f>'Protected Results'!H158</x:f>
        <x:v>0.6589553175179431</x:v>
      </x:c>
      <x:c r="G157" s="21" t="n">
        <x:f>'Protected Results'!I158</x:f>
        <x:v>0.15450896337570397</x:v>
      </x:c>
      <x:c r="H157" s="38" t="n">
        <x:f>'Protected Results'!L158</x:f>
        <x:v>7</x:v>
      </x:c>
      <x:c r="I157" s="38" t="n">
        <x:f>'Protected Results'!N158</x:f>
        <x:v>76</x:v>
      </x:c>
      <x:c r="J157" s="21" t="n">
        <x:f>'Leverage Only Results'!F158</x:f>
        <x:v>2.027432809270879</x:v>
      </x:c>
      <x:c r="K157" s="21" t="n">
        <x:f>'Leverage Only Results'!G158</x:f>
        <x:v>0.528778850713094</x:v>
      </x:c>
      <x:c r="L157" s="21" t="n">
        <x:f>'Leverage Only Results'!H158</x:f>
        <x:v>0.8949592992247919</x:v>
      </x:c>
      <x:c r="M157" s="21" t="n">
        <x:f>'Leverage Only Results'!I158</x:f>
        <x:v>0.01582196468332331</x:v>
      </x:c>
      <x:c r="N157" s="38" t="n">
        <x:f>'Leverage Only Results'!L158</x:f>
        <x:v>9</x:v>
      </x:c>
      <x:c r="O157" s="38" t="n">
        <x:f>'Leverage Only Results'!N158</x:f>
        <x:v>98</x:v>
      </x:c>
      <x:c r="P157" s="21" t="n">
        <x:f>MIN(E157,K157)</x:f>
        <x:v>0.4952446558476943</x:v>
      </x:c>
      <x:c r="Q157" s="21" t="n">
        <x:f>AVERAGE(G157,M157)</x:f>
        <x:v>0.08516546402951364</x:v>
      </x:c>
      <x:c r="R157" s="38" t="n">
        <x:f>H157+N157</x:f>
        <x:v>16</x:v>
      </x:c>
      <x:c r="S157" t="str">
        <x:f>IF(AND(P157&gt;=75%,Q157&gt;0,R157&gt;=2),"YES","")</x:f>
      </x:c>
      <x:c r="T157" t="str">
        <x:f>IF(AND(P157&gt;=80%,Q157&gt;=5%),"Strong cross-mode risk reducer",IF(S157="YES","Balanced candidate","Mode-specific / fragile"))</x:f>
        <x:v>Mode-specific / fragile</x:v>
      </x:c>
    </x:row>
    <x:row r="158">
      <x:c r="A158" t="n">
        <x:v>153</x:v>
      </x:c>
      <x:c r="B158" s="39" t="str">
        <x:v>High realized volatility</x:v>
      </x:c>
      <x:c r="C158" s="39" t="str">
        <x:v>Skip when 20-session daily realized volatility is at least 2.0%.</x:v>
      </x:c>
      <x:c r="D158" s="21" t="n">
        <x:f>'Protected Results'!F159</x:f>
        <x:v>6.210792396603969</x:v>
      </x:c>
      <x:c r="E158" s="21" t="n">
        <x:f>'Protected Results'!G159</x:f>
        <x:v>0.8639294324245553</x:v>
      </x:c>
      <x:c r="F158" s="21" t="n">
        <x:f>'Protected Results'!H159</x:f>
        <x:v>0.8131896829670324</x:v>
      </x:c>
      <x:c r="G158" s="21" t="n">
        <x:f>'Protected Results'!I159</x:f>
        <x:v>0.0002745979266146614</x:v>
      </x:c>
      <x:c r="H158" s="38" t="n">
        <x:f>'Protected Results'!L159</x:f>
        <x:v>5</x:v>
      </x:c>
      <x:c r="I158" s="38" t="n">
        <x:f>'Protected Results'!N159</x:f>
        <x:v>31</x:v>
      </x:c>
      <x:c r="J158" s="21" t="n">
        <x:f>'Leverage Only Results'!F159</x:f>
        <x:v>3.4305474201123163</x:v>
      </x:c>
      <x:c r="K158" s="21" t="n">
        <x:f>'Leverage Only Results'!G159</x:f>
        <x:v>0.894728009642956</x:v>
      </x:c>
      <x:c r="L158" s="21" t="n">
        <x:f>'Leverage Only Results'!H159</x:f>
        <x:v>0.9241061973793658</x:v>
      </x:c>
      <x:c r="M158" s="21" t="n">
        <x:f>'Leverage Only Results'!I159</x:f>
        <x:v>-0.013324933471250633</x:v>
      </x:c>
      <x:c r="N158" s="38" t="n">
        <x:f>'Leverage Only Results'!L159</x:f>
        <x:v>5</x:v>
      </x:c>
      <x:c r="O158" s="38" t="n">
        <x:f>'Leverage Only Results'!N159</x:f>
        <x:v>43</x:v>
      </x:c>
      <x:c r="P158" s="21" t="n">
        <x:f>MIN(E158,K158)</x:f>
        <x:v>0.8639294324245553</x:v>
      </x:c>
      <x:c r="Q158" s="21" t="n">
        <x:f>AVERAGE(G158,M158)</x:f>
        <x:v>-0.006525167772317986</x:v>
      </x:c>
      <x:c r="R158" s="38" t="n">
        <x:f>H158+N158</x:f>
        <x:v>10</x:v>
      </x:c>
      <x:c r="S158" t="str">
        <x:f>IF(AND(P158&gt;=75%,Q158&gt;0,R158&gt;=2),"YES","")</x:f>
      </x:c>
      <x:c r="T158" t="str">
        <x:f>IF(AND(P158&gt;=80%,Q158&gt;=5%),"Strong cross-mode risk reducer",IF(S158="YES","Balanced candidate","Mode-specific / fragile"))</x:f>
        <x:v>Mode-specific / fragile</x:v>
      </x:c>
    </x:row>
    <x:row r="159">
      <x:c r="A159" t="n">
        <x:v>154</x:v>
      </x:c>
      <x:c r="B159" s="39" t="str">
        <x:v>High realized volatility</x:v>
      </x:c>
      <x:c r="C159" s="39" t="str">
        <x:v>Skip when 20-session daily realized volatility is at least 2.4%.</x:v>
      </x:c>
      <x:c r="D159" s="21" t="n">
        <x:f>'Protected Results'!F160</x:f>
        <x:v>6.541899796309807</x:v>
      </x:c>
      <x:c r="E159" s="21" t="n">
        <x:f>'Protected Results'!G160</x:f>
        <x:v>0.9099869094150675</x:v>
      </x:c>
      <x:c r="F159" s="21" t="n">
        <x:f>'Protected Results'!H160</x:f>
        <x:v>0.8134239567632114</x:v>
      </x:c>
      <x:c r="G159" s="21" t="n">
        <x:f>'Protected Results'!I160</x:f>
        <x:v>0.00004032413043564276</x:v>
      </x:c>
      <x:c r="H159" s="38" t="n">
        <x:f>'Protected Results'!L160</x:f>
        <x:v>1</x:v>
      </x:c>
      <x:c r="I159" s="38" t="n">
        <x:f>'Protected Results'!N160</x:f>
        <x:v>11</x:v>
      </x:c>
      <x:c r="J159" s="21" t="n">
        <x:f>'Leverage Only Results'!F160</x:f>
        <x:v>3.7665855725018442</x:v>
      </x:c>
      <x:c r="K159" s="21" t="n">
        <x:f>'Leverage Only Results'!G160</x:f>
        <x:v>0.9823707996795779</x:v>
      </x:c>
      <x:c r="L159" s="21" t="n">
        <x:f>'Leverage Only Results'!H160</x:f>
        <x:v>0.9107812639081152</x:v>
      </x:c>
      <x:c r="M159" s="21" t="n">
        <x:f>'Leverage Only Results'!I160</x:f>
        <x:v>0</x:v>
      </x:c>
      <x:c r="N159" s="38" t="n">
        <x:f>'Leverage Only Results'!L160</x:f>
        <x:v>2</x:v>
      </x:c>
      <x:c r="O159" s="38" t="n">
        <x:f>'Leverage Only Results'!N160</x:f>
        <x:v>15</x:v>
      </x:c>
      <x:c r="P159" s="21" t="n">
        <x:f>MIN(E159,K159)</x:f>
        <x:v>0.9099869094150675</x:v>
      </x:c>
      <x:c r="Q159" s="21" t="n">
        <x:f>AVERAGE(G159,M159)</x:f>
        <x:v>0.00002016206521782138</x:v>
      </x:c>
      <x:c r="R159" s="38" t="n">
        <x:f>H159+N159</x:f>
        <x:v>3</x:v>
      </x:c>
      <x:c r="S159" t="str">
        <x:f>IF(AND(P159&gt;=75%,Q159&gt;0,R159&gt;=2),"YES","")</x:f>
        <x:v>YES</x:v>
      </x:c>
      <x:c r="T159" t="str">
        <x:f>IF(AND(P159&gt;=80%,Q159&gt;=5%),"Strong cross-mode risk reducer",IF(S159="YES","Balanced candidate","Mode-specific / fragile"))</x:f>
        <x:v>Balanced candidate</x:v>
      </x:c>
    </x:row>
    <x:row r="160">
      <x:c r="A160" t="n">
        <x:v>155</x:v>
      </x:c>
      <x:c r="B160" s="39" t="str">
        <x:v>High realized volatility</x:v>
      </x:c>
      <x:c r="C160" s="39" t="str">
        <x:v>Skip when 20-session daily realized volatility is at least 2.8%.</x:v>
      </x:c>
      <x:c r="D160" s="21" t="n">
        <x:f>'Protected Results'!F161</x:f>
        <x:v>6.1831839638813655</x:v>
      </x:c>
      <x:c r="E160" s="21" t="n">
        <x:f>'Protected Results'!G161</x:f>
        <x:v>0.8600890629372074</x:v>
      </x:c>
      <x:c r="F160" s="21" t="n">
        <x:f>'Protected Results'!H161</x:f>
        <x:v>0.8134308007628805</x:v>
      </x:c>
      <x:c r="G160" s="21" t="n">
        <x:f>'Protected Results'!I161</x:f>
        <x:v>0.000033480130766538885</x:v>
      </x:c>
      <x:c r="H160" s="38" t="n">
        <x:f>'Protected Results'!L161</x:f>
        <x:v>0</x:v>
      </x:c>
      <x:c r="I160" s="38" t="n">
        <x:f>'Protected Results'!N161</x:f>
        <x:v>5</x:v>
      </x:c>
      <x:c r="J160" s="21" t="n">
        <x:f>'Leverage Only Results'!F161</x:f>
        <x:v>3.6083520303018792</x:v>
      </x:c>
      <x:c r="K160" s="21" t="n">
        <x:f>'Leverage Only Results'!G161</x:f>
        <x:v>0.9411015895700455</x:v>
      </x:c>
      <x:c r="L160" s="21" t="n">
        <x:f>'Leverage Only Results'!H161</x:f>
        <x:v>0.9107812639081152</x:v>
      </x:c>
      <x:c r="M160" s="21" t="n">
        <x:f>'Leverage Only Results'!I161</x:f>
        <x:v>0</x:v>
      </x:c>
      <x:c r="N160" s="38" t="n">
        <x:f>'Leverage Only Results'!L161</x:f>
        <x:v>1</x:v>
      </x:c>
      <x:c r="O160" s="38" t="n">
        <x:f>'Leverage Only Results'!N161</x:f>
        <x:v>8</x:v>
      </x:c>
      <x:c r="P160" s="21" t="n">
        <x:f>MIN(E160,K160)</x:f>
        <x:v>0.8600890629372074</x:v>
      </x:c>
      <x:c r="Q160" s="21" t="n">
        <x:f>AVERAGE(G160,M160)</x:f>
        <x:v>0.000016740065383269442</x:v>
      </x:c>
      <x:c r="R160" s="38" t="n">
        <x:f>H160+N160</x:f>
        <x:v>1</x:v>
      </x:c>
      <x:c r="S160" t="str">
        <x:f>IF(AND(P160&gt;=75%,Q160&gt;0,R160&gt;=2),"YES","")</x:f>
      </x:c>
      <x:c r="T160" t="str">
        <x:f>IF(AND(P160&gt;=80%,Q160&gt;=5%),"Strong cross-mode risk reducer",IF(S160="YES","Balanced candidate","Mode-specific / fragile"))</x:f>
        <x:v>Mode-specific / fragile</x:v>
      </x:c>
    </x:row>
    <x:row r="161">
      <x:c r="A161" t="n">
        <x:v>156</x:v>
      </x:c>
      <x:c r="B161" s="39" t="str">
        <x:v>Full premarket decline</x:v>
      </x:c>
      <x:c r="C161" s="39" t="str">
        <x:v>Skip when the full premarket return is -0.2% or worse.</x:v>
      </x:c>
      <x:c r="D161" s="21" t="n">
        <x:f>'Protected Results'!F162</x:f>
        <x:v>2.648466890002517</x:v>
      </x:c>
      <x:c r="E161" s="21" t="n">
        <x:f>'Protected Results'!G162</x:f>
        <x:v>0.3684052454121985</x:v>
      </x:c>
      <x:c r="F161" s="21" t="n">
        <x:f>'Protected Results'!H162</x:f>
        <x:v>0.7508155905483211</x:v>
      </x:c>
      <x:c r="G161" s="21" t="n">
        <x:f>'Protected Results'!I162</x:f>
        <x:v>0.06264869034532594</x:v>
      </x:c>
      <x:c r="H161" s="38" t="n">
        <x:f>'Protected Results'!L162</x:f>
        <x:v>3</x:v>
      </x:c>
      <x:c r="I161" s="38" t="n">
        <x:f>'Protected Results'!N162</x:f>
        <x:v>106</x:v>
      </x:c>
      <x:c r="J161" s="21" t="n">
        <x:f>'Leverage Only Results'!F162</x:f>
        <x:v>1.6055012171923475</x:v>
      </x:c>
      <x:c r="K161" s="21" t="n">
        <x:f>'Leverage Only Results'!G162</x:f>
        <x:v>0.4187340189837171</x:v>
      </x:c>
      <x:c r="L161" s="21" t="n">
        <x:f>'Leverage Only Results'!H162</x:f>
        <x:v>0.8601394429879853</x:v>
      </x:c>
      <x:c r="M161" s="21" t="n">
        <x:f>'Leverage Only Results'!I162</x:f>
        <x:v>0.05064182092012992</x:v>
      </x:c>
      <x:c r="N161" s="38" t="n">
        <x:f>'Leverage Only Results'!L162</x:f>
        <x:v>8</x:v>
      </x:c>
      <x:c r="O161" s="38" t="n">
        <x:f>'Leverage Only Results'!N162</x:f>
        <x:v>138</x:v>
      </x:c>
      <x:c r="P161" s="21" t="n">
        <x:f>MIN(E161,K161)</x:f>
        <x:v>0.3684052454121985</x:v>
      </x:c>
      <x:c r="Q161" s="21" t="n">
        <x:f>AVERAGE(G161,M161)</x:f>
        <x:v>0.05664525563272793</x:v>
      </x:c>
      <x:c r="R161" s="38" t="n">
        <x:f>H161+N161</x:f>
        <x:v>11</x:v>
      </x:c>
      <x:c r="S161" t="str">
        <x:f>IF(AND(P161&gt;=75%,Q161&gt;0,R161&gt;=2),"YES","")</x:f>
      </x:c>
      <x:c r="T161" t="str">
        <x:f>IF(AND(P161&gt;=80%,Q161&gt;=5%),"Strong cross-mode risk reducer",IF(S161="YES","Balanced candidate","Mode-specific / fragile"))</x:f>
        <x:v>Mode-specific / fragile</x:v>
      </x:c>
    </x:row>
    <x:row r="162">
      <x:c r="A162" t="n">
        <x:v>157</x:v>
      </x:c>
      <x:c r="B162" s="39" t="str">
        <x:v>Full premarket decline</x:v>
      </x:c>
      <x:c r="C162" s="39" t="str">
        <x:v>Skip when the full premarket return is -0.4% or worse.</x:v>
      </x:c>
      <x:c r="D162" s="21" t="n">
        <x:f>'Protected Results'!F163</x:f>
        <x:v>3.632746043649746</x:v>
      </x:c>
      <x:c r="E162" s="21" t="n">
        <x:f>'Protected Results'!G163</x:f>
        <x:v>0.5053197768048012</x:v>
      </x:c>
      <x:c r="F162" s="21" t="n">
        <x:f>'Protected Results'!H163</x:f>
        <x:v>0.7509583819767432</x:v>
      </x:c>
      <x:c r="G162" s="21" t="n">
        <x:f>'Protected Results'!I163</x:f>
        <x:v>0.06250589891690383</x:v>
      </x:c>
      <x:c r="H162" s="38" t="n">
        <x:f>'Protected Results'!L163</x:f>
        <x:v>3</x:v>
      </x:c>
      <x:c r="I162" s="38" t="n">
        <x:f>'Protected Results'!N163</x:f>
        <x:v>66</x:v>
      </x:c>
      <x:c r="J162" s="21" t="n">
        <x:f>'Leverage Only Results'!F163</x:f>
        <x:v>2.107686444472035</x:v>
      </x:c>
      <x:c r="K162" s="21" t="n">
        <x:f>'Leverage Only Results'!G163</x:f>
        <x:v>0.5497099635929712</x:v>
      </x:c>
      <x:c r="L162" s="21" t="n">
        <x:f>'Leverage Only Results'!H163</x:f>
        <x:v>0.8869492608939595</x:v>
      </x:c>
      <x:c r="M162" s="21" t="n">
        <x:f>'Leverage Only Results'!I163</x:f>
        <x:v>0.023832003014155667</x:v>
      </x:c>
      <x:c r="N162" s="38" t="n">
        <x:f>'Leverage Only Results'!L163</x:f>
        <x:v>7</x:v>
      </x:c>
      <x:c r="O162" s="38" t="n">
        <x:f>'Leverage Only Results'!N163</x:f>
        <x:v>97</x:v>
      </x:c>
      <x:c r="P162" s="21" t="n">
        <x:f>MIN(E162,K162)</x:f>
        <x:v>0.5053197768048012</x:v>
      </x:c>
      <x:c r="Q162" s="21" t="n">
        <x:f>AVERAGE(G162,M162)</x:f>
        <x:v>0.04316895096552975</x:v>
      </x:c>
      <x:c r="R162" s="38" t="n">
        <x:f>H162+N162</x:f>
        <x:v>10</x:v>
      </x:c>
      <x:c r="S162" t="str">
        <x:f>IF(AND(P162&gt;=75%,Q162&gt;0,R162&gt;=2),"YES","")</x:f>
      </x:c>
      <x:c r="T162" t="str">
        <x:f>IF(AND(P162&gt;=80%,Q162&gt;=5%),"Strong cross-mode risk reducer",IF(S162="YES","Balanced candidate","Mode-specific / fragile"))</x:f>
        <x:v>Mode-specific / fragile</x:v>
      </x:c>
    </x:row>
    <x:row r="163">
      <x:c r="A163" t="n">
        <x:v>158</x:v>
      </x:c>
      <x:c r="B163" s="39" t="str">
        <x:v>Full premarket decline</x:v>
      </x:c>
      <x:c r="C163" s="39" t="str">
        <x:v>Skip when the full premarket return is -0.6% or worse.</x:v>
      </x:c>
      <x:c r="D163" s="21" t="n">
        <x:f>'Protected Results'!F164</x:f>
        <x:v>4.605158789830975</x:v>
      </x:c>
      <x:c r="E163" s="21" t="n">
        <x:f>'Protected Results'!G164</x:f>
        <x:v>0.6405836752326592</x:v>
      </x:c>
      <x:c r="F163" s="21" t="n">
        <x:f>'Protected Results'!H164</x:f>
        <x:v>0.8018244631961264</x:v>
      </x:c>
      <x:c r="G163" s="21" t="n">
        <x:f>'Protected Results'!I164</x:f>
        <x:v>0.011639817697520649</x:v>
      </x:c>
      <x:c r="H163" s="38" t="n">
        <x:f>'Protected Results'!L164</x:f>
        <x:v>2</x:v>
      </x:c>
      <x:c r="I163" s="38" t="n">
        <x:f>'Protected Results'!N164</x:f>
        <x:v>45</x:v>
      </x:c>
      <x:c r="J163" s="21" t="n">
        <x:f>'Leverage Only Results'!F164</x:f>
        <x:v>2.008972387671063</x:v>
      </x:c>
      <x:c r="K163" s="21" t="n">
        <x:f>'Leverage Only Results'!G164</x:f>
        <x:v>0.5239641508263242</x:v>
      </x:c>
      <x:c r="L163" s="21" t="n">
        <x:f>'Leverage Only Results'!H164</x:f>
        <x:v>0.8869491492428038</x:v>
      </x:c>
      <x:c r="M163" s="21" t="n">
        <x:f>'Leverage Only Results'!I164</x:f>
        <x:v>0.023832114665311432</x:v>
      </x:c>
      <x:c r="N163" s="38" t="n">
        <x:f>'Leverage Only Results'!L164</x:f>
        <x:v>4</x:v>
      </x:c>
      <x:c r="O163" s="38" t="n">
        <x:f>'Leverage Only Results'!N164</x:f>
        <x:v>70</x:v>
      </x:c>
      <x:c r="P163" s="21" t="n">
        <x:f>MIN(E163,K163)</x:f>
        <x:v>0.5239641508263242</x:v>
      </x:c>
      <x:c r="Q163" s="21" t="n">
        <x:f>AVERAGE(G163,M163)</x:f>
        <x:v>0.01773596618141604</x:v>
      </x:c>
      <x:c r="R163" s="38" t="n">
        <x:f>H163+N163</x:f>
        <x:v>6</x:v>
      </x:c>
      <x:c r="S163" t="str">
        <x:f>IF(AND(P163&gt;=75%,Q163&gt;0,R163&gt;=2),"YES","")</x:f>
      </x:c>
      <x:c r="T163" t="str">
        <x:f>IF(AND(P163&gt;=80%,Q163&gt;=5%),"Strong cross-mode risk reducer",IF(S163="YES","Balanced candidate","Mode-specific / fragile"))</x:f>
        <x:v>Mode-specific / fragile</x:v>
      </x:c>
    </x:row>
    <x:row r="164">
      <x:c r="A164" t="n">
        <x:v>159</x:v>
      </x:c>
      <x:c r="B164" s="39" t="str">
        <x:v>Full premarket decline</x:v>
      </x:c>
      <x:c r="C164" s="39" t="str">
        <x:v>Skip when the full premarket return is -0.8% or worse.</x:v>
      </x:c>
      <x:c r="D164" s="21" t="n">
        <x:f>'Protected Results'!F165</x:f>
        <x:v>5.195590038922684</x:v>
      </x:c>
      <x:c r="E164" s="21" t="n">
        <x:f>'Protected Results'!G165</x:f>
        <x:v>0.7227134424733799</x:v>
      </x:c>
      <x:c r="F164" s="21" t="n">
        <x:f>'Protected Results'!H165</x:f>
        <x:v>0.8303557512354751</x:v>
      </x:c>
      <x:c r="G164" s="21" t="n">
        <x:f>'Protected Results'!I165</x:f>
        <x:v>-0.01689147034182803</x:v>
      </x:c>
      <x:c r="H164" s="38" t="n">
        <x:f>'Protected Results'!L165</x:f>
        <x:v>0</x:v>
      </x:c>
      <x:c r="I164" s="38" t="n">
        <x:f>'Protected Results'!N165</x:f>
        <x:v>24</x:v>
      </x:c>
      <x:c r="J164" s="21" t="n">
        <x:f>'Leverage Only Results'!F165</x:f>
        <x:v>2.3081378295771047</x:v>
      </x:c>
      <x:c r="K164" s="21" t="n">
        <x:f>'Leverage Only Results'!G165</x:f>
        <x:v>0.601990094680435</x:v>
      </x:c>
      <x:c r="L164" s="21" t="n">
        <x:f>'Leverage Only Results'!H165</x:f>
        <x:v>0.8871497448396081</x:v>
      </x:c>
      <x:c r="M164" s="21" t="n">
        <x:f>'Leverage Only Results'!I165</x:f>
        <x:v>0.023631519068507134</x:v>
      </x:c>
      <x:c r="N164" s="38" t="n">
        <x:f>'Leverage Only Results'!L165</x:f>
        <x:v>2</x:v>
      </x:c>
      <x:c r="O164" s="38" t="n">
        <x:f>'Leverage Only Results'!N165</x:f>
        <x:v>48</x:v>
      </x:c>
      <x:c r="P164" s="21" t="n">
        <x:f>MIN(E164,K164)</x:f>
        <x:v>0.601990094680435</x:v>
      </x:c>
      <x:c r="Q164" s="21" t="n">
        <x:f>AVERAGE(G164,M164)</x:f>
        <x:v>0.003370024363339552</x:v>
      </x:c>
      <x:c r="R164" s="38" t="n">
        <x:f>H164+N164</x:f>
        <x:v>2</x:v>
      </x:c>
      <x:c r="S164" t="str">
        <x:f>IF(AND(P164&gt;=75%,Q164&gt;0,R164&gt;=2),"YES","")</x:f>
      </x:c>
      <x:c r="T164" t="str">
        <x:f>IF(AND(P164&gt;=80%,Q164&gt;=5%),"Strong cross-mode risk reducer",IF(S164="YES","Balanced candidate","Mode-specific / fragile"))</x:f>
        <x:v>Mode-specific / fragile</x:v>
      </x:c>
    </x:row>
    <x:row r="165">
      <x:c r="A165" t="n">
        <x:v>160</x:v>
      </x:c>
      <x:c r="B165" s="39" t="str">
        <x:v>Full premarket decline</x:v>
      </x:c>
      <x:c r="C165" s="39" t="str">
        <x:v>Skip when the full premarket return is -1.0% or worse.</x:v>
      </x:c>
      <x:c r="D165" s="21" t="n">
        <x:f>'Protected Results'!F166</x:f>
        <x:v>5.597361596516243</x:v>
      </x:c>
      <x:c r="E165" s="21" t="n">
        <x:f>'Protected Results'!G166</x:f>
        <x:v>0.7786003972371435</x:v>
      </x:c>
      <x:c r="F165" s="21" t="n">
        <x:f>'Protected Results'!H166</x:f>
        <x:v>0.8302290019123875</x:v>
      </x:c>
      <x:c r="G165" s="21" t="n">
        <x:f>'Protected Results'!I166</x:f>
        <x:v>-0.01676472101874038</x:v>
      </x:c>
      <x:c r="H165" s="38" t="n">
        <x:f>'Protected Results'!L166</x:f>
        <x:v>0</x:v>
      </x:c>
      <x:c r="I165" s="38" t="n">
        <x:f>'Protected Results'!N166</x:f>
        <x:v>16</x:v>
      </x:c>
      <x:c r="J165" s="21" t="n">
        <x:f>'Leverage Only Results'!F166</x:f>
        <x:v>2.36209479798432</x:v>
      </x:c>
      <x:c r="K165" s="21" t="n">
        <x:f>'Leverage Only Results'!G166</x:f>
        <x:v>0.6160627207185776</x:v>
      </x:c>
      <x:c r="L165" s="21" t="n">
        <x:f>'Leverage Only Results'!H166</x:f>
        <x:v>0.9136490553512807</x:v>
      </x:c>
      <x:c r="M165" s="21" t="n">
        <x:f>'Leverage Only Results'!I166</x:f>
        <x:v>-0.0028677914431655127</x:v>
      </x:c>
      <x:c r="N165" s="38" t="n">
        <x:f>'Leverage Only Results'!L166</x:f>
        <x:v>0</x:v>
      </x:c>
      <x:c r="O165" s="38" t="n">
        <x:f>'Leverage Only Results'!N166</x:f>
        <x:v>34</x:v>
      </x:c>
      <x:c r="P165" s="21" t="n">
        <x:f>MIN(E165,K165)</x:f>
        <x:v>0.6160627207185776</x:v>
      </x:c>
      <x:c r="Q165" s="21" t="n">
        <x:f>AVERAGE(G165,M165)</x:f>
        <x:v>-0.009816256230952947</x:v>
      </x:c>
      <x:c r="R165" s="38" t="n">
        <x:f>H165+N165</x:f>
        <x:v>0</x:v>
      </x:c>
      <x:c r="S165" t="str">
        <x:f>IF(AND(P165&gt;=75%,Q165&gt;0,R165&gt;=2),"YES","")</x:f>
      </x:c>
      <x:c r="T165" t="str">
        <x:f>IF(AND(P165&gt;=80%,Q165&gt;=5%),"Strong cross-mode risk reducer",IF(S165="YES","Balanced candidate","Mode-specific / fragile"))</x:f>
        <x:v>Mode-specific / fragile</x:v>
      </x:c>
    </x:row>
    <x:row r="166">
      <x:c r="A166" t="n">
        <x:v>161</x:v>
      </x:c>
      <x:c r="B166" s="39" t="str">
        <x:v>Full premarket decline</x:v>
      </x:c>
      <x:c r="C166" s="39" t="str">
        <x:v>Skip when the full premarket return is -1.2% or worse.</x:v>
      </x:c>
      <x:c r="D166" s="21" t="n">
        <x:f>'Protected Results'!F167</x:f>
        <x:v>6.590240475556057</x:v>
      </x:c>
      <x:c r="E166" s="21" t="n">
        <x:f>'Protected Results'!G167</x:f>
        <x:v>0.9167111617998462</x:v>
      </x:c>
      <x:c r="F166" s="21" t="n">
        <x:f>'Protected Results'!H167</x:f>
        <x:v>0.8303513352755947</x:v>
      </x:c>
      <x:c r="G166" s="21" t="n">
        <x:f>'Protected Results'!I167</x:f>
        <x:v>-0.016887054381947597</x:v>
      </x:c>
      <x:c r="H166" s="38" t="n">
        <x:f>'Protected Results'!L167</x:f>
        <x:v>0</x:v>
      </x:c>
      <x:c r="I166" s="38" t="n">
        <x:f>'Protected Results'!N167</x:f>
        <x:v>10</x:v>
      </x:c>
      <x:c r="J166" s="21" t="n">
        <x:f>'Leverage Only Results'!F167</x:f>
        <x:v>3.1111347311038005</x:v>
      </x:c>
      <x:c r="K166" s="21" t="n">
        <x:f>'Leverage Only Results'!G167</x:f>
        <x:v>0.8114213403295386</x:v>
      </x:c>
      <x:c r="L166" s="21" t="n">
        <x:f>'Leverage Only Results'!H167</x:f>
        <x:v>0.9107812639081152</x:v>
      </x:c>
      <x:c r="M166" s="21" t="n">
        <x:f>'Leverage Only Results'!I167</x:f>
        <x:v>0</x:v>
      </x:c>
      <x:c r="N166" s="38" t="n">
        <x:f>'Leverage Only Results'!L167</x:f>
        <x:v>0</x:v>
      </x:c>
      <x:c r="O166" s="38" t="n">
        <x:f>'Leverage Only Results'!N167</x:f>
        <x:v>22</x:v>
      </x:c>
      <x:c r="P166" s="21" t="n">
        <x:f>MIN(E166,K166)</x:f>
        <x:v>0.8114213403295386</x:v>
      </x:c>
      <x:c r="Q166" s="21" t="n">
        <x:f>AVERAGE(G166,M166)</x:f>
        <x:v>-0.008443527190973799</x:v>
      </x:c>
      <x:c r="R166" s="38" t="n">
        <x:f>H166+N166</x:f>
        <x:v>0</x:v>
      </x:c>
      <x:c r="S166" t="str">
        <x:f>IF(AND(P166&gt;=75%,Q166&gt;0,R166&gt;=2),"YES","")</x:f>
      </x:c>
      <x:c r="T166" t="str">
        <x:f>IF(AND(P166&gt;=80%,Q166&gt;=5%),"Strong cross-mode risk reducer",IF(S166="YES","Balanced candidate","Mode-specific / fragile"))</x:f>
        <x:v>Mode-specific / fragile</x:v>
      </x:c>
    </x:row>
    <x:row r="167">
      <x:c r="A167" t="n">
        <x:v>162</x:v>
      </x:c>
      <x:c r="B167" s="39" t="str">
        <x:v>Full premarket decline</x:v>
      </x:c>
      <x:c r="C167" s="39" t="str">
        <x:v>Skip when the full premarket return is -1.4% or worse.</x:v>
      </x:c>
      <x:c r="D167" s="21" t="n">
        <x:f>'Protected Results'!F168</x:f>
        <x:v>6.568521997539977</x:v>
      </x:c>
      <x:c r="E167" s="21" t="n">
        <x:f>'Protected Results'!G168</x:f>
        <x:v>0.9136900927981169</x:v>
      </x:c>
      <x:c r="F167" s="21" t="n">
        <x:f>'Protected Results'!H168</x:f>
        <x:v>0.8134239297128119</x:v>
      </x:c>
      <x:c r="G167" s="21" t="n">
        <x:f>'Protected Results'!I168</x:f>
        <x:v>0.000040351180835229705</x:v>
      </x:c>
      <x:c r="H167" s="38" t="n">
        <x:f>'Protected Results'!L168</x:f>
        <x:v>0</x:v>
      </x:c>
      <x:c r="I167" s="38" t="n">
        <x:f>'Protected Results'!N168</x:f>
        <x:v>7</x:v>
      </x:c>
      <x:c r="J167" s="21" t="n">
        <x:f>'Leverage Only Results'!F168</x:f>
        <x:v>3.196370144873356</x:v>
      </x:c>
      <x:c r="K167" s="21" t="n">
        <x:f>'Leverage Only Results'!G168</x:f>
        <x:v>0.8336517609516303</x:v>
      </x:c>
      <x:c r="L167" s="21" t="n">
        <x:f>'Leverage Only Results'!H168</x:f>
        <x:v>0.9107812639081152</x:v>
      </x:c>
      <x:c r="M167" s="21" t="n">
        <x:f>'Leverage Only Results'!I168</x:f>
        <x:v>0</x:v>
      </x:c>
      <x:c r="N167" s="38" t="n">
        <x:f>'Leverage Only Results'!L168</x:f>
        <x:v>0</x:v>
      </x:c>
      <x:c r="O167" s="38" t="n">
        <x:f>'Leverage Only Results'!N168</x:f>
        <x:v>15</x:v>
      </x:c>
      <x:c r="P167" s="21" t="n">
        <x:f>MIN(E167,K167)</x:f>
        <x:v>0.8336517609516303</x:v>
      </x:c>
      <x:c r="Q167" s="21" t="n">
        <x:f>AVERAGE(G167,M167)</x:f>
        <x:v>0.000020175590417614853</x:v>
      </x:c>
      <x:c r="R167" s="38" t="n">
        <x:f>H167+N167</x:f>
        <x:v>0</x:v>
      </x:c>
      <x:c r="S167" t="str">
        <x:f>IF(AND(P167&gt;=75%,Q167&gt;0,R167&gt;=2),"YES","")</x:f>
      </x:c>
      <x:c r="T167" t="str">
        <x:f>IF(AND(P167&gt;=80%,Q167&gt;=5%),"Strong cross-mode risk reducer",IF(S167="YES","Balanced candidate","Mode-specific / fragile"))</x:f>
        <x:v>Mode-specific / fragile</x:v>
      </x:c>
    </x:row>
    <x:row r="168">
      <x:c r="A168" t="n">
        <x:v>163</x:v>
      </x:c>
      <x:c r="B168" s="39" t="str">
        <x:v>Full premarket decline</x:v>
      </x:c>
      <x:c r="C168" s="39" t="str">
        <x:v>Skip when the full premarket return is -1.6% or worse.</x:v>
      </x:c>
      <x:c r="D168" s="21" t="n">
        <x:f>'Protected Results'!F169</x:f>
        <x:v>6.75360357447823</x:v>
      </x:c>
      <x:c r="E168" s="21" t="n">
        <x:f>'Protected Results'!G169</x:f>
        <x:v>0.9394351848098765</x:v>
      </x:c>
      <x:c r="F168" s="21" t="n">
        <x:f>'Protected Results'!H169</x:f>
        <x:v>0.8134642808936471</x:v>
      </x:c>
      <x:c r="G168" s="21" t="n">
        <x:f>'Protected Results'!I169</x:f>
        <x:v>0</x:v>
      </x:c>
      <x:c r="H168" s="38" t="n">
        <x:f>'Protected Results'!L169</x:f>
        <x:v>0</x:v>
      </x:c>
      <x:c r="I168" s="38" t="n">
        <x:f>'Protected Results'!N169</x:f>
        <x:v>2</x:v>
      </x:c>
      <x:c r="J168" s="21" t="n">
        <x:f>'Leverage Only Results'!F169</x:f>
        <x:v>3.3629179018957513</x:v>
      </x:c>
      <x:c r="K168" s="21" t="n">
        <x:f>'Leverage Only Results'!G169</x:f>
        <x:v>0.8770894182414012</x:v>
      </x:c>
      <x:c r="L168" s="21" t="n">
        <x:f>'Leverage Only Results'!H169</x:f>
        <x:v>0.9107812639081152</x:v>
      </x:c>
      <x:c r="M168" s="21" t="n">
        <x:f>'Leverage Only Results'!I169</x:f>
        <x:v>0</x:v>
      </x:c>
      <x:c r="N168" s="38" t="n">
        <x:f>'Leverage Only Results'!L169</x:f>
        <x:v>0</x:v>
      </x:c>
      <x:c r="O168" s="38" t="n">
        <x:f>'Leverage Only Results'!N169</x:f>
        <x:v>8</x:v>
      </x:c>
      <x:c r="P168" s="21" t="n">
        <x:f>MIN(E168,K168)</x:f>
        <x:v>0.8770894182414012</x:v>
      </x:c>
      <x:c r="Q168" s="21" t="n">
        <x:f>AVERAGE(G168,M168)</x:f>
        <x:v>0</x:v>
      </x:c>
      <x:c r="R168" s="38" t="n">
        <x:f>H168+N168</x:f>
        <x:v>0</x:v>
      </x:c>
      <x:c r="S168" t="str">
        <x:f>IF(AND(P168&gt;=75%,Q168&gt;0,R168&gt;=2),"YES","")</x:f>
      </x:c>
      <x:c r="T168" t="str">
        <x:f>IF(AND(P168&gt;=80%,Q168&gt;=5%),"Strong cross-mode risk reducer",IF(S168="YES","Balanced candidate","Mode-specific / fragile"))</x:f>
        <x:v>Mode-specific / fragile</x:v>
      </x:c>
    </x:row>
    <x:row r="169">
      <x:c r="A169" t="n">
        <x:v>164</x:v>
      </x:c>
      <x:c r="B169" s="39" t="str">
        <x:v>Full premarket decline</x:v>
      </x:c>
      <x:c r="C169" s="39" t="str">
        <x:v>Skip when the full premarket return is -1.8% or worse.</x:v>
      </x:c>
      <x:c r="D169" s="21" t="n">
        <x:f>'Protected Results'!F170</x:f>
        <x:v>6.75360357447823</x:v>
      </x:c>
      <x:c r="E169" s="21" t="n">
        <x:f>'Protected Results'!G170</x:f>
        <x:v>0.9394351848098765</x:v>
      </x:c>
      <x:c r="F169" s="21" t="n">
        <x:f>'Protected Results'!H170</x:f>
        <x:v>0.8134642808936471</x:v>
      </x:c>
      <x:c r="G169" s="21" t="n">
        <x:f>'Protected Results'!I170</x:f>
        <x:v>0</x:v>
      </x:c>
      <x:c r="H169" s="38" t="n">
        <x:f>'Protected Results'!L170</x:f>
        <x:v>0</x:v>
      </x:c>
      <x:c r="I169" s="38" t="n">
        <x:f>'Protected Results'!N170</x:f>
        <x:v>2</x:v>
      </x:c>
      <x:c r="J169" s="21" t="n">
        <x:f>'Leverage Only Results'!F170</x:f>
        <x:v>3.4852947614123053</x:v>
      </x:c>
      <x:c r="K169" s="21" t="n">
        <x:f>'Leverage Only Results'!G170</x:f>
        <x:v>0.9090067744334975</x:v>
      </x:c>
      <x:c r="L169" s="21" t="n">
        <x:f>'Leverage Only Results'!H170</x:f>
        <x:v>0.9107812639081152</x:v>
      </x:c>
      <x:c r="M169" s="21" t="n">
        <x:f>'Leverage Only Results'!I170</x:f>
        <x:v>0</x:v>
      </x:c>
      <x:c r="N169" s="38" t="n">
        <x:f>'Leverage Only Results'!L170</x:f>
        <x:v>0</x:v>
      </x:c>
      <x:c r="O169" s="38" t="n">
        <x:f>'Leverage Only Results'!N170</x:f>
        <x:v>6</x:v>
      </x:c>
      <x:c r="P169" s="21" t="n">
        <x:f>MIN(E169,K169)</x:f>
        <x:v>0.9090067744334975</x:v>
      </x:c>
      <x:c r="Q169" s="21" t="n">
        <x:f>AVERAGE(G169,M169)</x:f>
        <x:v>0</x:v>
      </x:c>
      <x:c r="R169" s="38" t="n">
        <x:f>H169+N169</x:f>
        <x:v>0</x:v>
      </x:c>
      <x:c r="S169" t="str">
        <x:f>IF(AND(P169&gt;=75%,Q169&gt;0,R169&gt;=2),"YES","")</x:f>
      </x:c>
      <x:c r="T169" t="str">
        <x:f>IF(AND(P169&gt;=80%,Q169&gt;=5%),"Strong cross-mode risk reducer",IF(S169="YES","Balanced candidate","Mode-specific / fragile"))</x:f>
        <x:v>Mode-specific / fragile</x:v>
      </x:c>
    </x:row>
    <x:row r="170">
      <x:c r="A170" t="n">
        <x:v>165</x:v>
      </x:c>
      <x:c r="B170" s="39" t="str">
        <x:v>Full premarket decline</x:v>
      </x:c>
      <x:c r="C170" s="39" t="str">
        <x:v>Skip when the full premarket return is -2.0% or worse.</x:v>
      </x:c>
      <x:c r="D170" s="21" t="n">
        <x:f>'Protected Results'!F171</x:f>
        <x:v>6.75360357447823</x:v>
      </x:c>
      <x:c r="E170" s="21" t="n">
        <x:f>'Protected Results'!G171</x:f>
        <x:v>0.9394351848098765</x:v>
      </x:c>
      <x:c r="F170" s="21" t="n">
        <x:f>'Protected Results'!H171</x:f>
        <x:v>0.8134642808936471</x:v>
      </x:c>
      <x:c r="G170" s="21" t="n">
        <x:f>'Protected Results'!I171</x:f>
        <x:v>0</x:v>
      </x:c>
      <x:c r="H170" s="38" t="n">
        <x:f>'Protected Results'!L171</x:f>
        <x:v>0</x:v>
      </x:c>
      <x:c r="I170" s="38" t="n">
        <x:f>'Protected Results'!N171</x:f>
        <x:v>2</x:v>
      </x:c>
      <x:c r="J170" s="21" t="n">
        <x:f>'Leverage Only Results'!F171</x:f>
        <x:v>3.5458847520614265</x:v>
      </x:c>
      <x:c r="K170" s="21" t="n">
        <x:f>'Leverage Only Results'!G171</x:f>
        <x:v>0.9248093724153668</x:v>
      </x:c>
      <x:c r="L170" s="21" t="n">
        <x:f>'Leverage Only Results'!H171</x:f>
        <x:v>0.9107812639081152</x:v>
      </x:c>
      <x:c r="M170" s="21" t="n">
        <x:f>'Leverage Only Results'!I171</x:f>
        <x:v>0</x:v>
      </x:c>
      <x:c r="N170" s="38" t="n">
        <x:f>'Leverage Only Results'!L171</x:f>
        <x:v>0</x:v>
      </x:c>
      <x:c r="O170" s="38" t="n">
        <x:f>'Leverage Only Results'!N171</x:f>
        <x:v>4</x:v>
      </x:c>
      <x:c r="P170" s="21" t="n">
        <x:f>MIN(E170,K170)</x:f>
        <x:v>0.9248093724153668</x:v>
      </x:c>
      <x:c r="Q170" s="21" t="n">
        <x:f>AVERAGE(G170,M170)</x:f>
        <x:v>0</x:v>
      </x:c>
      <x:c r="R170" s="38" t="n">
        <x:f>H170+N170</x:f>
        <x:v>0</x:v>
      </x:c>
      <x:c r="S170" t="str">
        <x:f>IF(AND(P170&gt;=75%,Q170&gt;0,R170&gt;=2),"YES","")</x:f>
      </x:c>
      <x:c r="T170" t="str">
        <x:f>IF(AND(P170&gt;=80%,Q170&gt;=5%),"Strong cross-mode risk reducer",IF(S170="YES","Balanced candidate","Mode-specific / fragile"))</x:f>
        <x:v>Mode-specific / fragile</x:v>
      </x:c>
    </x:row>
    <x:row r="171">
      <x:c r="A171" t="n">
        <x:v>166</x:v>
      </x:c>
      <x:c r="B171" s="39" t="str">
        <x:v>Late premarket slide</x:v>
      </x:c>
      <x:c r="C171" s="39" t="str">
        <x:v>Skip when the final 5 premarket minutes fall 0.2% or more.</x:v>
      </x:c>
      <x:c r="D171" s="21" t="n">
        <x:f>'Protected Results'!F172</x:f>
        <x:v>6.312944184967841</x:v>
      </x:c>
      <x:c r="E171" s="21" t="n">
        <x:f>'Protected Results'!G172</x:f>
        <x:v>0.8781388812205912</x:v>
      </x:c>
      <x:c r="F171" s="21" t="n">
        <x:f>'Protected Results'!H172</x:f>
        <x:v>0.8133931364941237</x:v>
      </x:c>
      <x:c r="G171" s="21" t="n">
        <x:f>'Protected Results'!I172</x:f>
        <x:v>0.00007114439952338181</x:v>
      </x:c>
      <x:c r="H171" s="38" t="n">
        <x:f>'Protected Results'!L172</x:f>
        <x:v>1</x:v>
      </x:c>
      <x:c r="I171" s="38" t="n">
        <x:f>'Protected Results'!N172</x:f>
        <x:v>10</x:v>
      </x:c>
      <x:c r="J171" s="21" t="n">
        <x:f>'Leverage Only Results'!F172</x:f>
        <x:v>3.024770791244655</x:v>
      </x:c>
      <x:c r="K171" s="21" t="n">
        <x:f>'Leverage Only Results'!G172</x:f>
        <x:v>0.7888965865359976</x:v>
      </x:c>
      <x:c r="L171" s="21" t="n">
        <x:f>'Leverage Only Results'!H172</x:f>
        <x:v>0.9107812639081152</x:v>
      </x:c>
      <x:c r="M171" s="21" t="n">
        <x:f>'Leverage Only Results'!I172</x:f>
        <x:v>0</x:v>
      </x:c>
      <x:c r="N171" s="38" t="n">
        <x:f>'Leverage Only Results'!L172</x:f>
        <x:v>1</x:v>
      </x:c>
      <x:c r="O171" s="38" t="n">
        <x:f>'Leverage Only Results'!N172</x:f>
        <x:v>15</x:v>
      </x:c>
      <x:c r="P171" s="21" t="n">
        <x:f>MIN(E171,K171)</x:f>
        <x:v>0.7888965865359976</x:v>
      </x:c>
      <x:c r="Q171" s="21" t="n">
        <x:f>AVERAGE(G171,M171)</x:f>
        <x:v>0.000035572199761690904</x:v>
      </x:c>
      <x:c r="R171" s="38" t="n">
        <x:f>H171+N171</x:f>
        <x:v>2</x:v>
      </x:c>
      <x:c r="S171" t="str">
        <x:f>IF(AND(P171&gt;=75%,Q171&gt;0,R171&gt;=2),"YES","")</x:f>
        <x:v>YES</x:v>
      </x:c>
      <x:c r="T171" t="str">
        <x:f>IF(AND(P171&gt;=80%,Q171&gt;=5%),"Strong cross-mode risk reducer",IF(S171="YES","Balanced candidate","Mode-specific / fragile"))</x:f>
        <x:v>Balanced candidate</x:v>
      </x:c>
    </x:row>
    <x:row r="172">
      <x:c r="A172" t="n">
        <x:v>167</x:v>
      </x:c>
      <x:c r="B172" s="39" t="str">
        <x:v>Late premarket slide</x:v>
      </x:c>
      <x:c r="C172" s="39" t="str">
        <x:v>Skip when the final 5 premarket minutes fall 0.4% or more.</x:v>
      </x:c>
      <x:c r="D172" s="21" t="n">
        <x:f>'Protected Results'!F173</x:f>
        <x:v>6.760708428856135</x:v>
      </x:c>
      <x:c r="E172" s="21" t="n">
        <x:f>'Protected Results'!G173</x:f>
        <x:v>0.940423479445762</x:v>
      </x:c>
      <x:c r="F172" s="21" t="n">
        <x:f>'Protected Results'!H173</x:f>
        <x:v>0.813430872658145</x:v>
      </x:c>
      <x:c r="G172" s="21" t="n">
        <x:f>'Protected Results'!I173</x:f>
        <x:v>0.000033408235502130346</x:v>
      </x:c>
      <x:c r="H172" s="38" t="n">
        <x:f>'Protected Results'!L173</x:f>
        <x:v>0</x:v>
      </x:c>
      <x:c r="I172" s="38" t="n">
        <x:f>'Protected Results'!N173</x:f>
        <x:v>2</x:v>
      </x:c>
      <x:c r="J172" s="21" t="n">
        <x:f>'Leverage Only Results'!F173</x:f>
        <x:v>3.5780801053534255</x:v>
      </x:c>
      <x:c r="K172" s="21" t="n">
        <x:f>'Leverage Only Results'!G173</x:f>
        <x:v>0.9332063076105546</x:v>
      </x:c>
      <x:c r="L172" s="21" t="n">
        <x:f>'Leverage Only Results'!H173</x:f>
        <x:v>0.9107812639081152</x:v>
      </x:c>
      <x:c r="M172" s="21" t="n">
        <x:f>'Leverage Only Results'!I173</x:f>
        <x:v>0</x:v>
      </x:c>
      <x:c r="N172" s="38" t="n">
        <x:f>'Leverage Only Results'!L173</x:f>
        <x:v>0</x:v>
      </x:c>
      <x:c r="O172" s="38" t="n">
        <x:f>'Leverage Only Results'!N173</x:f>
        <x:v>2</x:v>
      </x:c>
      <x:c r="P172" s="21" t="n">
        <x:f>MIN(E172,K172)</x:f>
        <x:v>0.9332063076105546</x:v>
      </x:c>
      <x:c r="Q172" s="21" t="n">
        <x:f>AVERAGE(G172,M172)</x:f>
        <x:v>0.000016704117751065173</x:v>
      </x:c>
      <x:c r="R172" s="38" t="n">
        <x:f>H172+N172</x:f>
        <x:v>0</x:v>
      </x:c>
      <x:c r="S172" t="str">
        <x:f>IF(AND(P172&gt;=75%,Q172&gt;0,R172&gt;=2),"YES","")</x:f>
      </x:c>
      <x:c r="T172" t="str">
        <x:f>IF(AND(P172&gt;=80%,Q172&gt;=5%),"Strong cross-mode risk reducer",IF(S172="YES","Balanced candidate","Mode-specific / fragile"))</x:f>
        <x:v>Mode-specific / fragile</x:v>
      </x:c>
    </x:row>
    <x:row r="173">
      <x:c r="A173" t="n">
        <x:v>168</x:v>
      </x:c>
      <x:c r="B173" s="39" t="str">
        <x:v>Late premarket slide</x:v>
      </x:c>
      <x:c r="C173" s="39" t="str">
        <x:v>Skip when the final 5 premarket minutes fall 0.6% or more.</x:v>
      </x:c>
      <x:c r="D173" s="21" t="n">
        <x:f>'Protected Results'!F174</x:f>
        <x:v>6.760708428856135</x:v>
      </x:c>
      <x:c r="E173" s="21" t="n">
        <x:f>'Protected Results'!G174</x:f>
        <x:v>0.940423479445762</x:v>
      </x:c>
      <x:c r="F173" s="21" t="n">
        <x:f>'Protected Results'!H174</x:f>
        <x:v>0.813430872658145</x:v>
      </x:c>
      <x:c r="G173" s="21" t="n">
        <x:f>'Protected Results'!I174</x:f>
        <x:v>0.000033408235502130346</x:v>
      </x:c>
      <x:c r="H173" s="38" t="n">
        <x:f>'Protected Results'!L174</x:f>
        <x:v>0</x:v>
      </x:c>
      <x:c r="I173" s="38" t="n">
        <x:f>'Protected Results'!N174</x:f>
        <x:v>2</x:v>
      </x:c>
      <x:c r="J173" s="21" t="n">
        <x:f>'Leverage Only Results'!F174</x:f>
        <x:v>3.5780801053534255</x:v>
      </x:c>
      <x:c r="K173" s="21" t="n">
        <x:f>'Leverage Only Results'!G174</x:f>
        <x:v>0.9332063076105546</x:v>
      </x:c>
      <x:c r="L173" s="21" t="n">
        <x:f>'Leverage Only Results'!H174</x:f>
        <x:v>0.9107812639081152</x:v>
      </x:c>
      <x:c r="M173" s="21" t="n">
        <x:f>'Leverage Only Results'!I174</x:f>
        <x:v>0</x:v>
      </x:c>
      <x:c r="N173" s="38" t="n">
        <x:f>'Leverage Only Results'!L174</x:f>
        <x:v>0</x:v>
      </x:c>
      <x:c r="O173" s="38" t="n">
        <x:f>'Leverage Only Results'!N174</x:f>
        <x:v>2</x:v>
      </x:c>
      <x:c r="P173" s="21" t="n">
        <x:f>MIN(E173,K173)</x:f>
        <x:v>0.9332063076105546</x:v>
      </x:c>
      <x:c r="Q173" s="21" t="n">
        <x:f>AVERAGE(G173,M173)</x:f>
        <x:v>0.000016704117751065173</x:v>
      </x:c>
      <x:c r="R173" s="38" t="n">
        <x:f>H173+N173</x:f>
        <x:v>0</x:v>
      </x:c>
      <x:c r="S173" t="str">
        <x:f>IF(AND(P173&gt;=75%,Q173&gt;0,R173&gt;=2),"YES","")</x:f>
      </x:c>
      <x:c r="T173" t="str">
        <x:f>IF(AND(P173&gt;=80%,Q173&gt;=5%),"Strong cross-mode risk reducer",IF(S173="YES","Balanced candidate","Mode-specific / fragile"))</x:f>
        <x:v>Mode-specific / fragile</x:v>
      </x:c>
    </x:row>
    <x:row r="174">
      <x:c r="A174" t="n">
        <x:v>169</x:v>
      </x:c>
      <x:c r="B174" s="39" t="str">
        <x:v>Late premarket slide</x:v>
      </x:c>
      <x:c r="C174" s="39" t="str">
        <x:v>Skip when the final 5 premarket minutes fall 0.8% or more.</x:v>
      </x:c>
      <x:c r="D174" s="21" t="n">
        <x:f>'Protected Results'!F175</x:f>
        <x:v>7.189004290748413</x:v>
      </x:c>
      <x:c r="E174" s="21" t="n">
        <x:f>'Protected Results'!G175</x:f>
        <x:v>1</x:v>
      </x:c>
      <x:c r="F174" s="21" t="n">
        <x:f>'Protected Results'!H175</x:f>
        <x:v>0.8134642808936471</x:v>
      </x:c>
      <x:c r="G174" s="21" t="n">
        <x:f>'Protected Results'!I175</x:f>
        <x:v>0</x:v>
      </x:c>
      <x:c r="H174" s="38" t="n">
        <x:f>'Protected Results'!L175</x:f>
        <x:v>0</x:v>
      </x:c>
      <x:c r="I174" s="38" t="n">
        <x:f>'Protected Results'!N175</x:f>
        <x:v>0</x:v>
      </x:c>
      <x:c r="J174" s="21" t="n">
        <x:f>'Leverage Only Results'!F175</x:f>
        <x:v>3.8341790836315575</x:v>
      </x:c>
      <x:c r="K174" s="21" t="n">
        <x:f>'Leverage Only Results'!G175</x:f>
        <x:v>1</x:v>
      </x:c>
      <x:c r="L174" s="21" t="n">
        <x:f>'Leverage Only Results'!H175</x:f>
        <x:v>0.9107812639081152</x:v>
      </x:c>
      <x:c r="M174" s="21" t="n">
        <x:f>'Leverage Only Results'!I175</x:f>
        <x:v>0</x:v>
      </x:c>
      <x:c r="N174" s="38" t="n">
        <x:f>'Leverage Only Results'!L175</x:f>
        <x:v>0</x:v>
      </x:c>
      <x:c r="O174" s="38" t="n">
        <x:f>'Leverage Only Results'!N175</x:f>
        <x:v>0</x:v>
      </x:c>
      <x:c r="P174" s="21" t="n">
        <x:f>MIN(E174,K174)</x:f>
        <x:v>1</x:v>
      </x:c>
      <x:c r="Q174" s="21" t="n">
        <x:f>AVERAGE(G174,M174)</x:f>
        <x:v>0</x:v>
      </x:c>
      <x:c r="R174" s="38" t="n">
        <x:f>H174+N174</x:f>
        <x:v>0</x:v>
      </x:c>
      <x:c r="S174" t="str">
        <x:f>IF(AND(P174&gt;=75%,Q174&gt;0,R174&gt;=2),"YES","")</x:f>
      </x:c>
      <x:c r="T174" t="str">
        <x:f>IF(AND(P174&gt;=80%,Q174&gt;=5%),"Strong cross-mode risk reducer",IF(S174="YES","Balanced candidate","Mode-specific / fragile"))</x:f>
        <x:v>Mode-specific / fragile</x:v>
      </x:c>
    </x:row>
    <x:row r="175">
      <x:c r="A175" t="n">
        <x:v>170</x:v>
      </x:c>
      <x:c r="B175" s="39" t="str">
        <x:v>Late premarket slide</x:v>
      </x:c>
      <x:c r="C175" s="39" t="str">
        <x:v>Skip when the final 5 premarket minutes fall 1.0% or more.</x:v>
      </x:c>
      <x:c r="D175" s="21" t="n">
        <x:f>'Protected Results'!F176</x:f>
        <x:v>7.189004290748413</x:v>
      </x:c>
      <x:c r="E175" s="21" t="n">
        <x:f>'Protected Results'!G176</x:f>
        <x:v>1</x:v>
      </x:c>
      <x:c r="F175" s="21" t="n">
        <x:f>'Protected Results'!H176</x:f>
        <x:v>0.8134642808936471</x:v>
      </x:c>
      <x:c r="G175" s="21" t="n">
        <x:f>'Protected Results'!I176</x:f>
        <x:v>0</x:v>
      </x:c>
      <x:c r="H175" s="38" t="n">
        <x:f>'Protected Results'!L176</x:f>
        <x:v>0</x:v>
      </x:c>
      <x:c r="I175" s="38" t="n">
        <x:f>'Protected Results'!N176</x:f>
        <x:v>0</x:v>
      </x:c>
      <x:c r="J175" s="21" t="n">
        <x:f>'Leverage Only Results'!F176</x:f>
        <x:v>3.8341790836315575</x:v>
      </x:c>
      <x:c r="K175" s="21" t="n">
        <x:f>'Leverage Only Results'!G176</x:f>
        <x:v>1</x:v>
      </x:c>
      <x:c r="L175" s="21" t="n">
        <x:f>'Leverage Only Results'!H176</x:f>
        <x:v>0.9107812639081152</x:v>
      </x:c>
      <x:c r="M175" s="21" t="n">
        <x:f>'Leverage Only Results'!I176</x:f>
        <x:v>0</x:v>
      </x:c>
      <x:c r="N175" s="38" t="n">
        <x:f>'Leverage Only Results'!L176</x:f>
        <x:v>0</x:v>
      </x:c>
      <x:c r="O175" s="38" t="n">
        <x:f>'Leverage Only Results'!N176</x:f>
        <x:v>0</x:v>
      </x:c>
      <x:c r="P175" s="21" t="n">
        <x:f>MIN(E175,K175)</x:f>
        <x:v>1</x:v>
      </x:c>
      <x:c r="Q175" s="21" t="n">
        <x:f>AVERAGE(G175,M175)</x:f>
        <x:v>0</x:v>
      </x:c>
      <x:c r="R175" s="38" t="n">
        <x:f>H175+N175</x:f>
        <x:v>0</x:v>
      </x:c>
      <x:c r="S175" t="str">
        <x:f>IF(AND(P175&gt;=75%,Q175&gt;0,R175&gt;=2),"YES","")</x:f>
      </x:c>
      <x:c r="T175" t="str">
        <x:f>IF(AND(P175&gt;=80%,Q175&gt;=5%),"Strong cross-mode risk reducer",IF(S175="YES","Balanced candidate","Mode-specific / fragile"))</x:f>
        <x:v>Mode-specific / fragile</x:v>
      </x:c>
    </x:row>
    <x:row r="176">
      <x:c r="A176" t="n">
        <x:v>171</x:v>
      </x:c>
      <x:c r="B176" s="39" t="str">
        <x:v>Late premarket slide</x:v>
      </x:c>
      <x:c r="C176" s="39" t="str">
        <x:v>Skip when the final 15 premarket minutes fall 0.2% or more.</x:v>
      </x:c>
      <x:c r="D176" s="21" t="n">
        <x:f>'Protected Results'!F177</x:f>
        <x:v>5.5631088744368835</x:v>
      </x:c>
      <x:c r="E176" s="21" t="n">
        <x:f>'Protected Results'!G177</x:f>
        <x:v>0.7738357983171735</x:v>
      </x:c>
      <x:c r="F176" s="21" t="n">
        <x:f>'Protected Results'!H177</x:f>
        <x:v>0.813331693767233</x:v>
      </x:c>
      <x:c r="G176" s="21" t="n">
        <x:f>'Protected Results'!I177</x:f>
        <x:v>0.00013258712641406323</x:v>
      </x:c>
      <x:c r="H176" s="38" t="n">
        <x:f>'Protected Results'!L177</x:f>
        <x:v>1</x:v>
      </x:c>
      <x:c r="I176" s="38" t="n">
        <x:f>'Protected Results'!N177</x:f>
        <x:v>16</x:v>
      </x:c>
      <x:c r="J176" s="21" t="n">
        <x:f>'Leverage Only Results'!F177</x:f>
        <x:v>2.9268201328937504</x:v>
      </x:c>
      <x:c r="K176" s="21" t="n">
        <x:f>'Leverage Only Results'!G177</x:f>
        <x:v>0.7633498772628016</x:v>
      </x:c>
      <x:c r="L176" s="21" t="n">
        <x:f>'Leverage Only Results'!H177</x:f>
        <x:v>0.9107812639081152</x:v>
      </x:c>
      <x:c r="M176" s="21" t="n">
        <x:f>'Leverage Only Results'!I177</x:f>
        <x:v>0</x:v>
      </x:c>
      <x:c r="N176" s="38" t="n">
        <x:f>'Leverage Only Results'!L177</x:f>
        <x:v>2</x:v>
      </x:c>
      <x:c r="O176" s="38" t="n">
        <x:f>'Leverage Only Results'!N177</x:f>
        <x:v>25</x:v>
      </x:c>
      <x:c r="P176" s="21" t="n">
        <x:f>MIN(E176,K176)</x:f>
        <x:v>0.7633498772628016</x:v>
      </x:c>
      <x:c r="Q176" s="21" t="n">
        <x:f>AVERAGE(G176,M176)</x:f>
        <x:v>0.00006629356320703161</x:v>
      </x:c>
      <x:c r="R176" s="38" t="n">
        <x:f>H176+N176</x:f>
        <x:v>3</x:v>
      </x:c>
      <x:c r="S176" t="str">
        <x:f>IF(AND(P176&gt;=75%,Q176&gt;0,R176&gt;=2),"YES","")</x:f>
        <x:v>YES</x:v>
      </x:c>
      <x:c r="T176" t="str">
        <x:f>IF(AND(P176&gt;=80%,Q176&gt;=5%),"Strong cross-mode risk reducer",IF(S176="YES","Balanced candidate","Mode-specific / fragile"))</x:f>
        <x:v>Balanced candidate</x:v>
      </x:c>
    </x:row>
    <x:row r="177">
      <x:c r="A177" t="n">
        <x:v>172</x:v>
      </x:c>
      <x:c r="B177" s="39" t="str">
        <x:v>Late premarket slide</x:v>
      </x:c>
      <x:c r="C177" s="39" t="str">
        <x:v>Skip when the final 15 premarket minutes fall 0.4% or more.</x:v>
      </x:c>
      <x:c r="D177" s="21" t="n">
        <x:f>'Protected Results'!F178</x:f>
        <x:v>6.373119718374024</x:v>
      </x:c>
      <x:c r="E177" s="21" t="n">
        <x:f>'Protected Results'!G178</x:f>
        <x:v>0.8865093774635304</x:v>
      </x:c>
      <x:c r="F177" s="21" t="n">
        <x:f>'Protected Results'!H178</x:f>
        <x:v>0.813430872658145</x:v>
      </x:c>
      <x:c r="G177" s="21" t="n">
        <x:f>'Protected Results'!I178</x:f>
        <x:v>0.000033408235502130346</x:v>
      </x:c>
      <x:c r="H177" s="38" t="n">
        <x:f>'Protected Results'!L178</x:f>
        <x:v>0</x:v>
      </x:c>
      <x:c r="I177" s="38" t="n">
        <x:f>'Protected Results'!N178</x:f>
        <x:v>3</x:v>
      </x:c>
      <x:c r="J177" s="21" t="n">
        <x:f>'Leverage Only Results'!F178</x:f>
        <x:v>3.2954931480673153</x:v>
      </x:c>
      <x:c r="K177" s="21" t="n">
        <x:f>'Leverage Only Results'!G178</x:f>
        <x:v>0.8595042318539738</x:v>
      </x:c>
      <x:c r="L177" s="21" t="n">
        <x:f>'Leverage Only Results'!H178</x:f>
        <x:v>0.9107812639081152</x:v>
      </x:c>
      <x:c r="M177" s="21" t="n">
        <x:f>'Leverage Only Results'!I178</x:f>
        <x:v>0</x:v>
      </x:c>
      <x:c r="N177" s="38" t="n">
        <x:f>'Leverage Only Results'!L178</x:f>
        <x:v>0</x:v>
      </x:c>
      <x:c r="O177" s="38" t="n">
        <x:f>'Leverage Only Results'!N178</x:f>
        <x:v>4</x:v>
      </x:c>
      <x:c r="P177" s="21" t="n">
        <x:f>MIN(E177,K177)</x:f>
        <x:v>0.8595042318539738</x:v>
      </x:c>
      <x:c r="Q177" s="21" t="n">
        <x:f>AVERAGE(G177,M177)</x:f>
        <x:v>0.000016704117751065173</x:v>
      </x:c>
      <x:c r="R177" s="38" t="n">
        <x:f>H177+N177</x:f>
        <x:v>0</x:v>
      </x:c>
      <x:c r="S177" t="str">
        <x:f>IF(AND(P177&gt;=75%,Q177&gt;0,R177&gt;=2),"YES","")</x:f>
      </x:c>
      <x:c r="T177" t="str">
        <x:f>IF(AND(P177&gt;=80%,Q177&gt;=5%),"Strong cross-mode risk reducer",IF(S177="YES","Balanced candidate","Mode-specific / fragile"))</x:f>
        <x:v>Mode-specific / fragile</x:v>
      </x:c>
    </x:row>
    <x:row r="178">
      <x:c r="A178" t="n">
        <x:v>173</x:v>
      </x:c>
      <x:c r="B178" s="39" t="str">
        <x:v>Late premarket slide</x:v>
      </x:c>
      <x:c r="C178" s="39" t="str">
        <x:v>Skip when the final 15 premarket minutes fall 0.6% or more.</x:v>
      </x:c>
      <x:c r="D178" s="21" t="n">
        <x:f>'Protected Results'!F179</x:f>
        <x:v>6.662122558464025</x:v>
      </x:c>
      <x:c r="E178" s="21" t="n">
        <x:f>'Protected Results'!G179</x:f>
        <x:v>0.9267100545533913</x:v>
      </x:c>
      <x:c r="F178" s="21" t="n">
        <x:f>'Protected Results'!H179</x:f>
        <x:v>0.813430872658145</x:v>
      </x:c>
      <x:c r="G178" s="21" t="n">
        <x:f>'Protected Results'!I179</x:f>
        <x:v>0.000033408235502130346</x:v>
      </x:c>
      <x:c r="H178" s="38" t="n">
        <x:f>'Protected Results'!L179</x:f>
        <x:v>0</x:v>
      </x:c>
      <x:c r="I178" s="38" t="n">
        <x:f>'Protected Results'!N179</x:f>
        <x:v>2</x:v>
      </x:c>
      <x:c r="J178" s="21" t="n">
        <x:f>'Leverage Only Results'!F179</x:f>
        <x:v>3.5242608678930827</x:v>
      </x:c>
      <x:c r="K178" s="21" t="n">
        <x:f>'Leverage Only Results'!G179</x:f>
        <x:v>0.9191696034591753</x:v>
      </x:c>
      <x:c r="L178" s="21" t="n">
        <x:f>'Leverage Only Results'!H179</x:f>
        <x:v>0.9107812639081152</x:v>
      </x:c>
      <x:c r="M178" s="21" t="n">
        <x:f>'Leverage Only Results'!I179</x:f>
        <x:v>0</x:v>
      </x:c>
      <x:c r="N178" s="38" t="n">
        <x:f>'Leverage Only Results'!L179</x:f>
        <x:v>0</x:v>
      </x:c>
      <x:c r="O178" s="38" t="n">
        <x:f>'Leverage Only Results'!N179</x:f>
        <x:v>2</x:v>
      </x:c>
      <x:c r="P178" s="21" t="n">
        <x:f>MIN(E178,K178)</x:f>
        <x:v>0.9191696034591753</x:v>
      </x:c>
      <x:c r="Q178" s="21" t="n">
        <x:f>AVERAGE(G178,M178)</x:f>
        <x:v>0.000016704117751065173</x:v>
      </x:c>
      <x:c r="R178" s="38" t="n">
        <x:f>H178+N178</x:f>
        <x:v>0</x:v>
      </x:c>
      <x:c r="S178" t="str">
        <x:f>IF(AND(P178&gt;=75%,Q178&gt;0,R178&gt;=2),"YES","")</x:f>
      </x:c>
      <x:c r="T178" t="str">
        <x:f>IF(AND(P178&gt;=80%,Q178&gt;=5%),"Strong cross-mode risk reducer",IF(S178="YES","Balanced candidate","Mode-specific / fragile"))</x:f>
        <x:v>Mode-specific / fragile</x:v>
      </x:c>
    </x:row>
    <x:row r="179">
      <x:c r="A179" t="n">
        <x:v>174</x:v>
      </x:c>
      <x:c r="B179" s="39" t="str">
        <x:v>Late premarket slide</x:v>
      </x:c>
      <x:c r="C179" s="39" t="str">
        <x:v>Skip when the final 15 premarket minutes fall 0.8% or more.</x:v>
      </x:c>
      <x:c r="D179" s="21" t="n">
        <x:f>'Protected Results'!F180</x:f>
        <x:v>6.662122558464025</x:v>
      </x:c>
      <x:c r="E179" s="21" t="n">
        <x:f>'Protected Results'!G180</x:f>
        <x:v>0.9267100545533913</x:v>
      </x:c>
      <x:c r="F179" s="21" t="n">
        <x:f>'Protected Results'!H180</x:f>
        <x:v>0.813430872658145</x:v>
      </x:c>
      <x:c r="G179" s="21" t="n">
        <x:f>'Protected Results'!I180</x:f>
        <x:v>0.000033408235502130346</x:v>
      </x:c>
      <x:c r="H179" s="38" t="n">
        <x:f>'Protected Results'!L180</x:f>
        <x:v>0</x:v>
      </x:c>
      <x:c r="I179" s="38" t="n">
        <x:f>'Protected Results'!N180</x:f>
        <x:v>2</x:v>
      </x:c>
      <x:c r="J179" s="21" t="n">
        <x:f>'Leverage Only Results'!F180</x:f>
        <x:v>3.5242608678930827</x:v>
      </x:c>
      <x:c r="K179" s="21" t="n">
        <x:f>'Leverage Only Results'!G180</x:f>
        <x:v>0.9191696034591753</x:v>
      </x:c>
      <x:c r="L179" s="21" t="n">
        <x:f>'Leverage Only Results'!H180</x:f>
        <x:v>0.9107812639081152</x:v>
      </x:c>
      <x:c r="M179" s="21" t="n">
        <x:f>'Leverage Only Results'!I180</x:f>
        <x:v>0</x:v>
      </x:c>
      <x:c r="N179" s="38" t="n">
        <x:f>'Leverage Only Results'!L180</x:f>
        <x:v>0</x:v>
      </x:c>
      <x:c r="O179" s="38" t="n">
        <x:f>'Leverage Only Results'!N180</x:f>
        <x:v>2</x:v>
      </x:c>
      <x:c r="P179" s="21" t="n">
        <x:f>MIN(E179,K179)</x:f>
        <x:v>0.9191696034591753</x:v>
      </x:c>
      <x:c r="Q179" s="21" t="n">
        <x:f>AVERAGE(G179,M179)</x:f>
        <x:v>0.000016704117751065173</x:v>
      </x:c>
      <x:c r="R179" s="38" t="n">
        <x:f>H179+N179</x:f>
        <x:v>0</x:v>
      </x:c>
      <x:c r="S179" t="str">
        <x:f>IF(AND(P179&gt;=75%,Q179&gt;0,R179&gt;=2),"YES","")</x:f>
      </x:c>
      <x:c r="T179" t="str">
        <x:f>IF(AND(P179&gt;=80%,Q179&gt;=5%),"Strong cross-mode risk reducer",IF(S179="YES","Balanced candidate","Mode-specific / fragile"))</x:f>
        <x:v>Mode-specific / fragile</x:v>
      </x:c>
    </x:row>
    <x:row r="180">
      <x:c r="A180" t="n">
        <x:v>175</x:v>
      </x:c>
      <x:c r="B180" s="39" t="str">
        <x:v>Late premarket slide</x:v>
      </x:c>
      <x:c r="C180" s="39" t="str">
        <x:v>Skip when the final 15 premarket minutes fall 1.0% or more.</x:v>
      </x:c>
      <x:c r="D180" s="21" t="n">
        <x:f>'Protected Results'!F181</x:f>
        <x:v>7.06490351510298</x:v>
      </x:c>
      <x:c r="E180" s="21" t="n">
        <x:f>'Protected Results'!G181</x:f>
        <x:v>0.9827374180586957</x:v>
      </x:c>
      <x:c r="F180" s="21" t="n">
        <x:f>'Protected Results'!H181</x:f>
        <x:v>0.813430872658145</x:v>
      </x:c>
      <x:c r="G180" s="21" t="n">
        <x:f>'Protected Results'!I181</x:f>
        <x:v>0.000033408235502130346</x:v>
      </x:c>
      <x:c r="H180" s="38" t="n">
        <x:f>'Protected Results'!L181</x:f>
        <x:v>0</x:v>
      </x:c>
      <x:c r="I180" s="38" t="n">
        <x:f>'Protected Results'!N181</x:f>
        <x:v>1</x:v>
      </x:c>
      <x:c r="J180" s="21" t="n">
        <x:f>'Leverage Only Results'!F181</x:f>
        <x:v>3.757525787634454</x:v>
      </x:c>
      <x:c r="K180" s="21" t="n">
        <x:f>'Leverage Only Results'!G181</x:f>
        <x:v>0.9800078988682759</x:v>
      </x:c>
      <x:c r="L180" s="21" t="n">
        <x:f>'Leverage Only Results'!H181</x:f>
        <x:v>0.9107812639081152</x:v>
      </x:c>
      <x:c r="M180" s="21" t="n">
        <x:f>'Leverage Only Results'!I181</x:f>
        <x:v>0</x:v>
      </x:c>
      <x:c r="N180" s="38" t="n">
        <x:f>'Leverage Only Results'!L181</x:f>
        <x:v>0</x:v>
      </x:c>
      <x:c r="O180" s="38" t="n">
        <x:f>'Leverage Only Results'!N181</x:f>
        <x:v>1</x:v>
      </x:c>
      <x:c r="P180" s="21" t="n">
        <x:f>MIN(E180,K180)</x:f>
        <x:v>0.9800078988682759</x:v>
      </x:c>
      <x:c r="Q180" s="21" t="n">
        <x:f>AVERAGE(G180,M180)</x:f>
        <x:v>0.000016704117751065173</x:v>
      </x:c>
      <x:c r="R180" s="38" t="n">
        <x:f>H180+N180</x:f>
        <x:v>0</x:v>
      </x:c>
      <x:c r="S180" t="str">
        <x:f>IF(AND(P180&gt;=75%,Q180&gt;0,R180&gt;=2),"YES","")</x:f>
      </x:c>
      <x:c r="T180" t="str">
        <x:f>IF(AND(P180&gt;=80%,Q180&gt;=5%),"Strong cross-mode risk reducer",IF(S180="YES","Balanced candidate","Mode-specific / fragile"))</x:f>
        <x:v>Mode-specific / fragile</x:v>
      </x:c>
    </x:row>
    <x:row r="181">
      <x:c r="A181" t="n">
        <x:v>176</x:v>
      </x:c>
      <x:c r="B181" s="39" t="str">
        <x:v>Late premarket slide</x:v>
      </x:c>
      <x:c r="C181" s="39" t="str">
        <x:v>Skip when the final 30 premarket minutes fall 0.2% or more.</x:v>
      </x:c>
      <x:c r="D181" s="21" t="n">
        <x:f>'Protected Results'!F182</x:f>
        <x:v>6.0826508241754285</x:v>
      </x:c>
      <x:c r="E181" s="21" t="n">
        <x:f>'Protected Results'!G182</x:f>
        <x:v>0.8461047703091846</x:v>
      </x:c>
      <x:c r="F181" s="21" t="n">
        <x:f>'Protected Results'!H182</x:f>
        <x:v>0.8132464727512464</x:v>
      </x:c>
      <x:c r="G181" s="21" t="n">
        <x:f>'Protected Results'!I182</x:f>
        <x:v>0.00021780814240068835</x:v>
      </x:c>
      <x:c r="H181" s="38" t="n">
        <x:f>'Protected Results'!L182</x:f>
        <x:v>2</x:v>
      </x:c>
      <x:c r="I181" s="38" t="n">
        <x:f>'Protected Results'!N182</x:f>
        <x:v>27</x:v>
      </x:c>
      <x:c r="J181" s="21" t="n">
        <x:f>'Leverage Only Results'!F182</x:f>
        <x:v>3.1697279707436694</x:v>
      </x:c>
      <x:c r="K181" s="21" t="n">
        <x:f>'Leverage Only Results'!G182</x:f>
        <x:v>0.8267031616430001</x:v>
      </x:c>
      <x:c r="L181" s="21" t="n">
        <x:f>'Leverage Only Results'!H182</x:f>
        <x:v>0.8915367550639942</x:v>
      </x:c>
      <x:c r="M181" s="21" t="n">
        <x:f>'Leverage Only Results'!I182</x:f>
        <x:v>0.01924450884412099</x:v>
      </x:c>
      <x:c r="N181" s="38" t="n">
        <x:f>'Leverage Only Results'!L182</x:f>
        <x:v>3</x:v>
      </x:c>
      <x:c r="O181" s="38" t="n">
        <x:f>'Leverage Only Results'!N182</x:f>
        <x:v>41</x:v>
      </x:c>
      <x:c r="P181" s="21" t="n">
        <x:f>MIN(E181,K181)</x:f>
        <x:v>0.8267031616430001</x:v>
      </x:c>
      <x:c r="Q181" s="21" t="n">
        <x:f>AVERAGE(G181,M181)</x:f>
        <x:v>0.009731158493260839</x:v>
      </x:c>
      <x:c r="R181" s="38" t="n">
        <x:f>H181+N181</x:f>
        <x:v>5</x:v>
      </x:c>
      <x:c r="S181" t="str">
        <x:f>IF(AND(P181&gt;=75%,Q181&gt;0,R181&gt;=2),"YES","")</x:f>
        <x:v>YES</x:v>
      </x:c>
      <x:c r="T181" t="str">
        <x:f>IF(AND(P181&gt;=80%,Q181&gt;=5%),"Strong cross-mode risk reducer",IF(S181="YES","Balanced candidate","Mode-specific / fragile"))</x:f>
        <x:v>Balanced candidate</x:v>
      </x:c>
    </x:row>
    <x:row r="182">
      <x:c r="A182" t="n">
        <x:v>177</x:v>
      </x:c>
      <x:c r="B182" s="39" t="str">
        <x:v>Late premarket slide</x:v>
      </x:c>
      <x:c r="C182" s="39" t="str">
        <x:v>Skip when the final 30 premarket minutes fall 0.4% or more.</x:v>
      </x:c>
      <x:c r="D182" s="21" t="n">
        <x:f>'Protected Results'!F183</x:f>
        <x:v>7.134241767588428</x:v>
      </x:c>
      <x:c r="E182" s="21" t="n">
        <x:f>'Protected Results'!G183</x:f>
        <x:v>0.9923824606377744</x:v>
      </x:c>
      <x:c r="F182" s="21" t="n">
        <x:f>'Protected Results'!H183</x:f>
        <x:v>0.813430872658145</x:v>
      </x:c>
      <x:c r="G182" s="21" t="n">
        <x:f>'Protected Results'!I183</x:f>
        <x:v>0.000033408235502130346</x:v>
      </x:c>
      <x:c r="H182" s="38" t="n">
        <x:f>'Protected Results'!L183</x:f>
        <x:v>1</x:v>
      </x:c>
      <x:c r="I182" s="38" t="n">
        <x:f>'Protected Results'!N183</x:f>
        <x:v>4</x:v>
      </x:c>
      <x:c r="J182" s="21" t="n">
        <x:f>'Leverage Only Results'!F183</x:f>
        <x:v>3.4961402474648793</x:v>
      </x:c>
      <x:c r="K182" s="21" t="n">
        <x:f>'Leverage Only Results'!G183</x:f>
        <x:v>0.9118354075818224</x:v>
      </x:c>
      <x:c r="L182" s="21" t="n">
        <x:f>'Leverage Only Results'!H183</x:f>
        <x:v>0.9107812639081152</x:v>
      </x:c>
      <x:c r="M182" s="21" t="n">
        <x:f>'Leverage Only Results'!I183</x:f>
        <x:v>0</x:v>
      </x:c>
      <x:c r="N182" s="38" t="n">
        <x:f>'Leverage Only Results'!L183</x:f>
        <x:v>1</x:v>
      </x:c>
      <x:c r="O182" s="38" t="n">
        <x:f>'Leverage Only Results'!N183</x:f>
        <x:v>9</x:v>
      </x:c>
      <x:c r="P182" s="21" t="n">
        <x:f>MIN(E182,K182)</x:f>
        <x:v>0.9118354075818224</x:v>
      </x:c>
      <x:c r="Q182" s="21" t="n">
        <x:f>AVERAGE(G182,M182)</x:f>
        <x:v>0.000016704117751065173</x:v>
      </x:c>
      <x:c r="R182" s="38" t="n">
        <x:f>H182+N182</x:f>
        <x:v>2</x:v>
      </x:c>
      <x:c r="S182" t="str">
        <x:f>IF(AND(P182&gt;=75%,Q182&gt;0,R182&gt;=2),"YES","")</x:f>
        <x:v>YES</x:v>
      </x:c>
      <x:c r="T182" t="str">
        <x:f>IF(AND(P182&gt;=80%,Q182&gt;=5%),"Strong cross-mode risk reducer",IF(S182="YES","Balanced candidate","Mode-specific / fragile"))</x:f>
        <x:v>Balanced candidate</x:v>
      </x:c>
    </x:row>
    <x:row r="183">
      <x:c r="A183" t="n">
        <x:v>178</x:v>
      </x:c>
      <x:c r="B183" s="39" t="str">
        <x:v>Late premarket slide</x:v>
      </x:c>
      <x:c r="C183" s="39" t="str">
        <x:v>Skip when the final 30 premarket minutes fall 0.6% or more.</x:v>
      </x:c>
      <x:c r="D183" s="21" t="n">
        <x:f>'Protected Results'!F184</x:f>
        <x:v>6.664340774896614</x:v>
      </x:c>
      <x:c r="E183" s="21" t="n">
        <x:f>'Protected Results'!G184</x:f>
        <x:v>0.9270186113914284</x:v>
      </x:c>
      <x:c r="F183" s="21" t="n">
        <x:f>'Protected Results'!H184</x:f>
        <x:v>0.813430872658145</x:v>
      </x:c>
      <x:c r="G183" s="21" t="n">
        <x:f>'Protected Results'!I184</x:f>
        <x:v>0.000033408235502130346</x:v>
      </x:c>
      <x:c r="H183" s="38" t="n">
        <x:f>'Protected Results'!L184</x:f>
        <x:v>0</x:v>
      </x:c>
      <x:c r="I183" s="38" t="n">
        <x:f>'Protected Results'!N184</x:f>
        <x:v>3</x:v>
      </x:c>
      <x:c r="J183" s="21" t="n">
        <x:f>'Leverage Only Results'!F184</x:f>
        <x:v>3.46515210814045</x:v>
      </x:c>
      <x:c r="K183" s="21" t="n">
        <x:f>'Leverage Only Results'!G184</x:f>
        <x:v>0.9037533283026566</x:v>
      </x:c>
      <x:c r="L183" s="21" t="n">
        <x:f>'Leverage Only Results'!H184</x:f>
        <x:v>0.9107812639081152</x:v>
      </x:c>
      <x:c r="M183" s="21" t="n">
        <x:f>'Leverage Only Results'!I184</x:f>
        <x:v>0</x:v>
      </x:c>
      <x:c r="N183" s="38" t="n">
        <x:f>'Leverage Only Results'!L184</x:f>
        <x:v>0</x:v>
      </x:c>
      <x:c r="O183" s="38" t="n">
        <x:f>'Leverage Only Results'!N184</x:f>
        <x:v>5</x:v>
      </x:c>
      <x:c r="P183" s="21" t="n">
        <x:f>MIN(E183,K183)</x:f>
        <x:v>0.9037533283026566</x:v>
      </x:c>
      <x:c r="Q183" s="21" t="n">
        <x:f>AVERAGE(G183,M183)</x:f>
        <x:v>0.000016704117751065173</x:v>
      </x:c>
      <x:c r="R183" s="38" t="n">
        <x:f>H183+N183</x:f>
        <x:v>0</x:v>
      </x:c>
      <x:c r="S183" t="str">
        <x:f>IF(AND(P183&gt;=75%,Q183&gt;0,R183&gt;=2),"YES","")</x:f>
      </x:c>
      <x:c r="T183" t="str">
        <x:f>IF(AND(P183&gt;=80%,Q183&gt;=5%),"Strong cross-mode risk reducer",IF(S183="YES","Balanced candidate","Mode-specific / fragile"))</x:f>
        <x:v>Mode-specific / fragile</x:v>
      </x:c>
    </x:row>
    <x:row r="184">
      <x:c r="A184" t="n">
        <x:v>179</x:v>
      </x:c>
      <x:c r="B184" s="39" t="str">
        <x:v>Late premarket slide</x:v>
      </x:c>
      <x:c r="C184" s="39" t="str">
        <x:v>Skip when the final 30 premarket minutes fall 0.8% or more.</x:v>
      </x:c>
      <x:c r="D184" s="21" t="n">
        <x:f>'Protected Results'!F185</x:f>
        <x:v>6.662122558464025</x:v>
      </x:c>
      <x:c r="E184" s="21" t="n">
        <x:f>'Protected Results'!G185</x:f>
        <x:v>0.9267100545533913</x:v>
      </x:c>
      <x:c r="F184" s="21" t="n">
        <x:f>'Protected Results'!H185</x:f>
        <x:v>0.813430872658145</x:v>
      </x:c>
      <x:c r="G184" s="21" t="n">
        <x:f>'Protected Results'!I185</x:f>
        <x:v>0.000033408235502130346</x:v>
      </x:c>
      <x:c r="H184" s="38" t="n">
        <x:f>'Protected Results'!L185</x:f>
        <x:v>0</x:v>
      </x:c>
      <x:c r="I184" s="38" t="n">
        <x:f>'Protected Results'!N185</x:f>
        <x:v>2</x:v>
      </x:c>
      <x:c r="J184" s="21" t="n">
        <x:f>'Leverage Only Results'!F185</x:f>
        <x:v>3.5242608678930827</x:v>
      </x:c>
      <x:c r="K184" s="21" t="n">
        <x:f>'Leverage Only Results'!G185</x:f>
        <x:v>0.9191696034591753</x:v>
      </x:c>
      <x:c r="L184" s="21" t="n">
        <x:f>'Leverage Only Results'!H185</x:f>
        <x:v>0.9107812639081152</x:v>
      </x:c>
      <x:c r="M184" s="21" t="n">
        <x:f>'Leverage Only Results'!I185</x:f>
        <x:v>0</x:v>
      </x:c>
      <x:c r="N184" s="38" t="n">
        <x:f>'Leverage Only Results'!L185</x:f>
        <x:v>0</x:v>
      </x:c>
      <x:c r="O184" s="38" t="n">
        <x:f>'Leverage Only Results'!N185</x:f>
        <x:v>2</x:v>
      </x:c>
      <x:c r="P184" s="21" t="n">
        <x:f>MIN(E184,K184)</x:f>
        <x:v>0.9191696034591753</x:v>
      </x:c>
      <x:c r="Q184" s="21" t="n">
        <x:f>AVERAGE(G184,M184)</x:f>
        <x:v>0.000016704117751065173</x:v>
      </x:c>
      <x:c r="R184" s="38" t="n">
        <x:f>H184+N184</x:f>
        <x:v>0</x:v>
      </x:c>
      <x:c r="S184" t="str">
        <x:f>IF(AND(P184&gt;=75%,Q184&gt;0,R184&gt;=2),"YES","")</x:f>
      </x:c>
      <x:c r="T184" t="str">
        <x:f>IF(AND(P184&gt;=80%,Q184&gt;=5%),"Strong cross-mode risk reducer",IF(S184="YES","Balanced candidate","Mode-specific / fragile"))</x:f>
        <x:v>Mode-specific / fragile</x:v>
      </x:c>
    </x:row>
    <x:row r="185">
      <x:c r="A185" t="n">
        <x:v>180</x:v>
      </x:c>
      <x:c r="B185" s="39" t="str">
        <x:v>Late premarket slide</x:v>
      </x:c>
      <x:c r="C185" s="39" t="str">
        <x:v>Skip when the final 30 premarket minutes fall 1.0% or more.</x:v>
      </x:c>
      <x:c r="D185" s="21" t="n">
        <x:f>'Protected Results'!F186</x:f>
        <x:v>6.662122558464025</x:v>
      </x:c>
      <x:c r="E185" s="21" t="n">
        <x:f>'Protected Results'!G186</x:f>
        <x:v>0.9267100545533913</x:v>
      </x:c>
      <x:c r="F185" s="21" t="n">
        <x:f>'Protected Results'!H186</x:f>
        <x:v>0.813430872658145</x:v>
      </x:c>
      <x:c r="G185" s="21" t="n">
        <x:f>'Protected Results'!I186</x:f>
        <x:v>0.000033408235502130346</x:v>
      </x:c>
      <x:c r="H185" s="38" t="n">
        <x:f>'Protected Results'!L186</x:f>
        <x:v>0</x:v>
      </x:c>
      <x:c r="I185" s="38" t="n">
        <x:f>'Protected Results'!N186</x:f>
        <x:v>2</x:v>
      </x:c>
      <x:c r="J185" s="21" t="n">
        <x:f>'Leverage Only Results'!F186</x:f>
        <x:v>3.5242608678930827</x:v>
      </x:c>
      <x:c r="K185" s="21" t="n">
        <x:f>'Leverage Only Results'!G186</x:f>
        <x:v>0.9191696034591753</x:v>
      </x:c>
      <x:c r="L185" s="21" t="n">
        <x:f>'Leverage Only Results'!H186</x:f>
        <x:v>0.9107812639081152</x:v>
      </x:c>
      <x:c r="M185" s="21" t="n">
        <x:f>'Leverage Only Results'!I186</x:f>
        <x:v>0</x:v>
      </x:c>
      <x:c r="N185" s="38" t="n">
        <x:f>'Leverage Only Results'!L186</x:f>
        <x:v>0</x:v>
      </x:c>
      <x:c r="O185" s="38" t="n">
        <x:f>'Leverage Only Results'!N186</x:f>
        <x:v>2</x:v>
      </x:c>
      <x:c r="P185" s="21" t="n">
        <x:f>MIN(E185,K185)</x:f>
        <x:v>0.9191696034591753</x:v>
      </x:c>
      <x:c r="Q185" s="21" t="n">
        <x:f>AVERAGE(G185,M185)</x:f>
        <x:v>0.000016704117751065173</x:v>
      </x:c>
      <x:c r="R185" s="38" t="n">
        <x:f>H185+N185</x:f>
        <x:v>0</x:v>
      </x:c>
      <x:c r="S185" t="str">
        <x:f>IF(AND(P185&gt;=75%,Q185&gt;0,R185&gt;=2),"YES","")</x:f>
      </x:c>
      <x:c r="T185" t="str">
        <x:f>IF(AND(P185&gt;=80%,Q185&gt;=5%),"Strong cross-mode risk reducer",IF(S185="YES","Balanced candidate","Mode-specific / fragile"))</x:f>
        <x:v>Mode-specific / fragile</x:v>
      </x:c>
    </x:row>
    <x:row r="186">
      <x:c r="A186" t="n">
        <x:v>181</x:v>
      </x:c>
      <x:c r="B186" s="39" t="str">
        <x:v>Late premarket slide</x:v>
      </x:c>
      <x:c r="C186" s="39" t="str">
        <x:v>Skip when the final 60 premarket minutes fall 0.2% or more.</x:v>
      </x:c>
      <x:c r="D186" s="21" t="n">
        <x:f>'Protected Results'!F187</x:f>
        <x:v>3.74629547953852</x:v>
      </x:c>
      <x:c r="E186" s="21" t="n">
        <x:f>'Protected Results'!G187</x:f>
        <x:v>0.5211146534381205</x:v>
      </x:c>
      <x:c r="F186" s="21" t="n">
        <x:f>'Protected Results'!H187</x:f>
        <x:v>0.8017823649957696</x:v>
      </x:c>
      <x:c r="G186" s="21" t="n">
        <x:f>'Protected Results'!I187</x:f>
        <x:v>0.011681915897877482</x:v>
      </x:c>
      <x:c r="H186" s="38" t="n">
        <x:f>'Protected Results'!L187</x:f>
        <x:v>1</x:v>
      </x:c>
      <x:c r="I186" s="38" t="n">
        <x:f>'Protected Results'!N187</x:f>
        <x:v>41</x:v>
      </x:c>
      <x:c r="J186" s="21" t="n">
        <x:f>'Leverage Only Results'!F187</x:f>
        <x:v>2.3644892747756074</x:v>
      </x:c>
      <x:c r="K186" s="21" t="n">
        <x:f>'Leverage Only Results'!G187</x:f>
        <x:v>0.6166872290524501</x:v>
      </x:c>
      <x:c r="L186" s="21" t="n">
        <x:f>'Leverage Only Results'!H187</x:f>
        <x:v>0.9024446766781671</x:v>
      </x:c>
      <x:c r="M186" s="21" t="n">
        <x:f>'Leverage Only Results'!I187</x:f>
        <x:v>0.008336587229948123</x:v>
      </x:c>
      <x:c r="N186" s="38" t="n">
        <x:f>'Leverage Only Results'!L187</x:f>
        <x:v>4</x:v>
      </x:c>
      <x:c r="O186" s="38" t="n">
        <x:f>'Leverage Only Results'!N187</x:f>
        <x:v>55</x:v>
      </x:c>
      <x:c r="P186" s="21" t="n">
        <x:f>MIN(E186,K186)</x:f>
        <x:v>0.5211146534381205</x:v>
      </x:c>
      <x:c r="Q186" s="21" t="n">
        <x:f>AVERAGE(G186,M186)</x:f>
        <x:v>0.010009251563912802</x:v>
      </x:c>
      <x:c r="R186" s="38" t="n">
        <x:f>H186+N186</x:f>
        <x:v>5</x:v>
      </x:c>
      <x:c r="S186" t="str">
        <x:f>IF(AND(P186&gt;=75%,Q186&gt;0,R186&gt;=2),"YES","")</x:f>
      </x:c>
      <x:c r="T186" t="str">
        <x:f>IF(AND(P186&gt;=80%,Q186&gt;=5%),"Strong cross-mode risk reducer",IF(S186="YES","Balanced candidate","Mode-specific / fragile"))</x:f>
        <x:v>Mode-specific / fragile</x:v>
      </x:c>
    </x:row>
    <x:row r="187">
      <x:c r="A187" t="n">
        <x:v>182</x:v>
      </x:c>
      <x:c r="B187" s="39" t="str">
        <x:v>Late premarket slide</x:v>
      </x:c>
      <x:c r="C187" s="39" t="str">
        <x:v>Skip when the final 60 premarket minutes fall 0.4% or more.</x:v>
      </x:c>
      <x:c r="D187" s="21" t="n">
        <x:f>'Protected Results'!F188</x:f>
        <x:v>6.112131382843173</x:v>
      </x:c>
      <x:c r="E187" s="21" t="n">
        <x:f>'Protected Results'!G188</x:f>
        <x:v>0.8502055549902681</x:v>
      </x:c>
      <x:c r="F187" s="21" t="n">
        <x:f>'Protected Results'!H188</x:f>
        <x:v>0.8133338644095478</x:v>
      </x:c>
      <x:c r="G187" s="21" t="n">
        <x:f>'Protected Results'!I188</x:f>
        <x:v>0.00013041648409928275</x:v>
      </x:c>
      <x:c r="H187" s="38" t="n">
        <x:f>'Protected Results'!L188</x:f>
        <x:v>0</x:v>
      </x:c>
      <x:c r="I187" s="38" t="n">
        <x:f>'Protected Results'!N188</x:f>
        <x:v>8</x:v>
      </x:c>
      <x:c r="J187" s="21" t="n">
        <x:f>'Leverage Only Results'!F188</x:f>
        <x:v>3.447635720153591</x:v>
      </x:c>
      <x:c r="K187" s="21" t="n">
        <x:f>'Leverage Only Results'!G188</x:f>
        <x:v>0.8991848437314383</x:v>
      </x:c>
      <x:c r="L187" s="21" t="n">
        <x:f>'Leverage Only Results'!H188</x:f>
        <x:v>0.898369024153611</x:v>
      </x:c>
      <x:c r="M187" s="21" t="n">
        <x:f>'Leverage Only Results'!I188</x:f>
        <x:v>0.012412239754504228</x:v>
      </x:c>
      <x:c r="N187" s="38" t="n">
        <x:f>'Leverage Only Results'!L188</x:f>
        <x:v>1</x:v>
      </x:c>
      <x:c r="O187" s="38" t="n">
        <x:f>'Leverage Only Results'!N188</x:f>
        <x:v>14</x:v>
      </x:c>
      <x:c r="P187" s="21" t="n">
        <x:f>MIN(E187,K187)</x:f>
        <x:v>0.8502055549902681</x:v>
      </x:c>
      <x:c r="Q187" s="21" t="n">
        <x:f>AVERAGE(G187,M187)</x:f>
        <x:v>0.006271328119301756</x:v>
      </x:c>
      <x:c r="R187" s="38" t="n">
        <x:f>H187+N187</x:f>
        <x:v>1</x:v>
      </x:c>
      <x:c r="S187" t="str">
        <x:f>IF(AND(P187&gt;=75%,Q187&gt;0,R187&gt;=2),"YES","")</x:f>
      </x:c>
      <x:c r="T187" t="str">
        <x:f>IF(AND(P187&gt;=80%,Q187&gt;=5%),"Strong cross-mode risk reducer",IF(S187="YES","Balanced candidate","Mode-specific / fragile"))</x:f>
        <x:v>Mode-specific / fragile</x:v>
      </x:c>
    </x:row>
    <x:row r="188">
      <x:c r="A188" t="n">
        <x:v>183</x:v>
      </x:c>
      <x:c r="B188" s="39" t="str">
        <x:v>Late premarket slide</x:v>
      </x:c>
      <x:c r="C188" s="39" t="str">
        <x:v>Skip when the final 60 premarket minutes fall 0.6% or more.</x:v>
      </x:c>
      <x:c r="D188" s="21" t="n">
        <x:f>'Protected Results'!F189</x:f>
        <x:v>6.36826298488349</x:v>
      </x:c>
      <x:c r="E188" s="21" t="n">
        <x:f>'Protected Results'!G189</x:f>
        <x:v>0.885833799414873</x:v>
      </x:c>
      <x:c r="F188" s="21" t="n">
        <x:f>'Protected Results'!H189</x:f>
        <x:v>0.8133831879987528</x:v>
      </x:c>
      <x:c r="G188" s="21" t="n">
        <x:f>'Protected Results'!I189</x:f>
        <x:v>0.00008109289489433014</x:v>
      </x:c>
      <x:c r="H188" s="38" t="n">
        <x:f>'Protected Results'!L189</x:f>
        <x:v>0</x:v>
      </x:c>
      <x:c r="I188" s="38" t="n">
        <x:f>'Protected Results'!N189</x:f>
        <x:v>4</x:v>
      </x:c>
      <x:c r="J188" s="21" t="n">
        <x:f>'Leverage Only Results'!F189</x:f>
        <x:v>3.3551286392087363</x:v>
      </x:c>
      <x:c r="K188" s="21" t="n">
        <x:f>'Leverage Only Results'!G189</x:f>
        <x:v>0.8750578848891203</x:v>
      </x:c>
      <x:c r="L188" s="21" t="n">
        <x:f>'Leverage Only Results'!H189</x:f>
        <x:v>0.9107812639081152</x:v>
      </x:c>
      <x:c r="M188" s="21" t="n">
        <x:f>'Leverage Only Results'!I189</x:f>
        <x:v>0</x:v>
      </x:c>
      <x:c r="N188" s="38" t="n">
        <x:f>'Leverage Only Results'!L189</x:f>
        <x:v>0</x:v>
      </x:c>
      <x:c r="O188" s="38" t="n">
        <x:f>'Leverage Only Results'!N189</x:f>
        <x:v>6</x:v>
      </x:c>
      <x:c r="P188" s="21" t="n">
        <x:f>MIN(E188,K188)</x:f>
        <x:v>0.8750578848891203</x:v>
      </x:c>
      <x:c r="Q188" s="21" t="n">
        <x:f>AVERAGE(G188,M188)</x:f>
        <x:v>0.00004054644744716507</x:v>
      </x:c>
      <x:c r="R188" s="38" t="n">
        <x:f>H188+N188</x:f>
        <x:v>0</x:v>
      </x:c>
      <x:c r="S188" t="str">
        <x:f>IF(AND(P188&gt;=75%,Q188&gt;0,R188&gt;=2),"YES","")</x:f>
      </x:c>
      <x:c r="T188" t="str">
        <x:f>IF(AND(P188&gt;=80%,Q188&gt;=5%),"Strong cross-mode risk reducer",IF(S188="YES","Balanced candidate","Mode-specific / fragile"))</x:f>
        <x:v>Mode-specific / fragile</x:v>
      </x:c>
    </x:row>
    <x:row r="189">
      <x:c r="A189" t="n">
        <x:v>184</x:v>
      </x:c>
      <x:c r="B189" s="39" t="str">
        <x:v>Late premarket slide</x:v>
      </x:c>
      <x:c r="C189" s="39" t="str">
        <x:v>Skip when the final 60 premarket minutes fall 0.8% or more.</x:v>
      </x:c>
      <x:c r="D189" s="21" t="n">
        <x:f>'Protected Results'!F190</x:f>
        <x:v>6.511535670565842</x:v>
      </x:c>
      <x:c r="E189" s="21" t="n">
        <x:f>'Protected Results'!G190</x:f>
        <x:v>0.9057632193856929</x:v>
      </x:c>
      <x:c r="F189" s="21" t="n">
        <x:f>'Protected Results'!H190</x:f>
        <x:v>0.813430872658145</x:v>
      </x:c>
      <x:c r="G189" s="21" t="n">
        <x:f>'Protected Results'!I190</x:f>
        <x:v>0.000033408235502130346</x:v>
      </x:c>
      <x:c r="H189" s="38" t="n">
        <x:f>'Protected Results'!L190</x:f>
        <x:v>0</x:v>
      </x:c>
      <x:c r="I189" s="38" t="n">
        <x:f>'Protected Results'!N190</x:f>
        <x:v>3</x:v>
      </x:c>
      <x:c r="J189" s="21" t="n">
        <x:f>'Leverage Only Results'!F190</x:f>
        <x:v>3.376133907303797</x:v>
      </x:c>
      <x:c r="K189" s="21" t="n">
        <x:f>'Leverage Only Results'!G190</x:f>
        <x:v>0.8805363113363184</x:v>
      </x:c>
      <x:c r="L189" s="21" t="n">
        <x:f>'Leverage Only Results'!H190</x:f>
        <x:v>0.9107812639081152</x:v>
      </x:c>
      <x:c r="M189" s="21" t="n">
        <x:f>'Leverage Only Results'!I190</x:f>
        <x:v>0</x:v>
      </x:c>
      <x:c r="N189" s="38" t="n">
        <x:f>'Leverage Only Results'!L190</x:f>
        <x:v>0</x:v>
      </x:c>
      <x:c r="O189" s="38" t="n">
        <x:f>'Leverage Only Results'!N190</x:f>
        <x:v>4</x:v>
      </x:c>
      <x:c r="P189" s="21" t="n">
        <x:f>MIN(E189,K189)</x:f>
        <x:v>0.8805363113363184</x:v>
      </x:c>
      <x:c r="Q189" s="21" t="n">
        <x:f>AVERAGE(G189,M189)</x:f>
        <x:v>0.000016704117751065173</x:v>
      </x:c>
      <x:c r="R189" s="38" t="n">
        <x:f>H189+N189</x:f>
        <x:v>0</x:v>
      </x:c>
      <x:c r="S189" t="str">
        <x:f>IF(AND(P189&gt;=75%,Q189&gt;0,R189&gt;=2),"YES","")</x:f>
      </x:c>
      <x:c r="T189" t="str">
        <x:f>IF(AND(P189&gt;=80%,Q189&gt;=5%),"Strong cross-mode risk reducer",IF(S189="YES","Balanced candidate","Mode-specific / fragile"))</x:f>
        <x:v>Mode-specific / fragile</x:v>
      </x:c>
    </x:row>
    <x:row r="190">
      <x:c r="A190" t="n">
        <x:v>185</x:v>
      </x:c>
      <x:c r="B190" s="39" t="str">
        <x:v>Late premarket slide</x:v>
      </x:c>
      <x:c r="C190" s="39" t="str">
        <x:v>Skip when the final 60 premarket minutes fall 1.0% or more.</x:v>
      </x:c>
      <x:c r="D190" s="21" t="n">
        <x:f>'Protected Results'!F191</x:f>
        <x:v>6.662122558464025</x:v>
      </x:c>
      <x:c r="E190" s="21" t="n">
        <x:f>'Protected Results'!G191</x:f>
        <x:v>0.9267100545533913</x:v>
      </x:c>
      <x:c r="F190" s="21" t="n">
        <x:f>'Protected Results'!H191</x:f>
        <x:v>0.813430872658145</x:v>
      </x:c>
      <x:c r="G190" s="21" t="n">
        <x:f>'Protected Results'!I191</x:f>
        <x:v>0.000033408235502130346</x:v>
      </x:c>
      <x:c r="H190" s="38" t="n">
        <x:f>'Protected Results'!L191</x:f>
        <x:v>0</x:v>
      </x:c>
      <x:c r="I190" s="38" t="n">
        <x:f>'Protected Results'!N191</x:f>
        <x:v>2</x:v>
      </x:c>
      <x:c r="J190" s="21" t="n">
        <x:f>'Leverage Only Results'!F191</x:f>
        <x:v>3.4638618883935957</x:v>
      </x:c>
      <x:c r="K190" s="21" t="n">
        <x:f>'Leverage Only Results'!G191</x:f>
        <x:v>0.903416823481491</x:v>
      </x:c>
      <x:c r="L190" s="21" t="n">
        <x:f>'Leverage Only Results'!H191</x:f>
        <x:v>0.9107812639081152</x:v>
      </x:c>
      <x:c r="M190" s="21" t="n">
        <x:f>'Leverage Only Results'!I191</x:f>
        <x:v>0</x:v>
      </x:c>
      <x:c r="N190" s="38" t="n">
        <x:f>'Leverage Only Results'!L191</x:f>
        <x:v>0</x:v>
      </x:c>
      <x:c r="O190" s="38" t="n">
        <x:f>'Leverage Only Results'!N191</x:f>
        <x:v>3</x:v>
      </x:c>
      <x:c r="P190" s="21" t="n">
        <x:f>MIN(E190,K190)</x:f>
        <x:v>0.903416823481491</x:v>
      </x:c>
      <x:c r="Q190" s="21" t="n">
        <x:f>AVERAGE(G190,M190)</x:f>
        <x:v>0.000016704117751065173</x:v>
      </x:c>
      <x:c r="R190" s="38" t="n">
        <x:f>H190+N190</x:f>
        <x:v>0</x:v>
      </x:c>
      <x:c r="S190" t="str">
        <x:f>IF(AND(P190&gt;=75%,Q190&gt;0,R190&gt;=2),"YES","")</x:f>
      </x:c>
      <x:c r="T190" t="str">
        <x:f>IF(AND(P190&gt;=80%,Q190&gt;=5%),"Strong cross-mode risk reducer",IF(S190="YES","Balanced candidate","Mode-specific / fragile"))</x:f>
        <x:v>Mode-specific / fragile</x:v>
      </x:c>
    </x:row>
    <x:row r="191">
      <x:c r="A191" t="n">
        <x:v>186</x:v>
      </x:c>
      <x:c r="B191" s="39" t="str">
        <x:v>Late premarket slide</x:v>
      </x:c>
      <x:c r="C191" s="39" t="str">
        <x:v>Skip when the final 120 premarket minutes fall 0.2% or more.</x:v>
      </x:c>
      <x:c r="D191" s="21" t="n">
        <x:f>'Protected Results'!F192</x:f>
        <x:v>4.045428086870131</x:v>
      </x:c>
      <x:c r="E191" s="21" t="n">
        <x:f>'Protected Results'!G192</x:f>
        <x:v>0.5627243945418456</x:v>
      </x:c>
      <x:c r="F191" s="21" t="n">
        <x:f>'Protected Results'!H192</x:f>
        <x:v>0.8017344460712694</x:v>
      </x:c>
      <x:c r="G191" s="21" t="n">
        <x:f>'Protected Results'!I192</x:f>
        <x:v>0.01172983482237766</x:v>
      </x:c>
      <x:c r="H191" s="38" t="n">
        <x:f>'Protected Results'!L192</x:f>
        <x:v>2</x:v>
      </x:c>
      <x:c r="I191" s="38" t="n">
        <x:f>'Protected Results'!N192</x:f>
        <x:v>51</x:v>
      </x:c>
      <x:c r="J191" s="21" t="n">
        <x:f>'Leverage Only Results'!F192</x:f>
        <x:v>2.176560357910678</x:v>
      </x:c>
      <x:c r="K191" s="21" t="n">
        <x:f>'Leverage Only Results'!G192</x:f>
        <x:v>0.5676731082287216</x:v>
      </x:c>
      <x:c r="L191" s="21" t="n">
        <x:f>'Leverage Only Results'!H192</x:f>
        <x:v>0.8739386584264313</x:v>
      </x:c>
      <x:c r="M191" s="21" t="n">
        <x:f>'Leverage Only Results'!I192</x:f>
        <x:v>0.03684260548168394</x:v>
      </x:c>
      <x:c r="N191" s="38" t="n">
        <x:f>'Leverage Only Results'!L192</x:f>
        <x:v>7</x:v>
      </x:c>
      <x:c r="O191" s="38" t="n">
        <x:f>'Leverage Only Results'!N192</x:f>
        <x:v>80</x:v>
      </x:c>
      <x:c r="P191" s="21" t="n">
        <x:f>MIN(E191,K191)</x:f>
        <x:v>0.5627243945418456</x:v>
      </x:c>
      <x:c r="Q191" s="21" t="n">
        <x:f>AVERAGE(G191,M191)</x:f>
        <x:v>0.024286220152030802</x:v>
      </x:c>
      <x:c r="R191" s="38" t="n">
        <x:f>H191+N191</x:f>
        <x:v>9</x:v>
      </x:c>
      <x:c r="S191" t="str">
        <x:f>IF(AND(P191&gt;=75%,Q191&gt;0,R191&gt;=2),"YES","")</x:f>
      </x:c>
      <x:c r="T191" t="str">
        <x:f>IF(AND(P191&gt;=80%,Q191&gt;=5%),"Strong cross-mode risk reducer",IF(S191="YES","Balanced candidate","Mode-specific / fragile"))</x:f>
        <x:v>Mode-specific / fragile</x:v>
      </x:c>
    </x:row>
    <x:row r="192">
      <x:c r="A192" t="n">
        <x:v>187</x:v>
      </x:c>
      <x:c r="B192" s="39" t="str">
        <x:v>Late premarket slide</x:v>
      </x:c>
      <x:c r="C192" s="39" t="str">
        <x:v>Skip when the final 120 premarket minutes fall 0.4% or more.</x:v>
      </x:c>
      <x:c r="D192" s="21" t="n">
        <x:f>'Protected Results'!F193</x:f>
        <x:v>6.000360426669828</x:v>
      </x:c>
      <x:c r="E192" s="21" t="n">
        <x:f>'Protected Results'!G193</x:f>
        <x:v>0.8346580672363404</x:v>
      </x:c>
      <x:c r="F192" s="21" t="n">
        <x:f>'Protected Results'!H193</x:f>
        <x:v>0.8134642808936471</x:v>
      </x:c>
      <x:c r="G192" s="21" t="n">
        <x:f>'Protected Results'!I193</x:f>
        <x:v>0</x:v>
      </x:c>
      <x:c r="H192" s="38" t="n">
        <x:f>'Protected Results'!L193</x:f>
        <x:v>0</x:v>
      </x:c>
      <x:c r="I192" s="38" t="n">
        <x:f>'Protected Results'!N193</x:f>
        <x:v>10</x:v>
      </x:c>
      <x:c r="J192" s="21" t="n">
        <x:f>'Leverage Only Results'!F193</x:f>
        <x:v>2.6578863797555385</x:v>
      </x:c>
      <x:c r="K192" s="21" t="n">
        <x:f>'Leverage Only Results'!G193</x:f>
        <x:v>0.6932087212885506</x:v>
      </x:c>
      <x:c r="L192" s="21" t="n">
        <x:f>'Leverage Only Results'!H193</x:f>
        <x:v>0.8871498289778846</x:v>
      </x:c>
      <x:c r="M192" s="21" t="n">
        <x:f>'Leverage Only Results'!I193</x:f>
        <x:v>0.023631434930230566</x:v>
      </x:c>
      <x:c r="N192" s="38" t="n">
        <x:f>'Leverage Only Results'!L193</x:f>
        <x:v>1</x:v>
      </x:c>
      <x:c r="O192" s="38" t="n">
        <x:f>'Leverage Only Results'!N193</x:f>
        <x:v>28</x:v>
      </x:c>
      <x:c r="P192" s="21" t="n">
        <x:f>MIN(E192,K192)</x:f>
        <x:v>0.6932087212885506</x:v>
      </x:c>
      <x:c r="Q192" s="21" t="n">
        <x:f>AVERAGE(G192,M192)</x:f>
        <x:v>0.011815717465115283</x:v>
      </x:c>
      <x:c r="R192" s="38" t="n">
        <x:f>H192+N192</x:f>
        <x:v>1</x:v>
      </x:c>
      <x:c r="S192" t="str">
        <x:f>IF(AND(P192&gt;=75%,Q192&gt;0,R192&gt;=2),"YES","")</x:f>
      </x:c>
      <x:c r="T192" t="str">
        <x:f>IF(AND(P192&gt;=80%,Q192&gt;=5%),"Strong cross-mode risk reducer",IF(S192="YES","Balanced candidate","Mode-specific / fragile"))</x:f>
        <x:v>Mode-specific / fragile</x:v>
      </x:c>
    </x:row>
    <x:row r="193">
      <x:c r="A193" t="n">
        <x:v>188</x:v>
      </x:c>
      <x:c r="B193" s="39" t="str">
        <x:v>Late premarket slide</x:v>
      </x:c>
      <x:c r="C193" s="39" t="str">
        <x:v>Skip when the final 120 premarket minutes fall 0.6% or more.</x:v>
      </x:c>
      <x:c r="D193" s="21" t="n">
        <x:f>'Protected Results'!F194</x:f>
        <x:v>6.220795173294551</x:v>
      </x:c>
      <x:c r="E193" s="21" t="n">
        <x:f>'Protected Results'!G194</x:f>
        <x:v>0.8653208318849026</x:v>
      </x:c>
      <x:c r="F193" s="21" t="n">
        <x:f>'Protected Results'!H194</x:f>
        <x:v>0.8134642808936471</x:v>
      </x:c>
      <x:c r="G193" s="21" t="n">
        <x:f>'Protected Results'!I194</x:f>
        <x:v>0</x:v>
      </x:c>
      <x:c r="H193" s="38" t="n">
        <x:f>'Protected Results'!L194</x:f>
        <x:v>0</x:v>
      </x:c>
      <x:c r="I193" s="38" t="n">
        <x:f>'Protected Results'!N194</x:f>
        <x:v>5</x:v>
      </x:c>
      <x:c r="J193" s="21" t="n">
        <x:f>'Leverage Only Results'!F194</x:f>
        <x:v>3.122222500096636</x:v>
      </x:c>
      <x:c r="K193" s="21" t="n">
        <x:f>'Leverage Only Results'!G194</x:f>
        <x:v>0.81431316378144</x:v>
      </x:c>
      <x:c r="L193" s="21" t="n">
        <x:f>'Leverage Only Results'!H194</x:f>
        <x:v>0.8871498655944053</x:v>
      </x:c>
      <x:c r="M193" s="21" t="n">
        <x:f>'Leverage Only Results'!I194</x:f>
        <x:v>0.02363139831370986</x:v>
      </x:c>
      <x:c r="N193" s="38" t="n">
        <x:f>'Leverage Only Results'!L194</x:f>
        <x:v>1</x:v>
      </x:c>
      <x:c r="O193" s="38" t="n">
        <x:f>'Leverage Only Results'!N194</x:f>
        <x:v>14</x:v>
      </x:c>
      <x:c r="P193" s="21" t="n">
        <x:f>MIN(E193,K193)</x:f>
        <x:v>0.81431316378144</x:v>
      </x:c>
      <x:c r="Q193" s="21" t="n">
        <x:f>AVERAGE(G193,M193)</x:f>
        <x:v>0.01181569915685493</x:v>
      </x:c>
      <x:c r="R193" s="38" t="n">
        <x:f>H193+N193</x:f>
        <x:v>1</x:v>
      </x:c>
      <x:c r="S193" t="str">
        <x:f>IF(AND(P193&gt;=75%,Q193&gt;0,R193&gt;=2),"YES","")</x:f>
      </x:c>
      <x:c r="T193" t="str">
        <x:f>IF(AND(P193&gt;=80%,Q193&gt;=5%),"Strong cross-mode risk reducer",IF(S193="YES","Balanced candidate","Mode-specific / fragile"))</x:f>
        <x:v>Mode-specific / fragile</x:v>
      </x:c>
    </x:row>
    <x:row r="194">
      <x:c r="A194" t="n">
        <x:v>189</x:v>
      </x:c>
      <x:c r="B194" s="39" t="str">
        <x:v>Late premarket slide</x:v>
      </x:c>
      <x:c r="C194" s="39" t="str">
        <x:v>Skip when the final 120 premarket minutes fall 0.8% or more.</x:v>
      </x:c>
      <x:c r="D194" s="21" t="n">
        <x:f>'Protected Results'!F195</x:f>
        <x:v>6.117464527214788</x:v>
      </x:c>
      <x:c r="E194" s="21" t="n">
        <x:f>'Protected Results'!G195</x:f>
        <x:v>0.8509474024222523</x:v>
      </x:c>
      <x:c r="F194" s="21" t="n">
        <x:f>'Protected Results'!H195</x:f>
        <x:v>0.8134642808936471</x:v>
      </x:c>
      <x:c r="G194" s="21" t="n">
        <x:f>'Protected Results'!I195</x:f>
        <x:v>0</x:v>
      </x:c>
      <x:c r="H194" s="38" t="n">
        <x:f>'Protected Results'!L195</x:f>
        <x:v>0</x:v>
      </x:c>
      <x:c r="I194" s="38" t="n">
        <x:f>'Protected Results'!N195</x:f>
        <x:v>4</x:v>
      </x:c>
      <x:c r="J194" s="21" t="n">
        <x:f>'Leverage Only Results'!F195</x:f>
        <x:v>3.154579408788819</x:v>
      </x:c>
      <x:c r="K194" s="21" t="n">
        <x:f>'Leverage Only Results'!G195</x:f>
        <x:v>0.8227522345672353</x:v>
      </x:c>
      <x:c r="L194" s="21" t="n">
        <x:f>'Leverage Only Results'!H195</x:f>
        <x:v>0.9107812639081152</x:v>
      </x:c>
      <x:c r="M194" s="21" t="n">
        <x:f>'Leverage Only Results'!I195</x:f>
        <x:v>0</x:v>
      </x:c>
      <x:c r="N194" s="38" t="n">
        <x:f>'Leverage Only Results'!L195</x:f>
        <x:v>0</x:v>
      </x:c>
      <x:c r="O194" s="38" t="n">
        <x:f>'Leverage Only Results'!N195</x:f>
        <x:v>9</x:v>
      </x:c>
      <x:c r="P194" s="21" t="n">
        <x:f>MIN(E194,K194)</x:f>
        <x:v>0.8227522345672353</x:v>
      </x:c>
      <x:c r="Q194" s="21" t="n">
        <x:f>AVERAGE(G194,M194)</x:f>
        <x:v>0</x:v>
      </x:c>
      <x:c r="R194" s="38" t="n">
        <x:f>H194+N194</x:f>
        <x:v>0</x:v>
      </x:c>
      <x:c r="S194" t="str">
        <x:f>IF(AND(P194&gt;=75%,Q194&gt;0,R194&gt;=2),"YES","")</x:f>
      </x:c>
      <x:c r="T194" t="str">
        <x:f>IF(AND(P194&gt;=80%,Q194&gt;=5%),"Strong cross-mode risk reducer",IF(S194="YES","Balanced candidate","Mode-specific / fragile"))</x:f>
        <x:v>Mode-specific / fragile</x:v>
      </x:c>
    </x:row>
    <x:row r="195">
      <x:c r="A195" t="n">
        <x:v>190</x:v>
      </x:c>
      <x:c r="B195" s="39" t="str">
        <x:v>Late premarket slide</x:v>
      </x:c>
      <x:c r="C195" s="39" t="str">
        <x:v>Skip when the final 120 premarket minutes fall 1.0% or more.</x:v>
      </x:c>
      <x:c r="D195" s="21" t="n">
        <x:f>'Protected Results'!F196</x:f>
        <x:v>6.396446319527113</x:v>
      </x:c>
      <x:c r="E195" s="21" t="n">
        <x:f>'Protected Results'!G196</x:f>
        <x:v>0.8897541385193986</x:v>
      </x:c>
      <x:c r="F195" s="21" t="n">
        <x:f>'Protected Results'!H196</x:f>
        <x:v>0.8134642808936471</x:v>
      </x:c>
      <x:c r="G195" s="21" t="n">
        <x:f>'Protected Results'!I196</x:f>
        <x:v>0</x:v>
      </x:c>
      <x:c r="H195" s="38" t="n">
        <x:f>'Protected Results'!L196</x:f>
        <x:v>0</x:v>
      </x:c>
      <x:c r="I195" s="38" t="n">
        <x:f>'Protected Results'!N196</x:f>
        <x:v>3</x:v>
      </x:c>
      <x:c r="J195" s="21" t="n">
        <x:f>'Leverage Only Results'!F196</x:f>
        <x:v>3.3124458752945376</x:v>
      </x:c>
      <x:c r="K195" s="21" t="n">
        <x:f>'Leverage Only Results'!G196</x:f>
        <x:v>0.8639257069226777</x:v>
      </x:c>
      <x:c r="L195" s="21" t="n">
        <x:f>'Leverage Only Results'!H196</x:f>
        <x:v>0.9107812639081152</x:v>
      </x:c>
      <x:c r="M195" s="21" t="n">
        <x:f>'Leverage Only Results'!I196</x:f>
        <x:v>0</x:v>
      </x:c>
      <x:c r="N195" s="38" t="n">
        <x:f>'Leverage Only Results'!L196</x:f>
        <x:v>0</x:v>
      </x:c>
      <x:c r="O195" s="38" t="n">
        <x:f>'Leverage Only Results'!N196</x:f>
        <x:v>4</x:v>
      </x:c>
      <x:c r="P195" s="21" t="n">
        <x:f>MIN(E195,K195)</x:f>
        <x:v>0.8639257069226777</x:v>
      </x:c>
      <x:c r="Q195" s="21" t="n">
        <x:f>AVERAGE(G195,M195)</x:f>
        <x:v>0</x:v>
      </x:c>
      <x:c r="R195" s="38" t="n">
        <x:f>H195+N195</x:f>
        <x:v>0</x:v>
      </x:c>
      <x:c r="S195" t="str">
        <x:f>IF(AND(P195&gt;=75%,Q195&gt;0,R195&gt;=2),"YES","")</x:f>
      </x:c>
      <x:c r="T195" t="str">
        <x:f>IF(AND(P195&gt;=80%,Q195&gt;=5%),"Strong cross-mode risk reducer",IF(S195="YES","Balanced candidate","Mode-specific / fragile"))</x:f>
        <x:v>Mode-specific / fragile</x:v>
      </x:c>
    </x:row>
    <x:row r="196">
      <x:c r="A196" t="n">
        <x:v>191</x:v>
      </x:c>
      <x:c r="B196" s="39" t="str">
        <x:v>Premarket peak-to-trough drawdown</x:v>
      </x:c>
      <x:c r="C196" s="39" t="str">
        <x:v>Skip when premarket peak-to-trough drawdown reaches 0.4%.</x:v>
      </x:c>
      <x:c r="D196" s="21" t="n">
        <x:f>'Protected Results'!F197</x:f>
        <x:v>0.4987327605212193</x:v>
      </x:c>
      <x:c r="E196" s="21" t="n">
        <x:f>'Protected Results'!G197</x:f>
        <x:v>0.06937438626417883</x:v>
      </x:c>
      <x:c r="F196" s="21" t="n">
        <x:f>'Protected Results'!H197</x:f>
        <x:v>0.7067674226346374</x:v>
      </x:c>
      <x:c r="G196" s="21" t="n">
        <x:f>'Protected Results'!I197</x:f>
        <x:v>0.10669685825900965</x:v>
      </x:c>
      <x:c r="H196" s="38" t="n">
        <x:f>'Protected Results'!L197</x:f>
        <x:v>14</x:v>
      </x:c>
      <x:c r="I196" s="38" t="n">
        <x:f>'Protected Results'!N197</x:f>
        <x:v>276</x:v>
      </x:c>
      <x:c r="J196" s="21" t="n">
        <x:f>'Leverage Only Results'!F197</x:f>
        <x:v>0.4387751530225068</x:v>
      </x:c>
      <x:c r="K196" s="21" t="n">
        <x:f>'Leverage Only Results'!G197</x:f>
        <x:v>0.11443783491899893</x:v>
      </x:c>
      <x:c r="L196" s="21" t="n">
        <x:f>'Leverage Only Results'!H197</x:f>
        <x:v>0.7066220205464366</x:v>
      </x:c>
      <x:c r="M196" s="21" t="n">
        <x:f>'Leverage Only Results'!I197</x:f>
        <x:v>0.20415924336167857</x:v>
      </x:c>
      <x:c r="N196" s="38" t="n">
        <x:f>'Leverage Only Results'!L197</x:f>
        <x:v>17</x:v>
      </x:c>
      <x:c r="O196" s="38" t="n">
        <x:f>'Leverage Only Results'!N197</x:f>
        <x:v>330</x:v>
      </x:c>
      <x:c r="P196" s="21" t="n">
        <x:f>MIN(E196,K196)</x:f>
        <x:v>0.06937438626417883</x:v>
      </x:c>
      <x:c r="Q196" s="21" t="n">
        <x:f>AVERAGE(G196,M196)</x:f>
        <x:v>0.1554280508103441</x:v>
      </x:c>
      <x:c r="R196" s="38" t="n">
        <x:f>H196+N196</x:f>
        <x:v>31</x:v>
      </x:c>
      <x:c r="S196" t="str">
        <x:f>IF(AND(P196&gt;=75%,Q196&gt;0,R196&gt;=2),"YES","")</x:f>
      </x:c>
      <x:c r="T196" t="str">
        <x:f>IF(AND(P196&gt;=80%,Q196&gt;=5%),"Strong cross-mode risk reducer",IF(S196="YES","Balanced candidate","Mode-specific / fragile"))</x:f>
        <x:v>Mode-specific / fragile</x:v>
      </x:c>
    </x:row>
    <x:row r="197">
      <x:c r="A197" t="n">
        <x:v>192</x:v>
      </x:c>
      <x:c r="B197" s="39" t="str">
        <x:v>Premarket peak-to-trough drawdown</x:v>
      </x:c>
      <x:c r="C197" s="39" t="str">
        <x:v>Skip when premarket peak-to-trough drawdown reaches 0.6%.</x:v>
      </x:c>
      <x:c r="D197" s="21" t="n">
        <x:f>'Protected Results'!F198</x:f>
        <x:v>1.1600279652976848</x:v>
      </x:c>
      <x:c r="E197" s="21" t="n">
        <x:f>'Protected Results'!G198</x:f>
        <x:v>0.1613614234158316</x:v>
      </x:c>
      <x:c r="F197" s="21" t="n">
        <x:f>'Protected Results'!H198</x:f>
        <x:v>0.6333247678799231</x:v>
      </x:c>
      <x:c r="G197" s="21" t="n">
        <x:f>'Protected Results'!I198</x:f>
        <x:v>0.180139513013724</x:v>
      </x:c>
      <x:c r="H197" s="38" t="n">
        <x:f>'Protected Results'!L198</x:f>
        <x:v>10</x:v>
      </x:c>
      <x:c r="I197" s="38" t="n">
        <x:f>'Protected Results'!N198</x:f>
        <x:v>188</x:v>
      </x:c>
      <x:c r="J197" s="21" t="n">
        <x:f>'Leverage Only Results'!F198</x:f>
        <x:v>0.8743082714324442</x:v>
      </x:c>
      <x:c r="K197" s="21" t="n">
        <x:f>'Leverage Only Results'!G198</x:f>
        <x:v>0.22803010823488706</x:v>
      </x:c>
      <x:c r="L197" s="21" t="n">
        <x:f>'Leverage Only Results'!H198</x:f>
        <x:v>0.6561686495186699</x:v>
      </x:c>
      <x:c r="M197" s="21" t="n">
        <x:f>'Leverage Only Results'!I198</x:f>
        <x:v>0.25461261438944527</x:v>
      </x:c>
      <x:c r="N197" s="38" t="n">
        <x:f>'Leverage Only Results'!L198</x:f>
        <x:v>16</x:v>
      </x:c>
      <x:c r="O197" s="38" t="n">
        <x:f>'Leverage Only Results'!N198</x:f>
        <x:v>236</x:v>
      </x:c>
      <x:c r="P197" s="21" t="n">
        <x:f>MIN(E197,K197)</x:f>
        <x:v>0.1613614234158316</x:v>
      </x:c>
      <x:c r="Q197" s="21" t="n">
        <x:f>AVERAGE(G197,M197)</x:f>
        <x:v>0.21737606370158463</x:v>
      </x:c>
      <x:c r="R197" s="38" t="n">
        <x:f>H197+N197</x:f>
        <x:v>26</x:v>
      </x:c>
      <x:c r="S197" t="str">
        <x:f>IF(AND(P197&gt;=75%,Q197&gt;0,R197&gt;=2),"YES","")</x:f>
      </x:c>
      <x:c r="T197" t="str">
        <x:f>IF(AND(P197&gt;=80%,Q197&gt;=5%),"Strong cross-mode risk reducer",IF(S197="YES","Balanced candidate","Mode-specific / fragile"))</x:f>
        <x:v>Mode-specific / fragile</x:v>
      </x:c>
    </x:row>
    <x:row r="198">
      <x:c r="A198" t="n">
        <x:v>193</x:v>
      </x:c>
      <x:c r="B198" s="39" t="str">
        <x:v>Premarket peak-to-trough drawdown</x:v>
      </x:c>
      <x:c r="C198" s="39" t="str">
        <x:v>Skip when premarket peak-to-trough drawdown reaches 0.8%.</x:v>
      </x:c>
      <x:c r="D198" s="21" t="n">
        <x:f>'Protected Results'!F199</x:f>
        <x:v>1.6085939843180062</x:v>
      </x:c>
      <x:c r="E198" s="21" t="n">
        <x:f>'Protected Results'!G199</x:f>
        <x:v>0.22375754962173533</x:v>
      </x:c>
      <x:c r="F198" s="21" t="n">
        <x:f>'Protected Results'!H199</x:f>
        <x:v>0.6685764046674543</x:v>
      </x:c>
      <x:c r="G198" s="21" t="n">
        <x:f>'Protected Results'!I199</x:f>
        <x:v>0.1448878762261928</x:v>
      </x:c>
      <x:c r="H198" s="38" t="n">
        <x:f>'Protected Results'!L199</x:f>
        <x:v>8</x:v>
      </x:c>
      <x:c r="I198" s="38" t="n">
        <x:f>'Protected Results'!N199</x:f>
        <x:v>137</x:v>
      </x:c>
      <x:c r="J198" s="21" t="n">
        <x:f>'Leverage Only Results'!F199</x:f>
        <x:v>0.8045764606412966</x:v>
      </x:c>
      <x:c r="K198" s="21" t="n">
        <x:f>'Leverage Only Results'!G199</x:f>
        <x:v>0.20984321365585223</x:v>
      </x:c>
      <x:c r="L198" s="21" t="n">
        <x:f>'Leverage Only Results'!H199</x:f>
        <x:v>0.7681481036796117</x:v>
      </x:c>
      <x:c r="M198" s="21" t="n">
        <x:f>'Leverage Only Results'!I199</x:f>
        <x:v>0.14263316022850347</x:v>
      </x:c>
      <x:c r="N198" s="38" t="n">
        <x:f>'Leverage Only Results'!L199</x:f>
        <x:v>12</x:v>
      </x:c>
      <x:c r="O198" s="38" t="n">
        <x:f>'Leverage Only Results'!N199</x:f>
        <x:v>179</x:v>
      </x:c>
      <x:c r="P198" s="21" t="n">
        <x:f>MIN(E198,K198)</x:f>
        <x:v>0.20984321365585223</x:v>
      </x:c>
      <x:c r="Q198" s="21" t="n">
        <x:f>AVERAGE(G198,M198)</x:f>
        <x:v>0.14376051822734814</x:v>
      </x:c>
      <x:c r="R198" s="38" t="n">
        <x:f>H198+N198</x:f>
        <x:v>20</x:v>
      </x:c>
      <x:c r="S198" t="str">
        <x:f>IF(AND(P198&gt;=75%,Q198&gt;0,R198&gt;=2),"YES","")</x:f>
      </x:c>
      <x:c r="T198" t="str">
        <x:f>IF(AND(P198&gt;=80%,Q198&gt;=5%),"Strong cross-mode risk reducer",IF(S198="YES","Balanced candidate","Mode-specific / fragile"))</x:f>
        <x:v>Mode-specific / fragile</x:v>
      </x:c>
    </x:row>
    <x:row r="199">
      <x:c r="A199" t="n">
        <x:v>194</x:v>
      </x:c>
      <x:c r="B199" s="39" t="str">
        <x:v>Premarket peak-to-trough drawdown</x:v>
      </x:c>
      <x:c r="C199" s="39" t="str">
        <x:v>Skip when premarket peak-to-trough drawdown reaches 1.0%.</x:v>
      </x:c>
      <x:c r="D199" s="21" t="n">
        <x:f>'Protected Results'!F200</x:f>
        <x:v>1.7465562746958172</x:v>
      </x:c>
      <x:c r="E199" s="21" t="n">
        <x:f>'Protected Results'!G200</x:f>
        <x:v>0.24294828658587317</x:v>
      </x:c>
      <x:c r="F199" s="21" t="n">
        <x:f>'Protected Results'!H200</x:f>
        <x:v>0.6575044325389094</x:v>
      </x:c>
      <x:c r="G199" s="21" t="n">
        <x:f>'Protected Results'!I200</x:f>
        <x:v>0.15595984835473764</x:v>
      </x:c>
      <x:c r="H199" s="38" t="n">
        <x:f>'Protected Results'!L200</x:f>
        <x:v>3</x:v>
      </x:c>
      <x:c r="I199" s="38" t="n">
        <x:f>'Protected Results'!N200</x:f>
        <x:v>88</x:v>
      </x:c>
      <x:c r="J199" s="21" t="n">
        <x:f>'Leverage Only Results'!F200</x:f>
        <x:v>0.401674370338186</x:v>
      </x:c>
      <x:c r="K199" s="21" t="n">
        <x:f>'Leverage Only Results'!G200</x:f>
        <x:v>0.10476150476459711</x:v>
      </x:c>
      <x:c r="L199" s="21" t="n">
        <x:f>'Leverage Only Results'!H200</x:f>
        <x:v>0.8877078173298748</x:v>
      </x:c>
      <x:c r="M199" s="21" t="n">
        <x:f>'Leverage Only Results'!I200</x:f>
        <x:v>0.023073446578240397</x:v>
      </x:c>
      <x:c r="N199" s="38" t="n">
        <x:f>'Leverage Only Results'!L200</x:f>
        <x:v>6</x:v>
      </x:c>
      <x:c r="O199" s="38" t="n">
        <x:f>'Leverage Only Results'!N200</x:f>
        <x:v>123</x:v>
      </x:c>
      <x:c r="P199" s="21" t="n">
        <x:f>MIN(E199,K199)</x:f>
        <x:v>0.10476150476459711</x:v>
      </x:c>
      <x:c r="Q199" s="21" t="n">
        <x:f>AVERAGE(G199,M199)</x:f>
        <x:v>0.08951664746648902</x:v>
      </x:c>
      <x:c r="R199" s="38" t="n">
        <x:f>H199+N199</x:f>
        <x:v>9</x:v>
      </x:c>
      <x:c r="S199" t="str">
        <x:f>IF(AND(P199&gt;=75%,Q199&gt;0,R199&gt;=2),"YES","")</x:f>
      </x:c>
      <x:c r="T199" t="str">
        <x:f>IF(AND(P199&gt;=80%,Q199&gt;=5%),"Strong cross-mode risk reducer",IF(S199="YES","Balanced candidate","Mode-specific / fragile"))</x:f>
        <x:v>Mode-specific / fragile</x:v>
      </x:c>
    </x:row>
    <x:row r="200">
      <x:c r="A200" t="n">
        <x:v>195</x:v>
      </x:c>
      <x:c r="B200" s="39" t="str">
        <x:v>Premarket peak-to-trough drawdown</x:v>
      </x:c>
      <x:c r="C200" s="39" t="str">
        <x:v>Skip when premarket peak-to-trough drawdown reaches 1.2%.</x:v>
      </x:c>
      <x:c r="D200" s="21" t="n">
        <x:f>'Protected Results'!F201</x:f>
        <x:v>2.941020162931635</x:v>
      </x:c>
      <x:c r="E200" s="21" t="n">
        <x:f>'Protected Results'!G201</x:f>
        <x:v>0.40909979240330363</x:v>
      </x:c>
      <x:c r="F200" s="21" t="n">
        <x:f>'Protected Results'!H201</x:f>
        <x:v>0.7585846666177869</x:v>
      </x:c>
      <x:c r="G200" s="21" t="n">
        <x:f>'Protected Results'!I201</x:f>
        <x:v>0.05487961427586019</x:v>
      </x:c>
      <x:c r="H200" s="38" t="n">
        <x:f>'Protected Results'!L201</x:f>
        <x:v>1</x:v>
      </x:c>
      <x:c r="I200" s="38" t="n">
        <x:f>'Protected Results'!N201</x:f>
        <x:v>63</x:v>
      </x:c>
      <x:c r="J200" s="21" t="n">
        <x:f>'Leverage Only Results'!F201</x:f>
        <x:v>1.1496013930606757</x:v>
      </x:c>
      <x:c r="K200" s="21" t="n">
        <x:f>'Leverage Only Results'!G201</x:f>
        <x:v>0.2998298639644725</x:v>
      </x:c>
      <x:c r="L200" s="21" t="n">
        <x:f>'Leverage Only Results'!H201</x:f>
        <x:v>0.8738228878959586</x:v>
      </x:c>
      <x:c r="M200" s="21" t="n">
        <x:f>'Leverage Only Results'!I201</x:f>
        <x:v>0.03695837601215657</x:v>
      </x:c>
      <x:c r="N200" s="38" t="n">
        <x:f>'Leverage Only Results'!L201</x:f>
        <x:v>4</x:v>
      </x:c>
      <x:c r="O200" s="38" t="n">
        <x:f>'Leverage Only Results'!N201</x:f>
        <x:v>91</x:v>
      </x:c>
      <x:c r="P200" s="21" t="n">
        <x:f>MIN(E200,K200)</x:f>
        <x:v>0.2998298639644725</x:v>
      </x:c>
      <x:c r="Q200" s="21" t="n">
        <x:f>AVERAGE(G200,M200)</x:f>
        <x:v>0.04591899514400838</x:v>
      </x:c>
      <x:c r="R200" s="38" t="n">
        <x:f>H200+N200</x:f>
        <x:v>5</x:v>
      </x:c>
      <x:c r="S200" t="str">
        <x:f>IF(AND(P200&gt;=75%,Q200&gt;0,R200&gt;=2),"YES","")</x:f>
      </x:c>
      <x:c r="T200" t="str">
        <x:f>IF(AND(P200&gt;=80%,Q200&gt;=5%),"Strong cross-mode risk reducer",IF(S200="YES","Balanced candidate","Mode-specific / fragile"))</x:f>
        <x:v>Mode-specific / fragile</x:v>
      </x:c>
    </x:row>
    <x:row r="201">
      <x:c r="A201" t="n">
        <x:v>196</x:v>
      </x:c>
      <x:c r="B201" s="39" t="str">
        <x:v>Premarket peak-to-trough drawdown</x:v>
      </x:c>
      <x:c r="C201" s="39" t="str">
        <x:v>Skip when premarket peak-to-trough drawdown reaches 1.4%.</x:v>
      </x:c>
      <x:c r="D201" s="21" t="n">
        <x:f>'Protected Results'!F202</x:f>
        <x:v>3.5735047261064246</x:v>
      </x:c>
      <x:c r="E201" s="21" t="n">
        <x:f>'Protected Results'!G202</x:f>
        <x:v>0.4970792312233276</x:v>
      </x:c>
      <x:c r="F201" s="21" t="n">
        <x:f>'Protected Results'!H202</x:f>
        <x:v>0.7586311068579739</x:v>
      </x:c>
      <x:c r="G201" s="21" t="n">
        <x:f>'Protected Results'!I202</x:f>
        <x:v>0.05483317403567323</x:v>
      </x:c>
      <x:c r="H201" s="38" t="n">
        <x:f>'Protected Results'!L202</x:f>
        <x:v>1</x:v>
      </x:c>
      <x:c r="I201" s="38" t="n">
        <x:f>'Protected Results'!N202</x:f>
        <x:v>43</x:v>
      </x:c>
      <x:c r="J201" s="21" t="n">
        <x:f>'Leverage Only Results'!F202</x:f>
        <x:v>1.4972102741321383</x:v>
      </x:c>
      <x:c r="K201" s="21" t="n">
        <x:f>'Leverage Only Results'!G202</x:f>
        <x:v>0.3904904391461157</x:v>
      </x:c>
      <x:c r="L201" s="21" t="n">
        <x:f>'Leverage Only Results'!H202</x:f>
        <x:v>0.8805553544108164</x:v>
      </x:c>
      <x:c r="M201" s="21" t="n">
        <x:f>'Leverage Only Results'!I202</x:f>
        <x:v>0.030225909497298753</x:v>
      </x:c>
      <x:c r="N201" s="38" t="n">
        <x:f>'Leverage Only Results'!L202</x:f>
        <x:v>4</x:v>
      </x:c>
      <x:c r="O201" s="38" t="n">
        <x:f>'Leverage Only Results'!N202</x:f>
        <x:v>66</x:v>
      </x:c>
      <x:c r="P201" s="21" t="n">
        <x:f>MIN(E201,K201)</x:f>
        <x:v>0.3904904391461157</x:v>
      </x:c>
      <x:c r="Q201" s="21" t="n">
        <x:f>AVERAGE(G201,M201)</x:f>
        <x:v>0.04252954176648599</x:v>
      </x:c>
      <x:c r="R201" s="38" t="n">
        <x:f>H201+N201</x:f>
        <x:v>5</x:v>
      </x:c>
      <x:c r="S201" t="str">
        <x:f>IF(AND(P201&gt;=75%,Q201&gt;0,R201&gt;=2),"YES","")</x:f>
      </x:c>
      <x:c r="T201" t="str">
        <x:f>IF(AND(P201&gt;=80%,Q201&gt;=5%),"Strong cross-mode risk reducer",IF(S201="YES","Balanced candidate","Mode-specific / fragile"))</x:f>
        <x:v>Mode-specific / fragile</x:v>
      </x:c>
    </x:row>
    <x:row r="202">
      <x:c r="A202" t="n">
        <x:v>197</x:v>
      </x:c>
      <x:c r="B202" s="39" t="str">
        <x:v>Premarket peak-to-trough drawdown</x:v>
      </x:c>
      <x:c r="C202" s="39" t="str">
        <x:v>Skip when premarket peak-to-trough drawdown reaches 1.6%.</x:v>
      </x:c>
      <x:c r="D202" s="21" t="n">
        <x:f>'Protected Results'!F203</x:f>
        <x:v>4.480979557994116</x:v>
      </x:c>
      <x:c r="E202" s="21" t="n">
        <x:f>'Protected Results'!G203</x:f>
        <x:v>0.6233101799314162</x:v>
      </x:c>
      <x:c r="F202" s="21" t="n">
        <x:f>'Protected Results'!H203</x:f>
        <x:v>0.7586491457945895</x:v>
      </x:c>
      <x:c r="G202" s="21" t="n">
        <x:f>'Protected Results'!I203</x:f>
        <x:v>0.054815135099057555</x:v>
      </x:c>
      <x:c r="H202" s="38" t="n">
        <x:f>'Protected Results'!L203</x:f>
        <x:v>1</x:v>
      </x:c>
      <x:c r="I202" s="38" t="n">
        <x:f>'Protected Results'!N203</x:f>
        <x:v>35</x:v>
      </x:c>
      <x:c r="J202" s="21" t="n">
        <x:f>'Leverage Only Results'!F203</x:f>
        <x:v>1.5951032422311542</x:v>
      </x:c>
      <x:c r="K202" s="21" t="n">
        <x:f>'Leverage Only Results'!G203</x:f>
        <x:v>0.4160221021080596</x:v>
      </x:c>
      <x:c r="L202" s="21" t="n">
        <x:f>'Leverage Only Results'!H203</x:f>
        <x:v>0.9040217813479425</x:v>
      </x:c>
      <x:c r="M202" s="21" t="n">
        <x:f>'Leverage Only Results'!I203</x:f>
        <x:v>0.006759482560172669</x:v>
      </x:c>
      <x:c r="N202" s="38" t="n">
        <x:f>'Leverage Only Results'!L203</x:f>
        <x:v>2</x:v>
      </x:c>
      <x:c r="O202" s="38" t="n">
        <x:f>'Leverage Only Results'!N203</x:f>
        <x:v>51</x:v>
      </x:c>
      <x:c r="P202" s="21" t="n">
        <x:f>MIN(E202,K202)</x:f>
        <x:v>0.4160221021080596</x:v>
      </x:c>
      <x:c r="Q202" s="21" t="n">
        <x:f>AVERAGE(G202,M202)</x:f>
        <x:v>0.030787308829615112</x:v>
      </x:c>
      <x:c r="R202" s="38" t="n">
        <x:f>H202+N202</x:f>
        <x:v>3</x:v>
      </x:c>
      <x:c r="S202" t="str">
        <x:f>IF(AND(P202&gt;=75%,Q202&gt;0,R202&gt;=2),"YES","")</x:f>
      </x:c>
      <x:c r="T202" t="str">
        <x:f>IF(AND(P202&gt;=80%,Q202&gt;=5%),"Strong cross-mode risk reducer",IF(S202="YES","Balanced candidate","Mode-specific / fragile"))</x:f>
        <x:v>Mode-specific / fragile</x:v>
      </x:c>
    </x:row>
    <x:row r="203">
      <x:c r="A203" t="n">
        <x:v>198</x:v>
      </x:c>
      <x:c r="B203" s="39" t="str">
        <x:v>Premarket peak-to-trough drawdown</x:v>
      </x:c>
      <x:c r="C203" s="39" t="str">
        <x:v>Skip when premarket peak-to-trough drawdown reaches 1.8%.</x:v>
      </x:c>
      <x:c r="D203" s="21" t="n">
        <x:f>'Protected Results'!F204</x:f>
        <x:v>5.222895569459538</x:v>
      </x:c>
      <x:c r="E203" s="21" t="n">
        <x:f>'Protected Results'!G204</x:f>
        <x:v>0.7265116778662831</x:v>
      </x:c>
      <x:c r="F203" s="21" t="n">
        <x:f>'Protected Results'!H204</x:f>
        <x:v>0.7906980049837817</x:v>
      </x:c>
      <x:c r="G203" s="21" t="n">
        <x:f>'Protected Results'!I204</x:f>
        <x:v>0.022766275909865352</x:v>
      </x:c>
      <x:c r="H203" s="38" t="n">
        <x:f>'Protected Results'!L204</x:f>
        <x:v>1</x:v>
      </x:c>
      <x:c r="I203" s="38" t="n">
        <x:f>'Protected Results'!N204</x:f>
        <x:v>22</x:v>
      </x:c>
      <x:c r="J203" s="21" t="n">
        <x:f>'Leverage Only Results'!F204</x:f>
        <x:v>2.1031419150032793</x:v>
      </x:c>
      <x:c r="K203" s="21" t="n">
        <x:f>'Leverage Only Results'!G204</x:f>
        <x:v>0.5485246956726081</x:v>
      </x:c>
      <x:c r="L203" s="21" t="n">
        <x:f>'Leverage Only Results'!H204</x:f>
        <x:v>0.9107812639081152</x:v>
      </x:c>
      <x:c r="M203" s="21" t="n">
        <x:f>'Leverage Only Results'!I204</x:f>
        <x:v>0</x:v>
      </x:c>
      <x:c r="N203" s="38" t="n">
        <x:f>'Leverage Only Results'!L204</x:f>
        <x:v>1</x:v>
      </x:c>
      <x:c r="O203" s="38" t="n">
        <x:f>'Leverage Only Results'!N204</x:f>
        <x:v>34</x:v>
      </x:c>
      <x:c r="P203" s="21" t="n">
        <x:f>MIN(E203,K203)</x:f>
        <x:v>0.5485246956726081</x:v>
      </x:c>
      <x:c r="Q203" s="21" t="n">
        <x:f>AVERAGE(G203,M203)</x:f>
        <x:v>0.011383137954932676</x:v>
      </x:c>
      <x:c r="R203" s="38" t="n">
        <x:f>H203+N203</x:f>
        <x:v>2</x:v>
      </x:c>
      <x:c r="S203" t="str">
        <x:f>IF(AND(P203&gt;=75%,Q203&gt;0,R203&gt;=2),"YES","")</x:f>
      </x:c>
      <x:c r="T203" t="str">
        <x:f>IF(AND(P203&gt;=80%,Q203&gt;=5%),"Strong cross-mode risk reducer",IF(S203="YES","Balanced candidate","Mode-specific / fragile"))</x:f>
        <x:v>Mode-specific / fragile</x:v>
      </x:c>
    </x:row>
    <x:row r="204">
      <x:c r="A204" t="n">
        <x:v>199</x:v>
      </x:c>
      <x:c r="B204" s="39" t="str">
        <x:v>Premarket peak-to-trough drawdown</x:v>
      </x:c>
      <x:c r="C204" s="39" t="str">
        <x:v>Skip when premarket peak-to-trough drawdown reaches 2.0%.</x:v>
      </x:c>
      <x:c r="D204" s="21" t="n">
        <x:f>'Protected Results'!F205</x:f>
        <x:v>5.709909049794125</x:v>
      </x:c>
      <x:c r="E204" s="21" t="n">
        <x:f>'Protected Results'!G205</x:f>
        <x:v>0.7942558967647652</x:v>
      </x:c>
      <x:c r="F204" s="21" t="n">
        <x:f>'Protected Results'!H205</x:f>
        <x:v>0.790705319221653</x:v>
      </x:c>
      <x:c r="G204" s="21" t="n">
        <x:f>'Protected Results'!I205</x:f>
        <x:v>0.022758961671994093</x:v>
      </x:c>
      <x:c r="H204" s="38" t="n">
        <x:f>'Protected Results'!L205</x:f>
        <x:v>1</x:v>
      </x:c>
      <x:c r="I204" s="38" t="n">
        <x:f>'Protected Results'!N205</x:f>
        <x:v>19</x:v>
      </x:c>
      <x:c r="J204" s="21" t="n">
        <x:f>'Leverage Only Results'!F205</x:f>
        <x:v>2.5280881227980734</x:v>
      </x:c>
      <x:c r="K204" s="21" t="n">
        <x:f>'Leverage Only Results'!G205</x:f>
        <x:v>0.65935577542288</x:v>
      </x:c>
      <x:c r="L204" s="21" t="n">
        <x:f>'Leverage Only Results'!H205</x:f>
        <x:v>0.9107812639081152</x:v>
      </x:c>
      <x:c r="M204" s="21" t="n">
        <x:f>'Leverage Only Results'!I205</x:f>
        <x:v>0</x:v>
      </x:c>
      <x:c r="N204" s="38" t="n">
        <x:f>'Leverage Only Results'!L205</x:f>
        <x:v>1</x:v>
      </x:c>
      <x:c r="O204" s="38" t="n">
        <x:f>'Leverage Only Results'!N205</x:f>
        <x:v>26</x:v>
      </x:c>
      <x:c r="P204" s="21" t="n">
        <x:f>MIN(E204,K204)</x:f>
        <x:v>0.65935577542288</x:v>
      </x:c>
      <x:c r="Q204" s="21" t="n">
        <x:f>AVERAGE(G204,M204)</x:f>
        <x:v>0.011379480835997047</x:v>
      </x:c>
      <x:c r="R204" s="38" t="n">
        <x:f>H204+N204</x:f>
        <x:v>2</x:v>
      </x:c>
      <x:c r="S204" t="str">
        <x:f>IF(AND(P204&gt;=75%,Q204&gt;0,R204&gt;=2),"YES","")</x:f>
      </x:c>
      <x:c r="T204" t="str">
        <x:f>IF(AND(P204&gt;=80%,Q204&gt;=5%),"Strong cross-mode risk reducer",IF(S204="YES","Balanced candidate","Mode-specific / fragile"))</x:f>
        <x:v>Mode-specific / fragile</x:v>
      </x:c>
    </x:row>
    <x:row r="205">
      <x:c r="A205" t="n">
        <x:v>200</x:v>
      </x:c>
      <x:c r="B205" s="39" t="str">
        <x:v>Premarket peak-to-trough drawdown</x:v>
      </x:c>
      <x:c r="C205" s="39" t="str">
        <x:v>Skip when premarket peak-to-trough drawdown reaches 2.2%.</x:v>
      </x:c>
      <x:c r="D205" s="21" t="n">
        <x:f>'Protected Results'!F206</x:f>
        <x:v>6.0278767247698415</x:v>
      </x:c>
      <x:c r="E205" s="21" t="n">
        <x:f>'Protected Results'!G206</x:f>
        <x:v>0.8384856206758932</x:v>
      </x:c>
      <x:c r="F205" s="21" t="n">
        <x:f>'Protected Results'!H206</x:f>
        <x:v>0.790710659693062</x:v>
      </x:c>
      <x:c r="G205" s="21" t="n">
        <x:f>'Protected Results'!I206</x:f>
        <x:v>0.022753621200585106</x:v>
      </x:c>
      <x:c r="H205" s="38" t="n">
        <x:f>'Protected Results'!L206</x:f>
        <x:v>1</x:v>
      </x:c>
      <x:c r="I205" s="38" t="n">
        <x:f>'Protected Results'!N206</x:f>
        <x:v>15</x:v>
      </x:c>
      <x:c r="J205" s="21" t="n">
        <x:f>'Leverage Only Results'!F206</x:f>
        <x:v>2.5952348115895836</x:v>
      </x:c>
      <x:c r="K205" s="21" t="n">
        <x:f>'Leverage Only Results'!G206</x:f>
        <x:v>0.6768684391057438</x:v>
      </x:c>
      <x:c r="L205" s="21" t="n">
        <x:f>'Leverage Only Results'!H206</x:f>
        <x:v>0.9107812639081152</x:v>
      </x:c>
      <x:c r="M205" s="21" t="n">
        <x:f>'Leverage Only Results'!I206</x:f>
        <x:v>0</x:v>
      </x:c>
      <x:c r="N205" s="38" t="n">
        <x:f>'Leverage Only Results'!L206</x:f>
        <x:v>1</x:v>
      </x:c>
      <x:c r="O205" s="38" t="n">
        <x:f>'Leverage Only Results'!N206</x:f>
        <x:v>22</x:v>
      </x:c>
      <x:c r="P205" s="21" t="n">
        <x:f>MIN(E205,K205)</x:f>
        <x:v>0.6768684391057438</x:v>
      </x:c>
      <x:c r="Q205" s="21" t="n">
        <x:f>AVERAGE(G205,M205)</x:f>
        <x:v>0.011376810600292553</x:v>
      </x:c>
      <x:c r="R205" s="38" t="n">
        <x:f>H205+N205</x:f>
        <x:v>2</x:v>
      </x:c>
      <x:c r="S205" t="str">
        <x:f>IF(AND(P205&gt;=75%,Q205&gt;0,R205&gt;=2),"YES","")</x:f>
      </x:c>
      <x:c r="T205" t="str">
        <x:f>IF(AND(P205&gt;=80%,Q205&gt;=5%),"Strong cross-mode risk reducer",IF(S205="YES","Balanced candidate","Mode-specific / fragile"))</x:f>
        <x:v>Mode-specific / fragile</x:v>
      </x:c>
    </x:row>
  </x:sheetData>
  <x:mergeCells>
    <x:mergeCell ref="A1:T1"/>
    <x:mergeCell ref="A2:T2"/>
  </x:mergeCells>
  <x:conditionalFormatting sqref="P6:P20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Q6:Q205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6:S205">
    <x:cfRule type="containsText" dxfId="2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ecea7f206584b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58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5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2" hidden="0" customWidth="1"/>
  </x:cols>
  <x:sheetData>
    <x:row r="1" ht="28" customHeight="1">
      <x:c r="A1" s="3" t="str">
        <x:v>Protected mode: leverage override + gap/momentum + Tuesday normalization + premarket-low</x:v>
      </x:c>
      <x:c r="B1" s="3" t="str">
        <x:v>Protected mode: leverage override + gap/momentum + Tuesday normalization + premarket-low</x:v>
      </x:c>
      <x:c r="C1" s="3" t="str">
        <x:v>Protected mode: leverage override + gap/momentum + Tuesday normalization + premarket-low</x:v>
      </x:c>
      <x:c r="D1" s="3" t="str">
        <x:v>Protected mode: leverage override + gap/momentum + Tuesday normalization + premarket-low</x:v>
      </x:c>
      <x:c r="E1" s="3" t="str">
        <x:v>Protected mode: leverage override + gap/momentum + Tuesday normalization + premarket-low</x:v>
      </x:c>
      <x:c r="F1" s="3" t="str">
        <x:v>Protected mode: leverage override + gap/momentum + Tuesday normalization + premarket-low</x:v>
      </x:c>
      <x:c r="G1" s="3" t="str">
        <x:v>Protected mode: leverage override + gap/momentum + Tuesday normalization + premarket-low</x:v>
      </x:c>
      <x:c r="H1" s="3" t="str">
        <x:v>Protected mode: leverage override + gap/momentum + Tuesday normalization + premarket-low</x:v>
      </x:c>
      <x:c r="I1" s="3" t="str">
        <x:v>Protected mode: leverage override + gap/momentum + Tuesday normalization + premarket-low</x:v>
      </x:c>
      <x:c r="J1" s="3" t="str">
        <x:v>Protected mode: leverage override + gap/momentum + Tuesday normalization + premarket-low</x:v>
      </x:c>
      <x:c r="K1" s="3" t="str">
        <x:v>Protected mode: leverage override + gap/momentum + Tuesday normalization + premarket-low</x:v>
      </x:c>
      <x:c r="L1" s="3" t="str">
        <x:v>Protected mode: leverage override + gap/momentum + Tuesday normalization + premarket-low</x:v>
      </x:c>
      <x:c r="M1" s="3" t="str">
        <x:v>Protected mode: leverage override + gap/momentum + Tuesday normalization + premarket-low</x:v>
      </x:c>
      <x:c r="N1" s="3" t="str">
        <x:v>Protected mode: leverage override + gap/momentum + Tuesday normalization + premarket-low</x:v>
      </x:c>
      <x:c r="O1" s="3" t="str">
        <x:v>Protected mode: leverage override + gap/momentum + Tuesday normalization + premarket-low</x:v>
      </x:c>
      <x:c r="P1" s="3" t="str">
        <x:v>Protected mode: leverage override + gap/momentum + Tuesday normalization + premarket-low</x:v>
      </x:c>
      <x:c r="Q1" s="3" t="str">
        <x:v>Protected mode: leverage override + gap/momentum + Tuesday normalization + premarket-low</x:v>
      </x:c>
      <x:c r="R1" s="3" t="str">
        <x:v>Protected mode: leverage override + gap/momentum + Tuesday normalization + premarket-low</x:v>
      </x:c>
      <x:c r="S1" s="3" t="str">
        <x:v>Protected mode: leverage override + gap/momentum + Tuesday normalization + premarket-low</x:v>
      </x:c>
      <x:c r="T1" s="3" t="str">
        <x:v>Protected mode: leverage override + gap/momentum + Tuesday normalization + premarket-low</x:v>
      </x:c>
      <x:c r="U1" s="3" t="str">
        <x:v>Protected mode: leverage override + gap/momentum + Tuesday normalization + premarket-low</x:v>
      </x:c>
      <x:c r="V1" s="3" t="str">
        <x:v>Protected mode: leverage override + gap/momentum + Tuesday normalization + premarket-low</x:v>
      </x:c>
    </x:row>
    <x:row r="2">
      <x:c r="A2" s="5" t="str">
        <x:v>Exact reruns through 2026-08-12. Candidate rules act only before entry and use no future data.</x:v>
      </x:c>
      <x:c r="B2" s="5" t="str">
        <x:v>Exact reruns through 2026-08-12. Candidate rules act only before entry and use no future data.</x:v>
      </x:c>
      <x:c r="C2" s="5" t="str">
        <x:v>Exact reruns through 2026-08-12. Candidate rules act only before entry and use no future data.</x:v>
      </x:c>
      <x:c r="D2" s="5" t="str">
        <x:v>Exact reruns through 2026-08-12. Candidate rules act only before entry and use no future data.</x:v>
      </x:c>
      <x:c r="E2" s="5" t="str">
        <x:v>Exact reruns through 2026-08-12. Candidate rules act only before entry and use no future data.</x:v>
      </x:c>
      <x:c r="F2" s="5" t="str">
        <x:v>Exact reruns through 2026-08-12. Candidate rules act only before entry and use no future data.</x:v>
      </x:c>
      <x:c r="G2" s="5" t="str">
        <x:v>Exact reruns through 2026-08-12. Candidate rules act only before entry and use no future data.</x:v>
      </x:c>
      <x:c r="H2" s="5" t="str">
        <x:v>Exact reruns through 2026-08-12. Candidate rules act only before entry and use no future data.</x:v>
      </x:c>
      <x:c r="I2" s="5" t="str">
        <x:v>Exact reruns through 2026-08-12. Candidate rules act only before entry and use no future data.</x:v>
      </x:c>
      <x:c r="J2" s="5" t="str">
        <x:v>Exact reruns through 2026-08-12. Candidate rules act only before entry and use no future data.</x:v>
      </x:c>
      <x:c r="K2" s="5" t="str">
        <x:v>Exact reruns through 2026-08-12. Candidate rules act only before entry and use no future data.</x:v>
      </x:c>
      <x:c r="L2" s="5" t="str">
        <x:v>Exact reruns through 2026-08-12. Candidate rules act only before entry and use no future data.</x:v>
      </x:c>
      <x:c r="M2" s="5" t="str">
        <x:v>Exact reruns through 2026-08-12. Candidate rules act only before entry and use no future data.</x:v>
      </x:c>
      <x:c r="N2" s="5" t="str">
        <x:v>Exact reruns through 2026-08-12. Candidate rules act only before entry and use no future data.</x:v>
      </x:c>
      <x:c r="O2" s="5" t="str">
        <x:v>Exact reruns through 2026-08-12. Candidate rules act only before entry and use no future data.</x:v>
      </x:c>
      <x:c r="P2" s="5" t="str">
        <x:v>Exact reruns through 2026-08-12. Candidate rules act only before entry and use no future data.</x:v>
      </x:c>
      <x:c r="Q2" s="5" t="str">
        <x:v>Exact reruns through 2026-08-12. Candidate rules act only before entry and use no future data.</x:v>
      </x:c>
      <x:c r="R2" s="5" t="str">
        <x:v>Exact reruns through 2026-08-12. Candidate rules act only before entry and use no future data.</x:v>
      </x:c>
      <x:c r="S2" s="5" t="str">
        <x:v>Exact reruns through 2026-08-12. Candidate rules act only before entry and use no future data.</x:v>
      </x:c>
      <x:c r="T2" s="5" t="str">
        <x:v>Exact reruns through 2026-08-12. Candidate rules act only before entry and use no future data.</x:v>
      </x:c>
      <x:c r="U2" s="5" t="str">
        <x:v>Exact reruns through 2026-08-12. Candidate rules act only before entry and use no future data.</x:v>
      </x:c>
      <x:c r="V2" s="5" t="str">
        <x:v>Exact reruns through 2026-08-12. Candidate rules act only before entry and use no future data.</x:v>
      </x:c>
    </x:row>
    <x:row r="5" ht="48" customHeight="1">
      <x:c r="A5" s="13" t="str">
        <x:v>Idea ID</x:v>
      </x:c>
      <x:c r="B5" s="14" t="str">
        <x:v>Family</x:v>
      </x:c>
      <x:c r="C5" s="14" t="str">
        <x:v>Entry rule</x:v>
      </x:c>
      <x:c r="D5" s="14" t="str">
        <x:v>Final balance</x:v>
      </x:c>
      <x:c r="E5" s="14" t="str">
        <x:v>Deposited</x:v>
      </x:c>
      <x:c r="F5" s="14" t="str">
        <x:v>Exact CAGR</x:v>
      </x:c>
      <x:c r="G5" s="14" t="str">
        <x:v>CAGR retention</x:v>
      </x:c>
      <x:c r="H5" s="14" t="str">
        <x:v>Daily max DD</x:v>
      </x:c>
      <x:c r="I5" s="14" t="str">
        <x:v>Daily DD improvement</x:v>
      </x:c>
      <x:c r="J5" s="14" t="str">
        <x:v>Closed-trade DD</x:v>
      </x:c>
      <x:c r="K5" s="14" t="str">
        <x:v>Closed DD improvement</x:v>
      </x:c>
      <x:c r="L5" s="14" t="str">
        <x:v>Config worst 20 avoided</x:v>
      </x:c>
      <x:c r="M5" s="14" t="str">
        <x:v>Reference worst 20 avoided</x:v>
      </x:c>
      <x:c r="N5" s="14" t="str">
        <x:v>Entries skipped</x:v>
      </x:c>
      <x:c r="O5" s="14" t="str">
        <x:v>Baseline losers skipped</x:v>
      </x:c>
      <x:c r="P5" s="14" t="str">
        <x:v>Baseline winners skipped</x:v>
      </x:c>
      <x:c r="Q5" s="14" t="str">
        <x:v>Closed trades</x:v>
      </x:c>
      <x:c r="R5" s="14" t="str">
        <x:v>Worst trade return</x:v>
      </x:c>
      <x:c r="S5" s="14" t="str">
        <x:v>Pre-2023 daily DD</x:v>
      </x:c>
      <x:c r="T5" s="14" t="str">
        <x:v>2023+ daily DD</x:v>
      </x:c>
      <x:c r="U5" s="14" t="str">
        <x:v>Recommended screen</x:v>
      </x:c>
      <x:c r="V5" s="15" t="str">
        <x:v>Tradeoff score</x:v>
      </x:c>
    </x:row>
    <x:row r="6">
      <x:c r="A6" s="34" t="n">
        <x:v>0</x:v>
      </x:c>
      <x:c r="B6" s="32" t="str">
        <x:v>Baseline</x:v>
      </x:c>
      <x:c r="C6" s="32" t="str">
        <x:v>Baseline: no additional candidate rule.</x:v>
      </x:c>
      <x:c r="D6" s="25" t="n">
        <x:v>463060842662.48914</x:v>
      </x:c>
      <x:c r="E6" s="25" t="n">
        <x:v>12080</x:v>
      </x:c>
      <x:c r="F6" s="26" t="n">
        <x:f>(D6/E6)^(1/('Methodology'!$B$4*7/365))-1</x:f>
        <x:v>7.189004290748413</x:v>
      </x:c>
      <x:c r="G6" s="26" t="n">
        <x:f>1</x:f>
        <x:v>1</x:v>
      </x:c>
      <x:c r="H6" s="26" t="n">
        <x:v>0.8134642808936471</x:v>
      </x:c>
      <x:c r="I6" s="26" t="n">
        <x:f>0</x:f>
        <x:v>0</x:v>
      </x:c>
      <x:c r="J6" s="26" t="n">
        <x:v>0.802</x:v>
      </x:c>
      <x:c r="K6" s="26" t="n">
        <x:f>0</x:f>
        <x:v>0</x:v>
      </x:c>
      <x:c r="L6" s="25" t="n">
        <x:v>0</x:v>
      </x:c>
      <x:c r="M6" s="25" t="n">
        <x:v>0</x:v>
      </x:c>
      <x:c r="N6" s="25" t="n">
        <x:v>0</x:v>
      </x:c>
      <x:c r="O6" s="25" t="n">
        <x:v>0</x:v>
      </x:c>
      <x:c r="P6" s="25" t="n">
        <x:v>0</x:v>
      </x:c>
      <x:c r="Q6" s="25" t="n">
        <x:v>376</x:v>
      </x:c>
      <x:c r="R6" s="26" t="n">
        <x:v>-0.7230426999112742</x:v>
      </x:c>
      <x:c r="S6" s="26" t="n">
        <x:v>0.8134642808936471</x:v>
      </x:c>
      <x:c r="T6" s="26" t="n">
        <x:v>0.6582145730460247</x:v>
      </x:c>
      <x:c r="U6" s="24" t="str">
        <x:f>"BASELINE"</x:f>
        <x:v>BASELINE</x:v>
      </x:c>
      <x:c r="V6" s="27" t="n">
        <x:f>0</x:f>
        <x:v>0</x:v>
      </x:c>
    </x:row>
    <x:row r="7">
      <x:c r="A7" s="35" t="n">
        <x:v>1</x:v>
      </x:c>
      <x:c r="B7" s="33" t="str">
        <x:v>Premarket rolling shock</x:v>
      </x:c>
      <x:c r="C7" s="33" t="str">
        <x:v>Skip when the worst premarket 1-minute candle is -0.2% or worse.</x:v>
      </x:c>
      <x:c r="D7" s="29" t="n">
        <x:v>81666022.89000002</x:v>
      </x:c>
      <x:c r="E7" s="29" t="n">
        <x:v>9665</x:v>
      </x:c>
      <x:c r="F7" s="30" t="n">
        <x:f>(D7/E7)^(1/('Methodology'!$B$4*7/365))-1</x:f>
        <x:v>1.9708386224871806</x:v>
      </x:c>
      <x:c r="G7" s="30" t="n">
        <x:f>F7/$F$6</x:f>
        <x:v>0.2741462576428656</x:v>
      </x:c>
      <x:c r="H7" s="30" t="n">
        <x:v>0.7889291055170525</x:v>
      </x:c>
      <x:c r="I7" s="30" t="n">
        <x:f>$H$6-H7</x:f>
        <x:v>0.024535175376594553</x:v>
      </x:c>
      <x:c r="J7" s="30" t="n">
        <x:v>0.745</x:v>
      </x:c>
      <x:c r="K7" s="30" t="n">
        <x:f>$J$6-J7</x:f>
        <x:v>0.05700000000000005</x:v>
      </x:c>
      <x:c r="L7" s="29" t="n">
        <x:v>4</x:v>
      </x:c>
      <x:c r="M7" s="29" t="n">
        <x:v>3</x:v>
      </x:c>
      <x:c r="N7" s="29" t="n">
        <x:v>81</x:v>
      </x:c>
      <x:c r="O7" s="29" t="n">
        <x:v>22</x:v>
      </x:c>
      <x:c r="P7" s="29" t="n">
        <x:v>59</x:v>
      </x:c>
      <x:c r="Q7" s="29" t="n">
        <x:v>295</x:v>
      </x:c>
      <x:c r="R7" s="30" t="n">
        <x:v>-0.5431259207386773</x:v>
      </x:c>
      <x:c r="S7" s="30" t="n">
        <x:v>0.7889291055170525</x:v>
      </x:c>
      <x:c r="T7" s="30" t="n">
        <x:v>0.6574828337786478</x:v>
      </x:c>
      <x:c r="U7" s="28" t="str">
        <x:f>IF(AND(G7&gt;=80%,I7&gt;0,L7&gt;=1),"YES","")</x:f>
      </x:c>
      <x:c r="V7" s="31" t="n">
        <x:f>I7+0.4*K7-2*MAX(0,90%-G7)</x:f>
        <x:v>-1.2043723093376744</x:v>
      </x:c>
    </x:row>
    <x:row r="8">
      <x:c r="A8" s="35" t="n">
        <x:v>2</x:v>
      </x:c>
      <x:c r="B8" s="33" t="str">
        <x:v>Premarket rolling shock</x:v>
      </x:c>
      <x:c r="C8" s="33" t="str">
        <x:v>Skip when the worst premarket 1-minute candle is -0.3% or worse.</x:v>
      </x:c>
      <x:c r="D8" s="29" t="n">
        <x:v>16209261990.553001</x:v>
      </x:c>
      <x:c r="E8" s="29" t="n">
        <x:v>11850</x:v>
      </x:c>
      <x:c r="F8" s="30" t="n">
        <x:f>(D8/E8)^(1/('Methodology'!$B$4*7/365))-1</x:f>
        <x:v>4.481717574582109</x:v>
      </x:c>
      <x:c r="G8" s="30" t="n">
        <x:f>F8/$F$6</x:f>
        <x:v>0.6234128390143914</x:v>
      </x:c>
      <x:c r="H8" s="30" t="n">
        <x:v>0.8018000514068797</x:v>
      </x:c>
      <x:c r="I8" s="30" t="n">
        <x:f>$H$6-H8</x:f>
        <x:v>0.011664229486767375</x:v>
      </x:c>
      <x:c r="J8" s="30" t="n">
        <x:v>0.76</x:v>
      </x:c>
      <x:c r="K8" s="30" t="n">
        <x:f>$J$6-J8</x:f>
        <x:v>0.04200000000000004</x:v>
      </x:c>
      <x:c r="L8" s="29" t="n">
        <x:v>1</x:v>
      </x:c>
      <x:c r="M8" s="29" t="n">
        <x:v>2</x:v>
      </x:c>
      <x:c r="N8" s="29" t="n">
        <x:v>30</x:v>
      </x:c>
      <x:c r="O8" s="29" t="n">
        <x:v>5</x:v>
      </x:c>
      <x:c r="P8" s="29" t="n">
        <x:v>25</x:v>
      </x:c>
      <x:c r="Q8" s="29" t="n">
        <x:v>346</x:v>
      </x:c>
      <x:c r="R8" s="30" t="n">
        <x:v>-0.5437230724089464</x:v>
      </x:c>
      <x:c r="S8" s="30" t="n">
        <x:v>0.8018000514068797</x:v>
      </x:c>
      <x:c r="T8" s="30" t="n">
        <x:v>0.6582145664108114</x:v>
      </x:c>
      <x:c r="U8" s="28" t="str">
        <x:f>IF(AND(G8&gt;=80%,I8&gt;0,L8&gt;=1),"YES","")</x:f>
      </x:c>
      <x:c r="V8" s="31" t="n">
        <x:f>I8+0.4*K8-2*MAX(0,90%-G8)</x:f>
        <x:v>-0.5247100924844499</x:v>
      </x:c>
    </x:row>
    <x:row r="9">
      <x:c r="A9" s="35" t="n">
        <x:v>3</x:v>
      </x:c>
      <x:c r="B9" s="33" t="str">
        <x:v>Premarket rolling shock</x:v>
      </x:c>
      <x:c r="C9" s="33" t="str">
        <x:v>Skip when the worst premarket 1-minute candle is -0.4% or worse.</x:v>
      </x:c>
      <x:c r="D9" s="29" t="n">
        <x:v>92910626708.85498</x:v>
      </x:c>
      <x:c r="E9" s="29" t="n">
        <x:v>11965</x:v>
      </x:c>
      <x:c r="F9" s="30" t="n">
        <x:f>(D9/E9)^(1/('Methodology'!$B$4*7/365))-1</x:f>
        <x:v>5.756597585294715</x:v>
      </x:c>
      <x:c r="G9" s="30" t="n">
        <x:f>F9/$F$6</x:f>
        <x:v>0.800750333770551</x:v>
      </x:c>
      <x:c r="H9" s="30" t="n">
        <x:v>0.7907126626433496</x:v>
      </x:c>
      <x:c r="I9" s="30" t="n">
        <x:f>$H$6-H9</x:f>
        <x:v>0.02275161825029748</x:v>
      </x:c>
      <x:c r="J9" s="30" t="n">
        <x:v>0.747</x:v>
      </x:c>
      <x:c r="K9" s="30" t="n">
        <x:f>$J$6-J9</x:f>
        <x:v>0.05500000000000005</x:v>
      </x:c>
      <x:c r="L9" s="29" t="n">
        <x:v>1</x:v>
      </x:c>
      <x:c r="M9" s="29" t="n">
        <x:v>2</x:v>
      </x:c>
      <x:c r="N9" s="29" t="n">
        <x:v>17</x:v>
      </x:c>
      <x:c r="O9" s="29" t="n">
        <x:v>3</x:v>
      </x:c>
      <x:c r="P9" s="29" t="n">
        <x:v>14</x:v>
      </x:c>
      <x:c r="Q9" s="29" t="n">
        <x:v>359</x:v>
      </x:c>
      <x:c r="R9" s="30" t="n">
        <x:v>-0.5437316247143035</x:v>
      </x:c>
      <x:c r="S9" s="30" t="n">
        <x:v>0.7907126626433496</x:v>
      </x:c>
      <x:c r="T9" s="30" t="n">
        <x:v>0.6582145722160054</x:v>
      </x:c>
      <x:c r="U9" s="28" t="str">
        <x:f>IF(AND(G9&gt;=80%,I9&gt;0,L9&gt;=1),"YES","")</x:f>
        <x:v>YES</x:v>
      </x:c>
      <x:c r="V9" s="31" t="n">
        <x:f>I9+0.4*K9-2*MAX(0,90%-G9)</x:f>
        <x:v>-0.15374771420860045</x:v>
      </x:c>
    </x:row>
    <x:row r="10">
      <x:c r="A10" s="35" t="n">
        <x:v>4</x:v>
      </x:c>
      <x:c r="B10" s="33" t="str">
        <x:v>Premarket rolling shock</x:v>
      </x:c>
      <x:c r="C10" s="33" t="str">
        <x:v>Skip when the worst premarket 1-minute candle is -0.5% or worse.</x:v>
      </x:c>
      <x:c r="D10" s="29" t="n">
        <x:v>355374196347.9069</x:v>
      </x:c>
      <x:c r="E10" s="29" t="n">
        <x:v>11965</x:v>
      </x:c>
      <x:c r="F10" s="30" t="n">
        <x:f>(D10/E10)^(1/('Methodology'!$B$4*7/365))-1</x:f>
        <x:v>6.941244290170845</x:v>
      </x:c>
      <x:c r="G10" s="30" t="n">
        <x:f>F10/$F$6</x:f>
        <x:v>0.9655362564052977</x:v>
      </x:c>
      <x:c r="H10" s="30" t="n">
        <x:v>0.7907174414675654</x:v>
      </x:c>
      <x:c r="I10" s="30" t="n">
        <x:f>$H$6-H10</x:f>
        <x:v>0.02274683942608169</x:v>
      </x:c>
      <x:c r="J10" s="30" t="n">
        <x:v>0.747</x:v>
      </x:c>
      <x:c r="K10" s="30" t="n">
        <x:f>$J$6-J10</x:f>
        <x:v>0.05500000000000005</x:v>
      </x:c>
      <x:c r="L10" s="29" t="n">
        <x:v>1</x:v>
      </x:c>
      <x:c r="M10" s="29" t="n">
        <x:v>1</x:v>
      </x:c>
      <x:c r="N10" s="29" t="n">
        <x:v>8</x:v>
      </x:c>
      <x:c r="O10" s="29" t="n">
        <x:v>1</x:v>
      </x:c>
      <x:c r="P10" s="29" t="n">
        <x:v>7</x:v>
      </x:c>
      <x:c r="Q10" s="29" t="n">
        <x:v>368</x:v>
      </x:c>
      <x:c r="R10" s="30" t="n">
        <x:v>-0.5437319104226072</x:v>
      </x:c>
      <x:c r="S10" s="30" t="n">
        <x:v>0.7907174414675654</x:v>
      </x:c>
      <x:c r="T10" s="30" t="n">
        <x:v>0.6582145729747582</x:v>
      </x:c>
      <x:c r="U10" s="28" t="str">
        <x:f>IF(AND(G10&gt;=80%,I10&gt;0,L10&gt;=1),"YES","")</x:f>
        <x:v>YES</x:v>
      </x:c>
      <x:c r="V10" s="31" t="n">
        <x:f>I10+0.4*K10-2*MAX(0,90%-G10)</x:f>
        <x:v>0.04474683942608171</x:v>
      </x:c>
    </x:row>
    <x:row r="11">
      <x:c r="A11" s="35" t="n">
        <x:v>5</x:v>
      </x:c>
      <x:c r="B11" s="33" t="str">
        <x:v>Premarket rolling shock</x:v>
      </x:c>
      <x:c r="C11" s="33" t="str">
        <x:v>Skip when the worst premarket 1-minute candle is -0.6% or worse.</x:v>
      </x:c>
      <x:c r="D11" s="29" t="n">
        <x:v>606070050933.6382</x:v>
      </x:c>
      <x:c r="E11" s="29" t="n">
        <x:v>11965</x:v>
      </x:c>
      <x:c r="F11" s="30" t="n">
        <x:f>(D11/E11)^(1/('Methodology'!$B$4*7/365))-1</x:f>
        <x:v>7.468507831106876</x:v>
      </x:c>
      <x:c r="G11" s="30" t="n">
        <x:f>F11/$F$6</x:f>
        <x:v>1.0388793119400637</x:v>
      </x:c>
      <x:c r="H11" s="30" t="n">
        <x:v>0.7907189886608056</x:v>
      </x:c>
      <x:c r="I11" s="30" t="n">
        <x:f>$H$6-H11</x:f>
        <x:v>0.022745292232841496</x:v>
      </x:c>
      <x:c r="J11" s="30" t="n">
        <x:v>0.747</x:v>
      </x:c>
      <x:c r="K11" s="30" t="n">
        <x:f>$J$6-J11</x:f>
        <x:v>0.05500000000000005</x:v>
      </x:c>
      <x:c r="L11" s="29" t="n">
        <x:v>1</x:v>
      </x:c>
      <x:c r="M11" s="29" t="n">
        <x:v>1</x:v>
      </x:c>
      <x:c r="N11" s="29" t="n">
        <x:v>6</x:v>
      </x:c>
      <x:c r="O11" s="29" t="n">
        <x:v>1</x:v>
      </x:c>
      <x:c r="P11" s="29" t="n">
        <x:v>5</x:v>
      </x:c>
      <x:c r="Q11" s="29" t="n">
        <x:v>370</x:v>
      </x:c>
      <x:c r="R11" s="30" t="n">
        <x:v>-0.5437326458679277</x:v>
      </x:c>
      <x:c r="S11" s="30" t="n">
        <x:v>0.7907189886608056</x:v>
      </x:c>
      <x:c r="T11" s="30" t="n">
        <x:v>0.6582145730721078</x:v>
      </x:c>
      <x:c r="U11" s="28" t="str">
        <x:f>IF(AND(G11&gt;=80%,I11&gt;0,L11&gt;=1),"YES","")</x:f>
        <x:v>YES</x:v>
      </x:c>
      <x:c r="V11" s="31" t="n">
        <x:f>I11+0.4*K11-2*MAX(0,90%-G11)</x:f>
        <x:v>0.044745292232841516</x:v>
      </x:c>
    </x:row>
    <x:row r="12">
      <x:c r="A12" s="35" t="n">
        <x:v>6</x:v>
      </x:c>
      <x:c r="B12" s="33" t="str">
        <x:v>Premarket rolling shock</x:v>
      </x:c>
      <x:c r="C12" s="33" t="str">
        <x:v>Skip when the worst premarket 1-minute candle is -0.7% or worse.</x:v>
      </x:c>
      <x:c r="D12" s="29" t="n">
        <x:v>606070050933.6382</x:v>
      </x:c>
      <x:c r="E12" s="29" t="n">
        <x:v>11965</x:v>
      </x:c>
      <x:c r="F12" s="30" t="n">
        <x:f>(D12/E12)^(1/('Methodology'!$B$4*7/365))-1</x:f>
        <x:v>7.468507831106876</x:v>
      </x:c>
      <x:c r="G12" s="30" t="n">
        <x:f>F12/$F$6</x:f>
        <x:v>1.0388793119400637</x:v>
      </x:c>
      <x:c r="H12" s="30" t="n">
        <x:v>0.7907189886608056</x:v>
      </x:c>
      <x:c r="I12" s="30" t="n">
        <x:f>$H$6-H12</x:f>
        <x:v>0.022745292232841496</x:v>
      </x:c>
      <x:c r="J12" s="30" t="n">
        <x:v>0.747</x:v>
      </x:c>
      <x:c r="K12" s="30" t="n">
        <x:f>$J$6-J12</x:f>
        <x:v>0.05500000000000005</x:v>
      </x:c>
      <x:c r="L12" s="29" t="n">
        <x:v>1</x:v>
      </x:c>
      <x:c r="M12" s="29" t="n">
        <x:v>1</x:v>
      </x:c>
      <x:c r="N12" s="29" t="n">
        <x:v>6</x:v>
      </x:c>
      <x:c r="O12" s="29" t="n">
        <x:v>1</x:v>
      </x:c>
      <x:c r="P12" s="29" t="n">
        <x:v>5</x:v>
      </x:c>
      <x:c r="Q12" s="29" t="n">
        <x:v>370</x:v>
      </x:c>
      <x:c r="R12" s="30" t="n">
        <x:v>-0.5437326458679277</x:v>
      </x:c>
      <x:c r="S12" s="30" t="n">
        <x:v>0.7907189886608056</x:v>
      </x:c>
      <x:c r="T12" s="30" t="n">
        <x:v>0.6582145730721078</x:v>
      </x:c>
      <x:c r="U12" s="28" t="str">
        <x:f>IF(AND(G12&gt;=80%,I12&gt;0,L12&gt;=1),"YES","")</x:f>
        <x:v>YES</x:v>
      </x:c>
      <x:c r="V12" s="31" t="n">
        <x:f>I12+0.4*K12-2*MAX(0,90%-G12)</x:f>
        <x:v>0.044745292232841516</x:v>
      </x:c>
    </x:row>
    <x:row r="13">
      <x:c r="A13" s="35" t="n">
        <x:v>7</x:v>
      </x:c>
      <x:c r="B13" s="33" t="str">
        <x:v>Premarket rolling shock</x:v>
      </x:c>
      <x:c r="C13" s="33" t="str">
        <x:v>Skip when the worst premarket 1-minute candle is -0.8% or worse.</x:v>
      </x:c>
      <x:c r="D13" s="29" t="n">
        <x:v>168106022774.16898</x:v>
      </x:c>
      <x:c r="E13" s="29" t="n">
        <x:v>12080</x:v>
      </x:c>
      <x:c r="F13" s="30" t="n">
        <x:f>(D13/E13)^(1/('Methodology'!$B$4*7/365))-1</x:f>
        <x:v>6.248342193225722</x:v>
      </x:c>
      <x:c r="G13" s="30" t="n">
        <x:f>F13/$F$6</x:f>
        <x:v>0.8691526587717806</x:v>
      </x:c>
      <x:c r="H13" s="30" t="n">
        <x:v>0.8133931364941237</x:v>
      </x:c>
      <x:c r="I13" s="30" t="n">
        <x:f>$H$6-H13</x:f>
        <x:v>0.00007114439952338181</x:v>
      </x:c>
      <x:c r="J13" s="30" t="n">
        <x:v>0.802</x:v>
      </x:c>
      <x:c r="K13" s="30" t="n">
        <x:f>$J$6-J13</x:f>
        <x:v>0</x:v>
      </x:c>
      <x:c r="L13" s="29" t="n">
        <x:v>0</x:v>
      </x:c>
      <x:c r="M13" s="29" t="n">
        <x:v>0</x:v>
      </x:c>
      <x:c r="N13" s="29" t="n">
        <x:v>5</x:v>
      </x:c>
      <x:c r="O13" s="29" t="n">
        <x:v>0</x:v>
      </x:c>
      <x:c r="P13" s="29" t="n">
        <x:v>5</x:v>
      </x:c>
      <x:c r="Q13" s="29" t="n">
        <x:v>371</x:v>
      </x:c>
      <x:c r="R13" s="30" t="n">
        <x:v>-0.723033119442219</x:v>
      </x:c>
      <x:c r="S13" s="30" t="n">
        <x:v>0.8133931364941237</x:v>
      </x:c>
      <x:c r="T13" s="30" t="n">
        <x:v>0.65821457267217</x:v>
      </x:c>
      <x:c r="U13" s="28" t="str">
        <x:f>IF(AND(G13&gt;=80%,I13&gt;0,L13&gt;=1),"YES","")</x:f>
      </x:c>
      <x:c r="V13" s="31" t="n">
        <x:f>I13+0.4*K13-2*MAX(0,90%-G13)</x:f>
        <x:v>-0.06162353805691545</x:v>
      </x:c>
    </x:row>
    <x:row r="14">
      <x:c r="A14" s="35" t="n">
        <x:v>8</x:v>
      </x:c>
      <x:c r="B14" s="33" t="str">
        <x:v>Premarket rolling shock</x:v>
      </x:c>
      <x:c r="C14" s="33" t="str">
        <x:v>Skip when the worst premarket 1-minute candle is -0.9% or worse.</x:v>
      </x:c>
      <x:c r="D14" s="29" t="n">
        <x:v>227794308468.17197</x:v>
      </x:c>
      <x:c r="E14" s="29" t="n">
        <x:v>12080</x:v>
      </x:c>
      <x:c r="F14" s="30" t="n">
        <x:f>(D14/E14)^(1/('Methodology'!$B$4*7/365))-1</x:f>
        <x:v>6.518471650929724</x:v>
      </x:c>
      <x:c r="G14" s="30" t="n">
        <x:f>F14/$F$6</x:f>
        <x:v>0.9067280234229931</x:v>
      </x:c>
      <x:c r="H14" s="30" t="n">
        <x:v>0.813430872658145</x:v>
      </x:c>
      <x:c r="I14" s="30" t="n">
        <x:f>$H$6-H14</x:f>
        <x:v>0.000033408235502130346</x:v>
      </x:c>
      <x:c r="J14" s="30" t="n">
        <x:v>0.802</x:v>
      </x:c>
      <x:c r="K14" s="30" t="n">
        <x:f>$J$6-J14</x:f>
        <x:v>0</x:v>
      </x:c>
      <x:c r="L14" s="29" t="n">
        <x:v>0</x:v>
      </x:c>
      <x:c r="M14" s="29" t="n">
        <x:v>0</x:v>
      </x:c>
      <x:c r="N14" s="29" t="n">
        <x:v>3</x:v>
      </x:c>
      <x:c r="O14" s="29" t="n">
        <x:v>0</x:v>
      </x:c>
      <x:c r="P14" s="29" t="n">
        <x:v>3</x:v>
      </x:c>
      <x:c r="Q14" s="29" t="n">
        <x:v>373</x:v>
      </x:c>
      <x:c r="R14" s="30" t="n">
        <x:v>-0.7230544059104503</x:v>
      </x:c>
      <x:c r="S14" s="30" t="n">
        <x:v>0.813430872658145</x:v>
      </x:c>
      <x:c r="T14" s="30" t="n">
        <x:v>0.6582145727756352</x:v>
      </x:c>
      <x:c r="U14" s="28" t="str">
        <x:f>IF(AND(G14&gt;=80%,I14&gt;0,L14&gt;=1),"YES","")</x:f>
      </x:c>
      <x:c r="V14" s="31" t="n">
        <x:f>I14+0.4*K14-2*MAX(0,90%-G14)</x:f>
        <x:v>0.000033408235502130346</x:v>
      </x:c>
    </x:row>
    <x:row r="15">
      <x:c r="A15" s="35" t="n">
        <x:v>9</x:v>
      </x:c>
      <x:c r="B15" s="33" t="str">
        <x:v>Premarket rolling shock</x:v>
      </x:c>
      <x:c r="C15" s="33" t="str">
        <x:v>Skip when the worst premarket 1-minute candle is -1.0% or worse.</x:v>
      </x:c>
      <x:c r="D15" s="29" t="n">
        <x:v>266562301333.15106</x:v>
      </x:c>
      <x:c r="E15" s="29" t="n">
        <x:v>12080</x:v>
      </x:c>
      <x:c r="F15" s="30" t="n">
        <x:f>(D15/E15)^(1/('Methodology'!$B$4*7/365))-1</x:f>
        <x:v>6.662122558464025</x:v>
      </x:c>
      <x:c r="G15" s="30" t="n">
        <x:f>F15/$F$6</x:f>
        <x:v>0.9267100545533913</x:v>
      </x:c>
      <x:c r="H15" s="30" t="n">
        <x:v>0.813430872658145</x:v>
      </x:c>
      <x:c r="I15" s="30" t="n">
        <x:f>$H$6-H15</x:f>
        <x:v>0.000033408235502130346</x:v>
      </x:c>
      <x:c r="J15" s="30" t="n">
        <x:v>0.802</x:v>
      </x:c>
      <x:c r="K15" s="30" t="n">
        <x:f>$J$6-J15</x:f>
        <x:v>0</x:v>
      </x:c>
      <x:c r="L15" s="29" t="n">
        <x:v>0</x:v>
      </x:c>
      <x:c r="M15" s="29" t="n">
        <x:v>0</x:v>
      </x:c>
      <x:c r="N15" s="29" t="n">
        <x:v>2</x:v>
      </x:c>
      <x:c r="O15" s="29" t="n">
        <x:v>0</x:v>
      </x:c>
      <x:c r="P15" s="29" t="n">
        <x:v>2</x:v>
      </x:c>
      <x:c r="Q15" s="29" t="n">
        <x:v>374</x:v>
      </x:c>
      <x:c r="R15" s="30" t="n">
        <x:v>-0.7230544059104503</x:v>
      </x:c>
      <x:c r="S15" s="30" t="n">
        <x:v>0.813430872658145</x:v>
      </x:c>
      <x:c r="T15" s="30" t="n">
        <x:v>0.6582145728144377</x:v>
      </x:c>
      <x:c r="U15" s="28" t="str">
        <x:f>IF(AND(G15&gt;=80%,I15&gt;0,L15&gt;=1),"YES","")</x:f>
      </x:c>
      <x:c r="V15" s="31" t="n">
        <x:f>I15+0.4*K15-2*MAX(0,90%-G15)</x:f>
        <x:v>0.000033408235502130346</x:v>
      </x:c>
    </x:row>
    <x:row r="16">
      <x:c r="A16" s="35" t="n">
        <x:v>10</x:v>
      </x:c>
      <x:c r="B16" s="33" t="str">
        <x:v>Premarket rolling shock</x:v>
      </x:c>
      <x:c r="C16" s="33" t="str">
        <x:v>Skip when the worst premarket 1-minute candle is -1.1% or worse.</x:v>
      </x:c>
      <x:c r="D16" s="29" t="n">
        <x:v>266562301333.15106</x:v>
      </x:c>
      <x:c r="E16" s="29" t="n">
        <x:v>12080</x:v>
      </x:c>
      <x:c r="F16" s="30" t="n">
        <x:f>(D16/E16)^(1/('Methodology'!$B$4*7/365))-1</x:f>
        <x:v>6.662122558464025</x:v>
      </x:c>
      <x:c r="G16" s="30" t="n">
        <x:f>F16/$F$6</x:f>
        <x:v>0.9267100545533913</x:v>
      </x:c>
      <x:c r="H16" s="30" t="n">
        <x:v>0.813430872658145</x:v>
      </x:c>
      <x:c r="I16" s="30" t="n">
        <x:f>$H$6-H16</x:f>
        <x:v>0.000033408235502130346</x:v>
      </x:c>
      <x:c r="J16" s="30" t="n">
        <x:v>0.802</x:v>
      </x:c>
      <x:c r="K16" s="30" t="n">
        <x:f>$J$6-J16</x:f>
        <x:v>0</x:v>
      </x:c>
      <x:c r="L16" s="29" t="n">
        <x:v>0</x:v>
      </x:c>
      <x:c r="M16" s="29" t="n">
        <x:v>0</x:v>
      </x:c>
      <x:c r="N16" s="29" t="n">
        <x:v>2</x:v>
      </x:c>
      <x:c r="O16" s="29" t="n">
        <x:v>0</x:v>
      </x:c>
      <x:c r="P16" s="29" t="n">
        <x:v>2</x:v>
      </x:c>
      <x:c r="Q16" s="29" t="n">
        <x:v>374</x:v>
      </x:c>
      <x:c r="R16" s="30" t="n">
        <x:v>-0.7230544059104503</x:v>
      </x:c>
      <x:c r="S16" s="30" t="n">
        <x:v>0.813430872658145</x:v>
      </x:c>
      <x:c r="T16" s="30" t="n">
        <x:v>0.6582145728144377</x:v>
      </x:c>
      <x:c r="U16" s="28" t="str">
        <x:f>IF(AND(G16&gt;=80%,I16&gt;0,L16&gt;=1),"YES","")</x:f>
      </x:c>
      <x:c r="V16" s="31" t="n">
        <x:f>I16+0.4*K16-2*MAX(0,90%-G16)</x:f>
        <x:v>0.000033408235502130346</x:v>
      </x:c>
    </x:row>
    <x:row r="17">
      <x:c r="A17" s="35" t="n">
        <x:v>11</x:v>
      </x:c>
      <x:c r="B17" s="33" t="str">
        <x:v>Premarket rolling shock</x:v>
      </x:c>
      <x:c r="C17" s="33" t="str">
        <x:v>Skip when the worst premarket 3-minute candle is -0.2% or worse.</x:v>
      </x:c>
      <x:c r="D17" s="29" t="n">
        <x:v>5560424.279999998</x:v>
      </x:c>
      <x:c r="E17" s="29" t="n">
        <x:v>7135</x:v>
      </x:c>
      <x:c r="F17" s="30" t="n">
        <x:f>(D17/E17)^(1/('Methodology'!$B$4*7/365))-1</x:f>
        <x:v>1.2295994754715625</x:v>
      </x:c>
      <x:c r="G17" s="30" t="n">
        <x:f>F17/$F$6</x:f>
        <x:v>0.1710389124477146</x:v>
      </x:c>
      <x:c r="H17" s="30" t="n">
        <x:v>0.7245095146342299</x:v>
      </x:c>
      <x:c r="I17" s="30" t="n">
        <x:f>$H$6-H17</x:f>
        <x:v>0.08895476625941723</x:v>
      </x:c>
      <x:c r="J17" s="30" t="n">
        <x:v>0.725</x:v>
      </x:c>
      <x:c r="K17" s="30" t="n">
        <x:f>$J$6-J17</x:f>
        <x:v>0.07700000000000007</x:v>
      </x:c>
      <x:c r="L17" s="29" t="n">
        <x:v>10</x:v>
      </x:c>
      <x:c r="M17" s="29" t="n">
        <x:v>8</x:v>
      </x:c>
      <x:c r="N17" s="29" t="n">
        <x:v>154</x:v>
      </x:c>
      <x:c r="O17" s="29" t="n">
        <x:v>53</x:v>
      </x:c>
      <x:c r="P17" s="29" t="n">
        <x:v>101</x:v>
      </x:c>
      <x:c r="Q17" s="29" t="n">
        <x:v>222</x:v>
      </x:c>
      <x:c r="R17" s="30" t="n">
        <x:v>-0.46981609058887275</x:v>
      </x:c>
      <x:c r="S17" s="30" t="n">
        <x:v>0.6688573015432983</x:v>
      </x:c>
      <x:c r="T17" s="30" t="n">
        <x:v>0.7245095146342299</x:v>
      </x:c>
      <x:c r="U17" s="28" t="str">
        <x:f>IF(AND(G17&gt;=80%,I17&gt;0,L17&gt;=1),"YES","")</x:f>
      </x:c>
      <x:c r="V17" s="31" t="n">
        <x:f>I17+0.4*K17-2*MAX(0,90%-G17)</x:f>
        <x:v>-1.3381674088451536</x:v>
      </x:c>
    </x:row>
    <x:row r="18">
      <x:c r="A18" s="35" t="n">
        <x:v>12</x:v>
      </x:c>
      <x:c r="B18" s="33" t="str">
        <x:v>Premarket rolling shock</x:v>
      </x:c>
      <x:c r="C18" s="33" t="str">
        <x:v>Skip when the worst premarket 3-minute candle is -0.3% or worse.</x:v>
      </x:c>
      <x:c r="D18" s="29" t="n">
        <x:v>205420880.42999998</x:v>
      </x:c>
      <x:c r="E18" s="29" t="n">
        <x:v>9550</x:v>
      </x:c>
      <x:c r="F18" s="30" t="n">
        <x:f>(D18/E18)^(1/('Methodology'!$B$4*7/365))-1</x:f>
        <x:v>2.324655362983478</x:v>
      </x:c>
      <x:c r="G18" s="30" t="n">
        <x:f>F18/$F$6</x:f>
        <x:v>0.3233626339568465</x:v>
      </x:c>
      <x:c r="H18" s="30" t="n">
        <x:v>0.7899481392743767</x:v>
      </x:c>
      <x:c r="I18" s="30" t="n">
        <x:f>$H$6-H18</x:f>
        <x:v>0.023516141619270403</x:v>
      </x:c>
      <x:c r="J18" s="30" t="n">
        <x:v>0.746</x:v>
      </x:c>
      <x:c r="K18" s="30" t="n">
        <x:f>$J$6-J18</x:f>
        <x:v>0.05600000000000005</x:v>
      </x:c>
      <x:c r="L18" s="29" t="n">
        <x:v>4</x:v>
      </x:c>
      <x:c r="M18" s="29" t="n">
        <x:v>3</x:v>
      </x:c>
      <x:c r="N18" s="29" t="n">
        <x:v>74</x:v>
      </x:c>
      <x:c r="O18" s="29" t="n">
        <x:v>20</x:v>
      </x:c>
      <x:c r="P18" s="29" t="n">
        <x:v>54</x:v>
      </x:c>
      <x:c r="Q18" s="29" t="n">
        <x:v>302</x:v>
      </x:c>
      <x:c r="R18" s="30" t="n">
        <x:v>-0.5435009952289902</x:v>
      </x:c>
      <x:c r="S18" s="30" t="n">
        <x:v>0.7899481392743767</x:v>
      </x:c>
      <x:c r="T18" s="30" t="n">
        <x:v>0.6575724509784502</x:v>
      </x:c>
      <x:c r="U18" s="28" t="str">
        <x:f>IF(AND(G18&gt;=80%,I18&gt;0,L18&gt;=1),"YES","")</x:f>
      </x:c>
      <x:c r="V18" s="31" t="n">
        <x:f>I18+0.4*K18-2*MAX(0,90%-G18)</x:f>
        <x:v>-1.1073585904670367</x:v>
      </x:c>
    </x:row>
    <x:row r="19">
      <x:c r="A19" s="35" t="n">
        <x:v>13</x:v>
      </x:c>
      <x:c r="B19" s="33" t="str">
        <x:v>Premarket rolling shock</x:v>
      </x:c>
      <x:c r="C19" s="33" t="str">
        <x:v>Skip when the worst premarket 3-minute candle is -0.4% or worse.</x:v>
      </x:c>
      <x:c r="D19" s="29" t="n">
        <x:v>6444021948.553</x:v>
      </x:c>
      <x:c r="E19" s="29" t="n">
        <x:v>10815</x:v>
      </x:c>
      <x:c r="F19" s="30" t="n">
        <x:f>(D19/E19)^(1/('Methodology'!$B$4*7/365))-1</x:f>
        <x:v>3.9596897762577257</x:v>
      </x:c>
      <x:c r="G19" s="30" t="n">
        <x:f>F19/$F$6</x:f>
        <x:v>0.5507980821980427</x:v>
      </x:c>
      <x:c r="H19" s="30" t="n">
        <x:v>0.8017519369064491</x:v>
      </x:c>
      <x:c r="I19" s="30" t="n">
        <x:f>$H$6-H19</x:f>
        <x:v>0.011712343987198004</x:v>
      </x:c>
      <x:c r="J19" s="30" t="n">
        <x:v>0.76</x:v>
      </x:c>
      <x:c r="K19" s="30" t="n">
        <x:f>$J$6-J19</x:f>
        <x:v>0.04200000000000004</x:v>
      </x:c>
      <x:c r="L19" s="29" t="n">
        <x:v>2</x:v>
      </x:c>
      <x:c r="M19" s="29" t="n">
        <x:v>2</x:v>
      </x:c>
      <x:c r="N19" s="29" t="n">
        <x:v>44</x:v>
      </x:c>
      <x:c r="O19" s="29" t="n">
        <x:v>11</x:v>
      </x:c>
      <x:c r="P19" s="29" t="n">
        <x:v>33</x:v>
      </x:c>
      <x:c r="Q19" s="29" t="n">
        <x:v>332</x:v>
      </x:c>
      <x:c r="R19" s="30" t="n">
        <x:v>-0.5436985338909601</x:v>
      </x:c>
      <x:c r="S19" s="30" t="n">
        <x:v>0.8017519369064491</x:v>
      </x:c>
      <x:c r="T19" s="30" t="n">
        <x:v>0.7212658050778616</x:v>
      </x:c>
      <x:c r="U19" s="28" t="str">
        <x:f>IF(AND(G19&gt;=80%,I19&gt;0,L19&gt;=1),"YES","")</x:f>
      </x:c>
      <x:c r="V19" s="31" t="n">
        <x:f>I19+0.4*K19-2*MAX(0,90%-G19)</x:f>
        <x:v>-0.6698914916167166</x:v>
      </x:c>
    </x:row>
    <x:row r="20">
      <x:c r="A20" s="35" t="n">
        <x:v>14</x:v>
      </x:c>
      <x:c r="B20" s="33" t="str">
        <x:v>Premarket rolling shock</x:v>
      </x:c>
      <x:c r="C20" s="33" t="str">
        <x:v>Skip when the worst premarket 3-minute candle is -0.5% or worse.</x:v>
      </x:c>
      <x:c r="D20" s="29" t="n">
        <x:v>28173073785.65899</x:v>
      </x:c>
      <x:c r="E20" s="29" t="n">
        <x:v>11390</x:v>
      </x:c>
      <x:c r="F20" s="30" t="n">
        <x:f>(D20/E20)^(1/('Methodology'!$B$4*7/365))-1</x:f>
        <x:v>4.88704254487696</x:v>
      </x:c>
      <x:c r="G20" s="30" t="n">
        <x:f>F20/$F$6</x:f>
        <x:v>0.6797940781821669</x:v>
      </x:c>
      <x:c r="H20" s="30" t="n">
        <x:v>0.8018097511718354</x:v>
      </x:c>
      <x:c r="I20" s="30" t="n">
        <x:f>$H$6-H20</x:f>
        <x:v>0.01165452972181169</x:v>
      </x:c>
      <x:c r="J20" s="30" t="n">
        <x:v>0.76</x:v>
      </x:c>
      <x:c r="K20" s="30" t="n">
        <x:f>$J$6-J20</x:f>
        <x:v>0.04200000000000004</x:v>
      </x:c>
      <x:c r="L20" s="29" t="n">
        <x:v>2</x:v>
      </x:c>
      <x:c r="M20" s="29" t="n">
        <x:v>2</x:v>
      </x:c>
      <x:c r="N20" s="29" t="n">
        <x:v>28</x:v>
      </x:c>
      <x:c r="O20" s="29" t="n">
        <x:v>5</x:v>
      </x:c>
      <x:c r="P20" s="29" t="n">
        <x:v>23</x:v>
      </x:c>
      <x:c r="Q20" s="29" t="n">
        <x:v>348</x:v>
      </x:c>
      <x:c r="R20" s="30" t="n">
        <x:v>-0.5437235635956067</x:v>
      </x:c>
      <x:c r="S20" s="30" t="n">
        <x:v>0.8018097511718354</x:v>
      </x:c>
      <x:c r="T20" s="30" t="n">
        <x:v>0.6582145694719328</x:v>
      </x:c>
      <x:c r="U20" s="28" t="str">
        <x:f>IF(AND(G20&gt;=80%,I20&gt;0,L20&gt;=1),"YES","")</x:f>
      </x:c>
      <x:c r="V20" s="31" t="n">
        <x:f>I20+0.4*K20-2*MAX(0,90%-G20)</x:f>
        <x:v>-0.4119573139138546</x:v>
      </x:c>
    </x:row>
    <x:row r="21">
      <x:c r="A21" s="35" t="n">
        <x:v>15</x:v>
      </x:c>
      <x:c r="B21" s="33" t="str">
        <x:v>Premarket rolling shock</x:v>
      </x:c>
      <x:c r="C21" s="33" t="str">
        <x:v>Skip when the worst premarket 3-minute candle is -0.6% or worse.</x:v>
      </x:c>
      <x:c r="D21" s="29" t="n">
        <x:v>113715237315.5129</x:v>
      </x:c>
      <x:c r="E21" s="29" t="n">
        <x:v>11850</x:v>
      </x:c>
      <x:c r="F21" s="30" t="n">
        <x:f>(D21/E21)^(1/('Methodology'!$B$4*7/365))-1</x:f>
        <x:v>5.931075001681046</x:v>
      </x:c>
      <x:c r="G21" s="30" t="n">
        <x:f>F21/$F$6</x:f>
        <x:v>0.8250203730318807</x:v>
      </x:c>
      <x:c r="H21" s="30" t="n">
        <x:v>0.7907167508993652</x:v>
      </x:c>
      <x:c r="I21" s="30" t="n">
        <x:f>$H$6-H21</x:f>
        <x:v>0.022747529994281868</x:v>
      </x:c>
      <x:c r="J21" s="30" t="n">
        <x:v>0.747</x:v>
      </x:c>
      <x:c r="K21" s="30" t="n">
        <x:f>$J$6-J21</x:f>
        <x:v>0.05500000000000005</x:v>
      </x:c>
      <x:c r="L21" s="29" t="n">
        <x:v>1</x:v>
      </x:c>
      <x:c r="M21" s="29" t="n">
        <x:v>1</x:v>
      </x:c>
      <x:c r="N21" s="29" t="n">
        <x:v>14</x:v>
      </x:c>
      <x:c r="O21" s="29" t="n">
        <x:v>1</x:v>
      </x:c>
      <x:c r="P21" s="29" t="n">
        <x:v>13</x:v>
      </x:c>
      <x:c r="Q21" s="29" t="n">
        <x:v>362</x:v>
      </x:c>
      <x:c r="R21" s="30" t="n">
        <x:v>-0.5437326876895706</x:v>
      </x:c>
      <x:c r="S21" s="30" t="n">
        <x:v>0.7907167508993652</x:v>
      </x:c>
      <x:c r="T21" s="30" t="n">
        <x:v>0.6582145722526875</x:v>
      </x:c>
      <x:c r="U21" s="28" t="str">
        <x:f>IF(AND(G21&gt;=80%,I21&gt;0,L21&gt;=1),"YES","")</x:f>
        <x:v>YES</x:v>
      </x:c>
      <x:c r="V21" s="31" t="n">
        <x:f>I21+0.4*K21-2*MAX(0,90%-G21)</x:f>
        <x:v>-0.10521172394195677</x:v>
      </x:c>
    </x:row>
    <x:row r="22">
      <x:c r="A22" s="35" t="n">
        <x:v>16</x:v>
      </x:c>
      <x:c r="B22" s="33" t="str">
        <x:v>Premarket rolling shock</x:v>
      </x:c>
      <x:c r="C22" s="33" t="str">
        <x:v>Skip when the worst premarket 3-minute candle is -0.7% or worse.</x:v>
      </x:c>
      <x:c r="D22" s="29" t="n">
        <x:v>208331056268.16595</x:v>
      </x:c>
      <x:c r="E22" s="29" t="n">
        <x:v>11965</x:v>
      </x:c>
      <x:c r="F22" s="30" t="n">
        <x:f>(D22/E22)^(1/('Methodology'!$B$4*7/365))-1</x:f>
        <x:v>6.446613024663605</x:v>
      </x:c>
      <x:c r="G22" s="30" t="n">
        <x:f>F22/$F$6</x:f>
        <x:v>0.8967323935193365</x:v>
      </x:c>
      <x:c r="H22" s="30" t="n">
        <x:v>0.7907174414675654</x:v>
      </x:c>
      <x:c r="I22" s="30" t="n">
        <x:f>$H$6-H22</x:f>
        <x:v>0.02274683942608169</x:v>
      </x:c>
      <x:c r="J22" s="30" t="n">
        <x:v>0.747</x:v>
      </x:c>
      <x:c r="K22" s="30" t="n">
        <x:f>$J$6-J22</x:f>
        <x:v>0.05500000000000005</x:v>
      </x:c>
      <x:c r="L22" s="29" t="n">
        <x:v>1</x:v>
      </x:c>
      <x:c r="M22" s="29" t="n">
        <x:v>1</x:v>
      </x:c>
      <x:c r="N22" s="29" t="n">
        <x:v>11</x:v>
      </x:c>
      <x:c r="O22" s="29" t="n">
        <x:v>1</x:v>
      </x:c>
      <x:c r="P22" s="29" t="n">
        <x:v>10</x:v>
      </x:c>
      <x:c r="Q22" s="29" t="n">
        <x:v>365</x:v>
      </x:c>
      <x:c r="R22" s="30" t="n">
        <x:v>-0.5437319104226072</x:v>
      </x:c>
      <x:c r="S22" s="30" t="n">
        <x:v>0.7907174414675654</x:v>
      </x:c>
      <x:c r="T22" s="30" t="n">
        <x:v>0.6582145727763168</x:v>
      </x:c>
      <x:c r="U22" s="28" t="str">
        <x:f>IF(AND(G22&gt;=80%,I22&gt;0,L22&gt;=1),"YES","")</x:f>
        <x:v>YES</x:v>
      </x:c>
      <x:c r="V22" s="31" t="n">
        <x:f>I22+0.4*K22-2*MAX(0,90%-G22)</x:f>
        <x:v>0.03821162646475473</x:v>
      </x:c>
    </x:row>
    <x:row r="23">
      <x:c r="A23" s="35" t="n">
        <x:v>17</x:v>
      </x:c>
      <x:c r="B23" s="33" t="str">
        <x:v>Premarket rolling shock</x:v>
      </x:c>
      <x:c r="C23" s="33" t="str">
        <x:v>Skip when the worst premarket 3-minute candle is -0.8% or worse.</x:v>
      </x:c>
      <x:c r="D23" s="29" t="n">
        <x:v>238302947443.30698</x:v>
      </x:c>
      <x:c r="E23" s="29" t="n">
        <x:v>11965</x:v>
      </x:c>
      <x:c r="F23" s="30" t="n">
        <x:f>(D23/E23)^(1/('Methodology'!$B$4*7/365))-1</x:f>
        <x:v>6.568128292659463</x:v>
      </x:c>
      <x:c r="G23" s="30" t="n">
        <x:f>F23/$F$6</x:f>
        <x:v>0.9136353279287981</x:v>
      </x:c>
      <x:c r="H23" s="30" t="n">
        <x:v>0.7907174414675654</x:v>
      </x:c>
      <x:c r="I23" s="30" t="n">
        <x:f>$H$6-H23</x:f>
        <x:v>0.02274683942608169</x:v>
      </x:c>
      <x:c r="J23" s="30" t="n">
        <x:v>0.747</x:v>
      </x:c>
      <x:c r="K23" s="30" t="n">
        <x:f>$J$6-J23</x:f>
        <x:v>0.05500000000000005</x:v>
      </x:c>
      <x:c r="L23" s="29" t="n">
        <x:v>1</x:v>
      </x:c>
      <x:c r="M23" s="29" t="n">
        <x:v>1</x:v>
      </x:c>
      <x:c r="N23" s="29" t="n">
        <x:v>10</x:v>
      </x:c>
      <x:c r="O23" s="29" t="n">
        <x:v>1</x:v>
      </x:c>
      <x:c r="P23" s="29" t="n">
        <x:v>9</x:v>
      </x:c>
      <x:c r="Q23" s="29" t="n">
        <x:v>366</x:v>
      </x:c>
      <x:c r="R23" s="30" t="n">
        <x:v>-0.5437319104226072</x:v>
      </x:c>
      <x:c r="S23" s="30" t="n">
        <x:v>0.7907174414675654</x:v>
      </x:c>
      <x:c r="T23" s="30" t="n">
        <x:v>0.6582145728101261</x:v>
      </x:c>
      <x:c r="U23" s="28" t="str">
        <x:f>IF(AND(G23&gt;=80%,I23&gt;0,L23&gt;=1),"YES","")</x:f>
        <x:v>YES</x:v>
      </x:c>
      <x:c r="V23" s="31" t="n">
        <x:f>I23+0.4*K23-2*MAX(0,90%-G23)</x:f>
        <x:v>0.04474683942608171</x:v>
      </x:c>
    </x:row>
    <x:row r="24">
      <x:c r="A24" s="35" t="n">
        <x:v>18</x:v>
      </x:c>
      <x:c r="B24" s="33" t="str">
        <x:v>Premarket rolling shock</x:v>
      </x:c>
      <x:c r="C24" s="33" t="str">
        <x:v>Skip when the worst premarket 3-minute candle is -0.9% or worse.</x:v>
      </x:c>
      <x:c r="D24" s="29" t="n">
        <x:v>395649931086.8228</x:v>
      </x:c>
      <x:c r="E24" s="29" t="n">
        <x:v>11965</x:v>
      </x:c>
      <x:c r="F24" s="30" t="n">
        <x:f>(D24/E24)^(1/('Methodology'!$B$4*7/365))-1</x:f>
        <x:v>7.04457806583558</x:v>
      </x:c>
      <x:c r="G24" s="30" t="n">
        <x:f>F24/$F$6</x:f>
        <x:v>0.9799101211973548</x:v>
      </x:c>
      <x:c r="H24" s="30" t="n">
        <x:v>0.7907174414675654</x:v>
      </x:c>
      <x:c r="I24" s="30" t="n">
        <x:f>$H$6-H24</x:f>
        <x:v>0.02274683942608169</x:v>
      </x:c>
      <x:c r="J24" s="30" t="n">
        <x:v>0.747</x:v>
      </x:c>
      <x:c r="K24" s="30" t="n">
        <x:f>$J$6-J24</x:f>
        <x:v>0.05500000000000005</x:v>
      </x:c>
      <x:c r="L24" s="29" t="n">
        <x:v>1</x:v>
      </x:c>
      <x:c r="M24" s="29" t="n">
        <x:v>1</x:v>
      </x:c>
      <x:c r="N24" s="29" t="n">
        <x:v>7</x:v>
      </x:c>
      <x:c r="O24" s="29" t="n">
        <x:v>1</x:v>
      </x:c>
      <x:c r="P24" s="29" t="n">
        <x:v>6</x:v>
      </x:c>
      <x:c r="Q24" s="29" t="n">
        <x:v>369</x:v>
      </x:c>
      <x:c r="R24" s="30" t="n">
        <x:v>-0.5437319104226072</x:v>
      </x:c>
      <x:c r="S24" s="30" t="n">
        <x:v>0.7907174414675654</x:v>
      </x:c>
      <x:c r="T24" s="30" t="n">
        <x:v>0.6582145730368795</x:v>
      </x:c>
      <x:c r="U24" s="28" t="str">
        <x:f>IF(AND(G24&gt;=80%,I24&gt;0,L24&gt;=1),"YES","")</x:f>
        <x:v>YES</x:v>
      </x:c>
      <x:c r="V24" s="31" t="n">
        <x:f>I24+0.4*K24-2*MAX(0,90%-G24)</x:f>
        <x:v>0.04474683942608171</x:v>
      </x:c>
    </x:row>
    <x:row r="25">
      <x:c r="A25" s="35" t="n">
        <x:v>19</x:v>
      </x:c>
      <x:c r="B25" s="33" t="str">
        <x:v>Premarket rolling shock</x:v>
      </x:c>
      <x:c r="C25" s="33" t="str">
        <x:v>Skip when the worst premarket 3-minute candle is -1.0% or worse.</x:v>
      </x:c>
      <x:c r="D25" s="29" t="n">
        <x:v>490328998143.5862</x:v>
      </x:c>
      <x:c r="E25" s="29" t="n">
        <x:v>11965</x:v>
      </x:c>
      <x:c r="F25" s="30" t="n">
        <x:f>(D25/E25)^(1/('Methodology'!$B$4*7/365))-1</x:f>
        <x:v>7.255127727185991</x:v>
      </x:c>
      <x:c r="G25" s="30" t="n">
        <x:f>F25/$F$6</x:f>
        <x:v>1.0091978574171494</x:v>
      </x:c>
      <x:c r="H25" s="30" t="n">
        <x:v>0.7907189886608056</x:v>
      </x:c>
      <x:c r="I25" s="30" t="n">
        <x:f>$H$6-H25</x:f>
        <x:v>0.022745292232841496</x:v>
      </x:c>
      <x:c r="J25" s="30" t="n">
        <x:v>0.747</x:v>
      </x:c>
      <x:c r="K25" s="30" t="n">
        <x:f>$J$6-J25</x:f>
        <x:v>0.05500000000000005</x:v>
      </x:c>
      <x:c r="L25" s="29" t="n">
        <x:v>1</x:v>
      </x:c>
      <x:c r="M25" s="29" t="n">
        <x:v>1</x:v>
      </x:c>
      <x:c r="N25" s="29" t="n">
        <x:v>6</x:v>
      </x:c>
      <x:c r="O25" s="29" t="n">
        <x:v>1</x:v>
      </x:c>
      <x:c r="P25" s="29" t="n">
        <x:v>5</x:v>
      </x:c>
      <x:c r="Q25" s="29" t="n">
        <x:v>370</x:v>
      </x:c>
      <x:c r="R25" s="30" t="n">
        <x:v>-0.5437326458679277</x:v>
      </x:c>
      <x:c r="S25" s="30" t="n">
        <x:v>0.7907189886608056</x:v>
      </x:c>
      <x:c r="T25" s="30" t="n">
        <x:v>0.6582145730336777</x:v>
      </x:c>
      <x:c r="U25" s="28" t="str">
        <x:f>IF(AND(G25&gt;=80%,I25&gt;0,L25&gt;=1),"YES","")</x:f>
        <x:v>YES</x:v>
      </x:c>
      <x:c r="V25" s="31" t="n">
        <x:f>I25+0.4*K25-2*MAX(0,90%-G25)</x:f>
        <x:v>0.044745292232841516</x:v>
      </x:c>
    </x:row>
    <x:row r="26">
      <x:c r="A26" s="35" t="n">
        <x:v>20</x:v>
      </x:c>
      <x:c r="B26" s="33" t="str">
        <x:v>Premarket rolling shock</x:v>
      </x:c>
      <x:c r="C26" s="33" t="str">
        <x:v>Skip when the worst premarket 3-minute candle is -1.1% or worse.</x:v>
      </x:c>
      <x:c r="D26" s="29" t="n">
        <x:v>490328998143.5862</x:v>
      </x:c>
      <x:c r="E26" s="29" t="n">
        <x:v>11965</x:v>
      </x:c>
      <x:c r="F26" s="30" t="n">
        <x:f>(D26/E26)^(1/('Methodology'!$B$4*7/365))-1</x:f>
        <x:v>7.255127727185991</x:v>
      </x:c>
      <x:c r="G26" s="30" t="n">
        <x:f>F26/$F$6</x:f>
        <x:v>1.0091978574171494</x:v>
      </x:c>
      <x:c r="H26" s="30" t="n">
        <x:v>0.7907189886608056</x:v>
      </x:c>
      <x:c r="I26" s="30" t="n">
        <x:f>$H$6-H26</x:f>
        <x:v>0.022745292232841496</x:v>
      </x:c>
      <x:c r="J26" s="30" t="n">
        <x:v>0.747</x:v>
      </x:c>
      <x:c r="K26" s="30" t="n">
        <x:f>$J$6-J26</x:f>
        <x:v>0.05500000000000005</x:v>
      </x:c>
      <x:c r="L26" s="29" t="n">
        <x:v>1</x:v>
      </x:c>
      <x:c r="M26" s="29" t="n">
        <x:v>1</x:v>
      </x:c>
      <x:c r="N26" s="29" t="n">
        <x:v>6</x:v>
      </x:c>
      <x:c r="O26" s="29" t="n">
        <x:v>1</x:v>
      </x:c>
      <x:c r="P26" s="29" t="n">
        <x:v>5</x:v>
      </x:c>
      <x:c r="Q26" s="29" t="n">
        <x:v>370</x:v>
      </x:c>
      <x:c r="R26" s="30" t="n">
        <x:v>-0.5437326458679277</x:v>
      </x:c>
      <x:c r="S26" s="30" t="n">
        <x:v>0.7907189886608056</x:v>
      </x:c>
      <x:c r="T26" s="30" t="n">
        <x:v>0.6582145730336777</x:v>
      </x:c>
      <x:c r="U26" s="28" t="str">
        <x:f>IF(AND(G26&gt;=80%,I26&gt;0,L26&gt;=1),"YES","")</x:f>
        <x:v>YES</x:v>
      </x:c>
      <x:c r="V26" s="31" t="n">
        <x:f>I26+0.4*K26-2*MAX(0,90%-G26)</x:f>
        <x:v>0.044745292232841516</x:v>
      </x:c>
    </x:row>
    <x:row r="27">
      <x:c r="A27" s="35" t="n">
        <x:v>21</x:v>
      </x:c>
      <x:c r="B27" s="33" t="str">
        <x:v>Premarket rolling shock</x:v>
      </x:c>
      <x:c r="C27" s="33" t="str">
        <x:v>Skip when the worst premarket 5-minute candle is -0.2% or worse.</x:v>
      </x:c>
      <x:c r="D27" s="29" t="n">
        <x:v>695472.4910000003</x:v>
      </x:c>
      <x:c r="E27" s="29" t="n">
        <x:v>5870</x:v>
      </x:c>
      <x:c r="F27" s="30" t="n">
        <x:f>(D27/E27)^(1/('Methodology'!$B$4*7/365))-1</x:f>
        <x:v>0.7771035217265185</x:v>
      </x:c>
      <x:c r="G27" s="30" t="n">
        <x:f>F27/$F$6</x:f>
        <x:v>0.10809612712661464</x:v>
      </x:c>
      <x:c r="H27" s="30" t="n">
        <x:v>0.6695966592131521</x:v>
      </x:c>
      <x:c r="I27" s="30" t="n">
        <x:f>$H$6-H27</x:f>
        <x:v>0.14386762168049494</x:v>
      </x:c>
      <x:c r="J27" s="30" t="n">
        <x:v>0.678</x:v>
      </x:c>
      <x:c r="K27" s="30" t="n">
        <x:f>$J$6-J27</x:f>
        <x:v>0.124</x:v>
      </x:c>
      <x:c r="L27" s="29" t="n">
        <x:v>11</x:v>
      </x:c>
      <x:c r="M27" s="29" t="n">
        <x:v>9</x:v>
      </x:c>
      <x:c r="N27" s="29" t="n">
        <x:v>194</x:v>
      </x:c>
      <x:c r="O27" s="29" t="n">
        <x:v>69</x:v>
      </x:c>
      <x:c r="P27" s="29" t="n">
        <x:v>125</x:v>
      </x:c>
      <x:c r="Q27" s="29" t="n">
        <x:v>182</x:v>
      </x:c>
      <x:c r="R27" s="30" t="n">
        <x:v>-0.4493275040736106</x:v>
      </x:c>
      <x:c r="S27" s="30" t="n">
        <x:v>0.6695966592131521</x:v>
      </x:c>
      <x:c r="T27" s="30" t="n">
        <x:v>0.5686219915259048</x:v>
      </x:c>
      <x:c r="U27" s="28" t="str">
        <x:f>IF(AND(G27&gt;=80%,I27&gt;0,L27&gt;=1),"YES","")</x:f>
      </x:c>
      <x:c r="V27" s="31" t="n">
        <x:f>I27+0.4*K27-2*MAX(0,90%-G27)</x:f>
        <x:v>-1.3903401240662758</x:v>
      </x:c>
    </x:row>
    <x:row r="28">
      <x:c r="A28" s="35" t="n">
        <x:v>22</x:v>
      </x:c>
      <x:c r="B28" s="33" t="str">
        <x:v>Premarket rolling shock</x:v>
      </x:c>
      <x:c r="C28" s="33" t="str">
        <x:v>Skip when the worst premarket 5-minute candle is -0.3% or worse.</x:v>
      </x:c>
      <x:c r="D28" s="29" t="n">
        <x:v>119470893.69500001</x:v>
      </x:c>
      <x:c r="E28" s="29" t="n">
        <x:v>8400</x:v>
      </x:c>
      <x:c r="F28" s="30" t="n">
        <x:f>(D28/E28)^(1/('Methodology'!$B$4*7/365))-1</x:f>
        <x:v>2.1630915045528862</x:v>
      </x:c>
      <x:c r="G28" s="30" t="n">
        <x:f>F28/$F$6</x:f>
        <x:v>0.3008888876776143</x:v>
      </x:c>
      <x:c r="H28" s="30" t="n">
        <x:v>0.7600184635196368</x:v>
      </x:c>
      <x:c r="I28" s="30" t="n">
        <x:f>$H$6-H28</x:f>
        <x:v>0.05344581737401033</x:v>
      </x:c>
      <x:c r="J28" s="30" t="n">
        <x:v>0.76</x:v>
      </x:c>
      <x:c r="K28" s="30" t="n">
        <x:f>$J$6-J28</x:f>
        <x:v>0.04200000000000004</x:v>
      </x:c>
      <x:c r="L28" s="29" t="n">
        <x:v>8</x:v>
      </x:c>
      <x:c r="M28" s="29" t="n">
        <x:v>7</x:v>
      </x:c>
      <x:c r="N28" s="29" t="n">
        <x:v>106</x:v>
      </x:c>
      <x:c r="O28" s="29" t="n">
        <x:v>33</x:v>
      </x:c>
      <x:c r="P28" s="29" t="n">
        <x:v>73</x:v>
      </x:c>
      <x:c r="Q28" s="29" t="n">
        <x:v>270</x:v>
      </x:c>
      <x:c r="R28" s="30" t="n">
        <x:v>-0.4698609486339868</x:v>
      </x:c>
      <x:c r="S28" s="30" t="n">
        <x:v>0.636118916334181</x:v>
      </x:c>
      <x:c r="T28" s="30" t="n">
        <x:v>0.7600184635196368</x:v>
      </x:c>
      <x:c r="U28" s="28" t="str">
        <x:f>IF(AND(G28&gt;=80%,I28&gt;0,L28&gt;=1),"YES","")</x:f>
      </x:c>
      <x:c r="V28" s="31" t="n">
        <x:f>I28+0.4*K28-2*MAX(0,90%-G28)</x:f>
        <x:v>-1.1279764072707612</x:v>
      </x:c>
    </x:row>
    <x:row r="29">
      <x:c r="A29" s="35" t="n">
        <x:v>23</x:v>
      </x:c>
      <x:c r="B29" s="33" t="str">
        <x:v>Premarket rolling shock</x:v>
      </x:c>
      <x:c r="C29" s="33" t="str">
        <x:v>Skip when the worst premarket 5-minute candle is -0.4% or worse.</x:v>
      </x:c>
      <x:c r="D29" s="29" t="n">
        <x:v>1547634879.1240003</x:v>
      </x:c>
      <x:c r="E29" s="29" t="n">
        <x:v>10355</x:v>
      </x:c>
      <x:c r="F29" s="30" t="n">
        <x:f>(D29/E29)^(1/('Methodology'!$B$4*7/365))-1</x:f>
        <x:v>3.1988215997611427</x:v>
      </x:c>
      <x:c r="G29" s="30" t="n">
        <x:f>F29/$F$6</x:f>
        <x:v>0.4449603130544423</x:v>
      </x:c>
      <x:c r="H29" s="30" t="n">
        <x:v>0.8014710784991973</x:v>
      </x:c>
      <x:c r="I29" s="30" t="n">
        <x:f>$H$6-H29</x:f>
        <x:v>0.011993202394449787</x:v>
      </x:c>
      <x:c r="J29" s="30" t="n">
        <x:v>0.76</x:v>
      </x:c>
      <x:c r="K29" s="30" t="n">
        <x:f>$J$6-J29</x:f>
        <x:v>0.04200000000000004</x:v>
      </x:c>
      <x:c r="L29" s="29" t="n">
        <x:v>2</x:v>
      </x:c>
      <x:c r="M29" s="29" t="n">
        <x:v>2</x:v>
      </x:c>
      <x:c r="N29" s="29" t="n">
        <x:v>54</x:v>
      </x:c>
      <x:c r="O29" s="29" t="n">
        <x:v>14</x:v>
      </x:c>
      <x:c r="P29" s="29" t="n">
        <x:v>40</x:v>
      </x:c>
      <x:c r="Q29" s="29" t="n">
        <x:v>322</x:v>
      </x:c>
      <x:c r="R29" s="30" t="n">
        <x:v>-0.5436549439623998</x:v>
      </x:c>
      <x:c r="S29" s="30" t="n">
        <x:v>0.8014710784991973</x:v>
      </x:c>
      <x:c r="T29" s="30" t="n">
        <x:v>0.7055624297789822</x:v>
      </x:c>
      <x:c r="U29" s="28" t="str">
        <x:f>IF(AND(G29&gt;=80%,I29&gt;0,L29&gt;=1),"YES","")</x:f>
      </x:c>
      <x:c r="V29" s="31" t="n">
        <x:f>I29+0.4*K29-2*MAX(0,90%-G29)</x:f>
        <x:v>-0.8812861714966657</x:v>
      </x:c>
    </x:row>
    <x:row r="30">
      <x:c r="A30" s="35" t="n">
        <x:v>24</x:v>
      </x:c>
      <x:c r="B30" s="33" t="str">
        <x:v>Premarket rolling shock</x:v>
      </x:c>
      <x:c r="C30" s="33" t="str">
        <x:v>Skip when the worst premarket 5-minute candle is -0.5% or worse.</x:v>
      </x:c>
      <x:c r="D30" s="29" t="n">
        <x:v>12051688082.679993</x:v>
      </x:c>
      <x:c r="E30" s="29" t="n">
        <x:v>11390</x:v>
      </x:c>
      <x:c r="F30" s="30" t="n">
        <x:f>(D30/E30)^(1/('Methodology'!$B$4*7/365))-1</x:f>
        <x:v>4.314801793698931</x:v>
      </x:c>
      <x:c r="G30" s="30" t="n">
        <x:f>F30/$F$6</x:f>
        <x:v>0.600194633247289</x:v>
      </x:c>
      <x:c r="H30" s="30" t="n">
        <x:v>0.8017895670420365</x:v>
      </x:c>
      <x:c r="I30" s="30" t="n">
        <x:f>$H$6-H30</x:f>
        <x:v>0.011674713851610563</x:v>
      </x:c>
      <x:c r="J30" s="30" t="n">
        <x:v>0.76</x:v>
      </x:c>
      <x:c r="K30" s="30" t="n">
        <x:f>$J$6-J30</x:f>
        <x:v>0.04200000000000004</x:v>
      </x:c>
      <x:c r="L30" s="29" t="n">
        <x:v>2</x:v>
      </x:c>
      <x:c r="M30" s="29" t="n">
        <x:v>2</x:v>
      </x:c>
      <x:c r="N30" s="29" t="n">
        <x:v>33</x:v>
      </x:c>
      <x:c r="O30" s="29" t="n">
        <x:v>7</x:v>
      </x:c>
      <x:c r="P30" s="29" t="n">
        <x:v>26</x:v>
      </x:c>
      <x:c r="Q30" s="29" t="n">
        <x:v>343</x:v>
      </x:c>
      <x:c r="R30" s="30" t="n">
        <x:v>-0.5437303377598767</x:v>
      </x:c>
      <x:c r="S30" s="30" t="n">
        <x:v>0.8017895670420365</x:v>
      </x:c>
      <x:c r="T30" s="30" t="n">
        <x:v>0.6746986186759374</x:v>
      </x:c>
      <x:c r="U30" s="28" t="str">
        <x:f>IF(AND(G30&gt;=80%,I30&gt;0,L30&gt;=1),"YES","")</x:f>
      </x:c>
      <x:c r="V30" s="31" t="n">
        <x:f>I30+0.4*K30-2*MAX(0,90%-G30)</x:f>
        <x:v>-0.5711360196538113</x:v>
      </x:c>
    </x:row>
    <x:row r="31">
      <x:c r="A31" s="35" t="n">
        <x:v>25</x:v>
      </x:c>
      <x:c r="B31" s="33" t="str">
        <x:v>Premarket rolling shock</x:v>
      </x:c>
      <x:c r="C31" s="33" t="str">
        <x:v>Skip when the worst premarket 5-minute candle is -0.6% or worse.</x:v>
      </x:c>
      <x:c r="D31" s="29" t="n">
        <x:v>33224764522.919994</x:v>
      </x:c>
      <x:c r="E31" s="29" t="n">
        <x:v>11620</x:v>
      </x:c>
      <x:c r="F31" s="30" t="n">
        <x:f>(D31/E31)^(1/('Methodology'!$B$4*7/365))-1</x:f>
        <x:v>4.990694726171749</x:v>
      </x:c>
      <x:c r="G31" s="30" t="n">
        <x:f>F31/$F$6</x:f>
        <x:v>0.6942122336182653</x:v>
      </x:c>
      <x:c r="H31" s="30" t="n">
        <x:v>0.79071050683159</x:v>
      </x:c>
      <x:c r="I31" s="30" t="n">
        <x:f>$H$6-H31</x:f>
        <x:v>0.02275377406205703</x:v>
      </x:c>
      <x:c r="J31" s="30" t="n">
        <x:v>0.747</x:v>
      </x:c>
      <x:c r="K31" s="30" t="n">
        <x:f>$J$6-J31</x:f>
        <x:v>0.05500000000000005</x:v>
      </x:c>
      <x:c r="L31" s="29" t="n">
        <x:v>1</x:v>
      </x:c>
      <x:c r="M31" s="29" t="n">
        <x:v>2</x:v>
      </x:c>
      <x:c r="N31" s="29" t="n">
        <x:v>24</x:v>
      </x:c>
      <x:c r="O31" s="29" t="n">
        <x:v>5</x:v>
      </x:c>
      <x:c r="P31" s="29" t="n">
        <x:v>19</x:v>
      </x:c>
      <x:c r="Q31" s="29" t="n">
        <x:v>352</x:v>
      </x:c>
      <x:c r="R31" s="30" t="n">
        <x:v>-0.5437299893923965</x:v>
      </x:c>
      <x:c r="S31" s="30" t="n">
        <x:v>0.79071050683159</x:v>
      </x:c>
      <x:c r="T31" s="30" t="n">
        <x:v>0.6746986238146733</x:v>
      </x:c>
      <x:c r="U31" s="28" t="str">
        <x:f>IF(AND(G31&gt;=80%,I31&gt;0,L31&gt;=1),"YES","")</x:f>
      </x:c>
      <x:c r="V31" s="31" t="n">
        <x:f>I31+0.4*K31-2*MAX(0,90%-G31)</x:f>
        <x:v>-0.3668217587014123</x:v>
      </x:c>
    </x:row>
    <x:row r="32">
      <x:c r="A32" s="35" t="n">
        <x:v>26</x:v>
      </x:c>
      <x:c r="B32" s="33" t="str">
        <x:v>Premarket rolling shock</x:v>
      </x:c>
      <x:c r="C32" s="33" t="str">
        <x:v>Skip when the worst premarket 5-minute candle is -0.7% or worse.</x:v>
      </x:c>
      <x:c r="D32" s="29" t="n">
        <x:v>158702368021.40497</x:v>
      </x:c>
      <x:c r="E32" s="29" t="n">
        <x:v>11965</x:v>
      </x:c>
      <x:c r="F32" s="30" t="n">
        <x:f>(D32/E32)^(1/('Methodology'!$B$4*7/365))-1</x:f>
        <x:v>6.206566669951636</x:v>
      </x:c>
      <x:c r="G32" s="30" t="n">
        <x:f>F32/$F$6</x:f>
        <x:v>0.8633416282612206</x:v>
      </x:c>
      <x:c r="H32" s="30" t="n">
        <x:v>0.7907177482230545</x:v>
      </x:c>
      <x:c r="I32" s="30" t="n">
        <x:f>$H$6-H32</x:f>
        <x:v>0.022746532670592567</x:v>
      </x:c>
      <x:c r="J32" s="30" t="n">
        <x:v>0.747</x:v>
      </x:c>
      <x:c r="K32" s="30" t="n">
        <x:f>$J$6-J32</x:f>
        <x:v>0.05500000000000005</x:v>
      </x:c>
      <x:c r="L32" s="29" t="n">
        <x:v>1</x:v>
      </x:c>
      <x:c r="M32" s="29" t="n">
        <x:v>2</x:v>
      </x:c>
      <x:c r="N32" s="29" t="n">
        <x:v>14</x:v>
      </x:c>
      <x:c r="O32" s="29" t="n">
        <x:v>2</x:v>
      </x:c>
      <x:c r="P32" s="29" t="n">
        <x:v>12</x:v>
      </x:c>
      <x:c r="Q32" s="29" t="n">
        <x:v>362</x:v>
      </x:c>
      <x:c r="R32" s="30" t="n">
        <x:v>-0.5437326196429728</x:v>
      </x:c>
      <x:c r="S32" s="30" t="n">
        <x:v>0.7907177482230545</x:v>
      </x:c>
      <x:c r="T32" s="30" t="n">
        <x:v>0.6582145726332367</x:v>
      </x:c>
      <x:c r="U32" s="28" t="str">
        <x:f>IF(AND(G32&gt;=80%,I32&gt;0,L32&gt;=1),"YES","")</x:f>
        <x:v>YES</x:v>
      </x:c>
      <x:c r="V32" s="31" t="n">
        <x:f>I32+0.4*K32-2*MAX(0,90%-G32)</x:f>
        <x:v>-0.0285702108069662</x:v>
      </x:c>
    </x:row>
    <x:row r="33">
      <x:c r="A33" s="35" t="n">
        <x:v>27</x:v>
      </x:c>
      <x:c r="B33" s="33" t="str">
        <x:v>Premarket rolling shock</x:v>
      </x:c>
      <x:c r="C33" s="33" t="str">
        <x:v>Skip when the worst premarket 5-minute candle is -0.8% or worse.</x:v>
      </x:c>
      <x:c r="D33" s="29" t="n">
        <x:v>186623757650.533</x:v>
      </x:c>
      <x:c r="E33" s="29" t="n">
        <x:v>11965</x:v>
      </x:c>
      <x:c r="F33" s="30" t="n">
        <x:f>(D33/E33)^(1/('Methodology'!$B$4*7/365))-1</x:f>
        <x:v>6.348592321437056</x:v>
      </x:c>
      <x:c r="G33" s="30" t="n">
        <x:f>F33/$F$6</x:f>
        <x:v>0.8830975841267907</x:v>
      </x:c>
      <x:c r="H33" s="30" t="n">
        <x:v>0.7907182029520958</x:v>
      </x:c>
      <x:c r="I33" s="30" t="n">
        <x:f>$H$6-H33</x:f>
        <x:v>0.022746077941551257</x:v>
      </x:c>
      <x:c r="J33" s="30" t="n">
        <x:v>0.747</x:v>
      </x:c>
      <x:c r="K33" s="30" t="n">
        <x:f>$J$6-J33</x:f>
        <x:v>0.05500000000000005</x:v>
      </x:c>
      <x:c r="L33" s="29" t="n">
        <x:v>1</x:v>
      </x:c>
      <x:c r="M33" s="29" t="n">
        <x:v>2</x:v>
      </x:c>
      <x:c r="N33" s="29" t="n">
        <x:v>13</x:v>
      </x:c>
      <x:c r="O33" s="29" t="n">
        <x:v>2</x:v>
      </x:c>
      <x:c r="P33" s="29" t="n">
        <x:v>11</x:v>
      </x:c>
      <x:c r="Q33" s="29" t="n">
        <x:v>363</x:v>
      </x:c>
      <x:c r="R33" s="30" t="n">
        <x:v>-0.5437327886191182</x:v>
      </x:c>
      <x:c r="S33" s="30" t="n">
        <x:v>0.7907182029520958</x:v>
      </x:c>
      <x:c r="T33" s="30" t="n">
        <x:v>0.6582145726633497</x:v>
      </x:c>
      <x:c r="U33" s="28" t="str">
        <x:f>IF(AND(G33&gt;=80%,I33&gt;0,L33&gt;=1),"YES","")</x:f>
        <x:v>YES</x:v>
      </x:c>
      <x:c r="V33" s="31" t="n">
        <x:f>I33+0.4*K33-2*MAX(0,90%-G33)</x:f>
        <x:v>0.010941246195132703</x:v>
      </x:c>
    </x:row>
    <x:row r="34">
      <x:c r="A34" s="35" t="n">
        <x:v>28</x:v>
      </x:c>
      <x:c r="B34" s="33" t="str">
        <x:v>Premarket rolling shock</x:v>
      </x:c>
      <x:c r="C34" s="33" t="str">
        <x:v>Skip when the worst premarket 5-minute candle is -0.9% or worse.</x:v>
      </x:c>
      <x:c r="D34" s="29" t="n">
        <x:v>369113617518.2729</x:v>
      </x:c>
      <x:c r="E34" s="29" t="n">
        <x:v>11965</x:v>
      </x:c>
      <x:c r="F34" s="30" t="n">
        <x:f>(D34/E34)^(1/('Methodology'!$B$4*7/365))-1</x:f>
        <x:v>6.977602895052345</x:v>
      </x:c>
      <x:c r="G34" s="30" t="n">
        <x:f>F34/$F$6</x:f>
        <x:v>0.9705937864068155</x:v>
      </x:c>
      <x:c r="H34" s="30" t="n">
        <x:v>0.7907182029520958</x:v>
      </x:c>
      <x:c r="I34" s="30" t="n">
        <x:f>$H$6-H34</x:f>
        <x:v>0.022746077941551257</x:v>
      </x:c>
      <x:c r="J34" s="30" t="n">
        <x:v>0.747</x:v>
      </x:c>
      <x:c r="K34" s="30" t="n">
        <x:f>$J$6-J34</x:f>
        <x:v>0.05500000000000005</x:v>
      </x:c>
      <x:c r="L34" s="29" t="n">
        <x:v>1</x:v>
      </x:c>
      <x:c r="M34" s="29" t="n">
        <x:v>2</x:v>
      </x:c>
      <x:c r="N34" s="29" t="n">
        <x:v>9</x:v>
      </x:c>
      <x:c r="O34" s="29" t="n">
        <x:v>2</x:v>
      </x:c>
      <x:c r="P34" s="29" t="n">
        <x:v>7</x:v>
      </x:c>
      <x:c r="Q34" s="29" t="n">
        <x:v>367</x:v>
      </x:c>
      <x:c r="R34" s="30" t="n">
        <x:v>-0.5437327886191182</x:v>
      </x:c>
      <x:c r="S34" s="30" t="n">
        <x:v>0.7907182029520958</x:v>
      </x:c>
      <x:c r="T34" s="30" t="n">
        <x:v>0.6582145729884137</x:v>
      </x:c>
      <x:c r="U34" s="28" t="str">
        <x:f>IF(AND(G34&gt;=80%,I34&gt;0,L34&gt;=1),"YES","")</x:f>
        <x:v>YES</x:v>
      </x:c>
      <x:c r="V34" s="31" t="n">
        <x:f>I34+0.4*K34-2*MAX(0,90%-G34)</x:f>
        <x:v>0.04474607794155128</x:v>
      </x:c>
    </x:row>
    <x:row r="35">
      <x:c r="A35" s="35" t="n">
        <x:v>29</x:v>
      </x:c>
      <x:c r="B35" s="33" t="str">
        <x:v>Premarket rolling shock</x:v>
      </x:c>
      <x:c r="C35" s="33" t="str">
        <x:v>Skip when the worst premarket 5-minute candle is -1.0% or worse.</x:v>
      </x:c>
      <x:c r="D35" s="29" t="n">
        <x:v>490328998143.5862</x:v>
      </x:c>
      <x:c r="E35" s="29" t="n">
        <x:v>11965</x:v>
      </x:c>
      <x:c r="F35" s="30" t="n">
        <x:f>(D35/E35)^(1/('Methodology'!$B$4*7/365))-1</x:f>
        <x:v>7.255127727185991</x:v>
      </x:c>
      <x:c r="G35" s="30" t="n">
        <x:f>F35/$F$6</x:f>
        <x:v>1.0091978574171494</x:v>
      </x:c>
      <x:c r="H35" s="30" t="n">
        <x:v>0.7907189886608056</x:v>
      </x:c>
      <x:c r="I35" s="30" t="n">
        <x:f>$H$6-H35</x:f>
        <x:v>0.022745292232841496</x:v>
      </x:c>
      <x:c r="J35" s="30" t="n">
        <x:v>0.747</x:v>
      </x:c>
      <x:c r="K35" s="30" t="n">
        <x:f>$J$6-J35</x:f>
        <x:v>0.05500000000000005</x:v>
      </x:c>
      <x:c r="L35" s="29" t="n">
        <x:v>1</x:v>
      </x:c>
      <x:c r="M35" s="29" t="n">
        <x:v>1</x:v>
      </x:c>
      <x:c r="N35" s="29" t="n">
        <x:v>6</x:v>
      </x:c>
      <x:c r="O35" s="29" t="n">
        <x:v>1</x:v>
      </x:c>
      <x:c r="P35" s="29" t="n">
        <x:v>5</x:v>
      </x:c>
      <x:c r="Q35" s="29" t="n">
        <x:v>370</x:v>
      </x:c>
      <x:c r="R35" s="30" t="n">
        <x:v>-0.5437326458679277</x:v>
      </x:c>
      <x:c r="S35" s="30" t="n">
        <x:v>0.7907189886608056</x:v>
      </x:c>
      <x:c r="T35" s="30" t="n">
        <x:v>0.6582145730336777</x:v>
      </x:c>
      <x:c r="U35" s="28" t="str">
        <x:f>IF(AND(G35&gt;=80%,I35&gt;0,L35&gt;=1),"YES","")</x:f>
        <x:v>YES</x:v>
      </x:c>
      <x:c r="V35" s="31" t="n">
        <x:f>I35+0.4*K35-2*MAX(0,90%-G35)</x:f>
        <x:v>0.044745292232841516</x:v>
      </x:c>
    </x:row>
    <x:row r="36">
      <x:c r="A36" s="35" t="n">
        <x:v>30</x:v>
      </x:c>
      <x:c r="B36" s="33" t="str">
        <x:v>Premarket rolling shock</x:v>
      </x:c>
      <x:c r="C36" s="33" t="str">
        <x:v>Skip when the worst premarket 5-minute candle is -1.1% or worse.</x:v>
      </x:c>
      <x:c r="D36" s="29" t="n">
        <x:v>490328998143.5862</x:v>
      </x:c>
      <x:c r="E36" s="29" t="n">
        <x:v>11965</x:v>
      </x:c>
      <x:c r="F36" s="30" t="n">
        <x:f>(D36/E36)^(1/('Methodology'!$B$4*7/365))-1</x:f>
        <x:v>7.255127727185991</x:v>
      </x:c>
      <x:c r="G36" s="30" t="n">
        <x:f>F36/$F$6</x:f>
        <x:v>1.0091978574171494</x:v>
      </x:c>
      <x:c r="H36" s="30" t="n">
        <x:v>0.7907189886608056</x:v>
      </x:c>
      <x:c r="I36" s="30" t="n">
        <x:f>$H$6-H36</x:f>
        <x:v>0.022745292232841496</x:v>
      </x:c>
      <x:c r="J36" s="30" t="n">
        <x:v>0.747</x:v>
      </x:c>
      <x:c r="K36" s="30" t="n">
        <x:f>$J$6-J36</x:f>
        <x:v>0.05500000000000005</x:v>
      </x:c>
      <x:c r="L36" s="29" t="n">
        <x:v>1</x:v>
      </x:c>
      <x:c r="M36" s="29" t="n">
        <x:v>1</x:v>
      </x:c>
      <x:c r="N36" s="29" t="n">
        <x:v>6</x:v>
      </x:c>
      <x:c r="O36" s="29" t="n">
        <x:v>1</x:v>
      </x:c>
      <x:c r="P36" s="29" t="n">
        <x:v>5</x:v>
      </x:c>
      <x:c r="Q36" s="29" t="n">
        <x:v>370</x:v>
      </x:c>
      <x:c r="R36" s="30" t="n">
        <x:v>-0.5437326458679277</x:v>
      </x:c>
      <x:c r="S36" s="30" t="n">
        <x:v>0.7907189886608056</x:v>
      </x:c>
      <x:c r="T36" s="30" t="n">
        <x:v>0.6582145730336777</x:v>
      </x:c>
      <x:c r="U36" s="28" t="str">
        <x:f>IF(AND(G36&gt;=80%,I36&gt;0,L36&gt;=1),"YES","")</x:f>
        <x:v>YES</x:v>
      </x:c>
      <x:c r="V36" s="31" t="n">
        <x:f>I36+0.4*K36-2*MAX(0,90%-G36)</x:f>
        <x:v>0.044745292232841516</x:v>
      </x:c>
    </x:row>
    <x:row r="37">
      <x:c r="A37" s="35" t="n">
        <x:v>31</x:v>
      </x:c>
      <x:c r="B37" s="33" t="str">
        <x:v>Premarket rolling shock</x:v>
      </x:c>
      <x:c r="C37" s="33" t="str">
        <x:v>Skip when the worst premarket 15-minute candle is -0.2% or worse.</x:v>
      </x:c>
      <x:c r="D37" s="29" t="n">
        <x:v>209527.41</x:v>
      </x:c>
      <x:c r="E37" s="29" t="n">
        <x:v>2880</x:v>
      </x:c>
      <x:c r="F37" s="30" t="n">
        <x:f>(D37/E37)^(1/('Methodology'!$B$4*7/365))-1</x:f>
        <x:v>0.675745518931276</x:v>
      </x:c>
      <x:c r="G37" s="30" t="n">
        <x:f>F37/$F$6</x:f>
        <x:v>0.09399709495248157</x:v>
      </x:c>
      <x:c r="H37" s="30" t="n">
        <x:v>0.5876756718626062</x:v>
      </x:c>
      <x:c r="I37" s="30" t="n">
        <x:f>$H$6-H37</x:f>
        <x:v>0.22578860903104092</x:v>
      </x:c>
      <x:c r="J37" s="30" t="n">
        <x:v>0.537</x:v>
      </x:c>
      <x:c r="K37" s="30" t="n">
        <x:f>$J$6-J37</x:f>
        <x:v>0.265</x:v>
      </x:c>
      <x:c r="L37" s="29" t="n">
        <x:v>15</x:v>
      </x:c>
      <x:c r="M37" s="29" t="n">
        <x:v>10</x:v>
      </x:c>
      <x:c r="N37" s="29" t="n">
        <x:v>271</x:v>
      </x:c>
      <x:c r="O37" s="29" t="n">
        <x:v>108</x:v>
      </x:c>
      <x:c r="P37" s="29" t="n">
        <x:v>163</x:v>
      </x:c>
      <x:c r="Q37" s="29" t="n">
        <x:v>105</x:v>
      </x:c>
      <x:c r="R37" s="30" t="n">
        <x:v>-0.44954762365197903</x:v>
      </x:c>
      <x:c r="S37" s="30" t="n">
        <x:v>0.4495476236519791</x:v>
      </x:c>
      <x:c r="T37" s="30" t="n">
        <x:v>0.5876756718626062</x:v>
      </x:c>
      <x:c r="U37" s="28" t="str">
        <x:f>IF(AND(G37&gt;=80%,I37&gt;0,L37&gt;=1),"YES","")</x:f>
      </x:c>
      <x:c r="V37" s="31" t="n">
        <x:f>I37+0.4*K37-2*MAX(0,90%-G37)</x:f>
        <x:v>-1.280217201063996</x:v>
      </x:c>
    </x:row>
    <x:row r="38">
      <x:c r="A38" s="35" t="n">
        <x:v>32</x:v>
      </x:c>
      <x:c r="B38" s="33" t="str">
        <x:v>Premarket rolling shock</x:v>
      </x:c>
      <x:c r="C38" s="33" t="str">
        <x:v>Skip when the worst premarket 15-minute candle is -0.3% or worse.</x:v>
      </x:c>
      <x:c r="D38" s="29" t="n">
        <x:v>864290.0070000001</x:v>
      </x:c>
      <x:c r="E38" s="29" t="n">
        <x:v>6560</x:v>
      </x:c>
      <x:c r="F38" s="30" t="n">
        <x:f>(D38/E38)^(1/('Methodology'!$B$4*7/365))-1</x:f>
        <x:v>0.7999724468434255</x:v>
      </x:c>
      <x:c r="G38" s="30" t="n">
        <x:f>F38/$F$6</x:f>
        <x:v>0.11127722484084708</x:v>
      </x:c>
      <x:c r="H38" s="30" t="n">
        <x:v>0.8049715004670492</x:v>
      </x:c>
      <x:c r="I38" s="30" t="n">
        <x:f>$H$6-H38</x:f>
        <x:v>0.008492780426597846</x:v>
      </x:c>
      <x:c r="J38" s="30" t="n">
        <x:v>0.805</x:v>
      </x:c>
      <x:c r="K38" s="30" t="n">
        <x:f>$J$6-J38</x:f>
        <x:v>-0.0030000000000000027</x:v>
      </x:c>
      <x:c r="L38" s="29" t="n">
        <x:v>10</x:v>
      </x:c>
      <x:c r="M38" s="29" t="n">
        <x:v>8</x:v>
      </x:c>
      <x:c r="N38" s="29" t="n">
        <x:v>169</x:v>
      </x:c>
      <x:c r="O38" s="29" t="n">
        <x:v>58</x:v>
      </x:c>
      <x:c r="P38" s="29" t="n">
        <x:v>111</x:v>
      </x:c>
      <x:c r="Q38" s="29" t="n">
        <x:v>207</x:v>
      </x:c>
      <x:c r="R38" s="30" t="n">
        <x:v>-0.46929855630172435</x:v>
      </x:c>
      <x:c r="S38" s="30" t="n">
        <x:v>0.8049715004670492</x:v>
      </x:c>
      <x:c r="T38" s="30" t="n">
        <x:v>0.7231876403591369</x:v>
      </x:c>
      <x:c r="U38" s="28" t="str">
        <x:f>IF(AND(G38&gt;=80%,I38&gt;0,L38&gt;=1),"YES","")</x:f>
      </x:c>
      <x:c r="V38" s="31" t="n">
        <x:f>I38+0.4*K38-2*MAX(0,90%-G38)</x:f>
        <x:v>-1.570152769891708</x:v>
      </x:c>
    </x:row>
    <x:row r="39">
      <x:c r="A39" s="35" t="n">
        <x:v>33</x:v>
      </x:c>
      <x:c r="B39" s="33" t="str">
        <x:v>Premarket rolling shock</x:v>
      </x:c>
      <x:c r="C39" s="33" t="str">
        <x:v>Skip when the worst premarket 15-minute candle is -0.4% or worse.</x:v>
      </x:c>
      <x:c r="D39" s="29" t="n">
        <x:v>414666482.992</x:v>
      </x:c>
      <x:c r="E39" s="29" t="n">
        <x:v>8170</x:v>
      </x:c>
      <x:c r="F39" s="30" t="n">
        <x:f>(D39/E39)^(1/('Methodology'!$B$4*7/365))-1</x:f>
        <x:v>2.6867557104081072</x:v>
      </x:c>
      <x:c r="G39" s="30" t="n">
        <x:f>F39/$F$6</x:f>
        <x:v>0.37373127094467234</x:v>
      </x:c>
      <x:c r="H39" s="30" t="n">
        <x:v>0.6074539897570164</x:v>
      </x:c>
      <x:c r="I39" s="30" t="n">
        <x:f>$H$6-H39</x:f>
        <x:v>0.20601029113663072</x:v>
      </x:c>
      <x:c r="J39" s="30" t="n">
        <x:v>0.607</x:v>
      </x:c>
      <x:c r="K39" s="30" t="n">
        <x:f>$J$6-J39</x:f>
        <x:v>0.19500000000000006</x:v>
      </x:c>
      <x:c r="L39" s="29" t="n">
        <x:v>8</x:v>
      </x:c>
      <x:c r="M39" s="29" t="n">
        <x:v>7</x:v>
      </x:c>
      <x:c r="N39" s="29" t="n">
        <x:v>108</x:v>
      </x:c>
      <x:c r="O39" s="29" t="n">
        <x:v>38</x:v>
      </x:c>
      <x:c r="P39" s="29" t="n">
        <x:v>70</x:v>
      </x:c>
      <x:c r="Q39" s="29" t="n">
        <x:v>268</x:v>
      </x:c>
      <x:c r="R39" s="30" t="n">
        <x:v>-0.4698621653232043</x:v>
      </x:c>
      <x:c r="S39" s="30" t="n">
        <x:v>0.5398846631772218</x:v>
      </x:c>
      <x:c r="T39" s="30" t="n">
        <x:v>0.6074539897570164</x:v>
      </x:c>
      <x:c r="U39" s="28" t="str">
        <x:f>IF(AND(G39&gt;=80%,I39&gt;0,L39&gt;=1),"YES","")</x:f>
      </x:c>
      <x:c r="V39" s="31" t="n">
        <x:f>I39+0.4*K39-2*MAX(0,90%-G39)</x:f>
        <x:v>-0.7685271669740246</x:v>
      </x:c>
    </x:row>
    <x:row r="40">
      <x:c r="A40" s="35" t="n">
        <x:v>34</x:v>
      </x:c>
      <x:c r="B40" s="33" t="str">
        <x:v>Premarket rolling shock</x:v>
      </x:c>
      <x:c r="C40" s="33" t="str">
        <x:v>Skip when the worst premarket 15-minute candle is -0.5% or worse.</x:v>
      </x:c>
      <x:c r="D40" s="29" t="n">
        <x:v>210469377.00299993</x:v>
      </x:c>
      <x:c r="E40" s="29" t="n">
        <x:v>10125</x:v>
      </x:c>
      <x:c r="F40" s="30" t="n">
        <x:f>(D40/E40)^(1/('Methodology'!$B$4*7/365))-1</x:f>
        <x:v>2.3109962035969276</x:v>
      </x:c>
      <x:c r="G40" s="30" t="n">
        <x:f>F40/$F$6</x:f>
        <x:v>0.3214626268301115</x:v>
      </x:c>
      <x:c r="H40" s="30" t="n">
        <x:v>0.758227877094311</x:v>
      </x:c>
      <x:c r="I40" s="30" t="n">
        <x:f>$H$6-H40</x:f>
        <x:v>0.05523640379933603</x:v>
      </x:c>
      <x:c r="J40" s="30" t="n">
        <x:v>0.731</x:v>
      </x:c>
      <x:c r="K40" s="30" t="n">
        <x:f>$J$6-J40</x:f>
        <x:v>0.07100000000000006</x:v>
      </x:c>
      <x:c r="L40" s="29" t="n">
        <x:v>2</x:v>
      </x:c>
      <x:c r="M40" s="29" t="n">
        <x:v>2</x:v>
      </x:c>
      <x:c r="N40" s="29" t="n">
        <x:v>70</x:v>
      </x:c>
      <x:c r="O40" s="29" t="n">
        <x:v>20</x:v>
      </x:c>
      <x:c r="P40" s="29" t="n">
        <x:v>50</x:v>
      </x:c>
      <x:c r="Q40" s="29" t="n">
        <x:v>306</x:v>
      </x:c>
      <x:c r="R40" s="30" t="n">
        <x:v>-0.5436412669648082</x:v>
      </x:c>
      <x:c r="S40" s="30" t="n">
        <x:v>0.758227877094311</x:v>
      </x:c>
      <x:c r="T40" s="30" t="n">
        <x:v>0.731482943505954</x:v>
      </x:c>
      <x:c r="U40" s="28" t="str">
        <x:f>IF(AND(G40&gt;=80%,I40&gt;0,L40&gt;=1),"YES","")</x:f>
      </x:c>
      <x:c r="V40" s="31" t="n">
        <x:f>I40+0.4*K40-2*MAX(0,90%-G40)</x:f>
        <x:v>-1.073438342540441</x:v>
      </x:c>
    </x:row>
    <x:row r="41">
      <x:c r="A41" s="35" t="n">
        <x:v>35</x:v>
      </x:c>
      <x:c r="B41" s="33" t="str">
        <x:v>Premarket rolling shock</x:v>
      </x:c>
      <x:c r="C41" s="33" t="str">
        <x:v>Skip when the worst premarket 15-minute candle is -0.6% or worse.</x:v>
      </x:c>
      <x:c r="D41" s="29" t="n">
        <x:v>1067598627.1770004</x:v>
      </x:c>
      <x:c r="E41" s="29" t="n">
        <x:v>11045</x:v>
      </x:c>
      <x:c r="F41" s="30" t="n">
        <x:f>(D41/E41)^(1/('Methodology'!$B$4*7/365))-1</x:f>
        <x:v>2.9841378502541014</x:v>
      </x:c>
      <x:c r="G41" s="30" t="n">
        <x:f>F41/$F$6</x:f>
        <x:v>0.4150975197072023</x:v>
      </x:c>
      <x:c r="H41" s="30" t="n">
        <x:v>0.8016934703589635</x:v>
      </x:c>
      <x:c r="I41" s="30" t="n">
        <x:f>$H$6-H41</x:f>
        <x:v>0.01177081053468354</x:v>
      </x:c>
      <x:c r="J41" s="30" t="n">
        <x:v>0.76</x:v>
      </x:c>
      <x:c r="K41" s="30" t="n">
        <x:f>$J$6-J41</x:f>
        <x:v>0.04200000000000004</x:v>
      </x:c>
      <x:c r="L41" s="29" t="n">
        <x:v>1</x:v>
      </x:c>
      <x:c r="M41" s="29" t="n">
        <x:v>2</x:v>
      </x:c>
      <x:c r="N41" s="29" t="n">
        <x:v>45</x:v>
      </x:c>
      <x:c r="O41" s="29" t="n">
        <x:v>10</x:v>
      </x:c>
      <x:c r="P41" s="29" t="n">
        <x:v>35</x:v>
      </x:c>
      <x:c r="Q41" s="29" t="n">
        <x:v>331</x:v>
      </x:c>
      <x:c r="R41" s="30" t="n">
        <x:v>-0.5436756906715331</x:v>
      </x:c>
      <x:c r="S41" s="30" t="n">
        <x:v>0.8016934703589635</x:v>
      </x:c>
      <x:c r="T41" s="30" t="n">
        <x:v>0.6576079137689307</x:v>
      </x:c>
      <x:c r="U41" s="28" t="str">
        <x:f>IF(AND(G41&gt;=80%,I41&gt;0,L41&gt;=1),"YES","")</x:f>
      </x:c>
      <x:c r="V41" s="31" t="n">
        <x:f>I41+0.4*K41-2*MAX(0,90%-G41)</x:f>
        <x:v>-0.9412341500509118</x:v>
      </x:c>
    </x:row>
    <x:row r="42">
      <x:c r="A42" s="35" t="n">
        <x:v>36</x:v>
      </x:c>
      <x:c r="B42" s="33" t="str">
        <x:v>Premarket rolling shock</x:v>
      </x:c>
      <x:c r="C42" s="33" t="str">
        <x:v>Skip when the worst premarket 15-minute candle is -0.7% or worse.</x:v>
      </x:c>
      <x:c r="D42" s="29" t="n">
        <x:v>5993680120.168001</x:v>
      </x:c>
      <x:c r="E42" s="29" t="n">
        <x:v>11505</x:v>
      </x:c>
      <x:c r="F42" s="30" t="n">
        <x:f>(D42/E42)^(1/('Methodology'!$B$4*7/365))-1</x:f>
        <x:v>3.8801262399788605</x:v>
      </x:c>
      <x:c r="G42" s="30" t="n">
        <x:f>F42/$F$6</x:f>
        <x:v>0.5397306891264797</x:v>
      </x:c>
      <x:c r="H42" s="30" t="n">
        <x:v>0.8017878985375819</x:v>
      </x:c>
      <x:c r="I42" s="30" t="n">
        <x:f>$H$6-H42</x:f>
        <x:v>0.011676382356065163</x:v>
      </x:c>
      <x:c r="J42" s="30" t="n">
        <x:v>0.76</x:v>
      </x:c>
      <x:c r="K42" s="30" t="n">
        <x:f>$J$6-J42</x:f>
        <x:v>0.04200000000000004</x:v>
      </x:c>
      <x:c r="L42" s="29" t="n">
        <x:v>1</x:v>
      </x:c>
      <x:c r="M42" s="29" t="n">
        <x:v>2</x:v>
      </x:c>
      <x:c r="N42" s="29" t="n">
        <x:v>32</x:v>
      </x:c>
      <x:c r="O42" s="29" t="n">
        <x:v>5</x:v>
      </x:c>
      <x:c r="P42" s="29" t="n">
        <x:v>27</x:v>
      </x:c>
      <x:c r="Q42" s="29" t="n">
        <x:v>344</x:v>
      </x:c>
      <x:c r="R42" s="30" t="n">
        <x:v>-0.5437284436842916</x:v>
      </x:c>
      <x:c r="S42" s="30" t="n">
        <x:v>0.8017878985375819</x:v>
      </x:c>
      <x:c r="T42" s="30" t="n">
        <x:v>0.6746986076026352</x:v>
      </x:c>
      <x:c r="U42" s="28" t="str">
        <x:f>IF(AND(G42&gt;=80%,I42&gt;0,L42&gt;=1),"YES","")</x:f>
      </x:c>
      <x:c r="V42" s="31" t="n">
        <x:f>I42+0.4*K42-2*MAX(0,90%-G42)</x:f>
        <x:v>-0.6920622393909754</x:v>
      </x:c>
    </x:row>
    <x:row r="43">
      <x:c r="A43" s="35" t="n">
        <x:v>37</x:v>
      </x:c>
      <x:c r="B43" s="33" t="str">
        <x:v>Premarket rolling shock</x:v>
      </x:c>
      <x:c r="C43" s="33" t="str">
        <x:v>Skip when the worst premarket 15-minute candle is -0.8% or worse.</x:v>
      </x:c>
      <x:c r="D43" s="29" t="n">
        <x:v>22277482704.24499</x:v>
      </x:c>
      <x:c r="E43" s="29" t="n">
        <x:v>11965</x:v>
      </x:c>
      <x:c r="F43" s="30" t="n">
        <x:f>(D43/E43)^(1/('Methodology'!$B$4*7/365))-1</x:f>
        <x:v>4.6890824616340705</x:v>
      </x:c>
      <x:c r="G43" s="30" t="n">
        <x:f>F43/$F$6</x:f>
        <x:v>0.6522575689193131</x:v>
      </x:c>
      <x:c r="H43" s="30" t="n">
        <x:v>0.7906984396181927</x:v>
      </x:c>
      <x:c r="I43" s="30" t="n">
        <x:f>$H$6-H43</x:f>
        <x:v>0.022765841275454335</x:v>
      </x:c>
      <x:c r="J43" s="30" t="n">
        <x:v>0.747</x:v>
      </x:c>
      <x:c r="K43" s="30" t="n">
        <x:f>$J$6-J43</x:f>
        <x:v>0.05500000000000005</x:v>
      </x:c>
      <x:c r="L43" s="29" t="n">
        <x:v>1</x:v>
      </x:c>
      <x:c r="M43" s="29" t="n">
        <x:v>2</x:v>
      </x:c>
      <x:c r="N43" s="29" t="n">
        <x:v>21</x:v>
      </x:c>
      <x:c r="O43" s="29" t="n">
        <x:v>2</x:v>
      </x:c>
      <x:c r="P43" s="29" t="n">
        <x:v>19</x:v>
      </x:c>
      <x:c r="Q43" s="29" t="n">
        <x:v>355</x:v>
      </x:c>
      <x:c r="R43" s="30" t="n">
        <x:v>-0.5437264424134108</x:v>
      </x:c>
      <x:c r="S43" s="30" t="n">
        <x:v>0.7906984396181927</x:v>
      </x:c>
      <x:c r="T43" s="30" t="n">
        <x:v>0.6746986221808737</x:v>
      </x:c>
      <x:c r="U43" s="28" t="str">
        <x:f>IF(AND(G43&gt;=80%,I43&gt;0,L43&gt;=1),"YES","")</x:f>
      </x:c>
      <x:c r="V43" s="31" t="n">
        <x:f>I43+0.4*K43-2*MAX(0,90%-G43)</x:f>
        <x:v>-0.45071902088591953</x:v>
      </x:c>
    </x:row>
    <x:row r="44">
      <x:c r="A44" s="35" t="n">
        <x:v>38</x:v>
      </x:c>
      <x:c r="B44" s="33" t="str">
        <x:v>Premarket rolling shock</x:v>
      </x:c>
      <x:c r="C44" s="33" t="str">
        <x:v>Skip when the worst premarket 15-minute candle is -0.9% or worse.</x:v>
      </x:c>
      <x:c r="D44" s="29" t="n">
        <x:v>103037460094.25397</x:v>
      </x:c>
      <x:c r="E44" s="29" t="n">
        <x:v>11965</x:v>
      </x:c>
      <x:c r="F44" s="30" t="n">
        <x:f>(D44/E44)^(1/('Methodology'!$B$4*7/365))-1</x:f>
        <x:v>5.8412994171408155</x:v>
      </x:c>
      <x:c r="G44" s="30" t="n">
        <x:f>F44/$F$6</x:f>
        <x:v>0.812532470547838</x:v>
      </x:c>
      <x:c r="H44" s="30" t="n">
        <x:v>0.7907177482230545</x:v>
      </x:c>
      <x:c r="I44" s="30" t="n">
        <x:f>$H$6-H44</x:f>
        <x:v>0.022746532670592567</x:v>
      </x:c>
      <x:c r="J44" s="30" t="n">
        <x:v>0.747</x:v>
      </x:c>
      <x:c r="K44" s="30" t="n">
        <x:f>$J$6-J44</x:f>
        <x:v>0.05500000000000005</x:v>
      </x:c>
      <x:c r="L44" s="29" t="n">
        <x:v>1</x:v>
      </x:c>
      <x:c r="M44" s="29" t="n">
        <x:v>2</x:v>
      </x:c>
      <x:c r="N44" s="29" t="n">
        <x:v>14</x:v>
      </x:c>
      <x:c r="O44" s="29" t="n">
        <x:v>2</x:v>
      </x:c>
      <x:c r="P44" s="29" t="n">
        <x:v>12</x:v>
      </x:c>
      <x:c r="Q44" s="29" t="n">
        <x:v>362</x:v>
      </x:c>
      <x:c r="R44" s="30" t="n">
        <x:v>-0.5437326196429728</x:v>
      </x:c>
      <x:c r="S44" s="30" t="n">
        <x:v>0.7907177482230545</x:v>
      </x:c>
      <x:c r="T44" s="30" t="n">
        <x:v>0.674698625717463</x:v>
      </x:c>
      <x:c r="U44" s="28" t="str">
        <x:f>IF(AND(G44&gt;=80%,I44&gt;0,L44&gt;=1),"YES","")</x:f>
        <x:v>YES</x:v>
      </x:c>
      <x:c r="V44" s="31" t="n">
        <x:f>I44+0.4*K44-2*MAX(0,90%-G44)</x:f>
        <x:v>-0.13018852623373156</x:v>
      </x:c>
    </x:row>
    <x:row r="45">
      <x:c r="A45" s="35" t="n">
        <x:v>39</x:v>
      </x:c>
      <x:c r="B45" s="33" t="str">
        <x:v>Premarket rolling shock</x:v>
      </x:c>
      <x:c r="C45" s="33" t="str">
        <x:v>Skip when the worst premarket 15-minute candle is -1.0% or worse.</x:v>
      </x:c>
      <x:c r="D45" s="29" t="n">
        <x:v>321052792604.3048</x:v>
      </x:c>
      <x:c r="E45" s="29" t="n">
        <x:v>11965</x:v>
      </x:c>
      <x:c r="F45" s="30" t="n">
        <x:f>(D45/E45)^(1/('Methodology'!$B$4*7/365))-1</x:f>
        <x:v>6.844708238756872</x:v>
      </x:c>
      <x:c r="G45" s="30" t="n">
        <x:f>F45/$F$6</x:f>
        <x:v>0.9521079640424449</x:v>
      </x:c>
      <x:c r="H45" s="30" t="n">
        <x:v>0.7907189886608056</x:v>
      </x:c>
      <x:c r="I45" s="30" t="n">
        <x:f>$H$6-H45</x:f>
        <x:v>0.022745292232841496</x:v>
      </x:c>
      <x:c r="J45" s="30" t="n">
        <x:v>0.747</x:v>
      </x:c>
      <x:c r="K45" s="30" t="n">
        <x:f>$J$6-J45</x:f>
        <x:v>0.05500000000000005</x:v>
      </x:c>
      <x:c r="L45" s="29" t="n">
        <x:v>1</x:v>
      </x:c>
      <x:c r="M45" s="29" t="n">
        <x:v>1</x:v>
      </x:c>
      <x:c r="N45" s="29" t="n">
        <x:v>9</x:v>
      </x:c>
      <x:c r="O45" s="29" t="n">
        <x:v>1</x:v>
      </x:c>
      <x:c r="P45" s="29" t="n">
        <x:v>8</x:v>
      </x:c>
      <x:c r="Q45" s="29" t="n">
        <x:v>367</x:v>
      </x:c>
      <x:c r="R45" s="30" t="n">
        <x:v>-0.5437326458679277</x:v>
      </x:c>
      <x:c r="S45" s="30" t="n">
        <x:v>0.7907189886608056</x:v>
      </x:c>
      <x:c r="T45" s="30" t="n">
        <x:v>0.6582145729214328</x:v>
      </x:c>
      <x:c r="U45" s="28" t="str">
        <x:f>IF(AND(G45&gt;=80%,I45&gt;0,L45&gt;=1),"YES","")</x:f>
        <x:v>YES</x:v>
      </x:c>
      <x:c r="V45" s="31" t="n">
        <x:f>I45+0.4*K45-2*MAX(0,90%-G45)</x:f>
        <x:v>0.044745292232841516</x:v>
      </x:c>
    </x:row>
    <x:row r="46">
      <x:c r="A46" s="35" t="n">
        <x:v>40</x:v>
      </x:c>
      <x:c r="B46" s="33" t="str">
        <x:v>Premarket rolling shock</x:v>
      </x:c>
      <x:c r="C46" s="33" t="str">
        <x:v>Skip when the worst premarket 15-minute candle is -1.1% or worse.</x:v>
      </x:c>
      <x:c r="D46" s="29" t="n">
        <x:v>321052792604.3048</x:v>
      </x:c>
      <x:c r="E46" s="29" t="n">
        <x:v>11965</x:v>
      </x:c>
      <x:c r="F46" s="30" t="n">
        <x:f>(D46/E46)^(1/('Methodology'!$B$4*7/365))-1</x:f>
        <x:v>6.844708238756872</x:v>
      </x:c>
      <x:c r="G46" s="30" t="n">
        <x:f>F46/$F$6</x:f>
        <x:v>0.9521079640424449</x:v>
      </x:c>
      <x:c r="H46" s="30" t="n">
        <x:v>0.7907189886608056</x:v>
      </x:c>
      <x:c r="I46" s="30" t="n">
        <x:f>$H$6-H46</x:f>
        <x:v>0.022745292232841496</x:v>
      </x:c>
      <x:c r="J46" s="30" t="n">
        <x:v>0.747</x:v>
      </x:c>
      <x:c r="K46" s="30" t="n">
        <x:f>$J$6-J46</x:f>
        <x:v>0.05500000000000005</x:v>
      </x:c>
      <x:c r="L46" s="29" t="n">
        <x:v>1</x:v>
      </x:c>
      <x:c r="M46" s="29" t="n">
        <x:v>1</x:v>
      </x:c>
      <x:c r="N46" s="29" t="n">
        <x:v>9</x:v>
      </x:c>
      <x:c r="O46" s="29" t="n">
        <x:v>1</x:v>
      </x:c>
      <x:c r="P46" s="29" t="n">
        <x:v>8</x:v>
      </x:c>
      <x:c r="Q46" s="29" t="n">
        <x:v>367</x:v>
      </x:c>
      <x:c r="R46" s="30" t="n">
        <x:v>-0.5437326458679277</x:v>
      </x:c>
      <x:c r="S46" s="30" t="n">
        <x:v>0.7907189886608056</x:v>
      </x:c>
      <x:c r="T46" s="30" t="n">
        <x:v>0.6582145729214328</x:v>
      </x:c>
      <x:c r="U46" s="28" t="str">
        <x:f>IF(AND(G46&gt;=80%,I46&gt;0,L46&gt;=1),"YES","")</x:f>
        <x:v>YES</x:v>
      </x:c>
      <x:c r="V46" s="31" t="n">
        <x:f>I46+0.4*K46-2*MAX(0,90%-G46)</x:f>
        <x:v>0.044745292232841516</x:v>
      </x:c>
    </x:row>
    <x:row r="47">
      <x:c r="A47" s="35" t="n">
        <x:v>41</x:v>
      </x:c>
      <x:c r="B47" s="33" t="str">
        <x:v>Premarket rolling shock</x:v>
      </x:c>
      <x:c r="C47" s="33" t="str">
        <x:v>Skip when the worst premarket 30-minute candle is -0.2% or worse.</x:v>
      </x:c>
      <x:c r="D47" s="29" t="n">
        <x:v>52667.29499999999</x:v>
      </x:c>
      <x:c r="E47" s="29" t="n">
        <x:v>1615</x:v>
      </x:c>
      <x:c r="F47" s="30" t="n">
        <x:f>(D47/E47)^(1/('Methodology'!$B$4*7/365))-1</x:f>
        <x:v>0.5213996719544594</x:v>
      </x:c>
      <x:c r="G47" s="30" t="n">
        <x:f>F47/$F$6</x:f>
        <x:v>0.07252738360797097</x:v>
      </x:c>
      <x:c r="H47" s="30" t="n">
        <x:v>0.3263407735468158</x:v>
      </x:c>
      <x:c r="I47" s="30" t="n">
        <x:f>$H$6-H47</x:f>
        <x:v>0.4871235073468313</x:v>
      </x:c>
      <x:c r="J47" s="30" t="n">
        <x:v>0.308</x:v>
      </x:c>
      <x:c r="K47" s="30" t="n">
        <x:f>$J$6-J47</x:f>
        <x:v>0.49400000000000005</x:v>
      </x:c>
      <x:c r="L47" s="29" t="n">
        <x:v>18</x:v>
      </x:c>
      <x:c r="M47" s="29" t="n">
        <x:v>12</x:v>
      </x:c>
      <x:c r="N47" s="29" t="n">
        <x:v>312</x:v>
      </x:c>
      <x:c r="O47" s="29" t="n">
        <x:v>127</x:v>
      </x:c>
      <x:c r="P47" s="29" t="n">
        <x:v>185</x:v>
      </x:c>
      <x:c r="Q47" s="29" t="n">
        <x:v>64</x:v>
      </x:c>
      <x:c r="R47" s="30" t="n">
        <x:v>-0.3075517476604268</x:v>
      </x:c>
      <x:c r="S47" s="30" t="n">
        <x:v>0.3075517476604268</x:v>
      </x:c>
      <x:c r="T47" s="30" t="n">
        <x:v>0.3263407735468158</x:v>
      </x:c>
      <x:c r="U47" s="28" t="str">
        <x:f>IF(AND(G47&gt;=80%,I47&gt;0,L47&gt;=1),"YES","")</x:f>
      </x:c>
      <x:c r="V47" s="31" t="n">
        <x:f>I47+0.4*K47-2*MAX(0,90%-G47)</x:f>
        <x:v>-0.9702217254372268</x:v>
      </x:c>
    </x:row>
    <x:row r="48">
      <x:c r="A48" s="35" t="n">
        <x:v>42</x:v>
      </x:c>
      <x:c r="B48" s="33" t="str">
        <x:v>Premarket rolling shock</x:v>
      </x:c>
      <x:c r="C48" s="33" t="str">
        <x:v>Skip when the worst premarket 30-minute candle is -0.3% or worse.</x:v>
      </x:c>
      <x:c r="D48" s="29" t="n">
        <x:v>106269.13999999998</x:v>
      </x:c>
      <x:c r="E48" s="29" t="n">
        <x:v>4375</x:v>
      </x:c>
      <x:c r="F48" s="30" t="n">
        <x:f>(D48/E48)^(1/('Methodology'!$B$4*7/365))-1</x:f>
        <x:v>0.46837358660047834</x:v>
      </x:c>
      <x:c r="G48" s="30" t="n">
        <x:f>F48/$F$6</x:f>
        <x:v>0.06515138503996055</x:v>
      </x:c>
      <x:c r="H48" s="30" t="n">
        <x:v>0.7218383449386921</x:v>
      </x:c>
      <x:c r="I48" s="30" t="n">
        <x:f>$H$6-H48</x:f>
        <x:v>0.09162593595495494</x:v>
      </x:c>
      <x:c r="J48" s="30" t="n">
        <x:v>0.722</x:v>
      </x:c>
      <x:c r="K48" s="30" t="n">
        <x:f>$J$6-J48</x:f>
        <x:v>0.08000000000000007</x:v>
      </x:c>
      <x:c r="L48" s="29" t="n">
        <x:v>11</x:v>
      </x:c>
      <x:c r="M48" s="29" t="n">
        <x:v>8</x:v>
      </x:c>
      <x:c r="N48" s="29" t="n">
        <x:v>218</x:v>
      </x:c>
      <x:c r="O48" s="29" t="n">
        <x:v>78</x:v>
      </x:c>
      <x:c r="P48" s="29" t="n">
        <x:v>140</x:v>
      </x:c>
      <x:c r="Q48" s="29" t="n">
        <x:v>158</x:v>
      </x:c>
      <x:c r="R48" s="30" t="n">
        <x:v>-0.4697504823772668</x:v>
      </x:c>
      <x:c r="S48" s="30" t="n">
        <x:v>0.6793902538881115</x:v>
      </x:c>
      <x:c r="T48" s="30" t="n">
        <x:v>0.7218383449386921</x:v>
      </x:c>
      <x:c r="U48" s="28" t="str">
        <x:f>IF(AND(G48&gt;=80%,I48&gt;0,L48&gt;=1),"YES","")</x:f>
      </x:c>
      <x:c r="V48" s="31" t="n">
        <x:f>I48+0.4*K48-2*MAX(0,90%-G48)</x:f>
        <x:v>-1.546071293965124</x:v>
      </x:c>
    </x:row>
    <x:row r="49">
      <x:c r="A49" s="35" t="n">
        <x:v>43</x:v>
      </x:c>
      <x:c r="B49" s="33" t="str">
        <x:v>Premarket rolling shock</x:v>
      </x:c>
      <x:c r="C49" s="33" t="str">
        <x:v>Skip when the worst premarket 30-minute candle is -0.4% or worse.</x:v>
      </x:c>
      <x:c r="D49" s="29" t="n">
        <x:v>2188905.6390000004</x:v>
      </x:c>
      <x:c r="E49" s="29" t="n">
        <x:v>7250</x:v>
      </x:c>
      <x:c r="F49" s="30" t="n">
        <x:f>(D49/E49)^(1/('Methodology'!$B$4*7/365))-1</x:f>
        <x:v>0.9889961765374</x:v>
      </x:c>
      <x:c r="G49" s="30" t="n">
        <x:f>F49/$F$6</x:f>
        <x:v>0.137570675512066</x:v>
      </x:c>
      <x:c r="H49" s="30" t="n">
        <x:v>0.7242224122217353</x:v>
      </x:c>
      <x:c r="I49" s="30" t="n">
        <x:f>$H$6-H49</x:f>
        <x:v>0.08924186867191175</x:v>
      </x:c>
      <x:c r="J49" s="30" t="n">
        <x:v>0.724</x:v>
      </x:c>
      <x:c r="K49" s="30" t="n">
        <x:f>$J$6-J49</x:f>
        <x:v>0.07800000000000007</x:v>
      </x:c>
      <x:c r="L49" s="29" t="n">
        <x:v>8</x:v>
      </x:c>
      <x:c r="M49" s="29" t="n">
        <x:v>7</x:v>
      </x:c>
      <x:c r="N49" s="29" t="n">
        <x:v>148</x:v>
      </x:c>
      <x:c r="O49" s="29" t="n">
        <x:v>47</x:v>
      </x:c>
      <x:c r="P49" s="29" t="n">
        <x:v>101</x:v>
      </x:c>
      <x:c r="Q49" s="29" t="n">
        <x:v>228</x:v>
      </x:c>
      <x:c r="R49" s="30" t="n">
        <x:v>-0.4696987986387957</x:v>
      </x:c>
      <x:c r="S49" s="30" t="n">
        <x:v>0.5917971752865487</x:v>
      </x:c>
      <x:c r="T49" s="30" t="n">
        <x:v>0.7242224122217353</x:v>
      </x:c>
      <x:c r="U49" s="28" t="str">
        <x:f>IF(AND(G49&gt;=80%,I49&gt;0,L49&gt;=1),"YES","")</x:f>
      </x:c>
      <x:c r="V49" s="31" t="n">
        <x:f>I49+0.4*K49-2*MAX(0,90%-G49)</x:f>
        <x:v>-1.4044167803039562</x:v>
      </x:c>
    </x:row>
    <x:row r="50">
      <x:c r="A50" s="35" t="n">
        <x:v>44</x:v>
      </x:c>
      <x:c r="B50" s="33" t="str">
        <x:v>Premarket rolling shock</x:v>
      </x:c>
      <x:c r="C50" s="33" t="str">
        <x:v>Skip when the worst premarket 30-minute candle is -0.5% or worse.</x:v>
      </x:c>
      <x:c r="D50" s="29" t="n">
        <x:v>390091574.1839999</x:v>
      </x:c>
      <x:c r="E50" s="29" t="n">
        <x:v>8630</x:v>
      </x:c>
      <x:c r="F50" s="30" t="n">
        <x:f>(D50/E50)^(1/('Methodology'!$B$4*7/365))-1</x:f>
        <x:v>2.6356710208477754</x:v>
      </x:c>
      <x:c r="G50" s="30" t="n">
        <x:f>F50/$F$6</x:f>
        <x:v>0.3666253230978929</x:v>
      </x:c>
      <x:c r="H50" s="30" t="n">
        <x:v>0.6383135170080347</x:v>
      </x:c>
      <x:c r="I50" s="30" t="n">
        <x:f>$H$6-H50</x:f>
        <x:v>0.17515076388561235</x:v>
      </x:c>
      <x:c r="J50" s="30" t="n">
        <x:v>0.638</x:v>
      </x:c>
      <x:c r="K50" s="30" t="n">
        <x:f>$J$6-J50</x:f>
        <x:v>0.16400000000000003</x:v>
      </x:c>
      <x:c r="L50" s="29" t="n">
        <x:v>6</x:v>
      </x:c>
      <x:c r="M50" s="29" t="n">
        <x:v>5</x:v>
      </x:c>
      <x:c r="N50" s="29" t="n">
        <x:v>101</x:v>
      </x:c>
      <x:c r="O50" s="29" t="n">
        <x:v>34</x:v>
      </x:c>
      <x:c r="P50" s="29" t="n">
        <x:v>67</x:v>
      </x:c>
      <x:c r="Q50" s="29" t="n">
        <x:v>275</x:v>
      </x:c>
      <x:c r="R50" s="30" t="n">
        <x:v>-0.46986216063979713</x:v>
      </x:c>
      <x:c r="S50" s="30" t="n">
        <x:v>0.5396543339127431</x:v>
      </x:c>
      <x:c r="T50" s="30" t="n">
        <x:v>0.6383135170080347</x:v>
      </x:c>
      <x:c r="U50" s="28" t="str">
        <x:f>IF(AND(G50&gt;=80%,I50&gt;0,L50&gt;=1),"YES","")</x:f>
      </x:c>
      <x:c r="V50" s="31" t="n">
        <x:f>I50+0.4*K50-2*MAX(0,90%-G50)</x:f>
        <x:v>-0.8259985899186018</x:v>
      </x:c>
    </x:row>
    <x:row r="51">
      <x:c r="A51" s="35" t="n">
        <x:v>45</x:v>
      </x:c>
      <x:c r="B51" s="33" t="str">
        <x:v>Premarket rolling shock</x:v>
      </x:c>
      <x:c r="C51" s="33" t="str">
        <x:v>Skip when the worst premarket 30-minute candle is -0.6% or worse.</x:v>
      </x:c>
      <x:c r="D51" s="29" t="n">
        <x:v>545614437.9269998</x:v>
      </x:c>
      <x:c r="E51" s="29" t="n">
        <x:v>9550</x:v>
      </x:c>
      <x:c r="F51" s="30" t="n">
        <x:f>(D51/E51)^(1/('Methodology'!$B$4*7/365))-1</x:f>
        <x:v>2.739682594406016</x:v>
      </x:c>
      <x:c r="G51" s="30" t="n">
        <x:f>F51/$F$6</x:f>
        <x:v>0.3810934704729187</x:v>
      </x:c>
      <x:c r="H51" s="30" t="n">
        <x:v>0.7582417657285527</x:v>
      </x:c>
      <x:c r="I51" s="30" t="n">
        <x:f>$H$6-H51</x:f>
        <x:v>0.055222515165094355</x:v>
      </x:c>
      <x:c r="J51" s="30" t="n">
        <x:v>0.707</x:v>
      </x:c>
      <x:c r="K51" s="30" t="n">
        <x:f>$J$6-J51</x:f>
        <x:v>0.09500000000000008</x:v>
      </x:c>
      <x:c r="L51" s="29" t="n">
        <x:v>2</x:v>
      </x:c>
      <x:c r="M51" s="29" t="n">
        <x:v>3</x:v>
      </x:c>
      <x:c r="N51" s="29" t="n">
        <x:v>70</x:v>
      </x:c>
      <x:c r="O51" s="29" t="n">
        <x:v>21</x:v>
      </x:c>
      <x:c r="P51" s="29" t="n">
        <x:v>49</x:v>
      </x:c>
      <x:c r="Q51" s="29" t="n">
        <x:v>306</x:v>
      </x:c>
      <x:c r="R51" s="30" t="n">
        <x:v>-0.5436078729278682</x:v>
      </x:c>
      <x:c r="S51" s="30" t="n">
        <x:v>0.7582417657285527</x:v>
      </x:c>
      <x:c r="T51" s="30" t="n">
        <x:v>0.6575959110128384</x:v>
      </x:c>
      <x:c r="U51" s="28" t="str">
        <x:f>IF(AND(G51&gt;=80%,I51&gt;0,L51&gt;=1),"YES","")</x:f>
      </x:c>
      <x:c r="V51" s="31" t="n">
        <x:f>I51+0.4*K51-2*MAX(0,90%-G51)</x:f>
        <x:v>-0.9445905438890684</x:v>
      </x:c>
    </x:row>
    <x:row r="52">
      <x:c r="A52" s="35" t="n">
        <x:v>46</x:v>
      </x:c>
      <x:c r="B52" s="33" t="str">
        <x:v>Premarket rolling shock</x:v>
      </x:c>
      <x:c r="C52" s="33" t="str">
        <x:v>Skip when the worst premarket 30-minute candle is -0.7% or worse.</x:v>
      </x:c>
      <x:c r="D52" s="29" t="n">
        <x:v>3274426868.4179983</x:v>
      </x:c>
      <x:c r="E52" s="29" t="n">
        <x:v>10700</x:v>
      </x:c>
      <x:c r="F52" s="30" t="n">
        <x:f>(D52/E52)^(1/('Methodology'!$B$4*7/365))-1</x:f>
        <x:v>3.577273159295199</x:v>
      </x:c>
      <x:c r="G52" s="30" t="n">
        <x:f>F52/$F$6</x:f>
        <x:v>0.49760342526138435</x:v>
      </x:c>
      <x:c r="H52" s="30" t="n">
        <x:v>0.7714303638391644</x:v>
      </x:c>
      <x:c r="I52" s="30" t="n">
        <x:f>$H$6-H52</x:f>
        <x:v>0.04203391705448267</x:v>
      </x:c>
      <x:c r="J52" s="30" t="n">
        <x:v>0.723</x:v>
      </x:c>
      <x:c r="K52" s="30" t="n">
        <x:f>$J$6-J52</x:f>
        <x:v>0.07900000000000007</x:v>
      </x:c>
      <x:c r="L52" s="29" t="n">
        <x:v>2</x:v>
      </x:c>
      <x:c r="M52" s="29" t="n">
        <x:v>3</x:v>
      </x:c>
      <x:c r="N52" s="29" t="n">
        <x:v>51</x:v>
      </x:c>
      <x:c r="O52" s="29" t="n">
        <x:v>14</x:v>
      </x:c>
      <x:c r="P52" s="29" t="n">
        <x:v>37</x:v>
      </x:c>
      <x:c r="Q52" s="29" t="n">
        <x:v>325</x:v>
      </x:c>
      <x:c r="R52" s="30" t="n">
        <x:v>-0.5437289242636478</x:v>
      </x:c>
      <x:c r="S52" s="30" t="n">
        <x:v>0.7714303638391644</x:v>
      </x:c>
      <x:c r="T52" s="30" t="n">
        <x:v>0.6576157384377388</x:v>
      </x:c>
      <x:c r="U52" s="28" t="str">
        <x:f>IF(AND(G52&gt;=80%,I52&gt;0,L52&gt;=1),"YES","")</x:f>
      </x:c>
      <x:c r="V52" s="31" t="n">
        <x:f>I52+0.4*K52-2*MAX(0,90%-G52)</x:f>
        <x:v>-0.7311592324227486</x:v>
      </x:c>
    </x:row>
    <x:row r="53">
      <x:c r="A53" s="35" t="n">
        <x:v>47</x:v>
      </x:c>
      <x:c r="B53" s="33" t="str">
        <x:v>Premarket rolling shock</x:v>
      </x:c>
      <x:c r="C53" s="33" t="str">
        <x:v>Skip when the worst premarket 30-minute candle is -0.8% or worse.</x:v>
      </x:c>
      <x:c r="D53" s="29" t="n">
        <x:v>8088577019.845001</x:v>
      </x:c>
      <x:c r="E53" s="29" t="n">
        <x:v>11275</x:v>
      </x:c>
      <x:c r="F53" s="30" t="n">
        <x:f>(D53/E53)^(1/('Methodology'!$B$4*7/365))-1</x:f>
        <x:v>4.071816956717007</x:v>
      </x:c>
      <x:c r="G53" s="30" t="n">
        <x:f>F53/$F$6</x:f>
        <x:v>0.5663951212210376</x:v>
      </x:c>
      <x:c r="H53" s="30" t="n">
        <x:v>0.77145184999895</x:v>
      </x:c>
      <x:c r="I53" s="30" t="n">
        <x:f>$H$6-H53</x:f>
        <x:v>0.042012430894697084</x:v>
      </x:c>
      <x:c r="J53" s="30" t="n">
        <x:v>0.723</x:v>
      </x:c>
      <x:c r="K53" s="30" t="n">
        <x:f>$J$6-J53</x:f>
        <x:v>0.07900000000000007</x:v>
      </x:c>
      <x:c r="L53" s="29" t="n">
        <x:v>1</x:v>
      </x:c>
      <x:c r="M53" s="29" t="n">
        <x:v>2</x:v>
      </x:c>
      <x:c r="N53" s="29" t="n">
        <x:v>36</x:v>
      </x:c>
      <x:c r="O53" s="29" t="n">
        <x:v>7</x:v>
      </x:c>
      <x:c r="P53" s="29" t="n">
        <x:v>29</x:v>
      </x:c>
      <x:c r="Q53" s="29" t="n">
        <x:v>340</x:v>
      </x:c>
      <x:c r="R53" s="30" t="n">
        <x:v>-0.5437276798911322</x:v>
      </x:c>
      <x:c r="S53" s="30" t="n">
        <x:v>0.77145184999895</x:v>
      </x:c>
      <x:c r="T53" s="30" t="n">
        <x:v>0.7212658084543919</x:v>
      </x:c>
      <x:c r="U53" s="28" t="str">
        <x:f>IF(AND(G53&gt;=80%,I53&gt;0,L53&gt;=1),"YES","")</x:f>
      </x:c>
      <x:c r="V53" s="31" t="n">
        <x:f>I53+0.4*K53-2*MAX(0,90%-G53)</x:f>
        <x:v>-0.5935973266632276</x:v>
      </x:c>
    </x:row>
    <x:row r="54">
      <x:c r="A54" s="35" t="n">
        <x:v>48</x:v>
      </x:c>
      <x:c r="B54" s="33" t="str">
        <x:v>Premarket rolling shock</x:v>
      </x:c>
      <x:c r="C54" s="33" t="str">
        <x:v>Skip when the worst premarket 30-minute candle is -0.9% or worse.</x:v>
      </x:c>
      <x:c r="D54" s="29" t="n">
        <x:v>10753143280.707</x:v>
      </x:c>
      <x:c r="E54" s="29" t="n">
        <x:v>11850</x:v>
      </x:c>
      <x:c r="F54" s="30" t="n">
        <x:f>(D54/E54)^(1/('Methodology'!$B$4*7/365))-1</x:f>
        <x:v>4.21739903019452</x:v>
      </x:c>
      <x:c r="G54" s="30" t="n">
        <x:f>F54/$F$6</x:f>
        <x:v>0.5866457800869481</x:v>
      </x:c>
      <x:c r="H54" s="30" t="n">
        <x:v>0.7906692964428157</x:v>
      </x:c>
      <x:c r="I54" s="30" t="n">
        <x:f>$H$6-H54</x:f>
        <x:v>0.02279498445083139</x:v>
      </x:c>
      <x:c r="J54" s="30" t="n">
        <x:v>0.747</x:v>
      </x:c>
      <x:c r="K54" s="30" t="n">
        <x:f>$J$6-J54</x:f>
        <x:v>0.05500000000000005</x:v>
      </x:c>
      <x:c r="L54" s="29" t="n">
        <x:v>1</x:v>
      </x:c>
      <x:c r="M54" s="29" t="n">
        <x:v>2</x:v>
      </x:c>
      <x:c r="N54" s="29" t="n">
        <x:v>25</x:v>
      </x:c>
      <x:c r="O54" s="29" t="n">
        <x:v>2</x:v>
      </x:c>
      <x:c r="P54" s="29" t="n">
        <x:v>23</x:v>
      </x:c>
      <x:c r="Q54" s="29" t="n">
        <x:v>351</x:v>
      </x:c>
      <x:c r="R54" s="30" t="n">
        <x:v>-0.5437187731943198</x:v>
      </x:c>
      <x:c r="S54" s="30" t="n">
        <x:v>0.7906692964428157</x:v>
      </x:c>
      <x:c r="T54" s="30" t="n">
        <x:v>0.6746986178275469</x:v>
      </x:c>
      <x:c r="U54" s="28" t="str">
        <x:f>IF(AND(G54&gt;=80%,I54&gt;0,L54&gt;=1),"YES","")</x:f>
      </x:c>
      <x:c r="V54" s="31" t="n">
        <x:f>I54+0.4*K54-2*MAX(0,90%-G54)</x:f>
        <x:v>-0.5819134553752724</x:v>
      </x:c>
    </x:row>
    <x:row r="55">
      <x:c r="A55" s="35" t="n">
        <x:v>49</x:v>
      </x:c>
      <x:c r="B55" s="33" t="str">
        <x:v>Premarket rolling shock</x:v>
      </x:c>
      <x:c r="C55" s="33" t="str">
        <x:v>Skip when the worst premarket 30-minute candle is -1.0% or worse.</x:v>
      </x:c>
      <x:c r="D55" s="29" t="n">
        <x:v>87444008213.80894</x:v>
      </x:c>
      <x:c r="E55" s="29" t="n">
        <x:v>11965</x:v>
      </x:c>
      <x:c r="F55" s="30" t="n">
        <x:f>(D55/E55)^(1/('Methodology'!$B$4*7/365))-1</x:f>
        <x:v>5.707438389281316</x:v>
      </x:c>
      <x:c r="G55" s="30" t="n">
        <x:f>F55/$F$6</x:f>
        <x:v>0.7939122246214632</x:v>
      </x:c>
      <x:c r="H55" s="30" t="n">
        <x:v>0.7907077631920749</x:v>
      </x:c>
      <x:c r="I55" s="30" t="n">
        <x:f>$H$6-H55</x:f>
        <x:v>0.022756517701572165</x:v>
      </x:c>
      <x:c r="J55" s="30" t="n">
        <x:v>0.747</x:v>
      </x:c>
      <x:c r="K55" s="30" t="n">
        <x:f>$J$6-J55</x:f>
        <x:v>0.05500000000000005</x:v>
      </x:c>
      <x:c r="L55" s="29" t="n">
        <x:v>1</x:v>
      </x:c>
      <x:c r="M55" s="29" t="n">
        <x:v>2</x:v>
      </x:c>
      <x:c r="N55" s="29" t="n">
        <x:v>16</x:v>
      </x:c>
      <x:c r="O55" s="29" t="n">
        <x:v>2</x:v>
      </x:c>
      <x:c r="P55" s="29" t="n">
        <x:v>14</x:v>
      </x:c>
      <x:c r="Q55" s="29" t="n">
        <x:v>360</x:v>
      </x:c>
      <x:c r="R55" s="30" t="n">
        <x:v>-0.5437328243953826</x:v>
      </x:c>
      <x:c r="S55" s="30" t="n">
        <x:v>0.7907077631920749</x:v>
      </x:c>
      <x:c r="T55" s="30" t="n">
        <x:v>0.6582145719583625</x:v>
      </x:c>
      <x:c r="U55" s="28" t="str">
        <x:f>IF(AND(G55&gt;=80%,I55&gt;0,L55&gt;=1),"YES","")</x:f>
      </x:c>
      <x:c r="V55" s="31" t="n">
        <x:f>I55+0.4*K55-2*MAX(0,90%-G55)</x:f>
        <x:v>-0.16741903305550154</x:v>
      </x:c>
    </x:row>
    <x:row r="56">
      <x:c r="A56" s="35" t="n">
        <x:v>50</x:v>
      </x:c>
      <x:c r="B56" s="33" t="str">
        <x:v>Premarket rolling shock</x:v>
      </x:c>
      <x:c r="C56" s="33" t="str">
        <x:v>Skip when the worst premarket 30-minute candle is -1.1% or worse.</x:v>
      </x:c>
      <x:c r="D56" s="29" t="n">
        <x:v>197753140808.122</x:v>
      </x:c>
      <x:c r="E56" s="29" t="n">
        <x:v>11965</x:v>
      </x:c>
      <x:c r="F56" s="30" t="n">
        <x:f>(D56/E56)^(1/('Methodology'!$B$4*7/365))-1</x:f>
        <x:v>6.4000312463210784</x:v>
      </x:c>
      <x:c r="G56" s="30" t="n">
        <x:f>F56/$F$6</x:f>
        <x:v>0.8902528065753599</x:v>
      </x:c>
      <x:c r="H56" s="30" t="n">
        <x:v>0.7907154303017709</x:v>
      </x:c>
      <x:c r="I56" s="30" t="n">
        <x:f>$H$6-H56</x:f>
        <x:v>0.022748850591876146</x:v>
      </x:c>
      <x:c r="J56" s="30" t="n">
        <x:v>0.747</x:v>
      </x:c>
      <x:c r="K56" s="30" t="n">
        <x:f>$J$6-J56</x:f>
        <x:v>0.05500000000000005</x:v>
      </x:c>
      <x:c r="L56" s="29" t="n">
        <x:v>1</x:v>
      </x:c>
      <x:c r="M56" s="29" t="n">
        <x:v>2</x:v>
      </x:c>
      <x:c r="N56" s="29" t="n">
        <x:v>12</x:v>
      </x:c>
      <x:c r="O56" s="29" t="n">
        <x:v>2</x:v>
      </x:c>
      <x:c r="P56" s="29" t="n">
        <x:v>10</x:v>
      </x:c>
      <x:c r="Q56" s="29" t="n">
        <x:v>364</x:v>
      </x:c>
      <x:c r="R56" s="30" t="n">
        <x:v>-0.5437326559548685</x:v>
      </x:c>
      <x:c r="S56" s="30" t="n">
        <x:v>0.7907154303017709</x:v>
      </x:c>
      <x:c r="T56" s="30" t="n">
        <x:v>0.6582145727720013</x:v>
      </x:c>
      <x:c r="U56" s="28" t="str">
        <x:f>IF(AND(G56&gt;=80%,I56&gt;0,L56&gt;=1),"YES","")</x:f>
        <x:v>YES</x:v>
      </x:c>
      <x:c r="V56" s="31" t="n">
        <x:f>I56+0.4*K56-2*MAX(0,90%-G56)</x:f>
        <x:v>0.02525446374259588</x:v>
      </x:c>
    </x:row>
    <x:row r="57">
      <x:c r="A57" s="35" t="n">
        <x:v>51</x:v>
      </x:c>
      <x:c r="B57" s="33" t="str">
        <x:v>Premarket rolling shock</x:v>
      </x:c>
      <x:c r="C57" s="33" t="str">
        <x:v>Skip when the worst premarket 60-minute candle is -0.2% or worse.</x:v>
      </x:c>
      <x:c r="D57" s="29" t="n">
        <x:v>6887.98</x:v>
      </x:c>
      <x:c r="E57" s="29" t="n">
        <x:v>1040</x:v>
      </x:c>
      <x:c r="F57" s="30" t="n">
        <x:f>(D57/E57)^(1/('Methodology'!$B$4*7/365))-1</x:f>
        <x:v>0.2556649159087345</x:v>
      </x:c>
      <x:c r="G57" s="30" t="n">
        <x:f>F57/$F$6</x:f>
        <x:v>0.03556332776678848</x:v>
      </x:c>
      <x:c r="H57" s="30" t="n">
        <x:v>0.3220765147254053</x:v>
      </x:c>
      <x:c r="I57" s="30" t="n">
        <x:f>$H$6-H57</x:f>
        <x:v>0.49138776616824176</x:v>
      </x:c>
      <x:c r="J57" s="30" t="n">
        <x:v>0.294</x:v>
      </x:c>
      <x:c r="K57" s="30" t="n">
        <x:f>$J$6-J57</x:f>
        <x:v>0.508</x:v>
      </x:c>
      <x:c r="L57" s="29" t="n">
        <x:v>19</x:v>
      </x:c>
      <x:c r="M57" s="29" t="n">
        <x:v>12</x:v>
      </x:c>
      <x:c r="N57" s="29" t="n">
        <x:v>338</x:v>
      </x:c>
      <x:c r="O57" s="29" t="n">
        <x:v>136</x:v>
      </x:c>
      <x:c r="P57" s="29" t="n">
        <x:v>202</x:v>
      </x:c>
      <x:c r="Q57" s="29" t="n">
        <x:v>38</x:v>
      </x:c>
      <x:c r="R57" s="30" t="n">
        <x:v>-0.2941942748696551</x:v>
      </x:c>
      <x:c r="S57" s="30" t="n">
        <x:v>0.16438410232899114</x:v>
      </x:c>
      <x:c r="T57" s="30" t="n">
        <x:v>0.3220765147254053</x:v>
      </x:c>
      <x:c r="U57" s="28" t="str">
        <x:f>IF(AND(G57&gt;=80%,I57&gt;0,L57&gt;=1),"YES","")</x:f>
      </x:c>
      <x:c r="V57" s="31" t="n">
        <x:f>I57+0.4*K57-2*MAX(0,90%-G57)</x:f>
        <x:v>-1.0342855782981812</x:v>
      </x:c>
    </x:row>
    <x:row r="58">
      <x:c r="A58" s="35" t="n">
        <x:v>52</x:v>
      </x:c>
      <x:c r="B58" s="33" t="str">
        <x:v>Premarket rolling shock</x:v>
      </x:c>
      <x:c r="C58" s="33" t="str">
        <x:v>Skip when the worst premarket 60-minute candle is -0.3% or worse.</x:v>
      </x:c>
      <x:c r="D58" s="29" t="n">
        <x:v>273126.09</x:v>
      </x:c>
      <x:c r="E58" s="29" t="n">
        <x:v>2765</x:v>
      </x:c>
      <x:c r="F58" s="30" t="n">
        <x:f>(D58/E58)^(1/('Methodology'!$B$4*7/365))-1</x:f>
        <x:v>0.7386113892701625</x:v>
      </x:c>
      <x:c r="G58" s="30" t="n">
        <x:f>F58/$F$6</x:f>
        <x:v>0.1027418206191207</x:v>
      </x:c>
      <x:c r="H58" s="30" t="n">
        <x:v>0.5879979560762267</x:v>
      </x:c>
      <x:c r="I58" s="30" t="n">
        <x:f>$H$6-H58</x:f>
        <x:v>0.22546632481742035</x:v>
      </x:c>
      <x:c r="J58" s="30" t="n">
        <x:v>0.537</x:v>
      </x:c>
      <x:c r="K58" s="30" t="n">
        <x:f>$J$6-J58</x:f>
        <x:v>0.265</x:v>
      </x:c>
      <x:c r="L58" s="29" t="n">
        <x:v>15</x:v>
      </x:c>
      <x:c r="M58" s="29" t="n">
        <x:v>11</x:v>
      </x:c>
      <x:c r="N58" s="29" t="n">
        <x:v>264</x:v>
      </x:c>
      <x:c r="O58" s="29" t="n">
        <x:v>106</x:v>
      </x:c>
      <x:c r="P58" s="29" t="n">
        <x:v>158</x:v>
      </x:c>
      <x:c r="Q58" s="29" t="n">
        <x:v>112</x:v>
      </x:c>
      <x:c r="R58" s="30" t="n">
        <x:v>-0.4528448471306148</x:v>
      </x:c>
      <x:c r="S58" s="30" t="n">
        <x:v>0.45388863115003686</x:v>
      </x:c>
      <x:c r="T58" s="30" t="n">
        <x:v>0.5879979560762267</x:v>
      </x:c>
      <x:c r="U58" s="28" t="str">
        <x:f>IF(AND(G58&gt;=80%,I58&gt;0,L58&gt;=1),"YES","")</x:f>
      </x:c>
      <x:c r="V58" s="31" t="n">
        <x:f>I58+0.4*K58-2*MAX(0,90%-G58)</x:f>
        <x:v>-1.2630500339443382</x:v>
      </x:c>
    </x:row>
    <x:row r="59">
      <x:c r="A59" s="35" t="n">
        <x:v>53</x:v>
      </x:c>
      <x:c r="B59" s="33" t="str">
        <x:v>Premarket rolling shock</x:v>
      </x:c>
      <x:c r="C59" s="33" t="str">
        <x:v>Skip when the worst premarket 60-minute candle is -0.4% or worse.</x:v>
      </x:c>
      <x:c r="D59" s="29" t="n">
        <x:v>369997.28300000017</x:v>
      </x:c>
      <x:c r="E59" s="29" t="n">
        <x:v>5525</x:v>
      </x:c>
      <x:c r="F59" s="30" t="n">
        <x:f>(D59/E59)^(1/('Methodology'!$B$4*7/365))-1</x:f>
        <x:v>0.6591093807419965</x:v>
      </x:c>
      <x:c r="G59" s="30" t="n">
        <x:f>F59/$F$6</x:f>
        <x:v>0.09168298613901367</x:v>
      </x:c>
      <x:c r="H59" s="30" t="n">
        <x:v>0.7230460117897946</x:v>
      </x:c>
      <x:c r="I59" s="30" t="n">
        <x:f>$H$6-H59</x:f>
        <x:v>0.09041826910385253</x:v>
      </x:c>
      <x:c r="J59" s="30" t="n">
        <x:v>0.723</x:v>
      </x:c>
      <x:c r="K59" s="30" t="n">
        <x:f>$J$6-J59</x:f>
        <x:v>0.07900000000000007</x:v>
      </x:c>
      <x:c r="L59" s="29" t="n">
        <x:v>9</x:v>
      </x:c>
      <x:c r="M59" s="29" t="n">
        <x:v>7</x:v>
      </x:c>
      <x:c r="N59" s="29" t="n">
        <x:v>187</x:v>
      </x:c>
      <x:c r="O59" s="29" t="n">
        <x:v>66</x:v>
      </x:c>
      <x:c r="P59" s="29" t="n">
        <x:v>121</x:v>
      </x:c>
      <x:c r="Q59" s="29" t="n">
        <x:v>189</x:v>
      </x:c>
      <x:c r="R59" s="30" t="n">
        <x:v>-0.4692721323422804</x:v>
      </x:c>
      <x:c r="S59" s="30" t="n">
        <x:v>0.6423505641639058</x:v>
      </x:c>
      <x:c r="T59" s="30" t="n">
        <x:v>0.7230460117897946</x:v>
      </x:c>
      <x:c r="U59" s="28" t="str">
        <x:f>IF(AND(G59&gt;=80%,I59&gt;0,L59&gt;=1),"YES","")</x:f>
      </x:c>
      <x:c r="V59" s="31" t="n">
        <x:f>I59+0.4*K59-2*MAX(0,90%-G59)</x:f>
        <x:v>-1.4946157586181201</x:v>
      </x:c>
    </x:row>
    <x:row r="60">
      <x:c r="A60" s="35" t="n">
        <x:v>54</x:v>
      </x:c>
      <x:c r="B60" s="33" t="str">
        <x:v>Premarket rolling shock</x:v>
      </x:c>
      <x:c r="C60" s="33" t="str">
        <x:v>Skip when the worst premarket 60-minute candle is -0.5% or worse.</x:v>
      </x:c>
      <x:c r="D60" s="29" t="n">
        <x:v>39421933.74599999</x:v>
      </x:c>
      <x:c r="E60" s="29" t="n">
        <x:v>7250</x:v>
      </x:c>
      <x:c r="F60" s="30" t="n">
        <x:f>(D60/E60)^(1/('Methodology'!$B$4*7/365))-1</x:f>
        <x:v>1.817250470966652</x:v>
      </x:c>
      <x:c r="G60" s="30" t="n">
        <x:f>F60/$F$6</x:f>
        <x:v>0.25278194273792354</x:v>
      </x:c>
      <x:c r="H60" s="30" t="n">
        <x:v>0.5942453483780921</x:v>
      </x:c>
      <x:c r="I60" s="30" t="n">
        <x:f>$H$6-H60</x:f>
        <x:v>0.21921893251555502</x:v>
      </x:c>
      <x:c r="J60" s="30" t="n">
        <x:v>0.594</x:v>
      </x:c>
      <x:c r="K60" s="30" t="n">
        <x:f>$J$6-J60</x:f>
        <x:v>0.20800000000000007</x:v>
      </x:c>
      <x:c r="L60" s="29" t="n">
        <x:v>8</x:v>
      </x:c>
      <x:c r="M60" s="29" t="n">
        <x:v>6</x:v>
      </x:c>
      <x:c r="N60" s="29" t="n">
        <x:v>139</x:v>
      </x:c>
      <x:c r="O60" s="29" t="n">
        <x:v>49</x:v>
      </x:c>
      <x:c r="P60" s="29" t="n">
        <x:v>90</x:v>
      </x:c>
      <x:c r="Q60" s="29" t="n">
        <x:v>237</x:v>
      </x:c>
      <x:c r="R60" s="30" t="n">
        <x:v>-0.4698641502312121</x:v>
      </x:c>
      <x:c r="S60" s="30" t="n">
        <x:v>0.5349030468025526</x:v>
      </x:c>
      <x:c r="T60" s="30" t="n">
        <x:v>0.5942453483780921</x:v>
      </x:c>
      <x:c r="U60" s="28" t="str">
        <x:f>IF(AND(G60&gt;=80%,I60&gt;0,L60&gt;=1),"YES","")</x:f>
      </x:c>
      <x:c r="V60" s="31" t="n">
        <x:f>I60+0.4*K60-2*MAX(0,90%-G60)</x:f>
        <x:v>-0.9920171820085979</x:v>
      </x:c>
    </x:row>
    <x:row r="61">
      <x:c r="A61" s="35" t="n">
        <x:v>55</x:v>
      </x:c>
      <x:c r="B61" s="33" t="str">
        <x:v>Premarket rolling shock</x:v>
      </x:c>
      <x:c r="C61" s="33" t="str">
        <x:v>Skip when the worst premarket 60-minute candle is -0.6% or worse.</x:v>
      </x:c>
      <x:c r="D61" s="29" t="n">
        <x:v>507593478.0050001</x:v>
      </x:c>
      <x:c r="E61" s="29" t="n">
        <x:v>9090</x:v>
      </x:c>
      <x:c r="F61" s="30" t="n">
        <x:f>(D61/E61)^(1/('Methodology'!$B$4*7/365))-1</x:f>
        <x:v>2.7293995108450866</x:v>
      </x:c>
      <x:c r="G61" s="30" t="n">
        <x:f>F61/$F$6</x:f>
        <x:v>0.3796630799563679</x:v>
      </x:c>
      <x:c r="H61" s="30" t="n">
        <x:v>0.6576120698105302</x:v>
      </x:c>
      <x:c r="I61" s="30" t="n">
        <x:f>$H$6-H61</x:f>
        <x:v>0.15585221108311686</x:v>
      </x:c>
      <x:c r="J61" s="30" t="n">
        <x:v>0.658</x:v>
      </x:c>
      <x:c r="K61" s="30" t="n">
        <x:f>$J$6-J61</x:f>
        <x:v>0.14400000000000002</x:v>
      </x:c>
      <x:c r="L61" s="29" t="n">
        <x:v>6</x:v>
      </x:c>
      <x:c r="M61" s="29" t="n">
        <x:v>5</x:v>
      </x:c>
      <x:c r="N61" s="29" t="n">
        <x:v>90</x:v>
      </x:c>
      <x:c r="O61" s="29" t="n">
        <x:v>28</x:v>
      </x:c>
      <x:c r="P61" s="29" t="n">
        <x:v>62</x:v>
      </x:c>
      <x:c r="Q61" s="29" t="n">
        <x:v>286</x:v>
      </x:c>
      <x:c r="R61" s="30" t="n">
        <x:v>-0.46986643894012187</x:v>
      </x:c>
      <x:c r="S61" s="30" t="n">
        <x:v>0.6325007953034831</x:v>
      </x:c>
      <x:c r="T61" s="30" t="n">
        <x:v>0.6576120698105302</x:v>
      </x:c>
      <x:c r="U61" s="28" t="str">
        <x:f>IF(AND(G61&gt;=80%,I61&gt;0,L61&gt;=1),"YES","")</x:f>
      </x:c>
      <x:c r="V61" s="31" t="n">
        <x:f>I61+0.4*K61-2*MAX(0,90%-G61)</x:f>
        <x:v>-0.8272216290041473</x:v>
      </x:c>
    </x:row>
    <x:row r="62">
      <x:c r="A62" s="35" t="n">
        <x:v>56</x:v>
      </x:c>
      <x:c r="B62" s="33" t="str">
        <x:v>Premarket rolling shock</x:v>
      </x:c>
      <x:c r="C62" s="33" t="str">
        <x:v>Skip when the worst premarket 60-minute candle is -0.7% or worse.</x:v>
      </x:c>
      <x:c r="D62" s="29" t="n">
        <x:v>2913612446.7679996</x:v>
      </x:c>
      <x:c r="E62" s="29" t="n">
        <x:v>9550</x:v>
      </x:c>
      <x:c r="F62" s="30" t="n">
        <x:f>(D62/E62)^(1/('Methodology'!$B$4*7/365))-1</x:f>
        <x:v>3.575594184264043</x:v>
      </x:c>
      <x:c r="G62" s="30" t="n">
        <x:f>F62/$F$6</x:f>
        <x:v>0.4973698776151106</x:v>
      </x:c>
      <x:c r="H62" s="30" t="n">
        <x:v>0.7585441830938673</x:v>
      </x:c>
      <x:c r="I62" s="30" t="n">
        <x:f>$H$6-H62</x:f>
        <x:v>0.0549200977997798</x:v>
      </x:c>
      <x:c r="J62" s="30" t="n">
        <x:v>0.708</x:v>
      </x:c>
      <x:c r="K62" s="30" t="n">
        <x:f>$J$6-J62</x:f>
        <x:v>0.09400000000000008</x:v>
      </x:c>
      <x:c r="L62" s="29" t="n">
        <x:v>5</x:v>
      </x:c>
      <x:c r="M62" s="29" t="n">
        <x:v>4</x:v>
      </x:c>
      <x:c r="N62" s="29" t="n">
        <x:v>75</x:v>
      </x:c>
      <x:c r="O62" s="29" t="n">
        <x:v>26</x:v>
      </x:c>
      <x:c r="P62" s="29" t="n">
        <x:v>49</x:v>
      </x:c>
      <x:c r="Q62" s="29" t="n">
        <x:v>301</x:v>
      </x:c>
      <x:c r="R62" s="30" t="n">
        <x:v>-0.5437331532446635</x:v>
      </x:c>
      <x:c r="S62" s="30" t="n">
        <x:v>0.7585441830938673</x:v>
      </x:c>
      <x:c r="T62" s="30" t="n">
        <x:v>0.6576155554093704</x:v>
      </x:c>
      <x:c r="U62" s="28" t="str">
        <x:f>IF(AND(G62&gt;=80%,I62&gt;0,L62&gt;=1),"YES","")</x:f>
      </x:c>
      <x:c r="V62" s="31" t="n">
        <x:f>I62+0.4*K62-2*MAX(0,90%-G62)</x:f>
        <x:v>-0.712740146969999</x:v>
      </x:c>
    </x:row>
    <x:row r="63">
      <x:c r="A63" s="35" t="n">
        <x:v>57</x:v>
      </x:c>
      <x:c r="B63" s="33" t="str">
        <x:v>Premarket rolling shock</x:v>
      </x:c>
      <x:c r="C63" s="33" t="str">
        <x:v>Skip when the worst premarket 60-minute candle is -0.8% or worse.</x:v>
      </x:c>
      <x:c r="D63" s="29" t="n">
        <x:v>21047396589.107</x:v>
      </x:c>
      <x:c r="E63" s="29" t="n">
        <x:v>10355</x:v>
      </x:c>
      <x:c r="F63" s="30" t="n">
        <x:f>(D63/E63)^(1/('Methodology'!$B$4*7/365))-1</x:f>
        <x:v>4.7494950000884515</x:v>
      </x:c>
      <x:c r="G63" s="30" t="n">
        <x:f>F63/$F$6</x:f>
        <x:v>0.660661032877754</x:v>
      </x:c>
      <x:c r="H63" s="30" t="n">
        <x:v>0.758636401809916</x:v>
      </x:c>
      <x:c r="I63" s="30" t="n">
        <x:f>$H$6-H63</x:f>
        <x:v>0.0548278790837311</x:v>
      </x:c>
      <x:c r="J63" s="30" t="n">
        <x:v>0.708</x:v>
      </x:c>
      <x:c r="K63" s="30" t="n">
        <x:f>$J$6-J63</x:f>
        <x:v>0.09400000000000008</x:v>
      </x:c>
      <x:c r="L63" s="29" t="n">
        <x:v>3</x:v>
      </x:c>
      <x:c r="M63" s="29" t="n">
        <x:v>3</x:v>
      </x:c>
      <x:c r="N63" s="29" t="n">
        <x:v>56</x:v>
      </x:c>
      <x:c r="O63" s="29" t="n">
        <x:v>18</x:v>
      </x:c>
      <x:c r="P63" s="29" t="n">
        <x:v>38</x:v>
      </x:c>
      <x:c r="Q63" s="29" t="n">
        <x:v>320</x:v>
      </x:c>
      <x:c r="R63" s="30" t="n">
        <x:v>-0.5437229242209679</x:v>
      </x:c>
      <x:c r="S63" s="30" t="n">
        <x:v>0.758636401809916</x:v>
      </x:c>
      <x:c r="T63" s="30" t="n">
        <x:v>0.657618750376451</x:v>
      </x:c>
      <x:c r="U63" s="28" t="str">
        <x:f>IF(AND(G63&gt;=80%,I63&gt;0,L63&gt;=1),"YES","")</x:f>
      </x:c>
      <x:c r="V63" s="31" t="n">
        <x:f>I63+0.4*K63-2*MAX(0,90%-G63)</x:f>
        <x:v>-0.3862500551607609</x:v>
      </x:c>
    </x:row>
    <x:row r="64">
      <x:c r="A64" s="35" t="n">
        <x:v>58</x:v>
      </x:c>
      <x:c r="B64" s="33" t="str">
        <x:v>Premarket rolling shock</x:v>
      </x:c>
      <x:c r="C64" s="33" t="str">
        <x:v>Skip when the worst premarket 60-minute candle is -0.9% or worse.</x:v>
      </x:c>
      <x:c r="D64" s="29" t="n">
        <x:v>7473788639.873002</x:v>
      </x:c>
      <x:c r="E64" s="29" t="n">
        <x:v>10815</x:v>
      </x:c>
      <x:c r="F64" s="30" t="n">
        <x:f>(D64/E64)^(1/('Methodology'!$B$4*7/365))-1</x:f>
        <x:v>4.049027756649895</x:v>
      </x:c>
      <x:c r="G64" s="30" t="n">
        <x:f>F64/$F$6</x:f>
        <x:v>0.5632251133666204</x:v>
      </x:c>
      <x:c r="H64" s="30" t="n">
        <x:v>0.7586344173568174</x:v>
      </x:c>
      <x:c r="I64" s="30" t="n">
        <x:f>$H$6-H64</x:f>
        <x:v>0.054829863536829726</x:v>
      </x:c>
      <x:c r="J64" s="30" t="n">
        <x:v>0.708</x:v>
      </x:c>
      <x:c r="K64" s="30" t="n">
        <x:f>$J$6-J64</x:f>
        <x:v>0.09400000000000008</x:v>
      </x:c>
      <x:c r="L64" s="29" t="n">
        <x:v>2</x:v>
      </x:c>
      <x:c r="M64" s="29" t="n">
        <x:v>2</x:v>
      </x:c>
      <x:c r="N64" s="29" t="n">
        <x:v>43</x:v>
      </x:c>
      <x:c r="O64" s="29" t="n">
        <x:v>9</x:v>
      </x:c>
      <x:c r="P64" s="29" t="n">
        <x:v>34</x:v>
      </x:c>
      <x:c r="Q64" s="29" t="n">
        <x:v>333</x:v>
      </x:c>
      <x:c r="R64" s="30" t="n">
        <x:v>-0.5437296554368471</x:v>
      </x:c>
      <x:c r="S64" s="30" t="n">
        <x:v>0.7586344173568174</x:v>
      </x:c>
      <x:c r="T64" s="30" t="n">
        <x:v>0.7055624731320362</x:v>
      </x:c>
      <x:c r="U64" s="28" t="str">
        <x:f>IF(AND(G64&gt;=80%,I64&gt;0,L64&gt;=1),"YES","")</x:f>
      </x:c>
      <x:c r="V64" s="31" t="n">
        <x:f>I64+0.4*K64-2*MAX(0,90%-G64)</x:f>
        <x:v>-0.5811199097299294</x:v>
      </x:c>
    </x:row>
    <x:row r="65">
      <x:c r="A65" s="35" t="n">
        <x:v>59</x:v>
      </x:c>
      <x:c r="B65" s="33" t="str">
        <x:v>Premarket rolling shock</x:v>
      </x:c>
      <x:c r="C65" s="33" t="str">
        <x:v>Skip when the worst premarket 60-minute candle is -1.0% or worse.</x:v>
      </x:c>
      <x:c r="D65" s="29" t="n">
        <x:v>27286157449.75297</x:v>
      </x:c>
      <x:c r="E65" s="29" t="n">
        <x:v>11275</x:v>
      </x:c>
      <x:c r="F65" s="30" t="n">
        <x:f>(D65/E65)^(1/('Methodology'!$B$4*7/365))-1</x:f>
        <x:v>4.871580339409228</x:v>
      </x:c>
      <x:c r="G65" s="30" t="n">
        <x:f>F65/$F$6</x:f>
        <x:v>0.6776432649620899</x:v>
      </x:c>
      <x:c r="H65" s="30" t="n">
        <x:v>0.7586391929989218</x:v>
      </x:c>
      <x:c r="I65" s="30" t="n">
        <x:f>$H$6-H65</x:f>
        <x:v>0.05482508789472529</x:v>
      </x:c>
      <x:c r="J65" s="30" t="n">
        <x:v>0.708</x:v>
      </x:c>
      <x:c r="K65" s="30" t="n">
        <x:f>$J$6-J65</x:f>
        <x:v>0.09400000000000008</x:v>
      </x:c>
      <x:c r="L65" s="29" t="n">
        <x:v>1</x:v>
      </x:c>
      <x:c r="M65" s="29" t="n">
        <x:v>2</x:v>
      </x:c>
      <x:c r="N65" s="29" t="n">
        <x:v>31</x:v>
      </x:c>
      <x:c r="O65" s="29" t="n">
        <x:v>6</x:v>
      </x:c>
      <x:c r="P65" s="29" t="n">
        <x:v>25</x:v>
      </x:c>
      <x:c r="Q65" s="29" t="n">
        <x:v>345</x:v>
      </x:c>
      <x:c r="R65" s="30" t="n">
        <x:v>-0.5437266093686962</x:v>
      </x:c>
      <x:c r="S65" s="30" t="n">
        <x:v>0.7586391929989218</x:v>
      </x:c>
      <x:c r="T65" s="30" t="n">
        <x:v>0.7071414687895106</x:v>
      </x:c>
      <x:c r="U65" s="28" t="str">
        <x:f>IF(AND(G65&gt;=80%,I65&gt;0,L65&gt;=1),"YES","")</x:f>
      </x:c>
      <x:c r="V65" s="31" t="n">
        <x:f>I65+0.4*K65-2*MAX(0,90%-G65)</x:f>
        <x:v>-0.3522883821810949</x:v>
      </x:c>
    </x:row>
    <x:row r="66">
      <x:c r="A66" s="35" t="n">
        <x:v>60</x:v>
      </x:c>
      <x:c r="B66" s="33" t="str">
        <x:v>Premarket rolling shock</x:v>
      </x:c>
      <x:c r="C66" s="33" t="str">
        <x:v>Skip when the worst premarket 60-minute candle is -1.1% or worse.</x:v>
      </x:c>
      <x:c r="D66" s="29" t="n">
        <x:v>40636641955.66202</x:v>
      </x:c>
      <x:c r="E66" s="29" t="n">
        <x:v>11850</x:v>
      </x:c>
      <x:c r="F66" s="30" t="n">
        <x:f>(D66/E66)^(1/('Methodology'!$B$4*7/365))-1</x:f>
        <x:v>5.123275065441922</x:v>
      </x:c>
      <x:c r="G66" s="30" t="n">
        <x:f>F66/$F$6</x:f>
        <x:v>0.7126543340689204</x:v>
      </x:c>
      <x:c r="H66" s="30" t="n">
        <x:v>0.8018169004433184</x:v>
      </x:c>
      <x:c r="I66" s="30" t="n">
        <x:f>$H$6-H66</x:f>
        <x:v>0.011647380450328648</x:v>
      </x:c>
      <x:c r="J66" s="30" t="n">
        <x:v>0.76</x:v>
      </x:c>
      <x:c r="K66" s="30" t="n">
        <x:f>$J$6-J66</x:f>
        <x:v>0.04200000000000004</x:v>
      </x:c>
      <x:c r="L66" s="29" t="n">
        <x:v>1</x:v>
      </x:c>
      <x:c r="M66" s="29" t="n">
        <x:v>2</x:v>
      </x:c>
      <x:c r="N66" s="29" t="n">
        <x:v>20</x:v>
      </x:c>
      <x:c r="O66" s="29" t="n">
        <x:v>2</x:v>
      </x:c>
      <x:c r="P66" s="29" t="n">
        <x:v>18</x:v>
      </x:c>
      <x:c r="Q66" s="29" t="n">
        <x:v>356</x:v>
      </x:c>
      <x:c r="R66" s="30" t="n">
        <x:v>-0.5437229938986016</x:v>
      </x:c>
      <x:c r="S66" s="30" t="n">
        <x:v>0.8018169004433184</x:v>
      </x:c>
      <x:c r="T66" s="30" t="n">
        <x:v>0.6582145712190101</x:v>
      </x:c>
      <x:c r="U66" s="28" t="str">
        <x:f>IF(AND(G66&gt;=80%,I66&gt;0,L66&gt;=1),"YES","")</x:f>
      </x:c>
      <x:c r="V66" s="31" t="n">
        <x:f>I66+0.4*K66-2*MAX(0,90%-G66)</x:f>
        <x:v>-0.3462439514118305</x:v>
      </x:c>
    </x:row>
    <x:row r="67">
      <x:c r="A67" s="35" t="n">
        <x:v>61</x:v>
      </x:c>
      <x:c r="B67" s="33" t="str">
        <x:v>Premarket range and weak close</x:v>
      </x:c>
      <x:c r="C67" s="33" t="str">
        <x:v>Skip when premarket range is at least 0.6% and closes in its bottom 10%.</x:v>
      </x:c>
      <x:c r="D67" s="29" t="n">
        <x:v>972881338440.6738</x:v>
      </x:c>
      <x:c r="E67" s="29" t="n">
        <x:v>11965</x:v>
      </x:c>
      <x:c r="F67" s="30" t="n">
        <x:f>(D67/E67)^(1/('Methodology'!$B$4*7/365))-1</x:f>
        <x:v>7.9651619299624326</x:v>
      </x:c>
      <x:c r="G67" s="30" t="n">
        <x:f>F67/$F$6</x:f>
        <x:v>1.1079645536187623</x:v>
      </x:c>
      <x:c r="H67" s="30" t="n">
        <x:v>0.8134708872156257</x:v>
      </x:c>
      <x:c r="I67" s="30" t="n">
        <x:f>$H$6-H67</x:f>
        <x:v>-0.000006606321978575025</x:v>
      </x:c>
      <x:c r="J67" s="30" t="n">
        <x:v>0.802</x:v>
      </x:c>
      <x:c r="K67" s="30" t="n">
        <x:f>$J$6-J67</x:f>
        <x:v>0</x:v>
      </x:c>
      <x:c r="L67" s="29" t="n">
        <x:v>1</x:v>
      </x:c>
      <x:c r="M67" s="29" t="n">
        <x:v>1</x:v>
      </x:c>
      <x:c r="N67" s="29" t="n">
        <x:v>4</x:v>
      </x:c>
      <x:c r="O67" s="29" t="n">
        <x:v>3</x:v>
      </x:c>
      <x:c r="P67" s="29" t="n">
        <x:v>1</x:v>
      </x:c>
      <x:c r="Q67" s="29" t="n">
        <x:v>372</x:v>
      </x:c>
      <x:c r="R67" s="30" t="n">
        <x:v>-0.7230291062501732</x:v>
      </x:c>
      <x:c r="S67" s="30" t="n">
        <x:v>0.8134708872156257</x:v>
      </x:c>
      <x:c r="T67" s="30" t="n">
        <x:v>0.6604724614092372</x:v>
      </x:c>
      <x:c r="U67" s="28" t="str">
        <x:f>IF(AND(G67&gt;=80%,I67&gt;0,L67&gt;=1),"YES","")</x:f>
      </x:c>
      <x:c r="V67" s="31" t="n">
        <x:f>I67+0.4*K67-2*MAX(0,90%-G67)</x:f>
        <x:v>-0.000006606321978575025</x:v>
      </x:c>
    </x:row>
    <x:row r="68">
      <x:c r="A68" s="35" t="n">
        <x:v>62</x:v>
      </x:c>
      <x:c r="B68" s="33" t="str">
        <x:v>Premarket range and weak close</x:v>
      </x:c>
      <x:c r="C68" s="33" t="str">
        <x:v>Skip when premarket range is at least 0.6% and closes in its bottom 20%.</x:v>
      </x:c>
      <x:c r="D68" s="29" t="n">
        <x:v>60318534263.13505</x:v>
      </x:c>
      <x:c r="E68" s="29" t="n">
        <x:v>11735</x:v>
      </x:c>
      <x:c r="F68" s="30" t="n">
        <x:f>(D68/E68)^(1/('Methodology'!$B$4*7/365))-1</x:f>
        <x:v>5.429100033350369</x:v>
      </x:c>
      <x:c r="G68" s="30" t="n">
        <x:f>F68/$F$6</x:f>
        <x:v>0.7551949913755263</x:v>
      </x:c>
      <x:c r="H68" s="30" t="n">
        <x:v>0.8133111971667685</x:v>
      </x:c>
      <x:c r="I68" s="30" t="n">
        <x:f>$H$6-H68</x:f>
        <x:v>0.00015308372687861116</x:v>
      </x:c>
      <x:c r="J68" s="30" t="n">
        <x:v>0.802</x:v>
      </x:c>
      <x:c r="K68" s="30" t="n">
        <x:f>$J$6-J68</x:f>
        <x:v>0</x:v>
      </x:c>
      <x:c r="L68" s="29" t="n">
        <x:v>1</x:v>
      </x:c>
      <x:c r="M68" s="29" t="n">
        <x:v>1</x:v>
      </x:c>
      <x:c r="N68" s="29" t="n">
        <x:v>27</x:v>
      </x:c>
      <x:c r="O68" s="29" t="n">
        <x:v>12</x:v>
      </x:c>
      <x:c r="P68" s="29" t="n">
        <x:v>15</x:v>
      </x:c>
      <x:c r="Q68" s="29" t="n">
        <x:v>349</x:v>
      </x:c>
      <x:c r="R68" s="30" t="n">
        <x:v>-0.7230364657453553</x:v>
      </x:c>
      <x:c r="S68" s="30" t="n">
        <x:v>0.8133111971667685</x:v>
      </x:c>
      <x:c r="T68" s="30" t="n">
        <x:v>0.6855315671172602</x:v>
      </x:c>
      <x:c r="U68" s="28" t="str">
        <x:f>IF(AND(G68&gt;=80%,I68&gt;0,L68&gt;=1),"YES","")</x:f>
      </x:c>
      <x:c r="V68" s="31" t="n">
        <x:f>I68+0.4*K68-2*MAX(0,90%-G68)</x:f>
        <x:v>-0.2894569335220689</x:v>
      </x:c>
    </x:row>
    <x:row r="69">
      <x:c r="A69" s="35" t="n">
        <x:v>63</x:v>
      </x:c>
      <x:c r="B69" s="33" t="str">
        <x:v>Premarket range and weak close</x:v>
      </x:c>
      <x:c r="C69" s="33" t="str">
        <x:v>Skip when premarket range is at least 0.6% and closes in its bottom 30%.</x:v>
      </x:c>
      <x:c r="D69" s="29" t="n">
        <x:v>7368949356.842002</x:v>
      </x:c>
      <x:c r="E69" s="29" t="n">
        <x:v>10815</x:v>
      </x:c>
      <x:c r="F69" s="30" t="n">
        <x:f>(D69/E69)^(1/('Methodology'!$B$4*7/365))-1</x:f>
        <x:v>4.0404456764655015</x:v>
      </x:c>
      <x:c r="G69" s="30" t="n">
        <x:f>F69/$F$6</x:f>
        <x:v>0.562031334668305</x:v>
      </x:c>
      <x:c r="H69" s="30" t="n">
        <x:v>0.8321570190536367</x:v>
      </x:c>
      <x:c r="I69" s="30" t="n">
        <x:f>$H$6-H69</x:f>
        <x:v>-0.01869273815998962</x:v>
      </x:c>
      <x:c r="J69" s="30" t="n">
        <x:v>0.804</x:v>
      </x:c>
      <x:c r="K69" s="30" t="n">
        <x:f>$J$6-J69</x:f>
        <x:v>-0.0020000000000000018</x:v>
      </x:c>
      <x:c r="L69" s="29" t="n">
        <x:v>1</x:v>
      </x:c>
      <x:c r="M69" s="29" t="n">
        <x:v>1</x:v>
      </x:c>
      <x:c r="N69" s="29" t="n">
        <x:v>57</x:v>
      </x:c>
      <x:c r="O69" s="29" t="n">
        <x:v>22</x:v>
      </x:c>
      <x:c r="P69" s="29" t="n">
        <x:v>35</x:v>
      </x:c>
      <x:c r="Q69" s="29" t="n">
        <x:v>319</x:v>
      </x:c>
      <x:c r="R69" s="30" t="n">
        <x:v>-0.7229965731927589</x:v>
      </x:c>
      <x:c r="S69" s="30" t="n">
        <x:v>0.8321570190536367</x:v>
      </x:c>
      <x:c r="T69" s="30" t="n">
        <x:v>0.6855315611057375</x:v>
      </x:c>
      <x:c r="U69" s="28" t="str">
        <x:f>IF(AND(G69&gt;=80%,I69&gt;0,L69&gt;=1),"YES","")</x:f>
      </x:c>
      <x:c r="V69" s="31" t="n">
        <x:f>I69+0.4*K69-2*MAX(0,90%-G69)</x:f>
        <x:v>-0.6954300688233797</x:v>
      </x:c>
    </x:row>
    <x:row r="70">
      <x:c r="A70" s="35" t="n">
        <x:v>64</x:v>
      </x:c>
      <x:c r="B70" s="33" t="str">
        <x:v>Premarket range and weak close</x:v>
      </x:c>
      <x:c r="C70" s="33" t="str">
        <x:v>Skip when premarket range is at least 0.6% and closes in its bottom 40%.</x:v>
      </x:c>
      <x:c r="D70" s="29" t="n">
        <x:v>2054397418.4559994</x:v>
      </x:c>
      <x:c r="E70" s="29" t="n">
        <x:v>10125</x:v>
      </x:c>
      <x:c r="F70" s="30" t="n">
        <x:f>(D70/E70)^(1/('Methodology'!$B$4*7/365))-1</x:f>
        <x:v>3.3562822944540747</x:v>
      </x:c>
      <x:c r="G70" s="30" t="n">
        <x:f>F70/$F$6</x:f>
        <x:v>0.466863303833787</x:v>
      </x:c>
      <x:c r="H70" s="30" t="n">
        <x:v>0.7865894180566431</x:v>
      </x:c>
      <x:c r="I70" s="30" t="n">
        <x:f>$H$6-H70</x:f>
        <x:v>0.02687486283700402</x:v>
      </x:c>
      <x:c r="J70" s="30" t="n">
        <x:v>0.751</x:v>
      </x:c>
      <x:c r="K70" s="30" t="n">
        <x:f>$J$6-J70</x:f>
        <x:v>0.051000000000000045</x:v>
      </x:c>
      <x:c r="L70" s="29" t="n">
        <x:v>3</x:v>
      </x:c>
      <x:c r="M70" s="29" t="n">
        <x:v>2</x:v>
      </x:c>
      <x:c r="N70" s="29" t="n">
        <x:v>86</x:v>
      </x:c>
      <x:c r="O70" s="29" t="n">
        <x:v>33</x:v>
      </x:c>
      <x:c r="P70" s="29" t="n">
        <x:v>53</x:v>
      </x:c>
      <x:c r="Q70" s="29" t="n">
        <x:v>290</x:v>
      </x:c>
      <x:c r="R70" s="30" t="n">
        <x:v>-0.7229221585710743</x:v>
      </x:c>
      <x:c r="S70" s="30" t="n">
        <x:v>0.7865894180566431</x:v>
      </x:c>
      <x:c r="T70" s="30" t="n">
        <x:v>0.6855315418922805</x:v>
      </x:c>
      <x:c r="U70" s="28" t="str">
        <x:f>IF(AND(G70&gt;=80%,I70&gt;0,L70&gt;=1),"YES","")</x:f>
      </x:c>
      <x:c r="V70" s="31" t="n">
        <x:f>I70+0.4*K70-2*MAX(0,90%-G70)</x:f>
        <x:v>-0.8189985294954221</x:v>
      </x:c>
    </x:row>
    <x:row r="71">
      <x:c r="A71" s="35" t="n">
        <x:v>65</x:v>
      </x:c>
      <x:c r="B71" s="33" t="str">
        <x:v>Premarket range and weak close</x:v>
      </x:c>
      <x:c r="C71" s="33" t="str">
        <x:v>Skip when premarket range is at least 0.8% and closes in its bottom 10%.</x:v>
      </x:c>
      <x:c r="D71" s="29" t="n">
        <x:v>498558185464.1272</x:v>
      </x:c>
      <x:c r="E71" s="29" t="n">
        <x:v>12080</x:v>
      </x:c>
      <x:c r="F71" s="30" t="n">
        <x:f>(D71/E71)^(1/('Methodology'!$B$4*7/365))-1</x:f>
        <x:v>7.262167217795865</x:v>
      </x:c>
      <x:c r="G71" s="30" t="n">
        <x:f>F71/$F$6</x:f>
        <x:v>1.0101770598664972</x:v>
      </x:c>
      <x:c r="H71" s="30" t="n">
        <x:v>0.8134642808936471</x:v>
      </x:c>
      <x:c r="I71" s="30" t="n">
        <x:f>$H$6-H71</x:f>
        <x:v>0</x:v>
      </x:c>
      <x:c r="J71" s="30" t="n">
        <x:v>0.802</x:v>
      </x:c>
      <x:c r="K71" s="30" t="n">
        <x:f>$J$6-J71</x:f>
        <x:v>0</x:v>
      </x:c>
      <x:c r="L71" s="29" t="n">
        <x:v>0</x:v>
      </x:c>
      <x:c r="M71" s="29" t="n">
        <x:v>0</x:v>
      </x:c>
      <x:c r="N71" s="29" t="n">
        <x:v>1</x:v>
      </x:c>
      <x:c r="O71" s="29" t="n">
        <x:v>1</x:v>
      </x:c>
      <x:c r="P71" s="29" t="n">
        <x:v>0</x:v>
      </x:c>
      <x:c r="Q71" s="29" t="n">
        <x:v>375</x:v>
      </x:c>
      <x:c r="R71" s="30" t="n">
        <x:v>-0.7230426999112742</x:v>
      </x:c>
      <x:c r="S71" s="30" t="n">
        <x:v>0.8134642808936471</x:v>
      </x:c>
      <x:c r="T71" s="30" t="n">
        <x:v>0.6576200723215686</x:v>
      </x:c>
      <x:c r="U71" s="28" t="str">
        <x:f>IF(AND(G71&gt;=80%,I71&gt;0,L71&gt;=1),"YES","")</x:f>
      </x:c>
      <x:c r="V71" s="31" t="n">
        <x:f>I71+0.4*K71-2*MAX(0,90%-G71)</x:f>
        <x:v>0</x:v>
      </x:c>
    </x:row>
    <x:row r="72">
      <x:c r="A72" s="35" t="n">
        <x:v>66</x:v>
      </x:c>
      <x:c r="B72" s="33" t="str">
        <x:v>Premarket range and weak close</x:v>
      </x:c>
      <x:c r="C72" s="33" t="str">
        <x:v>Skip when premarket range is at least 0.8% and closes in its bottom 20%.</x:v>
      </x:c>
      <x:c r="D72" s="29" t="n">
        <x:v>51495123071.37</x:v>
      </x:c>
      <x:c r="E72" s="29" t="n">
        <x:v>11965</x:v>
      </x:c>
      <x:c r="F72" s="30" t="n">
        <x:f>(D72/E72)^(1/('Methodology'!$B$4*7/365))-1</x:f>
        <x:v>5.293089423538525</x:v>
      </x:c>
      <x:c r="G72" s="30" t="n">
        <x:f>F72/$F$6</x:f>
        <x:v>0.7362757357580444</x:v>
      </x:c>
      <x:c r="H72" s="30" t="n">
        <x:v>0.8133138018687878</x:v>
      </x:c>
      <x:c r="I72" s="30" t="n">
        <x:f>$H$6-H72</x:f>
        <x:v>0.00015047902485931797</x:v>
      </x:c>
      <x:c r="J72" s="30" t="n">
        <x:v>0.802</x:v>
      </x:c>
      <x:c r="K72" s="30" t="n">
        <x:f>$J$6-J72</x:f>
        <x:v>0</x:v>
      </x:c>
      <x:c r="L72" s="29" t="n">
        <x:v>0</x:v>
      </x:c>
      <x:c r="M72" s="29" t="n">
        <x:v>0</x:v>
      </x:c>
      <x:c r="N72" s="29" t="n">
        <x:v>14</x:v>
      </x:c>
      <x:c r="O72" s="29" t="n">
        <x:v>5</x:v>
      </x:c>
      <x:c r="P72" s="29" t="n">
        <x:v>9</x:v>
      </x:c>
      <x:c r="Q72" s="29" t="n">
        <x:v>362</x:v>
      </x:c>
      <x:c r="R72" s="30" t="n">
        <x:v>-0.7230019680646587</x:v>
      </x:c>
      <x:c r="S72" s="30" t="n">
        <x:v>0.8133138018687878</x:v>
      </x:c>
      <x:c r="T72" s="30" t="n">
        <x:v>0.6855315670031865</x:v>
      </x:c>
      <x:c r="U72" s="28" t="str">
        <x:f>IF(AND(G72&gt;=80%,I72&gt;0,L72&gt;=1),"YES","")</x:f>
      </x:c>
      <x:c r="V72" s="31" t="n">
        <x:f>I72+0.4*K72-2*MAX(0,90%-G72)</x:f>
        <x:v>-0.32729804945905194</x:v>
      </x:c>
    </x:row>
    <x:row r="73">
      <x:c r="A73" s="35" t="n">
        <x:v>67</x:v>
      </x:c>
      <x:c r="B73" s="33" t="str">
        <x:v>Premarket range and weak close</x:v>
      </x:c>
      <x:c r="C73" s="33" t="str">
        <x:v>Skip when premarket range is at least 0.8% and closes in its bottom 30%.</x:v>
      </x:c>
      <x:c r="D73" s="29" t="n">
        <x:v>4792145740.729002</x:v>
      </x:c>
      <x:c r="E73" s="29" t="n">
        <x:v>11045</x:v>
      </x:c>
      <x:c r="F73" s="30" t="n">
        <x:f>(D73/E73)^(1/('Methodology'!$B$4*7/365))-1</x:f>
        <x:v>3.7738018759930885</x:v>
      </x:c>
      <x:c r="G73" s="30" t="n">
        <x:f>F73/$F$6</x:f>
        <x:v>0.5249408295457028</x:v>
      </x:c>
      <x:c r="H73" s="30" t="n">
        <x:v>0.8321696677696384</x:v>
      </x:c>
      <x:c r="I73" s="30" t="n">
        <x:f>$H$6-H73</x:f>
        <x:v>-0.018705386875991326</x:v>
      </x:c>
      <x:c r="J73" s="30" t="n">
        <x:v>0.804</x:v>
      </x:c>
      <x:c r="K73" s="30" t="n">
        <x:f>$J$6-J73</x:f>
        <x:v>-0.0020000000000000018</x:v>
      </x:c>
      <x:c r="L73" s="29" t="n">
        <x:v>0</x:v>
      </x:c>
      <x:c r="M73" s="29" t="n">
        <x:v>0</x:v>
      </x:c>
      <x:c r="N73" s="29" t="n">
        <x:v>42</x:v>
      </x:c>
      <x:c r="O73" s="29" t="n">
        <x:v>13</x:v>
      </x:c>
      <x:c r="P73" s="29" t="n">
        <x:v>29</x:v>
      </x:c>
      <x:c r="Q73" s="29" t="n">
        <x:v>334</x:v>
      </x:c>
      <x:c r="R73" s="30" t="n">
        <x:v>-0.7230526787645912</x:v>
      </x:c>
      <x:c r="S73" s="30" t="n">
        <x:v>0.8321696677696384</x:v>
      </x:c>
      <x:c r="T73" s="30" t="n">
        <x:v>0.6855315586606063</x:v>
      </x:c>
      <x:c r="U73" s="28" t="str">
        <x:f>IF(AND(G73&gt;=80%,I73&gt;0,L73&gt;=1),"YES","")</x:f>
      </x:c>
      <x:c r="V73" s="31" t="n">
        <x:f>I73+0.4*K73-2*MAX(0,90%-G73)</x:f>
        <x:v>-0.7696237277845859</x:v>
      </x:c>
    </x:row>
    <x:row r="74">
      <x:c r="A74" s="35" t="n">
        <x:v>68</x:v>
      </x:c>
      <x:c r="B74" s="33" t="str">
        <x:v>Premarket range and weak close</x:v>
      </x:c>
      <x:c r="C74" s="33" t="str">
        <x:v>Skip when premarket range is at least 0.8% and closes in its bottom 40%.</x:v>
      </x:c>
      <x:c r="D74" s="29" t="n">
        <x:v>1564432468.0199995</x:v>
      </x:c>
      <x:c r="E74" s="29" t="n">
        <x:v>10585</x:v>
      </x:c>
      <x:c r="F74" s="30" t="n">
        <x:f>(D74/E74)^(1/('Methodology'!$B$4*7/365))-1</x:f>
        <x:v>3.193175887610101</x:v>
      </x:c>
      <x:c r="G74" s="30" t="n">
        <x:f>F74/$F$6</x:f>
        <x:v>0.444174987031156</x:v>
      </x:c>
      <x:c r="H74" s="30" t="n">
        <x:v>0.7867498335388096</x:v>
      </x:c>
      <x:c r="I74" s="30" t="n">
        <x:f>$H$6-H74</x:f>
        <x:v>0.026714447354837523</x:v>
      </x:c>
      <x:c r="J74" s="30" t="n">
        <x:v>0.751</x:v>
      </x:c>
      <x:c r="K74" s="30" t="n">
        <x:f>$J$6-J74</x:f>
        <x:v>0.051000000000000045</x:v>
      </x:c>
      <x:c r="L74" s="29" t="n">
        <x:v>2</x:v>
      </x:c>
      <x:c r="M74" s="29" t="n">
        <x:v>1</x:v>
      </x:c>
      <x:c r="N74" s="29" t="n">
        <x:v>64</x:v>
      </x:c>
      <x:c r="O74" s="29" t="n">
        <x:v>20</x:v>
      </x:c>
      <x:c r="P74" s="29" t="n">
        <x:v>44</x:v>
      </x:c>
      <x:c r="Q74" s="29" t="n">
        <x:v>312</x:v>
      </x:c>
      <x:c r="R74" s="30" t="n">
        <x:v>-0.7229794712436949</x:v>
      </x:c>
      <x:c r="S74" s="30" t="n">
        <x:v>0.7867498335388096</x:v>
      </x:c>
      <x:c r="T74" s="30" t="n">
        <x:v>0.6855315382981221</x:v>
      </x:c>
      <x:c r="U74" s="28" t="str">
        <x:f>IF(AND(G74&gt;=80%,I74&gt;0,L74&gt;=1),"YES","")</x:f>
      </x:c>
      <x:c r="V74" s="31" t="n">
        <x:f>I74+0.4*K74-2*MAX(0,90%-G74)</x:f>
        <x:v>-0.8645355785828506</x:v>
      </x:c>
    </x:row>
    <x:row r="75">
      <x:c r="A75" s="35" t="n">
        <x:v>69</x:v>
      </x:c>
      <x:c r="B75" s="33" t="str">
        <x:v>Premarket range and weak close</x:v>
      </x:c>
      <x:c r="C75" s="33" t="str">
        <x:v>Skip when premarket range is at least 1.0% and closes in its bottom 10%.</x:v>
      </x:c>
      <x:c r="D75" s="29" t="n">
        <x:v>498558185464.1272</x:v>
      </x:c>
      <x:c r="E75" s="29" t="n">
        <x:v>12080</x:v>
      </x:c>
      <x:c r="F75" s="30" t="n">
        <x:f>(D75/E75)^(1/('Methodology'!$B$4*7/365))-1</x:f>
        <x:v>7.262167217795865</x:v>
      </x:c>
      <x:c r="G75" s="30" t="n">
        <x:f>F75/$F$6</x:f>
        <x:v>1.0101770598664972</x:v>
      </x:c>
      <x:c r="H75" s="30" t="n">
        <x:v>0.8134642808936471</x:v>
      </x:c>
      <x:c r="I75" s="30" t="n">
        <x:f>$H$6-H75</x:f>
        <x:v>0</x:v>
      </x:c>
      <x:c r="J75" s="30" t="n">
        <x:v>0.802</x:v>
      </x:c>
      <x:c r="K75" s="30" t="n">
        <x:f>$J$6-J75</x:f>
        <x:v>0</x:v>
      </x:c>
      <x:c r="L75" s="29" t="n">
        <x:v>0</x:v>
      </x:c>
      <x:c r="M75" s="29" t="n">
        <x:v>0</x:v>
      </x:c>
      <x:c r="N75" s="29" t="n">
        <x:v>1</x:v>
      </x:c>
      <x:c r="O75" s="29" t="n">
        <x:v>1</x:v>
      </x:c>
      <x:c r="P75" s="29" t="n">
        <x:v>0</x:v>
      </x:c>
      <x:c r="Q75" s="29" t="n">
        <x:v>375</x:v>
      </x:c>
      <x:c r="R75" s="30" t="n">
        <x:v>-0.7230426999112742</x:v>
      </x:c>
      <x:c r="S75" s="30" t="n">
        <x:v>0.8134642808936471</x:v>
      </x:c>
      <x:c r="T75" s="30" t="n">
        <x:v>0.6576200723215686</x:v>
      </x:c>
      <x:c r="U75" s="28" t="str">
        <x:f>IF(AND(G75&gt;=80%,I75&gt;0,L75&gt;=1),"YES","")</x:f>
      </x:c>
      <x:c r="V75" s="31" t="n">
        <x:f>I75+0.4*K75-2*MAX(0,90%-G75)</x:f>
        <x:v>0</x:v>
      </x:c>
    </x:row>
    <x:row r="76">
      <x:c r="A76" s="35" t="n">
        <x:v>70</x:v>
      </x:c>
      <x:c r="B76" s="33" t="str">
        <x:v>Premarket range and weak close</x:v>
      </x:c>
      <x:c r="C76" s="33" t="str">
        <x:v>Skip when premarket range is at least 1.0% and closes in its bottom 20%.</x:v>
      </x:c>
      <x:c r="D76" s="29" t="n">
        <x:v>72098475510.52097</x:v>
      </x:c>
      <x:c r="E76" s="29" t="n">
        <x:v>11965</x:v>
      </x:c>
      <x:c r="F76" s="30" t="n">
        <x:f>(D76/E76)^(1/('Methodology'!$B$4*7/365))-1</x:f>
        <x:v>5.553372050413207</x:v>
      </x:c>
      <x:c r="G76" s="30" t="n">
        <x:f>F76/$F$6</x:f>
        <x:v>0.772481393224356</x:v>
      </x:c>
      <x:c r="H76" s="30" t="n">
        <x:v>0.8132372752577086</x:v>
      </x:c>
      <x:c r="I76" s="30" t="n">
        <x:f>$H$6-H76</x:f>
        <x:v>0.0002270056359384709</x:v>
      </x:c>
      <x:c r="J76" s="30" t="n">
        <x:v>0.802</x:v>
      </x:c>
      <x:c r="K76" s="30" t="n">
        <x:f>$J$6-J76</x:f>
        <x:v>0</x:v>
      </x:c>
      <x:c r="L76" s="29" t="n">
        <x:v>0</x:v>
      </x:c>
      <x:c r="M76" s="29" t="n">
        <x:v>0</x:v>
      </x:c>
      <x:c r="N76" s="29" t="n">
        <x:v>11</x:v>
      </x:c>
      <x:c r="O76" s="29" t="n">
        <x:v>4</x:v>
      </x:c>
      <x:c r="P76" s="29" t="n">
        <x:v>7</x:v>
      </x:c>
      <x:c r="Q76" s="29" t="n">
        <x:v>365</x:v>
      </x:c>
      <x:c r="R76" s="30" t="n">
        <x:v>-0.7229572930211589</x:v>
      </x:c>
      <x:c r="S76" s="30" t="n">
        <x:v>0.8132372752577086</x:v>
      </x:c>
      <x:c r="T76" s="30" t="n">
        <x:v>0.6576190988917028</x:v>
      </x:c>
      <x:c r="U76" s="28" t="str">
        <x:f>IF(AND(G76&gt;=80%,I76&gt;0,L76&gt;=1),"YES","")</x:f>
      </x:c>
      <x:c r="V76" s="31" t="n">
        <x:f>I76+0.4*K76-2*MAX(0,90%-G76)</x:f>
        <x:v>-0.2548102079153495</x:v>
      </x:c>
    </x:row>
    <x:row r="77">
      <x:c r="A77" s="35" t="n">
        <x:v>71</x:v>
      </x:c>
      <x:c r="B77" s="33" t="str">
        <x:v>Premarket range and weak close</x:v>
      </x:c>
      <x:c r="C77" s="33" t="str">
        <x:v>Skip when premarket range is at least 1.0% and closes in its bottom 30%.</x:v>
      </x:c>
      <x:c r="D77" s="29" t="n">
        <x:v>16841341570.931002</x:v>
      </x:c>
      <x:c r="E77" s="29" t="n">
        <x:v>11275</x:v>
      </x:c>
      <x:c r="F77" s="30" t="n">
        <x:f>(D77/E77)^(1/('Methodology'!$B$4*7/365))-1</x:f>
        <x:v>4.540113010463334</x:v>
      </x:c>
      <x:c r="G77" s="30" t="n">
        <x:f>F77/$F$6</x:f>
        <x:v>0.631535721338495</x:v>
      </x:c>
      <x:c r="H77" s="30" t="n">
        <x:v>0.8323537809023817</x:v>
      </x:c>
      <x:c r="I77" s="30" t="n">
        <x:f>$H$6-H77</x:f>
        <x:v>-0.018889500008734572</x:v>
      </x:c>
      <x:c r="J77" s="30" t="n">
        <x:v>0.804</x:v>
      </x:c>
      <x:c r="K77" s="30" t="n">
        <x:f>$J$6-J77</x:f>
        <x:v>-0.0020000000000000018</x:v>
      </x:c>
      <x:c r="L77" s="29" t="n">
        <x:v>0</x:v>
      </x:c>
      <x:c r="M77" s="29" t="n">
        <x:v>0</x:v>
      </x:c>
      <x:c r="N77" s="29" t="n">
        <x:v>31</x:v>
      </x:c>
      <x:c r="O77" s="29" t="n">
        <x:v>10</x:v>
      </x:c>
      <x:c r="P77" s="29" t="n">
        <x:v>21</x:v>
      </x:c>
      <x:c r="Q77" s="29" t="n">
        <x:v>345</x:v>
      </x:c>
      <x:c r="R77" s="30" t="n">
        <x:v>-0.7230175840398568</x:v>
      </x:c>
      <x:c r="S77" s="30" t="n">
        <x:v>0.8323537809023817</x:v>
      </x:c>
      <x:c r="T77" s="30" t="n">
        <x:v>0.6576181607666323</x:v>
      </x:c>
      <x:c r="U77" s="28" t="str">
        <x:f>IF(AND(G77&gt;=80%,I77&gt;0,L77&gt;=1),"YES","")</x:f>
      </x:c>
      <x:c r="V77" s="31" t="n">
        <x:f>I77+0.4*K77-2*MAX(0,90%-G77)</x:f>
        <x:v>-0.5566180573317446</x:v>
      </x:c>
    </x:row>
    <x:row r="78">
      <x:c r="A78" s="35" t="n">
        <x:v>72</x:v>
      </x:c>
      <x:c r="B78" s="33" t="str">
        <x:v>Premarket range and weak close</x:v>
      </x:c>
      <x:c r="C78" s="33" t="str">
        <x:v>Skip when premarket range is at least 1.0% and closes in its bottom 40%.</x:v>
      </x:c>
      <x:c r="D78" s="29" t="n">
        <x:v>3472837362.685001</x:v>
      </x:c>
      <x:c r="E78" s="29" t="n">
        <x:v>10930</x:v>
      </x:c>
      <x:c r="F78" s="30" t="n">
        <x:f>(D78/E78)^(1/('Methodology'!$B$4*7/365))-1</x:f>
        <x:v>3.5980241877822543</x:v>
      </x:c>
      <x:c r="G78" s="30" t="n">
        <x:f>F78/$F$6</x:f>
        <x:v>0.5004899207547533</x:v>
      </x:c>
      <x:c r="H78" s="30" t="n">
        <x:v>0.8473197105112045</x:v>
      </x:c>
      <x:c r="I78" s="30" t="n">
        <x:f>$H$6-H78</x:f>
        <x:v>-0.03385542961755739</x:v>
      </x:c>
      <x:c r="J78" s="30" t="n">
        <x:v>0.822</x:v>
      </x:c>
      <x:c r="K78" s="30" t="n">
        <x:f>$J$6-J78</x:f>
        <x:v>-0.019999999999999907</x:v>
      </x:c>
      <x:c r="L78" s="29" t="n">
        <x:v>1</x:v>
      </x:c>
      <x:c r="M78" s="29" t="n">
        <x:v>0</x:v>
      </x:c>
      <x:c r="N78" s="29" t="n">
        <x:v>48</x:v>
      </x:c>
      <x:c r="O78" s="29" t="n">
        <x:v>14</x:v>
      </x:c>
      <x:c r="P78" s="29" t="n">
        <x:v>34</x:v>
      </x:c>
      <x:c r="Q78" s="29" t="n">
        <x:v>328</x:v>
      </x:c>
      <x:c r="R78" s="30" t="n">
        <x:v>-0.722979110595758</x:v>
      </x:c>
      <x:c r="S78" s="30" t="n">
        <x:v>0.8473197105112045</x:v>
      </x:c>
      <x:c r="T78" s="30" t="n">
        <x:v>0.657612824624385</x:v>
      </x:c>
      <x:c r="U78" s="28" t="str">
        <x:f>IF(AND(G78&gt;=80%,I78&gt;0,L78&gt;=1),"YES","")</x:f>
      </x:c>
      <x:c r="V78" s="31" t="n">
        <x:f>I78+0.4*K78-2*MAX(0,90%-G78)</x:f>
        <x:v>-0.8408755881080509</x:v>
      </x:c>
    </x:row>
    <x:row r="79">
      <x:c r="A79" s="35" t="n">
        <x:v>73</x:v>
      </x:c>
      <x:c r="B79" s="33" t="str">
        <x:v>Premarket range and weak close</x:v>
      </x:c>
      <x:c r="C79" s="33" t="str">
        <x:v>Skip when premarket range is at least 1.2% and closes in its bottom 10%.</x:v>
      </x:c>
      <x:c r="D79" s="29" t="n">
        <x:v>498558185464.1272</x:v>
      </x:c>
      <x:c r="E79" s="29" t="n">
        <x:v>12080</x:v>
      </x:c>
      <x:c r="F79" s="30" t="n">
        <x:f>(D79/E79)^(1/('Methodology'!$B$4*7/365))-1</x:f>
        <x:v>7.262167217795865</x:v>
      </x:c>
      <x:c r="G79" s="30" t="n">
        <x:f>F79/$F$6</x:f>
        <x:v>1.0101770598664972</x:v>
      </x:c>
      <x:c r="H79" s="30" t="n">
        <x:v>0.8134642808936471</x:v>
      </x:c>
      <x:c r="I79" s="30" t="n">
        <x:f>$H$6-H79</x:f>
        <x:v>0</x:v>
      </x:c>
      <x:c r="J79" s="30" t="n">
        <x:v>0.802</x:v>
      </x:c>
      <x:c r="K79" s="30" t="n">
        <x:f>$J$6-J79</x:f>
        <x:v>0</x:v>
      </x:c>
      <x:c r="L79" s="29" t="n">
        <x:v>0</x:v>
      </x:c>
      <x:c r="M79" s="29" t="n">
        <x:v>0</x:v>
      </x:c>
      <x:c r="N79" s="29" t="n">
        <x:v>1</x:v>
      </x:c>
      <x:c r="O79" s="29" t="n">
        <x:v>1</x:v>
      </x:c>
      <x:c r="P79" s="29" t="n">
        <x:v>0</x:v>
      </x:c>
      <x:c r="Q79" s="29" t="n">
        <x:v>375</x:v>
      </x:c>
      <x:c r="R79" s="30" t="n">
        <x:v>-0.7230426999112742</x:v>
      </x:c>
      <x:c r="S79" s="30" t="n">
        <x:v>0.8134642808936471</x:v>
      </x:c>
      <x:c r="T79" s="30" t="n">
        <x:v>0.6576200723215686</x:v>
      </x:c>
      <x:c r="U79" s="28" t="str">
        <x:f>IF(AND(G79&gt;=80%,I79&gt;0,L79&gt;=1),"YES","")</x:f>
      </x:c>
      <x:c r="V79" s="31" t="n">
        <x:f>I79+0.4*K79-2*MAX(0,90%-G79)</x:f>
        <x:v>0</x:v>
      </x:c>
    </x:row>
    <x:row r="80">
      <x:c r="A80" s="35" t="n">
        <x:v>74</x:v>
      </x:c>
      <x:c r="B80" s="33" t="str">
        <x:v>Premarket range and weak close</x:v>
      </x:c>
      <x:c r="C80" s="33" t="str">
        <x:v>Skip when premarket range is at least 1.2% and closes in its bottom 20%.</x:v>
      </x:c>
      <x:c r="D80" s="29" t="n">
        <x:v>68819928012.71198</x:v>
      </x:c>
      <x:c r="E80" s="29" t="n">
        <x:v>11965</x:v>
      </x:c>
      <x:c r="F80" s="30" t="n">
        <x:f>(D80/E80)^(1/('Methodology'!$B$4*7/365))-1</x:f>
        <x:v>5.516747063342194</x:v>
      </x:c>
      <x:c r="G80" s="30" t="n">
        <x:f>F80/$F$6</x:f>
        <x:v>0.7673868091081459</x:v>
      </x:c>
      <x:c r="H80" s="30" t="n">
        <x:v>0.8132557423821769</x:v>
      </x:c>
      <x:c r="I80" s="30" t="n">
        <x:f>$H$6-H80</x:f>
        <x:v>0.00020853851147017988</x:v>
      </x:c>
      <x:c r="J80" s="30" t="n">
        <x:v>0.802</x:v>
      </x:c>
      <x:c r="K80" s="30" t="n">
        <x:f>$J$6-J80</x:f>
        <x:v>0</x:v>
      </x:c>
      <x:c r="L80" s="29" t="n">
        <x:v>0</x:v>
      </x:c>
      <x:c r="M80" s="29" t="n">
        <x:v>0</x:v>
      </x:c>
      <x:c r="N80" s="29" t="n">
        <x:v>10</x:v>
      </x:c>
      <x:c r="O80" s="29" t="n">
        <x:v>3</x:v>
      </x:c>
      <x:c r="P80" s="29" t="n">
        <x:v>7</x:v>
      </x:c>
      <x:c r="Q80" s="29" t="n">
        <x:v>366</x:v>
      </x:c>
      <x:c r="R80" s="30" t="n">
        <x:v>-0.7229803648530941</x:v>
      </x:c>
      <x:c r="S80" s="30" t="n">
        <x:v>0.8132557423821769</x:v>
      </x:c>
      <x:c r="T80" s="30" t="n">
        <x:v>0.6576191463821259</x:v>
      </x:c>
      <x:c r="U80" s="28" t="str">
        <x:f>IF(AND(G80&gt;=80%,I80&gt;0,L80&gt;=1),"YES","")</x:f>
      </x:c>
      <x:c r="V80" s="31" t="n">
        <x:f>I80+0.4*K80-2*MAX(0,90%-G80)</x:f>
        <x:v>-0.265017843272238</x:v>
      </x:c>
    </x:row>
    <x:row r="81">
      <x:c r="A81" s="35" t="n">
        <x:v>75</x:v>
      </x:c>
      <x:c r="B81" s="33" t="str">
        <x:v>Premarket range and weak close</x:v>
      </x:c>
      <x:c r="C81" s="33" t="str">
        <x:v>Skip when premarket range is at least 1.2% and closes in its bottom 30%.</x:v>
      </x:c>
      <x:c r="D81" s="29" t="n">
        <x:v>26588697371.141006</x:v>
      </x:c>
      <x:c r="E81" s="29" t="n">
        <x:v>11390</x:v>
      </x:c>
      <x:c r="F81" s="30" t="n">
        <x:f>(D81/E81)^(1/('Methodology'!$B$4*7/365))-1</x:f>
        <x:v>4.846151939126996</x:v>
      </x:c>
      <x:c r="G81" s="30" t="n">
        <x:f>F81/$F$6</x:f>
        <x:v>0.6741061408689862</x:v>
      </x:c>
      <x:c r="H81" s="30" t="n">
        <x:v>0.8323849359396763</x:v>
      </x:c>
      <x:c r="I81" s="30" t="n">
        <x:f>$H$6-H81</x:f>
        <x:v>-0.018920655046029244</x:v>
      </x:c>
      <x:c r="J81" s="30" t="n">
        <x:v>0.804</x:v>
      </x:c>
      <x:c r="K81" s="30" t="n">
        <x:f>$J$6-J81</x:f>
        <x:v>-0.0020000000000000018</x:v>
      </x:c>
      <x:c r="L81" s="29" t="n">
        <x:v>0</x:v>
      </x:c>
      <x:c r="M81" s="29" t="n">
        <x:v>0</x:v>
      </x:c>
      <x:c r="N81" s="29" t="n">
        <x:v>25</x:v>
      </x:c>
      <x:c r="O81" s="29" t="n">
        <x:v>8</x:v>
      </x:c>
      <x:c r="P81" s="29" t="n">
        <x:v>17</x:v>
      </x:c>
      <x:c r="Q81" s="29" t="n">
        <x:v>351</x:v>
      </x:c>
      <x:c r="R81" s="30" t="n">
        <x:v>-0.7230141596324198</x:v>
      </x:c>
      <x:c r="S81" s="30" t="n">
        <x:v>0.8323849359396763</x:v>
      </x:c>
      <x:c r="T81" s="30" t="n">
        <x:v>0.6576183894396812</x:v>
      </x:c>
      <x:c r="U81" s="28" t="str">
        <x:f>IF(AND(G81&gt;=80%,I81&gt;0,L81&gt;=1),"YES","")</x:f>
      </x:c>
      <x:c r="V81" s="31" t="n">
        <x:f>I81+0.4*K81-2*MAX(0,90%-G81)</x:f>
        <x:v>-0.47150837330805684</x:v>
      </x:c>
    </x:row>
    <x:row r="82">
      <x:c r="A82" s="35" t="n">
        <x:v>76</x:v>
      </x:c>
      <x:c r="B82" s="33" t="str">
        <x:v>Premarket range and weak close</x:v>
      </x:c>
      <x:c r="C82" s="33" t="str">
        <x:v>Skip when premarket range is at least 1.2% and closes in its bottom 40%.</x:v>
      </x:c>
      <x:c r="D82" s="29" t="n">
        <x:v>7443893449.403001</x:v>
      </x:c>
      <x:c r="E82" s="29" t="n">
        <x:v>11160</x:v>
      </x:c>
      <x:c r="F82" s="30" t="n">
        <x:f>(D82/E82)^(1/('Methodology'!$B$4*7/365))-1</x:f>
        <x:v>4.027543810263735</x:v>
      </x:c>
      <x:c r="G82" s="30" t="n">
        <x:f>F82/$F$6</x:f>
        <x:v>0.5602366680246406</x:v>
      </x:c>
      <x:c r="H82" s="30" t="n">
        <x:v>0.8475703620988804</x:v>
      </x:c>
      <x:c r="I82" s="30" t="n">
        <x:f>$H$6-H82</x:f>
        <x:v>-0.034106081205233285</x:v>
      </x:c>
      <x:c r="J82" s="30" t="n">
        <x:v>0.822</x:v>
      </x:c>
      <x:c r="K82" s="30" t="n">
        <x:f>$J$6-J82</x:f>
        <x:v>-0.019999999999999907</x:v>
      </x:c>
      <x:c r="L82" s="29" t="n">
        <x:v>0</x:v>
      </x:c>
      <x:c r="M82" s="29" t="n">
        <x:v>0</x:v>
      </x:c>
      <x:c r="N82" s="29" t="n">
        <x:v>38</x:v>
      </x:c>
      <x:c r="O82" s="29" t="n">
        <x:v>11</x:v>
      </x:c>
      <x:c r="P82" s="29" t="n">
        <x:v>27</x:v>
      </x:c>
      <x:c r="Q82" s="29" t="n">
        <x:v>338</x:v>
      </x:c>
      <x:c r="R82" s="30" t="n">
        <x:v>-0.7230221990967346</x:v>
      </x:c>
      <x:c r="S82" s="30" t="n">
        <x:v>0.8475703620988804</x:v>
      </x:c>
      <x:c r="T82" s="30" t="n">
        <x:v>0.6576147433631334</x:v>
      </x:c>
      <x:c r="U82" s="28" t="str">
        <x:f>IF(AND(G82&gt;=80%,I82&gt;0,L82&gt;=1),"YES","")</x:f>
      </x:c>
      <x:c r="V82" s="31" t="n">
        <x:f>I82+0.4*K82-2*MAX(0,90%-G82)</x:f>
        <x:v>-0.7216327451559522</x:v>
      </x:c>
    </x:row>
    <x:row r="83">
      <x:c r="A83" s="35" t="n">
        <x:v>77</x:v>
      </x:c>
      <x:c r="B83" s="33" t="str">
        <x:v>Premarket range and weak close</x:v>
      </x:c>
      <x:c r="C83" s="33" t="str">
        <x:v>Skip when premarket range is at least 1.4% and closes in its bottom 10%.</x:v>
      </x:c>
      <x:c r="D83" s="29" t="n">
        <x:v>463060842662.48914</x:v>
      </x:c>
      <x:c r="E83" s="29" t="n">
        <x:v>12080</x:v>
      </x:c>
      <x:c r="F83" s="30" t="n">
        <x:f>(D83/E83)^(1/('Methodology'!$B$4*7/365))-1</x:f>
        <x:v>7.189004290748413</x:v>
      </x:c>
      <x:c r="G83" s="30" t="n">
        <x:f>F83/$F$6</x:f>
        <x:v>1</x:v>
      </x:c>
      <x:c r="H83" s="30" t="n">
        <x:v>0.8134642808936471</x:v>
      </x:c>
      <x:c r="I83" s="30" t="n">
        <x:f>$H$6-H83</x:f>
        <x:v>0</x:v>
      </x:c>
      <x:c r="J83" s="30" t="n">
        <x:v>0.802</x:v>
      </x:c>
      <x:c r="K83" s="30" t="n">
        <x:f>$J$6-J83</x:f>
        <x:v>0</x:v>
      </x:c>
      <x:c r="L83" s="29" t="n">
        <x:v>0</x:v>
      </x:c>
      <x:c r="M83" s="29" t="n">
        <x:v>0</x:v>
      </x:c>
      <x:c r="N83" s="29" t="n">
        <x:v>0</x:v>
      </x:c>
      <x:c r="O83" s="29" t="n">
        <x:v>0</x:v>
      </x:c>
      <x:c r="P83" s="29" t="n">
        <x:v>0</x:v>
      </x:c>
      <x:c r="Q83" s="29" t="n">
        <x:v>376</x:v>
      </x:c>
      <x:c r="R83" s="30" t="n">
        <x:v>-0.7230426999112742</x:v>
      </x:c>
      <x:c r="S83" s="30" t="n">
        <x:v>0.8134642808936471</x:v>
      </x:c>
      <x:c r="T83" s="30" t="n">
        <x:v>0.6582145730460247</x:v>
      </x:c>
      <x:c r="U83" s="28" t="str">
        <x:f>IF(AND(G83&gt;=80%,I83&gt;0,L83&gt;=1),"YES","")</x:f>
      </x:c>
      <x:c r="V83" s="31" t="n">
        <x:f>I83+0.4*K83-2*MAX(0,90%-G83)</x:f>
        <x:v>0</x:v>
      </x:c>
    </x:row>
    <x:row r="84">
      <x:c r="A84" s="35" t="n">
        <x:v>78</x:v>
      </x:c>
      <x:c r="B84" s="33" t="str">
        <x:v>Premarket range and weak close</x:v>
      </x:c>
      <x:c r="C84" s="33" t="str">
        <x:v>Skip when premarket range is at least 1.4% and closes in its bottom 20%.</x:v>
      </x:c>
      <x:c r="D84" s="29" t="n">
        <x:v>87408388973.13503</x:v>
      </x:c>
      <x:c r="E84" s="29" t="n">
        <x:v>12080</x:v>
      </x:c>
      <x:c r="F84" s="30" t="n">
        <x:f>(D84/E84)^(1/('Methodology'!$B$4*7/365))-1</x:f>
        <x:v>5.699387868603396</x:v>
      </x:c>
      <x:c r="G84" s="30" t="n">
        <x:f>F84/$F$6</x:f>
        <x:v>0.7927923865531676</x:v>
      </x:c>
      <x:c r="H84" s="30" t="n">
        <x:v>0.8132557423821769</x:v>
      </x:c>
      <x:c r="I84" s="30" t="n">
        <x:f>$H$6-H84</x:f>
        <x:v>0.00020853851147017988</x:v>
      </x:c>
      <x:c r="J84" s="30" t="n">
        <x:v>0.802</x:v>
      </x:c>
      <x:c r="K84" s="30" t="n">
        <x:f>$J$6-J84</x:f>
        <x:v>0</x:v>
      </x:c>
      <x:c r="L84" s="29" t="n">
        <x:v>0</x:v>
      </x:c>
      <x:c r="M84" s="29" t="n">
        <x:v>0</x:v>
      </x:c>
      <x:c r="N84" s="29" t="n">
        <x:v>6</x:v>
      </x:c>
      <x:c r="O84" s="29" t="n">
        <x:v>1</x:v>
      </x:c>
      <x:c r="P84" s="29" t="n">
        <x:v>5</x:v>
      </x:c>
      <x:c r="Q84" s="29" t="n">
        <x:v>370</x:v>
      </x:c>
      <x:c r="R84" s="30" t="n">
        <x:v>-0.7229803648530941</x:v>
      </x:c>
      <x:c r="S84" s="30" t="n">
        <x:v>0.8132557423821769</x:v>
      </x:c>
      <x:c r="T84" s="30" t="n">
        <x:v>0.6582145720356285</x:v>
      </x:c>
      <x:c r="U84" s="28" t="str">
        <x:f>IF(AND(G84&gt;=80%,I84&gt;0,L84&gt;=1),"YES","")</x:f>
      </x:c>
      <x:c r="V84" s="31" t="n">
        <x:f>I84+0.4*K84-2*MAX(0,90%-G84)</x:f>
        <x:v>-0.2142066883821946</x:v>
      </x:c>
    </x:row>
    <x:row r="85">
      <x:c r="A85" s="35" t="n">
        <x:v>79</x:v>
      </x:c>
      <x:c r="B85" s="33" t="str">
        <x:v>Premarket range and weak close</x:v>
      </x:c>
      <x:c r="C85" s="33" t="str">
        <x:v>Skip when premarket range is at least 1.4% and closes in its bottom 30%.</x:v>
      </x:c>
      <x:c r="D85" s="29" t="n">
        <x:v>31539989186.64899</x:v>
      </x:c>
      <x:c r="E85" s="29" t="n">
        <x:v>11620</x:v>
      </x:c>
      <x:c r="F85" s="30" t="n">
        <x:f>(D85/E85)^(1/('Methodology'!$B$4*7/365))-1</x:f>
        <x:v>4.953270287018518</x:v>
      </x:c>
      <x:c r="G85" s="30" t="n">
        <x:f>F85/$F$6</x:f>
        <x:v>0.6890064446606217</x:v>
      </x:c>
      <x:c r="H85" s="30" t="n">
        <x:v>0.8323849359396763</x:v>
      </x:c>
      <x:c r="I85" s="30" t="n">
        <x:f>$H$6-H85</x:f>
        <x:v>-0.018920655046029244</x:v>
      </x:c>
      <x:c r="J85" s="30" t="n">
        <x:v>0.804</x:v>
      </x:c>
      <x:c r="K85" s="30" t="n">
        <x:f>$J$6-J85</x:f>
        <x:v>-0.0020000000000000018</x:v>
      </x:c>
      <x:c r="L85" s="29" t="n">
        <x:v>0</x:v>
      </x:c>
      <x:c r="M85" s="29" t="n">
        <x:v>0</x:v>
      </x:c>
      <x:c r="N85" s="29" t="n">
        <x:v>17</x:v>
      </x:c>
      <x:c r="O85" s="29" t="n">
        <x:v>4</x:v>
      </x:c>
      <x:c r="P85" s="29" t="n">
        <x:v>13</x:v>
      </x:c>
      <x:c r="Q85" s="29" t="n">
        <x:v>359</x:v>
      </x:c>
      <x:c r="R85" s="30" t="n">
        <x:v>-0.7230141596324198</x:v>
      </x:c>
      <x:c r="S85" s="30" t="n">
        <x:v>0.8323849359396763</x:v>
      </x:c>
      <x:c r="T85" s="30" t="n">
        <x:v>0.6582145704101707</x:v>
      </x:c>
      <x:c r="U85" s="28" t="str">
        <x:f>IF(AND(G85&gt;=80%,I85&gt;0,L85&gt;=1),"YES","")</x:f>
      </x:c>
      <x:c r="V85" s="31" t="n">
        <x:f>I85+0.4*K85-2*MAX(0,90%-G85)</x:f>
        <x:v>-0.441707765724786</x:v>
      </x:c>
    </x:row>
    <x:row r="86">
      <x:c r="A86" s="35" t="n">
        <x:v>80</x:v>
      </x:c>
      <x:c r="B86" s="33" t="str">
        <x:v>Premarket range and weak close</x:v>
      </x:c>
      <x:c r="C86" s="33" t="str">
        <x:v>Skip when premarket range is at least 1.4% and closes in its bottom 40%.</x:v>
      </x:c>
      <x:c r="D86" s="29" t="n">
        <x:v>12547154900.720999</x:v>
      </x:c>
      <x:c r="E86" s="29" t="n">
        <x:v>11390</x:v>
      </x:c>
      <x:c r="F86" s="30" t="n">
        <x:f>(D86/E86)^(1/('Methodology'!$B$4*7/365))-1</x:f>
        <x:v>4.340650368032266</x:v>
      </x:c>
      <x:c r="G86" s="30" t="n">
        <x:f>F86/$F$6</x:f>
        <x:v>0.60379020410633</x:v>
      </x:c>
      <x:c r="H86" s="30" t="n">
        <x:v>0.8475703620988804</x:v>
      </x:c>
      <x:c r="I86" s="30" t="n">
        <x:f>$H$6-H86</x:f>
        <x:v>-0.034106081205233285</x:v>
      </x:c>
      <x:c r="J86" s="30" t="n">
        <x:v>0.822</x:v>
      </x:c>
      <x:c r="K86" s="30" t="n">
        <x:f>$J$6-J86</x:f>
        <x:v>-0.019999999999999907</x:v>
      </x:c>
      <x:c r="L86" s="29" t="n">
        <x:v>0</x:v>
      </x:c>
      <x:c r="M86" s="29" t="n">
        <x:v>0</x:v>
      </x:c>
      <x:c r="N86" s="29" t="n">
        <x:v>27</x:v>
      </x:c>
      <x:c r="O86" s="29" t="n">
        <x:v>7</x:v>
      </x:c>
      <x:c r="P86" s="29" t="n">
        <x:v>20</x:v>
      </x:c>
      <x:c r="Q86" s="29" t="n">
        <x:v>349</x:v>
      </x:c>
      <x:c r="R86" s="30" t="n">
        <x:v>-0.7230221990967346</x:v>
      </x:c>
      <x:c r="S86" s="30" t="n">
        <x:v>0.8475703620988804</x:v>
      </x:c>
      <x:c r="T86" s="30" t="n">
        <x:v>0.6576167367143857</x:v>
      </x:c>
      <x:c r="U86" s="28" t="str">
        <x:f>IF(AND(G86&gt;=80%,I86&gt;0,L86&gt;=1),"YES","")</x:f>
      </x:c>
      <x:c r="V86" s="31" t="n">
        <x:f>I86+0.4*K86-2*MAX(0,90%-G86)</x:f>
        <x:v>-0.6345256729925733</x:v>
      </x:c>
    </x:row>
    <x:row r="87">
      <x:c r="A87" s="35" t="n">
        <x:v>81</x:v>
      </x:c>
      <x:c r="B87" s="33" t="str">
        <x:v>Cash gap down</x:v>
      </x:c>
      <x:c r="C87" s="33" t="str">
        <x:v>Skip when cash open gaps down 0.3% or more.</x:v>
      </x:c>
      <x:c r="D87" s="29" t="n">
        <x:v>210446751.60399988</x:v>
      </x:c>
      <x:c r="E87" s="29" t="n">
        <x:v>9895</x:v>
      </x:c>
      <x:c r="F87" s="30" t="n">
        <x:f>(D87/E87)^(1/('Methodology'!$B$4*7/365))-1</x:f>
        <x:v>2.3201276588961366</x:v>
      </x:c>
      <x:c r="G87" s="30" t="n">
        <x:f>F87/$F$6</x:f>
        <x:v>0.3227328243331177</x:v>
      </x:c>
      <x:c r="H87" s="30" t="n">
        <x:v>0.7595384690784519</x:v>
      </x:c>
      <x:c r="I87" s="30" t="n">
        <x:f>$H$6-H87</x:f>
        <x:v>0.05392581181519518</x:v>
      </x:c>
      <x:c r="J87" s="30" t="n">
        <x:v>0.723</x:v>
      </x:c>
      <x:c r="K87" s="30" t="n">
        <x:f>$J$6-J87</x:f>
        <x:v>0.07900000000000007</x:v>
      </x:c>
      <x:c r="L87" s="29" t="n">
        <x:v>4</x:v>
      </x:c>
      <x:c r="M87" s="29" t="n">
        <x:v>2</x:v>
      </x:c>
      <x:c r="N87" s="29" t="n">
        <x:v>97</x:v>
      </x:c>
      <x:c r="O87" s="29" t="n">
        <x:v>33</x:v>
      </x:c>
      <x:c r="P87" s="29" t="n">
        <x:v>64</x:v>
      </x:c>
      <x:c r="Q87" s="29" t="n">
        <x:v>279</x:v>
      </x:c>
      <x:c r="R87" s="30" t="n">
        <x:v>-0.7225709940168986</x:v>
      </x:c>
      <x:c r="S87" s="30" t="n">
        <x:v>0.7595384690784519</x:v>
      </x:c>
      <x:c r="T87" s="30" t="n">
        <x:v>0.6551745827282538</x:v>
      </x:c>
      <x:c r="U87" s="28" t="str">
        <x:f>IF(AND(G87&gt;=80%,I87&gt;0,L87&gt;=1),"YES","")</x:f>
      </x:c>
      <x:c r="V87" s="31" t="n">
        <x:f>I87+0.4*K87-2*MAX(0,90%-G87)</x:f>
        <x:v>-1.0690085395185696</x:v>
      </x:c>
    </x:row>
    <x:row r="88">
      <x:c r="A88" s="35" t="n">
        <x:v>82</x:v>
      </x:c>
      <x:c r="B88" s="33" t="str">
        <x:v>Cash gap down</x:v>
      </x:c>
      <x:c r="C88" s="33" t="str">
        <x:v>Skip when cash open gaps down 0.4% or more.</x:v>
      </x:c>
      <x:c r="D88" s="29" t="n">
        <x:v>790122109.1949998</x:v>
      </x:c>
      <x:c r="E88" s="29" t="n">
        <x:v>10355</x:v>
      </x:c>
      <x:c r="F88" s="30" t="n">
        <x:f>(D88/E88)^(1/('Methodology'!$B$4*7/365))-1</x:f>
        <x:v>2.872284035844933</x:v>
      </x:c>
      <x:c r="G88" s="30" t="n">
        <x:f>F88/$F$6</x:f>
        <x:v>0.3995385062631411</x:v>
      </x:c>
      <x:c r="H88" s="30" t="n">
        <x:v>0.7613028999073641</x:v>
      </x:c>
      <x:c r="I88" s="30" t="n">
        <x:f>$H$6-H88</x:f>
        <x:v>0.05216138098628298</x:v>
      </x:c>
      <x:c r="J88" s="30" t="n">
        <x:v>0.723</x:v>
      </x:c>
      <x:c r="K88" s="30" t="n">
        <x:f>$J$6-J88</x:f>
        <x:v>0.07900000000000007</x:v>
      </x:c>
      <x:c r="L88" s="29" t="n">
        <x:v>4</x:v>
      </x:c>
      <x:c r="M88" s="29" t="n">
        <x:v>2</x:v>
      </x:c>
      <x:c r="N88" s="29" t="n">
        <x:v>83</x:v>
      </x:c>
      <x:c r="O88" s="29" t="n">
        <x:v>28</x:v>
      </x:c>
      <x:c r="P88" s="29" t="n">
        <x:v>55</x:v>
      </x:c>
      <x:c r="Q88" s="29" t="n">
        <x:v>293</x:v>
      </x:c>
      <x:c r="R88" s="30" t="n">
        <x:v>-0.7228560023106327</x:v>
      </x:c>
      <x:c r="S88" s="30" t="n">
        <x:v>0.7613028999073641</x:v>
      </x:c>
      <x:c r="T88" s="30" t="n">
        <x:v>0.6551747979134177</x:v>
      </x:c>
      <x:c r="U88" s="28" t="str">
        <x:f>IF(AND(G88&gt;=80%,I88&gt;0,L88&gt;=1),"YES","")</x:f>
      </x:c>
      <x:c r="V88" s="31" t="n">
        <x:f>I88+0.4*K88-2*MAX(0,90%-G88)</x:f>
        <x:v>-0.9171616064874349</x:v>
      </x:c>
    </x:row>
    <x:row r="89">
      <x:c r="A89" s="35" t="n">
        <x:v>83</x:v>
      </x:c>
      <x:c r="B89" s="33" t="str">
        <x:v>Cash gap down</x:v>
      </x:c>
      <x:c r="C89" s="33" t="str">
        <x:v>Skip when cash open gaps down 0.5% or more.</x:v>
      </x:c>
      <x:c r="D89" s="29" t="n">
        <x:v>3366921661.438</x:v>
      </x:c>
      <x:c r="E89" s="29" t="n">
        <x:v>10355</x:v>
      </x:c>
      <x:c r="F89" s="30" t="n">
        <x:f>(D89/E89)^(1/('Methodology'!$B$4*7/365))-1</x:f>
        <x:v>3.6108152134738942</x:v>
      </x:c>
      <x:c r="G89" s="30" t="n">
        <x:f>F89/$F$6</x:f>
        <x:v>0.5022691693369388</x:v>
      </x:c>
      <x:c r="H89" s="30" t="n">
        <x:v>0.7617993813664278</x:v>
      </x:c>
      <x:c r="I89" s="30" t="n">
        <x:f>$H$6-H89</x:f>
        <x:v>0.05166489952721931</x:v>
      </x:c>
      <x:c r="J89" s="30" t="n">
        <x:v>0.723</x:v>
      </x:c>
      <x:c r="K89" s="30" t="n">
        <x:f>$J$6-J89</x:f>
        <x:v>0.07900000000000007</x:v>
      </x:c>
      <x:c r="L89" s="29" t="n">
        <x:v>4</x:v>
      </x:c>
      <x:c r="M89" s="29" t="n">
        <x:v>2</x:v>
      </x:c>
      <x:c r="N89" s="29" t="n">
        <x:v>66</x:v>
      </x:c>
      <x:c r="O89" s="29" t="n">
        <x:v>23</x:v>
      </x:c>
      <x:c r="P89" s="29" t="n">
        <x:v>43</x:v>
      </x:c>
      <x:c r="Q89" s="29" t="n">
        <x:v>310</x:v>
      </x:c>
      <x:c r="R89" s="30" t="n">
        <x:v>-0.7228124755264491</x:v>
      </x:c>
      <x:c r="S89" s="30" t="n">
        <x:v>0.7617993813664278</x:v>
      </x:c>
      <x:c r="T89" s="30" t="n">
        <x:v>0.6604694509716299</x:v>
      </x:c>
      <x:c r="U89" s="28" t="str">
        <x:f>IF(AND(G89&gt;=80%,I89&gt;0,L89&gt;=1),"YES","")</x:f>
      </x:c>
      <x:c r="V89" s="31" t="n">
        <x:f>I89+0.4*K89-2*MAX(0,90%-G89)</x:f>
        <x:v>-0.7121967617989031</x:v>
      </x:c>
    </x:row>
    <x:row r="90">
      <x:c r="A90" s="35" t="n">
        <x:v>84</x:v>
      </x:c>
      <x:c r="B90" s="33" t="str">
        <x:v>Cash gap down</x:v>
      </x:c>
      <x:c r="C90" s="33" t="str">
        <x:v>Skip when cash open gaps down 0.6% or more.</x:v>
      </x:c>
      <x:c r="D90" s="29" t="n">
        <x:v>4006362338.893002</x:v>
      </x:c>
      <x:c r="E90" s="29" t="n">
        <x:v>10700</x:v>
      </x:c>
      <x:c r="F90" s="30" t="n">
        <x:f>(D90/E90)^(1/('Methodology'!$B$4*7/365))-1</x:f>
        <x:v>3.6898356356246245</x:v>
      </x:c>
      <x:c r="G90" s="30" t="n">
        <x:f>F90/$F$6</x:f>
        <x:v>0.5132610145153347</x:v>
      </x:c>
      <x:c r="H90" s="30" t="n">
        <x:v>0.7620669439003851</x:v>
      </x:c>
      <x:c r="I90" s="30" t="n">
        <x:f>$H$6-H90</x:f>
        <x:v>0.05139733699326199</x:v>
      </x:c>
      <x:c r="J90" s="30" t="n">
        <x:v>0.723</x:v>
      </x:c>
      <x:c r="K90" s="30" t="n">
        <x:f>$J$6-J90</x:f>
        <x:v>0.07900000000000007</x:v>
      </x:c>
      <x:c r="L90" s="29" t="n">
        <x:v>4</x:v>
      </x:c>
      <x:c r="M90" s="29" t="n">
        <x:v>2</x:v>
      </x:c>
      <x:c r="N90" s="29" t="n">
        <x:v>57</x:v>
      </x:c>
      <x:c r="O90" s="29" t="n">
        <x:v>20</x:v>
      </x:c>
      <x:c r="P90" s="29" t="n">
        <x:v>37</x:v>
      </x:c>
      <x:c r="Q90" s="29" t="n">
        <x:v>319</x:v>
      </x:c>
      <x:c r="R90" s="30" t="n">
        <x:v>-0.72300884482821</x:v>
      </x:c>
      <x:c r="S90" s="30" t="n">
        <x:v>0.7620669439003851</x:v>
      </x:c>
      <x:c r="T90" s="30" t="n">
        <x:v>0.6576179355916882</x:v>
      </x:c>
      <x:c r="U90" s="28" t="str">
        <x:f>IF(AND(G90&gt;=80%,I90&gt;0,L90&gt;=1),"YES","")</x:f>
      </x:c>
      <x:c r="V90" s="31" t="n">
        <x:f>I90+0.4*K90-2*MAX(0,90%-G90)</x:f>
        <x:v>-0.6904806339760686</x:v>
      </x:c>
    </x:row>
    <x:row r="91">
      <x:c r="A91" s="35" t="n">
        <x:v>85</x:v>
      </x:c>
      <x:c r="B91" s="33" t="str">
        <x:v>Cash gap down</x:v>
      </x:c>
      <x:c r="C91" s="33" t="str">
        <x:v>Skip when cash open gaps down 0.7% or more.</x:v>
      </x:c>
      <x:c r="D91" s="29" t="n">
        <x:v>13993143960.209997</x:v>
      </x:c>
      <x:c r="E91" s="29" t="n">
        <x:v>11045</x:v>
      </x:c>
      <x:c r="F91" s="30" t="n">
        <x:f>(D91/E91)^(1/('Methodology'!$B$4*7/365))-1</x:f>
        <x:v>4.431342103149549</x:v>
      </x:c>
      <x:c r="G91" s="30" t="n">
        <x:f>F91/$F$6</x:f>
        <x:v>0.6164055443467017</x:v>
      </x:c>
      <x:c r="H91" s="30" t="n">
        <x:v>0.7624800949124827</x:v>
      </x:c>
      <x:c r="I91" s="30" t="n">
        <x:f>$H$6-H91</x:f>
        <x:v>0.05098418598116439</x:v>
      </x:c>
      <x:c r="J91" s="30" t="n">
        <x:v>0.723</x:v>
      </x:c>
      <x:c r="K91" s="30" t="n">
        <x:f>$J$6-J91</x:f>
        <x:v>0.07900000000000007</x:v>
      </x:c>
      <x:c r="L91" s="29" t="n">
        <x:v>3</x:v>
      </x:c>
      <x:c r="M91" s="29" t="n">
        <x:v>1</x:v>
      </x:c>
      <x:c r="N91" s="29" t="n">
        <x:v>43</x:v>
      </x:c>
      <x:c r="O91" s="29" t="n">
        <x:v>16</x:v>
      </x:c>
      <x:c r="P91" s="29" t="n">
        <x:v>27</x:v>
      </x:c>
      <x:c r="Q91" s="29" t="n">
        <x:v>333</x:v>
      </x:c>
      <x:c r="R91" s="30" t="n">
        <x:v>-0.7229228307136127</x:v>
      </x:c>
      <x:c r="S91" s="30" t="n">
        <x:v>0.7624800949124827</x:v>
      </x:c>
      <x:c r="T91" s="30" t="n">
        <x:v>0.6576196037011222</x:v>
      </x:c>
      <x:c r="U91" s="28" t="str">
        <x:f>IF(AND(G91&gt;=80%,I91&gt;0,L91&gt;=1),"YES","")</x:f>
      </x:c>
      <x:c r="V91" s="31" t="n">
        <x:f>I91+0.4*K91-2*MAX(0,90%-G91)</x:f>
        <x:v>-0.48460472532543225</x:v>
      </x:c>
    </x:row>
    <x:row r="92">
      <x:c r="A92" s="35" t="n">
        <x:v>86</x:v>
      </x:c>
      <x:c r="B92" s="33" t="str">
        <x:v>Cash gap down</x:v>
      </x:c>
      <x:c r="C92" s="33" t="str">
        <x:v>Skip when cash open gaps down 0.8% or more.</x:v>
      </x:c>
      <x:c r="D92" s="29" t="n">
        <x:v>8815010718.325994</x:v>
      </x:c>
      <x:c r="E92" s="29" t="n">
        <x:v>11390</x:v>
      </x:c>
      <x:c r="F92" s="30" t="n">
        <x:f>(D92/E92)^(1/('Methodology'!$B$4*7/365))-1</x:f>
        <x:v>4.1183585889912155</x:v>
      </x:c>
      <x:c r="G92" s="30" t="n">
        <x:f>F92/$F$6</x:f>
        <x:v>0.5728691237938422</x:v>
      </x:c>
      <x:c r="H92" s="30" t="n">
        <x:v>0.8297251488200681</x:v>
      </x:c>
      <x:c r="I92" s="30" t="n">
        <x:f>$H$6-H92</x:f>
        <x:v>-0.016260867926421008</x:v>
      </x:c>
      <x:c r="J92" s="30" t="n">
        <x:v>0.802</x:v>
      </x:c>
      <x:c r="K92" s="30" t="n">
        <x:f>$J$6-J92</x:f>
        <x:v>0</x:v>
      </x:c>
      <x:c r="L92" s="29" t="n">
        <x:v>2</x:v>
      </x:c>
      <x:c r="M92" s="29" t="n">
        <x:v>0</x:v>
      </x:c>
      <x:c r="N92" s="29" t="n">
        <x:v>36</x:v>
      </x:c>
      <x:c r="O92" s="29" t="n">
        <x:v>11</x:v>
      </x:c>
      <x:c r="P92" s="29" t="n">
        <x:v>25</x:v>
      </x:c>
      <x:c r="Q92" s="29" t="n">
        <x:v>340</x:v>
      </x:c>
      <x:c r="R92" s="30" t="n">
        <x:v>-0.722910069643794</x:v>
      </x:c>
      <x:c r="S92" s="30" t="n">
        <x:v>0.8297251488200681</x:v>
      </x:c>
      <x:c r="T92" s="30" t="n">
        <x:v>0.6576187890119983</x:v>
      </x:c>
      <x:c r="U92" s="28" t="str">
        <x:f>IF(AND(G92&gt;=80%,I92&gt;0,L92&gt;=1),"YES","")</x:f>
      </x:c>
      <x:c r="V92" s="31" t="n">
        <x:f>I92+0.4*K92-2*MAX(0,90%-G92)</x:f>
        <x:v>-0.6705226203387366</x:v>
      </x:c>
    </x:row>
    <x:row r="93">
      <x:c r="A93" s="35" t="n">
        <x:v>87</x:v>
      </x:c>
      <x:c r="B93" s="33" t="str">
        <x:v>Cash gap down</x:v>
      </x:c>
      <x:c r="C93" s="33" t="str">
        <x:v>Skip when cash open gaps down 0.9% or more.</x:v>
      </x:c>
      <x:c r="D93" s="29" t="n">
        <x:v>6710425504.292</x:v>
      </x:c>
      <x:c r="E93" s="29" t="n">
        <x:v>11390</x:v>
      </x:c>
      <x:c r="F93" s="30" t="n">
        <x:f>(D93/E93)^(1/('Methodology'!$B$4*7/365))-1</x:f>
        <x:v>3.9529499952007683</x:v>
      </x:c>
      <x:c r="G93" s="30" t="n">
        <x:f>F93/$F$6</x:f>
        <x:v>0.5498605697436919</x:v>
      </x:c>
      <x:c r="H93" s="30" t="n">
        <x:v>0.8298820299462604</x:v>
      </x:c>
      <x:c r="I93" s="30" t="n">
        <x:f>$H$6-H93</x:f>
        <x:v>-0.016417749052613284</x:v>
      </x:c>
      <x:c r="J93" s="30" t="n">
        <x:v>0.802</x:v>
      </x:c>
      <x:c r="K93" s="30" t="n">
        <x:f>$J$6-J93</x:f>
        <x:v>0</x:v>
      </x:c>
      <x:c r="L93" s="29" t="n">
        <x:v>1</x:v>
      </x:c>
      <x:c r="M93" s="29" t="n">
        <x:v>0</x:v>
      </x:c>
      <x:c r="N93" s="29" t="n">
        <x:v>30</x:v>
      </x:c>
      <x:c r="O93" s="29" t="n">
        <x:v>8</x:v>
      </x:c>
      <x:c r="P93" s="29" t="n">
        <x:v>22</x:v>
      </x:c>
      <x:c r="Q93" s="29" t="n">
        <x:v>346</x:v>
      </x:c>
      <x:c r="R93" s="30" t="n">
        <x:v>-0.72294252293659</x:v>
      </x:c>
      <x:c r="S93" s="30" t="n">
        <x:v>0.8298820299462604</x:v>
      </x:c>
      <x:c r="T93" s="30" t="n">
        <x:v>0.6576170938202933</x:v>
      </x:c>
      <x:c r="U93" s="28" t="str">
        <x:f>IF(AND(G93&gt;=80%,I93&gt;0,L93&gt;=1),"YES","")</x:f>
      </x:c>
      <x:c r="V93" s="31" t="n">
        <x:f>I93+0.4*K93-2*MAX(0,90%-G93)</x:f>
        <x:v>-0.7166966095652295</x:v>
      </x:c>
    </x:row>
    <x:row r="94">
      <x:c r="A94" s="35" t="n">
        <x:v>88</x:v>
      </x:c>
      <x:c r="B94" s="33" t="str">
        <x:v>Cash gap down</x:v>
      </x:c>
      <x:c r="C94" s="33" t="str">
        <x:v>Skip when cash open gaps down 1.0% or more.</x:v>
      </x:c>
      <x:c r="D94" s="29" t="n">
        <x:v>9594149144.230995</x:v>
      </x:c>
      <x:c r="E94" s="29" t="n">
        <x:v>11620</x:v>
      </x:c>
      <x:c r="F94" s="30" t="n">
        <x:f>(D94/E94)^(1/('Methodology'!$B$4*7/365))-1</x:f>
        <x:v>4.158396513461718</x:v>
      </x:c>
      <x:c r="G94" s="30" t="n">
        <x:f>F94/$F$6</x:f>
        <x:v>0.5784384520138891</x:v>
      </x:c>
      <x:c r="H94" s="30" t="n">
        <x:v>0.8300890712763531</x:v>
      </x:c>
      <x:c r="I94" s="30" t="n">
        <x:f>$H$6-H94</x:f>
        <x:v>-0.016624790382706034</x:v>
      </x:c>
      <x:c r="J94" s="30" t="n">
        <x:v>0.802</x:v>
      </x:c>
      <x:c r="K94" s="30" t="n">
        <x:f>$J$6-J94</x:f>
        <x:v>0</x:v>
      </x:c>
      <x:c r="L94" s="29" t="n">
        <x:v>0</x:v>
      </x:c>
      <x:c r="M94" s="29" t="n">
        <x:v>0</x:v>
      </x:c>
      <x:c r="N94" s="29" t="n">
        <x:v>25</x:v>
      </x:c>
      <x:c r="O94" s="29" t="n">
        <x:v>6</x:v>
      </x:c>
      <x:c r="P94" s="29" t="n">
        <x:v>19</x:v>
      </x:c>
      <x:c r="Q94" s="29" t="n">
        <x:v>351</x:v>
      </x:c>
      <x:c r="R94" s="30" t="n">
        <x:v>-0.722925028998695</x:v>
      </x:c>
      <x:c r="S94" s="30" t="n">
        <x:v>0.8300890712763531</x:v>
      </x:c>
      <x:c r="T94" s="30" t="n">
        <x:v>0.6576183100254321</x:v>
      </x:c>
      <x:c r="U94" s="28" t="str">
        <x:f>IF(AND(G94&gt;=80%,I94&gt;0,L94&gt;=1),"YES","")</x:f>
      </x:c>
      <x:c r="V94" s="31" t="n">
        <x:f>I94+0.4*K94-2*MAX(0,90%-G94)</x:f>
        <x:v>-0.6597478863549279</x:v>
      </x:c>
    </x:row>
    <x:row r="95">
      <x:c r="A95" s="35" t="n">
        <x:v>89</x:v>
      </x:c>
      <x:c r="B95" s="33" t="str">
        <x:v>Cash gap down</x:v>
      </x:c>
      <x:c r="C95" s="33" t="str">
        <x:v>Skip when cash open gaps down 1.1% or more.</x:v>
      </x:c>
      <x:c r="D95" s="29" t="n">
        <x:v>11226226323.418999</x:v>
      </x:c>
      <x:c r="E95" s="29" t="n">
        <x:v>11620</x:v>
      </x:c>
      <x:c r="F95" s="30" t="n">
        <x:f>(D95/E95)^(1/('Methodology'!$B$4*7/365))-1</x:f>
        <x:v>4.256913297140677</x:v>
      </x:c>
      <x:c r="G95" s="30" t="n">
        <x:f>F95/$F$6</x:f>
        <x:v>0.5921422668531348</x:v>
      </x:c>
      <x:c r="H95" s="30" t="n">
        <x:v>0.8300890712763531</x:v>
      </x:c>
      <x:c r="I95" s="30" t="n">
        <x:f>$H$6-H95</x:f>
        <x:v>-0.016624790382706034</x:v>
      </x:c>
      <x:c r="J95" s="30" t="n">
        <x:v>0.802</x:v>
      </x:c>
      <x:c r="K95" s="30" t="n">
        <x:f>$J$6-J95</x:f>
        <x:v>0</x:v>
      </x:c>
      <x:c r="L95" s="29" t="n">
        <x:v>0</x:v>
      </x:c>
      <x:c r="M95" s="29" t="n">
        <x:v>0</x:v>
      </x:c>
      <x:c r="N95" s="29" t="n">
        <x:v>24</x:v>
      </x:c>
      <x:c r="O95" s="29" t="n">
        <x:v>6</x:v>
      </x:c>
      <x:c r="P95" s="29" t="n">
        <x:v>18</x:v>
      </x:c>
      <x:c r="Q95" s="29" t="n">
        <x:v>352</x:v>
      </x:c>
      <x:c r="R95" s="30" t="n">
        <x:v>-0.722925028998695</x:v>
      </x:c>
      <x:c r="S95" s="30" t="n">
        <x:v>0.8300890712763531</x:v>
      </x:c>
      <x:c r="T95" s="30" t="n">
        <x:v>0.6576188973275241</x:v>
      </x:c>
      <x:c r="U95" s="28" t="str">
        <x:f>IF(AND(G95&gt;=80%,I95&gt;0,L95&gt;=1),"YES","")</x:f>
      </x:c>
      <x:c r="V95" s="31" t="n">
        <x:f>I95+0.4*K95-2*MAX(0,90%-G95)</x:f>
        <x:v>-0.6323402566764366</x:v>
      </x:c>
    </x:row>
    <x:row r="96">
      <x:c r="A96" s="35" t="n">
        <x:v>90</x:v>
      </x:c>
      <x:c r="B96" s="33" t="str">
        <x:v>Cash gap down</x:v>
      </x:c>
      <x:c r="C96" s="33" t="str">
        <x:v>Skip when cash open gaps down 1.2% or more.</x:v>
      </x:c>
      <x:c r="D96" s="29" t="n">
        <x:v>10830091289.437998</x:v>
      </x:c>
      <x:c r="E96" s="29" t="n">
        <x:v>11620</x:v>
      </x:c>
      <x:c r="F96" s="30" t="n">
        <x:f>(D96/E96)^(1/('Methodology'!$B$4*7/365))-1</x:f>
        <x:v>4.234220625419197</x:v>
      </x:c>
      <x:c r="G96" s="30" t="n">
        <x:f>F96/$F$6</x:f>
        <x:v>0.5889856862191958</x:v>
      </x:c>
      <x:c r="H96" s="30" t="n">
        <x:v>0.8131422911414159</x:v>
      </x:c>
      <x:c r="I96" s="30" t="n">
        <x:f>$H$6-H96</x:f>
        <x:v>0.00032198975223118875</x:v>
      </x:c>
      <x:c r="J96" s="30" t="n">
        <x:v>0.802</x:v>
      </x:c>
      <x:c r="K96" s="30" t="n">
        <x:f>$J$6-J96</x:f>
        <x:v>0</x:v>
      </x:c>
      <x:c r="L96" s="29" t="n">
        <x:v>0</x:v>
      </x:c>
      <x:c r="M96" s="29" t="n">
        <x:v>0</x:v>
      </x:c>
      <x:c r="N96" s="29" t="n">
        <x:v>21</x:v>
      </x:c>
      <x:c r="O96" s="29" t="n">
        <x:v>4</x:v>
      </x:c>
      <x:c r="P96" s="29" t="n">
        <x:v>17</x:v>
      </x:c>
      <x:c r="Q96" s="29" t="n">
        <x:v>355</x:v>
      </x:c>
      <x:c r="R96" s="30" t="n">
        <x:v>-0.722925028998695</x:v>
      </x:c>
      <x:c r="S96" s="30" t="n">
        <x:v>0.8131422911414159</x:v>
      </x:c>
      <x:c r="T96" s="30" t="n">
        <x:v>0.6582145631180165</x:v>
      </x:c>
      <x:c r="U96" s="28" t="str">
        <x:f>IF(AND(G96&gt;=80%,I96&gt;0,L96&gt;=1),"YES","")</x:f>
      </x:c>
      <x:c r="V96" s="31" t="n">
        <x:f>I96+0.4*K96-2*MAX(0,90%-G96)</x:f>
        <x:v>-0.6217066378093773</x:v>
      </x:c>
    </x:row>
    <x:row r="97">
      <x:c r="A97" s="35" t="n">
        <x:v>91</x:v>
      </x:c>
      <x:c r="B97" s="33" t="str">
        <x:v>Positive gap with weak momentum</x:v>
      </x:c>
      <x:c r="C97" s="33" t="str">
        <x:v>Skip when cash gap is at least 0.5% and 20-session momentum is no better than -2.0%.</x:v>
      </x:c>
      <x:c r="D97" s="29" t="n">
        <x:v>16031995082.105995</x:v>
      </x:c>
      <x:c r="E97" s="29" t="n">
        <x:v>11275</x:v>
      </x:c>
      <x:c r="F97" s="30" t="n">
        <x:f>(D97/E97)^(1/('Methodology'!$B$4*7/365))-1</x:f>
        <x:v>4.507352791707901</x:v>
      </x:c>
      <x:c r="G97" s="30" t="n">
        <x:f>F97/$F$6</x:f>
        <x:v>0.6269787316038258</x:v>
      </x:c>
      <x:c r="H97" s="30" t="n">
        <x:v>0.8929958644138337</x:v>
      </x:c>
      <x:c r="I97" s="30" t="n">
        <x:f>$H$6-H97</x:f>
        <x:v>-0.07953158352018663</x:v>
      </x:c>
      <x:c r="J97" s="30" t="n">
        <x:v>0.886</x:v>
      </x:c>
      <x:c r="K97" s="30" t="n">
        <x:f>$J$6-J97</x:f>
        <x:v>-0.08399999999999996</x:v>
      </x:c>
      <x:c r="L97" s="29" t="n">
        <x:v>0</x:v>
      </x:c>
      <x:c r="M97" s="29" t="n">
        <x:v>0</x:v>
      </x:c>
      <x:c r="N97" s="29" t="n">
        <x:v>19</x:v>
      </x:c>
      <x:c r="O97" s="29" t="n">
        <x:v>5</x:v>
      </x:c>
      <x:c r="P97" s="29" t="n">
        <x:v>14</x:v>
      </x:c>
      <x:c r="Q97" s="29" t="n">
        <x:v>357</x:v>
      </x:c>
      <x:c r="R97" s="30" t="n">
        <x:v>-0.7229820263727331</x:v>
      </x:c>
      <x:c r="S97" s="30" t="n">
        <x:v>0.8929958644138337</x:v>
      </x:c>
      <x:c r="T97" s="30" t="n">
        <x:v>0.7600981828437677</x:v>
      </x:c>
      <x:c r="U97" s="28" t="str">
        <x:f>IF(AND(G97&gt;=80%,I97&gt;0,L97&gt;=1),"YES","")</x:f>
      </x:c>
      <x:c r="V97" s="31" t="n">
        <x:f>I97+0.4*K97-2*MAX(0,90%-G97)</x:f>
        <x:v>-0.6591741203125351</x:v>
      </x:c>
    </x:row>
    <x:row r="98">
      <x:c r="A98" s="35" t="n">
        <x:v>92</x:v>
      </x:c>
      <x:c r="B98" s="33" t="str">
        <x:v>Positive gap with weak momentum</x:v>
      </x:c>
      <x:c r="C98" s="33" t="str">
        <x:v>Skip when cash gap is at least 0.5% and 20-session momentum is no better than -1.0%.</x:v>
      </x:c>
      <x:c r="D98" s="29" t="n">
        <x:v>30401731940.24099</x:v>
      </x:c>
      <x:c r="E98" s="29" t="n">
        <x:v>11160</x:v>
      </x:c>
      <x:c r="F98" s="30" t="n">
        <x:f>(D98/E98)^(1/('Methodology'!$B$4*7/365))-1</x:f>
        <x:v>4.955876908967066</x:v>
      </x:c>
      <x:c r="G98" s="30" t="n">
        <x:f>F98/$F$6</x:f>
        <x:v>0.6893690292193626</x:v>
      </x:c>
      <x:c r="H98" s="30" t="n">
        <x:v>0.8929958644138337</x:v>
      </x:c>
      <x:c r="I98" s="30" t="n">
        <x:f>$H$6-H98</x:f>
        <x:v>-0.07953158352018663</x:v>
      </x:c>
      <x:c r="J98" s="30" t="n">
        <x:v>0.886</x:v>
      </x:c>
      <x:c r="K98" s="30" t="n">
        <x:f>$J$6-J98</x:f>
        <x:v>-0.08399999999999996</x:v>
      </x:c>
      <x:c r="L98" s="29" t="n">
        <x:v>1</x:v>
      </x:c>
      <x:c r="M98" s="29" t="n">
        <x:v>1</x:v>
      </x:c>
      <x:c r="N98" s="29" t="n">
        <x:v>21</x:v>
      </x:c>
      <x:c r="O98" s="29" t="n">
        <x:v>6</x:v>
      </x:c>
      <x:c r="P98" s="29" t="n">
        <x:v>15</x:v>
      </x:c>
      <x:c r="Q98" s="29" t="n">
        <x:v>355</x:v>
      </x:c>
      <x:c r="R98" s="30" t="n">
        <x:v>-0.7229820263727331</x:v>
      </x:c>
      <x:c r="S98" s="30" t="n">
        <x:v>0.8929958644138337</x:v>
      </x:c>
      <x:c r="T98" s="30" t="n">
        <x:v>0.7601025237359589</x:v>
      </x:c>
      <x:c r="U98" s="28" t="str">
        <x:f>IF(AND(G98&gt;=80%,I98&gt;0,L98&gt;=1),"YES","")</x:f>
      </x:c>
      <x:c r="V98" s="31" t="n">
        <x:f>I98+0.4*K98-2*MAX(0,90%-G98)</x:f>
        <x:v>-0.5343935250814614</x:v>
      </x:c>
    </x:row>
    <x:row r="99">
      <x:c r="A99" s="35" t="n">
        <x:v>93</x:v>
      </x:c>
      <x:c r="B99" s="33" t="str">
        <x:v>Positive gap with weak momentum</x:v>
      </x:c>
      <x:c r="C99" s="33" t="str">
        <x:v>Skip when cash gap is at least 0.5% and 20-session momentum is no better than 0.0%.</x:v>
      </x:c>
      <x:c r="D99" s="29" t="n">
        <x:v>37767920819.042</x:v>
      </x:c>
      <x:c r="E99" s="29" t="n">
        <x:v>10815</x:v>
      </x:c>
      <x:c r="F99" s="30" t="n">
        <x:f>(D99/E99)^(1/('Methodology'!$B$4*7/365))-1</x:f>
        <x:v>5.136698050597702</x:v>
      </x:c>
      <x:c r="G99" s="30" t="n">
        <x:f>F99/$F$6</x:f>
        <x:v>0.7145214890479562</x:v>
      </x:c>
      <x:c r="H99" s="30" t="n">
        <x:v>0.8929958644138337</x:v>
      </x:c>
      <x:c r="I99" s="30" t="n">
        <x:f>$H$6-H99</x:f>
        <x:v>-0.07953158352018663</x:v>
      </x:c>
      <x:c r="J99" s="30" t="n">
        <x:v>0.886</x:v>
      </x:c>
      <x:c r="K99" s="30" t="n">
        <x:f>$J$6-J99</x:f>
        <x:v>-0.08399999999999996</x:v>
      </x:c>
      <x:c r="L99" s="29" t="n">
        <x:v>2</x:v>
      </x:c>
      <x:c r="M99" s="29" t="n">
        <x:v>2</x:v>
      </x:c>
      <x:c r="N99" s="29" t="n">
        <x:v>24</x:v>
      </x:c>
      <x:c r="O99" s="29" t="n">
        <x:v>8</x:v>
      </x:c>
      <x:c r="P99" s="29" t="n">
        <x:v>16</x:v>
      </x:c>
      <x:c r="Q99" s="29" t="n">
        <x:v>352</x:v>
      </x:c>
      <x:c r="R99" s="30" t="n">
        <x:v>-0.7229820263727331</x:v>
      </x:c>
      <x:c r="S99" s="30" t="n">
        <x:v>0.8929958644138337</x:v>
      </x:c>
      <x:c r="T99" s="30" t="n">
        <x:v>0.7601025237359589</x:v>
      </x:c>
      <x:c r="U99" s="28" t="str">
        <x:f>IF(AND(G99&gt;=80%,I99&gt;0,L99&gt;=1),"YES","")</x:f>
      </x:c>
      <x:c r="V99" s="31" t="n">
        <x:f>I99+0.4*K99-2*MAX(0,90%-G99)</x:f>
        <x:v>-0.48408860542427423</x:v>
      </x:c>
    </x:row>
    <x:row r="100">
      <x:c r="A100" s="35" t="n">
        <x:v>94</x:v>
      </x:c>
      <x:c r="B100" s="33" t="str">
        <x:v>Positive gap with weak momentum</x:v>
      </x:c>
      <x:c r="C100" s="33" t="str">
        <x:v>Skip when cash gap is at least 0.5% and 20-session momentum is no better than 1.0%.</x:v>
      </x:c>
      <x:c r="D100" s="29" t="n">
        <x:v>82167044023.215</x:v>
      </x:c>
      <x:c r="E100" s="29" t="n">
        <x:v>10355</x:v>
      </x:c>
      <x:c r="F100" s="30" t="n">
        <x:f>(D100/E100)^(1/('Methodology'!$B$4*7/365))-1</x:f>
        <x:v>5.774221704082947</x:v>
      </x:c>
      <x:c r="G100" s="30" t="n">
        <x:f>F100/$F$6</x:f>
        <x:v>0.8032018719913465</x:v>
      </x:c>
      <x:c r="H100" s="30" t="n">
        <x:v>0.8028036064489555</x:v>
      </x:c>
      <x:c r="I100" s="30" t="n">
        <x:f>$H$6-H100</x:f>
        <x:v>0.010660674444691542</x:v>
      </x:c>
      <x:c r="J100" s="30" t="n">
        <x:v>0.803</x:v>
      </x:c>
      <x:c r="K100" s="30" t="n">
        <x:f>$J$6-J100</x:f>
        <x:v>-0.0010000000000000009</x:v>
      </x:c>
      <x:c r="L100" s="29" t="n">
        <x:v>4</x:v>
      </x:c>
      <x:c r="M100" s="29" t="n">
        <x:v>4</x:v>
      </x:c>
      <x:c r="N100" s="29" t="n">
        <x:v>33</x:v>
      </x:c>
      <x:c r="O100" s="29" t="n">
        <x:v>10</x:v>
      </x:c>
      <x:c r="P100" s="29" t="n">
        <x:v>23</x:v>
      </x:c>
      <x:c r="Q100" s="29" t="n">
        <x:v>343</x:v>
      </x:c>
      <x:c r="R100" s="30" t="n">
        <x:v>-0.4698660492479066</x:v>
      </x:c>
      <x:c r="S100" s="30" t="n">
        <x:v>0.7119363133827148</x:v>
      </x:c>
      <x:c r="T100" s="30" t="n">
        <x:v>0.8028036064489555</x:v>
      </x:c>
      <x:c r="U100" s="28" t="str">
        <x:f>IF(AND(G100&gt;=80%,I100&gt;0,L100&gt;=1),"YES","")</x:f>
        <x:v>YES</x:v>
      </x:c>
      <x:c r="V100" s="31" t="n">
        <x:f>I100+0.4*K100-2*MAX(0,90%-G100)</x:f>
        <x:v>-0.18333558157261548</x:v>
      </x:c>
    </x:row>
    <x:row r="101">
      <x:c r="A101" s="35" t="n">
        <x:v>95</x:v>
      </x:c>
      <x:c r="B101" s="33" t="str">
        <x:v>Positive gap with weak momentum</x:v>
      </x:c>
      <x:c r="C101" s="33" t="str">
        <x:v>Skip when cash gap is at least 1.0% and 20-session momentum is no better than -2.0%.</x:v>
      </x:c>
      <x:c r="D101" s="29" t="n">
        <x:v>463060842662.48914</x:v>
      </x:c>
      <x:c r="E101" s="29" t="n">
        <x:v>12080</x:v>
      </x:c>
      <x:c r="F101" s="30" t="n">
        <x:f>(D101/E101)^(1/('Methodology'!$B$4*7/365))-1</x:f>
        <x:v>7.189004290748413</x:v>
      </x:c>
      <x:c r="G101" s="30" t="n">
        <x:f>F101/$F$6</x:f>
        <x:v>1</x:v>
      </x:c>
      <x:c r="H101" s="30" t="n">
        <x:v>0.8134642808936471</x:v>
      </x:c>
      <x:c r="I101" s="30" t="n">
        <x:f>$H$6-H101</x:f>
        <x:v>0</x:v>
      </x:c>
      <x:c r="J101" s="30" t="n">
        <x:v>0.802</x:v>
      </x:c>
      <x:c r="K101" s="30" t="n">
        <x:f>$J$6-J101</x:f>
        <x:v>0</x:v>
      </x:c>
      <x:c r="L101" s="29" t="n">
        <x:v>0</x:v>
      </x:c>
      <x:c r="M101" s="29" t="n">
        <x:v>0</x:v>
      </x:c>
      <x:c r="N101" s="29" t="n">
        <x:v>0</x:v>
      </x:c>
      <x:c r="O101" s="29" t="n">
        <x:v>0</x:v>
      </x:c>
      <x:c r="P101" s="29" t="n">
        <x:v>0</x:v>
      </x:c>
      <x:c r="Q101" s="29" t="n">
        <x:v>376</x:v>
      </x:c>
      <x:c r="R101" s="30" t="n">
        <x:v>-0.7230426999112742</x:v>
      </x:c>
      <x:c r="S101" s="30" t="n">
        <x:v>0.8134642808936471</x:v>
      </x:c>
      <x:c r="T101" s="30" t="n">
        <x:v>0.6582145730460247</x:v>
      </x:c>
      <x:c r="U101" s="28" t="str">
        <x:f>IF(AND(G101&gt;=80%,I101&gt;0,L101&gt;=1),"YES","")</x:f>
      </x:c>
      <x:c r="V101" s="31" t="n">
        <x:f>I101+0.4*K101-2*MAX(0,90%-G101)</x:f>
        <x:v>0</x:v>
      </x:c>
    </x:row>
    <x:row r="102">
      <x:c r="A102" s="35" t="n">
        <x:v>96</x:v>
      </x:c>
      <x:c r="B102" s="33" t="str">
        <x:v>Positive gap with weak momentum</x:v>
      </x:c>
      <x:c r="C102" s="33" t="str">
        <x:v>Skip when cash gap is at least 1.0% and 20-session momentum is no better than -1.0%.</x:v>
      </x:c>
      <x:c r="D102" s="29" t="n">
        <x:v>463060842662.48914</x:v>
      </x:c>
      <x:c r="E102" s="29" t="n">
        <x:v>12080</x:v>
      </x:c>
      <x:c r="F102" s="30" t="n">
        <x:f>(D102/E102)^(1/('Methodology'!$B$4*7/365))-1</x:f>
        <x:v>7.189004290748413</x:v>
      </x:c>
      <x:c r="G102" s="30" t="n">
        <x:f>F102/$F$6</x:f>
        <x:v>1</x:v>
      </x:c>
      <x:c r="H102" s="30" t="n">
        <x:v>0.8134642808936471</x:v>
      </x:c>
      <x:c r="I102" s="30" t="n">
        <x:f>$H$6-H102</x:f>
        <x:v>0</x:v>
      </x:c>
      <x:c r="J102" s="30" t="n">
        <x:v>0.802</x:v>
      </x:c>
      <x:c r="K102" s="30" t="n">
        <x:f>$J$6-J102</x:f>
        <x:v>0</x:v>
      </x:c>
      <x:c r="L102" s="29" t="n">
        <x:v>0</x:v>
      </x:c>
      <x:c r="M102" s="29" t="n">
        <x:v>0</x:v>
      </x:c>
      <x:c r="N102" s="29" t="n">
        <x:v>0</x:v>
      </x:c>
      <x:c r="O102" s="29" t="n">
        <x:v>0</x:v>
      </x:c>
      <x:c r="P102" s="29" t="n">
        <x:v>0</x:v>
      </x:c>
      <x:c r="Q102" s="29" t="n">
        <x:v>376</x:v>
      </x:c>
      <x:c r="R102" s="30" t="n">
        <x:v>-0.7230426999112742</x:v>
      </x:c>
      <x:c r="S102" s="30" t="n">
        <x:v>0.8134642808936471</x:v>
      </x:c>
      <x:c r="T102" s="30" t="n">
        <x:v>0.6582145730460247</x:v>
      </x:c>
      <x:c r="U102" s="28" t="str">
        <x:f>IF(AND(G102&gt;=80%,I102&gt;0,L102&gt;=1),"YES","")</x:f>
      </x:c>
      <x:c r="V102" s="31" t="n">
        <x:f>I102+0.4*K102-2*MAX(0,90%-G102)</x:f>
        <x:v>0</x:v>
      </x:c>
    </x:row>
    <x:row r="103">
      <x:c r="A103" s="35" t="n">
        <x:v>97</x:v>
      </x:c>
      <x:c r="B103" s="33" t="str">
        <x:v>Positive gap with weak momentum</x:v>
      </x:c>
      <x:c r="C103" s="33" t="str">
        <x:v>Skip when cash gap is at least 1.0% and 20-session momentum is no better than 0.0%.</x:v>
      </x:c>
      <x:c r="D103" s="29" t="n">
        <x:v>575257750058.5641</x:v>
      </x:c>
      <x:c r="E103" s="29" t="n">
        <x:v>11735</x:v>
      </x:c>
      <x:c r="F103" s="30" t="n">
        <x:f>(D103/E103)^(1/('Methodology'!$B$4*7/365))-1</x:f>
        <x:v>7.43515748705844</x:v>
      </x:c>
      <x:c r="G103" s="30" t="n">
        <x:f>F103/$F$6</x:f>
        <x:v>1.03424023499705</x:v>
      </x:c>
      <x:c r="H103" s="30" t="n">
        <x:v>0.8134642808936471</x:v>
      </x:c>
      <x:c r="I103" s="30" t="n">
        <x:f>$H$6-H103</x:f>
        <x:v>0</x:v>
      </x:c>
      <x:c r="J103" s="30" t="n">
        <x:v>0.802</x:v>
      </x:c>
      <x:c r="K103" s="30" t="n">
        <x:f>$J$6-J103</x:f>
        <x:v>0</x:v>
      </x:c>
      <x:c r="L103" s="29" t="n">
        <x:v>1</x:v>
      </x:c>
      <x:c r="M103" s="29" t="n">
        <x:v>1</x:v>
      </x:c>
      <x:c r="N103" s="29" t="n">
        <x:v>3</x:v>
      </x:c>
      <x:c r="O103" s="29" t="n">
        <x:v>2</x:v>
      </x:c>
      <x:c r="P103" s="29" t="n">
        <x:v>1</x:v>
      </x:c>
      <x:c r="Q103" s="29" t="n">
        <x:v>373</x:v>
      </x:c>
      <x:c r="R103" s="30" t="n">
        <x:v>-0.7230426999112742</x:v>
      </x:c>
      <x:c r="S103" s="30" t="n">
        <x:v>0.8134642808936471</x:v>
      </x:c>
      <x:c r="T103" s="30" t="n">
        <x:v>0.6576200723215686</x:v>
      </x:c>
      <x:c r="U103" s="28" t="str">
        <x:f>IF(AND(G103&gt;=80%,I103&gt;0,L103&gt;=1),"YES","")</x:f>
      </x:c>
      <x:c r="V103" s="31" t="n">
        <x:f>I103+0.4*K103-2*MAX(0,90%-G103)</x:f>
        <x:v>0</x:v>
      </x:c>
    </x:row>
    <x:row r="104">
      <x:c r="A104" s="35" t="n">
        <x:v>98</x:v>
      </x:c>
      <x:c r="B104" s="33" t="str">
        <x:v>Positive gap with weak momentum</x:v>
      </x:c>
      <x:c r="C104" s="33" t="str">
        <x:v>Skip when cash gap is at least 1.0% and 20-session momentum is no better than 1.0%.</x:v>
      </x:c>
      <x:c r="D104" s="29" t="n">
        <x:v>402210765886.0518</x:v>
      </x:c>
      <x:c r="E104" s="29" t="n">
        <x:v>11735</x:v>
      </x:c>
      <x:c r="F104" s="30" t="n">
        <x:f>(D104/E104)^(1/('Methodology'!$B$4*7/365))-1</x:f>
        <x:v>7.079388863607637</x:v>
      </x:c>
      <x:c r="G104" s="30" t="n">
        <x:f>F104/$F$6</x:f>
        <x:v>0.9847523491839001</x:v>
      </x:c>
      <x:c r="H104" s="30" t="n">
        <x:v>0.841376720433047</x:v>
      </x:c>
      <x:c r="I104" s="30" t="n">
        <x:f>$H$6-H104</x:f>
        <x:v>-0.027912439539399925</x:v>
      </x:c>
      <x:c r="J104" s="30" t="n">
        <x:v>0.802</x:v>
      </x:c>
      <x:c r="K104" s="30" t="n">
        <x:f>$J$6-J104</x:f>
        <x:v>0</x:v>
      </x:c>
      <x:c r="L104" s="29" t="n">
        <x:v>1</x:v>
      </x:c>
      <x:c r="M104" s="29" t="n">
        <x:v>1</x:v>
      </x:c>
      <x:c r="N104" s="29" t="n">
        <x:v>5</x:v>
      </x:c>
      <x:c r="O104" s="29" t="n">
        <x:v>2</x:v>
      </x:c>
      <x:c r="P104" s="29" t="n">
        <x:v>3</x:v>
      </x:c>
      <x:c r="Q104" s="29" t="n">
        <x:v>371</x:v>
      </x:c>
      <x:c r="R104" s="30" t="n">
        <x:v>-0.7230426999112742</x:v>
      </x:c>
      <x:c r="S104" s="30" t="n">
        <x:v>0.841376720433047</x:v>
      </x:c>
      <x:c r="T104" s="30" t="n">
        <x:v>0.7185609078260902</x:v>
      </x:c>
      <x:c r="U104" s="28" t="str">
        <x:f>IF(AND(G104&gt;=80%,I104&gt;0,L104&gt;=1),"YES","")</x:f>
      </x:c>
      <x:c r="V104" s="31" t="n">
        <x:f>I104+0.4*K104-2*MAX(0,90%-G104)</x:f>
        <x:v>-0.027912439539399925</x:v>
      </x:c>
    </x:row>
    <x:row r="105">
      <x:c r="A105" s="35" t="n">
        <x:v>99</x:v>
      </x:c>
      <x:c r="B105" s="33" t="str">
        <x:v>Positive gap with weak momentum</x:v>
      </x:c>
      <x:c r="C105" s="33" t="str">
        <x:v>Skip when cash gap is at least 1.5% and 20-session momentum is no better than -2.0%.</x:v>
      </x:c>
      <x:c r="D105" s="29" t="n">
        <x:v>463060842662.48914</x:v>
      </x:c>
      <x:c r="E105" s="29" t="n">
        <x:v>12080</x:v>
      </x:c>
      <x:c r="F105" s="30" t="n">
        <x:f>(D105/E105)^(1/('Methodology'!$B$4*7/365))-1</x:f>
        <x:v>7.189004290748413</x:v>
      </x:c>
      <x:c r="G105" s="30" t="n">
        <x:f>F105/$F$6</x:f>
        <x:v>1</x:v>
      </x:c>
      <x:c r="H105" s="30" t="n">
        <x:v>0.8134642808936471</x:v>
      </x:c>
      <x:c r="I105" s="30" t="n">
        <x:f>$H$6-H105</x:f>
        <x:v>0</x:v>
      </x:c>
      <x:c r="J105" s="30" t="n">
        <x:v>0.802</x:v>
      </x:c>
      <x:c r="K105" s="30" t="n">
        <x:f>$J$6-J105</x:f>
        <x:v>0</x:v>
      </x:c>
      <x:c r="L105" s="29" t="n">
        <x:v>0</x:v>
      </x:c>
      <x:c r="M105" s="29" t="n">
        <x:v>0</x:v>
      </x:c>
      <x:c r="N105" s="29" t="n">
        <x:v>0</x:v>
      </x:c>
      <x:c r="O105" s="29" t="n">
        <x:v>0</x:v>
      </x:c>
      <x:c r="P105" s="29" t="n">
        <x:v>0</x:v>
      </x:c>
      <x:c r="Q105" s="29" t="n">
        <x:v>376</x:v>
      </x:c>
      <x:c r="R105" s="30" t="n">
        <x:v>-0.7230426999112742</x:v>
      </x:c>
      <x:c r="S105" s="30" t="n">
        <x:v>0.8134642808936471</x:v>
      </x:c>
      <x:c r="T105" s="30" t="n">
        <x:v>0.6582145730460247</x:v>
      </x:c>
      <x:c r="U105" s="28" t="str">
        <x:f>IF(AND(G105&gt;=80%,I105&gt;0,L105&gt;=1),"YES","")</x:f>
      </x:c>
      <x:c r="V105" s="31" t="n">
        <x:f>I105+0.4*K105-2*MAX(0,90%-G105)</x:f>
        <x:v>0</x:v>
      </x:c>
    </x:row>
    <x:row r="106">
      <x:c r="A106" s="35" t="n">
        <x:v>100</x:v>
      </x:c>
      <x:c r="B106" s="33" t="str">
        <x:v>Positive gap with weak momentum</x:v>
      </x:c>
      <x:c r="C106" s="33" t="str">
        <x:v>Skip when cash gap is at least 1.5% and 20-session momentum is no better than -1.0%.</x:v>
      </x:c>
      <x:c r="D106" s="29" t="n">
        <x:v>463060842662.48914</x:v>
      </x:c>
      <x:c r="E106" s="29" t="n">
        <x:v>12080</x:v>
      </x:c>
      <x:c r="F106" s="30" t="n">
        <x:f>(D106/E106)^(1/('Methodology'!$B$4*7/365))-1</x:f>
        <x:v>7.189004290748413</x:v>
      </x:c>
      <x:c r="G106" s="30" t="n">
        <x:f>F106/$F$6</x:f>
        <x:v>1</x:v>
      </x:c>
      <x:c r="H106" s="30" t="n">
        <x:v>0.8134642808936471</x:v>
      </x:c>
      <x:c r="I106" s="30" t="n">
        <x:f>$H$6-H106</x:f>
        <x:v>0</x:v>
      </x:c>
      <x:c r="J106" s="30" t="n">
        <x:v>0.802</x:v>
      </x:c>
      <x:c r="K106" s="30" t="n">
        <x:f>$J$6-J106</x:f>
        <x:v>0</x:v>
      </x:c>
      <x:c r="L106" s="29" t="n">
        <x:v>0</x:v>
      </x:c>
      <x:c r="M106" s="29" t="n">
        <x:v>0</x:v>
      </x:c>
      <x:c r="N106" s="29" t="n">
        <x:v>0</x:v>
      </x:c>
      <x:c r="O106" s="29" t="n">
        <x:v>0</x:v>
      </x:c>
      <x:c r="P106" s="29" t="n">
        <x:v>0</x:v>
      </x:c>
      <x:c r="Q106" s="29" t="n">
        <x:v>376</x:v>
      </x:c>
      <x:c r="R106" s="30" t="n">
        <x:v>-0.7230426999112742</x:v>
      </x:c>
      <x:c r="S106" s="30" t="n">
        <x:v>0.8134642808936471</x:v>
      </x:c>
      <x:c r="T106" s="30" t="n">
        <x:v>0.6582145730460247</x:v>
      </x:c>
      <x:c r="U106" s="28" t="str">
        <x:f>IF(AND(G106&gt;=80%,I106&gt;0,L106&gt;=1),"YES","")</x:f>
      </x:c>
      <x:c r="V106" s="31" t="n">
        <x:f>I106+0.4*K106-2*MAX(0,90%-G106)</x:f>
        <x:v>0</x:v>
      </x:c>
    </x:row>
    <x:row r="107">
      <x:c r="A107" s="35" t="n">
        <x:v>101</x:v>
      </x:c>
      <x:c r="B107" s="33" t="str">
        <x:v>Positive gap with weak momentum</x:v>
      </x:c>
      <x:c r="C107" s="33" t="str">
        <x:v>Skip when cash gap is at least 1.5% and 20-session momentum is no better than 0.0%.</x:v>
      </x:c>
      <x:c r="D107" s="29" t="n">
        <x:v>947717857004.4868</x:v>
      </x:c>
      <x:c r="E107" s="29" t="n">
        <x:v>11850</x:v>
      </x:c>
      <x:c r="F107" s="30" t="n">
        <x:f>(D107/E107)^(1/('Methodology'!$B$4*7/365))-1</x:f>
        <x:v>7.9473150242053645</x:v>
      </x:c>
      <x:c r="G107" s="30" t="n">
        <x:f>F107/$F$6</x:f>
        <x:v>1.1054820254360993</x:v>
      </x:c>
      <x:c r="H107" s="30" t="n">
        <x:v>0.8134642808936471</x:v>
      </x:c>
      <x:c r="I107" s="30" t="n">
        <x:f>$H$6-H107</x:f>
        <x:v>0</x:v>
      </x:c>
      <x:c r="J107" s="30" t="n">
        <x:v>0.802</x:v>
      </x:c>
      <x:c r="K107" s="30" t="n">
        <x:f>$J$6-J107</x:f>
        <x:v>0</x:v>
      </x:c>
      <x:c r="L107" s="29" t="n">
        <x:v>1</x:v>
      </x:c>
      <x:c r="M107" s="29" t="n">
        <x:v>1</x:v>
      </x:c>
      <x:c r="N107" s="29" t="n">
        <x:v>2</x:v>
      </x:c>
      <x:c r="O107" s="29" t="n">
        <x:v>2</x:v>
      </x:c>
      <x:c r="P107" s="29" t="n">
        <x:v>0</x:v>
      </x:c>
      <x:c r="Q107" s="29" t="n">
        <x:v>374</x:v>
      </x:c>
      <x:c r="R107" s="30" t="n">
        <x:v>-0.7230426999112742</x:v>
      </x:c>
      <x:c r="S107" s="30" t="n">
        <x:v>0.8134642808936471</x:v>
      </x:c>
      <x:c r="T107" s="30" t="n">
        <x:v>0.6576200723215686</x:v>
      </x:c>
      <x:c r="U107" s="28" t="str">
        <x:f>IF(AND(G107&gt;=80%,I107&gt;0,L107&gt;=1),"YES","")</x:f>
      </x:c>
      <x:c r="V107" s="31" t="n">
        <x:f>I107+0.4*K107-2*MAX(0,90%-G107)</x:f>
        <x:v>0</x:v>
      </x:c>
    </x:row>
    <x:row r="108">
      <x:c r="A108" s="35" t="n">
        <x:v>102</x:v>
      </x:c>
      <x:c r="B108" s="33" t="str">
        <x:v>Positive gap with weak momentum</x:v>
      </x:c>
      <x:c r="C108" s="33" t="str">
        <x:v>Skip when cash gap is at least 1.5% and 20-session momentum is no better than 1.0%.</x:v>
      </x:c>
      <x:c r="D108" s="29" t="n">
        <x:v>947717857004.4868</x:v>
      </x:c>
      <x:c r="E108" s="29" t="n">
        <x:v>11850</x:v>
      </x:c>
      <x:c r="F108" s="30" t="n">
        <x:f>(D108/E108)^(1/('Methodology'!$B$4*7/365))-1</x:f>
        <x:v>7.9473150242053645</x:v>
      </x:c>
      <x:c r="G108" s="30" t="n">
        <x:f>F108/$F$6</x:f>
        <x:v>1.1054820254360993</x:v>
      </x:c>
      <x:c r="H108" s="30" t="n">
        <x:v>0.8134642808936471</x:v>
      </x:c>
      <x:c r="I108" s="30" t="n">
        <x:f>$H$6-H108</x:f>
        <x:v>0</x:v>
      </x:c>
      <x:c r="J108" s="30" t="n">
        <x:v>0.802</x:v>
      </x:c>
      <x:c r="K108" s="30" t="n">
        <x:f>$J$6-J108</x:f>
        <x:v>0</x:v>
      </x:c>
      <x:c r="L108" s="29" t="n">
        <x:v>1</x:v>
      </x:c>
      <x:c r="M108" s="29" t="n">
        <x:v>1</x:v>
      </x:c>
      <x:c r="N108" s="29" t="n">
        <x:v>2</x:v>
      </x:c>
      <x:c r="O108" s="29" t="n">
        <x:v>2</x:v>
      </x:c>
      <x:c r="P108" s="29" t="n">
        <x:v>0</x:v>
      </x:c>
      <x:c r="Q108" s="29" t="n">
        <x:v>374</x:v>
      </x:c>
      <x:c r="R108" s="30" t="n">
        <x:v>-0.7230426999112742</x:v>
      </x:c>
      <x:c r="S108" s="30" t="n">
        <x:v>0.8134642808936471</x:v>
      </x:c>
      <x:c r="T108" s="30" t="n">
        <x:v>0.6576200723215686</x:v>
      </x:c>
      <x:c r="U108" s="28" t="str">
        <x:f>IF(AND(G108&gt;=80%,I108&gt;0,L108&gt;=1),"YES","")</x:f>
      </x:c>
      <x:c r="V108" s="31" t="n">
        <x:f>I108+0.4*K108-2*MAX(0,90%-G108)</x:f>
        <x:v>0</x:v>
      </x:c>
    </x:row>
    <x:row r="109">
      <x:c r="A109" s="35" t="n">
        <x:v>103</x:v>
      </x:c>
      <x:c r="B109" s="33" t="str">
        <x:v>Positive gap with weak momentum</x:v>
      </x:c>
      <x:c r="C109" s="33" t="str">
        <x:v>Skip when cash gap is at least 2.0% and 20-session momentum is no better than -2.0%.</x:v>
      </x:c>
      <x:c r="D109" s="29" t="n">
        <x:v>463060842662.48914</x:v>
      </x:c>
      <x:c r="E109" s="29" t="n">
        <x:v>12080</x:v>
      </x:c>
      <x:c r="F109" s="30" t="n">
        <x:f>(D109/E109)^(1/('Methodology'!$B$4*7/365))-1</x:f>
        <x:v>7.189004290748413</x:v>
      </x:c>
      <x:c r="G109" s="30" t="n">
        <x:f>F109/$F$6</x:f>
        <x:v>1</x:v>
      </x:c>
      <x:c r="H109" s="30" t="n">
        <x:v>0.8134642808936471</x:v>
      </x:c>
      <x:c r="I109" s="30" t="n">
        <x:f>$H$6-H109</x:f>
        <x:v>0</x:v>
      </x:c>
      <x:c r="J109" s="30" t="n">
        <x:v>0.802</x:v>
      </x:c>
      <x:c r="K109" s="30" t="n">
        <x:f>$J$6-J109</x:f>
        <x:v>0</x:v>
      </x:c>
      <x:c r="L109" s="29" t="n">
        <x:v>0</x:v>
      </x:c>
      <x:c r="M109" s="29" t="n">
        <x:v>0</x:v>
      </x:c>
      <x:c r="N109" s="29" t="n">
        <x:v>0</x:v>
      </x:c>
      <x:c r="O109" s="29" t="n">
        <x:v>0</x:v>
      </x:c>
      <x:c r="P109" s="29" t="n">
        <x:v>0</x:v>
      </x:c>
      <x:c r="Q109" s="29" t="n">
        <x:v>376</x:v>
      </x:c>
      <x:c r="R109" s="30" t="n">
        <x:v>-0.7230426999112742</x:v>
      </x:c>
      <x:c r="S109" s="30" t="n">
        <x:v>0.8134642808936471</x:v>
      </x:c>
      <x:c r="T109" s="30" t="n">
        <x:v>0.6582145730460247</x:v>
      </x:c>
      <x:c r="U109" s="28" t="str">
        <x:f>IF(AND(G109&gt;=80%,I109&gt;0,L109&gt;=1),"YES","")</x:f>
      </x:c>
      <x:c r="V109" s="31" t="n">
        <x:f>I109+0.4*K109-2*MAX(0,90%-G109)</x:f>
        <x:v>0</x:v>
      </x:c>
    </x:row>
    <x:row r="110">
      <x:c r="A110" s="35" t="n">
        <x:v>104</x:v>
      </x:c>
      <x:c r="B110" s="33" t="str">
        <x:v>Positive gap with weak momentum</x:v>
      </x:c>
      <x:c r="C110" s="33" t="str">
        <x:v>Skip when cash gap is at least 2.0% and 20-session momentum is no better than -1.0%.</x:v>
      </x:c>
      <x:c r="D110" s="29" t="n">
        <x:v>463060842662.48914</x:v>
      </x:c>
      <x:c r="E110" s="29" t="n">
        <x:v>12080</x:v>
      </x:c>
      <x:c r="F110" s="30" t="n">
        <x:f>(D110/E110)^(1/('Methodology'!$B$4*7/365))-1</x:f>
        <x:v>7.189004290748413</x:v>
      </x:c>
      <x:c r="G110" s="30" t="n">
        <x:f>F110/$F$6</x:f>
        <x:v>1</x:v>
      </x:c>
      <x:c r="H110" s="30" t="n">
        <x:v>0.8134642808936471</x:v>
      </x:c>
      <x:c r="I110" s="30" t="n">
        <x:f>$H$6-H110</x:f>
        <x:v>0</x:v>
      </x:c>
      <x:c r="J110" s="30" t="n">
        <x:v>0.802</x:v>
      </x:c>
      <x:c r="K110" s="30" t="n">
        <x:f>$J$6-J110</x:f>
        <x:v>0</x:v>
      </x:c>
      <x:c r="L110" s="29" t="n">
        <x:v>0</x:v>
      </x:c>
      <x:c r="M110" s="29" t="n">
        <x:v>0</x:v>
      </x:c>
      <x:c r="N110" s="29" t="n">
        <x:v>0</x:v>
      </x:c>
      <x:c r="O110" s="29" t="n">
        <x:v>0</x:v>
      </x:c>
      <x:c r="P110" s="29" t="n">
        <x:v>0</x:v>
      </x:c>
      <x:c r="Q110" s="29" t="n">
        <x:v>376</x:v>
      </x:c>
      <x:c r="R110" s="30" t="n">
        <x:v>-0.7230426999112742</x:v>
      </x:c>
      <x:c r="S110" s="30" t="n">
        <x:v>0.8134642808936471</x:v>
      </x:c>
      <x:c r="T110" s="30" t="n">
        <x:v>0.6582145730460247</x:v>
      </x:c>
      <x:c r="U110" s="28" t="str">
        <x:f>IF(AND(G110&gt;=80%,I110&gt;0,L110&gt;=1),"YES","")</x:f>
      </x:c>
      <x:c r="V110" s="31" t="n">
        <x:f>I110+0.4*K110-2*MAX(0,90%-G110)</x:f>
        <x:v>0</x:v>
      </x:c>
    </x:row>
    <x:row r="111">
      <x:c r="A111" s="35" t="n">
        <x:v>105</x:v>
      </x:c>
      <x:c r="B111" s="33" t="str">
        <x:v>Positive gap with weak momentum</x:v>
      </x:c>
      <x:c r="C111" s="33" t="str">
        <x:v>Skip when cash gap is at least 2.0% and 20-session momentum is no better than 0.0%.</x:v>
      </x:c>
      <x:c r="D111" s="29" t="n">
        <x:v>463060842662.48914</x:v>
      </x:c>
      <x:c r="E111" s="29" t="n">
        <x:v>12080</x:v>
      </x:c>
      <x:c r="F111" s="30" t="n">
        <x:f>(D111/E111)^(1/('Methodology'!$B$4*7/365))-1</x:f>
        <x:v>7.189004290748413</x:v>
      </x:c>
      <x:c r="G111" s="30" t="n">
        <x:f>F111/$F$6</x:f>
        <x:v>1</x:v>
      </x:c>
      <x:c r="H111" s="30" t="n">
        <x:v>0.8134642808936471</x:v>
      </x:c>
      <x:c r="I111" s="30" t="n">
        <x:f>$H$6-H111</x:f>
        <x:v>0</x:v>
      </x:c>
      <x:c r="J111" s="30" t="n">
        <x:v>0.802</x:v>
      </x:c>
      <x:c r="K111" s="30" t="n">
        <x:f>$J$6-J111</x:f>
        <x:v>0</x:v>
      </x:c>
      <x:c r="L111" s="29" t="n">
        <x:v>0</x:v>
      </x:c>
      <x:c r="M111" s="29" t="n">
        <x:v>0</x:v>
      </x:c>
      <x:c r="N111" s="29" t="n">
        <x:v>0</x:v>
      </x:c>
      <x:c r="O111" s="29" t="n">
        <x:v>0</x:v>
      </x:c>
      <x:c r="P111" s="29" t="n">
        <x:v>0</x:v>
      </x:c>
      <x:c r="Q111" s="29" t="n">
        <x:v>376</x:v>
      </x:c>
      <x:c r="R111" s="30" t="n">
        <x:v>-0.7230426999112742</x:v>
      </x:c>
      <x:c r="S111" s="30" t="n">
        <x:v>0.8134642808936471</x:v>
      </x:c>
      <x:c r="T111" s="30" t="n">
        <x:v>0.6582145730460247</x:v>
      </x:c>
      <x:c r="U111" s="28" t="str">
        <x:f>IF(AND(G111&gt;=80%,I111&gt;0,L111&gt;=1),"YES","")</x:f>
      </x:c>
      <x:c r="V111" s="31" t="n">
        <x:f>I111+0.4*K111-2*MAX(0,90%-G111)</x:f>
        <x:v>0</x:v>
      </x:c>
    </x:row>
    <x:row r="112">
      <x:c r="A112" s="35" t="n">
        <x:v>106</x:v>
      </x:c>
      <x:c r="B112" s="33" t="str">
        <x:v>Positive gap with weak momentum</x:v>
      </x:c>
      <x:c r="C112" s="33" t="str">
        <x:v>Skip when cash gap is at least 2.0% and 20-session momentum is no better than 1.0%.</x:v>
      </x:c>
      <x:c r="D112" s="29" t="n">
        <x:v>463060842662.48914</x:v>
      </x:c>
      <x:c r="E112" s="29" t="n">
        <x:v>12080</x:v>
      </x:c>
      <x:c r="F112" s="30" t="n">
        <x:f>(D112/E112)^(1/('Methodology'!$B$4*7/365))-1</x:f>
        <x:v>7.189004290748413</x:v>
      </x:c>
      <x:c r="G112" s="30" t="n">
        <x:f>F112/$F$6</x:f>
        <x:v>1</x:v>
      </x:c>
      <x:c r="H112" s="30" t="n">
        <x:v>0.8134642808936471</x:v>
      </x:c>
      <x:c r="I112" s="30" t="n">
        <x:f>$H$6-H112</x:f>
        <x:v>0</x:v>
      </x:c>
      <x:c r="J112" s="30" t="n">
        <x:v>0.802</x:v>
      </x:c>
      <x:c r="K112" s="30" t="n">
        <x:f>$J$6-J112</x:f>
        <x:v>0</x:v>
      </x:c>
      <x:c r="L112" s="29" t="n">
        <x:v>0</x:v>
      </x:c>
      <x:c r="M112" s="29" t="n">
        <x:v>0</x:v>
      </x:c>
      <x:c r="N112" s="29" t="n">
        <x:v>0</x:v>
      </x:c>
      <x:c r="O112" s="29" t="n">
        <x:v>0</x:v>
      </x:c>
      <x:c r="P112" s="29" t="n">
        <x:v>0</x:v>
      </x:c>
      <x:c r="Q112" s="29" t="n">
        <x:v>376</x:v>
      </x:c>
      <x:c r="R112" s="30" t="n">
        <x:v>-0.7230426999112742</x:v>
      </x:c>
      <x:c r="S112" s="30" t="n">
        <x:v>0.8134642808936471</x:v>
      </x:c>
      <x:c r="T112" s="30" t="n">
        <x:v>0.6582145730460247</x:v>
      </x:c>
      <x:c r="U112" s="28" t="str">
        <x:f>IF(AND(G112&gt;=80%,I112&gt;0,L112&gt;=1),"YES","")</x:f>
      </x:c>
      <x:c r="V112" s="31" t="n">
        <x:f>I112+0.4*K112-2*MAX(0,90%-G112)</x:f>
        <x:v>0</x:v>
      </x:c>
    </x:row>
    <x:row r="113">
      <x:c r="A113" s="35" t="n">
        <x:v>107</x:v>
      </x:c>
      <x:c r="B113" s="33" t="str">
        <x:v>Positive gap with weak momentum</x:v>
      </x:c>
      <x:c r="C113" s="33" t="str">
        <x:v>Skip when cash gap is at least 2.5% and 20-session momentum is no better than -2.0%.</x:v>
      </x:c>
      <x:c r="D113" s="29" t="n">
        <x:v>463060842662.48914</x:v>
      </x:c>
      <x:c r="E113" s="29" t="n">
        <x:v>12080</x:v>
      </x:c>
      <x:c r="F113" s="30" t="n">
        <x:f>(D113/E113)^(1/('Methodology'!$B$4*7/365))-1</x:f>
        <x:v>7.189004290748413</x:v>
      </x:c>
      <x:c r="G113" s="30" t="n">
        <x:f>F113/$F$6</x:f>
        <x:v>1</x:v>
      </x:c>
      <x:c r="H113" s="30" t="n">
        <x:v>0.8134642808936471</x:v>
      </x:c>
      <x:c r="I113" s="30" t="n">
        <x:f>$H$6-H113</x:f>
        <x:v>0</x:v>
      </x:c>
      <x:c r="J113" s="30" t="n">
        <x:v>0.802</x:v>
      </x:c>
      <x:c r="K113" s="30" t="n">
        <x:f>$J$6-J113</x:f>
        <x:v>0</x:v>
      </x:c>
      <x:c r="L113" s="29" t="n">
        <x:v>0</x:v>
      </x:c>
      <x:c r="M113" s="29" t="n">
        <x:v>0</x:v>
      </x:c>
      <x:c r="N113" s="29" t="n">
        <x:v>0</x:v>
      </x:c>
      <x:c r="O113" s="29" t="n">
        <x:v>0</x:v>
      </x:c>
      <x:c r="P113" s="29" t="n">
        <x:v>0</x:v>
      </x:c>
      <x:c r="Q113" s="29" t="n">
        <x:v>376</x:v>
      </x:c>
      <x:c r="R113" s="30" t="n">
        <x:v>-0.7230426999112742</x:v>
      </x:c>
      <x:c r="S113" s="30" t="n">
        <x:v>0.8134642808936471</x:v>
      </x:c>
      <x:c r="T113" s="30" t="n">
        <x:v>0.6582145730460247</x:v>
      </x:c>
      <x:c r="U113" s="28" t="str">
        <x:f>IF(AND(G113&gt;=80%,I113&gt;0,L113&gt;=1),"YES","")</x:f>
      </x:c>
      <x:c r="V113" s="31" t="n">
        <x:f>I113+0.4*K113-2*MAX(0,90%-G113)</x:f>
        <x:v>0</x:v>
      </x:c>
    </x:row>
    <x:row r="114">
      <x:c r="A114" s="35" t="n">
        <x:v>108</x:v>
      </x:c>
      <x:c r="B114" s="33" t="str">
        <x:v>Positive gap with weak momentum</x:v>
      </x:c>
      <x:c r="C114" s="33" t="str">
        <x:v>Skip when cash gap is at least 2.5% and 20-session momentum is no better than -1.0%.</x:v>
      </x:c>
      <x:c r="D114" s="29" t="n">
        <x:v>463060842662.48914</x:v>
      </x:c>
      <x:c r="E114" s="29" t="n">
        <x:v>12080</x:v>
      </x:c>
      <x:c r="F114" s="30" t="n">
        <x:f>(D114/E114)^(1/('Methodology'!$B$4*7/365))-1</x:f>
        <x:v>7.189004290748413</x:v>
      </x:c>
      <x:c r="G114" s="30" t="n">
        <x:f>F114/$F$6</x:f>
        <x:v>1</x:v>
      </x:c>
      <x:c r="H114" s="30" t="n">
        <x:v>0.8134642808936471</x:v>
      </x:c>
      <x:c r="I114" s="30" t="n">
        <x:f>$H$6-H114</x:f>
        <x:v>0</x:v>
      </x:c>
      <x:c r="J114" s="30" t="n">
        <x:v>0.802</x:v>
      </x:c>
      <x:c r="K114" s="30" t="n">
        <x:f>$J$6-J114</x:f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0</x:v>
      </x:c>
      <x:c r="P114" s="29" t="n">
        <x:v>0</x:v>
      </x:c>
      <x:c r="Q114" s="29" t="n">
        <x:v>376</x:v>
      </x:c>
      <x:c r="R114" s="30" t="n">
        <x:v>-0.7230426999112742</x:v>
      </x:c>
      <x:c r="S114" s="30" t="n">
        <x:v>0.8134642808936471</x:v>
      </x:c>
      <x:c r="T114" s="30" t="n">
        <x:v>0.6582145730460247</x:v>
      </x:c>
      <x:c r="U114" s="28" t="str">
        <x:f>IF(AND(G114&gt;=80%,I114&gt;0,L114&gt;=1),"YES","")</x:f>
      </x:c>
      <x:c r="V114" s="31" t="n">
        <x:f>I114+0.4*K114-2*MAX(0,90%-G114)</x:f>
        <x:v>0</x:v>
      </x:c>
    </x:row>
    <x:row r="115">
      <x:c r="A115" s="35" t="n">
        <x:v>109</x:v>
      </x:c>
      <x:c r="B115" s="33" t="str">
        <x:v>Positive gap with weak momentum</x:v>
      </x:c>
      <x:c r="C115" s="33" t="str">
        <x:v>Skip when cash gap is at least 2.5% and 20-session momentum is no better than 0.0%.</x:v>
      </x:c>
      <x:c r="D115" s="29" t="n">
        <x:v>463060842662.48914</x:v>
      </x:c>
      <x:c r="E115" s="29" t="n">
        <x:v>12080</x:v>
      </x:c>
      <x:c r="F115" s="30" t="n">
        <x:f>(D115/E115)^(1/('Methodology'!$B$4*7/365))-1</x:f>
        <x:v>7.189004290748413</x:v>
      </x:c>
      <x:c r="G115" s="30" t="n">
        <x:f>F115/$F$6</x:f>
        <x:v>1</x:v>
      </x:c>
      <x:c r="H115" s="30" t="n">
        <x:v>0.8134642808936471</x:v>
      </x:c>
      <x:c r="I115" s="30" t="n">
        <x:f>$H$6-H115</x:f>
        <x:v>0</x:v>
      </x:c>
      <x:c r="J115" s="30" t="n">
        <x:v>0.802</x:v>
      </x:c>
      <x:c r="K115" s="30" t="n">
        <x:f>$J$6-J115</x:f>
        <x:v>0</x:v>
      </x:c>
      <x:c r="L115" s="29" t="n">
        <x:v>0</x:v>
      </x:c>
      <x:c r="M115" s="29" t="n">
        <x:v>0</x:v>
      </x:c>
      <x:c r="N115" s="29" t="n">
        <x:v>0</x:v>
      </x:c>
      <x:c r="O115" s="29" t="n">
        <x:v>0</x:v>
      </x:c>
      <x:c r="P115" s="29" t="n">
        <x:v>0</x:v>
      </x:c>
      <x:c r="Q115" s="29" t="n">
        <x:v>376</x:v>
      </x:c>
      <x:c r="R115" s="30" t="n">
        <x:v>-0.7230426999112742</x:v>
      </x:c>
      <x:c r="S115" s="30" t="n">
        <x:v>0.8134642808936471</x:v>
      </x:c>
      <x:c r="T115" s="30" t="n">
        <x:v>0.6582145730460247</x:v>
      </x:c>
      <x:c r="U115" s="28" t="str">
        <x:f>IF(AND(G115&gt;=80%,I115&gt;0,L115&gt;=1),"YES","")</x:f>
      </x:c>
      <x:c r="V115" s="31" t="n">
        <x:f>I115+0.4*K115-2*MAX(0,90%-G115)</x:f>
        <x:v>0</x:v>
      </x:c>
    </x:row>
    <x:row r="116">
      <x:c r="A116" s="35" t="n">
        <x:v>110</x:v>
      </x:c>
      <x:c r="B116" s="33" t="str">
        <x:v>Positive gap with weak momentum</x:v>
      </x:c>
      <x:c r="C116" s="33" t="str">
        <x:v>Skip when cash gap is at least 2.5% and 20-session momentum is no better than 1.0%.</x:v>
      </x:c>
      <x:c r="D116" s="29" t="n">
        <x:v>463060842662.48914</x:v>
      </x:c>
      <x:c r="E116" s="29" t="n">
        <x:v>12080</x:v>
      </x:c>
      <x:c r="F116" s="30" t="n">
        <x:f>(D116/E116)^(1/('Methodology'!$B$4*7/365))-1</x:f>
        <x:v>7.189004290748413</x:v>
      </x:c>
      <x:c r="G116" s="30" t="n">
        <x:f>F116/$F$6</x:f>
        <x:v>1</x:v>
      </x:c>
      <x:c r="H116" s="30" t="n">
        <x:v>0.8134642808936471</x:v>
      </x:c>
      <x:c r="I116" s="30" t="n">
        <x:f>$H$6-H116</x:f>
        <x:v>0</x:v>
      </x:c>
      <x:c r="J116" s="30" t="n">
        <x:v>0.802</x:v>
      </x:c>
      <x:c r="K116" s="30" t="n">
        <x:f>$J$6-J116</x:f>
        <x:v>0</x:v>
      </x:c>
      <x:c r="L116" s="29" t="n">
        <x:v>0</x:v>
      </x:c>
      <x:c r="M116" s="29" t="n">
        <x:v>0</x:v>
      </x:c>
      <x:c r="N116" s="29" t="n">
        <x:v>0</x:v>
      </x:c>
      <x:c r="O116" s="29" t="n">
        <x:v>0</x:v>
      </x:c>
      <x:c r="P116" s="29" t="n">
        <x:v>0</x:v>
      </x:c>
      <x:c r="Q116" s="29" t="n">
        <x:v>376</x:v>
      </x:c>
      <x:c r="R116" s="30" t="n">
        <x:v>-0.7230426999112742</x:v>
      </x:c>
      <x:c r="S116" s="30" t="n">
        <x:v>0.8134642808936471</x:v>
      </x:c>
      <x:c r="T116" s="30" t="n">
        <x:v>0.6582145730460247</x:v>
      </x:c>
      <x:c r="U116" s="28" t="str">
        <x:f>IF(AND(G116&gt;=80%,I116&gt;0,L116&gt;=1),"YES","")</x:f>
      </x:c>
      <x:c r="V116" s="31" t="n">
        <x:f>I116+0.4*K116-2*MAX(0,90%-G116)</x:f>
        <x:v>0</x:v>
      </x:c>
    </x:row>
    <x:row r="117">
      <x:c r="A117" s="35" t="n">
        <x:v>111</x:v>
      </x:c>
      <x:c r="B117" s="33" t="str">
        <x:v>Weak trailing momentum</x:v>
      </x:c>
      <x:c r="C117" s="33" t="str">
        <x:v>Skip when trailing 5-session momentum is -2% or worse.</x:v>
      </x:c>
      <x:c r="D117" s="29" t="n">
        <x:v>108043910.85200004</x:v>
      </x:c>
      <x:c r="E117" s="29" t="n">
        <x:v>9320</x:v>
      </x:c>
      <x:c r="F117" s="30" t="n">
        <x:f>(D117/E117)^(1/('Methodology'!$B$4*7/365))-1</x:f>
        <x:v>2.086160033576581</x:v>
      </x:c>
      <x:c r="G117" s="30" t="n">
        <x:f>F117/$F$6</x:f>
        <x:v>0.290187618368969</x:v>
      </x:c>
      <x:c r="H117" s="30" t="n">
        <x:v>0.8481774262150306</x:v>
      </x:c>
      <x:c r="I117" s="30" t="n">
        <x:f>$H$6-H117</x:f>
        <x:v>-0.034713145321383476</x:v>
      </x:c>
      <x:c r="J117" s="30" t="n">
        <x:v>0.846</x:v>
      </x:c>
      <x:c r="K117" s="30" t="n">
        <x:f>$J$6-J117</x:f>
        <x:v>-0.04399999999999993</x:v>
      </x:c>
      <x:c r="L117" s="29" t="n">
        <x:v>2</x:v>
      </x:c>
      <x:c r="M117" s="29" t="n">
        <x:v>2</x:v>
      </x:c>
      <x:c r="N117" s="29" t="n">
        <x:v>63</x:v>
      </x:c>
      <x:c r="O117" s="29" t="n">
        <x:v>15</x:v>
      </x:c>
      <x:c r="P117" s="29" t="n">
        <x:v>48</x:v>
      </x:c>
      <x:c r="Q117" s="29" t="n">
        <x:v>313</x:v>
      </x:c>
      <x:c r="R117" s="30" t="n">
        <x:v>-0.7222706370800291</x:v>
      </x:c>
      <x:c r="S117" s="30" t="n">
        <x:v>0.8481774262150306</x:v>
      </x:c>
      <x:c r="T117" s="30" t="n">
        <x:v>0.7599134069427513</x:v>
      </x:c>
      <x:c r="U117" s="28" t="str">
        <x:f>IF(AND(G117&gt;=80%,I117&gt;0,L117&gt;=1),"YES","")</x:f>
      </x:c>
      <x:c r="V117" s="31" t="n">
        <x:f>I117+0.4*K117-2*MAX(0,90%-G117)</x:f>
        <x:v>-1.2719379085834455</x:v>
      </x:c>
    </x:row>
    <x:row r="118">
      <x:c r="A118" s="35" t="n">
        <x:v>112</x:v>
      </x:c>
      <x:c r="B118" s="33" t="str">
        <x:v>Weak trailing momentum</x:v>
      </x:c>
      <x:c r="C118" s="33" t="str">
        <x:v>Skip when trailing 5-session momentum is -4% or worse.</x:v>
      </x:c>
      <x:c r="D118" s="29" t="n">
        <x:v>17272754600.221</x:v>
      </x:c>
      <x:c r="E118" s="29" t="n">
        <x:v>10815</x:v>
      </x:c>
      <x:c r="F118" s="30" t="n">
        <x:f>(D118/E118)^(1/('Methodology'!$B$4*7/365))-1</x:f>
        <x:v>4.584957797095502</x:v>
      </x:c>
      <x:c r="G118" s="30" t="n">
        <x:f>F118/$F$6</x:f>
        <x:v>0.6377736904394286</x:v>
      </x:c>
      <x:c r="H118" s="30" t="n">
        <x:v>0.8018193373708205</x:v>
      </x:c>
      <x:c r="I118" s="30" t="n">
        <x:f>$H$6-H118</x:f>
        <x:v>0.011644943522826634</x:v>
      </x:c>
      <x:c r="J118" s="30" t="n">
        <x:v>0.802</x:v>
      </x:c>
      <x:c r="K118" s="30" t="n">
        <x:f>$J$6-J118</x:f>
        <x:v>0</x:v>
      </x:c>
      <x:c r="L118" s="29" t="n">
        <x:v>1</x:v>
      </x:c>
      <x:c r="M118" s="29" t="n">
        <x:v>1</x:v>
      </x:c>
      <x:c r="N118" s="29" t="n">
        <x:v>21</x:v>
      </x:c>
      <x:c r="O118" s="29" t="n">
        <x:v>3</x:v>
      </x:c>
      <x:c r="P118" s="29" t="n">
        <x:v>18</x:v>
      </x:c>
      <x:c r="Q118" s="29" t="n">
        <x:v>355</x:v>
      </x:c>
      <x:c r="R118" s="30" t="n">
        <x:v>-0.7230624221145171</x:v>
      </x:c>
      <x:c r="S118" s="30" t="n">
        <x:v>0.8018193373708205</x:v>
      </x:c>
      <x:c r="T118" s="30" t="n">
        <x:v>0.6576153639795417</x:v>
      </x:c>
      <x:c r="U118" s="28" t="str">
        <x:f>IF(AND(G118&gt;=80%,I118&gt;0,L118&gt;=1),"YES","")</x:f>
      </x:c>
      <x:c r="V118" s="31" t="n">
        <x:f>I118+0.4*K118-2*MAX(0,90%-G118)</x:f>
        <x:v>-0.5128076755983163</x:v>
      </x:c>
    </x:row>
    <x:row r="119">
      <x:c r="A119" s="35" t="n">
        <x:v>113</x:v>
      </x:c>
      <x:c r="B119" s="33" t="str">
        <x:v>Weak trailing momentum</x:v>
      </x:c>
      <x:c r="C119" s="33" t="str">
        <x:v>Skip when trailing 5-session momentum is -6% or worse.</x:v>
      </x:c>
      <x:c r="D119" s="29" t="n">
        <x:v>122030571697.30006</x:v>
      </x:c>
      <x:c r="E119" s="29" t="n">
        <x:v>11965</x:v>
      </x:c>
      <x:c r="F119" s="30" t="n">
        <x:f>(D119/E119)^(1/('Methodology'!$B$4*7/365))-1</x:f>
        <x:v>5.982106138301841</x:v>
      </x:c>
      <x:c r="G119" s="30" t="n">
        <x:f>F119/$F$6</x:f>
        <x:v>0.8321188715939788</x:v>
      </x:c>
      <x:c r="H119" s="30" t="n">
        <x:v>0.8133020963670303</x:v>
      </x:c>
      <x:c r="I119" s="30" t="n">
        <x:f>$H$6-H119</x:f>
        <x:v>0.00016218452661675986</x:v>
      </x:c>
      <x:c r="J119" s="30" t="n">
        <x:v>0.802</x:v>
      </x:c>
      <x:c r="K119" s="30" t="n">
        <x:f>$J$6-J119</x:f>
        <x:v>0</x:v>
      </x:c>
      <x:c r="L119" s="29" t="n">
        <x:v>0</x:v>
      </x:c>
      <x:c r="M119" s="29" t="n">
        <x:v>0</x:v>
      </x:c>
      <x:c r="N119" s="29" t="n">
        <x:v>4</x:v>
      </x:c>
      <x:c r="O119" s="29" t="n">
        <x:v>0</x:v>
      </x:c>
      <x:c r="P119" s="29" t="n">
        <x:v>4</x:v>
      </x:c>
      <x:c r="Q119" s="29" t="n">
        <x:v>372</x:v>
      </x:c>
      <x:c r="R119" s="30" t="n">
        <x:v>-0.7230034507621478</x:v>
      </x:c>
      <x:c r="S119" s="30" t="n">
        <x:v>0.8133020963670303</x:v>
      </x:c>
      <x:c r="T119" s="30" t="n">
        <x:v>0.6582145724383954</x:v>
      </x:c>
      <x:c r="U119" s="28" t="str">
        <x:f>IF(AND(G119&gt;=80%,I119&gt;0,L119&gt;=1),"YES","")</x:f>
      </x:c>
      <x:c r="V119" s="31" t="n">
        <x:f>I119+0.4*K119-2*MAX(0,90%-G119)</x:f>
        <x:v>-0.1356000722854257</x:v>
      </x:c>
    </x:row>
    <x:row r="120">
      <x:c r="A120" s="35" t="n">
        <x:v>114</x:v>
      </x:c>
      <x:c r="B120" s="33" t="str">
        <x:v>Weak trailing momentum</x:v>
      </x:c>
      <x:c r="C120" s="33" t="str">
        <x:v>Skip when trailing 5-session momentum is -8% or worse.</x:v>
      </x:c>
      <x:c r="D120" s="29" t="n">
        <x:v>302601406949.65094</x:v>
      </x:c>
      <x:c r="E120" s="29" t="n">
        <x:v>12080</x:v>
      </x:c>
      <x:c r="F120" s="30" t="n">
        <x:f>(D120/E120)^(1/('Methodology'!$B$4*7/365))-1</x:f>
        <x:v>6.7800254420232955</x:v>
      </x:c>
      <x:c r="G120" s="30" t="n">
        <x:f>F120/$F$6</x:f>
        <x:v>0.9431105015125063</x:v>
      </x:c>
      <x:c r="H120" s="30" t="n">
        <x:v>0.8134642808936471</x:v>
      </x:c>
      <x:c r="I120" s="30" t="n">
        <x:f>$H$6-H120</x:f>
        <x:v>0</x:v>
      </x:c>
      <x:c r="J120" s="30" t="n">
        <x:v>0.802</x:v>
      </x:c>
      <x:c r="K120" s="30" t="n">
        <x:f>$J$6-J120</x:f>
        <x:v>0</x:v>
      </x:c>
      <x:c r="L120" s="29" t="n">
        <x:v>0</x:v>
      </x:c>
      <x:c r="M120" s="29" t="n">
        <x:v>0</x:v>
      </x:c>
      <x:c r="N120" s="29" t="n">
        <x:v>1</x:v>
      </x:c>
      <x:c r="O120" s="29" t="n">
        <x:v>0</x:v>
      </x:c>
      <x:c r="P120" s="29" t="n">
        <x:v>1</x:v>
      </x:c>
      <x:c r="Q120" s="29" t="n">
        <x:v>375</x:v>
      </x:c>
      <x:c r="R120" s="30" t="n">
        <x:v>-0.7230426999112742</x:v>
      </x:c>
      <x:c r="S120" s="30" t="n">
        <x:v>0.8134642808936471</x:v>
      </x:c>
      <x:c r="T120" s="30" t="n">
        <x:v>0.6582145729491047</x:v>
      </x:c>
      <x:c r="U120" s="28" t="str">
        <x:f>IF(AND(G120&gt;=80%,I120&gt;0,L120&gt;=1),"YES","")</x:f>
      </x:c>
      <x:c r="V120" s="31" t="n">
        <x:f>I120+0.4*K120-2*MAX(0,90%-G120)</x:f>
        <x:v>0</x:v>
      </x:c>
    </x:row>
    <x:row r="121">
      <x:c r="A121" s="35" t="n">
        <x:v>115</x:v>
      </x:c>
      <x:c r="B121" s="33" t="str">
        <x:v>Weak trailing momentum</x:v>
      </x:c>
      <x:c r="C121" s="33" t="str">
        <x:v>Skip when trailing 5-session momentum is -10% or worse.</x:v>
      </x:c>
      <x:c r="D121" s="29" t="n">
        <x:v>463060842662.48914</x:v>
      </x:c>
      <x:c r="E121" s="29" t="n">
        <x:v>12080</x:v>
      </x:c>
      <x:c r="F121" s="30" t="n">
        <x:f>(D121/E121)^(1/('Methodology'!$B$4*7/365))-1</x:f>
        <x:v>7.189004290748413</x:v>
      </x:c>
      <x:c r="G121" s="30" t="n">
        <x:f>F121/$F$6</x:f>
        <x:v>1</x:v>
      </x:c>
      <x:c r="H121" s="30" t="n">
        <x:v>0.8134642808936471</x:v>
      </x:c>
      <x:c r="I121" s="30" t="n">
        <x:f>$H$6-H121</x:f>
        <x:v>0</x:v>
      </x:c>
      <x:c r="J121" s="30" t="n">
        <x:v>0.802</x:v>
      </x:c>
      <x:c r="K121" s="30" t="n">
        <x:f>$J$6-J121</x:f>
        <x:v>0</x:v>
      </x:c>
      <x:c r="L121" s="29" t="n">
        <x:v>0</x:v>
      </x:c>
      <x:c r="M121" s="29" t="n">
        <x:v>0</x:v>
      </x:c>
      <x:c r="N121" s="29" t="n">
        <x:v>0</x:v>
      </x:c>
      <x:c r="O121" s="29" t="n">
        <x:v>0</x:v>
      </x:c>
      <x:c r="P121" s="29" t="n">
        <x:v>0</x:v>
      </x:c>
      <x:c r="Q121" s="29" t="n">
        <x:v>376</x:v>
      </x:c>
      <x:c r="R121" s="30" t="n">
        <x:v>-0.7230426999112742</x:v>
      </x:c>
      <x:c r="S121" s="30" t="n">
        <x:v>0.8134642808936471</x:v>
      </x:c>
      <x:c r="T121" s="30" t="n">
        <x:v>0.6582145730460247</x:v>
      </x:c>
      <x:c r="U121" s="28" t="str">
        <x:f>IF(AND(G121&gt;=80%,I121&gt;0,L121&gt;=1),"YES","")</x:f>
      </x:c>
      <x:c r="V121" s="31" t="n">
        <x:f>I121+0.4*K121-2*MAX(0,90%-G121)</x:f>
        <x:v>0</x:v>
      </x:c>
    </x:row>
    <x:row r="122">
      <x:c r="A122" s="35" t="n">
        <x:v>116</x:v>
      </x:c>
      <x:c r="B122" s="33" t="str">
        <x:v>Weak trailing momentum</x:v>
      </x:c>
      <x:c r="C122" s="33" t="str">
        <x:v>Skip when trailing 10-session momentum is -2% or worse.</x:v>
      </x:c>
      <x:c r="D122" s="29" t="n">
        <x:v>577793397.2510002</x:v>
      </x:c>
      <x:c r="E122" s="29" t="n">
        <x:v>8975</x:v>
      </x:c>
      <x:c r="F122" s="30" t="n">
        <x:f>(D122/E122)^(1/('Methodology'!$B$4*7/365))-1</x:f>
        <x:v>2.7938426803578738</x:v>
      </x:c>
      <x:c r="G122" s="30" t="n">
        <x:f>F122/$F$6</x:f>
        <x:v>0.38862721002313105</x:v>
      </x:c>
      <x:c r="H122" s="30" t="n">
        <x:v>0.8027864253519692</x:v>
      </x:c>
      <x:c r="I122" s="30" t="n">
        <x:f>$H$6-H122</x:f>
        <x:v>0.010677855541677883</x:v>
      </x:c>
      <x:c r="J122" s="30" t="n">
        <x:v>0.803</x:v>
      </x:c>
      <x:c r="K122" s="30" t="n">
        <x:f>$J$6-J122</x:f>
        <x:v>-0.0010000000000000009</x:v>
      </x:c>
      <x:c r="L122" s="29" t="n">
        <x:v>2</x:v>
      </x:c>
      <x:c r="M122" s="29" t="n">
        <x:v>1</x:v>
      </x:c>
      <x:c r="N122" s="29" t="n">
        <x:v>61</x:v>
      </x:c>
      <x:c r="O122" s="29" t="n">
        <x:v>19</x:v>
      </x:c>
      <x:c r="P122" s="29" t="n">
        <x:v>42</x:v>
      </x:c>
      <x:c r="Q122" s="29" t="n">
        <x:v>315</x:v>
      </x:c>
      <x:c r="R122" s="30" t="n">
        <x:v>-0.72297210088559</x:v>
      </x:c>
      <x:c r="S122" s="30" t="n">
        <x:v>0.7943609151419002</x:v>
      </x:c>
      <x:c r="T122" s="30" t="n">
        <x:v>0.8027864253519692</x:v>
      </x:c>
      <x:c r="U122" s="28" t="str">
        <x:f>IF(AND(G122&gt;=80%,I122&gt;0,L122&gt;=1),"YES","")</x:f>
      </x:c>
      <x:c r="V122" s="31" t="n">
        <x:f>I122+0.4*K122-2*MAX(0,90%-G122)</x:f>
        <x:v>-1.0124677244120601</x:v>
      </x:c>
    </x:row>
    <x:row r="123">
      <x:c r="A123" s="35" t="n">
        <x:v>117</x:v>
      </x:c>
      <x:c r="B123" s="33" t="str">
        <x:v>Weak trailing momentum</x:v>
      </x:c>
      <x:c r="C123" s="33" t="str">
        <x:v>Skip when trailing 10-session momentum is -4% or worse.</x:v>
      </x:c>
      <x:c r="D123" s="29" t="n">
        <x:v>1179410754.6349998</x:v>
      </x:c>
      <x:c r="E123" s="29" t="n">
        <x:v>10355</x:v>
      </x:c>
      <x:c r="F123" s="30" t="n">
        <x:f>(D123/E123)^(1/('Methodology'!$B$4*7/365))-1</x:f>
        <x:v>3.0636582631247373</x:v>
      </x:c>
      <x:c r="G123" s="30" t="n">
        <x:f>F123/$F$6</x:f>
        <x:v>0.4261589142556757</x:v>
      </x:c>
      <x:c r="H123" s="30" t="n">
        <x:v>0.8864007916272395</x:v>
      </x:c>
      <x:c r="I123" s="30" t="n">
        <x:f>$H$6-H123</x:f>
        <x:v>-0.07293651073359242</x:v>
      </x:c>
      <x:c r="J123" s="30" t="n">
        <x:v>0.886</x:v>
      </x:c>
      <x:c r="K123" s="30" t="n">
        <x:f>$J$6-J123</x:f>
        <x:v>-0.08399999999999996</x:v>
      </x:c>
      <x:c r="L123" s="29" t="n">
        <x:v>0</x:v>
      </x:c>
      <x:c r="M123" s="29" t="n">
        <x:v>0</x:v>
      </x:c>
      <x:c r="N123" s="29" t="n">
        <x:v>37</x:v>
      </x:c>
      <x:c r="O123" s="29" t="n">
        <x:v>10</x:v>
      </x:c>
      <x:c r="P123" s="29" t="n">
        <x:v>27</x:v>
      </x:c>
      <x:c r="Q123" s="29" t="n">
        <x:v>339</x:v>
      </x:c>
      <x:c r="R123" s="30" t="n">
        <x:v>-0.7229063458299628</x:v>
      </x:c>
      <x:c r="S123" s="30" t="n">
        <x:v>0.8864007916272395</x:v>
      </x:c>
      <x:c r="T123" s="30" t="n">
        <x:v>0.7600707189768479</x:v>
      </x:c>
      <x:c r="U123" s="28" t="str">
        <x:f>IF(AND(G123&gt;=80%,I123&gt;0,L123&gt;=1),"YES","")</x:f>
      </x:c>
      <x:c r="V123" s="31" t="n">
        <x:f>I123+0.4*K123-2*MAX(0,90%-G123)</x:f>
        <x:v>-1.054218682222241</x:v>
      </x:c>
    </x:row>
    <x:row r="124">
      <x:c r="A124" s="35" t="n">
        <x:v>118</x:v>
      </x:c>
      <x:c r="B124" s="33" t="str">
        <x:v>Weak trailing momentum</x:v>
      </x:c>
      <x:c r="C124" s="33" t="str">
        <x:v>Skip when trailing 10-session momentum is -6% or worse.</x:v>
      </x:c>
      <x:c r="D124" s="29" t="n">
        <x:v>10250500928.324001</x:v>
      </x:c>
      <x:c r="E124" s="29" t="n">
        <x:v>11275</x:v>
      </x:c>
      <x:c r="F124" s="30" t="n">
        <x:f>(D124/E124)^(1/('Methodology'!$B$4*7/365))-1</x:f>
        <x:v>4.2185730914692465</x:v>
      </x:c>
      <x:c r="G124" s="30" t="n">
        <x:f>F124/$F$6</x:f>
        <x:v>0.5868090935622562</x:v>
      </x:c>
      <x:c r="H124" s="30" t="n">
        <x:v>0.8132872019453085</x:v>
      </x:c>
      <x:c r="I124" s="30" t="n">
        <x:f>$H$6-H124</x:f>
        <x:v>0.00017707894833862703</x:v>
      </x:c>
      <x:c r="J124" s="30" t="n">
        <x:v>0.802</x:v>
      </x:c>
      <x:c r="K124" s="30" t="n">
        <x:f>$J$6-J124</x:f>
        <x:v>0</x:v>
      </x:c>
      <x:c r="L124" s="29" t="n">
        <x:v>0</x:v>
      </x:c>
      <x:c r="M124" s="29" t="n">
        <x:v>0</x:v>
      </x:c>
      <x:c r="N124" s="29" t="n">
        <x:v>18</x:v>
      </x:c>
      <x:c r="O124" s="29" t="n">
        <x:v>5</x:v>
      </x:c>
      <x:c r="P124" s="29" t="n">
        <x:v>13</x:v>
      </x:c>
      <x:c r="Q124" s="29" t="n">
        <x:v>358</x:v>
      </x:c>
      <x:c r="R124" s="30" t="n">
        <x:v>-0.7229837591654744</x:v>
      </x:c>
      <x:c r="S124" s="30" t="n">
        <x:v>0.8132872019453085</x:v>
      </x:c>
      <x:c r="T124" s="30" t="n">
        <x:v>0.6582145648997267</x:v>
      </x:c>
      <x:c r="U124" s="28" t="str">
        <x:f>IF(AND(G124&gt;=80%,I124&gt;0,L124&gt;=1),"YES","")</x:f>
      </x:c>
      <x:c r="V124" s="31" t="n">
        <x:f>I124+0.4*K124-2*MAX(0,90%-G124)</x:f>
        <x:v>-0.626204733927149</x:v>
      </x:c>
    </x:row>
    <x:row r="125">
      <x:c r="A125" s="35" t="n">
        <x:v>119</x:v>
      </x:c>
      <x:c r="B125" s="33" t="str">
        <x:v>Weak trailing momentum</x:v>
      </x:c>
      <x:c r="C125" s="33" t="str">
        <x:v>Skip when trailing 10-session momentum is -8% or worse.</x:v>
      </x:c>
      <x:c r="D125" s="29" t="n">
        <x:v>167115671685.37595</x:v>
      </x:c>
      <x:c r="E125" s="29" t="n">
        <x:v>11965</x:v>
      </x:c>
      <x:c r="F125" s="30" t="n">
        <x:f>(D125/E125)^(1/('Methodology'!$B$4*7/365))-1</x:f>
        <x:v>6.251534795844064</x:v>
      </x:c>
      <x:c r="G125" s="30" t="n">
        <x:f>F125/$F$6</x:f>
        <x:v>0.8695967540162988</x:v>
      </x:c>
      <x:c r="H125" s="30" t="n">
        <x:v>0.8133020963670303</x:v>
      </x:c>
      <x:c r="I125" s="30" t="n">
        <x:f>$H$6-H125</x:f>
        <x:v>0.00016218452661675986</x:v>
      </x:c>
      <x:c r="J125" s="30" t="n">
        <x:v>0.802</x:v>
      </x:c>
      <x:c r="K125" s="30" t="n">
        <x:f>$J$6-J125</x:f>
        <x:v>0</x:v>
      </x:c>
      <x:c r="L125" s="29" t="n">
        <x:v>0</x:v>
      </x:c>
      <x:c r="M125" s="29" t="n">
        <x:v>0</x:v>
      </x:c>
      <x:c r="N125" s="29" t="n">
        <x:v>4</x:v>
      </x:c>
      <x:c r="O125" s="29" t="n">
        <x:v>1</x:v>
      </x:c>
      <x:c r="P125" s="29" t="n">
        <x:v>3</x:v>
      </x:c>
      <x:c r="Q125" s="29" t="n">
        <x:v>372</x:v>
      </x:c>
      <x:c r="R125" s="30" t="n">
        <x:v>-0.7230034507621478</x:v>
      </x:c>
      <x:c r="S125" s="30" t="n">
        <x:v>0.8133020963670303</x:v>
      </x:c>
      <x:c r="T125" s="30" t="n">
        <x:v>0.658214572715111</x:v>
      </x:c>
      <x:c r="U125" s="28" t="str">
        <x:f>IF(AND(G125&gt;=80%,I125&gt;0,L125&gt;=1),"YES","")</x:f>
      </x:c>
      <x:c r="V125" s="31" t="n">
        <x:f>I125+0.4*K125-2*MAX(0,90%-G125)</x:f>
        <x:v>-0.06064430744078575</x:v>
      </x:c>
    </x:row>
    <x:row r="126">
      <x:c r="A126" s="35" t="n">
        <x:v>120</x:v>
      </x:c>
      <x:c r="B126" s="33" t="str">
        <x:v>Weak trailing momentum</x:v>
      </x:c>
      <x:c r="C126" s="33" t="str">
        <x:v>Skip when trailing 10-session momentum is -10% or worse.</x:v>
      </x:c>
      <x:c r="D126" s="29" t="n">
        <x:v>319639396006.903</x:v>
      </x:c>
      <x:c r="E126" s="29" t="n">
        <x:v>11965</x:v>
      </x:c>
      <x:c r="F126" s="30" t="n">
        <x:f>(D126/E126)^(1/('Methodology'!$B$4*7/365))-1</x:f>
        <x:v>6.84054133309648</x:v>
      </x:c>
      <x:c r="G126" s="30" t="n">
        <x:f>F126/$F$6</x:f>
        <x:v>0.9515283419568448</x:v>
      </x:c>
      <x:c r="H126" s="30" t="n">
        <x:v>0.8134642808936471</x:v>
      </x:c>
      <x:c r="I126" s="30" t="n">
        <x:f>$H$6-H126</x:f>
        <x:v>0</x:v>
      </x:c>
      <x:c r="J126" s="30" t="n">
        <x:v>0.802</x:v>
      </x:c>
      <x:c r="K126" s="30" t="n">
        <x:f>$J$6-J126</x:f>
        <x:v>0</x:v>
      </x:c>
      <x:c r="L126" s="29" t="n">
        <x:v>0</x:v>
      </x:c>
      <x:c r="M126" s="29" t="n">
        <x:v>0</x:v>
      </x:c>
      <x:c r="N126" s="29" t="n">
        <x:v>2</x:v>
      </x:c>
      <x:c r="O126" s="29" t="n">
        <x:v>1</x:v>
      </x:c>
      <x:c r="P126" s="29" t="n">
        <x:v>1</x:v>
      </x:c>
      <x:c r="Q126" s="29" t="n">
        <x:v>374</x:v>
      </x:c>
      <x:c r="R126" s="30" t="n">
        <x:v>-0.7230426999112742</x:v>
      </x:c>
      <x:c r="S126" s="30" t="n">
        <x:v>0.8134642808936471</x:v>
      </x:c>
      <x:c r="T126" s="30" t="n">
        <x:v>0.6582145729743968</x:v>
      </x:c>
      <x:c r="U126" s="28" t="str">
        <x:f>IF(AND(G126&gt;=80%,I126&gt;0,L126&gt;=1),"YES","")</x:f>
      </x:c>
      <x:c r="V126" s="31" t="n">
        <x:f>I126+0.4*K126-2*MAX(0,90%-G126)</x:f>
        <x:v>0</x:v>
      </x:c>
    </x:row>
    <x:row r="127">
      <x:c r="A127" s="35" t="n">
        <x:v>121</x:v>
      </x:c>
      <x:c r="B127" s="33" t="str">
        <x:v>Weak trailing momentum</x:v>
      </x:c>
      <x:c r="C127" s="33" t="str">
        <x:v>Skip when trailing 20-session momentum is -2% or worse.</x:v>
      </x:c>
      <x:c r="D127" s="29" t="n">
        <x:v>37429661.62499999</x:v>
      </x:c>
      <x:c r="E127" s="29" t="n">
        <x:v>8630</x:v>
      </x:c>
      <x:c r="F127" s="30" t="n">
        <x:f>(D127/E127)^(1/('Methodology'!$B$4*7/365))-1</x:f>
        <x:v>1.7415780529091047</x:v>
      </x:c>
      <x:c r="G127" s="30" t="n">
        <x:f>F127/$F$6</x:f>
        <x:v>0.24225580935462168</x:v>
      </x:c>
      <x:c r="H127" s="30" t="n">
        <x:v>0.8957592382097784</x:v>
      </x:c>
      <x:c r="I127" s="30" t="n">
        <x:f>$H$6-H127</x:f>
        <x:v>-0.08229495731613135</x:v>
      </x:c>
      <x:c r="J127" s="30" t="n">
        <x:v>0.895</x:v>
      </x:c>
      <x:c r="K127" s="30" t="n">
        <x:f>$J$6-J127</x:f>
        <x:v>-0.09299999999999997</x:v>
      </x:c>
      <x:c r="L127" s="29" t="n">
        <x:v>3</x:v>
      </x:c>
      <x:c r="M127" s="29" t="n">
        <x:v>1</x:v>
      </x:c>
      <x:c r="N127" s="29" t="n">
        <x:v>78</x:v>
      </x:c>
      <x:c r="O127" s="29" t="n">
        <x:v>24</x:v>
      </x:c>
      <x:c r="P127" s="29" t="n">
        <x:v>54</x:v>
      </x:c>
      <x:c r="Q127" s="29" t="n">
        <x:v>298</x:v>
      </x:c>
      <x:c r="R127" s="30" t="n">
        <x:v>-0.7227796113948625</x:v>
      </x:c>
      <x:c r="S127" s="30" t="n">
        <x:v>0.8957592382097784</x:v>
      </x:c>
      <x:c r="T127" s="30" t="n">
        <x:v>0.707139712634778</x:v>
      </x:c>
      <x:c r="U127" s="28" t="str">
        <x:f>IF(AND(G127&gt;=80%,I127&gt;0,L127&gt;=1),"YES","")</x:f>
      </x:c>
      <x:c r="V127" s="31" t="n">
        <x:f>I127+0.4*K127-2*MAX(0,90%-G127)</x:f>
        <x:v>-1.434983338606888</x:v>
      </x:c>
    </x:row>
    <x:row r="128">
      <x:c r="A128" s="35" t="n">
        <x:v>122</x:v>
      </x:c>
      <x:c r="B128" s="33" t="str">
        <x:v>Weak trailing momentum</x:v>
      </x:c>
      <x:c r="C128" s="33" t="str">
        <x:v>Skip when trailing 20-session momentum is -4% or worse.</x:v>
      </x:c>
      <x:c r="D128" s="29" t="n">
        <x:v>133217343.36999996</x:v>
      </x:c>
      <x:c r="E128" s="29" t="n">
        <x:v>9895</x:v>
      </x:c>
      <x:c r="F128" s="30" t="n">
        <x:f>(D128/E128)^(1/('Methodology'!$B$4*7/365))-1</x:f>
        <x:v>2.1422529757588853</x:v>
      </x:c>
      <x:c r="G128" s="30" t="n">
        <x:f>F128/$F$6</x:f>
        <x:v>0.2979902207758824</x:v>
      </x:c>
      <x:c r="H128" s="30" t="n">
        <x:v>0.8015866013495696</x:v>
      </x:c>
      <x:c r="I128" s="30" t="n">
        <x:f>$H$6-H128</x:f>
        <x:v>0.01187767954407748</x:v>
      </x:c>
      <x:c r="J128" s="30" t="n">
        <x:v>0.802</x:v>
      </x:c>
      <x:c r="K128" s="30" t="n">
        <x:f>$J$6-J128</x:f>
        <x:v>0</x:v>
      </x:c>
      <x:c r="L128" s="29" t="n">
        <x:v>1</x:v>
      </x:c>
      <x:c r="M128" s="29" t="n">
        <x:v>1</x:v>
      </x:c>
      <x:c r="N128" s="29" t="n">
        <x:v>49</x:v>
      </x:c>
      <x:c r="O128" s="29" t="n">
        <x:v>10</x:v>
      </x:c>
      <x:c r="P128" s="29" t="n">
        <x:v>39</x:v>
      </x:c>
      <x:c r="Q128" s="29" t="n">
        <x:v>327</x:v>
      </x:c>
      <x:c r="R128" s="30" t="n">
        <x:v>-0.7228762139665379</x:v>
      </x:c>
      <x:c r="S128" s="30" t="n">
        <x:v>0.8015866013495696</x:v>
      </x:c>
      <x:c r="T128" s="30" t="n">
        <x:v>0.7600208423057802</x:v>
      </x:c>
      <x:c r="U128" s="28" t="str">
        <x:f>IF(AND(G128&gt;=80%,I128&gt;0,L128&gt;=1),"YES","")</x:f>
      </x:c>
      <x:c r="V128" s="31" t="n">
        <x:f>I128+0.4*K128-2*MAX(0,90%-G128)</x:f>
        <x:v>-1.1921418789041578</x:v>
      </x:c>
    </x:row>
    <x:row r="129">
      <x:c r="A129" s="35" t="n">
        <x:v>123</x:v>
      </x:c>
      <x:c r="B129" s="33" t="str">
        <x:v>Weak trailing momentum</x:v>
      </x:c>
      <x:c r="C129" s="33" t="str">
        <x:v>Skip when trailing 20-session momentum is -6% or worse.</x:v>
      </x:c>
      <x:c r="D129" s="29" t="n">
        <x:v>1701035280.5800006</x:v>
      </x:c>
      <x:c r="E129" s="29" t="n">
        <x:v>10585</x:v>
      </x:c>
      <x:c r="F129" s="30" t="n">
        <x:f>(D129/E129)^(1/('Methodology'!$B$4*7/365))-1</x:f>
        <x:v>3.235661186403062</x:v>
      </x:c>
      <x:c r="G129" s="30" t="n">
        <x:f>F129/$F$6</x:f>
        <x:v>0.450084748254645</x:v>
      </x:c>
      <x:c r="H129" s="30" t="n">
        <x:v>0.8017464715564524</x:v>
      </x:c>
      <x:c r="I129" s="30" t="n">
        <x:f>$H$6-H129</x:f>
        <x:v>0.011717809337194685</x:v>
      </x:c>
      <x:c r="J129" s="30" t="n">
        <x:v>0.802</x:v>
      </x:c>
      <x:c r="K129" s="30" t="n">
        <x:f>$J$6-J129</x:f>
        <x:v>0</x:v>
      </x:c>
      <x:c r="L129" s="29" t="n">
        <x:v>1</x:v>
      </x:c>
      <x:c r="M129" s="29" t="n">
        <x:v>0</x:v>
      </x:c>
      <x:c r="N129" s="29" t="n">
        <x:v>31</x:v>
      </x:c>
      <x:c r="O129" s="29" t="n">
        <x:v>6</x:v>
      </x:c>
      <x:c r="P129" s="29" t="n">
        <x:v>25</x:v>
      </x:c>
      <x:c r="Q129" s="29" t="n">
        <x:v>345</x:v>
      </x:c>
      <x:c r="R129" s="30" t="n">
        <x:v>-0.7230635266150944</x:v>
      </x:c>
      <x:c r="S129" s="30" t="n">
        <x:v>0.8017464715564524</x:v>
      </x:c>
      <x:c r="T129" s="30" t="n">
        <x:v>0.7600942729870556</x:v>
      </x:c>
      <x:c r="U129" s="28" t="str">
        <x:f>IF(AND(G129&gt;=80%,I129&gt;0,L129&gt;=1),"YES","")</x:f>
      </x:c>
      <x:c r="V129" s="31" t="n">
        <x:f>I129+0.4*K129-2*MAX(0,90%-G129)</x:f>
        <x:v>-0.8881126941535153</x:v>
      </x:c>
    </x:row>
    <x:row r="130">
      <x:c r="A130" s="35" t="n">
        <x:v>124</x:v>
      </x:c>
      <x:c r="B130" s="33" t="str">
        <x:v>Weak trailing momentum</x:v>
      </x:c>
      <x:c r="C130" s="33" t="str">
        <x:v>Skip when trailing 20-session momentum is -8% or worse.</x:v>
      </x:c>
      <x:c r="D130" s="29" t="n">
        <x:v>25569274922.07001</x:v>
      </x:c>
      <x:c r="E130" s="29" t="n">
        <x:v>11160</x:v>
      </x:c>
      <x:c r="F130" s="30" t="n">
        <x:f>(D130/E130)^(1/('Methodology'!$B$4*7/365))-1</x:f>
        <x:v>4.833005357602867</x:v>
      </x:c>
      <x:c r="G130" s="30" t="n">
        <x:f>F130/$F$6</x:f>
        <x:v>0.6722774340004917</x:v>
      </x:c>
      <x:c r="H130" s="30" t="n">
        <x:v>0.8132436003694434</x:v>
      </x:c>
      <x:c r="I130" s="30" t="n">
        <x:f>$H$6-H130</x:f>
        <x:v>0.00022068052420365358</x:v>
      </x:c>
      <x:c r="J130" s="30" t="n">
        <x:v>0.802</x:v>
      </x:c>
      <x:c r="K130" s="30" t="n">
        <x:f>$J$6-J130</x:f>
        <x:v>0</x:v>
      </x:c>
      <x:c r="L130" s="29" t="n">
        <x:v>1</x:v>
      </x:c>
      <x:c r="M130" s="29" t="n">
        <x:v>0</x:v>
      </x:c>
      <x:c r="N130" s="29" t="n">
        <x:v>18</x:v>
      </x:c>
      <x:c r="O130" s="29" t="n">
        <x:v>4</x:v>
      </x:c>
      <x:c r="P130" s="29" t="n">
        <x:v>14</x:v>
      </x:c>
      <x:c r="Q130" s="29" t="n">
        <x:v>358</x:v>
      </x:c>
      <x:c r="R130" s="30" t="n">
        <x:v>-0.7229772351957054</x:v>
      </x:c>
      <x:c r="S130" s="30" t="n">
        <x:v>0.8132436003694434</x:v>
      </x:c>
      <x:c r="T130" s="30" t="n">
        <x:v>0.6582145687874494</x:v>
      </x:c>
      <x:c r="U130" s="28" t="str">
        <x:f>IF(AND(G130&gt;=80%,I130&gt;0,L130&gt;=1),"YES","")</x:f>
      </x:c>
      <x:c r="V130" s="31" t="n">
        <x:f>I130+0.4*K130-2*MAX(0,90%-G130)</x:f>
        <x:v>-0.45522445147481305</x:v>
      </x:c>
    </x:row>
    <x:row r="131">
      <x:c r="A131" s="35" t="n">
        <x:v>125</x:v>
      </x:c>
      <x:c r="B131" s="33" t="str">
        <x:v>Weak trailing momentum</x:v>
      </x:c>
      <x:c r="C131" s="33" t="str">
        <x:v>Skip when trailing 20-session momentum is -10% or worse.</x:v>
      </x:c>
      <x:c r="D131" s="29" t="n">
        <x:v>130333559412.03401</x:v>
      </x:c>
      <x:c r="E131" s="29" t="n">
        <x:v>11620</x:v>
      </x:c>
      <x:c r="F131" s="30" t="n">
        <x:f>(D131/E131)^(1/('Methodology'!$B$4*7/365))-1</x:f>
        <x:v>6.062511813899869</x:v>
      </x:c>
      <x:c r="G131" s="30" t="n">
        <x:f>F131/$F$6</x:f>
        <x:v>0.8433034073580626</x:v>
      </x:c>
      <x:c r="H131" s="30" t="n">
        <x:v>0.8134642808936471</x:v>
      </x:c>
      <x:c r="I131" s="30" t="n">
        <x:f>$H$6-H131</x:f>
        <x:v>0</x:v>
      </x:c>
      <x:c r="J131" s="30" t="n">
        <x:v>0.802</x:v>
      </x:c>
      <x:c r="K131" s="30" t="n">
        <x:f>$J$6-J131</x:f>
        <x:v>0</x:v>
      </x:c>
      <x:c r="L131" s="29" t="n">
        <x:v>1</x:v>
      </x:c>
      <x:c r="M131" s="29" t="n">
        <x:v>0</x:v>
      </x:c>
      <x:c r="N131" s="29" t="n">
        <x:v>10</x:v>
      </x:c>
      <x:c r="O131" s="29" t="n">
        <x:v>3</x:v>
      </x:c>
      <x:c r="P131" s="29" t="n">
        <x:v>7</x:v>
      </x:c>
      <x:c r="Q131" s="29" t="n">
        <x:v>366</x:v>
      </x:c>
      <x:c r="R131" s="30" t="n">
        <x:v>-0.7230426999112742</x:v>
      </x:c>
      <x:c r="S131" s="30" t="n">
        <x:v>0.8134642808936471</x:v>
      </x:c>
      <x:c r="T131" s="30" t="n">
        <x:v>0.6582145725307411</x:v>
      </x:c>
      <x:c r="U131" s="28" t="str">
        <x:f>IF(AND(G131&gt;=80%,I131&gt;0,L131&gt;=1),"YES","")</x:f>
      </x:c>
      <x:c r="V131" s="31" t="n">
        <x:f>I131+0.4*K131-2*MAX(0,90%-G131)</x:f>
        <x:v>-0.11339318528387476</x:v>
      </x:c>
    </x:row>
    <x:row r="132">
      <x:c r="A132" s="35" t="n">
        <x:v>126</x:v>
      </x:c>
      <x:c r="B132" s="33" t="str">
        <x:v>Weak trailing momentum</x:v>
      </x:c>
      <x:c r="C132" s="33" t="str">
        <x:v>Skip when trailing 40-session momentum is -2% or worse.</x:v>
      </x:c>
      <x:c r="D132" s="29" t="n">
        <x:v>168767668.24699998</x:v>
      </x:c>
      <x:c r="E132" s="29" t="n">
        <x:v>9320</x:v>
      </x:c>
      <x:c r="F132" s="30" t="n">
        <x:f>(D132/E132)^(1/('Methodology'!$B$4*7/365))-1</x:f>
        <x:v>2.256438740014751</x:v>
      </x:c>
      <x:c r="G132" s="30" t="n">
        <x:f>F132/$F$6</x:f>
        <x:v>0.31387361152622767</x:v>
      </x:c>
      <x:c r="H132" s="30" t="n">
        <x:v>0.7942800227526703</x:v>
      </x:c>
      <x:c r="I132" s="30" t="n">
        <x:f>$H$6-H132</x:f>
        <x:v>0.019184258140976795</x:v>
      </x:c>
      <x:c r="J132" s="30" t="n">
        <x:v>0.794</x:v>
      </x:c>
      <x:c r="K132" s="30" t="n">
        <x:f>$J$6-J132</x:f>
        <x:v>0.008000000000000007</x:v>
      </x:c>
      <x:c r="L132" s="29" t="n">
        <x:v>5</x:v>
      </x:c>
      <x:c r="M132" s="29" t="n">
        <x:v>3</x:v>
      </x:c>
      <x:c r="N132" s="29" t="n">
        <x:v>67</x:v>
      </x:c>
      <x:c r="O132" s="29" t="n">
        <x:v>21</x:v>
      </x:c>
      <x:c r="P132" s="29" t="n">
        <x:v>46</x:v>
      </x:c>
      <x:c r="Q132" s="29" t="n">
        <x:v>309</x:v>
      </x:c>
      <x:c r="R132" s="30" t="n">
        <x:v>-0.7230450420959174</x:v>
      </x:c>
      <x:c r="S132" s="30" t="n">
        <x:v>0.7942800227526703</x:v>
      </x:c>
      <x:c r="T132" s="30" t="n">
        <x:v>0.6582139254294203</x:v>
      </x:c>
      <x:c r="U132" s="28" t="str">
        <x:f>IF(AND(G132&gt;=80%,I132&gt;0,L132&gt;=1),"YES","")</x:f>
      </x:c>
      <x:c r="V132" s="31" t="n">
        <x:f>I132+0.4*K132-2*MAX(0,90%-G132)</x:f>
        <x:v>-1.149868518806568</x:v>
      </x:c>
    </x:row>
    <x:row r="133">
      <x:c r="A133" s="35" t="n">
        <x:v>127</x:v>
      </x:c>
      <x:c r="B133" s="33" t="str">
        <x:v>Weak trailing momentum</x:v>
      </x:c>
      <x:c r="C133" s="33" t="str">
        <x:v>Skip when trailing 40-session momentum is -4% or worse.</x:v>
      </x:c>
      <x:c r="D133" s="29" t="n">
        <x:v>1406443933.4139998</x:v>
      </x:c>
      <x:c r="E133" s="29" t="n">
        <x:v>9895</x:v>
      </x:c>
      <x:c r="F133" s="30" t="n">
        <x:f>(D133/E133)^(1/('Methodology'!$B$4*7/365))-1</x:f>
        <x:v>3.1735036520044115</x:v>
      </x:c>
      <x:c r="G133" s="30" t="n">
        <x:f>F133/$F$6</x:f>
        <x:v>0.44143855305364316</x:v>
      </x:c>
      <x:c r="H133" s="30" t="n">
        <x:v>0.8921689252953136</x:v>
      </x:c>
      <x:c r="I133" s="30" t="n">
        <x:f>$H$6-H133</x:f>
        <x:v>-0.07870464440166647</x:v>
      </x:c>
      <x:c r="J133" s="30" t="n">
        <x:v>0.886</x:v>
      </x:c>
      <x:c r="K133" s="30" t="n">
        <x:f>$J$6-J133</x:f>
        <x:v>-0.08399999999999996</x:v>
      </x:c>
      <x:c r="L133" s="29" t="n">
        <x:v>3</x:v>
      </x:c>
      <x:c r="M133" s="29" t="n">
        <x:v>2</x:v>
      </x:c>
      <x:c r="N133" s="29" t="n">
        <x:v>45</x:v>
      </x:c>
      <x:c r="O133" s="29" t="n">
        <x:v>14</x:v>
      </x:c>
      <x:c r="P133" s="29" t="n">
        <x:v>31</x:v>
      </x:c>
      <x:c r="Q133" s="29" t="n">
        <x:v>331</x:v>
      </x:c>
      <x:c r="R133" s="30" t="n">
        <x:v>-0.7225190405920849</x:v>
      </x:c>
      <x:c r="S133" s="30" t="n">
        <x:v>0.8921689252953136</x:v>
      </x:c>
      <x:c r="T133" s="30" t="n">
        <x:v>0.7600982638417457</x:v>
      </x:c>
      <x:c r="U133" s="28" t="str">
        <x:f>IF(AND(G133&gt;=80%,I133&gt;0,L133&gt;=1),"YES","")</x:f>
      </x:c>
      <x:c r="V133" s="31" t="n">
        <x:f>I133+0.4*K133-2*MAX(0,90%-G133)</x:f>
        <x:v>-1.0294275382943803</x:v>
      </x:c>
    </x:row>
    <x:row r="134">
      <x:c r="A134" s="35" t="n">
        <x:v>128</x:v>
      </x:c>
      <x:c r="B134" s="33" t="str">
        <x:v>Weak trailing momentum</x:v>
      </x:c>
      <x:c r="C134" s="33" t="str">
        <x:v>Skip when trailing 40-session momentum is -6% or worse.</x:v>
      </x:c>
      <x:c r="D134" s="29" t="n">
        <x:v>7861288982.665998</x:v>
      </x:c>
      <x:c r="E134" s="29" t="n">
        <x:v>10125</x:v>
      </x:c>
      <x:c r="F134" s="30" t="n">
        <x:f>(D134/E134)^(1/('Methodology'!$B$4*7/365))-1</x:f>
        <x:v>4.120345343789309</x:v>
      </x:c>
      <x:c r="G134" s="30" t="n">
        <x:f>F134/$F$6</x:f>
        <x:v>0.5731454840125516</x:v>
      </x:c>
      <x:c r="H134" s="30" t="n">
        <x:v>0.8131242078598723</x:v>
      </x:c>
      <x:c r="I134" s="30" t="n">
        <x:f>$H$6-H134</x:f>
        <x:v>0.00034007303377481257</x:v>
      </x:c>
      <x:c r="J134" s="30" t="n">
        <x:v>0.802</x:v>
      </x:c>
      <x:c r="K134" s="30" t="n">
        <x:f>$J$6-J134</x:f>
        <x:v>0</x:v>
      </x:c>
      <x:c r="L134" s="29" t="n">
        <x:v>3</x:v>
      </x:c>
      <x:c r="M134" s="29" t="n">
        <x:v>2</x:v>
      </x:c>
      <x:c r="N134" s="29" t="n">
        <x:v>35</x:v>
      </x:c>
      <x:c r="O134" s="29" t="n">
        <x:v>11</x:v>
      </x:c>
      <x:c r="P134" s="29" t="n">
        <x:v>24</x:v>
      </x:c>
      <x:c r="Q134" s="29" t="n">
        <x:v>341</x:v>
      </x:c>
      <x:c r="R134" s="30" t="n">
        <x:v>-0.7229602571769672</x:v>
      </x:c>
      <x:c r="S134" s="30" t="n">
        <x:v>0.8131242078598723</x:v>
      </x:c>
      <x:c r="T134" s="30" t="n">
        <x:v>0.6582145602514718</x:v>
      </x:c>
      <x:c r="U134" s="28" t="str">
        <x:f>IF(AND(G134&gt;=80%,I134&gt;0,L134&gt;=1),"YES","")</x:f>
      </x:c>
      <x:c r="V134" s="31" t="n">
        <x:f>I134+0.4*K134-2*MAX(0,90%-G134)</x:f>
        <x:v>-0.653368958941122</x:v>
      </x:c>
    </x:row>
    <x:row r="135">
      <x:c r="A135" s="35" t="n">
        <x:v>129</x:v>
      </x:c>
      <x:c r="B135" s="33" t="str">
        <x:v>Weak trailing momentum</x:v>
      </x:c>
      <x:c r="C135" s="33" t="str">
        <x:v>Skip when trailing 40-session momentum is -8% or worse.</x:v>
      </x:c>
      <x:c r="D135" s="29" t="n">
        <x:v>23243219601.195995</x:v>
      </x:c>
      <x:c r="E135" s="29" t="n">
        <x:v>10585</x:v>
      </x:c>
      <x:c r="F135" s="30" t="n">
        <x:f>(D135/E135)^(1/('Methodology'!$B$4*7/365))-1</x:f>
        <x:v>4.803242635515984</x:v>
      </x:c>
      <x:c r="G135" s="30" t="n">
        <x:f>F135/$F$6</x:f>
        <x:v>0.6681374000148137</x:v>
      </x:c>
      <x:c r="H135" s="30" t="n">
        <x:v>0.8132196233293232</x:v>
      </x:c>
      <x:c r="I135" s="30" t="n">
        <x:f>$H$6-H135</x:f>
        <x:v>0.0002446575643239024</x:v>
      </x:c>
      <x:c r="J135" s="30" t="n">
        <x:v>0.802</x:v>
      </x:c>
      <x:c r="K135" s="30" t="n">
        <x:f>$J$6-J135</x:f>
        <x:v>0</x:v>
      </x:c>
      <x:c r="L135" s="29" t="n">
        <x:v>3</x:v>
      </x:c>
      <x:c r="M135" s="29" t="n">
        <x:v>2</x:v>
      </x:c>
      <x:c r="N135" s="29" t="n">
        <x:v>25</x:v>
      </x:c>
      <x:c r="O135" s="29" t="n">
        <x:v>8</x:v>
      </x:c>
      <x:c r="P135" s="29" t="n">
        <x:v>17</x:v>
      </x:c>
      <x:c r="Q135" s="29" t="n">
        <x:v>351</x:v>
      </x:c>
      <x:c r="R135" s="30" t="n">
        <x:v>-0.7229958077110752</x:v>
      </x:c>
      <x:c r="S135" s="30" t="n">
        <x:v>0.8132196233293232</x:v>
      </x:c>
      <x:c r="T135" s="30" t="n">
        <x:v>0.658214568890033</x:v>
      </x:c>
      <x:c r="U135" s="28" t="str">
        <x:f>IF(AND(G135&gt;=80%,I135&gt;0,L135&gt;=1),"YES","")</x:f>
      </x:c>
      <x:c r="V135" s="31" t="n">
        <x:f>I135+0.4*K135-2*MAX(0,90%-G135)</x:f>
        <x:v>-0.46348054240604875</x:v>
      </x:c>
    </x:row>
    <x:row r="136">
      <x:c r="A136" s="35" t="n">
        <x:v>130</x:v>
      </x:c>
      <x:c r="B136" s="33" t="str">
        <x:v>Weak trailing momentum</x:v>
      </x:c>
      <x:c r="C136" s="33" t="str">
        <x:v>Skip when trailing 40-session momentum is -10% or worse.</x:v>
      </x:c>
      <x:c r="D136" s="29" t="n">
        <x:v>135890275768.555</x:v>
      </x:c>
      <x:c r="E136" s="29" t="n">
        <x:v>11160</x:v>
      </x:c>
      <x:c r="F136" s="30" t="n">
        <x:f>(D136/E136)^(1/('Methodology'!$B$4*7/365))-1</x:f>
        <x:v>6.132719402670232</x:v>
      </x:c>
      <x:c r="G136" s="30" t="n">
        <x:f>F136/$F$6</x:f>
        <x:v>0.8530693757635501</x:v>
      </x:c>
      <x:c r="H136" s="30" t="n">
        <x:v>0.8132700178830162</x:v>
      </x:c>
      <x:c r="I136" s="30" t="n">
        <x:f>$H$6-H136</x:f>
        <x:v>0.00019426301063085738</x:v>
      </x:c>
      <x:c r="J136" s="30" t="n">
        <x:v>0.802</x:v>
      </x:c>
      <x:c r="K136" s="30" t="n">
        <x:f>$J$6-J136</x:f>
        <x:v>0</x:v>
      </x:c>
      <x:c r="L136" s="29" t="n">
        <x:v>3</x:v>
      </x:c>
      <x:c r="M136" s="29" t="n">
        <x:v>2</x:v>
      </x:c>
      <x:c r="N136" s="29" t="n">
        <x:v>18</x:v>
      </x:c>
      <x:c r="O136" s="29" t="n">
        <x:v>6</x:v>
      </x:c>
      <x:c r="P136" s="29" t="n">
        <x:v>12</x:v>
      </x:c>
      <x:c r="Q136" s="29" t="n">
        <x:v>358</x:v>
      </x:c>
      <x:c r="R136" s="30" t="n">
        <x:v>-0.7230314092602692</x:v>
      </x:c>
      <x:c r="S136" s="30" t="n">
        <x:v>0.8132700178830162</x:v>
      </x:c>
      <x:c r="T136" s="30" t="n">
        <x:v>0.6582145723996256</x:v>
      </x:c>
      <x:c r="U136" s="28" t="str">
        <x:f>IF(AND(G136&gt;=80%,I136&gt;0,L136&gt;=1),"YES","")</x:f>
        <x:v>YES</x:v>
      </x:c>
      <x:c r="V136" s="31" t="n">
        <x:f>I136+0.4*K136-2*MAX(0,90%-G136)</x:f>
        <x:v>-0.09366698546226893</x:v>
      </x:c>
    </x:row>
    <x:row r="137">
      <x:c r="A137" s="35" t="n">
        <x:v>131</x:v>
      </x:c>
      <x:c r="B137" s="33" t="str">
        <x:v>Prior cash-session loss</x:v>
      </x:c>
      <x:c r="C137" s="33" t="str">
        <x:v>Skip after a prior cash-session loss of 0.5% or more.</x:v>
      </x:c>
      <x:c r="D137" s="29" t="n">
        <x:v>440379733.14600015</x:v>
      </x:c>
      <x:c r="E137" s="29" t="n">
        <x:v>9090</x:v>
      </x:c>
      <x:c r="F137" s="30" t="n">
        <x:f>(D137/E137)^(1/('Methodology'!$B$4*7/365))-1</x:f>
        <x:v>2.666149856505273</x:v>
      </x:c>
      <x:c r="G137" s="30" t="n">
        <x:f>F137/$F$6</x:f>
        <x:v>0.37086496942787506</x:v>
      </x:c>
      <x:c r="H137" s="30" t="n">
        <x:v>0.9189566344181009</x:v>
      </x:c>
      <x:c r="I137" s="30" t="n">
        <x:f>$H$6-H137</x:f>
        <x:v>-0.10549235352445385</x:v>
      </x:c>
      <x:c r="J137" s="30" t="n">
        <x:v>0.889</x:v>
      </x:c>
      <x:c r="K137" s="30" t="n">
        <x:f>$J$6-J137</x:f>
        <x:v>-0.08699999999999997</x:v>
      </x:c>
      <x:c r="L137" s="29" t="n">
        <x:v>6</x:v>
      </x:c>
      <x:c r="M137" s="29" t="n">
        <x:v>4</x:v>
      </x:c>
      <x:c r="N137" s="29" t="n">
        <x:v>96</x:v>
      </x:c>
      <x:c r="O137" s="29" t="n">
        <x:v>36</x:v>
      </x:c>
      <x:c r="P137" s="29" t="n">
        <x:v>60</x:v>
      </x:c>
      <x:c r="Q137" s="29" t="n">
        <x:v>280</x:v>
      </x:c>
      <x:c r="R137" s="30" t="n">
        <x:v>-0.7225385476627173</x:v>
      </x:c>
      <x:c r="S137" s="30" t="n">
        <x:v>0.9189566344181009</x:v>
      </x:c>
      <x:c r="T137" s="30" t="n">
        <x:v>0.57214607740869</x:v>
      </x:c>
      <x:c r="U137" s="28" t="str">
        <x:f>IF(AND(G137&gt;=80%,I137&gt;0,L137&gt;=1),"YES","")</x:f>
      </x:c>
      <x:c r="V137" s="31" t="n">
        <x:f>I137+0.4*K137-2*MAX(0,90%-G137)</x:f>
        <x:v>-1.1985624146687037</x:v>
      </x:c>
    </x:row>
    <x:row r="138">
      <x:c r="A138" s="35" t="n">
        <x:v>132</x:v>
      </x:c>
      <x:c r="B138" s="33" t="str">
        <x:v>Prior cash-session loss</x:v>
      </x:c>
      <x:c r="C138" s="33" t="str">
        <x:v>Skip after a prior cash-session loss of 1.0% or more.</x:v>
      </x:c>
      <x:c r="D138" s="29" t="n">
        <x:v>9748229626.684</x:v>
      </x:c>
      <x:c r="E138" s="29" t="n">
        <x:v>9780</x:v>
      </x:c>
      <x:c r="F138" s="30" t="n">
        <x:f>(D138/E138)^(1/('Methodology'!$B$4*7/365))-1</x:f>
        <x:v>4.276715119015399</x:v>
      </x:c>
      <x:c r="G138" s="30" t="n">
        <x:f>F138/$F$6</x:f>
        <x:v>0.5948967264519702</x:v>
      </x:c>
      <x:c r="H138" s="30" t="n">
        <x:v>0.8775770184015415</x:v>
      </x:c>
      <x:c r="I138" s="30" t="n">
        <x:f>$H$6-H138</x:f>
        <x:v>-0.06411273750789437</x:v>
      </x:c>
      <x:c r="J138" s="30" t="n">
        <x:v>0.847</x:v>
      </x:c>
      <x:c r="K138" s="30" t="n">
        <x:f>$J$6-J138</x:f>
        <x:v>-0.04499999999999993</x:v>
      </x:c>
      <x:c r="L138" s="29" t="n">
        <x:v>5</x:v>
      </x:c>
      <x:c r="M138" s="29" t="n">
        <x:v>2</x:v>
      </x:c>
      <x:c r="N138" s="29" t="n">
        <x:v>54</x:v>
      </x:c>
      <x:c r="O138" s="29" t="n">
        <x:v>19</x:v>
      </x:c>
      <x:c r="P138" s="29" t="n">
        <x:v>35</x:v>
      </x:c>
      <x:c r="Q138" s="29" t="n">
        <x:v>322</x:v>
      </x:c>
      <x:c r="R138" s="30" t="n">
        <x:v>-0.72288118827482</x:v>
      </x:c>
      <x:c r="S138" s="30" t="n">
        <x:v>0.8775770184015415</x:v>
      </x:c>
      <x:c r="T138" s="30" t="n">
        <x:v>0.7548164122117789</x:v>
      </x:c>
      <x:c r="U138" s="28" t="str">
        <x:f>IF(AND(G138&gt;=80%,I138&gt;0,L138&gt;=1),"YES","")</x:f>
      </x:c>
      <x:c r="V138" s="31" t="n">
        <x:f>I138+0.4*K138-2*MAX(0,90%-G138)</x:f>
        <x:v>-0.692319284603954</x:v>
      </x:c>
    </x:row>
    <x:row r="139">
      <x:c r="A139" s="35" t="n">
        <x:v>133</x:v>
      </x:c>
      <x:c r="B139" s="33" t="str">
        <x:v>Prior cash-session loss</x:v>
      </x:c>
      <x:c r="C139" s="33" t="str">
        <x:v>Skip after a prior cash-session loss of 1.5% or more.</x:v>
      </x:c>
      <x:c r="D139" s="29" t="n">
        <x:v>20722774695.827003</x:v>
      </x:c>
      <x:c r="E139" s="29" t="n">
        <x:v>10930</x:v>
      </x:c>
      <x:c r="F139" s="30" t="n">
        <x:f>(D139/E139)^(1/('Methodology'!$B$4*7/365))-1</x:f>
        <x:v>4.7015176602240905</x:v>
      </x:c>
      <x:c r="G139" s="30" t="n">
        <x:f>F139/$F$6</x:f>
        <x:v>0.6539873214812949</x:v>
      </x:c>
      <x:c r="H139" s="30" t="n">
        <x:v>0.8925861818076842</x:v>
      </x:c>
      <x:c r="I139" s="30" t="n">
        <x:f>$H$6-H139</x:f>
        <x:v>-0.07912190091403715</x:v>
      </x:c>
      <x:c r="J139" s="30" t="n">
        <x:v>0.886</x:v>
      </x:c>
      <x:c r="K139" s="30" t="n">
        <x:f>$J$6-J139</x:f>
        <x:v>-0.08399999999999996</x:v>
      </x:c>
      <x:c r="L139" s="29" t="n">
        <x:v>3</x:v>
      </x:c>
      <x:c r="M139" s="29" t="n">
        <x:v>1</x:v>
      </x:c>
      <x:c r="N139" s="29" t="n">
        <x:v>26</x:v>
      </x:c>
      <x:c r="O139" s="29" t="n">
        <x:v>8</x:v>
      </x:c>
      <x:c r="P139" s="29" t="n">
        <x:v>18</x:v>
      </x:c>
      <x:c r="Q139" s="29" t="n">
        <x:v>350</x:v>
      </x:c>
      <x:c r="R139" s="30" t="n">
        <x:v>-0.7227157029132727</x:v>
      </x:c>
      <x:c r="S139" s="30" t="n">
        <x:v>0.8925861818076842</x:v>
      </x:c>
      <x:c r="T139" s="30" t="n">
        <x:v>0.7600995152675633</x:v>
      </x:c>
      <x:c r="U139" s="28" t="str">
        <x:f>IF(AND(G139&gt;=80%,I139&gt;0,L139&gt;=1),"YES","")</x:f>
      </x:c>
      <x:c r="V139" s="31" t="n">
        <x:f>I139+0.4*K139-2*MAX(0,90%-G139)</x:f>
        <x:v>-0.6047472579514473</x:v>
      </x:c>
    </x:row>
    <x:row r="140">
      <x:c r="A140" s="35" t="n">
        <x:v>134</x:v>
      </x:c>
      <x:c r="B140" s="33" t="str">
        <x:v>Prior cash-session loss</x:v>
      </x:c>
      <x:c r="C140" s="33" t="str">
        <x:v>Skip after a prior cash-session loss of 2.0% or more.</x:v>
      </x:c>
      <x:c r="D140" s="29" t="n">
        <x:v>89548197495.516</x:v>
      </x:c>
      <x:c r="E140" s="29" t="n">
        <x:v>11045</x:v>
      </x:c>
      <x:c r="F140" s="30" t="n">
        <x:f>(D140/E140)^(1/('Methodology'!$B$4*7/365))-1</x:f>
        <x:v>5.791795172394448</x:v>
      </x:c>
      <x:c r="G140" s="30" t="n">
        <x:f>F140/$F$6</x:f>
        <x:v>0.8056463646638736</x:v>
      </x:c>
      <x:c r="H140" s="30" t="n">
        <x:v>0.8130654830831845</x:v>
      </x:c>
      <x:c r="I140" s="30" t="n">
        <x:f>$H$6-H140</x:f>
        <x:v>0.0003987978104625922</x:v>
      </x:c>
      <x:c r="J140" s="30" t="n">
        <x:v>0.802</x:v>
      </x:c>
      <x:c r="K140" s="30" t="n">
        <x:f>$J$6-J140</x:f>
        <x:v>0</x:v>
      </x:c>
      <x:c r="L140" s="29" t="n">
        <x:v>3</x:v>
      </x:c>
      <x:c r="M140" s="29" t="n">
        <x:v>1</x:v>
      </x:c>
      <x:c r="N140" s="29" t="n">
        <x:v>18</x:v>
      </x:c>
      <x:c r="O140" s="29" t="n">
        <x:v>5</x:v>
      </x:c>
      <x:c r="P140" s="29" t="n">
        <x:v>13</x:v>
      </x:c>
      <x:c r="Q140" s="29" t="n">
        <x:v>358</x:v>
      </x:c>
      <x:c r="R140" s="30" t="n">
        <x:v>-0.7229192524304043</x:v>
      </x:c>
      <x:c r="S140" s="30" t="n">
        <x:v>0.8130654830831845</x:v>
      </x:c>
      <x:c r="T140" s="30" t="n">
        <x:v>0.6576184773131784</x:v>
      </x:c>
      <x:c r="U140" s="28" t="str">
        <x:f>IF(AND(G140&gt;=80%,I140&gt;0,L140&gt;=1),"YES","")</x:f>
        <x:v>YES</x:v>
      </x:c>
      <x:c r="V140" s="31" t="n">
        <x:f>I140+0.4*K140-2*MAX(0,90%-G140)</x:f>
        <x:v>-0.1883084728617902</x:v>
      </x:c>
    </x:row>
    <x:row r="141">
      <x:c r="A141" s="35" t="n">
        <x:v>135</x:v>
      </x:c>
      <x:c r="B141" s="33" t="str">
        <x:v>Prior cash-session loss</x:v>
      </x:c>
      <x:c r="C141" s="33" t="str">
        <x:v>Skip after a prior cash-session loss of 2.5% or more.</x:v>
      </x:c>
      <x:c r="D141" s="29" t="n">
        <x:v>115899993226.81699</x:v>
      </x:c>
      <x:c r="E141" s="29" t="n">
        <x:v>11620</x:v>
      </x:c>
      <x:c r="F141" s="30" t="n">
        <x:f>(D141/E141)^(1/('Methodology'!$B$4*7/365))-1</x:f>
        <x:v>5.963393213060583</x:v>
      </x:c>
      <x:c r="G141" s="30" t="n">
        <x:f>F141/$F$6</x:f>
        <x:v>0.8295158789562724</x:v>
      </x:c>
      <x:c r="H141" s="30" t="n">
        <x:v>0.8132557514009875</x:v>
      </x:c>
      <x:c r="I141" s="30" t="n">
        <x:f>$H$6-H141</x:f>
        <x:v>0.00020852949265959264</x:v>
      </x:c>
      <x:c r="J141" s="30" t="n">
        <x:v>0.802</x:v>
      </x:c>
      <x:c r="K141" s="30" t="n">
        <x:f>$J$6-J141</x:f>
        <x:v>0</x:v>
      </x:c>
      <x:c r="L141" s="29" t="n">
        <x:v>1</x:v>
      </x:c>
      <x:c r="M141" s="29" t="n">
        <x:v>1</x:v>
      </x:c>
      <x:c r="N141" s="29" t="n">
        <x:v>10</x:v>
      </x:c>
      <x:c r="O141" s="29" t="n">
        <x:v>3</x:v>
      </x:c>
      <x:c r="P141" s="29" t="n">
        <x:v>7</x:v>
      </x:c>
      <x:c r="Q141" s="29" t="n">
        <x:v>366</x:v>
      </x:c>
      <x:c r="R141" s="30" t="n">
        <x:v>-0.7229551115724494</x:v>
      </x:c>
      <x:c r="S141" s="30" t="n">
        <x:v>0.8132557514009875</x:v>
      </x:c>
      <x:c r="T141" s="30" t="n">
        <x:v>0.657618837284117</x:v>
      </x:c>
      <x:c r="U141" s="28" t="str">
        <x:f>IF(AND(G141&gt;=80%,I141&gt;0,L141&gt;=1),"YES","")</x:f>
        <x:v>YES</x:v>
      </x:c>
      <x:c r="V141" s="31" t="n">
        <x:f>I141+0.4*K141-2*MAX(0,90%-G141)</x:f>
        <x:v>-0.14075971259479558</x:v>
      </x:c>
    </x:row>
    <x:row r="142">
      <x:c r="A142" s="35" t="n">
        <x:v>136</x:v>
      </x:c>
      <x:c r="B142" s="33" t="str">
        <x:v>Prior cash-session loss</x:v>
      </x:c>
      <x:c r="C142" s="33" t="str">
        <x:v>Skip after a prior cash-session loss of 3.0% or more.</x:v>
      </x:c>
      <x:c r="D142" s="29" t="n">
        <x:v>275743744831.1</x:v>
      </x:c>
      <x:c r="E142" s="29" t="n">
        <x:v>11850</x:v>
      </x:c>
      <x:c r="F142" s="30" t="n">
        <x:f>(D142/E142)^(1/('Methodology'!$B$4*7/365))-1</x:f>
        <x:v>6.7112626148311705</x:v>
      </x:c>
      <x:c r="G142" s="30" t="n">
        <x:f>F142/$F$6</x:f>
        <x:v>0.9335455013523846</x:v>
      </x:c>
      <x:c r="H142" s="30" t="n">
        <x:v>0.8133020963670303</x:v>
      </x:c>
      <x:c r="I142" s="30" t="n">
        <x:f>$H$6-H142</x:f>
        <x:v>0.00016218452661675986</x:v>
      </x:c>
      <x:c r="J142" s="30" t="n">
        <x:v>0.802</x:v>
      </x:c>
      <x:c r="K142" s="30" t="n">
        <x:f>$J$6-J142</x:f>
        <x:v>0</x:v>
      </x:c>
      <x:c r="L142" s="29" t="n">
        <x:v>1</x:v>
      </x:c>
      <x:c r="M142" s="29" t="n">
        <x:v>1</x:v>
      </x:c>
      <x:c r="N142" s="29" t="n">
        <x:v>7</x:v>
      </x:c>
      <x:c r="O142" s="29" t="n">
        <x:v>3</x:v>
      </x:c>
      <x:c r="P142" s="29" t="n">
        <x:v>4</x:v>
      </x:c>
      <x:c r="Q142" s="29" t="n">
        <x:v>369</x:v>
      </x:c>
      <x:c r="R142" s="30" t="n">
        <x:v>-0.7230034507621478</x:v>
      </x:c>
      <x:c r="S142" s="30" t="n">
        <x:v>0.8133020963670303</x:v>
      </x:c>
      <x:c r="T142" s="30" t="n">
        <x:v>0.6576196087358335</x:v>
      </x:c>
      <x:c r="U142" s="28" t="str">
        <x:f>IF(AND(G142&gt;=80%,I142&gt;0,L142&gt;=1),"YES","")</x:f>
        <x:v>YES</x:v>
      </x:c>
      <x:c r="V142" s="31" t="n">
        <x:f>I142+0.4*K142-2*MAX(0,90%-G142)</x:f>
        <x:v>0.00016218452661675986</x:v>
      </x:c>
    </x:row>
    <x:row r="143">
      <x:c r="A143" s="35" t="n">
        <x:v>137</x:v>
      </x:c>
      <x:c r="B143" s="33" t="str">
        <x:v>Prior cash-session loss</x:v>
      </x:c>
      <x:c r="C143" s="33" t="str">
        <x:v>Skip after a prior cash-session loss of 3.5% or more.</x:v>
      </x:c>
      <x:c r="D143" s="29" t="n">
        <x:v>330168694738.06396</x:v>
      </x:c>
      <x:c r="E143" s="29" t="n">
        <x:v>11965</x:v>
      </x:c>
      <x:c r="F143" s="30" t="n">
        <x:f>(D143/E143)^(1/('Methodology'!$B$4*7/365))-1</x:f>
        <x:v>6.871202106277078</x:v>
      </x:c>
      <x:c r="G143" s="30" t="n">
        <x:f>F143/$F$6</x:f>
        <x:v>0.9557932960367937</x:v>
      </x:c>
      <x:c r="H143" s="30" t="n">
        <x:v>0.8133020963670303</x:v>
      </x:c>
      <x:c r="I143" s="30" t="n">
        <x:f>$H$6-H143</x:f>
        <x:v>0.00016218452661675986</x:v>
      </x:c>
      <x:c r="J143" s="30" t="n">
        <x:v>0.802</x:v>
      </x:c>
      <x:c r="K143" s="30" t="n">
        <x:f>$J$6-J143</x:f>
        <x:v>0</x:v>
      </x:c>
      <x:c r="L143" s="29" t="n">
        <x:v>0</x:v>
      </x:c>
      <x:c r="M143" s="29" t="n">
        <x:v>0</x:v>
      </x:c>
      <x:c r="N143" s="29" t="n">
        <x:v>3</x:v>
      </x:c>
      <x:c r="O143" s="29" t="n">
        <x:v>2</x:v>
      </x:c>
      <x:c r="P143" s="29" t="n">
        <x:v>1</x:v>
      </x:c>
      <x:c r="Q143" s="29" t="n">
        <x:v>373</x:v>
      </x:c>
      <x:c r="R143" s="30" t="n">
        <x:v>-0.7230034507621478</x:v>
      </x:c>
      <x:c r="S143" s="30" t="n">
        <x:v>0.8133020963670303</x:v>
      </x:c>
      <x:c r="T143" s="30" t="n">
        <x:v>0.6582145729596245</x:v>
      </x:c>
      <x:c r="U143" s="28" t="str">
        <x:f>IF(AND(G143&gt;=80%,I143&gt;0,L143&gt;=1),"YES","")</x:f>
      </x:c>
      <x:c r="V143" s="31" t="n">
        <x:f>I143+0.4*K143-2*MAX(0,90%-G143)</x:f>
        <x:v>0.00016218452661675986</x:v>
      </x:c>
    </x:row>
    <x:row r="144">
      <x:c r="A144" s="35" t="n">
        <x:v>138</x:v>
      </x:c>
      <x:c r="B144" s="33" t="str">
        <x:v>Prior cash-session loss</x:v>
      </x:c>
      <x:c r="C144" s="33" t="str">
        <x:v>Skip after a prior cash-session loss of 4.0% or more.</x:v>
      </x:c>
      <x:c r="D144" s="29" t="n">
        <x:v>481014937155.041</x:v>
      </x:c>
      <x:c r="E144" s="29" t="n">
        <x:v>12080</x:v>
      </x:c>
      <x:c r="F144" s="30" t="n">
        <x:f>(D144/E144)^(1/('Methodology'!$B$4*7/365))-1</x:f>
        <x:v>7.226602930802276</x:v>
      </x:c>
      <x:c r="G144" s="30" t="n">
        <x:f>F144/$F$6</x:f>
        <x:v>1.005230020533198</x:v>
      </x:c>
      <x:c r="H144" s="30" t="n">
        <x:v>0.8134642808936471</x:v>
      </x:c>
      <x:c r="I144" s="30" t="n">
        <x:f>$H$6-H144</x:f>
        <x:v>0</x:v>
      </x:c>
      <x:c r="J144" s="30" t="n">
        <x:v>0.802</x:v>
      </x:c>
      <x:c r="K144" s="30" t="n">
        <x:f>$J$6-J144</x:f>
        <x:v>0</x:v>
      </x:c>
      <x:c r="L144" s="29" t="n">
        <x:v>0</x:v>
      </x:c>
      <x:c r="M144" s="29" t="n">
        <x:v>0</x:v>
      </x:c>
      <x:c r="N144" s="29" t="n">
        <x:v>1</x:v>
      </x:c>
      <x:c r="O144" s="29" t="n">
        <x:v>1</x:v>
      </x:c>
      <x:c r="P144" s="29" t="n">
        <x:v>0</x:v>
      </x:c>
      <x:c r="Q144" s="29" t="n">
        <x:v>375</x:v>
      </x:c>
      <x:c r="R144" s="30" t="n">
        <x:v>-0.7230426999112742</x:v>
      </x:c>
      <x:c r="S144" s="30" t="n">
        <x:v>0.8134642808936471</x:v>
      </x:c>
      <x:c r="T144" s="30" t="n">
        <x:v>0.6582145730504683</x:v>
      </x:c>
      <x:c r="U144" s="28" t="str">
        <x:f>IF(AND(G144&gt;=80%,I144&gt;0,L144&gt;=1),"YES","")</x:f>
      </x:c>
      <x:c r="V144" s="31" t="n">
        <x:f>I144+0.4*K144-2*MAX(0,90%-G144)</x:f>
        <x:v>0</x:v>
      </x:c>
    </x:row>
    <x:row r="145">
      <x:c r="A145" s="35" t="n">
        <x:v>139</x:v>
      </x:c>
      <x:c r="B145" s="33" t="str">
        <x:v>Prior cash-session loss</x:v>
      </x:c>
      <x:c r="C145" s="33" t="str">
        <x:v>Skip after a prior cash-session loss of 4.5% or more.</x:v>
      </x:c>
      <x:c r="D145" s="29" t="n">
        <x:v>463060842662.48914</x:v>
      </x:c>
      <x:c r="E145" s="29" t="n">
        <x:v>12080</x:v>
      </x:c>
      <x:c r="F145" s="30" t="n">
        <x:f>(D145/E145)^(1/('Methodology'!$B$4*7/365))-1</x:f>
        <x:v>7.189004290748413</x:v>
      </x:c>
      <x:c r="G145" s="30" t="n">
        <x:f>F145/$F$6</x:f>
        <x:v>1</x:v>
      </x:c>
      <x:c r="H145" s="30" t="n">
        <x:v>0.8134642808936471</x:v>
      </x:c>
      <x:c r="I145" s="30" t="n">
        <x:f>$H$6-H145</x:f>
        <x:v>0</x:v>
      </x:c>
      <x:c r="J145" s="30" t="n">
        <x:v>0.802</x:v>
      </x:c>
      <x:c r="K145" s="30" t="n">
        <x:f>$J$6-J145</x:f>
        <x:v>0</x:v>
      </x:c>
      <x:c r="L145" s="29" t="n">
        <x:v>0</x:v>
      </x:c>
      <x:c r="M145" s="29" t="n">
        <x:v>0</x:v>
      </x:c>
      <x:c r="N145" s="29" t="n">
        <x:v>0</x:v>
      </x:c>
      <x:c r="O145" s="29" t="n">
        <x:v>0</x:v>
      </x:c>
      <x:c r="P145" s="29" t="n">
        <x:v>0</x:v>
      </x:c>
      <x:c r="Q145" s="29" t="n">
        <x:v>376</x:v>
      </x:c>
      <x:c r="R145" s="30" t="n">
        <x:v>-0.7230426999112742</x:v>
      </x:c>
      <x:c r="S145" s="30" t="n">
        <x:v>0.8134642808936471</x:v>
      </x:c>
      <x:c r="T145" s="30" t="n">
        <x:v>0.6582145730460247</x:v>
      </x:c>
      <x:c r="U145" s="28" t="str">
        <x:f>IF(AND(G145&gt;=80%,I145&gt;0,L145&gt;=1),"YES","")</x:f>
      </x:c>
      <x:c r="V145" s="31" t="n">
        <x:f>I145+0.4*K145-2*MAX(0,90%-G145)</x:f>
        <x:v>0</x:v>
      </x:c>
    </x:row>
    <x:row r="146">
      <x:c r="A146" s="35" t="n">
        <x:v>140</x:v>
      </x:c>
      <x:c r="B146" s="33" t="str">
        <x:v>Prior cash-session loss</x:v>
      </x:c>
      <x:c r="C146" s="33" t="str">
        <x:v>Skip after a prior cash-session loss of 5.0% or more.</x:v>
      </x:c>
      <x:c r="D146" s="29" t="n">
        <x:v>463060842662.48914</x:v>
      </x:c>
      <x:c r="E146" s="29" t="n">
        <x:v>12080</x:v>
      </x:c>
      <x:c r="F146" s="30" t="n">
        <x:f>(D146/E146)^(1/('Methodology'!$B$4*7/365))-1</x:f>
        <x:v>7.189004290748413</x:v>
      </x:c>
      <x:c r="G146" s="30" t="n">
        <x:f>F146/$F$6</x:f>
        <x:v>1</x:v>
      </x:c>
      <x:c r="H146" s="30" t="n">
        <x:v>0.8134642808936471</x:v>
      </x:c>
      <x:c r="I146" s="30" t="n">
        <x:f>$H$6-H146</x:f>
        <x:v>0</x:v>
      </x:c>
      <x:c r="J146" s="30" t="n">
        <x:v>0.802</x:v>
      </x:c>
      <x:c r="K146" s="30" t="n">
        <x:f>$J$6-J146</x:f>
        <x:v>0</x:v>
      </x:c>
      <x:c r="L146" s="29" t="n">
        <x:v>0</x:v>
      </x:c>
      <x:c r="M146" s="29" t="n">
        <x:v>0</x:v>
      </x:c>
      <x:c r="N146" s="29" t="n">
        <x:v>0</x:v>
      </x:c>
      <x:c r="O146" s="29" t="n">
        <x:v>0</x:v>
      </x:c>
      <x:c r="P146" s="29" t="n">
        <x:v>0</x:v>
      </x:c>
      <x:c r="Q146" s="29" t="n">
        <x:v>376</x:v>
      </x:c>
      <x:c r="R146" s="30" t="n">
        <x:v>-0.7230426999112742</x:v>
      </x:c>
      <x:c r="S146" s="30" t="n">
        <x:v>0.8134642808936471</x:v>
      </x:c>
      <x:c r="T146" s="30" t="n">
        <x:v>0.6582145730460247</x:v>
      </x:c>
      <x:c r="U146" s="28" t="str">
        <x:f>IF(AND(G146&gt;=80%,I146&gt;0,L146&gt;=1),"YES","")</x:f>
      </x:c>
      <x:c r="V146" s="31" t="n">
        <x:f>I146+0.4*K146-2*MAX(0,90%-G146)</x:f>
        <x:v>0</x:v>
      </x:c>
    </x:row>
    <x:row r="147">
      <x:c r="A147" s="35" t="n">
        <x:v>141</x:v>
      </x:c>
      <x:c r="B147" s="33" t="str">
        <x:v>High realized volatility</x:v>
      </x:c>
      <x:c r="C147" s="33" t="str">
        <x:v>Skip when 5-session daily realized volatility is at least 1.2%.</x:v>
      </x:c>
      <x:c r="D147" s="29" t="n">
        <x:v>91751118.55</x:v>
      </x:c>
      <x:c r="E147" s="29" t="n">
        <x:v>7135</x:v>
      </x:c>
      <x:c r="F147" s="30" t="n">
        <x:f>(D147/E147)^(1/('Methodology'!$B$4*7/365))-1</x:f>
        <x:v>2.124938114495374</x:v>
      </x:c>
      <x:c r="G147" s="30" t="n">
        <x:f>F147/$F$6</x:f>
        <x:v>0.29558170068558365</x:v>
      </x:c>
      <x:c r="H147" s="30" t="n">
        <x:v>0.6488924597262622</x:v>
      </x:c>
      <x:c r="I147" s="30" t="n">
        <x:f>$H$6-H147</x:f>
        <x:v>0.1645718211673849</x:v>
      </x:c>
      <x:c r="J147" s="30" t="n">
        <x:v>0.659</x:v>
      </x:c>
      <x:c r="K147" s="30" t="n">
        <x:f>$J$6-J147</x:f>
        <x:v>0.14300000000000002</x:v>
      </x:c>
      <x:c r="L147" s="29" t="n">
        <x:v>7</x:v>
      </x:c>
      <x:c r="M147" s="29" t="n">
        <x:v>6</x:v>
      </x:c>
      <x:c r="N147" s="29" t="n">
        <x:v>116</x:v>
      </x:c>
      <x:c r="O147" s="29" t="n">
        <x:v>41</x:v>
      </x:c>
      <x:c r="P147" s="29" t="n">
        <x:v>75</x:v>
      </x:c>
      <x:c r="Q147" s="29" t="n">
        <x:v>260</x:v>
      </x:c>
      <x:c r="R147" s="30" t="n">
        <x:v>-0.4698601231022106</x:v>
      </x:c>
      <x:c r="S147" s="30" t="n">
        <x:v>0.6488924597262622</x:v>
      </x:c>
      <x:c r="T147" s="30" t="n">
        <x:v>0.6188575518736358</x:v>
      </x:c>
      <x:c r="U147" s="28" t="str">
        <x:f>IF(AND(G147&gt;=80%,I147&gt;0,L147&gt;=1),"YES","")</x:f>
      </x:c>
      <x:c r="V147" s="31" t="n">
        <x:f>I147+0.4*K147-2*MAX(0,90%-G147)</x:f>
        <x:v>-0.9870647774614478</x:v>
      </x:c>
    </x:row>
    <x:row r="148">
      <x:c r="A148" s="35" t="n">
        <x:v>142</x:v>
      </x:c>
      <x:c r="B148" s="33" t="str">
        <x:v>High realized volatility</x:v>
      </x:c>
      <x:c r="C148" s="33" t="str">
        <x:v>Skip when 5-session daily realized volatility is at least 1.6%.</x:v>
      </x:c>
      <x:c r="D148" s="29" t="n">
        <x:v>10513027299.128998</x:v>
      </x:c>
      <x:c r="E148" s="29" t="n">
        <x:v>9665</x:v>
      </x:c>
      <x:c r="F148" s="30" t="n">
        <x:f>(D148/E148)^(1/('Methodology'!$B$4*7/365))-1</x:f>
        <x:v>4.332518297025219</x:v>
      </x:c>
      <x:c r="G148" s="30" t="n">
        <x:f>F148/$F$6</x:f>
        <x:v>0.6026590222794513</x:v>
      </x:c>
      <x:c r="H148" s="30" t="n">
        <x:v>0.7586141330396922</x:v>
      </x:c>
      <x:c r="I148" s="30" t="n">
        <x:f>$H$6-H148</x:f>
        <x:v>0.05485014785395492</x:v>
      </x:c>
      <x:c r="J148" s="30" t="n">
        <x:v>0.708</x:v>
      </x:c>
      <x:c r="K148" s="30" t="n">
        <x:f>$J$6-J148</x:f>
        <x:v>0.09400000000000008</x:v>
      </x:c>
      <x:c r="L148" s="29" t="n">
        <x:v>6</x:v>
      </x:c>
      <x:c r="M148" s="29" t="n">
        <x:v>4</x:v>
      </x:c>
      <x:c r="N148" s="29" t="n">
        <x:v>57</x:v>
      </x:c>
      <x:c r="O148" s="29" t="n">
        <x:v>21</x:v>
      </x:c>
      <x:c r="P148" s="29" t="n">
        <x:v>36</x:v>
      </x:c>
      <x:c r="Q148" s="29" t="n">
        <x:v>319</x:v>
      </x:c>
      <x:c r="R148" s="30" t="n">
        <x:v>-0.5437129573355025</x:v>
      </x:c>
      <x:c r="S148" s="30" t="n">
        <x:v>0.7586141330396922</x:v>
      </x:c>
      <x:c r="T148" s="30" t="n">
        <x:v>0.6576183617846992</x:v>
      </x:c>
      <x:c r="U148" s="28" t="str">
        <x:f>IF(AND(G148&gt;=80%,I148&gt;0,L148&gt;=1),"YES","")</x:f>
      </x:c>
      <x:c r="V148" s="31" t="n">
        <x:f>I148+0.4*K148-2*MAX(0,90%-G148)</x:f>
        <x:v>-0.5022318075871424</x:v>
      </x:c>
    </x:row>
    <x:row r="149">
      <x:c r="A149" s="35" t="n">
        <x:v>143</x:v>
      </x:c>
      <x:c r="B149" s="33" t="str">
        <x:v>High realized volatility</x:v>
      </x:c>
      <x:c r="C149" s="33" t="str">
        <x:v>Skip when 5-session daily realized volatility is at least 2.0%.</x:v>
      </x:c>
      <x:c r="D149" s="29" t="n">
        <x:v>22868203137.590992</x:v>
      </x:c>
      <x:c r="E149" s="29" t="n">
        <x:v>11390</x:v>
      </x:c>
      <x:c r="F149" s="30" t="n">
        <x:f>(D149/E149)^(1/('Methodology'!$B$4*7/365))-1</x:f>
        <x:v>4.740988142738509</x:v>
      </x:c>
      <x:c r="G149" s="30" t="n">
        <x:f>F149/$F$6</x:f>
        <x:v>0.6594777177751479</x:v>
      </x:c>
      <x:c r="H149" s="30" t="n">
        <x:v>0.8863688965124931</x:v>
      </x:c>
      <x:c r="I149" s="30" t="n">
        <x:f>$H$6-H149</x:f>
        <x:v>-0.07290461561884598</x:v>
      </x:c>
      <x:c r="J149" s="30" t="n">
        <x:v>0.886</x:v>
      </x:c>
      <x:c r="K149" s="30" t="n">
        <x:f>$J$6-J149</x:f>
        <x:v>-0.08399999999999996</x:v>
      </x:c>
      <x:c r="L149" s="29" t="n">
        <x:v>2</x:v>
      </x:c>
      <x:c r="M149" s="29" t="n">
        <x:v>1</x:v>
      </x:c>
      <x:c r="N149" s="29" t="n">
        <x:v>27</x:v>
      </x:c>
      <x:c r="O149" s="29" t="n">
        <x:v>8</x:v>
      </x:c>
      <x:c r="P149" s="29" t="n">
        <x:v>19</x:v>
      </x:c>
      <x:c r="Q149" s="29" t="n">
        <x:v>349</x:v>
      </x:c>
      <x:c r="R149" s="30" t="n">
        <x:v>-0.7228346089733733</x:v>
      </x:c>
      <x:c r="S149" s="30" t="n">
        <x:v>0.8863688965124931</x:v>
      </x:c>
      <x:c r="T149" s="30" t="n">
        <x:v>0.6582145687219265</x:v>
      </x:c>
      <x:c r="U149" s="28" t="str">
        <x:f>IF(AND(G149&gt;=80%,I149&gt;0,L149&gt;=1),"YES","")</x:f>
      </x:c>
      <x:c r="V149" s="31" t="n">
        <x:f>I149+0.4*K149-2*MAX(0,90%-G149)</x:f>
        <x:v>-0.5875491800685503</x:v>
      </x:c>
    </x:row>
    <x:row r="150">
      <x:c r="A150" s="35" t="n">
        <x:v>144</x:v>
      </x:c>
      <x:c r="B150" s="33" t="str">
        <x:v>High realized volatility</x:v>
      </x:c>
      <x:c r="C150" s="33" t="str">
        <x:v>Skip when 5-session daily realized volatility is at least 2.4%.</x:v>
      </x:c>
      <x:c r="D150" s="29" t="n">
        <x:v>166541647029.4479</x:v>
      </x:c>
      <x:c r="E150" s="29" t="n">
        <x:v>11965</x:v>
      </x:c>
      <x:c r="F150" s="30" t="n">
        <x:f>(D150/E150)^(1/('Methodology'!$B$4*7/365))-1</x:f>
        <x:v>6.2485307454966605</x:v>
      </x:c>
      <x:c r="G150" s="30" t="n">
        <x:f>F150/$F$6</x:f>
        <x:v>0.8691788866419158</x:v>
      </x:c>
      <x:c r="H150" s="30" t="n">
        <x:v>0.8133931364941237</x:v>
      </x:c>
      <x:c r="I150" s="30" t="n">
        <x:f>$H$6-H150</x:f>
        <x:v>0.00007114439952338181</x:v>
      </x:c>
      <x:c r="J150" s="30" t="n">
        <x:v>0.802</x:v>
      </x:c>
      <x:c r="K150" s="30" t="n">
        <x:f>$J$6-J150</x:f>
        <x:v>0</x:v>
      </x:c>
      <x:c r="L150" s="29" t="n">
        <x:v>1</x:v>
      </x:c>
      <x:c r="M150" s="29" t="n">
        <x:v>0</x:v>
      </x:c>
      <x:c r="N150" s="29" t="n">
        <x:v>8</x:v>
      </x:c>
      <x:c r="O150" s="29" t="n">
        <x:v>2</x:v>
      </x:c>
      <x:c r="P150" s="29" t="n">
        <x:v>6</x:v>
      </x:c>
      <x:c r="Q150" s="29" t="n">
        <x:v>368</x:v>
      </x:c>
      <x:c r="R150" s="30" t="n">
        <x:v>-0.723033119442219</x:v>
      </x:c>
      <x:c r="S150" s="30" t="n">
        <x:v>0.8133931364941237</x:v>
      </x:c>
      <x:c r="T150" s="30" t="n">
        <x:v>0.6582145726788442</x:v>
      </x:c>
      <x:c r="U150" s="28" t="str">
        <x:f>IF(AND(G150&gt;=80%,I150&gt;0,L150&gt;=1),"YES","")</x:f>
        <x:v>YES</x:v>
      </x:c>
      <x:c r="V150" s="31" t="n">
        <x:f>I150+0.4*K150-2*MAX(0,90%-G150)</x:f>
        <x:v>-0.0615710823166451</x:v>
      </x:c>
    </x:row>
    <x:row r="151">
      <x:c r="A151" s="35" t="n">
        <x:v>145</x:v>
      </x:c>
      <x:c r="B151" s="33" t="str">
        <x:v>High realized volatility</x:v>
      </x:c>
      <x:c r="C151" s="33" t="str">
        <x:v>Skip when 5-session daily realized volatility is at least 2.8%.</x:v>
      </x:c>
      <x:c r="D151" s="29" t="n">
        <x:v>164757035890.682</x:v>
      </x:c>
      <x:c r="E151" s="29" t="n">
        <x:v>12080</x:v>
      </x:c>
      <x:c r="F151" s="30" t="n">
        <x:f>(D151/E151)^(1/('Methodology'!$B$4*7/365))-1</x:f>
        <x:v>6.230798863887709</x:v>
      </x:c>
      <x:c r="G151" s="30" t="n">
        <x:f>F151/$F$6</x:f>
        <x:v>0.8667123584703064</x:v>
      </x:c>
      <x:c r="H151" s="30" t="n">
        <x:v>0.813430872658145</x:v>
      </x:c>
      <x:c r="I151" s="30" t="n">
        <x:f>$H$6-H151</x:f>
        <x:v>0.000033408235502130346</x:v>
      </x:c>
      <x:c r="J151" s="30" t="n">
        <x:v>0.802</x:v>
      </x:c>
      <x:c r="K151" s="30" t="n">
        <x:f>$J$6-J151</x:f>
        <x:v>0</x:v>
      </x:c>
      <x:c r="L151" s="29" t="n">
        <x:v>0</x:v>
      </x:c>
      <x:c r="M151" s="29" t="n">
        <x:v>0</x:v>
      </x:c>
      <x:c r="N151" s="29" t="n">
        <x:v>4</x:v>
      </x:c>
      <x:c r="O151" s="29" t="n">
        <x:v>0</x:v>
      </x:c>
      <x:c r="P151" s="29" t="n">
        <x:v>4</x:v>
      </x:c>
      <x:c r="Q151" s="29" t="n">
        <x:v>372</x:v>
      </x:c>
      <x:c r="R151" s="30" t="n">
        <x:v>-0.7230544059104503</x:v>
      </x:c>
      <x:c r="S151" s="30" t="n">
        <x:v>0.813430872658145</x:v>
      </x:c>
      <x:c r="T151" s="30" t="n">
        <x:v>0.6582145725661125</x:v>
      </x:c>
      <x:c r="U151" s="28" t="str">
        <x:f>IF(AND(G151&gt;=80%,I151&gt;0,L151&gt;=1),"YES","")</x:f>
      </x:c>
      <x:c r="V151" s="31" t="n">
        <x:f>I151+0.4*K151-2*MAX(0,90%-G151)</x:f>
        <x:v>-0.06654187482388518</x:v>
      </x:c>
    </x:row>
    <x:row r="152">
      <x:c r="A152" s="35" t="n">
        <x:v>146</x:v>
      </x:c>
      <x:c r="B152" s="33" t="str">
        <x:v>High realized volatility</x:v>
      </x:c>
      <x:c r="C152" s="33" t="str">
        <x:v>Skip when 10-session daily realized volatility is at least 1.2%.</x:v>
      </x:c>
      <x:c r="D152" s="29" t="n">
        <x:v>14563759.215000002</x:v>
      </x:c>
      <x:c r="E152" s="29" t="n">
        <x:v>5985</x:v>
      </x:c>
      <x:c r="F152" s="30" t="n">
        <x:f>(D152/E152)^(1/('Methodology'!$B$4*7/365))-1</x:f>
        <x:v>1.5572614167012584</x:v>
      </x:c>
      <x:c r="G152" s="30" t="n">
        <x:f>F152/$F$6</x:f>
        <x:v>0.216617121609638</x:v>
      </x:c>
      <x:c r="H152" s="30" t="n">
        <x:v>0.7455551382299841</x:v>
      </x:c>
      <x:c r="I152" s="30" t="n">
        <x:f>$H$6-H152</x:f>
        <x:v>0.06790914266366299</x:v>
      </x:c>
      <x:c r="J152" s="30" t="n">
        <x:v>0.752</x:v>
      </x:c>
      <x:c r="K152" s="30" t="n">
        <x:f>$J$6-J152</x:f>
        <x:v>0.050000000000000044</x:v>
      </x:c>
      <x:c r="L152" s="29" t="n">
        <x:v>10</x:v>
      </x:c>
      <x:c r="M152" s="29" t="n">
        <x:v>7</x:v>
      </x:c>
      <x:c r="N152" s="29" t="n">
        <x:v>144</x:v>
      </x:c>
      <x:c r="O152" s="29" t="n">
        <x:v>49</x:v>
      </x:c>
      <x:c r="P152" s="29" t="n">
        <x:v>95</x:v>
      </x:c>
      <x:c r="Q152" s="29" t="n">
        <x:v>232</x:v>
      </x:c>
      <x:c r="R152" s="30" t="n">
        <x:v>-0.4697410798116985</x:v>
      </x:c>
      <x:c r="S152" s="30" t="n">
        <x:v>0.7455551382299841</x:v>
      </x:c>
      <x:c r="T152" s="30" t="n">
        <x:v>0.6157468083814976</x:v>
      </x:c>
      <x:c r="U152" s="28" t="str">
        <x:f>IF(AND(G152&gt;=80%,I152&gt;0,L152&gt;=1),"YES","")</x:f>
      </x:c>
      <x:c r="V152" s="31" t="n">
        <x:f>I152+0.4*K152-2*MAX(0,90%-G152)</x:f>
        <x:v>-1.278856614117061</x:v>
      </x:c>
    </x:row>
    <x:row r="153">
      <x:c r="A153" s="35" t="n">
        <x:v>147</x:v>
      </x:c>
      <x:c r="B153" s="33" t="str">
        <x:v>High realized volatility</x:v>
      </x:c>
      <x:c r="C153" s="33" t="str">
        <x:v>Skip when 10-session daily realized volatility is at least 1.6%.</x:v>
      </x:c>
      <x:c r="D153" s="29" t="n">
        <x:v>6830019944.157</x:v>
      </x:c>
      <x:c r="E153" s="29" t="n">
        <x:v>9090</x:v>
      </x:c>
      <x:c r="F153" s="30" t="n">
        <x:f>(D153/E153)^(1/('Methodology'!$B$4*7/365))-1</x:f>
        <x:v>4.100166594753029</x:v>
      </x:c>
      <x:c r="G153" s="30" t="n">
        <x:f>F153/$F$6</x:f>
        <x:v>0.5703385933472827</x:v>
      </x:c>
      <x:c r="H153" s="30" t="n">
        <x:v>0.6576157009170437</x:v>
      </x:c>
      <x:c r="I153" s="30" t="n">
        <x:f>$H$6-H153</x:f>
        <x:v>0.1558485799766034</x:v>
      </x:c>
      <x:c r="J153" s="30" t="n">
        <x:v>0.658</x:v>
      </x:c>
      <x:c r="K153" s="30" t="n">
        <x:f>$J$6-J153</x:f>
        <x:v>0.14400000000000002</x:v>
      </x:c>
      <x:c r="L153" s="29" t="n">
        <x:v>8</x:v>
      </x:c>
      <x:c r="M153" s="29" t="n">
        <x:v>6</x:v>
      </x:c>
      <x:c r="N153" s="29" t="n">
        <x:v>72</x:v>
      </x:c>
      <x:c r="O153" s="29" t="n">
        <x:v>24</x:v>
      </x:c>
      <x:c r="P153" s="29" t="n">
        <x:v>48</x:v>
      </x:c>
      <x:c r="Q153" s="29" t="n">
        <x:v>304</x:v>
      </x:c>
      <x:c r="R153" s="30" t="n">
        <x:v>-0.4698647854926716</x:v>
      </x:c>
      <x:c r="S153" s="30" t="n">
        <x:v>0.6125498598985777</x:v>
      </x:c>
      <x:c r="T153" s="30" t="n">
        <x:v>0.6576157009170437</x:v>
      </x:c>
      <x:c r="U153" s="28" t="str">
        <x:f>IF(AND(G153&gt;=80%,I153&gt;0,L153&gt;=1),"YES","")</x:f>
      </x:c>
      <x:c r="V153" s="31" t="n">
        <x:f>I153+0.4*K153-2*MAX(0,90%-G153)</x:f>
        <x:v>-0.44587423332883136</x:v>
      </x:c>
    </x:row>
    <x:row r="154">
      <x:c r="A154" s="35" t="n">
        <x:v>148</x:v>
      </x:c>
      <x:c r="B154" s="33" t="str">
        <x:v>High realized volatility</x:v>
      </x:c>
      <x:c r="C154" s="33" t="str">
        <x:v>Skip when 10-session daily realized volatility is at least 2.0%.</x:v>
      </x:c>
      <x:c r="D154" s="29" t="n">
        <x:v>85022025555.60397</x:v>
      </x:c>
      <x:c r="E154" s="29" t="n">
        <x:v>10815</x:v>
      </x:c>
      <x:c r="F154" s="30" t="n">
        <x:f>(D154/E154)^(1/('Methodology'!$B$4*7/365))-1</x:f>
        <x:v>5.766632375783979</x:v>
      </x:c>
      <x:c r="G154" s="30" t="n">
        <x:f>F154/$F$6</x:f>
        <x:v>0.802146186392614</x:v>
      </x:c>
      <x:c r="H154" s="30" t="n">
        <x:v>0.6576200313191638</x:v>
      </x:c>
      <x:c r="I154" s="30" t="n">
        <x:f>$H$6-H154</x:f>
        <x:v>0.15584424957448328</x:v>
      </x:c>
      <x:c r="J154" s="30" t="n">
        <x:v>0.658</x:v>
      </x:c>
      <x:c r="K154" s="30" t="n">
        <x:f>$J$6-J154</x:f>
        <x:v>0.14400000000000002</x:v>
      </x:c>
      <x:c r="L154" s="29" t="n">
        <x:v>4</x:v>
      </x:c>
      <x:c r="M154" s="29" t="n">
        <x:v>3</x:v>
      </x:c>
      <x:c r="N154" s="29" t="n">
        <x:v>33</x:v>
      </x:c>
      <x:c r="O154" s="29" t="n">
        <x:v>10</x:v>
      </x:c>
      <x:c r="P154" s="29" t="n">
        <x:v>23</x:v>
      </x:c>
      <x:c r="Q154" s="29" t="n">
        <x:v>343</x:v>
      </x:c>
      <x:c r="R154" s="30" t="n">
        <x:v>-0.4838666666602867</x:v>
      </x:c>
      <x:c r="S154" s="30" t="n">
        <x:v>0.6551952269163656</x:v>
      </x:c>
      <x:c r="T154" s="30" t="n">
        <x:v>0.6576200313191638</x:v>
      </x:c>
      <x:c r="U154" s="28" t="str">
        <x:f>IF(AND(G154&gt;=80%,I154&gt;0,L154&gt;=1),"YES","")</x:f>
        <x:v>YES</x:v>
      </x:c>
      <x:c r="V154" s="31" t="n">
        <x:f>I154+0.4*K154-2*MAX(0,90%-G154)</x:f>
        <x:v>0.017736622359711324</x:v>
      </x:c>
    </x:row>
    <x:row r="155">
      <x:c r="A155" s="35" t="n">
        <x:v>149</x:v>
      </x:c>
      <x:c r="B155" s="33" t="str">
        <x:v>High realized volatility</x:v>
      </x:c>
      <x:c r="C155" s="33" t="str">
        <x:v>Skip when 10-session daily realized volatility is at least 2.4%.</x:v>
      </x:c>
      <x:c r="D155" s="29" t="n">
        <x:v>161882988732.47397</x:v>
      </x:c>
      <x:c r="E155" s="29" t="n">
        <x:v>11850</x:v>
      </x:c>
      <x:c r="F155" s="30" t="n">
        <x:f>(D155/E155)^(1/('Methodology'!$B$4*7/365))-1</x:f>
        <x:v>6.2322141691742585</x:v>
      </x:c>
      <x:c r="G155" s="30" t="n">
        <x:f>F155/$F$6</x:f>
        <x:v>0.8669092293065599</x:v>
      </x:c>
      <x:c r="H155" s="30" t="n">
        <x:v>0.8133546246448449</x:v>
      </x:c>
      <x:c r="I155" s="30" t="n">
        <x:f>$H$6-H155</x:f>
        <x:v>0.00010965624880221458</x:v>
      </x:c>
      <x:c r="J155" s="30" t="n">
        <x:v>0.802</x:v>
      </x:c>
      <x:c r="K155" s="30" t="n">
        <x:f>$J$6-J155</x:f>
        <x:v>0</x:v>
      </x:c>
      <x:c r="L155" s="29" t="n">
        <x:v>2</x:v>
      </x:c>
      <x:c r="M155" s="29" t="n">
        <x:v>2</x:v>
      </x:c>
      <x:c r="N155" s="29" t="n">
        <x:v>13</x:v>
      </x:c>
      <x:c r="O155" s="29" t="n">
        <x:v>4</x:v>
      </x:c>
      <x:c r="P155" s="29" t="n">
        <x:v>9</x:v>
      </x:c>
      <x:c r="Q155" s="29" t="n">
        <x:v>363</x:v>
      </x:c>
      <x:c r="R155" s="30" t="n">
        <x:v>-0.7229878579282745</x:v>
      </x:c>
      <x:c r="S155" s="30" t="n">
        <x:v>0.8133546246448449</x:v>
      </x:c>
      <x:c r="T155" s="30" t="n">
        <x:v>0.6576198433649156</x:v>
      </x:c>
      <x:c r="U155" s="28" t="str">
        <x:f>IF(AND(G155&gt;=80%,I155&gt;0,L155&gt;=1),"YES","")</x:f>
        <x:v>YES</x:v>
      </x:c>
      <x:c r="V155" s="31" t="n">
        <x:f>I155+0.4*K155-2*MAX(0,90%-G155)</x:f>
        <x:v>-0.06607188513807805</x:v>
      </x:c>
    </x:row>
    <x:row r="156">
      <x:c r="A156" s="35" t="n">
        <x:v>150</x:v>
      </x:c>
      <x:c r="B156" s="33" t="str">
        <x:v>High realized volatility</x:v>
      </x:c>
      <x:c r="C156" s="33" t="str">
        <x:v>Skip when 10-session daily realized volatility is at least 2.8%.</x:v>
      </x:c>
      <x:c r="D156" s="29" t="n">
        <x:v>127879128012.16399</x:v>
      </x:c>
      <x:c r="E156" s="29" t="n">
        <x:v>12195</x:v>
      </x:c>
      <x:c r="F156" s="30" t="n">
        <x:f>(D156/E156)^(1/('Methodology'!$B$4*7/365))-1</x:f>
        <x:v>6.00549730705806</x:v>
      </x:c>
      <x:c r="G156" s="30" t="n">
        <x:f>F156/$F$6</x:f>
        <x:v>0.8353726140887943</x:v>
      </x:c>
      <x:c r="H156" s="30" t="n">
        <x:v>0.8133546246448449</x:v>
      </x:c>
      <x:c r="I156" s="30" t="n">
        <x:f>$H$6-H156</x:f>
        <x:v>0.00010965624880221458</x:v>
      </x:c>
      <x:c r="J156" s="30" t="n">
        <x:v>0.802</x:v>
      </x:c>
      <x:c r="K156" s="30" t="n">
        <x:f>$J$6-J156</x:f>
        <x:v>0</x:v>
      </x:c>
      <x:c r="L156" s="29" t="n">
        <x:v>0</x:v>
      </x:c>
      <x:c r="M156" s="29" t="n">
        <x:v>0</x:v>
      </x:c>
      <x:c r="N156" s="29" t="n">
        <x:v>6</x:v>
      </x:c>
      <x:c r="O156" s="29" t="n">
        <x:v>1</x:v>
      </x:c>
      <x:c r="P156" s="29" t="n">
        <x:v>5</x:v>
      </x:c>
      <x:c r="Q156" s="29" t="n">
        <x:v>370</x:v>
      </x:c>
      <x:c r="R156" s="30" t="n">
        <x:v>-0.7229878579282745</x:v>
      </x:c>
      <x:c r="S156" s="30" t="n">
        <x:v>0.8133546246448449</x:v>
      </x:c>
      <x:c r="T156" s="30" t="n">
        <x:v>0.6582145725657078</x:v>
      </x:c>
      <x:c r="U156" s="28" t="str">
        <x:f>IF(AND(G156&gt;=80%,I156&gt;0,L156&gt;=1),"YES","")</x:f>
      </x:c>
      <x:c r="V156" s="31" t="n">
        <x:f>I156+0.4*K156-2*MAX(0,90%-G156)</x:f>
        <x:v>-0.1291451155736093</x:v>
      </x:c>
    </x:row>
    <x:row r="157">
      <x:c r="A157" s="35" t="n">
        <x:v>151</x:v>
      </x:c>
      <x:c r="B157" s="33" t="str">
        <x:v>High realized volatility</x:v>
      </x:c>
      <x:c r="C157" s="33" t="str">
        <x:v>Skip when 20-session daily realized volatility is at least 1.2%.</x:v>
      </x:c>
      <x:c r="D157" s="29" t="n">
        <x:v>1159318.8500000003</x:v>
      </x:c>
      <x:c r="E157" s="29" t="n">
        <x:v>6445</x:v>
      </x:c>
      <x:c r="F157" s="30" t="n">
        <x:f>(D157/E157)^(1/('Methodology'!$B$4*7/365))-1</x:f>
        <x:v>0.8687443025831516</x:v>
      </x:c>
      <x:c r="G157" s="30" t="n">
        <x:f>F157/$F$6</x:f>
        <x:v>0.12084348088387506</x:v>
      </x:c>
      <x:c r="H157" s="30" t="n">
        <x:v>0.7800157859595129</x:v>
      </x:c>
      <x:c r="I157" s="30" t="n">
        <x:f>$H$6-H157</x:f>
        <x:v>0.033448494934134154</x:v>
      </x:c>
      <x:c r="J157" s="30" t="n">
        <x:v>0.786</x:v>
      </x:c>
      <x:c r="K157" s="30" t="n">
        <x:f>$J$6-J157</x:f>
        <x:v>0.016000000000000014</x:v>
      </x:c>
      <x:c r="L157" s="29" t="n">
        <x:v>9</x:v>
      </x:c>
      <x:c r="M157" s="29" t="n">
        <x:v>7</x:v>
      </x:c>
      <x:c r="N157" s="29" t="n">
        <x:v>152</x:v>
      </x:c>
      <x:c r="O157" s="29" t="n">
        <x:v>50</x:v>
      </x:c>
      <x:c r="P157" s="29" t="n">
        <x:v>102</x:v>
      </x:c>
      <x:c r="Q157" s="29" t="n">
        <x:v>224</x:v>
      </x:c>
      <x:c r="R157" s="30" t="n">
        <x:v>-0.4681082532541395</x:v>
      </x:c>
      <x:c r="S157" s="30" t="n">
        <x:v>0.7800157859595129</x:v>
      </x:c>
      <x:c r="T157" s="30" t="n">
        <x:v>0.6529583282242393</x:v>
      </x:c>
      <x:c r="U157" s="28" t="str">
        <x:f>IF(AND(G157&gt;=80%,I157&gt;0,L157&gt;=1),"YES","")</x:f>
      </x:c>
      <x:c r="V157" s="31" t="n">
        <x:f>I157+0.4*K157-2*MAX(0,90%-G157)</x:f>
        <x:v>-1.5184645432981156</x:v>
      </x:c>
    </x:row>
    <x:row r="158">
      <x:c r="A158" s="35" t="n">
        <x:v>152</x:v>
      </x:c>
      <x:c r="B158" s="33" t="str">
        <x:v>High realized volatility</x:v>
      </x:c>
      <x:c r="C158" s="33" t="str">
        <x:v>Skip when 20-session daily realized volatility is at least 1.6%.</x:v>
      </x:c>
      <x:c r="D158" s="29" t="n">
        <x:v>2697304815.0940013</x:v>
      </x:c>
      <x:c r="E158" s="29" t="n">
        <x:v>9090</x:v>
      </x:c>
      <x:c r="F158" s="30" t="n">
        <x:f>(D158/E158)^(1/('Methodology'!$B$4*7/365))-1</x:f>
        <x:v>3.560315955859295</x:v>
      </x:c>
      <x:c r="G158" s="30" t="n">
        <x:f>F158/$F$6</x:f>
        <x:v>0.4952446558476943</x:v>
      </x:c>
      <x:c r="H158" s="30" t="n">
        <x:v>0.6589553175179431</x:v>
      </x:c>
      <x:c r="I158" s="30" t="n">
        <x:f>$H$6-H158</x:f>
        <x:v>0.15450896337570397</x:v>
      </x:c>
      <x:c r="J158" s="30" t="n">
        <x:v>0.658</x:v>
      </x:c>
      <x:c r="K158" s="30" t="n">
        <x:f>$J$6-J158</x:f>
        <x:v>0.14400000000000002</x:v>
      </x:c>
      <x:c r="L158" s="29" t="n">
        <x:v>7</x:v>
      </x:c>
      <x:c r="M158" s="29" t="n">
        <x:v>5</x:v>
      </x:c>
      <x:c r="N158" s="29" t="n">
        <x:v>76</x:v>
      </x:c>
      <x:c r="O158" s="29" t="n">
        <x:v>26</x:v>
      </x:c>
      <x:c r="P158" s="29" t="n">
        <x:v>50</x:v>
      </x:c>
      <x:c r="Q158" s="29" t="n">
        <x:v>300</x:v>
      </x:c>
      <x:c r="R158" s="30" t="n">
        <x:v>-0.48386665439117515</x:v>
      </x:c>
      <x:c r="S158" s="30" t="n">
        <x:v>0.6589553175179431</x:v>
      </x:c>
      <x:c r="T158" s="30" t="n">
        <x:v>0.6576080044553209</x:v>
      </x:c>
      <x:c r="U158" s="28" t="str">
        <x:f>IF(AND(G158&gt;=80%,I158&gt;0,L158&gt;=1),"YES","")</x:f>
      </x:c>
      <x:c r="V158" s="31" t="n">
        <x:f>I158+0.4*K158-2*MAX(0,90%-G158)</x:f>
        <x:v>-0.5974017249289075</x:v>
      </x:c>
    </x:row>
    <x:row r="159">
      <x:c r="A159" s="35" t="n">
        <x:v>153</x:v>
      </x:c>
      <x:c r="B159" s="33" t="str">
        <x:v>High realized volatility</x:v>
      </x:c>
      <x:c r="C159" s="33" t="str">
        <x:v>Skip when 20-session daily realized volatility is at least 2.0%.</x:v>
      </x:c>
      <x:c r="D159" s="29" t="n">
        <x:v>145681684346.46793</x:v>
      </x:c>
      <x:c r="E159" s="29" t="n">
        <x:v>10930</x:v>
      </x:c>
      <x:c r="F159" s="30" t="n">
        <x:f>(D159/E159)^(1/('Methodology'!$B$4*7/365))-1</x:f>
        <x:v>6.210792396603969</x:v>
      </x:c>
      <x:c r="G159" s="30" t="n">
        <x:f>F159/$F$6</x:f>
        <x:v>0.8639294324245553</x:v>
      </x:c>
      <x:c r="H159" s="30" t="n">
        <x:v>0.8131896829670324</x:v>
      </x:c>
      <x:c r="I159" s="30" t="n">
        <x:f>$H$6-H159</x:f>
        <x:v>0.0002745979266146614</x:v>
      </x:c>
      <x:c r="J159" s="30" t="n">
        <x:v>0.802</x:v>
      </x:c>
      <x:c r="K159" s="30" t="n">
        <x:f>$J$6-J159</x:f>
        <x:v>0</x:v>
      </x:c>
      <x:c r="L159" s="29" t="n">
        <x:v>5</x:v>
      </x:c>
      <x:c r="M159" s="29" t="n">
        <x:v>2</x:v>
      </x:c>
      <x:c r="N159" s="29" t="n">
        <x:v>31</x:v>
      </x:c>
      <x:c r="O159" s="29" t="n">
        <x:v>12</x:v>
      </x:c>
      <x:c r="P159" s="29" t="n">
        <x:v>19</x:v>
      </x:c>
      <x:c r="Q159" s="29" t="n">
        <x:v>345</x:v>
      </x:c>
      <x:c r="R159" s="30" t="n">
        <x:v>-0.7230255121328178</x:v>
      </x:c>
      <x:c r="S159" s="30" t="n">
        <x:v>0.8131896829670324</x:v>
      </x:c>
      <x:c r="T159" s="30" t="n">
        <x:v>0.6576203441260028</x:v>
      </x:c>
      <x:c r="U159" s="28" t="str">
        <x:f>IF(AND(G159&gt;=80%,I159&gt;0,L159&gt;=1),"YES","")</x:f>
        <x:v>YES</x:v>
      </x:c>
      <x:c r="V159" s="31" t="n">
        <x:f>I159+0.4*K159-2*MAX(0,90%-G159)</x:f>
        <x:v>-0.07186653722427472</x:v>
      </x:c>
    </x:row>
    <x:row r="160">
      <x:c r="A160" s="35" t="n">
        <x:v>154</x:v>
      </x:c>
      <x:c r="B160" s="33" t="str">
        <x:v>High realized volatility</x:v>
      </x:c>
      <x:c r="C160" s="33" t="str">
        <x:v>Skip when 20-session daily realized volatility is at least 2.4%.</x:v>
      </x:c>
      <x:c r="D160" s="29" t="n">
        <x:v>229305634677.72592</x:v>
      </x:c>
      <x:c r="E160" s="29" t="n">
        <x:v>11850</x:v>
      </x:c>
      <x:c r="F160" s="30" t="n">
        <x:f>(D160/E160)^(1/('Methodology'!$B$4*7/365))-1</x:f>
        <x:v>6.541899796309807</x:v>
      </x:c>
      <x:c r="G160" s="30" t="n">
        <x:f>F160/$F$6</x:f>
        <x:v>0.9099869094150675</x:v>
      </x:c>
      <x:c r="H160" s="30" t="n">
        <x:v>0.8134239567632114</x:v>
      </x:c>
      <x:c r="I160" s="30" t="n">
        <x:f>$H$6-H160</x:f>
        <x:v>0.00004032413043564276</x:v>
      </x:c>
      <x:c r="J160" s="30" t="n">
        <x:v>0.802</x:v>
      </x:c>
      <x:c r="K160" s="30" t="n">
        <x:f>$J$6-J160</x:f>
        <x:v>0</x:v>
      </x:c>
      <x:c r="L160" s="29" t="n">
        <x:v>1</x:v>
      </x:c>
      <x:c r="M160" s="29" t="n">
        <x:v>1</x:v>
      </x:c>
      <x:c r="N160" s="29" t="n">
        <x:v>11</x:v>
      </x:c>
      <x:c r="O160" s="29" t="n">
        <x:v>4</x:v>
      </x:c>
      <x:c r="P160" s="29" t="n">
        <x:v>7</x:v>
      </x:c>
      <x:c r="Q160" s="29" t="n">
        <x:v>365</x:v>
      </x:c>
      <x:c r="R160" s="30" t="n">
        <x:v>-0.7230263589888108</x:v>
      </x:c>
      <x:c r="S160" s="30" t="n">
        <x:v>0.8134239567632114</x:v>
      </x:c>
      <x:c r="T160" s="30" t="n">
        <x:v>0.6582145728550178</x:v>
      </x:c>
      <x:c r="U160" s="28" t="str">
        <x:f>IF(AND(G160&gt;=80%,I160&gt;0,L160&gt;=1),"YES","")</x:f>
        <x:v>YES</x:v>
      </x:c>
      <x:c r="V160" s="31" t="n">
        <x:f>I160+0.4*K160-2*MAX(0,90%-G160)</x:f>
        <x:v>0.00004032413043564276</x:v>
      </x:c>
    </x:row>
    <x:row r="161">
      <x:c r="A161" s="35" t="n">
        <x:v>155</x:v>
      </x:c>
      <x:c r="B161" s="33" t="str">
        <x:v>High realized volatility</x:v>
      </x:c>
      <x:c r="C161" s="33" t="str">
        <x:v>Skip when 20-session daily realized volatility is at least 2.8%.</x:v>
      </x:c>
      <x:c r="D161" s="29" t="n">
        <x:v>154476642866.68497</x:v>
      </x:c>
      <x:c r="E161" s="29" t="n">
        <x:v>11965</x:v>
      </x:c>
      <x:c r="F161" s="30" t="n">
        <x:f>(D161/E161)^(1/('Methodology'!$B$4*7/365))-1</x:f>
        <x:v>6.1831839638813655</x:v>
      </x:c>
      <x:c r="G161" s="30" t="n">
        <x:f>F161/$F$6</x:f>
        <x:v>0.8600890629372074</x:v>
      </x:c>
      <x:c r="H161" s="30" t="n">
        <x:v>0.8134308007628805</x:v>
      </x:c>
      <x:c r="I161" s="30" t="n">
        <x:f>$H$6-H161</x:f>
        <x:v>0.000033480130766538885</x:v>
      </x:c>
      <x:c r="J161" s="30" t="n">
        <x:v>0.802</x:v>
      </x:c>
      <x:c r="K161" s="30" t="n">
        <x:f>$J$6-J161</x:f>
        <x:v>0</x:v>
      </x:c>
      <x:c r="L161" s="29" t="n">
        <x:v>0</x:v>
      </x:c>
      <x:c r="M161" s="29" t="n">
        <x:v>0</x:v>
      </x:c>
      <x:c r="N161" s="29" t="n">
        <x:v>5</x:v>
      </x:c>
      <x:c r="O161" s="29" t="n">
        <x:v>1</x:v>
      </x:c>
      <x:c r="P161" s="29" t="n">
        <x:v>4</x:v>
      </x:c>
      <x:c r="Q161" s="29" t="n">
        <x:v>371</x:v>
      </x:c>
      <x:c r="R161" s="30" t="n">
        <x:v>-0.7230289853462649</x:v>
      </x:c>
      <x:c r="S161" s="30" t="n">
        <x:v>0.8134308007628805</x:v>
      </x:c>
      <x:c r="T161" s="30" t="n">
        <x:v>0.6582145726573895</x:v>
      </x:c>
      <x:c r="U161" s="28" t="str">
        <x:f>IF(AND(G161&gt;=80%,I161&gt;0,L161&gt;=1),"YES","")</x:f>
      </x:c>
      <x:c r="V161" s="31" t="n">
        <x:f>I161+0.4*K161-2*MAX(0,90%-G161)</x:f>
        <x:v>-0.07978839399481863</x:v>
      </x:c>
    </x:row>
    <x:row r="162">
      <x:c r="A162" s="35" t="n">
        <x:v>156</x:v>
      </x:c>
      <x:c r="B162" s="33" t="str">
        <x:v>Full premarket decline</x:v>
      </x:c>
      <x:c r="C162" s="33" t="str">
        <x:v>Skip when the full premarket return is -0.2% or worse.</x:v>
      </x:c>
      <x:c r="D162" s="29" t="n">
        <x:v>428400760.72200006</x:v>
      </x:c>
      <x:c r="E162" s="29" t="n">
        <x:v>9205</x:v>
      </x:c>
      <x:c r="F162" s="30" t="n">
        <x:f>(D162/E162)^(1/('Methodology'!$B$4*7/365))-1</x:f>
        <x:v>2.648466890002517</x:v>
      </x:c>
      <x:c r="G162" s="30" t="n">
        <x:f>F162/$F$6</x:f>
        <x:v>0.3684052454121985</x:v>
      </x:c>
      <x:c r="H162" s="30" t="n">
        <x:v>0.7508155905483211</x:v>
      </x:c>
      <x:c r="I162" s="30" t="n">
        <x:f>$H$6-H162</x:f>
        <x:v>0.06264869034532594</x:v>
      </x:c>
      <x:c r="J162" s="30" t="n">
        <x:v>0.751</x:v>
      </x:c>
      <x:c r="K162" s="30" t="n">
        <x:f>$J$6-J162</x:f>
        <x:v>0.051000000000000045</x:v>
      </x:c>
      <x:c r="L162" s="29" t="n">
        <x:v>3</x:v>
      </x:c>
      <x:c r="M162" s="29" t="n">
        <x:v>2</x:v>
      </x:c>
      <x:c r="N162" s="29" t="n">
        <x:v>106</x:v>
      </x:c>
      <x:c r="O162" s="29" t="n">
        <x:v>40</x:v>
      </x:c>
      <x:c r="P162" s="29" t="n">
        <x:v>66</x:v>
      </x:c>
      <x:c r="Q162" s="29" t="n">
        <x:v>270</x:v>
      </x:c>
      <x:c r="R162" s="30" t="n">
        <x:v>-0.7229429077237243</x:v>
      </x:c>
      <x:c r="S162" s="30" t="n">
        <x:v>0.7508155905483211</x:v>
      </x:c>
      <x:c r="T162" s="30" t="n">
        <x:v>0.6714834718207172</x:v>
      </x:c>
      <x:c r="U162" s="28" t="str">
        <x:f>IF(AND(G162&gt;=80%,I162&gt;0,L162&gt;=1),"YES","")</x:f>
      </x:c>
      <x:c r="V162" s="31" t="n">
        <x:f>I162+0.4*K162-2*MAX(0,90%-G162)</x:f>
        <x:v>-0.980140818830277</x:v>
      </x:c>
    </x:row>
    <x:row r="163">
      <x:c r="A163" s="35" t="n">
        <x:v>157</x:v>
      </x:c>
      <x:c r="B163" s="33" t="str">
        <x:v>Full premarket decline</x:v>
      </x:c>
      <x:c r="C163" s="33" t="str">
        <x:v>Skip when the full premarket return is -0.4% or worse.</x:v>
      </x:c>
      <x:c r="D163" s="29" t="n">
        <x:v>3541135157.482</x:v>
      </x:c>
      <x:c r="E163" s="29" t="n">
        <x:v>10470</x:v>
      </x:c>
      <x:c r="F163" s="30" t="n">
        <x:f>(D163/E163)^(1/('Methodology'!$B$4*7/365))-1</x:f>
        <x:v>3.632746043649746</x:v>
      </x:c>
      <x:c r="G163" s="30" t="n">
        <x:f>F163/$F$6</x:f>
        <x:v>0.5053197768048012</x:v>
      </x:c>
      <x:c r="H163" s="30" t="n">
        <x:v>0.7509583819767432</x:v>
      </x:c>
      <x:c r="I163" s="30" t="n">
        <x:f>$H$6-H163</x:f>
        <x:v>0.06250589891690383</x:v>
      </x:c>
      <x:c r="J163" s="30" t="n">
        <x:v>0.751</x:v>
      </x:c>
      <x:c r="K163" s="30" t="n">
        <x:f>$J$6-J163</x:f>
        <x:v>0.051000000000000045</x:v>
      </x:c>
      <x:c r="L163" s="29" t="n">
        <x:v>3</x:v>
      </x:c>
      <x:c r="M163" s="29" t="n">
        <x:v>2</x:v>
      </x:c>
      <x:c r="N163" s="29" t="n">
        <x:v>66</x:v>
      </x:c>
      <x:c r="O163" s="29" t="n">
        <x:v>20</x:v>
      </x:c>
      <x:c r="P163" s="29" t="n">
        <x:v>46</x:v>
      </x:c>
      <x:c r="Q163" s="29" t="n">
        <x:v>310</x:v>
      </x:c>
      <x:c r="R163" s="30" t="n">
        <x:v>-0.7229779293140245</x:v>
      </x:c>
      <x:c r="S163" s="30" t="n">
        <x:v>0.7509583819767432</x:v>
      </x:c>
      <x:c r="T163" s="30" t="n">
        <x:v>0.6715035404674452</x:v>
      </x:c>
      <x:c r="U163" s="28" t="str">
        <x:f>IF(AND(G163&gt;=80%,I163&gt;0,L163&gt;=1),"YES","")</x:f>
      </x:c>
      <x:c r="V163" s="31" t="n">
        <x:f>I163+0.4*K163-2*MAX(0,90%-G163)</x:f>
        <x:v>-0.7064545474734938</x:v>
      </x:c>
    </x:row>
    <x:row r="164">
      <x:c r="A164" s="35" t="n">
        <x:v>158</x:v>
      </x:c>
      <x:c r="B164" s="33" t="str">
        <x:v>Full premarket decline</x:v>
      </x:c>
      <x:c r="C164" s="33" t="str">
        <x:v>Skip when the full premarket return is -0.6% or worse.</x:v>
      </x:c>
      <x:c r="D164" s="29" t="n">
        <x:v>17987727073.66599</x:v>
      </x:c>
      <x:c r="E164" s="29" t="n">
        <x:v>10930</x:v>
      </x:c>
      <x:c r="F164" s="30" t="n">
        <x:f>(D164/E164)^(1/('Methodology'!$B$4*7/365))-1</x:f>
        <x:v>4.605158789830975</x:v>
      </x:c>
      <x:c r="G164" s="30" t="n">
        <x:f>F164/$F$6</x:f>
        <x:v>0.6405836752326592</x:v>
      </x:c>
      <x:c r="H164" s="30" t="n">
        <x:v>0.8018244631961264</x:v>
      </x:c>
      <x:c r="I164" s="30" t="n">
        <x:f>$H$6-H164</x:f>
        <x:v>0.011639817697520649</x:v>
      </x:c>
      <x:c r="J164" s="30" t="n">
        <x:v>0.802</x:v>
      </x:c>
      <x:c r="K164" s="30" t="n">
        <x:f>$J$6-J164</x:f>
        <x:v>0</x:v>
      </x:c>
      <x:c r="L164" s="29" t="n">
        <x:v>2</x:v>
      </x:c>
      <x:c r="M164" s="29" t="n">
        <x:v>1</x:v>
      </x:c>
      <x:c r="N164" s="29" t="n">
        <x:v>45</x:v>
      </x:c>
      <x:c r="O164" s="29" t="n">
        <x:v>16</x:v>
      </x:c>
      <x:c r="P164" s="29" t="n">
        <x:v>29</x:v>
      </x:c>
      <x:c r="Q164" s="29" t="n">
        <x:v>331</x:v>
      </x:c>
      <x:c r="R164" s="30" t="n">
        <x:v>-0.7230443524835022</x:v>
      </x:c>
      <x:c r="S164" s="30" t="n">
        <x:v>0.8018244631961264</x:v>
      </x:c>
      <x:c r="T164" s="30" t="n">
        <x:v>0.671507248137261</x:v>
      </x:c>
      <x:c r="U164" s="28" t="str">
        <x:f>IF(AND(G164&gt;=80%,I164&gt;0,L164&gt;=1),"YES","")</x:f>
      </x:c>
      <x:c r="V164" s="31" t="n">
        <x:f>I164+0.4*K164-2*MAX(0,90%-G164)</x:f>
        <x:v>-0.5071928318371609</x:v>
      </x:c>
    </x:row>
    <x:row r="165">
      <x:c r="A165" s="35" t="n">
        <x:v>159</x:v>
      </x:c>
      <x:c r="B165" s="33" t="str">
        <x:v>Full premarket decline</x:v>
      </x:c>
      <x:c r="C165" s="33" t="str">
        <x:v>Skip when the full premarket return is -0.8% or worse.</x:v>
      </x:c>
      <x:c r="D165" s="29" t="n">
        <x:v>43493858970.681984</x:v>
      </x:c>
      <x:c r="E165" s="29" t="n">
        <x:v>11505</x:v>
      </x:c>
      <x:c r="F165" s="30" t="n">
        <x:f>(D165/E165)^(1/('Methodology'!$B$4*7/365))-1</x:f>
        <x:v>5.195590038922684</x:v>
      </x:c>
      <x:c r="G165" s="30" t="n">
        <x:f>F165/$F$6</x:f>
        <x:v>0.7227134424733799</x:v>
      </x:c>
      <x:c r="H165" s="30" t="n">
        <x:v>0.8303557512354751</x:v>
      </x:c>
      <x:c r="I165" s="30" t="n">
        <x:f>$H$6-H165</x:f>
        <x:v>-0.01689147034182803</x:v>
      </x:c>
      <x:c r="J165" s="30" t="n">
        <x:v>0.802</x:v>
      </x:c>
      <x:c r="K165" s="30" t="n">
        <x:f>$J$6-J165</x:f>
        <x:v>0</x:v>
      </x:c>
      <x:c r="L165" s="29" t="n">
        <x:v>0</x:v>
      </x:c>
      <x:c r="M165" s="29" t="n">
        <x:v>0</x:v>
      </x:c>
      <x:c r="N165" s="29" t="n">
        <x:v>24</x:v>
      </x:c>
      <x:c r="O165" s="29" t="n">
        <x:v>9</x:v>
      </x:c>
      <x:c r="P165" s="29" t="n">
        <x:v>15</x:v>
      </x:c>
      <x:c r="Q165" s="29" t="n">
        <x:v>352</x:v>
      </x:c>
      <x:c r="R165" s="30" t="n">
        <x:v>-0.723038708472752</x:v>
      </x:c>
      <x:c r="S165" s="30" t="n">
        <x:v>0.8303557512354751</x:v>
      </x:c>
      <x:c r="T165" s="30" t="n">
        <x:v>0.6576192341122805</x:v>
      </x:c>
      <x:c r="U165" s="28" t="str">
        <x:f>IF(AND(G165&gt;=80%,I165&gt;0,L165&gt;=1),"YES","")</x:f>
      </x:c>
      <x:c r="V165" s="31" t="n">
        <x:f>I165+0.4*K165-2*MAX(0,90%-G165)</x:f>
        <x:v>-0.3714645853950683</x:v>
      </x:c>
    </x:row>
    <x:row r="166">
      <x:c r="A166" s="35" t="n">
        <x:v>160</x:v>
      </x:c>
      <x:c r="B166" s="33" t="str">
        <x:v>Full premarket decline</x:v>
      </x:c>
      <x:c r="C166" s="33" t="str">
        <x:v>Skip when the full premarket return is -1.0% or worse.</x:v>
      </x:c>
      <x:c r="D166" s="29" t="n">
        <x:v>74752162397.95496</x:v>
      </x:c>
      <x:c r="E166" s="29" t="n">
        <x:v>11735</x:v>
      </x:c>
      <x:c r="F166" s="30" t="n">
        <x:f>(D166/E166)^(1/('Methodology'!$B$4*7/365))-1</x:f>
        <x:v>5.597361596516243</x:v>
      </x:c>
      <x:c r="G166" s="30" t="n">
        <x:f>F166/$F$6</x:f>
        <x:v>0.7786003972371435</x:v>
      </x:c>
      <x:c r="H166" s="30" t="n">
        <x:v>0.8302290019123875</x:v>
      </x:c>
      <x:c r="I166" s="30" t="n">
        <x:f>$H$6-H166</x:f>
        <x:v>-0.01676472101874038</x:v>
      </x:c>
      <x:c r="J166" s="30" t="n">
        <x:v>0.802</x:v>
      </x:c>
      <x:c r="K166" s="30" t="n">
        <x:f>$J$6-J166</x:f>
        <x:v>0</x:v>
      </x:c>
      <x:c r="L166" s="29" t="n">
        <x:v>0</x:v>
      </x:c>
      <x:c r="M166" s="29" t="n">
        <x:v>0</x:v>
      </x:c>
      <x:c r="N166" s="29" t="n">
        <x:v>16</x:v>
      </x:c>
      <x:c r="O166" s="29" t="n">
        <x:v>5</x:v>
      </x:c>
      <x:c r="P166" s="29" t="n">
        <x:v>11</x:v>
      </x:c>
      <x:c r="Q166" s="29" t="n">
        <x:v>360</x:v>
      </x:c>
      <x:c r="R166" s="30" t="n">
        <x:v>-0.7229698825722259</x:v>
      </x:c>
      <x:c r="S166" s="30" t="n">
        <x:v>0.8302290019123875</x:v>
      </x:c>
      <x:c r="T166" s="30" t="n">
        <x:v>0.6576192849541863</x:v>
      </x:c>
      <x:c r="U166" s="28" t="str">
        <x:f>IF(AND(G166&gt;=80%,I166&gt;0,L166&gt;=1),"YES","")</x:f>
      </x:c>
      <x:c r="V166" s="31" t="n">
        <x:f>I166+0.4*K166-2*MAX(0,90%-G166)</x:f>
        <x:v>-0.2595639265444535</x:v>
      </x:c>
    </x:row>
    <x:row r="167">
      <x:c r="A167" s="35" t="n">
        <x:v>161</x:v>
      </x:c>
      <x:c r="B167" s="33" t="str">
        <x:v>Full premarket decline</x:v>
      </x:c>
      <x:c r="C167" s="33" t="str">
        <x:v>Skip when the full premarket return is -1.2% or worse.</x:v>
      </x:c>
      <x:c r="D167" s="29" t="n">
        <x:v>244146856134.55493</x:v>
      </x:c>
      <x:c r="E167" s="29" t="n">
        <x:v>11965</x:v>
      </x:c>
      <x:c r="F167" s="30" t="n">
        <x:f>(D167/E167)^(1/('Methodology'!$B$4*7/365))-1</x:f>
        <x:v>6.590240475556057</x:v>
      </x:c>
      <x:c r="G167" s="30" t="n">
        <x:f>F167/$F$6</x:f>
        <x:v>0.9167111617998462</x:v>
      </x:c>
      <x:c r="H167" s="30" t="n">
        <x:v>0.8303513352755947</x:v>
      </x:c>
      <x:c r="I167" s="30" t="n">
        <x:f>$H$6-H167</x:f>
        <x:v>-0.016887054381947597</x:v>
      </x:c>
      <x:c r="J167" s="30" t="n">
        <x:v>0.802</x:v>
      </x:c>
      <x:c r="K167" s="30" t="n">
        <x:f>$J$6-J167</x:f>
        <x:v>0</x:v>
      </x:c>
      <x:c r="L167" s="29" t="n">
        <x:v>0</x:v>
      </x:c>
      <x:c r="M167" s="29" t="n">
        <x:v>0</x:v>
      </x:c>
      <x:c r="N167" s="29" t="n">
        <x:v>10</x:v>
      </x:c>
      <x:c r="O167" s="29" t="n">
        <x:v>4</x:v>
      </x:c>
      <x:c r="P167" s="29" t="n">
        <x:v>6</x:v>
      </x:c>
      <x:c r="Q167" s="29" t="n">
        <x:v>366</x:v>
      </x:c>
      <x:c r="R167" s="30" t="n">
        <x:v>-0.7230352287023608</x:v>
      </x:c>
      <x:c r="S167" s="30" t="n">
        <x:v>0.8303513352755947</x:v>
      </x:c>
      <x:c r="T167" s="30" t="n">
        <x:v>0.6576199239202516</x:v>
      </x:c>
      <x:c r="U167" s="28" t="str">
        <x:f>IF(AND(G167&gt;=80%,I167&gt;0,L167&gt;=1),"YES","")</x:f>
      </x:c>
      <x:c r="V167" s="31" t="n">
        <x:f>I167+0.4*K167-2*MAX(0,90%-G167)</x:f>
        <x:v>-0.016887054381947597</x:v>
      </x:c>
    </x:row>
    <x:row r="168">
      <x:c r="A168" s="35" t="n">
        <x:v>162</x:v>
      </x:c>
      <x:c r="B168" s="33" t="str">
        <x:v>Full premarket decline</x:v>
      </x:c>
      <x:c r="C168" s="33" t="str">
        <x:v>Skip when the full premarket return is -1.4% or worse.</x:v>
      </x:c>
      <x:c r="D168" s="29" t="n">
        <x:v>236114505303.07397</x:v>
      </x:c>
      <x:c r="E168" s="29" t="n">
        <x:v>11850</x:v>
      </x:c>
      <x:c r="F168" s="30" t="n">
        <x:f>(D168/E168)^(1/('Methodology'!$B$4*7/365))-1</x:f>
        <x:v>6.568521997539977</x:v>
      </x:c>
      <x:c r="G168" s="30" t="n">
        <x:f>F168/$F$6</x:f>
        <x:v>0.9136900927981169</x:v>
      </x:c>
      <x:c r="H168" s="30" t="n">
        <x:v>0.8134239297128119</x:v>
      </x:c>
      <x:c r="I168" s="30" t="n">
        <x:f>$H$6-H168</x:f>
        <x:v>0.000040351180835229705</x:v>
      </x:c>
      <x:c r="J168" s="30" t="n">
        <x:v>0.802</x:v>
      </x:c>
      <x:c r="K168" s="30" t="n">
        <x:f>$J$6-J168</x:f>
        <x:v>0</x:v>
      </x:c>
      <x:c r="L168" s="29" t="n">
        <x:v>0</x:v>
      </x:c>
      <x:c r="M168" s="29" t="n">
        <x:v>0</x:v>
      </x:c>
      <x:c r="N168" s="29" t="n">
        <x:v>7</x:v>
      </x:c>
      <x:c r="O168" s="29" t="n">
        <x:v>2</x:v>
      </x:c>
      <x:c r="P168" s="29" t="n">
        <x:v>5</x:v>
      </x:c>
      <x:c r="Q168" s="29" t="n">
        <x:v>369</x:v>
      </x:c>
      <x:c r="R168" s="30" t="n">
        <x:v>-0.7230352287023608</x:v>
      </x:c>
      <x:c r="S168" s="30" t="n">
        <x:v>0.8134239297128119</x:v>
      </x:c>
      <x:c r="T168" s="30" t="n">
        <x:v>0.6582145728466642</x:v>
      </x:c>
      <x:c r="U168" s="28" t="str">
        <x:f>IF(AND(G168&gt;=80%,I168&gt;0,L168&gt;=1),"YES","")</x:f>
      </x:c>
      <x:c r="V168" s="31" t="n">
        <x:f>I168+0.4*K168-2*MAX(0,90%-G168)</x:f>
        <x:v>0.000040351180835229705</x:v>
      </x:c>
    </x:row>
    <x:row r="169">
      <x:c r="A169" s="35" t="n">
        <x:v>163</x:v>
      </x:c>
      <x:c r="B169" s="33" t="str">
        <x:v>Full premarket decline</x:v>
      </x:c>
      <x:c r="C169" s="33" t="str">
        <x:v>Skip when the full premarket return is -1.6% or worse.</x:v>
      </x:c>
      <x:c r="D169" s="29" t="n">
        <x:v>294172619447.837</x:v>
      </x:c>
      <x:c r="E169" s="29" t="n">
        <x:v>12080</x:v>
      </x:c>
      <x:c r="F169" s="30" t="n">
        <x:f>(D169/E169)^(1/('Methodology'!$B$4*7/365))-1</x:f>
        <x:v>6.75360357447823</x:v>
      </x:c>
      <x:c r="G169" s="30" t="n">
        <x:f>F169/$F$6</x:f>
        <x:v>0.9394351848098765</x:v>
      </x:c>
      <x:c r="H169" s="30" t="n">
        <x:v>0.8134642808936471</x:v>
      </x:c>
      <x:c r="I169" s="30" t="n">
        <x:f>$H$6-H169</x:f>
        <x:v>0</x:v>
      </x:c>
      <x:c r="J169" s="30" t="n">
        <x:v>0.802</x:v>
      </x:c>
      <x:c r="K169" s="30" t="n">
        <x:f>$J$6-J169</x:f>
        <x:v>0</x:v>
      </x:c>
      <x:c r="L169" s="29" t="n">
        <x:v>0</x:v>
      </x:c>
      <x:c r="M169" s="29" t="n">
        <x:v>0</x:v>
      </x:c>
      <x:c r="N169" s="29" t="n">
        <x:v>2</x:v>
      </x:c>
      <x:c r="O169" s="29" t="n">
        <x:v>0</x:v>
      </x:c>
      <x:c r="P169" s="29" t="n">
        <x:v>2</x:v>
      </x:c>
      <x:c r="Q169" s="29" t="n">
        <x:v>374</x:v>
      </x:c>
      <x:c r="R169" s="30" t="n">
        <x:v>-0.7230426999112742</x:v>
      </x:c>
      <x:c r="S169" s="30" t="n">
        <x:v>0.8134642808936471</x:v>
      </x:c>
      <x:c r="T169" s="30" t="n">
        <x:v>0.6582145729294622</x:v>
      </x:c>
      <x:c r="U169" s="28" t="str">
        <x:f>IF(AND(G169&gt;=80%,I169&gt;0,L169&gt;=1),"YES","")</x:f>
      </x:c>
      <x:c r="V169" s="31" t="n">
        <x:f>I169+0.4*K169-2*MAX(0,90%-G169)</x:f>
        <x:v>0</x:v>
      </x:c>
    </x:row>
    <x:row r="170">
      <x:c r="A170" s="35" t="n">
        <x:v>164</x:v>
      </x:c>
      <x:c r="B170" s="33" t="str">
        <x:v>Full premarket decline</x:v>
      </x:c>
      <x:c r="C170" s="33" t="str">
        <x:v>Skip when the full premarket return is -1.8% or worse.</x:v>
      </x:c>
      <x:c r="D170" s="29" t="n">
        <x:v>294172619447.837</x:v>
      </x:c>
      <x:c r="E170" s="29" t="n">
        <x:v>12080</x:v>
      </x:c>
      <x:c r="F170" s="30" t="n">
        <x:f>(D170/E170)^(1/('Methodology'!$B$4*7/365))-1</x:f>
        <x:v>6.75360357447823</x:v>
      </x:c>
      <x:c r="G170" s="30" t="n">
        <x:f>F170/$F$6</x:f>
        <x:v>0.9394351848098765</x:v>
      </x:c>
      <x:c r="H170" s="30" t="n">
        <x:v>0.8134642808936471</x:v>
      </x:c>
      <x:c r="I170" s="30" t="n">
        <x:f>$H$6-H170</x:f>
        <x:v>0</x:v>
      </x:c>
      <x:c r="J170" s="30" t="n">
        <x:v>0.802</x:v>
      </x:c>
      <x:c r="K170" s="30" t="n">
        <x:f>$J$6-J170</x:f>
        <x:v>0</x:v>
      </x:c>
      <x:c r="L170" s="29" t="n">
        <x:v>0</x:v>
      </x:c>
      <x:c r="M170" s="29" t="n">
        <x:v>0</x:v>
      </x:c>
      <x:c r="N170" s="29" t="n">
        <x:v>2</x:v>
      </x:c>
      <x:c r="O170" s="29" t="n">
        <x:v>0</x:v>
      </x:c>
      <x:c r="P170" s="29" t="n">
        <x:v>2</x:v>
      </x:c>
      <x:c r="Q170" s="29" t="n">
        <x:v>374</x:v>
      </x:c>
      <x:c r="R170" s="30" t="n">
        <x:v>-0.7230426999112742</x:v>
      </x:c>
      <x:c r="S170" s="30" t="n">
        <x:v>0.8134642808936471</x:v>
      </x:c>
      <x:c r="T170" s="30" t="n">
        <x:v>0.6582145729294622</x:v>
      </x:c>
      <x:c r="U170" s="28" t="str">
        <x:f>IF(AND(G170&gt;=80%,I170&gt;0,L170&gt;=1),"YES","")</x:f>
      </x:c>
      <x:c r="V170" s="31" t="n">
        <x:f>I170+0.4*K170-2*MAX(0,90%-G170)</x:f>
        <x:v>0</x:v>
      </x:c>
    </x:row>
    <x:row r="171">
      <x:c r="A171" s="35" t="n">
        <x:v>165</x:v>
      </x:c>
      <x:c r="B171" s="33" t="str">
        <x:v>Full premarket decline</x:v>
      </x:c>
      <x:c r="C171" s="33" t="str">
        <x:v>Skip when the full premarket return is -2.0% or worse.</x:v>
      </x:c>
      <x:c r="D171" s="29" t="n">
        <x:v>294172619447.837</x:v>
      </x:c>
      <x:c r="E171" s="29" t="n">
        <x:v>12080</x:v>
      </x:c>
      <x:c r="F171" s="30" t="n">
        <x:f>(D171/E171)^(1/('Methodology'!$B$4*7/365))-1</x:f>
        <x:v>6.75360357447823</x:v>
      </x:c>
      <x:c r="G171" s="30" t="n">
        <x:f>F171/$F$6</x:f>
        <x:v>0.9394351848098765</x:v>
      </x:c>
      <x:c r="H171" s="30" t="n">
        <x:v>0.8134642808936471</x:v>
      </x:c>
      <x:c r="I171" s="30" t="n">
        <x:f>$H$6-H171</x:f>
        <x:v>0</x:v>
      </x:c>
      <x:c r="J171" s="30" t="n">
        <x:v>0.802</x:v>
      </x:c>
      <x:c r="K171" s="30" t="n">
        <x:f>$J$6-J171</x:f>
        <x:v>0</x:v>
      </x:c>
      <x:c r="L171" s="29" t="n">
        <x:v>0</x:v>
      </x:c>
      <x:c r="M171" s="29" t="n">
        <x:v>0</x:v>
      </x:c>
      <x:c r="N171" s="29" t="n">
        <x:v>2</x:v>
      </x:c>
      <x:c r="O171" s="29" t="n">
        <x:v>0</x:v>
      </x:c>
      <x:c r="P171" s="29" t="n">
        <x:v>2</x:v>
      </x:c>
      <x:c r="Q171" s="29" t="n">
        <x:v>374</x:v>
      </x:c>
      <x:c r="R171" s="30" t="n">
        <x:v>-0.7230426999112742</x:v>
      </x:c>
      <x:c r="S171" s="30" t="n">
        <x:v>0.8134642808936471</x:v>
      </x:c>
      <x:c r="T171" s="30" t="n">
        <x:v>0.6582145729294622</x:v>
      </x:c>
      <x:c r="U171" s="28" t="str">
        <x:f>IF(AND(G171&gt;=80%,I171&gt;0,L171&gt;=1),"YES","")</x:f>
      </x:c>
      <x:c r="V171" s="31" t="n">
        <x:f>I171+0.4*K171-2*MAX(0,90%-G171)</x:f>
        <x:v>0</x:v>
      </x:c>
    </x:row>
    <x:row r="172">
      <x:c r="A172" s="35" t="n">
        <x:v>166</x:v>
      </x:c>
      <x:c r="B172" s="33" t="str">
        <x:v>Late premarket slide</x:v>
      </x:c>
      <x:c r="C172" s="33" t="str">
        <x:v>Skip when the final 5 premarket minutes fall 0.2% or more.</x:v>
      </x:c>
      <x:c r="D172" s="29" t="n">
        <x:v>175792323181.298</x:v>
      </x:c>
      <x:c r="E172" s="29" t="n">
        <x:v>11735</x:v>
      </x:c>
      <x:c r="F172" s="30" t="n">
        <x:f>(D172/E172)^(1/('Methodology'!$B$4*7/365))-1</x:f>
        <x:v>6.312944184967841</x:v>
      </x:c>
      <x:c r="G172" s="30" t="n">
        <x:f>F172/$F$6</x:f>
        <x:v>0.8781388812205912</x:v>
      </x:c>
      <x:c r="H172" s="30" t="n">
        <x:v>0.8133931364941237</x:v>
      </x:c>
      <x:c r="I172" s="30" t="n">
        <x:f>$H$6-H172</x:f>
        <x:v>0.00007114439952338181</x:v>
      </x:c>
      <x:c r="J172" s="30" t="n">
        <x:v>0.802</x:v>
      </x:c>
      <x:c r="K172" s="30" t="n">
        <x:f>$J$6-J172</x:f>
        <x:v>0</x:v>
      </x:c>
      <x:c r="L172" s="29" t="n">
        <x:v>1</x:v>
      </x:c>
      <x:c r="M172" s="29" t="n">
        <x:v>0</x:v>
      </x:c>
      <x:c r="N172" s="29" t="n">
        <x:v>10</x:v>
      </x:c>
      <x:c r="O172" s="29" t="n">
        <x:v>3</x:v>
      </x:c>
      <x:c r="P172" s="29" t="n">
        <x:v>7</x:v>
      </x:c>
      <x:c r="Q172" s="29" t="n">
        <x:v>366</x:v>
      </x:c>
      <x:c r="R172" s="30" t="n">
        <x:v>-0.723033119442219</x:v>
      </x:c>
      <x:c r="S172" s="30" t="n">
        <x:v>0.8133931364941237</x:v>
      </x:c>
      <x:c r="T172" s="30" t="n">
        <x:v>0.6582145727485138</x:v>
      </x:c>
      <x:c r="U172" s="28" t="str">
        <x:f>IF(AND(G172&gt;=80%,I172&gt;0,L172&gt;=1),"YES","")</x:f>
        <x:v>YES</x:v>
      </x:c>
      <x:c r="V172" s="31" t="n">
        <x:f>I172+0.4*K172-2*MAX(0,90%-G172)</x:f>
        <x:v>-0.04365109315929416</x:v>
      </x:c>
    </x:row>
    <x:row r="173">
      <x:c r="A173" s="35" t="n">
        <x:v>167</x:v>
      </x:c>
      <x:c r="B173" s="33" t="str">
        <x:v>Late premarket slide</x:v>
      </x:c>
      <x:c r="C173" s="33" t="str">
        <x:v>Skip when the final 5 premarket minutes fall 0.4% or more.</x:v>
      </x:c>
      <x:c r="D173" s="29" t="n">
        <x:v>296418572293.97205</x:v>
      </x:c>
      <x:c r="E173" s="29" t="n">
        <x:v>12080</x:v>
      </x:c>
      <x:c r="F173" s="30" t="n">
        <x:f>(D173/E173)^(1/('Methodology'!$B$4*7/365))-1</x:f>
        <x:v>6.760708428856135</x:v>
      </x:c>
      <x:c r="G173" s="30" t="n">
        <x:f>F173/$F$6</x:f>
        <x:v>0.940423479445762</x:v>
      </x:c>
      <x:c r="H173" s="30" t="n">
        <x:v>0.813430872658145</x:v>
      </x:c>
      <x:c r="I173" s="30" t="n">
        <x:f>$H$6-H173</x:f>
        <x:v>0.000033408235502130346</x:v>
      </x:c>
      <x:c r="J173" s="30" t="n">
        <x:v>0.802</x:v>
      </x:c>
      <x:c r="K173" s="30" t="n">
        <x:f>$J$6-J173</x:f>
        <x:v>0</x:v>
      </x:c>
      <x:c r="L173" s="29" t="n">
        <x:v>0</x:v>
      </x:c>
      <x:c r="M173" s="29" t="n">
        <x:v>0</x:v>
      </x:c>
      <x:c r="N173" s="29" t="n">
        <x:v>2</x:v>
      </x:c>
      <x:c r="O173" s="29" t="n">
        <x:v>0</x:v>
      </x:c>
      <x:c r="P173" s="29" t="n">
        <x:v>2</x:v>
      </x:c>
      <x:c r="Q173" s="29" t="n">
        <x:v>374</x:v>
      </x:c>
      <x:c r="R173" s="30" t="n">
        <x:v>-0.7230544059104503</x:v>
      </x:c>
      <x:c r="S173" s="30" t="n">
        <x:v>0.813430872658145</x:v>
      </x:c>
      <x:c r="T173" s="30" t="n">
        <x:v>0.658214572888973</x:v>
      </x:c>
      <x:c r="U173" s="28" t="str">
        <x:f>IF(AND(G173&gt;=80%,I173&gt;0,L173&gt;=1),"YES","")</x:f>
      </x:c>
      <x:c r="V173" s="31" t="n">
        <x:f>I173+0.4*K173-2*MAX(0,90%-G173)</x:f>
        <x:v>0.000033408235502130346</x:v>
      </x:c>
    </x:row>
    <x:row r="174">
      <x:c r="A174" s="35" t="n">
        <x:v>168</x:v>
      </x:c>
      <x:c r="B174" s="33" t="str">
        <x:v>Late premarket slide</x:v>
      </x:c>
      <x:c r="C174" s="33" t="str">
        <x:v>Skip when the final 5 premarket minutes fall 0.6% or more.</x:v>
      </x:c>
      <x:c r="D174" s="29" t="n">
        <x:v>296418572293.97205</x:v>
      </x:c>
      <x:c r="E174" s="29" t="n">
        <x:v>12080</x:v>
      </x:c>
      <x:c r="F174" s="30" t="n">
        <x:f>(D174/E174)^(1/('Methodology'!$B$4*7/365))-1</x:f>
        <x:v>6.760708428856135</x:v>
      </x:c>
      <x:c r="G174" s="30" t="n">
        <x:f>F174/$F$6</x:f>
        <x:v>0.940423479445762</x:v>
      </x:c>
      <x:c r="H174" s="30" t="n">
        <x:v>0.813430872658145</x:v>
      </x:c>
      <x:c r="I174" s="30" t="n">
        <x:f>$H$6-H174</x:f>
        <x:v>0.000033408235502130346</x:v>
      </x:c>
      <x:c r="J174" s="30" t="n">
        <x:v>0.802</x:v>
      </x:c>
      <x:c r="K174" s="30" t="n">
        <x:f>$J$6-J174</x:f>
        <x:v>0</x:v>
      </x:c>
      <x:c r="L174" s="29" t="n">
        <x:v>0</x:v>
      </x:c>
      <x:c r="M174" s="29" t="n">
        <x:v>0</x:v>
      </x:c>
      <x:c r="N174" s="29" t="n">
        <x:v>2</x:v>
      </x:c>
      <x:c r="O174" s="29" t="n">
        <x:v>0</x:v>
      </x:c>
      <x:c r="P174" s="29" t="n">
        <x:v>2</x:v>
      </x:c>
      <x:c r="Q174" s="29" t="n">
        <x:v>374</x:v>
      </x:c>
      <x:c r="R174" s="30" t="n">
        <x:v>-0.7230544059104503</x:v>
      </x:c>
      <x:c r="S174" s="30" t="n">
        <x:v>0.813430872658145</x:v>
      </x:c>
      <x:c r="T174" s="30" t="n">
        <x:v>0.658214572888973</x:v>
      </x:c>
      <x:c r="U174" s="28" t="str">
        <x:f>IF(AND(G174&gt;=80%,I174&gt;0,L174&gt;=1),"YES","")</x:f>
      </x:c>
      <x:c r="V174" s="31" t="n">
        <x:f>I174+0.4*K174-2*MAX(0,90%-G174)</x:f>
        <x:v>0.000033408235502130346</x:v>
      </x:c>
    </x:row>
    <x:row r="175">
      <x:c r="A175" s="35" t="n">
        <x:v>169</x:v>
      </x:c>
      <x:c r="B175" s="33" t="str">
        <x:v>Late premarket slide</x:v>
      </x:c>
      <x:c r="C175" s="33" t="str">
        <x:v>Skip when the final 5 premarket minutes fall 0.8% or more.</x:v>
      </x:c>
      <x:c r="D175" s="29" t="n">
        <x:v>463060842662.48914</x:v>
      </x:c>
      <x:c r="E175" s="29" t="n">
        <x:v>12080</x:v>
      </x:c>
      <x:c r="F175" s="30" t="n">
        <x:f>(D175/E175)^(1/('Methodology'!$B$4*7/365))-1</x:f>
        <x:v>7.189004290748413</x:v>
      </x:c>
      <x:c r="G175" s="30" t="n">
        <x:f>F175/$F$6</x:f>
        <x:v>1</x:v>
      </x:c>
      <x:c r="H175" s="30" t="n">
        <x:v>0.8134642808936471</x:v>
      </x:c>
      <x:c r="I175" s="30" t="n">
        <x:f>$H$6-H175</x:f>
        <x:v>0</x:v>
      </x:c>
      <x:c r="J175" s="30" t="n">
        <x:v>0.802</x:v>
      </x:c>
      <x:c r="K175" s="30" t="n">
        <x:f>$J$6-J175</x:f>
        <x:v>0</x:v>
      </x:c>
      <x:c r="L175" s="29" t="n">
        <x:v>0</x:v>
      </x:c>
      <x:c r="M175" s="29" t="n">
        <x:v>0</x:v>
      </x:c>
      <x:c r="N175" s="29" t="n">
        <x:v>0</x:v>
      </x:c>
      <x:c r="O175" s="29" t="n">
        <x:v>0</x:v>
      </x:c>
      <x:c r="P175" s="29" t="n">
        <x:v>0</x:v>
      </x:c>
      <x:c r="Q175" s="29" t="n">
        <x:v>376</x:v>
      </x:c>
      <x:c r="R175" s="30" t="n">
        <x:v>-0.7230426999112742</x:v>
      </x:c>
      <x:c r="S175" s="30" t="n">
        <x:v>0.8134642808936471</x:v>
      </x:c>
      <x:c r="T175" s="30" t="n">
        <x:v>0.6582145730460247</x:v>
      </x:c>
      <x:c r="U175" s="28" t="str">
        <x:f>IF(AND(G175&gt;=80%,I175&gt;0,L175&gt;=1),"YES","")</x:f>
      </x:c>
      <x:c r="V175" s="31" t="n">
        <x:f>I175+0.4*K175-2*MAX(0,90%-G175)</x:f>
        <x:v>0</x:v>
      </x:c>
    </x:row>
    <x:row r="176">
      <x:c r="A176" s="35" t="n">
        <x:v>170</x:v>
      </x:c>
      <x:c r="B176" s="33" t="str">
        <x:v>Late premarket slide</x:v>
      </x:c>
      <x:c r="C176" s="33" t="str">
        <x:v>Skip when the final 5 premarket minutes fall 1.0% or more.</x:v>
      </x:c>
      <x:c r="D176" s="29" t="n">
        <x:v>463060842662.48914</x:v>
      </x:c>
      <x:c r="E176" s="29" t="n">
        <x:v>12080</x:v>
      </x:c>
      <x:c r="F176" s="30" t="n">
        <x:f>(D176/E176)^(1/('Methodology'!$B$4*7/365))-1</x:f>
        <x:v>7.189004290748413</x:v>
      </x:c>
      <x:c r="G176" s="30" t="n">
        <x:f>F176/$F$6</x:f>
        <x:v>1</x:v>
      </x:c>
      <x:c r="H176" s="30" t="n">
        <x:v>0.8134642808936471</x:v>
      </x:c>
      <x:c r="I176" s="30" t="n">
        <x:f>$H$6-H176</x:f>
        <x:v>0</x:v>
      </x:c>
      <x:c r="J176" s="30" t="n">
        <x:v>0.802</x:v>
      </x:c>
      <x:c r="K176" s="30" t="n">
        <x:f>$J$6-J176</x:f>
        <x:v>0</x:v>
      </x:c>
      <x:c r="L176" s="29" t="n">
        <x:v>0</x:v>
      </x:c>
      <x:c r="M176" s="29" t="n">
        <x:v>0</x:v>
      </x:c>
      <x:c r="N176" s="29" t="n">
        <x:v>0</x:v>
      </x:c>
      <x:c r="O176" s="29" t="n">
        <x:v>0</x:v>
      </x:c>
      <x:c r="P176" s="29" t="n">
        <x:v>0</x:v>
      </x:c>
      <x:c r="Q176" s="29" t="n">
        <x:v>376</x:v>
      </x:c>
      <x:c r="R176" s="30" t="n">
        <x:v>-0.7230426999112742</x:v>
      </x:c>
      <x:c r="S176" s="30" t="n">
        <x:v>0.8134642808936471</x:v>
      </x:c>
      <x:c r="T176" s="30" t="n">
        <x:v>0.6582145730460247</x:v>
      </x:c>
      <x:c r="U176" s="28" t="str">
        <x:f>IF(AND(G176&gt;=80%,I176&gt;0,L176&gt;=1),"YES","")</x:f>
      </x:c>
      <x:c r="V176" s="31" t="n">
        <x:f>I176+0.4*K176-2*MAX(0,90%-G176)</x:f>
        <x:v>0</x:v>
      </x:c>
    </x:row>
    <x:row r="177">
      <x:c r="A177" s="35" t="n">
        <x:v>171</x:v>
      </x:c>
      <x:c r="B177" s="33" t="str">
        <x:v>Late premarket slide</x:v>
      </x:c>
      <x:c r="C177" s="33" t="str">
        <x:v>Skip when the final 15 premarket minutes fall 0.2% or more.</x:v>
      </x:c>
      <x:c r="D177" s="29" t="n">
        <x:v>69485063943.02803</x:v>
      </x:c>
      <x:c r="E177" s="29" t="n">
        <x:v>11390</x:v>
      </x:c>
      <x:c r="F177" s="30" t="n">
        <x:f>(D177/E177)^(1/('Methodology'!$B$4*7/365))-1</x:f>
        <x:v>5.5631088744368835</x:v>
      </x:c>
      <x:c r="G177" s="30" t="n">
        <x:f>F177/$F$6</x:f>
        <x:v>0.7738357983171735</x:v>
      </x:c>
      <x:c r="H177" s="30" t="n">
        <x:v>0.813331693767233</x:v>
      </x:c>
      <x:c r="I177" s="30" t="n">
        <x:f>$H$6-H177</x:f>
        <x:v>0.00013258712641406323</x:v>
      </x:c>
      <x:c r="J177" s="30" t="n">
        <x:v>0.802</x:v>
      </x:c>
      <x:c r="K177" s="30" t="n">
        <x:f>$J$6-J177</x:f>
        <x:v>0</x:v>
      </x:c>
      <x:c r="L177" s="29" t="n">
        <x:v>1</x:v>
      </x:c>
      <x:c r="M177" s="29" t="n">
        <x:v>0</x:v>
      </x:c>
      <x:c r="N177" s="29" t="n">
        <x:v>16</x:v>
      </x:c>
      <x:c r="O177" s="29" t="n">
        <x:v>5</x:v>
      </x:c>
      <x:c r="P177" s="29" t="n">
        <x:v>11</x:v>
      </x:c>
      <x:c r="Q177" s="29" t="n">
        <x:v>360</x:v>
      </x:c>
      <x:c r="R177" s="30" t="n">
        <x:v>-0.7230004453107963</x:v>
      </x:c>
      <x:c r="S177" s="30" t="n">
        <x:v>0.813331693767233</x:v>
      </x:c>
      <x:c r="T177" s="30" t="n">
        <x:v>0.7071414702643171</x:v>
      </x:c>
      <x:c r="U177" s="28" t="str">
        <x:f>IF(AND(G177&gt;=80%,I177&gt;0,L177&gt;=1),"YES","")</x:f>
      </x:c>
      <x:c r="V177" s="31" t="n">
        <x:f>I177+0.4*K177-2*MAX(0,90%-G177)</x:f>
        <x:v>-0.2521958162392389</x:v>
      </x:c>
    </x:row>
    <x:row r="178">
      <x:c r="A178" s="35" t="n">
        <x:v>172</x:v>
      </x:c>
      <x:c r="B178" s="33" t="str">
        <x:v>Late premarket slide</x:v>
      </x:c>
      <x:c r="C178" s="33" t="str">
        <x:v>Skip when the final 15 premarket minutes fall 0.4% or more.</x:v>
      </x:c>
      <x:c r="D178" s="29" t="n">
        <x:v>193703869076.02188</x:v>
      </x:c>
      <x:c r="E178" s="29" t="n">
        <x:v>12080</x:v>
      </x:c>
      <x:c r="F178" s="30" t="n">
        <x:f>(D178/E178)^(1/('Methodology'!$B$4*7/365))-1</x:f>
        <x:v>6.373119718374024</x:v>
      </x:c>
      <x:c r="G178" s="30" t="n">
        <x:f>F178/$F$6</x:f>
        <x:v>0.8865093774635304</x:v>
      </x:c>
      <x:c r="H178" s="30" t="n">
        <x:v>0.813430872658145</x:v>
      </x:c>
      <x:c r="I178" s="30" t="n">
        <x:f>$H$6-H178</x:f>
        <x:v>0.000033408235502130346</x:v>
      </x:c>
      <x:c r="J178" s="30" t="n">
        <x:v>0.802</x:v>
      </x:c>
      <x:c r="K178" s="30" t="n">
        <x:f>$J$6-J178</x:f>
        <x:v>0</x:v>
      </x:c>
      <x:c r="L178" s="29" t="n">
        <x:v>0</x:v>
      </x:c>
      <x:c r="M178" s="29" t="n">
        <x:v>0</x:v>
      </x:c>
      <x:c r="N178" s="29" t="n">
        <x:v>3</x:v>
      </x:c>
      <x:c r="O178" s="29" t="n">
        <x:v>0</x:v>
      </x:c>
      <x:c r="P178" s="29" t="n">
        <x:v>3</x:v>
      </x:c>
      <x:c r="Q178" s="29" t="n">
        <x:v>373</x:v>
      </x:c>
      <x:c r="R178" s="30" t="n">
        <x:v>-0.7230544059104503</x:v>
      </x:c>
      <x:c r="S178" s="30" t="n">
        <x:v>0.813430872658145</x:v>
      </x:c>
      <x:c r="T178" s="30" t="n">
        <x:v>0.6582145727142821</x:v>
      </x:c>
      <x:c r="U178" s="28" t="str">
        <x:f>IF(AND(G178&gt;=80%,I178&gt;0,L178&gt;=1),"YES","")</x:f>
      </x:c>
      <x:c r="V178" s="31" t="n">
        <x:f>I178+0.4*K178-2*MAX(0,90%-G178)</x:f>
        <x:v>-0.026947836837437067</x:v>
      </x:c>
    </x:row>
    <x:row r="179">
      <x:c r="A179" s="35" t="n">
        <x:v>173</x:v>
      </x:c>
      <x:c r="B179" s="33" t="str">
        <x:v>Late premarket slide</x:v>
      </x:c>
      <x:c r="C179" s="33" t="str">
        <x:v>Skip when the final 15 premarket minutes fall 0.6% or more.</x:v>
      </x:c>
      <x:c r="D179" s="29" t="n">
        <x:v>266562301333.15106</x:v>
      </x:c>
      <x:c r="E179" s="29" t="n">
        <x:v>12080</x:v>
      </x:c>
      <x:c r="F179" s="30" t="n">
        <x:f>(D179/E179)^(1/('Methodology'!$B$4*7/365))-1</x:f>
        <x:v>6.662122558464025</x:v>
      </x:c>
      <x:c r="G179" s="30" t="n">
        <x:f>F179/$F$6</x:f>
        <x:v>0.9267100545533913</x:v>
      </x:c>
      <x:c r="H179" s="30" t="n">
        <x:v>0.813430872658145</x:v>
      </x:c>
      <x:c r="I179" s="30" t="n">
        <x:f>$H$6-H179</x:f>
        <x:v>0.000033408235502130346</x:v>
      </x:c>
      <x:c r="J179" s="30" t="n">
        <x:v>0.802</x:v>
      </x:c>
      <x:c r="K179" s="30" t="n">
        <x:f>$J$6-J179</x:f>
        <x:v>0</x:v>
      </x:c>
      <x:c r="L179" s="29" t="n">
        <x:v>0</x:v>
      </x:c>
      <x:c r="M179" s="29" t="n">
        <x:v>0</x:v>
      </x:c>
      <x:c r="N179" s="29" t="n">
        <x:v>2</x:v>
      </x:c>
      <x:c r="O179" s="29" t="n">
        <x:v>0</x:v>
      </x:c>
      <x:c r="P179" s="29" t="n">
        <x:v>2</x:v>
      </x:c>
      <x:c r="Q179" s="29" t="n">
        <x:v>374</x:v>
      </x:c>
      <x:c r="R179" s="30" t="n">
        <x:v>-0.7230544059104503</x:v>
      </x:c>
      <x:c r="S179" s="30" t="n">
        <x:v>0.813430872658145</x:v>
      </x:c>
      <x:c r="T179" s="30" t="n">
        <x:v>0.6582145728144377</x:v>
      </x:c>
      <x:c r="U179" s="28" t="str">
        <x:f>IF(AND(G179&gt;=80%,I179&gt;0,L179&gt;=1),"YES","")</x:f>
      </x:c>
      <x:c r="V179" s="31" t="n">
        <x:f>I179+0.4*K179-2*MAX(0,90%-G179)</x:f>
        <x:v>0.000033408235502130346</x:v>
      </x:c>
    </x:row>
    <x:row r="180">
      <x:c r="A180" s="35" t="n">
        <x:v>174</x:v>
      </x:c>
      <x:c r="B180" s="33" t="str">
        <x:v>Late premarket slide</x:v>
      </x:c>
      <x:c r="C180" s="33" t="str">
        <x:v>Skip when the final 15 premarket minutes fall 0.8% or more.</x:v>
      </x:c>
      <x:c r="D180" s="29" t="n">
        <x:v>266562301333.15106</x:v>
      </x:c>
      <x:c r="E180" s="29" t="n">
        <x:v>12080</x:v>
      </x:c>
      <x:c r="F180" s="30" t="n">
        <x:f>(D180/E180)^(1/('Methodology'!$B$4*7/365))-1</x:f>
        <x:v>6.662122558464025</x:v>
      </x:c>
      <x:c r="G180" s="30" t="n">
        <x:f>F180/$F$6</x:f>
        <x:v>0.9267100545533913</x:v>
      </x:c>
      <x:c r="H180" s="30" t="n">
        <x:v>0.813430872658145</x:v>
      </x:c>
      <x:c r="I180" s="30" t="n">
        <x:f>$H$6-H180</x:f>
        <x:v>0.000033408235502130346</x:v>
      </x:c>
      <x:c r="J180" s="30" t="n">
        <x:v>0.802</x:v>
      </x:c>
      <x:c r="K180" s="30" t="n">
        <x:f>$J$6-J180</x:f>
        <x:v>0</x:v>
      </x:c>
      <x:c r="L180" s="29" t="n">
        <x:v>0</x:v>
      </x:c>
      <x:c r="M180" s="29" t="n">
        <x:v>0</x:v>
      </x:c>
      <x:c r="N180" s="29" t="n">
        <x:v>2</x:v>
      </x:c>
      <x:c r="O180" s="29" t="n">
        <x:v>0</x:v>
      </x:c>
      <x:c r="P180" s="29" t="n">
        <x:v>2</x:v>
      </x:c>
      <x:c r="Q180" s="29" t="n">
        <x:v>374</x:v>
      </x:c>
      <x:c r="R180" s="30" t="n">
        <x:v>-0.7230544059104503</x:v>
      </x:c>
      <x:c r="S180" s="30" t="n">
        <x:v>0.813430872658145</x:v>
      </x:c>
      <x:c r="T180" s="30" t="n">
        <x:v>0.6582145728144377</x:v>
      </x:c>
      <x:c r="U180" s="28" t="str">
        <x:f>IF(AND(G180&gt;=80%,I180&gt;0,L180&gt;=1),"YES","")</x:f>
      </x:c>
      <x:c r="V180" s="31" t="n">
        <x:f>I180+0.4*K180-2*MAX(0,90%-G180)</x:f>
        <x:v>0.000033408235502130346</x:v>
      </x:c>
    </x:row>
    <x:row r="181">
      <x:c r="A181" s="35" t="n">
        <x:v>175</x:v>
      </x:c>
      <x:c r="B181" s="33" t="str">
        <x:v>Late premarket slide</x:v>
      </x:c>
      <x:c r="C181" s="33" t="str">
        <x:v>Skip when the final 15 premarket minutes fall 1.0% or more.</x:v>
      </x:c>
      <x:c r="D181" s="29" t="n">
        <x:v>407911402561.8048</x:v>
      </x:c>
      <x:c r="E181" s="29" t="n">
        <x:v>12080</x:v>
      </x:c>
      <x:c r="F181" s="30" t="n">
        <x:f>(D181/E181)^(1/('Methodology'!$B$4*7/365))-1</x:f>
        <x:v>7.06490351510298</x:v>
      </x:c>
      <x:c r="G181" s="30" t="n">
        <x:f>F181/$F$6</x:f>
        <x:v>0.9827374180586957</x:v>
      </x:c>
      <x:c r="H181" s="30" t="n">
        <x:v>0.813430872658145</x:v>
      </x:c>
      <x:c r="I181" s="30" t="n">
        <x:f>$H$6-H181</x:f>
        <x:v>0.000033408235502130346</x:v>
      </x:c>
      <x:c r="J181" s="30" t="n">
        <x:v>0.802</x:v>
      </x:c>
      <x:c r="K181" s="30" t="n">
        <x:f>$J$6-J181</x:f>
        <x:v>0</x:v>
      </x:c>
      <x:c r="L181" s="29" t="n">
        <x:v>0</x:v>
      </x:c>
      <x:c r="M181" s="29" t="n">
        <x:v>0</x:v>
      </x:c>
      <x:c r="N181" s="29" t="n">
        <x:v>1</x:v>
      </x:c>
      <x:c r="O181" s="29" t="n">
        <x:v>0</x:v>
      </x:c>
      <x:c r="P181" s="29" t="n">
        <x:v>1</x:v>
      </x:c>
      <x:c r="Q181" s="29" t="n">
        <x:v>375</x:v>
      </x:c>
      <x:c r="R181" s="30" t="n">
        <x:v>-0.7230544059104503</x:v>
      </x:c>
      <x:c r="S181" s="30" t="n">
        <x:v>0.813430872658145</x:v>
      </x:c>
      <x:c r="T181" s="30" t="n">
        <x:v>0.6582145730064413</x:v>
      </x:c>
      <x:c r="U181" s="28" t="str">
        <x:f>IF(AND(G181&gt;=80%,I181&gt;0,L181&gt;=1),"YES","")</x:f>
      </x:c>
      <x:c r="V181" s="31" t="n">
        <x:f>I181+0.4*K181-2*MAX(0,90%-G181)</x:f>
        <x:v>0.000033408235502130346</x:v>
      </x:c>
    </x:row>
    <x:row r="182">
      <x:c r="A182" s="35" t="n">
        <x:v>176</x:v>
      </x:c>
      <x:c r="B182" s="33" t="str">
        <x:v>Late premarket slide</x:v>
      </x:c>
      <x:c r="C182" s="33" t="str">
        <x:v>Skip when the final 30 premarket minutes fall 0.2% or more.</x:v>
      </x:c>
      <x:c r="D182" s="29" t="n">
        <x:v>121565466106.51593</x:v>
      </x:c>
      <x:c r="E182" s="29" t="n">
        <x:v>10585</x:v>
      </x:c>
      <x:c r="F182" s="30" t="n">
        <x:f>(D182/E182)^(1/('Methodology'!$B$4*7/365))-1</x:f>
        <x:v>6.0826508241754285</x:v>
      </x:c>
      <x:c r="G182" s="30" t="n">
        <x:f>F182/$F$6</x:f>
        <x:v>0.8461047703091846</x:v>
      </x:c>
      <x:c r="H182" s="30" t="n">
        <x:v>0.8132464727512464</x:v>
      </x:c>
      <x:c r="I182" s="30" t="n">
        <x:f>$H$6-H182</x:f>
        <x:v>0.00021780814240068835</x:v>
      </x:c>
      <x:c r="J182" s="30" t="n">
        <x:v>0.802</x:v>
      </x:c>
      <x:c r="K182" s="30" t="n">
        <x:f>$J$6-J182</x:f>
        <x:v>0</x:v>
      </x:c>
      <x:c r="L182" s="29" t="n">
        <x:v>2</x:v>
      </x:c>
      <x:c r="M182" s="29" t="n">
        <x:v>0</x:v>
      </x:c>
      <x:c r="N182" s="29" t="n">
        <x:v>27</x:v>
      </x:c>
      <x:c r="O182" s="29" t="n">
        <x:v>11</x:v>
      </x:c>
      <x:c r="P182" s="29" t="n">
        <x:v>16</x:v>
      </x:c>
      <x:c r="Q182" s="29" t="n">
        <x:v>349</x:v>
      </x:c>
      <x:c r="R182" s="30" t="n">
        <x:v>-0.72298738046277</x:v>
      </x:c>
      <x:c r="S182" s="30" t="n">
        <x:v>0.8132464727512464</x:v>
      </x:c>
      <x:c r="T182" s="30" t="n">
        <x:v>0.7178767011672494</x:v>
      </x:c>
      <x:c r="U182" s="28" t="str">
        <x:f>IF(AND(G182&gt;=80%,I182&gt;0,L182&gt;=1),"YES","")</x:f>
        <x:v>YES</x:v>
      </x:c>
      <x:c r="V182" s="31" t="n">
        <x:f>I182+0.4*K182-2*MAX(0,90%-G182)</x:f>
        <x:v>-0.1075726512392301</x:v>
      </x:c>
    </x:row>
    <x:row r="183">
      <x:c r="A183" s="35" t="n">
        <x:v>177</x:v>
      </x:c>
      <x:c r="B183" s="33" t="str">
        <x:v>Late premarket slide</x:v>
      </x:c>
      <x:c r="C183" s="33" t="str">
        <x:v>Skip when the final 30 premarket minutes fall 0.4% or more.</x:v>
      </x:c>
      <x:c r="D183" s="29" t="n">
        <x:v>433795923547.91895</x:v>
      </x:c>
      <x:c r="E183" s="29" t="n">
        <x:v>11965</x:v>
      </x:c>
      <x:c r="F183" s="30" t="n">
        <x:f>(D183/E183)^(1/('Methodology'!$B$4*7/365))-1</x:f>
        <x:v>7.134241767588428</x:v>
      </x:c>
      <x:c r="G183" s="30" t="n">
        <x:f>F183/$F$6</x:f>
        <x:v>0.9923824606377744</x:v>
      </x:c>
      <x:c r="H183" s="30" t="n">
        <x:v>0.813430872658145</x:v>
      </x:c>
      <x:c r="I183" s="30" t="n">
        <x:f>$H$6-H183</x:f>
        <x:v>0.000033408235502130346</x:v>
      </x:c>
      <x:c r="J183" s="30" t="n">
        <x:v>0.802</x:v>
      </x:c>
      <x:c r="K183" s="30" t="n">
        <x:f>$J$6-J183</x:f>
        <x:v>0</x:v>
      </x:c>
      <x:c r="L183" s="29" t="n">
        <x:v>1</x:v>
      </x:c>
      <x:c r="M183" s="29" t="n">
        <x:v>0</x:v>
      </x:c>
      <x:c r="N183" s="29" t="n">
        <x:v>4</x:v>
      </x:c>
      <x:c r="O183" s="29" t="n">
        <x:v>2</x:v>
      </x:c>
      <x:c r="P183" s="29" t="n">
        <x:v>2</x:v>
      </x:c>
      <x:c r="Q183" s="29" t="n">
        <x:v>372</x:v>
      </x:c>
      <x:c r="R183" s="30" t="n">
        <x:v>-0.7230544059104503</x:v>
      </x:c>
      <x:c r="S183" s="30" t="n">
        <x:v>0.813430872658145</x:v>
      </x:c>
      <x:c r="T183" s="30" t="n">
        <x:v>0.6582145730288181</x:v>
      </x:c>
      <x:c r="U183" s="28" t="str">
        <x:f>IF(AND(G183&gt;=80%,I183&gt;0,L183&gt;=1),"YES","")</x:f>
        <x:v>YES</x:v>
      </x:c>
      <x:c r="V183" s="31" t="n">
        <x:f>I183+0.4*K183-2*MAX(0,90%-G183)</x:f>
        <x:v>0.000033408235502130346</x:v>
      </x:c>
    </x:row>
    <x:row r="184">
      <x:c r="A184" s="35" t="n">
        <x:v>178</x:v>
      </x:c>
      <x:c r="B184" s="33" t="str">
        <x:v>Late premarket slide</x:v>
      </x:c>
      <x:c r="C184" s="33" t="str">
        <x:v>Skip when the final 30 premarket minutes fall 0.6% or more.</x:v>
      </x:c>
      <x:c r="D184" s="29" t="n">
        <x:v>267203814884.08798</x:v>
      </x:c>
      <x:c r="E184" s="29" t="n">
        <x:v>12080</x:v>
      </x:c>
      <x:c r="F184" s="30" t="n">
        <x:f>(D184/E184)^(1/('Methodology'!$B$4*7/365))-1</x:f>
        <x:v>6.664340774896614</x:v>
      </x:c>
      <x:c r="G184" s="30" t="n">
        <x:f>F184/$F$6</x:f>
        <x:v>0.9270186113914284</x:v>
      </x:c>
      <x:c r="H184" s="30" t="n">
        <x:v>0.813430872658145</x:v>
      </x:c>
      <x:c r="I184" s="30" t="n">
        <x:f>$H$6-H184</x:f>
        <x:v>0.000033408235502130346</x:v>
      </x:c>
      <x:c r="J184" s="30" t="n">
        <x:v>0.802</x:v>
      </x:c>
      <x:c r="K184" s="30" t="n">
        <x:f>$J$6-J184</x:f>
        <x:v>0</x:v>
      </x:c>
      <x:c r="L184" s="29" t="n">
        <x:v>0</x:v>
      </x:c>
      <x:c r="M184" s="29" t="n">
        <x:v>0</x:v>
      </x:c>
      <x:c r="N184" s="29" t="n">
        <x:v>3</x:v>
      </x:c>
      <x:c r="O184" s="29" t="n">
        <x:v>1</x:v>
      </x:c>
      <x:c r="P184" s="29" t="n">
        <x:v>2</x:v>
      </x:c>
      <x:c r="Q184" s="29" t="n">
        <x:v>373</x:v>
      </x:c>
      <x:c r="R184" s="30" t="n">
        <x:v>-0.7230544059104503</x:v>
      </x:c>
      <x:c r="S184" s="30" t="n">
        <x:v>0.813430872658145</x:v>
      </x:c>
      <x:c r="T184" s="30" t="n">
        <x:v>0.6582145728486553</x:v>
      </x:c>
      <x:c r="U184" s="28" t="str">
        <x:f>IF(AND(G184&gt;=80%,I184&gt;0,L184&gt;=1),"YES","")</x:f>
      </x:c>
      <x:c r="V184" s="31" t="n">
        <x:f>I184+0.4*K184-2*MAX(0,90%-G184)</x:f>
        <x:v>0.000033408235502130346</x:v>
      </x:c>
    </x:row>
    <x:row r="185">
      <x:c r="A185" s="35" t="n">
        <x:v>179</x:v>
      </x:c>
      <x:c r="B185" s="33" t="str">
        <x:v>Late premarket slide</x:v>
      </x:c>
      <x:c r="C185" s="33" t="str">
        <x:v>Skip when the final 30 premarket minutes fall 0.8% or more.</x:v>
      </x:c>
      <x:c r="D185" s="29" t="n">
        <x:v>266562301333.15106</x:v>
      </x:c>
      <x:c r="E185" s="29" t="n">
        <x:v>12080</x:v>
      </x:c>
      <x:c r="F185" s="30" t="n">
        <x:f>(D185/E185)^(1/('Methodology'!$B$4*7/365))-1</x:f>
        <x:v>6.662122558464025</x:v>
      </x:c>
      <x:c r="G185" s="30" t="n">
        <x:f>F185/$F$6</x:f>
        <x:v>0.9267100545533913</x:v>
      </x:c>
      <x:c r="H185" s="30" t="n">
        <x:v>0.813430872658145</x:v>
      </x:c>
      <x:c r="I185" s="30" t="n">
        <x:f>$H$6-H185</x:f>
        <x:v>0.000033408235502130346</x:v>
      </x:c>
      <x:c r="J185" s="30" t="n">
        <x:v>0.802</x:v>
      </x:c>
      <x:c r="K185" s="30" t="n">
        <x:f>$J$6-J185</x:f>
        <x:v>0</x:v>
      </x:c>
      <x:c r="L185" s="29" t="n">
        <x:v>0</x:v>
      </x:c>
      <x:c r="M185" s="29" t="n">
        <x:v>0</x:v>
      </x:c>
      <x:c r="N185" s="29" t="n">
        <x:v>2</x:v>
      </x:c>
      <x:c r="O185" s="29" t="n">
        <x:v>0</x:v>
      </x:c>
      <x:c r="P185" s="29" t="n">
        <x:v>2</x:v>
      </x:c>
      <x:c r="Q185" s="29" t="n">
        <x:v>374</x:v>
      </x:c>
      <x:c r="R185" s="30" t="n">
        <x:v>-0.7230544059104503</x:v>
      </x:c>
      <x:c r="S185" s="30" t="n">
        <x:v>0.813430872658145</x:v>
      </x:c>
      <x:c r="T185" s="30" t="n">
        <x:v>0.6582145728144377</x:v>
      </x:c>
      <x:c r="U185" s="28" t="str">
        <x:f>IF(AND(G185&gt;=80%,I185&gt;0,L185&gt;=1),"YES","")</x:f>
      </x:c>
      <x:c r="V185" s="31" t="n">
        <x:f>I185+0.4*K185-2*MAX(0,90%-G185)</x:f>
        <x:v>0.000033408235502130346</x:v>
      </x:c>
    </x:row>
    <x:row r="186">
      <x:c r="A186" s="35" t="n">
        <x:v>180</x:v>
      </x:c>
      <x:c r="B186" s="33" t="str">
        <x:v>Late premarket slide</x:v>
      </x:c>
      <x:c r="C186" s="33" t="str">
        <x:v>Skip when the final 30 premarket minutes fall 1.0% or more.</x:v>
      </x:c>
      <x:c r="D186" s="29" t="n">
        <x:v>266562301333.15106</x:v>
      </x:c>
      <x:c r="E186" s="29" t="n">
        <x:v>12080</x:v>
      </x:c>
      <x:c r="F186" s="30" t="n">
        <x:f>(D186/E186)^(1/('Methodology'!$B$4*7/365))-1</x:f>
        <x:v>6.662122558464025</x:v>
      </x:c>
      <x:c r="G186" s="30" t="n">
        <x:f>F186/$F$6</x:f>
        <x:v>0.9267100545533913</x:v>
      </x:c>
      <x:c r="H186" s="30" t="n">
        <x:v>0.813430872658145</x:v>
      </x:c>
      <x:c r="I186" s="30" t="n">
        <x:f>$H$6-H186</x:f>
        <x:v>0.000033408235502130346</x:v>
      </x:c>
      <x:c r="J186" s="30" t="n">
        <x:v>0.802</x:v>
      </x:c>
      <x:c r="K186" s="30" t="n">
        <x:f>$J$6-J186</x:f>
        <x:v>0</x:v>
      </x:c>
      <x:c r="L186" s="29" t="n">
        <x:v>0</x:v>
      </x:c>
      <x:c r="M186" s="29" t="n">
        <x:v>0</x:v>
      </x:c>
      <x:c r="N186" s="29" t="n">
        <x:v>2</x:v>
      </x:c>
      <x:c r="O186" s="29" t="n">
        <x:v>0</x:v>
      </x:c>
      <x:c r="P186" s="29" t="n">
        <x:v>2</x:v>
      </x:c>
      <x:c r="Q186" s="29" t="n">
        <x:v>374</x:v>
      </x:c>
      <x:c r="R186" s="30" t="n">
        <x:v>-0.7230544059104503</x:v>
      </x:c>
      <x:c r="S186" s="30" t="n">
        <x:v>0.813430872658145</x:v>
      </x:c>
      <x:c r="T186" s="30" t="n">
        <x:v>0.6582145728144377</x:v>
      </x:c>
      <x:c r="U186" s="28" t="str">
        <x:f>IF(AND(G186&gt;=80%,I186&gt;0,L186&gt;=1),"YES","")</x:f>
      </x:c>
      <x:c r="V186" s="31" t="n">
        <x:f>I186+0.4*K186-2*MAX(0,90%-G186)</x:f>
        <x:v>0.000033408235502130346</x:v>
      </x:c>
    </x:row>
    <x:row r="187">
      <x:c r="A187" s="35" t="n">
        <x:v>181</x:v>
      </x:c>
      <x:c r="B187" s="33" t="str">
        <x:v>Late premarket slide</x:v>
      </x:c>
      <x:c r="C187" s="33" t="str">
        <x:v>Skip when the final 60 premarket minutes fall 0.2% or more.</x:v>
      </x:c>
      <x:c r="D187" s="29" t="n">
        <x:v>4710292412.4489975</x:v>
      </x:c>
      <x:c r="E187" s="29" t="n">
        <x:v>11390</x:v>
      </x:c>
      <x:c r="F187" s="30" t="n">
        <x:f>(D187/E187)^(1/('Methodology'!$B$4*7/365))-1</x:f>
        <x:v>3.74629547953852</x:v>
      </x:c>
      <x:c r="G187" s="30" t="n">
        <x:f>F187/$F$6</x:f>
        <x:v>0.5211146534381205</x:v>
      </x:c>
      <x:c r="H187" s="30" t="n">
        <x:v>0.8017823649957696</x:v>
      </x:c>
      <x:c r="I187" s="30" t="n">
        <x:f>$H$6-H187</x:f>
        <x:v>0.011681915897877482</x:v>
      </x:c>
      <x:c r="J187" s="30" t="n">
        <x:v>0.802</x:v>
      </x:c>
      <x:c r="K187" s="30" t="n">
        <x:f>$J$6-J187</x:f>
        <x:v>0</x:v>
      </x:c>
      <x:c r="L187" s="29" t="n">
        <x:v>1</x:v>
      </x:c>
      <x:c r="M187" s="29" t="n">
        <x:v>1</x:v>
      </x:c>
      <x:c r="N187" s="29" t="n">
        <x:v>41</x:v>
      </x:c>
      <x:c r="O187" s="29" t="n">
        <x:v>13</x:v>
      </x:c>
      <x:c r="P187" s="29" t="n">
        <x:v>28</x:v>
      </x:c>
      <x:c r="Q187" s="29" t="n">
        <x:v>335</x:v>
      </x:c>
      <x:c r="R187" s="30" t="n">
        <x:v>-0.7229295441743102</x:v>
      </x:c>
      <x:c r="S187" s="30" t="n">
        <x:v>0.8017823649957696</x:v>
      </x:c>
      <x:c r="T187" s="30" t="n">
        <x:v>0.7124496800692772</x:v>
      </x:c>
      <x:c r="U187" s="28" t="str">
        <x:f>IF(AND(G187&gt;=80%,I187&gt;0,L187&gt;=1),"YES","")</x:f>
      </x:c>
      <x:c r="V187" s="31" t="n">
        <x:f>I187+0.4*K187-2*MAX(0,90%-G187)</x:f>
        <x:v>-0.7460887772258816</x:v>
      </x:c>
    </x:row>
    <x:row r="188">
      <x:c r="A188" s="35" t="n">
        <x:v>182</x:v>
      </x:c>
      <x:c r="B188" s="33" t="str">
        <x:v>Late premarket slide</x:v>
      </x:c>
      <x:c r="C188" s="33" t="str">
        <x:v>Skip when the final 60 premarket minutes fall 0.4% or more.</x:v>
      </x:c>
      <x:c r="D188" s="29" t="n">
        <x:v>142236864282.54404</x:v>
      </x:c>
      <x:c r="E188" s="29" t="n">
        <x:v>11965</x:v>
      </x:c>
      <x:c r="F188" s="30" t="n">
        <x:f>(D188/E188)^(1/('Methodology'!$B$4*7/365))-1</x:f>
        <x:v>6.112131382843173</x:v>
      </x:c>
      <x:c r="G188" s="30" t="n">
        <x:f>F188/$F$6</x:f>
        <x:v>0.8502055549902681</x:v>
      </x:c>
      <x:c r="H188" s="30" t="n">
        <x:v>0.8133338644095478</x:v>
      </x:c>
      <x:c r="I188" s="30" t="n">
        <x:f>$H$6-H188</x:f>
        <x:v>0.00013041648409928275</x:v>
      </x:c>
      <x:c r="J188" s="30" t="n">
        <x:v>0.802</x:v>
      </x:c>
      <x:c r="K188" s="30" t="n">
        <x:f>$J$6-J188</x:f>
        <x:v>0</x:v>
      </x:c>
      <x:c r="L188" s="29" t="n">
        <x:v>0</x:v>
      </x:c>
      <x:c r="M188" s="29" t="n">
        <x:v>0</x:v>
      </x:c>
      <x:c r="N188" s="29" t="n">
        <x:v>8</x:v>
      </x:c>
      <x:c r="O188" s="29" t="n">
        <x:v>2</x:v>
      </x:c>
      <x:c r="P188" s="29" t="n">
        <x:v>6</x:v>
      </x:c>
      <x:c r="Q188" s="29" t="n">
        <x:v>368</x:v>
      </x:c>
      <x:c r="R188" s="30" t="n">
        <x:v>-0.7230507459293003</x:v>
      </x:c>
      <x:c r="S188" s="30" t="n">
        <x:v>0.8133338644095478</x:v>
      </x:c>
      <x:c r="T188" s="30" t="n">
        <x:v>0.658214572565009</x:v>
      </x:c>
      <x:c r="U188" s="28" t="str">
        <x:f>IF(AND(G188&gt;=80%,I188&gt;0,L188&gt;=1),"YES","")</x:f>
      </x:c>
      <x:c r="V188" s="31" t="n">
        <x:f>I188+0.4*K188-2*MAX(0,90%-G188)</x:f>
        <x:v>-0.09945847353536463</x:v>
      </x:c>
    </x:row>
    <x:row r="189">
      <x:c r="A189" s="35" t="n">
        <x:v>183</x:v>
      </x:c>
      <x:c r="B189" s="33" t="str">
        <x:v>Late premarket slide</x:v>
      </x:c>
      <x:c r="C189" s="33" t="str">
        <x:v>Skip when the final 60 premarket minutes fall 0.6% or more.</x:v>
      </x:c>
      <x:c r="D189" s="29" t="n">
        <x:v>192646857390.23102</x:v>
      </x:c>
      <x:c r="E189" s="29" t="n">
        <x:v>12080</x:v>
      </x:c>
      <x:c r="F189" s="30" t="n">
        <x:f>(D189/E189)^(1/('Methodology'!$B$4*7/365))-1</x:f>
        <x:v>6.36826298488349</x:v>
      </x:c>
      <x:c r="G189" s="30" t="n">
        <x:f>F189/$F$6</x:f>
        <x:v>0.885833799414873</x:v>
      </x:c>
      <x:c r="H189" s="30" t="n">
        <x:v>0.8133831879987528</x:v>
      </x:c>
      <x:c r="I189" s="30" t="n">
        <x:f>$H$6-H189</x:f>
        <x:v>0.00008109289489433014</x:v>
      </x:c>
      <x:c r="J189" s="30" t="n">
        <x:v>0.802</x:v>
      </x:c>
      <x:c r="K189" s="30" t="n">
        <x:f>$J$6-J189</x:f>
        <x:v>0</x:v>
      </x:c>
      <x:c r="L189" s="29" t="n">
        <x:v>0</x:v>
      </x:c>
      <x:c r="M189" s="29" t="n">
        <x:v>0</x:v>
      </x:c>
      <x:c r="N189" s="29" t="n">
        <x:v>4</x:v>
      </x:c>
      <x:c r="O189" s="29" t="n">
        <x:v>0</x:v>
      </x:c>
      <x:c r="P189" s="29" t="n">
        <x:v>4</x:v>
      </x:c>
      <x:c r="Q189" s="29" t="n">
        <x:v>372</x:v>
      </x:c>
      <x:c r="R189" s="30" t="n">
        <x:v>-0.7230142273285813</x:v>
      </x:c>
      <x:c r="S189" s="30" t="n">
        <x:v>0.8133831879987528</x:v>
      </x:c>
      <x:c r="T189" s="30" t="n">
        <x:v>0.6582145727364941</x:v>
      </x:c>
      <x:c r="U189" s="28" t="str">
        <x:f>IF(AND(G189&gt;=80%,I189&gt;0,L189&gt;=1),"YES","")</x:f>
      </x:c>
      <x:c r="V189" s="31" t="n">
        <x:f>I189+0.4*K189-2*MAX(0,90%-G189)</x:f>
        <x:v>-0.02825130827535982</x:v>
      </x:c>
    </x:row>
    <x:row r="190">
      <x:c r="A190" s="35" t="n">
        <x:v>184</x:v>
      </x:c>
      <x:c r="B190" s="33" t="str">
        <x:v>Late premarket slide</x:v>
      </x:c>
      <x:c r="C190" s="33" t="str">
        <x:v>Skip when the final 60 premarket minutes fall 0.8% or more.</x:v>
      </x:c>
      <x:c r="D190" s="29" t="n">
        <x:v>226055100909.32202</x:v>
      </x:c>
      <x:c r="E190" s="29" t="n">
        <x:v>12080</x:v>
      </x:c>
      <x:c r="F190" s="30" t="n">
        <x:f>(D190/E190)^(1/('Methodology'!$B$4*7/365))-1</x:f>
        <x:v>6.511535670565842</x:v>
      </x:c>
      <x:c r="G190" s="30" t="n">
        <x:f>F190/$F$6</x:f>
        <x:v>0.9057632193856929</x:v>
      </x:c>
      <x:c r="H190" s="30" t="n">
        <x:v>0.813430872658145</x:v>
      </x:c>
      <x:c r="I190" s="30" t="n">
        <x:f>$H$6-H190</x:f>
        <x:v>0.000033408235502130346</x:v>
      </x:c>
      <x:c r="J190" s="30" t="n">
        <x:v>0.802</x:v>
      </x:c>
      <x:c r="K190" s="30" t="n">
        <x:f>$J$6-J190</x:f>
        <x:v>0</x:v>
      </x:c>
      <x:c r="L190" s="29" t="n">
        <x:v>0</x:v>
      </x:c>
      <x:c r="M190" s="29" t="n">
        <x:v>0</x:v>
      </x:c>
      <x:c r="N190" s="29" t="n">
        <x:v>3</x:v>
      </x:c>
      <x:c r="O190" s="29" t="n">
        <x:v>0</x:v>
      </x:c>
      <x:c r="P190" s="29" t="n">
        <x:v>3</x:v>
      </x:c>
      <x:c r="Q190" s="29" t="n">
        <x:v>373</x:v>
      </x:c>
      <x:c r="R190" s="30" t="n">
        <x:v>-0.7230544059104503</x:v>
      </x:c>
      <x:c r="S190" s="30" t="n">
        <x:v>0.813430872658145</x:v>
      </x:c>
      <x:c r="T190" s="30" t="n">
        <x:v>0.6582145727736921</x:v>
      </x:c>
      <x:c r="U190" s="28" t="str">
        <x:f>IF(AND(G190&gt;=80%,I190&gt;0,L190&gt;=1),"YES","")</x:f>
      </x:c>
      <x:c r="V190" s="31" t="n">
        <x:f>I190+0.4*K190-2*MAX(0,90%-G190)</x:f>
        <x:v>0.000033408235502130346</x:v>
      </x:c>
    </x:row>
    <x:row r="191">
      <x:c r="A191" s="35" t="n">
        <x:v>185</x:v>
      </x:c>
      <x:c r="B191" s="33" t="str">
        <x:v>Late premarket slide</x:v>
      </x:c>
      <x:c r="C191" s="33" t="str">
        <x:v>Skip when the final 60 premarket minutes fall 1.0% or more.</x:v>
      </x:c>
      <x:c r="D191" s="29" t="n">
        <x:v>266562301333.15106</x:v>
      </x:c>
      <x:c r="E191" s="29" t="n">
        <x:v>12080</x:v>
      </x:c>
      <x:c r="F191" s="30" t="n">
        <x:f>(D191/E191)^(1/('Methodology'!$B$4*7/365))-1</x:f>
        <x:v>6.662122558464025</x:v>
      </x:c>
      <x:c r="G191" s="30" t="n">
        <x:f>F191/$F$6</x:f>
        <x:v>0.9267100545533913</x:v>
      </x:c>
      <x:c r="H191" s="30" t="n">
        <x:v>0.813430872658145</x:v>
      </x:c>
      <x:c r="I191" s="30" t="n">
        <x:f>$H$6-H191</x:f>
        <x:v>0.000033408235502130346</x:v>
      </x:c>
      <x:c r="J191" s="30" t="n">
        <x:v>0.802</x:v>
      </x:c>
      <x:c r="K191" s="30" t="n">
        <x:f>$J$6-J191</x:f>
        <x:v>0</x:v>
      </x:c>
      <x:c r="L191" s="29" t="n">
        <x:v>0</x:v>
      </x:c>
      <x:c r="M191" s="29" t="n">
        <x:v>0</x:v>
      </x:c>
      <x:c r="N191" s="29" t="n">
        <x:v>2</x:v>
      </x:c>
      <x:c r="O191" s="29" t="n">
        <x:v>0</x:v>
      </x:c>
      <x:c r="P191" s="29" t="n">
        <x:v>2</x:v>
      </x:c>
      <x:c r="Q191" s="29" t="n">
        <x:v>374</x:v>
      </x:c>
      <x:c r="R191" s="30" t="n">
        <x:v>-0.7230544059104503</x:v>
      </x:c>
      <x:c r="S191" s="30" t="n">
        <x:v>0.813430872658145</x:v>
      </x:c>
      <x:c r="T191" s="30" t="n">
        <x:v>0.6582145728144377</x:v>
      </x:c>
      <x:c r="U191" s="28" t="str">
        <x:f>IF(AND(G191&gt;=80%,I191&gt;0,L191&gt;=1),"YES","")</x:f>
      </x:c>
      <x:c r="V191" s="31" t="n">
        <x:f>I191+0.4*K191-2*MAX(0,90%-G191)</x:f>
        <x:v>0.000033408235502130346</x:v>
      </x:c>
    </x:row>
    <x:row r="192">
      <x:c r="A192" s="35" t="n">
        <x:v>186</x:v>
      </x:c>
      <x:c r="B192" s="33" t="str">
        <x:v>Late premarket slide</x:v>
      </x:c>
      <x:c r="C192" s="33" t="str">
        <x:v>Skip when the final 120 premarket minutes fall 0.2% or more.</x:v>
      </x:c>
      <x:c r="D192" s="29" t="n">
        <x:v>7587660878.135999</x:v>
      </x:c>
      <x:c r="E192" s="29" t="n">
        <x:v>11045</x:v>
      </x:c>
      <x:c r="F192" s="30" t="n">
        <x:f>(D192/E192)^(1/('Methodology'!$B$4*7/365))-1</x:f>
        <x:v>4.045428086870131</x:v>
      </x:c>
      <x:c r="G192" s="30" t="n">
        <x:f>F192/$F$6</x:f>
        <x:v>0.5627243945418456</x:v>
      </x:c>
      <x:c r="H192" s="30" t="n">
        <x:v>0.8017344460712694</x:v>
      </x:c>
      <x:c r="I192" s="30" t="n">
        <x:f>$H$6-H192</x:f>
        <x:v>0.01172983482237766</x:v>
      </x:c>
      <x:c r="J192" s="30" t="n">
        <x:v>0.802</x:v>
      </x:c>
      <x:c r="K192" s="30" t="n">
        <x:f>$J$6-J192</x:f>
        <x:v>0</x:v>
      </x:c>
      <x:c r="L192" s="29" t="n">
        <x:v>2</x:v>
      </x:c>
      <x:c r="M192" s="29" t="n">
        <x:v>1</x:v>
      </x:c>
      <x:c r="N192" s="29" t="n">
        <x:v>51</x:v>
      </x:c>
      <x:c r="O192" s="29" t="n">
        <x:v>20</x:v>
      </x:c>
      <x:c r="P192" s="29" t="n">
        <x:v>31</x:v>
      </x:c>
      <x:c r="Q192" s="29" t="n">
        <x:v>325</x:v>
      </x:c>
      <x:c r="R192" s="30" t="n">
        <x:v>-0.7229278570198107</x:v>
      </x:c>
      <x:c r="S192" s="30" t="n">
        <x:v>0.8017344460712694</x:v>
      </x:c>
      <x:c r="T192" s="30" t="n">
        <x:v>0.6746869256249426</x:v>
      </x:c>
      <x:c r="U192" s="28" t="str">
        <x:f>IF(AND(G192&gt;=80%,I192&gt;0,L192&gt;=1),"YES","")</x:f>
      </x:c>
      <x:c r="V192" s="31" t="n">
        <x:f>I192+0.4*K192-2*MAX(0,90%-G192)</x:f>
        <x:v>-0.6628213760939311</x:v>
      </x:c>
    </x:row>
    <x:row r="193">
      <x:c r="A193" s="35" t="n">
        <x:v>187</x:v>
      </x:c>
      <x:c r="B193" s="33" t="str">
        <x:v>Late premarket slide</x:v>
      </x:c>
      <x:c r="C193" s="33" t="str">
        <x:v>Skip when the final 120 premarket minutes fall 0.4% or more.</x:v>
      </x:c>
      <x:c r="D193" s="29" t="n">
        <x:v>121109595705.68596</x:v>
      </x:c>
      <x:c r="E193" s="29" t="n">
        <x:v>11620</x:v>
      </x:c>
      <x:c r="F193" s="30" t="n">
        <x:f>(D193/E193)^(1/('Methodology'!$B$4*7/365))-1</x:f>
        <x:v>6.000360426669828</x:v>
      </x:c>
      <x:c r="G193" s="30" t="n">
        <x:f>F193/$F$6</x:f>
        <x:v>0.8346580672363404</x:v>
      </x:c>
      <x:c r="H193" s="30" t="n">
        <x:v>0.8134642808936471</x:v>
      </x:c>
      <x:c r="I193" s="30" t="n">
        <x:f>$H$6-H193</x:f>
        <x:v>0</x:v>
      </x:c>
      <x:c r="J193" s="30" t="n">
        <x:v>0.802</x:v>
      </x:c>
      <x:c r="K193" s="30" t="n">
        <x:f>$J$6-J193</x:f>
        <x:v>0</x:v>
      </x:c>
      <x:c r="L193" s="29" t="n">
        <x:v>0</x:v>
      </x:c>
      <x:c r="M193" s="29" t="n">
        <x:v>0</x:v>
      </x:c>
      <x:c r="N193" s="29" t="n">
        <x:v>10</x:v>
      </x:c>
      <x:c r="O193" s="29" t="n">
        <x:v>4</x:v>
      </x:c>
      <x:c r="P193" s="29" t="n">
        <x:v>6</x:v>
      </x:c>
      <x:c r="Q193" s="29" t="n">
        <x:v>366</x:v>
      </x:c>
      <x:c r="R193" s="30" t="n">
        <x:v>-0.7230426999112742</x:v>
      </x:c>
      <x:c r="S193" s="30" t="n">
        <x:v>0.8134642808936471</x:v>
      </x:c>
      <x:c r="T193" s="30" t="n">
        <x:v>0.6582145724342046</x:v>
      </x:c>
      <x:c r="U193" s="28" t="str">
        <x:f>IF(AND(G193&gt;=80%,I193&gt;0,L193&gt;=1),"YES","")</x:f>
      </x:c>
      <x:c r="V193" s="31" t="n">
        <x:f>I193+0.4*K193-2*MAX(0,90%-G193)</x:f>
        <x:v>-0.13068386552731925</x:v>
      </x:c>
    </x:row>
    <x:row r="194">
      <x:c r="A194" s="35" t="n">
        <x:v>188</x:v>
      </x:c>
      <x:c r="B194" s="33" t="str">
        <x:v>Late premarket slide</x:v>
      </x:c>
      <x:c r="C194" s="33" t="str">
        <x:v>Skip when the final 120 premarket minutes fall 0.6% or more.</x:v>
      </x:c>
      <x:c r="D194" s="29" t="n">
        <x:v>159772671419.98404</x:v>
      </x:c>
      <x:c r="E194" s="29" t="n">
        <x:v>11850</x:v>
      </x:c>
      <x:c r="F194" s="30" t="n">
        <x:f>(D194/E194)^(1/('Methodology'!$B$4*7/365))-1</x:f>
        <x:v>6.220795173294551</x:v>
      </x:c>
      <x:c r="G194" s="30" t="n">
        <x:f>F194/$F$6</x:f>
        <x:v>0.8653208318849026</x:v>
      </x:c>
      <x:c r="H194" s="30" t="n">
        <x:v>0.8134642808936471</x:v>
      </x:c>
      <x:c r="I194" s="30" t="n">
        <x:f>$H$6-H194</x:f>
        <x:v>0</x:v>
      </x:c>
      <x:c r="J194" s="30" t="n">
        <x:v>0.802</x:v>
      </x:c>
      <x:c r="K194" s="30" t="n">
        <x:f>$J$6-J194</x:f>
        <x:v>0</x:v>
      </x:c>
      <x:c r="L194" s="29" t="n">
        <x:v>0</x:v>
      </x:c>
      <x:c r="M194" s="29" t="n">
        <x:v>0</x:v>
      </x:c>
      <x:c r="N194" s="29" t="n">
        <x:v>5</x:v>
      </x:c>
      <x:c r="O194" s="29" t="n">
        <x:v>1</x:v>
      </x:c>
      <x:c r="P194" s="29" t="n">
        <x:v>4</x:v>
      </x:c>
      <x:c r="Q194" s="29" t="n">
        <x:v>371</x:v>
      </x:c>
      <x:c r="R194" s="30" t="n">
        <x:v>-0.7230426999112742</x:v>
      </x:c>
      <x:c r="S194" s="30" t="n">
        <x:v>0.8134642808936471</x:v>
      </x:c>
      <x:c r="T194" s="30" t="n">
        <x:v>0.6582145726273672</x:v>
      </x:c>
      <x:c r="U194" s="28" t="str">
        <x:f>IF(AND(G194&gt;=80%,I194&gt;0,L194&gt;=1),"YES","")</x:f>
      </x:c>
      <x:c r="V194" s="31" t="n">
        <x:f>I194+0.4*K194-2*MAX(0,90%-G194)</x:f>
        <x:v>-0.06935833623019483</x:v>
      </x:c>
    </x:row>
    <x:row r="195">
      <x:c r="A195" s="35" t="n">
        <x:v>189</x:v>
      </x:c>
      <x:c r="B195" s="33" t="str">
        <x:v>Late premarket slide</x:v>
      </x:c>
      <x:c r="C195" s="33" t="str">
        <x:v>Skip when the final 120 premarket minutes fall 0.8% or more.</x:v>
      </x:c>
      <x:c r="D195" s="29" t="n">
        <x:v>144500624882.934</x:v>
      </x:c>
      <x:c r="E195" s="29" t="n">
        <x:v>12080</x:v>
      </x:c>
      <x:c r="F195" s="30" t="n">
        <x:f>(D195/E195)^(1/('Methodology'!$B$4*7/365))-1</x:f>
        <x:v>6.117464527214788</x:v>
      </x:c>
      <x:c r="G195" s="30" t="n">
        <x:f>F195/$F$6</x:f>
        <x:v>0.8509474024222523</x:v>
      </x:c>
      <x:c r="H195" s="30" t="n">
        <x:v>0.8134642808936471</x:v>
      </x:c>
      <x:c r="I195" s="30" t="n">
        <x:f>$H$6-H195</x:f>
        <x:v>0</x:v>
      </x:c>
      <x:c r="J195" s="30" t="n">
        <x:v>0.802</x:v>
      </x:c>
      <x:c r="K195" s="30" t="n">
        <x:f>$J$6-J195</x:f>
        <x:v>0</x:v>
      </x:c>
      <x:c r="L195" s="29" t="n">
        <x:v>0</x:v>
      </x:c>
      <x:c r="M195" s="29" t="n">
        <x:v>0</x:v>
      </x:c>
      <x:c r="N195" s="29" t="n">
        <x:v>4</x:v>
      </x:c>
      <x:c r="O195" s="29" t="n">
        <x:v>0</x:v>
      </x:c>
      <x:c r="P195" s="29" t="n">
        <x:v>4</x:v>
      </x:c>
      <x:c r="Q195" s="29" t="n">
        <x:v>372</x:v>
      </x:c>
      <x:c r="R195" s="30" t="n">
        <x:v>-0.7230426999112742</x:v>
      </x:c>
      <x:c r="S195" s="30" t="n">
        <x:v>0.8134642808936471</x:v>
      </x:c>
      <x:c r="T195" s="30" t="n">
        <x:v>0.6582145725640351</x:v>
      </x:c>
      <x:c r="U195" s="28" t="str">
        <x:f>IF(AND(G195&gt;=80%,I195&gt;0,L195&gt;=1),"YES","")</x:f>
      </x:c>
      <x:c r="V195" s="31" t="n">
        <x:f>I195+0.4*K195-2*MAX(0,90%-G195)</x:f>
        <x:v>-0.09810519515549543</x:v>
      </x:c>
    </x:row>
    <x:row r="196">
      <x:c r="A196" s="35" t="n">
        <x:v>190</x:v>
      </x:c>
      <x:c r="B196" s="33" t="str">
        <x:v>Late premarket slide</x:v>
      </x:c>
      <x:c r="C196" s="33" t="str">
        <x:v>Skip when the final 120 premarket minutes fall 1.0% or more.</x:v>
      </x:c>
      <x:c r="D196" s="29" t="n">
        <x:v>198852049889.86606</x:v>
      </x:c>
      <x:c r="E196" s="29" t="n">
        <x:v>12080</x:v>
      </x:c>
      <x:c r="F196" s="30" t="n">
        <x:f>(D196/E196)^(1/('Methodology'!$B$4*7/365))-1</x:f>
        <x:v>6.396446319527113</x:v>
      </x:c>
      <x:c r="G196" s="30" t="n">
        <x:f>F196/$F$6</x:f>
        <x:v>0.8897541385193986</x:v>
      </x:c>
      <x:c r="H196" s="30" t="n">
        <x:v>0.8134642808936471</x:v>
      </x:c>
      <x:c r="I196" s="30" t="n">
        <x:f>$H$6-H196</x:f>
        <x:v>0</x:v>
      </x:c>
      <x:c r="J196" s="30" t="n">
        <x:v>0.802</x:v>
      </x:c>
      <x:c r="K196" s="30" t="n">
        <x:f>$J$6-J196</x:f>
        <x:v>0</x:v>
      </x:c>
      <x:c r="L196" s="29" t="n">
        <x:v>0</x:v>
      </x:c>
      <x:c r="M196" s="29" t="n">
        <x:v>0</x:v>
      </x:c>
      <x:c r="N196" s="29" t="n">
        <x:v>3</x:v>
      </x:c>
      <x:c r="O196" s="29" t="n">
        <x:v>0</x:v>
      </x:c>
      <x:c r="P196" s="29" t="n">
        <x:v>3</x:v>
      </x:c>
      <x:c r="Q196" s="29" t="n">
        <x:v>373</x:v>
      </x:c>
      <x:c r="R196" s="30" t="n">
        <x:v>-0.7230426999112742</x:v>
      </x:c>
      <x:c r="S196" s="30" t="n">
        <x:v>0.8134642808936471</x:v>
      </x:c>
      <x:c r="T196" s="30" t="n">
        <x:v>0.6582145727491324</x:v>
      </x:c>
      <x:c r="U196" s="28" t="str">
        <x:f>IF(AND(G196&gt;=80%,I196&gt;0,L196&gt;=1),"YES","")</x:f>
      </x:c>
      <x:c r="V196" s="31" t="n">
        <x:f>I196+0.4*K196-2*MAX(0,90%-G196)</x:f>
        <x:v>-0.02049172296120294</x:v>
      </x:c>
    </x:row>
    <x:row r="197">
      <x:c r="A197" s="35" t="n">
        <x:v>191</x:v>
      </x:c>
      <x:c r="B197" s="33" t="str">
        <x:v>Premarket peak-to-trough drawdown</x:v>
      </x:c>
      <x:c r="C197" s="33" t="str">
        <x:v>Skip when premarket peak-to-trough drawdown reaches 0.4%.</x:v>
      </x:c>
      <x:c r="D197" s="29" t="n">
        <x:v>69670.413</x:v>
      </x:c>
      <x:c r="E197" s="29" t="n">
        <x:v>2420</x:v>
      </x:c>
      <x:c r="F197" s="30" t="n">
        <x:f>(D197/E197)^(1/('Methodology'!$B$4*7/365))-1</x:f>
        <x:v>0.4987327605212193</x:v>
      </x:c>
      <x:c r="G197" s="30" t="n">
        <x:f>F197/$F$6</x:f>
        <x:v>0.06937438626417883</x:v>
      </x:c>
      <x:c r="H197" s="30" t="n">
        <x:v>0.7067674226346374</x:v>
      </x:c>
      <x:c r="I197" s="30" t="n">
        <x:f>$H$6-H197</x:f>
        <x:v>0.10669685825900965</x:v>
      </x:c>
      <x:c r="J197" s="30" t="n">
        <x:v>0.707</x:v>
      </x:c>
      <x:c r="K197" s="30" t="n">
        <x:f>$J$6-J197</x:f>
        <x:v>0.09500000000000008</x:v>
      </x:c>
      <x:c r="L197" s="29" t="n">
        <x:v>14</x:v>
      </x:c>
      <x:c r="M197" s="29" t="n">
        <x:v>10</x:v>
      </x:c>
      <x:c r="N197" s="29" t="n">
        <x:v>276</x:v>
      </x:c>
      <x:c r="O197" s="29" t="n">
        <x:v>110</x:v>
      </x:c>
      <x:c r="P197" s="29" t="n">
        <x:v>166</x:v>
      </x:c>
      <x:c r="Q197" s="29" t="n">
        <x:v>100</x:v>
      </x:c>
      <x:c r="R197" s="30" t="n">
        <x:v>-0.4681354319062022</x:v>
      </x:c>
      <x:c r="S197" s="30" t="n">
        <x:v>0.4415679070958496</x:v>
      </x:c>
      <x:c r="T197" s="30" t="n">
        <x:v>0.7067674226346374</x:v>
      </x:c>
      <x:c r="U197" s="28" t="str">
        <x:f>IF(AND(G197&gt;=80%,I197&gt;0,L197&gt;=1),"YES","")</x:f>
      </x:c>
      <x:c r="V197" s="31" t="n">
        <x:f>I197+0.4*K197-2*MAX(0,90%-G197)</x:f>
        <x:v>-1.5165543692126326</x:v>
      </x:c>
    </x:row>
    <x:row r="198">
      <x:c r="A198" s="35" t="n">
        <x:v>192</x:v>
      </x:c>
      <x:c r="B198" s="33" t="str">
        <x:v>Premarket peak-to-trough drawdown</x:v>
      </x:c>
      <x:c r="C198" s="33" t="str">
        <x:v>Skip when premarket peak-to-trough drawdown reaches 0.6%.</x:v>
      </x:c>
      <x:c r="D198" s="29" t="n">
        <x:v>3309173.792</x:v>
      </x:c>
      <x:c r="E198" s="29" t="n">
        <x:v>5525</x:v>
      </x:c>
      <x:c r="F198" s="30" t="n">
        <x:f>(D198/E198)^(1/('Methodology'!$B$4*7/365))-1</x:f>
        <x:v>1.1600279652976848</x:v>
      </x:c>
      <x:c r="G198" s="30" t="n">
        <x:f>F198/$F$6</x:f>
        <x:v>0.1613614234158316</x:v>
      </x:c>
      <x:c r="H198" s="30" t="n">
        <x:v>0.6333247678799231</x:v>
      </x:c>
      <x:c r="I198" s="30" t="n">
        <x:f>$H$6-H198</x:f>
        <x:v>0.180139513013724</x:v>
      </x:c>
      <x:c r="J198" s="30" t="n">
        <x:v>0.633</x:v>
      </x:c>
      <x:c r="K198" s="30" t="n">
        <x:f>$J$6-J198</x:f>
        <x:v>0.16900000000000004</x:v>
      </x:c>
      <x:c r="L198" s="29" t="n">
        <x:v>10</x:v>
      </x:c>
      <x:c r="M198" s="29" t="n">
        <x:v>7</x:v>
      </x:c>
      <x:c r="N198" s="29" t="n">
        <x:v>188</x:v>
      </x:c>
      <x:c r="O198" s="29" t="n">
        <x:v>71</x:v>
      </x:c>
      <x:c r="P198" s="29" t="n">
        <x:v>117</x:v>
      </x:c>
      <x:c r="Q198" s="29" t="n">
        <x:v>188</x:v>
      </x:c>
      <x:c r="R198" s="30" t="n">
        <x:v>-0.4698665997122221</x:v>
      </x:c>
      <x:c r="S198" s="30" t="n">
        <x:v>0.4959913522509922</x:v>
      </x:c>
      <x:c r="T198" s="30" t="n">
        <x:v>0.6333247678799231</x:v>
      </x:c>
      <x:c r="U198" s="28" t="str">
        <x:f>IF(AND(G198&gt;=80%,I198&gt;0,L198&gt;=1),"YES","")</x:f>
      </x:c>
      <x:c r="V198" s="31" t="n">
        <x:f>I198+0.4*K198-2*MAX(0,90%-G198)</x:f>
        <x:v>-1.2295376401546128</x:v>
      </x:c>
    </x:row>
    <x:row r="199">
      <x:c r="A199" s="35" t="n">
        <x:v>193</x:v>
      </x:c>
      <x:c r="B199" s="33" t="str">
        <x:v>Premarket peak-to-trough drawdown</x:v>
      </x:c>
      <x:c r="C199" s="33" t="str">
        <x:v>Skip when premarket peak-to-trough drawdown reaches 0.8%.</x:v>
      </x:c>
      <x:c r="D199" s="29" t="n">
        <x:v>20477601.669999994</x:v>
      </x:c>
      <x:c r="E199" s="29" t="n">
        <x:v>7135</x:v>
      </x:c>
      <x:c r="F199" s="30" t="n">
        <x:f>(D199/E199)^(1/('Methodology'!$B$4*7/365))-1</x:f>
        <x:v>1.6085939843180062</x:v>
      </x:c>
      <x:c r="G199" s="30" t="n">
        <x:f>F199/$F$6</x:f>
        <x:v>0.22375754962173533</x:v>
      </x:c>
      <x:c r="H199" s="30" t="n">
        <x:v>0.6685764046674543</x:v>
      </x:c>
      <x:c r="I199" s="30" t="n">
        <x:f>$H$6-H199</x:f>
        <x:v>0.1448878762261928</x:v>
      </x:c>
      <x:c r="J199" s="30" t="n">
        <x:v>0.669</x:v>
      </x:c>
      <x:c r="K199" s="30" t="n">
        <x:f>$J$6-J199</x:f>
        <x:v>0.133</x:v>
      </x:c>
      <x:c r="L199" s="29" t="n">
        <x:v>8</x:v>
      </x:c>
      <x:c r="M199" s="29" t="n">
        <x:v>6</x:v>
      </x:c>
      <x:c r="N199" s="29" t="n">
        <x:v>137</x:v>
      </x:c>
      <x:c r="O199" s="29" t="n">
        <x:v>44</x:v>
      </x:c>
      <x:c r="P199" s="29" t="n">
        <x:v>93</x:v>
      </x:c>
      <x:c r="Q199" s="29" t="n">
        <x:v>239</x:v>
      </x:c>
      <x:c r="R199" s="30" t="n">
        <x:v>-0.4698585089796806</x:v>
      </x:c>
      <x:c r="S199" s="30" t="n">
        <x:v>0.5922528425465817</x:v>
      </x:c>
      <x:c r="T199" s="30" t="n">
        <x:v>0.6685764046674543</x:v>
      </x:c>
      <x:c r="U199" s="28" t="str">
        <x:f>IF(AND(G199&gt;=80%,I199&gt;0,L199&gt;=1),"YES","")</x:f>
      </x:c>
      <x:c r="V199" s="31" t="n">
        <x:f>I199+0.4*K199-2*MAX(0,90%-G199)</x:f>
        <x:v>-1.1543970245303365</x:v>
      </x:c>
    </x:row>
    <x:row r="200">
      <x:c r="A200" s="35" t="n">
        <x:v>194</x:v>
      </x:c>
      <x:c r="B200" s="33" t="str">
        <x:v>Premarket peak-to-trough drawdown</x:v>
      </x:c>
      <x:c r="C200" s="33" t="str">
        <x:v>Skip when premarket peak-to-trough drawdown reaches 1.0%.</x:v>
      </x:c>
      <x:c r="D200" s="29" t="n">
        <x:v>43061252.725999996</x:v>
      </x:c>
      <x:c r="E200" s="29" t="n">
        <x:v>9780</x:v>
      </x:c>
      <x:c r="F200" s="30" t="n">
        <x:f>(D200/E200)^(1/('Methodology'!$B$4*7/365))-1</x:f>
        <x:v>1.7465562746958172</x:v>
      </x:c>
      <x:c r="G200" s="30" t="n">
        <x:f>F200/$F$6</x:f>
        <x:v>0.24294828658587317</x:v>
      </x:c>
      <x:c r="H200" s="30" t="n">
        <x:v>0.6575044325389094</x:v>
      </x:c>
      <x:c r="I200" s="30" t="n">
        <x:f>$H$6-H200</x:f>
        <x:v>0.15595984835473764</x:v>
      </x:c>
      <x:c r="J200" s="30" t="n">
        <x:v>0.658</x:v>
      </x:c>
      <x:c r="K200" s="30" t="n">
        <x:f>$J$6-J200</x:f>
        <x:v>0.14400000000000002</x:v>
      </x:c>
      <x:c r="L200" s="29" t="n">
        <x:v>3</x:v>
      </x:c>
      <x:c r="M200" s="29" t="n">
        <x:v>3</x:v>
      </x:c>
      <x:c r="N200" s="29" t="n">
        <x:v>88</x:v>
      </x:c>
      <x:c r="O200" s="29" t="n">
        <x:v>22</x:v>
      </x:c>
      <x:c r="P200" s="29" t="n">
        <x:v>66</x:v>
      </x:c>
      <x:c r="Q200" s="29" t="n">
        <x:v>288</x:v>
      </x:c>
      <x:c r="R200" s="30" t="n">
        <x:v>-0.5435704879260344</x:v>
      </x:c>
      <x:c r="S200" s="30" t="n">
        <x:v>0.6226866520530339</x:v>
      </x:c>
      <x:c r="T200" s="30" t="n">
        <x:v>0.6575044325389094</x:v>
      </x:c>
      <x:c r="U200" s="28" t="str">
        <x:f>IF(AND(G200&gt;=80%,I200&gt;0,L200&gt;=1),"YES","")</x:f>
      </x:c>
      <x:c r="V200" s="31" t="n">
        <x:f>I200+0.4*K200-2*MAX(0,90%-G200)</x:f>
        <x:v>-1.100543578473516</x:v>
      </x:c>
    </x:row>
    <x:row r="201">
      <x:c r="A201" s="35" t="n">
        <x:v>195</x:v>
      </x:c>
      <x:c r="B201" s="33" t="str">
        <x:v>Premarket peak-to-trough drawdown</x:v>
      </x:c>
      <x:c r="C201" s="33" t="str">
        <x:v>Skip when premarket peak-to-trough drawdown reaches 1.2%.</x:v>
      </x:c>
      <x:c r="D201" s="29" t="n">
        <x:v>894117489.6349995</x:v>
      </x:c>
      <x:c r="E201" s="29" t="n">
        <x:v>10125</x:v>
      </x:c>
      <x:c r="F201" s="30" t="n">
        <x:f>(D201/E201)^(1/('Methodology'!$B$4*7/365))-1</x:f>
        <x:v>2.941020162931635</x:v>
      </x:c>
      <x:c r="G201" s="30" t="n">
        <x:f>F201/$F$6</x:f>
        <x:v>0.40909979240330363</x:v>
      </x:c>
      <x:c r="H201" s="30" t="n">
        <x:v>0.7585846666177869</x:v>
      </x:c>
      <x:c r="I201" s="30" t="n">
        <x:f>$H$6-H201</x:f>
        <x:v>0.05487961427586019</x:v>
      </x:c>
      <x:c r="J201" s="30" t="n">
        <x:v>0.708</x:v>
      </x:c>
      <x:c r="K201" s="30" t="n">
        <x:f>$J$6-J201</x:f>
        <x:v>0.09400000000000008</x:v>
      </x:c>
      <x:c r="L201" s="29" t="n">
        <x:v>1</x:v>
      </x:c>
      <x:c r="M201" s="29" t="n">
        <x:v>2</x:v>
      </x:c>
      <x:c r="N201" s="29" t="n">
        <x:v>63</x:v>
      </x:c>
      <x:c r="O201" s="29" t="n">
        <x:v>18</x:v>
      </x:c>
      <x:c r="P201" s="29" t="n">
        <x:v>45</x:v>
      </x:c>
      <x:c r="Q201" s="29" t="n">
        <x:v>313</x:v>
      </x:c>
      <x:c r="R201" s="30" t="n">
        <x:v>-0.5437070885078412</x:v>
      </x:c>
      <x:c r="S201" s="30" t="n">
        <x:v>0.7585846666177869</x:v>
      </x:c>
      <x:c r="T201" s="30" t="n">
        <x:v>0.6576100627147325</x:v>
      </x:c>
      <x:c r="U201" s="28" t="str">
        <x:f>IF(AND(G201&gt;=80%,I201&gt;0,L201&gt;=1),"YES","")</x:f>
      </x:c>
      <x:c r="V201" s="31" t="n">
        <x:f>I201+0.4*K201-2*MAX(0,90%-G201)</x:f>
        <x:v>-0.8893208009175325</x:v>
      </x:c>
    </x:row>
    <x:row r="202">
      <x:c r="A202" s="35" t="n">
        <x:v>196</x:v>
      </x:c>
      <x:c r="B202" s="33" t="str">
        <x:v>Premarket peak-to-trough drawdown</x:v>
      </x:c>
      <x:c r="C202" s="33" t="str">
        <x:v>Skip when premarket peak-to-trough drawdown reaches 1.4%.</x:v>
      </x:c>
      <x:c r="D202" s="29" t="n">
        <x:v>3287060319.2970014</x:v>
      </x:c>
      <x:c r="E202" s="29" t="n">
        <x:v>10815</x:v>
      </x:c>
      <x:c r="F202" s="30" t="n">
        <x:f>(D202/E202)^(1/('Methodology'!$B$4*7/365))-1</x:f>
        <x:v>3.5735047261064246</x:v>
      </x:c>
      <x:c r="G202" s="30" t="n">
        <x:f>F202/$F$6</x:f>
        <x:v>0.4970792312233276</x:v>
      </x:c>
      <x:c r="H202" s="30" t="n">
        <x:v>0.7586311068579739</x:v>
      </x:c>
      <x:c r="I202" s="30" t="n">
        <x:f>$H$6-H202</x:f>
        <x:v>0.05483317403567323</x:v>
      </x:c>
      <x:c r="J202" s="30" t="n">
        <x:v>0.708</x:v>
      </x:c>
      <x:c r="K202" s="30" t="n">
        <x:f>$J$6-J202</x:f>
        <x:v>0.09400000000000008</x:v>
      </x:c>
      <x:c r="L202" s="29" t="n">
        <x:v>1</x:v>
      </x:c>
      <x:c r="M202" s="29" t="n">
        <x:v>2</x:v>
      </x:c>
      <x:c r="N202" s="29" t="n">
        <x:v>43</x:v>
      </x:c>
      <x:c r="O202" s="29" t="n">
        <x:v>10</x:v>
      </x:c>
      <x:c r="P202" s="29" t="n">
        <x:v>33</x:v>
      </x:c>
      <x:c r="Q202" s="29" t="n">
        <x:v>333</x:v>
      </x:c>
      <x:c r="R202" s="30" t="n">
        <x:v>-0.5437247326011364</x:v>
      </x:c>
      <x:c r="S202" s="30" t="n">
        <x:v>0.7586311068579739</x:v>
      </x:c>
      <x:c r="T202" s="30" t="n">
        <x:v>0.6576147562406778</x:v>
      </x:c>
      <x:c r="U202" s="28" t="str">
        <x:f>IF(AND(G202&gt;=80%,I202&gt;0,L202&gt;=1),"YES","")</x:f>
      </x:c>
      <x:c r="V202" s="31" t="n">
        <x:f>I202+0.4*K202-2*MAX(0,90%-G202)</x:f>
        <x:v>-0.7134083635176716</x:v>
      </x:c>
    </x:row>
    <x:row r="203">
      <x:c r="A203" s="35" t="n">
        <x:v>197</x:v>
      </x:c>
      <x:c r="B203" s="33" t="str">
        <x:v>Premarket peak-to-trough drawdown</x:v>
      </x:c>
      <x:c r="C203" s="33" t="str">
        <x:v>Skip when premarket peak-to-trough drawdown reaches 1.6%.</x:v>
      </x:c>
      <x:c r="D203" s="29" t="n">
        <x:v>15248373153.271006</x:v>
      </x:c>
      <x:c r="E203" s="29" t="n">
        <x:v>11160</x:v>
      </x:c>
      <x:c r="F203" s="30" t="n">
        <x:f>(D203/E203)^(1/('Methodology'!$B$4*7/365))-1</x:f>
        <x:v>4.480979557994116</x:v>
      </x:c>
      <x:c r="G203" s="30" t="n">
        <x:f>F203/$F$6</x:f>
        <x:v>0.6233101799314162</x:v>
      </x:c>
      <x:c r="H203" s="30" t="n">
        <x:v>0.7586491457945895</x:v>
      </x:c>
      <x:c r="I203" s="30" t="n">
        <x:f>$H$6-H203</x:f>
        <x:v>0.054815135099057555</x:v>
      </x:c>
      <x:c r="J203" s="30" t="n">
        <x:v>0.708</x:v>
      </x:c>
      <x:c r="K203" s="30" t="n">
        <x:f>$J$6-J203</x:f>
        <x:v>0.09400000000000008</x:v>
      </x:c>
      <x:c r="L203" s="29" t="n">
        <x:v>1</x:v>
      </x:c>
      <x:c r="M203" s="29" t="n">
        <x:v>2</x:v>
      </x:c>
      <x:c r="N203" s="29" t="n">
        <x:v>35</x:v>
      </x:c>
      <x:c r="O203" s="29" t="n">
        <x:v>9</x:v>
      </x:c>
      <x:c r="P203" s="29" t="n">
        <x:v>26</x:v>
      </x:c>
      <x:c r="Q203" s="29" t="n">
        <x:v>341</x:v>
      </x:c>
      <x:c r="R203" s="30" t="n">
        <x:v>-0.5437264494822761</x:v>
      </x:c>
      <x:c r="S203" s="30" t="n">
        <x:v>0.7586491457945895</x:v>
      </x:c>
      <x:c r="T203" s="30" t="n">
        <x:v>0.6576172701208273</x:v>
      </x:c>
      <x:c r="U203" s="28" t="str">
        <x:f>IF(AND(G203&gt;=80%,I203&gt;0,L203&gt;=1),"YES","")</x:f>
      </x:c>
      <x:c r="V203" s="31" t="n">
        <x:f>I203+0.4*K203-2*MAX(0,90%-G203)</x:f>
        <x:v>-0.46096450503811</x:v>
      </x:c>
    </x:row>
    <x:row r="204">
      <x:c r="A204" s="35" t="n">
        <x:v>198</x:v>
      </x:c>
      <x:c r="B204" s="33" t="str">
        <x:v>Premarket peak-to-trough drawdown</x:v>
      </x:c>
      <x:c r="C204" s="33" t="str">
        <x:v>Skip when premarket peak-to-trough drawdown reaches 1.8%.</x:v>
      </x:c>
      <x:c r="D204" s="29" t="n">
        <x:v>46013358519.31</x:v>
      </x:c>
      <x:c r="E204" s="29" t="n">
        <x:v>11735</x:v>
      </x:c>
      <x:c r="F204" s="30" t="n">
        <x:f>(D204/E204)^(1/('Methodology'!$B$4*7/365))-1</x:f>
        <x:v>5.222895569459538</x:v>
      </x:c>
      <x:c r="G204" s="30" t="n">
        <x:f>F204/$F$6</x:f>
        <x:v>0.7265116778662831</x:v>
      </x:c>
      <x:c r="H204" s="30" t="n">
        <x:v>0.7906980049837817</x:v>
      </x:c>
      <x:c r="I204" s="30" t="n">
        <x:f>$H$6-H204</x:f>
        <x:v>0.022766275909865352</x:v>
      </x:c>
      <x:c r="J204" s="30" t="n">
        <x:v>0.747</x:v>
      </x:c>
      <x:c r="K204" s="30" t="n">
        <x:f>$J$6-J204</x:f>
        <x:v>0.05500000000000005</x:v>
      </x:c>
      <x:c r="L204" s="29" t="n">
        <x:v>1</x:v>
      </x:c>
      <x:c r="M204" s="29" t="n">
        <x:v>1</x:v>
      </x:c>
      <x:c r="N204" s="29" t="n">
        <x:v>22</x:v>
      </x:c>
      <x:c r="O204" s="29" t="n">
        <x:v>4</x:v>
      </x:c>
      <x:c r="P204" s="29" t="n">
        <x:v>18</x:v>
      </x:c>
      <x:c r="Q204" s="29" t="n">
        <x:v>354</x:v>
      </x:c>
      <x:c r="R204" s="30" t="n">
        <x:v>-0.5437247813324256</x:v>
      </x:c>
      <x:c r="S204" s="30" t="n">
        <x:v>0.7906980049837817</x:v>
      </x:c>
      <x:c r="T204" s="30" t="n">
        <x:v>0.6582145709678426</x:v>
      </x:c>
      <x:c r="U204" s="28" t="str">
        <x:f>IF(AND(G204&gt;=80%,I204&gt;0,L204&gt;=1),"YES","")</x:f>
      </x:c>
      <x:c r="V204" s="31" t="n">
        <x:f>I204+0.4*K204-2*MAX(0,90%-G204)</x:f>
        <x:v>-0.3022103683575684</x:v>
      </x:c>
    </x:row>
    <x:row r="205">
      <x:c r="A205" s="35" t="n">
        <x:v>199</x:v>
      </x:c>
      <x:c r="B205" s="33" t="str">
        <x:v>Premarket peak-to-trough drawdown</x:v>
      </x:c>
      <x:c r="C205" s="33" t="str">
        <x:v>Skip when premarket peak-to-trough drawdown reaches 2.0%.</x:v>
      </x:c>
      <x:c r="D205" s="29" t="n">
        <x:v>85182749084.47195</x:v>
      </x:c>
      <x:c r="E205" s="29" t="n">
        <x:v>11620</x:v>
      </x:c>
      <x:c r="F205" s="30" t="n">
        <x:f>(D205/E205)^(1/('Methodology'!$B$4*7/365))-1</x:f>
        <x:v>5.709909049794125</x:v>
      </x:c>
      <x:c r="G205" s="30" t="n">
        <x:f>F205/$F$6</x:f>
        <x:v>0.7942558967647652</x:v>
      </x:c>
      <x:c r="H205" s="30" t="n">
        <x:v>0.790705319221653</x:v>
      </x:c>
      <x:c r="I205" s="30" t="n">
        <x:f>$H$6-H205</x:f>
        <x:v>0.022758961671994093</x:v>
      </x:c>
      <x:c r="J205" s="30" t="n">
        <x:v>0.747</x:v>
      </x:c>
      <x:c r="K205" s="30" t="n">
        <x:f>$J$6-J205</x:f>
        <x:v>0.05500000000000005</x:v>
      </x:c>
      <x:c r="L205" s="29" t="n">
        <x:v>1</x:v>
      </x:c>
      <x:c r="M205" s="29" t="n">
        <x:v>1</x:v>
      </x:c>
      <x:c r="N205" s="29" t="n">
        <x:v>19</x:v>
      </x:c>
      <x:c r="O205" s="29" t="n">
        <x:v>4</x:v>
      </x:c>
      <x:c r="P205" s="29" t="n">
        <x:v>15</x:v>
      </x:c>
      <x:c r="Q205" s="29" t="n">
        <x:v>357</x:v>
      </x:c>
      <x:c r="R205" s="30" t="n">
        <x:v>-0.5437325535731541</x:v>
      </x:c>
      <x:c r="S205" s="30" t="n">
        <x:v>0.790705319221653</x:v>
      </x:c>
      <x:c r="T205" s="30" t="n">
        <x:v>0.6582145722127133</x:v>
      </x:c>
      <x:c r="U205" s="28" t="str">
        <x:f>IF(AND(G205&gt;=80%,I205&gt;0,L205&gt;=1),"YES","")</x:f>
      </x:c>
      <x:c r="V205" s="31" t="n">
        <x:f>I205+0.4*K205-2*MAX(0,90%-G205)</x:f>
        <x:v>-0.16672924479847562</x:v>
      </x:c>
    </x:row>
    <x:row r="206">
      <x:c r="A206" s="35" t="n">
        <x:v>200</x:v>
      </x:c>
      <x:c r="B206" s="33" t="str">
        <x:v>Premarket peak-to-trough drawdown</x:v>
      </x:c>
      <x:c r="C206" s="33" t="str">
        <x:v>Skip when premarket peak-to-trough drawdown reaches 2.2%.</x:v>
      </x:c>
      <x:c r="D206" s="29" t="n">
        <x:v>128834780668.93994</x:v>
      </x:c>
      <x:c r="E206" s="29" t="n">
        <x:v>11965</x:v>
      </x:c>
      <x:c r="F206" s="30" t="n">
        <x:f>(D206/E206)^(1/('Methodology'!$B$4*7/365))-1</x:f>
        <x:v>6.0278767247698415</x:v>
      </x:c>
      <x:c r="G206" s="30" t="n">
        <x:f>F206/$F$6</x:f>
        <x:v>0.8384856206758932</x:v>
      </x:c>
      <x:c r="H206" s="30" t="n">
        <x:v>0.790710659693062</x:v>
      </x:c>
      <x:c r="I206" s="30" t="n">
        <x:f>$H$6-H206</x:f>
        <x:v>0.022753621200585106</x:v>
      </x:c>
      <x:c r="J206" s="30" t="n">
        <x:v>0.747</x:v>
      </x:c>
      <x:c r="K206" s="30" t="n">
        <x:f>$J$6-J206</x:f>
        <x:v>0.05500000000000005</x:v>
      </x:c>
      <x:c r="L206" s="29" t="n">
        <x:v>1</x:v>
      </x:c>
      <x:c r="M206" s="29" t="n">
        <x:v>1</x:v>
      </x:c>
      <x:c r="N206" s="29" t="n">
        <x:v>15</x:v>
      </x:c>
      <x:c r="O206" s="29" t="n">
        <x:v>3</x:v>
      </x:c>
      <x:c r="P206" s="29" t="n">
        <x:v>12</x:v>
      </x:c>
      <x:c r="Q206" s="29" t="n">
        <x:v>361</x:v>
      </x:c>
      <x:c r="R206" s="30" t="n">
        <x:v>-0.5437283027397479</x:v>
      </x:c>
      <x:c r="S206" s="30" t="n">
        <x:v>0.790710659693062</x:v>
      </x:c>
      <x:c r="T206" s="30" t="n">
        <x:v>0.6582145725410358</x:v>
      </x:c>
      <x:c r="U206" s="28" t="str">
        <x:f>IF(AND(G206&gt;=80%,I206&gt;0,L206&gt;=1),"YES","")</x:f>
        <x:v>YES</x:v>
      </x:c>
      <x:c r="V206" s="31" t="n">
        <x:f>I206+0.4*K206-2*MAX(0,90%-G206)</x:f>
        <x:v>-0.0782751374476286</x:v>
      </x:c>
    </x:row>
  </x:sheetData>
  <x:mergeCells>
    <x:mergeCell ref="A1:V1"/>
    <x:mergeCell ref="A2:V2"/>
  </x:mergeCells>
  <x:conditionalFormatting sqref="G7:G20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7:I206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7:U206">
    <x:cfRule type="containsText" dxfId="0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eefba2584354a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58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5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2" hidden="0" customWidth="1"/>
  </x:cols>
  <x:sheetData>
    <x:row r="1" ht="28" customHeight="1">
      <x:c r="A1" s="3" t="str">
        <x:v>Leverage-only mode: leverage override</x:v>
      </x:c>
      <x:c r="B1" s="3" t="str">
        <x:v>Leverage-only mode: leverage override</x:v>
      </x:c>
      <x:c r="C1" s="3" t="str">
        <x:v>Leverage-only mode: leverage override</x:v>
      </x:c>
      <x:c r="D1" s="3" t="str">
        <x:v>Leverage-only mode: leverage override</x:v>
      </x:c>
      <x:c r="E1" s="3" t="str">
        <x:v>Leverage-only mode: leverage override</x:v>
      </x:c>
      <x:c r="F1" s="3" t="str">
        <x:v>Leverage-only mode: leverage override</x:v>
      </x:c>
      <x:c r="G1" s="3" t="str">
        <x:v>Leverage-only mode: leverage override</x:v>
      </x:c>
      <x:c r="H1" s="3" t="str">
        <x:v>Leverage-only mode: leverage override</x:v>
      </x:c>
      <x:c r="I1" s="3" t="str">
        <x:v>Leverage-only mode: leverage override</x:v>
      </x:c>
      <x:c r="J1" s="3" t="str">
        <x:v>Leverage-only mode: leverage override</x:v>
      </x:c>
      <x:c r="K1" s="3" t="str">
        <x:v>Leverage-only mode: leverage override</x:v>
      </x:c>
      <x:c r="L1" s="3" t="str">
        <x:v>Leverage-only mode: leverage override</x:v>
      </x:c>
      <x:c r="M1" s="3" t="str">
        <x:v>Leverage-only mode: leverage override</x:v>
      </x:c>
      <x:c r="N1" s="3" t="str">
        <x:v>Leverage-only mode: leverage override</x:v>
      </x:c>
      <x:c r="O1" s="3" t="str">
        <x:v>Leverage-only mode: leverage override</x:v>
      </x:c>
      <x:c r="P1" s="3" t="str">
        <x:v>Leverage-only mode: leverage override</x:v>
      </x:c>
      <x:c r="Q1" s="3" t="str">
        <x:v>Leverage-only mode: leverage override</x:v>
      </x:c>
      <x:c r="R1" s="3" t="str">
        <x:v>Leverage-only mode: leverage override</x:v>
      </x:c>
      <x:c r="S1" s="3" t="str">
        <x:v>Leverage-only mode: leverage override</x:v>
      </x:c>
      <x:c r="T1" s="3" t="str">
        <x:v>Leverage-only mode: leverage override</x:v>
      </x:c>
      <x:c r="U1" s="3" t="str">
        <x:v>Leverage-only mode: leverage override</x:v>
      </x:c>
      <x:c r="V1" s="3" t="str">
        <x:v>Leverage-only mode: leverage override</x:v>
      </x:c>
    </x:row>
    <x:row r="2">
      <x:c r="A2" s="5" t="str">
        <x:v>Exact reruns through 2026-08-12. Candidate rules act only before entry and use no future data.</x:v>
      </x:c>
      <x:c r="B2" s="5" t="str">
        <x:v>Exact reruns through 2026-08-12. Candidate rules act only before entry and use no future data.</x:v>
      </x:c>
      <x:c r="C2" s="5" t="str">
        <x:v>Exact reruns through 2026-08-12. Candidate rules act only before entry and use no future data.</x:v>
      </x:c>
      <x:c r="D2" s="5" t="str">
        <x:v>Exact reruns through 2026-08-12. Candidate rules act only before entry and use no future data.</x:v>
      </x:c>
      <x:c r="E2" s="5" t="str">
        <x:v>Exact reruns through 2026-08-12. Candidate rules act only before entry and use no future data.</x:v>
      </x:c>
      <x:c r="F2" s="5" t="str">
        <x:v>Exact reruns through 2026-08-12. Candidate rules act only before entry and use no future data.</x:v>
      </x:c>
      <x:c r="G2" s="5" t="str">
        <x:v>Exact reruns through 2026-08-12. Candidate rules act only before entry and use no future data.</x:v>
      </x:c>
      <x:c r="H2" s="5" t="str">
        <x:v>Exact reruns through 2026-08-12. Candidate rules act only before entry and use no future data.</x:v>
      </x:c>
      <x:c r="I2" s="5" t="str">
        <x:v>Exact reruns through 2026-08-12. Candidate rules act only before entry and use no future data.</x:v>
      </x:c>
      <x:c r="J2" s="5" t="str">
        <x:v>Exact reruns through 2026-08-12. Candidate rules act only before entry and use no future data.</x:v>
      </x:c>
      <x:c r="K2" s="5" t="str">
        <x:v>Exact reruns through 2026-08-12. Candidate rules act only before entry and use no future data.</x:v>
      </x:c>
      <x:c r="L2" s="5" t="str">
        <x:v>Exact reruns through 2026-08-12. Candidate rules act only before entry and use no future data.</x:v>
      </x:c>
      <x:c r="M2" s="5" t="str">
        <x:v>Exact reruns through 2026-08-12. Candidate rules act only before entry and use no future data.</x:v>
      </x:c>
      <x:c r="N2" s="5" t="str">
        <x:v>Exact reruns through 2026-08-12. Candidate rules act only before entry and use no future data.</x:v>
      </x:c>
      <x:c r="O2" s="5" t="str">
        <x:v>Exact reruns through 2026-08-12. Candidate rules act only before entry and use no future data.</x:v>
      </x:c>
      <x:c r="P2" s="5" t="str">
        <x:v>Exact reruns through 2026-08-12. Candidate rules act only before entry and use no future data.</x:v>
      </x:c>
      <x:c r="Q2" s="5" t="str">
        <x:v>Exact reruns through 2026-08-12. Candidate rules act only before entry and use no future data.</x:v>
      </x:c>
      <x:c r="R2" s="5" t="str">
        <x:v>Exact reruns through 2026-08-12. Candidate rules act only before entry and use no future data.</x:v>
      </x:c>
      <x:c r="S2" s="5" t="str">
        <x:v>Exact reruns through 2026-08-12. Candidate rules act only before entry and use no future data.</x:v>
      </x:c>
      <x:c r="T2" s="5" t="str">
        <x:v>Exact reruns through 2026-08-12. Candidate rules act only before entry and use no future data.</x:v>
      </x:c>
      <x:c r="U2" s="5" t="str">
        <x:v>Exact reruns through 2026-08-12. Candidate rules act only before entry and use no future data.</x:v>
      </x:c>
      <x:c r="V2" s="5" t="str">
        <x:v>Exact reruns through 2026-08-12. Candidate rules act only before entry and use no future data.</x:v>
      </x:c>
    </x:row>
    <x:row r="5" ht="48" customHeight="1">
      <x:c r="A5" s="13" t="str">
        <x:v>Idea ID</x:v>
      </x:c>
      <x:c r="B5" s="14" t="str">
        <x:v>Family</x:v>
      </x:c>
      <x:c r="C5" s="14" t="str">
        <x:v>Entry rule</x:v>
      </x:c>
      <x:c r="D5" s="14" t="str">
        <x:v>Final balance</x:v>
      </x:c>
      <x:c r="E5" s="14" t="str">
        <x:v>Deposited</x:v>
      </x:c>
      <x:c r="F5" s="14" t="str">
        <x:v>Exact CAGR</x:v>
      </x:c>
      <x:c r="G5" s="14" t="str">
        <x:v>CAGR retention</x:v>
      </x:c>
      <x:c r="H5" s="14" t="str">
        <x:v>Daily max DD</x:v>
      </x:c>
      <x:c r="I5" s="14" t="str">
        <x:v>Daily DD improvement</x:v>
      </x:c>
      <x:c r="J5" s="14" t="str">
        <x:v>Closed-trade DD</x:v>
      </x:c>
      <x:c r="K5" s="14" t="str">
        <x:v>Closed DD improvement</x:v>
      </x:c>
      <x:c r="L5" s="14" t="str">
        <x:v>Config worst 20 avoided</x:v>
      </x:c>
      <x:c r="M5" s="14" t="str">
        <x:v>Reference worst 20 avoided</x:v>
      </x:c>
      <x:c r="N5" s="14" t="str">
        <x:v>Entries skipped</x:v>
      </x:c>
      <x:c r="O5" s="14" t="str">
        <x:v>Baseline losers skipped</x:v>
      </x:c>
      <x:c r="P5" s="14" t="str">
        <x:v>Baseline winners skipped</x:v>
      </x:c>
      <x:c r="Q5" s="14" t="str">
        <x:v>Closed trades</x:v>
      </x:c>
      <x:c r="R5" s="14" t="str">
        <x:v>Worst trade return</x:v>
      </x:c>
      <x:c r="S5" s="14" t="str">
        <x:v>Pre-2023 daily DD</x:v>
      </x:c>
      <x:c r="T5" s="14" t="str">
        <x:v>2023+ daily DD</x:v>
      </x:c>
      <x:c r="U5" s="14" t="str">
        <x:v>Recommended screen</x:v>
      </x:c>
      <x:c r="V5" s="15" t="str">
        <x:v>Tradeoff score</x:v>
      </x:c>
    </x:row>
    <x:row r="6">
      <x:c r="A6" s="34" t="n">
        <x:v>0</x:v>
      </x:c>
      <x:c r="B6" s="32" t="str">
        <x:v>Baseline</x:v>
      </x:c>
      <x:c r="C6" s="32" t="str">
        <x:v>Baseline: no additional candidate rule.</x:v>
      </x:c>
      <x:c r="D6" s="25" t="n">
        <x:v>6925479870.037004</x:v>
      </x:c>
      <x:c r="E6" s="25" t="n">
        <x:v>14380</x:v>
      </x:c>
      <x:c r="F6" s="26" t="n">
        <x:f>(D6/E6)^(1/('Methodology'!$B$4*7/365))-1</x:f>
        <x:v>3.8341790836315575</x:v>
      </x:c>
      <x:c r="G6" s="26" t="n">
        <x:f>1</x:f>
        <x:v>1</x:v>
      </x:c>
      <x:c r="H6" s="26" t="n">
        <x:v>0.9107812639081152</x:v>
      </x:c>
      <x:c r="I6" s="26" t="n">
        <x:f>0</x:f>
        <x:v>0</x:v>
      </x:c>
      <x:c r="J6" s="26" t="n">
        <x:v>0.911</x:v>
      </x:c>
      <x:c r="K6" s="26" t="n">
        <x:f>0</x:f>
        <x:v>0</x:v>
      </x:c>
      <x:c r="L6" s="25" t="n">
        <x:v>0</x:v>
      </x:c>
      <x:c r="M6" s="25" t="n">
        <x:v>0</x:v>
      </x:c>
      <x:c r="N6" s="25" t="n">
        <x:v>0</x:v>
      </x:c>
      <x:c r="O6" s="25" t="n">
        <x:v>0</x:v>
      </x:c>
      <x:c r="P6" s="25" t="n">
        <x:v>0</x:v>
      </x:c>
      <x:c r="Q6" s="25" t="n">
        <x:v>433</x:v>
      </x:c>
      <x:c r="R6" s="26" t="n">
        <x:v>-0.7239999461253781</x:v>
      </x:c>
      <x:c r="S6" s="26" t="n">
        <x:v>0.9107812639081152</x:v>
      </x:c>
      <x:c r="T6" s="26" t="n">
        <x:v>0.8871498795688209</x:v>
      </x:c>
      <x:c r="U6" s="24" t="str">
        <x:f>"BASELINE"</x:f>
        <x:v>BASELINE</x:v>
      </x:c>
      <x:c r="V6" s="27" t="n">
        <x:f>0</x:f>
        <x:v>0</x:v>
      </x:c>
    </x:row>
    <x:row r="7">
      <x:c r="A7" s="35" t="n">
        <x:v>1</x:v>
      </x:c>
      <x:c r="B7" s="33" t="str">
        <x:v>Premarket rolling shock</x:v>
      </x:c>
      <x:c r="C7" s="33" t="str">
        <x:v>Skip when the worst premarket 1-minute candle is -0.2% or worse.</x:v>
      </x:c>
      <x:c r="D7" s="29" t="n">
        <x:v>779054.9049999992</x:v>
      </x:c>
      <x:c r="E7" s="29" t="n">
        <x:v>11620</x:v>
      </x:c>
      <x:c r="F7" s="30" t="n">
        <x:f>(D7/E7)^(1/('Methodology'!$B$4*7/365))-1</x:f>
        <x:v>0.6593374327113595</x:v>
      </x:c>
      <x:c r="G7" s="30" t="n">
        <x:f>F7/$F$6</x:f>
        <x:v>0.1719631290896474</x:v>
      </x:c>
      <x:c r="H7" s="30" t="n">
        <x:v>0.9239560255686399</x:v>
      </x:c>
      <x:c r="I7" s="30" t="n">
        <x:f>$H$6-H7</x:f>
        <x:v>-0.01317476166052467</x:v>
      </x:c>
      <x:c r="J7" s="30" t="n">
        <x:v>0.915</x:v>
      </x:c>
      <x:c r="K7" s="30" t="n">
        <x:f>$J$6-J7</x:f>
        <x:v>-0.0040000000000000036</x:v>
      </x:c>
      <x:c r="L7" s="29" t="n">
        <x:v>4</x:v>
      </x:c>
      <x:c r="M7" s="29" t="n">
        <x:v>4</x:v>
      </x:c>
      <x:c r="N7" s="29" t="n">
        <x:v>99</x:v>
      </x:c>
      <x:c r="O7" s="29" t="n">
        <x:v>30</x:v>
      </x:c>
      <x:c r="P7" s="29" t="n">
        <x:v>69</x:v>
      </x:c>
      <x:c r="Q7" s="29" t="n">
        <x:v>334</x:v>
      </x:c>
      <x:c r="R7" s="30" t="n">
        <x:v>-0.7239496077402734</x:v>
      </x:c>
      <x:c r="S7" s="30" t="n">
        <x:v>0.890085380299493</x:v>
      </x:c>
      <x:c r="T7" s="30" t="n">
        <x:v>0.9239560255686399</x:v>
      </x:c>
      <x:c r="U7" s="28" t="str">
        <x:f>IF(AND(G7&gt;=80%,I7&gt;0,L7&gt;=1),"YES","")</x:f>
      </x:c>
      <x:c r="V7" s="31" t="n">
        <x:f>I7+0.4*K7-2*MAX(0,90%-G7)</x:f>
        <x:v>-1.47084850348123</x:v>
      </x:c>
    </x:row>
    <x:row r="8">
      <x:c r="A8" s="35" t="n">
        <x:v>2</x:v>
      </x:c>
      <x:c r="B8" s="33" t="str">
        <x:v>Premarket rolling shock</x:v>
      </x:c>
      <x:c r="C8" s="33" t="str">
        <x:v>Skip when the worst premarket 1-minute candle is -0.3% or worse.</x:v>
      </x:c>
      <x:c r="D8" s="29" t="n">
        <x:v>93966343.21800005</x:v>
      </x:c>
      <x:c r="E8" s="29" t="n">
        <x:v>13920</x:v>
      </x:c>
      <x:c r="F8" s="30" t="n">
        <x:f>(D8/E8)^(1/('Methodology'!$B$4*7/365))-1</x:f>
        <x:v>1.8915926307388324</x:v>
      </x:c>
      <x:c r="G8" s="30" t="n">
        <x:f>F8/$F$6</x:f>
        <x:v>0.49335009906402266</x:v>
      </x:c>
      <x:c r="H8" s="30" t="n">
        <x:v>0.9149934609329069</x:v>
      </x:c>
      <x:c r="I8" s="30" t="n">
        <x:f>$H$6-H8</x:f>
        <x:v>-0.004212197024791697</x:v>
      </x:c>
      <x:c r="J8" s="30" t="n">
        <x:v>0.915</x:v>
      </x:c>
      <x:c r="K8" s="30" t="n">
        <x:f>$J$6-J8</x:f>
        <x:v>-0.0040000000000000036</x:v>
      </x:c>
      <x:c r="L8" s="29" t="n">
        <x:v>1</x:v>
      </x:c>
      <x:c r="M8" s="29" t="n">
        <x:v>2</x:v>
      </x:c>
      <x:c r="N8" s="29" t="n">
        <x:v>39</x:v>
      </x:c>
      <x:c r="O8" s="29" t="n">
        <x:v>8</x:v>
      </x:c>
      <x:c r="P8" s="29" t="n">
        <x:v>31</x:v>
      </x:c>
      <x:c r="Q8" s="29" t="n">
        <x:v>394</x:v>
      </x:c>
      <x:c r="R8" s="30" t="n">
        <x:v>-0.7239981638468617</x:v>
      </x:c>
      <x:c r="S8" s="30" t="n">
        <x:v>0.9149934609329069</x:v>
      </x:c>
      <x:c r="T8" s="30" t="n">
        <x:v>0.8983636794916183</x:v>
      </x:c>
      <x:c r="U8" s="28" t="str">
        <x:f>IF(AND(G8&gt;=80%,I8&gt;0,L8&gt;=1),"YES","")</x:f>
      </x:c>
      <x:c r="V8" s="31" t="n">
        <x:f>I8+0.4*K8-2*MAX(0,90%-G8)</x:f>
        <x:v>-0.8191119988967465</x:v>
      </x:c>
    </x:row>
    <x:row r="9">
      <x:c r="A9" s="35" t="n">
        <x:v>3</x:v>
      </x:c>
      <x:c r="B9" s="33" t="str">
        <x:v>Premarket rolling shock</x:v>
      </x:c>
      <x:c r="C9" s="33" t="str">
        <x:v>Skip when the worst premarket 1-minute candle is -0.4% or worse.</x:v>
      </x:c>
      <x:c r="D9" s="29" t="n">
        <x:v>427279892.01599985</x:v>
      </x:c>
      <x:c r="E9" s="29" t="n">
        <x:v>14035</x:v>
      </x:c>
      <x:c r="F9" s="30" t="n">
        <x:f>(D9/E9)^(1/('Methodology'!$B$4*7/365))-1</x:f>
        <x:v>2.466677162955554</x:v>
      </x:c>
      <x:c r="G9" s="30" t="n">
        <x:f>F9/$F$6</x:f>
        <x:v>0.6433390588055765</x:v>
      </x:c>
      <x:c r="H9" s="30" t="n">
        <x:v>0.9107812639081152</x:v>
      </x:c>
      <x:c r="I9" s="30" t="n">
        <x:f>$H$6-H9</x:f>
        <x:v>0</x:v>
      </x:c>
      <x:c r="J9" s="30" t="n">
        <x:v>0.911</x:v>
      </x:c>
      <x:c r="K9" s="30" t="n">
        <x:f>$J$6-J9</x:f>
        <x:v>0</x:v>
      </x:c>
      <x:c r="L9" s="29" t="n">
        <x:v>1</x:v>
      </x:c>
      <x:c r="M9" s="29" t="n">
        <x:v>2</x:v>
      </x:c>
      <x:c r="N9" s="29" t="n">
        <x:v>20</x:v>
      </x:c>
      <x:c r="O9" s="29" t="n">
        <x:v>3</x:v>
      </x:c>
      <x:c r="P9" s="29" t="n">
        <x:v>17</x:v>
      </x:c>
      <x:c r="Q9" s="29" t="n">
        <x:v>413</x:v>
      </x:c>
      <x:c r="R9" s="30" t="n">
        <x:v>-0.7239990944326445</x:v>
      </x:c>
      <x:c r="S9" s="30" t="n">
        <x:v>0.9107812639081152</x:v>
      </x:c>
      <x:c r="T9" s="30" t="n">
        <x:v>0.8983678209791619</x:v>
      </x:c>
      <x:c r="U9" s="28" t="str">
        <x:f>IF(AND(G9&gt;=80%,I9&gt;0,L9&gt;=1),"YES","")</x:f>
      </x:c>
      <x:c r="V9" s="31" t="n">
        <x:f>I9+0.4*K9-2*MAX(0,90%-G9)</x:f>
        <x:v>-0.513321882388847</x:v>
      </x:c>
    </x:row>
    <x:row r="10">
      <x:c r="A10" s="35" t="n">
        <x:v>4</x:v>
      </x:c>
      <x:c r="B10" s="33" t="str">
        <x:v>Premarket rolling shock</x:v>
      </x:c>
      <x:c r="C10" s="33" t="str">
        <x:v>Skip when the worst premarket 1-minute candle is -0.5% or worse.</x:v>
      </x:c>
      <x:c r="D10" s="29" t="n">
        <x:v>3548454480.5099993</x:v>
      </x:c>
      <x:c r="E10" s="29" t="n">
        <x:v>14035</x:v>
      </x:c>
      <x:c r="F10" s="30" t="n">
        <x:f>(D10/E10)^(1/('Methodology'!$B$4*7/365))-1</x:f>
        <x:v>3.473226075666857</x:v>
      </x:c>
      <x:c r="G10" s="30" t="n">
        <x:f>F10/$F$6</x:f>
        <x:v>0.9058591160998087</x:v>
      </x:c>
      <x:c r="H10" s="30" t="n">
        <x:v>0.9107812639081152</x:v>
      </x:c>
      <x:c r="I10" s="30" t="n">
        <x:f>$H$6-H10</x:f>
        <x:v>0</x:v>
      </x:c>
      <x:c r="J10" s="30" t="n">
        <x:v>0.911</x:v>
      </x:c>
      <x:c r="K10" s="30" t="n">
        <x:f>$J$6-J10</x:f>
        <x:v>0</x:v>
      </x:c>
      <x:c r="L10" s="29" t="n">
        <x:v>1</x:v>
      </x:c>
      <x:c r="M10" s="29" t="n">
        <x:v>1</x:v>
      </x:c>
      <x:c r="N10" s="29" t="n">
        <x:v>9</x:v>
      </x:c>
      <x:c r="O10" s="29" t="n">
        <x:v>1</x:v>
      </x:c>
      <x:c r="P10" s="29" t="n">
        <x:v>8</x:v>
      </x:c>
      <x:c r="Q10" s="29" t="n">
        <x:v>424</x:v>
      </x:c>
      <x:c r="R10" s="30" t="n">
        <x:v>-0.7239998733857091</x:v>
      </x:c>
      <x:c r="S10" s="30" t="n">
        <x:v>0.9107812639081152</x:v>
      </x:c>
      <x:c r="T10" s="30" t="n">
        <x:v>0.8983690104304715</x:v>
      </x:c>
      <x:c r="U10" s="28" t="str">
        <x:f>IF(AND(G10&gt;=80%,I10&gt;0,L10&gt;=1),"YES","")</x:f>
      </x:c>
      <x:c r="V10" s="31" t="n">
        <x:f>I10+0.4*K10-2*MAX(0,90%-G10)</x:f>
        <x:v>0</x:v>
      </x:c>
    </x:row>
    <x:row r="11">
      <x:c r="A11" s="35" t="n">
        <x:v>5</x:v>
      </x:c>
      <x:c r="B11" s="33" t="str">
        <x:v>Premarket rolling shock</x:v>
      </x:c>
      <x:c r="C11" s="33" t="str">
        <x:v>Skip when the worst premarket 1-minute candle is -0.6% or worse.</x:v>
      </x:c>
      <x:c r="D11" s="29" t="n">
        <x:v>6106752626.327994</x:v>
      </x:c>
      <x:c r="E11" s="29" t="n">
        <x:v>14150</x:v>
      </x:c>
      <x:c r="F11" s="30" t="n">
        <x:f>(D11/E11)^(1/('Methodology'!$B$4*7/365))-1</x:f>
        <x:v>3.770744584618927</x:v>
      </x:c>
      <x:c r="G11" s="30" t="n">
        <x:f>F11/$F$6</x:f>
        <x:v>0.983455520039886</x:v>
      </x:c>
      <x:c r="H11" s="30" t="n">
        <x:v>0.9107812639081152</x:v>
      </x:c>
      <x:c r="I11" s="30" t="n">
        <x:f>$H$6-H11</x:f>
        <x:v>0</x:v>
      </x:c>
      <x:c r="J11" s="30" t="n">
        <x:v>0.911</x:v>
      </x:c>
      <x:c r="K11" s="30" t="n">
        <x:f>$J$6-J11</x:f>
        <x:v>0</x:v>
      </x:c>
      <x:c r="L11" s="29" t="n">
        <x:v>1</x:v>
      </x:c>
      <x:c r="M11" s="29" t="n">
        <x:v>1</x:v>
      </x:c>
      <x:c r="N11" s="29" t="n">
        <x:v>7</x:v>
      </x:c>
      <x:c r="O11" s="29" t="n">
        <x:v>1</x:v>
      </x:c>
      <x:c r="P11" s="29" t="n">
        <x:v>6</x:v>
      </x:c>
      <x:c r="Q11" s="29" t="n">
        <x:v>426</x:v>
      </x:c>
      <x:c r="R11" s="30" t="n">
        <x:v>-0.7239999065063549</x:v>
      </x:c>
      <x:c r="S11" s="30" t="n">
        <x:v>0.9107812639081152</x:v>
      </x:c>
      <x:c r="T11" s="30" t="n">
        <x:v>0.8983690899646757</x:v>
      </x:c>
      <x:c r="U11" s="28" t="str">
        <x:f>IF(AND(G11&gt;=80%,I11&gt;0,L11&gt;=1),"YES","")</x:f>
      </x:c>
      <x:c r="V11" s="31" t="n">
        <x:f>I11+0.4*K11-2*MAX(0,90%-G11)</x:f>
        <x:v>0</x:v>
      </x:c>
    </x:row>
    <x:row r="12">
      <x:c r="A12" s="35" t="n">
        <x:v>6</x:v>
      </x:c>
      <x:c r="B12" s="33" t="str">
        <x:v>Premarket rolling shock</x:v>
      </x:c>
      <x:c r="C12" s="33" t="str">
        <x:v>Skip when the worst premarket 1-minute candle is -0.7% or worse.</x:v>
      </x:c>
      <x:c r="D12" s="29" t="n">
        <x:v>6106752626.327994</x:v>
      </x:c>
      <x:c r="E12" s="29" t="n">
        <x:v>14150</x:v>
      </x:c>
      <x:c r="F12" s="30" t="n">
        <x:f>(D12/E12)^(1/('Methodology'!$B$4*7/365))-1</x:f>
        <x:v>3.770744584618927</x:v>
      </x:c>
      <x:c r="G12" s="30" t="n">
        <x:f>F12/$F$6</x:f>
        <x:v>0.983455520039886</x:v>
      </x:c>
      <x:c r="H12" s="30" t="n">
        <x:v>0.9107812639081152</x:v>
      </x:c>
      <x:c r="I12" s="30" t="n">
        <x:f>$H$6-H12</x:f>
        <x:v>0</x:v>
      </x:c>
      <x:c r="J12" s="30" t="n">
        <x:v>0.911</x:v>
      </x:c>
      <x:c r="K12" s="30" t="n">
        <x:f>$J$6-J12</x:f>
        <x:v>0</x:v>
      </x:c>
      <x:c r="L12" s="29" t="n">
        <x:v>1</x:v>
      </x:c>
      <x:c r="M12" s="29" t="n">
        <x:v>1</x:v>
      </x:c>
      <x:c r="N12" s="29" t="n">
        <x:v>7</x:v>
      </x:c>
      <x:c r="O12" s="29" t="n">
        <x:v>1</x:v>
      </x:c>
      <x:c r="P12" s="29" t="n">
        <x:v>6</x:v>
      </x:c>
      <x:c r="Q12" s="29" t="n">
        <x:v>426</x:v>
      </x:c>
      <x:c r="R12" s="30" t="n">
        <x:v>-0.7239999065063549</x:v>
      </x:c>
      <x:c r="S12" s="30" t="n">
        <x:v>0.9107812639081152</x:v>
      </x:c>
      <x:c r="T12" s="30" t="n">
        <x:v>0.8983690899646757</x:v>
      </x:c>
      <x:c r="U12" s="28" t="str">
        <x:f>IF(AND(G12&gt;=80%,I12&gt;0,L12&gt;=1),"YES","")</x:f>
      </x:c>
      <x:c r="V12" s="31" t="n">
        <x:f>I12+0.4*K12-2*MAX(0,90%-G12)</x:f>
        <x:v>0</x:v>
      </x:c>
    </x:row>
    <x:row r="13">
      <x:c r="A13" s="35" t="n">
        <x:v>7</x:v>
      </x:c>
      <x:c r="B13" s="33" t="str">
        <x:v>Premarket rolling shock</x:v>
      </x:c>
      <x:c r="C13" s="33" t="str">
        <x:v>Skip when the worst premarket 1-minute candle is -0.8% or worse.</x:v>
      </x:c>
      <x:c r="D13" s="29" t="n">
        <x:v>1705772129.6599994</x:v>
      </x:c>
      <x:c r="E13" s="29" t="n">
        <x:v>14265</x:v>
      </x:c>
      <x:c r="F13" s="30" t="n">
        <x:f>(D13/E13)^(1/('Methodology'!$B$4*7/365))-1</x:f>
        <x:v>3.0875418712404965</x:v>
      </x:c>
      <x:c r="G13" s="30" t="n">
        <x:f>F13/$F$6</x:f>
        <x:v>0.8052680388408252</x:v>
      </x:c>
      <x:c r="H13" s="30" t="n">
        <x:v>0.9107812639081152</x:v>
      </x:c>
      <x:c r="I13" s="30" t="n">
        <x:f>$H$6-H13</x:f>
        <x:v>0</x:v>
      </x:c>
      <x:c r="J13" s="30" t="n">
        <x:v>0.911</x:v>
      </x:c>
      <x:c r="K13" s="30" t="n">
        <x:f>$J$6-J13</x:f>
        <x:v>0</x:v>
      </x:c>
      <x:c r="L13" s="29" t="n">
        <x:v>0</x:v>
      </x:c>
      <x:c r="M13" s="29" t="n">
        <x:v>0</x:v>
      </x:c>
      <x:c r="N13" s="29" t="n">
        <x:v>6</x:v>
      </x:c>
      <x:c r="O13" s="29" t="n">
        <x:v>0</x:v>
      </x:c>
      <x:c r="P13" s="29" t="n">
        <x:v>6</x:v>
      </x:c>
      <x:c r="Q13" s="29" t="n">
        <x:v>427</x:v>
      </x:c>
      <x:c r="R13" s="30" t="n">
        <x:v>-0.7239997017759692</x:v>
      </x:c>
      <x:c r="S13" s="30" t="n">
        <x:v>0.9107812639081152</x:v>
      </x:c>
      <x:c r="T13" s="30" t="n">
        <x:v>0.8983687818732966</x:v>
      </x:c>
      <x:c r="U13" s="28" t="str">
        <x:f>IF(AND(G13&gt;=80%,I13&gt;0,L13&gt;=1),"YES","")</x:f>
      </x:c>
      <x:c r="V13" s="31" t="n">
        <x:f>I13+0.4*K13-2*MAX(0,90%-G13)</x:f>
        <x:v>-0.18946392231834963</x:v>
      </x:c>
    </x:row>
    <x:row r="14">
      <x:c r="A14" s="35" t="n">
        <x:v>8</x:v>
      </x:c>
      <x:c r="B14" s="33" t="str">
        <x:v>Premarket rolling shock</x:v>
      </x:c>
      <x:c r="C14" s="33" t="str">
        <x:v>Skip when the worst premarket 1-minute candle is -0.9% or worse.</x:v>
      </x:c>
      <x:c r="D14" s="29" t="n">
        <x:v>3413909973.6229944</x:v>
      </x:c>
      <x:c r="E14" s="29" t="n">
        <x:v>14380</x:v>
      </x:c>
      <x:c r="F14" s="30" t="n">
        <x:f>(D14/E14)^(1/('Methodology'!$B$4*7/365))-1</x:f>
        <x:v>3.4394510074685947</x:v>
      </x:c>
      <x:c r="G14" s="30" t="n">
        <x:f>F14/$F$6</x:f>
        <x:v>0.8970501722655336</x:v>
      </x:c>
      <x:c r="H14" s="30" t="n">
        <x:v>0.9107812639081152</x:v>
      </x:c>
      <x:c r="I14" s="30" t="n">
        <x:f>$H$6-H14</x:f>
        <x:v>0</x:v>
      </x:c>
      <x:c r="J14" s="30" t="n">
        <x:v>0.911</x:v>
      </x:c>
      <x:c r="K14" s="30" t="n">
        <x:f>$J$6-J14</x:f>
        <x:v>0</x:v>
      </x:c>
      <x:c r="L14" s="29" t="n">
        <x:v>0</x:v>
      </x:c>
      <x:c r="M14" s="29" t="n">
        <x:v>0</x:v>
      </x:c>
      <x:c r="N14" s="29" t="n">
        <x:v>3</x:v>
      </x:c>
      <x:c r="O14" s="29" t="n">
        <x:v>0</x:v>
      </x:c>
      <x:c r="P14" s="29" t="n">
        <x:v>3</x:v>
      </x:c>
      <x:c r="Q14" s="29" t="n">
        <x:v>430</x:v>
      </x:c>
      <x:c r="R14" s="30" t="n">
        <x:v>-0.723999896336242</x:v>
      </x:c>
      <x:c r="S14" s="30" t="n">
        <x:v>0.9107812639081152</x:v>
      </x:c>
      <x:c r="T14" s="30" t="n">
        <x:v>0.8983690108893368</x:v>
      </x:c>
      <x:c r="U14" s="28" t="str">
        <x:f>IF(AND(G14&gt;=80%,I14&gt;0,L14&gt;=1),"YES","")</x:f>
      </x:c>
      <x:c r="V14" s="31" t="n">
        <x:f>I14+0.4*K14-2*MAX(0,90%-G14)</x:f>
        <x:v>-0.005899655468932785</x:v>
      </x:c>
    </x:row>
    <x:row r="15">
      <x:c r="A15" s="35" t="n">
        <x:v>9</x:v>
      </x:c>
      <x:c r="B15" s="33" t="str">
        <x:v>Premarket rolling shock</x:v>
      </x:c>
      <x:c r="C15" s="33" t="str">
        <x:v>Skip when the worst premarket 1-minute candle is -1.0% or worse.</x:v>
      </x:c>
      <x:c r="D15" s="29" t="n">
        <x:v>3994830116.7209992</x:v>
      </x:c>
      <x:c r="E15" s="29" t="n">
        <x:v>14380</x:v>
      </x:c>
      <x:c r="F15" s="30" t="n">
        <x:f>(D15/E15)^(1/('Methodology'!$B$4*7/365))-1</x:f>
        <x:v>3.5242608678930827</x:v>
      </x:c>
      <x:c r="G15" s="30" t="n">
        <x:f>F15/$F$6</x:f>
        <x:v>0.9191696034591753</x:v>
      </x:c>
      <x:c r="H15" s="30" t="n">
        <x:v>0.9107812639081152</x:v>
      </x:c>
      <x:c r="I15" s="30" t="n">
        <x:f>$H$6-H15</x:f>
        <x:v>0</x:v>
      </x:c>
      <x:c r="J15" s="30" t="n">
        <x:v>0.911</x:v>
      </x:c>
      <x:c r="K15" s="30" t="n">
        <x:f>$J$6-J15</x:f>
        <x:v>0</x:v>
      </x:c>
      <x:c r="L15" s="29" t="n">
        <x:v>0</x:v>
      </x:c>
      <x:c r="M15" s="29" t="n">
        <x:v>0</x:v>
      </x:c>
      <x:c r="N15" s="29" t="n">
        <x:v>2</x:v>
      </x:c>
      <x:c r="O15" s="29" t="n">
        <x:v>0</x:v>
      </x:c>
      <x:c r="P15" s="29" t="n">
        <x:v>2</x:v>
      </x:c>
      <x:c r="Q15" s="29" t="n">
        <x:v>431</x:v>
      </x:c>
      <x:c r="R15" s="30" t="n">
        <x:v>-0.7239999692541639</x:v>
      </x:c>
      <x:c r="S15" s="30" t="n">
        <x:v>0.9107812639081152</x:v>
      </x:c>
      <x:c r="T15" s="30" t="n">
        <x:v>0.8983690640577074</x:v>
      </x:c>
      <x:c r="U15" s="28" t="str">
        <x:f>IF(AND(G15&gt;=80%,I15&gt;0,L15&gt;=1),"YES","")</x:f>
      </x:c>
      <x:c r="V15" s="31" t="n">
        <x:f>I15+0.4*K15-2*MAX(0,90%-G15)</x:f>
        <x:v>0</x:v>
      </x:c>
    </x:row>
    <x:row r="16">
      <x:c r="A16" s="35" t="n">
        <x:v>10</x:v>
      </x:c>
      <x:c r="B16" s="33" t="str">
        <x:v>Premarket rolling shock</x:v>
      </x:c>
      <x:c r="C16" s="33" t="str">
        <x:v>Skip when the worst premarket 1-minute candle is -1.1% or worse.</x:v>
      </x:c>
      <x:c r="D16" s="29" t="n">
        <x:v>3994830116.7209992</x:v>
      </x:c>
      <x:c r="E16" s="29" t="n">
        <x:v>14380</x:v>
      </x:c>
      <x:c r="F16" s="30" t="n">
        <x:f>(D16/E16)^(1/('Methodology'!$B$4*7/365))-1</x:f>
        <x:v>3.5242608678930827</x:v>
      </x:c>
      <x:c r="G16" s="30" t="n">
        <x:f>F16/$F$6</x:f>
        <x:v>0.9191696034591753</x:v>
      </x:c>
      <x:c r="H16" s="30" t="n">
        <x:v>0.9107812639081152</x:v>
      </x:c>
      <x:c r="I16" s="30" t="n">
        <x:f>$H$6-H16</x:f>
        <x:v>0</x:v>
      </x:c>
      <x:c r="J16" s="30" t="n">
        <x:v>0.911</x:v>
      </x:c>
      <x:c r="K16" s="30" t="n">
        <x:f>$J$6-J16</x:f>
        <x:v>0</x:v>
      </x:c>
      <x:c r="L16" s="29" t="n">
        <x:v>0</x:v>
      </x:c>
      <x:c r="M16" s="29" t="n">
        <x:v>0</x:v>
      </x:c>
      <x:c r="N16" s="29" t="n">
        <x:v>2</x:v>
      </x:c>
      <x:c r="O16" s="29" t="n">
        <x:v>0</x:v>
      </x:c>
      <x:c r="P16" s="29" t="n">
        <x:v>2</x:v>
      </x:c>
      <x:c r="Q16" s="29" t="n">
        <x:v>431</x:v>
      </x:c>
      <x:c r="R16" s="30" t="n">
        <x:v>-0.7239999692541639</x:v>
      </x:c>
      <x:c r="S16" s="30" t="n">
        <x:v>0.9107812639081152</x:v>
      </x:c>
      <x:c r="T16" s="30" t="n">
        <x:v>0.8983690640577074</x:v>
      </x:c>
      <x:c r="U16" s="28" t="str">
        <x:f>IF(AND(G16&gt;=80%,I16&gt;0,L16&gt;=1),"YES","")</x:f>
      </x:c>
      <x:c r="V16" s="31" t="n">
        <x:f>I16+0.4*K16-2*MAX(0,90%-G16)</x:f>
        <x:v>0</x:v>
      </x:c>
    </x:row>
    <x:row r="17">
      <x:c r="A17" s="35" t="n">
        <x:v>11</x:v>
      </x:c>
      <x:c r="B17" s="33" t="str">
        <x:v>Premarket rolling shock</x:v>
      </x:c>
      <x:c r="C17" s="33" t="str">
        <x:v>Skip when the worst premarket 3-minute candle is -0.2% or worse.</x:v>
      </x:c>
      <x:c r="D17" s="29" t="n">
        <x:v>846681.6440000002</x:v>
      </x:c>
      <x:c r="E17" s="29" t="n">
        <x:v>8170</x:v>
      </x:c>
      <x:c r="F17" s="30" t="n">
        <x:f>(D17/E17)^(1/('Methodology'!$B$4*7/365))-1</x:f>
        <x:v>0.7486823281804884</x:v>
      </x:c>
      <x:c r="G17" s="30" t="n">
        <x:f>F17/$F$6</x:f>
        <x:v>0.1952653519436998</x:v>
      </x:c>
      <x:c r="H17" s="30" t="n">
        <x:v>0.8836226143734934</x:v>
      </x:c>
      <x:c r="I17" s="30" t="n">
        <x:f>$H$6-H17</x:f>
        <x:v>0.02715864953462177</x:v>
      </x:c>
      <x:c r="J17" s="30" t="n">
        <x:v>0.884</x:v>
      </x:c>
      <x:c r="K17" s="30" t="n">
        <x:f>$J$6-J17</x:f>
        <x:v>0.027000000000000024</x:v>
      </x:c>
      <x:c r="L17" s="29" t="n">
        <x:v>12</x:v>
      </x:c>
      <x:c r="M17" s="29" t="n">
        <x:v>14</x:v>
      </x:c>
      <x:c r="N17" s="29" t="n">
        <x:v>194</x:v>
      </x:c>
      <x:c r="O17" s="29" t="n">
        <x:v>75</x:v>
      </x:c>
      <x:c r="P17" s="29" t="n">
        <x:v>119</x:v>
      </x:c>
      <x:c r="Q17" s="29" t="n">
        <x:v>239</x:v>
      </x:c>
      <x:c r="R17" s="30" t="n">
        <x:v>-0.6390126510229587</x:v>
      </x:c>
      <x:c r="S17" s="30" t="n">
        <x:v>0.8836226143734934</x:v>
      </x:c>
      <x:c r="T17" s="30" t="n">
        <x:v>0.7229801821944641</x:v>
      </x:c>
      <x:c r="U17" s="28" t="str">
        <x:f>IF(AND(G17&gt;=80%,I17&gt;0,L17&gt;=1),"YES","")</x:f>
      </x:c>
      <x:c r="V17" s="31" t="n">
        <x:f>I17+0.4*K17-2*MAX(0,90%-G17)</x:f>
        <x:v>-1.3715106465779787</x:v>
      </x:c>
    </x:row>
    <x:row r="18">
      <x:c r="A18" s="35" t="n">
        <x:v>12</x:v>
      </x:c>
      <x:c r="B18" s="33" t="str">
        <x:v>Premarket rolling shock</x:v>
      </x:c>
      <x:c r="C18" s="33" t="str">
        <x:v>Skip when the worst premarket 3-minute candle is -0.3% or worse.</x:v>
      </x:c>
      <x:c r="D18" s="29" t="n">
        <x:v>3446356.349000001</x:v>
      </x:c>
      <x:c r="E18" s="29" t="n">
        <x:v>11160</x:v>
      </x:c>
      <x:c r="F18" s="30" t="n">
        <x:f>(D18/E18)^(1/('Methodology'!$B$4*7/365))-1</x:f>
        <x:v>0.9944122091863483</x:v>
      </x:c>
      <x:c r="G18" s="30" t="n">
        <x:f>F18/$F$6</x:f>
        <x:v>0.25935465910592964</x:v>
      </x:c>
      <x:c r="H18" s="30" t="n">
        <x:v>0.8846367642093663</x:v>
      </x:c>
      <x:c r="I18" s="30" t="n">
        <x:f>$H$6-H18</x:f>
        <x:v>0.02614449969874888</x:v>
      </x:c>
      <x:c r="J18" s="30" t="n">
        <x:v>0.88</x:v>
      </x:c>
      <x:c r="K18" s="30" t="n">
        <x:f>$J$6-J18</x:f>
        <x:v>0.031000000000000028</x:v>
      </x:c>
      <x:c r="L18" s="29" t="n">
        <x:v>4</x:v>
      </x:c>
      <x:c r="M18" s="29" t="n">
        <x:v>4</x:v>
      </x:c>
      <x:c r="N18" s="29" t="n">
        <x:v>95</x:v>
      </x:c>
      <x:c r="O18" s="29" t="n">
        <x:v>29</x:v>
      </x:c>
      <x:c r="P18" s="29" t="n">
        <x:v>66</x:v>
      </x:c>
      <x:c r="Q18" s="29" t="n">
        <x:v>338</x:v>
      </x:c>
      <x:c r="R18" s="30" t="n">
        <x:v>-0.6677867282349779</x:v>
      </x:c>
      <x:c r="S18" s="30" t="n">
        <x:v>0.8846367642093663</x:v>
      </x:c>
      <x:c r="T18" s="30" t="n">
        <x:v>0.8183348945444657</x:v>
      </x:c>
      <x:c r="U18" s="28" t="str">
        <x:f>IF(AND(G18&gt;=80%,I18&gt;0,L18&gt;=1),"YES","")</x:f>
      </x:c>
      <x:c r="V18" s="31" t="n">
        <x:f>I18+0.4*K18-2*MAX(0,90%-G18)</x:f>
        <x:v>-1.242746182089392</x:v>
      </x:c>
    </x:row>
    <x:row r="19">
      <x:c r="A19" s="35" t="n">
        <x:v>13</x:v>
      </x:c>
      <x:c r="B19" s="33" t="str">
        <x:v>Premarket rolling shock</x:v>
      </x:c>
      <x:c r="C19" s="33" t="str">
        <x:v>Skip when the worst premarket 3-minute candle is -0.4% or worse.</x:v>
      </x:c>
      <x:c r="D19" s="29" t="n">
        <x:v>133896355.90199971</x:v>
      </x:c>
      <x:c r="E19" s="29" t="n">
        <x:v>12655</x:v>
      </x:c>
      <x:c r="F19" s="30" t="n">
        <x:f>(D19/E19)^(1/('Methodology'!$B$4*7/365))-1</x:f>
        <x:v>2.0523923303973977</x:v>
      </x:c>
      <x:c r="G19" s="30" t="n">
        <x:f>F19/$F$6</x:f>
        <x:v>0.5352885938894295</x:v>
      </x:c>
      <x:c r="H19" s="30" t="n">
        <x:v>0.9107812639081152</x:v>
      </x:c>
      <x:c r="I19" s="30" t="n">
        <x:f>$H$6-H19</x:f>
        <x:v>0</x:v>
      </x:c>
      <x:c r="J19" s="30" t="n">
        <x:v>0.911</x:v>
      </x:c>
      <x:c r="K19" s="30" t="n">
        <x:f>$J$6-J19</x:f>
        <x:v>0</x:v>
      </x:c>
      <x:c r="L19" s="29" t="n">
        <x:v>2</x:v>
      </x:c>
      <x:c r="M19" s="29" t="n">
        <x:v>3</x:v>
      </x:c>
      <x:c r="N19" s="29" t="n">
        <x:v>58</x:v>
      </x:c>
      <x:c r="O19" s="29" t="n">
        <x:v>17</x:v>
      </x:c>
      <x:c r="P19" s="29" t="n">
        <x:v>41</x:v>
      </x:c>
      <x:c r="Q19" s="29" t="n">
        <x:v>375</x:v>
      </x:c>
      <x:c r="R19" s="30" t="n">
        <x:v>-0.6784679101815548</x:v>
      </x:c>
      <x:c r="S19" s="30" t="n">
        <x:v>0.9107812639081152</x:v>
      </x:c>
      <x:c r="T19" s="30" t="n">
        <x:v>0.9079678212534983</x:v>
      </x:c>
      <x:c r="U19" s="28" t="str">
        <x:f>IF(AND(G19&gt;=80%,I19&gt;0,L19&gt;=1),"YES","")</x:f>
      </x:c>
      <x:c r="V19" s="31" t="n">
        <x:f>I19+0.4*K19-2*MAX(0,90%-G19)</x:f>
        <x:v>-0.729422812221141</x:v>
      </x:c>
    </x:row>
    <x:row r="20">
      <x:c r="A20" s="35" t="n">
        <x:v>14</x:v>
      </x:c>
      <x:c r="B20" s="33" t="str">
        <x:v>Premarket rolling shock</x:v>
      </x:c>
      <x:c r="C20" s="33" t="str">
        <x:v>Skip when the worst premarket 3-minute candle is -0.5% or worse.</x:v>
      </x:c>
      <x:c r="D20" s="29" t="n">
        <x:v>232695909.01400018</x:v>
      </x:c>
      <x:c r="E20" s="29" t="n">
        <x:v>13345</x:v>
      </x:c>
      <x:c r="F20" s="30" t="n">
        <x:f>(D20/E20)^(1/('Methodology'!$B$4*7/365))-1</x:f>
        <x:v>2.241661069602571</x:v>
      </x:c>
      <x:c r="G20" s="30" t="n">
        <x:f>F20/$F$6</x:f>
        <x:v>0.5846521564870082</x:v>
      </x:c>
      <x:c r="H20" s="30" t="n">
        <x:v>0.9157665400128623</x:v>
      </x:c>
      <x:c r="I20" s="30" t="n">
        <x:f>$H$6-H20</x:f>
        <x:v>-0.004985276104747083</x:v>
      </x:c>
      <x:c r="J20" s="30" t="n">
        <x:v>0.911</x:v>
      </x:c>
      <x:c r="K20" s="30" t="n">
        <x:f>$J$6-J20</x:f>
        <x:v>0</x:v>
      </x:c>
      <x:c r="L20" s="29" t="n">
        <x:v>1</x:v>
      </x:c>
      <x:c r="M20" s="29" t="n">
        <x:v>2</x:v>
      </x:c>
      <x:c r="N20" s="29" t="n">
        <x:v>32</x:v>
      </x:c>
      <x:c r="O20" s="29" t="n">
        <x:v>7</x:v>
      </x:c>
      <x:c r="P20" s="29" t="n">
        <x:v>25</x:v>
      </x:c>
      <x:c r="Q20" s="29" t="n">
        <x:v>401</x:v>
      </x:c>
      <x:c r="R20" s="30" t="n">
        <x:v>-0.7239987425319533</x:v>
      </x:c>
      <x:c r="S20" s="30" t="n">
        <x:v>0.9107812639081152</x:v>
      </x:c>
      <x:c r="T20" s="30" t="n">
        <x:v>0.9157665400128623</x:v>
      </x:c>
      <x:c r="U20" s="28" t="str">
        <x:f>IF(AND(G20&gt;=80%,I20&gt;0,L20&gt;=1),"YES","")</x:f>
      </x:c>
      <x:c r="V20" s="31" t="n">
        <x:f>I20+0.4*K20-2*MAX(0,90%-G20)</x:f>
        <x:v>-0.6356809631307307</x:v>
      </x:c>
    </x:row>
    <x:row r="21">
      <x:c r="A21" s="35" t="n">
        <x:v>15</x:v>
      </x:c>
      <x:c r="B21" s="33" t="str">
        <x:v>Premarket rolling shock</x:v>
      </x:c>
      <x:c r="C21" s="33" t="str">
        <x:v>Skip when the worst premarket 3-minute candle is -0.6% or worse.</x:v>
      </x:c>
      <x:c r="D21" s="29" t="n">
        <x:v>850378440.764</x:v>
      </x:c>
      <x:c r="E21" s="29" t="n">
        <x:v>13920</x:v>
      </x:c>
      <x:c r="F21" s="30" t="n">
        <x:f>(D21/E21)^(1/('Methodology'!$B$4*7/365))-1</x:f>
        <x:v>2.7699699703164224</x:v>
      </x:c>
      <x:c r="G21" s="30" t="n">
        <x:f>F21/$F$6</x:f>
        <x:v>0.7224414691900188</x:v>
      </x:c>
      <x:c r="H21" s="30" t="n">
        <x:v>0.9157689200907383</x:v>
      </x:c>
      <x:c r="I21" s="30" t="n">
        <x:f>$H$6-H21</x:f>
        <x:v>-0.00498765618262309</x:v>
      </x:c>
      <x:c r="J21" s="30" t="n">
        <x:v>0.911</x:v>
      </x:c>
      <x:c r="K21" s="30" t="n">
        <x:f>$J$6-J21</x:f>
        <x:v>0</x:v>
      </x:c>
      <x:c r="L21" s="29" t="n">
        <x:v>1</x:v>
      </x:c>
      <x:c r="M21" s="29" t="n">
        <x:v>1</x:v>
      </x:c>
      <x:c r="N21" s="29" t="n">
        <x:v>16</x:v>
      </x:c>
      <x:c r="O21" s="29" t="n">
        <x:v>1</x:v>
      </x:c>
      <x:c r="P21" s="29" t="n">
        <x:v>15</x:v>
      </x:c>
      <x:c r="Q21" s="29" t="n">
        <x:v>417</x:v>
      </x:c>
      <x:c r="R21" s="30" t="n">
        <x:v>-0.7239997677566394</x:v>
      </x:c>
      <x:c r="S21" s="30" t="n">
        <x:v>0.9107812639081152</x:v>
      </x:c>
      <x:c r="T21" s="30" t="n">
        <x:v>0.9157689200907383</x:v>
      </x:c>
      <x:c r="U21" s="28" t="str">
        <x:f>IF(AND(G21&gt;=80%,I21&gt;0,L21&gt;=1),"YES","")</x:f>
      </x:c>
      <x:c r="V21" s="31" t="n">
        <x:f>I21+0.4*K21-2*MAX(0,90%-G21)</x:f>
        <x:v>-0.36010471780258546</x:v>
      </x:c>
    </x:row>
    <x:row r="22">
      <x:c r="A22" s="35" t="n">
        <x:v>16</x:v>
      </x:c>
      <x:c r="B22" s="33" t="str">
        <x:v>Premarket rolling shock</x:v>
      </x:c>
      <x:c r="C22" s="33" t="str">
        <x:v>Skip when the worst premarket 3-minute candle is -0.7% or worse.</x:v>
      </x:c>
      <x:c r="D22" s="29" t="n">
        <x:v>2080211669.199999</x:v>
      </x:c>
      <x:c r="E22" s="29" t="n">
        <x:v>14035</x:v>
      </x:c>
      <x:c r="F22" s="30" t="n">
        <x:f>(D22/E22)^(1/('Methodology'!$B$4*7/365))-1</x:f>
        <x:v>3.1946052608650746</x:v>
      </x:c>
      <x:c r="G22" s="30" t="n">
        <x:f>F22/$F$6</x:f>
        <x:v>0.8331914579846104</x:v>
      </x:c>
      <x:c r="H22" s="30" t="n">
        <x:v>0.9107812639081152</x:v>
      </x:c>
      <x:c r="I22" s="30" t="n">
        <x:f>$H$6-H22</x:f>
        <x:v>0</x:v>
      </x:c>
      <x:c r="J22" s="30" t="n">
        <x:v>0.911</x:v>
      </x:c>
      <x:c r="K22" s="30" t="n">
        <x:f>$J$6-J22</x:f>
        <x:v>0</x:v>
      </x:c>
      <x:c r="L22" s="29" t="n">
        <x:v>1</x:v>
      </x:c>
      <x:c r="M22" s="29" t="n">
        <x:v>1</x:v>
      </x:c>
      <x:c r="N22" s="29" t="n">
        <x:v>12</x:v>
      </x:c>
      <x:c r="O22" s="29" t="n">
        <x:v>1</x:v>
      </x:c>
      <x:c r="P22" s="29" t="n">
        <x:v>11</x:v>
      </x:c>
      <x:c r="Q22" s="29" t="n">
        <x:v>421</x:v>
      </x:c>
      <x:c r="R22" s="30" t="n">
        <x:v>-0.7239999877169639</x:v>
      </x:c>
      <x:c r="S22" s="30" t="n">
        <x:v>0.9107812639081152</x:v>
      </x:c>
      <x:c r="T22" s="30" t="n">
        <x:v>0.9089151900953635</x:v>
      </x:c>
      <x:c r="U22" s="28" t="str">
        <x:f>IF(AND(G22&gt;=80%,I22&gt;0,L22&gt;=1),"YES","")</x:f>
      </x:c>
      <x:c r="V22" s="31" t="n">
        <x:f>I22+0.4*K22-2*MAX(0,90%-G22)</x:f>
        <x:v>-0.13361708403077932</x:v>
      </x:c>
    </x:row>
    <x:row r="23">
      <x:c r="A23" s="35" t="n">
        <x:v>17</x:v>
      </x:c>
      <x:c r="B23" s="33" t="str">
        <x:v>Premarket rolling shock</x:v>
      </x:c>
      <x:c r="C23" s="33" t="str">
        <x:v>Skip when the worst premarket 3-minute candle is -0.8% or worse.</x:v>
      </x:c>
      <x:c r="D23" s="29" t="n">
        <x:v>2379484839.417998</x:v>
      </x:c>
      <x:c r="E23" s="29" t="n">
        <x:v>14035</x:v>
      </x:c>
      <x:c r="F23" s="30" t="n">
        <x:f>(D23/E23)^(1/('Methodology'!$B$4*7/365))-1</x:f>
        <x:v>3.2630536572989257</x:v>
      </x:c>
      <x:c r="G23" s="30" t="n">
        <x:f>F23/$F$6</x:f>
        <x:v>0.8510436226698915</x:v>
      </x:c>
      <x:c r="H23" s="30" t="n">
        <x:v>0.9107812639081152</x:v>
      </x:c>
      <x:c r="I23" s="30" t="n">
        <x:f>$H$6-H23</x:f>
        <x:v>0</x:v>
      </x:c>
      <x:c r="J23" s="30" t="n">
        <x:v>0.911</x:v>
      </x:c>
      <x:c r="K23" s="30" t="n">
        <x:f>$J$6-J23</x:f>
        <x:v>0</x:v>
      </x:c>
      <x:c r="L23" s="29" t="n">
        <x:v>1</x:v>
      </x:c>
      <x:c r="M23" s="29" t="n">
        <x:v>1</x:v>
      </x:c>
      <x:c r="N23" s="29" t="n">
        <x:v>11</x:v>
      </x:c>
      <x:c r="O23" s="29" t="n">
        <x:v>1</x:v>
      </x:c>
      <x:c r="P23" s="29" t="n">
        <x:v>10</x:v>
      </x:c>
      <x:c r="Q23" s="29" t="n">
        <x:v>422</x:v>
      </x:c>
      <x:c r="R23" s="30" t="n">
        <x:v>-0.7239998093765637</x:v>
      </x:c>
      <x:c r="S23" s="30" t="n">
        <x:v>0.9107812639081152</x:v>
      </x:c>
      <x:c r="T23" s="30" t="n">
        <x:v>0.8983689605340084</x:v>
      </x:c>
      <x:c r="U23" s="28" t="str">
        <x:f>IF(AND(G23&gt;=80%,I23&gt;0,L23&gt;=1),"YES","")</x:f>
      </x:c>
      <x:c r="V23" s="31" t="n">
        <x:f>I23+0.4*K23-2*MAX(0,90%-G23)</x:f>
        <x:v>-0.09791275466021698</x:v>
      </x:c>
    </x:row>
    <x:row r="24">
      <x:c r="A24" s="35" t="n">
        <x:v>18</x:v>
      </x:c>
      <x:c r="B24" s="33" t="str">
        <x:v>Premarket rolling shock</x:v>
      </x:c>
      <x:c r="C24" s="33" t="str">
        <x:v>Skip when the worst premarket 3-minute candle is -0.9% or worse.</x:v>
      </x:c>
      <x:c r="D24" s="29" t="n">
        <x:v>3950610015.3750005</x:v>
      </x:c>
      <x:c r="E24" s="29" t="n">
        <x:v>14035</x:v>
      </x:c>
      <x:c r="F24" s="30" t="n">
        <x:f>(D24/E24)^(1/('Methodology'!$B$4*7/365))-1</x:f>
        <x:v>3.53143263749019</x:v>
      </x:c>
      <x:c r="G24" s="30" t="n">
        <x:f>F24/$F$6</x:f>
        <x:v>0.9210400871900277</x:v>
      </x:c>
      <x:c r="H24" s="30" t="n">
        <x:v>0.9107812639081152</x:v>
      </x:c>
      <x:c r="I24" s="30" t="n">
        <x:f>$H$6-H24</x:f>
        <x:v>0</x:v>
      </x:c>
      <x:c r="J24" s="30" t="n">
        <x:v>0.911</x:v>
      </x:c>
      <x:c r="K24" s="30" t="n">
        <x:f>$J$6-J24</x:f>
        <x:v>0</x:v>
      </x:c>
      <x:c r="L24" s="29" t="n">
        <x:v>1</x:v>
      </x:c>
      <x:c r="M24" s="29" t="n">
        <x:v>1</x:v>
      </x:c>
      <x:c r="N24" s="29" t="n">
        <x:v>8</x:v>
      </x:c>
      <x:c r="O24" s="29" t="n">
        <x:v>1</x:v>
      </x:c>
      <x:c r="P24" s="29" t="n">
        <x:v>7</x:v>
      </x:c>
      <x:c r="Q24" s="29" t="n">
        <x:v>425</x:v>
      </x:c>
      <x:c r="R24" s="30" t="n">
        <x:v>-0.7239999952713717</x:v>
      </x:c>
      <x:c r="S24" s="30" t="n">
        <x:v>0.9107812639081152</x:v>
      </x:c>
      <x:c r="T24" s="30" t="n">
        <x:v>0.8983690713383132</x:v>
      </x:c>
      <x:c r="U24" s="28" t="str">
        <x:f>IF(AND(G24&gt;=80%,I24&gt;0,L24&gt;=1),"YES","")</x:f>
      </x:c>
      <x:c r="V24" s="31" t="n">
        <x:f>I24+0.4*K24-2*MAX(0,90%-G24)</x:f>
        <x:v>0</x:v>
      </x:c>
    </x:row>
    <x:row r="25">
      <x:c r="A25" s="35" t="n">
        <x:v>19</x:v>
      </x:c>
      <x:c r="B25" s="33" t="str">
        <x:v>Premarket rolling shock</x:v>
      </x:c>
      <x:c r="C25" s="33" t="str">
        <x:v>Skip when the worst premarket 3-minute candle is -1.0% or worse.</x:v>
      </x:c>
      <x:c r="D25" s="29" t="n">
        <x:v>4940547835.843994</x:v>
      </x:c>
      <x:c r="E25" s="29" t="n">
        <x:v>14150</x:v>
      </x:c>
      <x:c r="F25" s="30" t="n">
        <x:f>(D25/E25)^(1/('Methodology'!$B$4*7/365))-1</x:f>
        <x:v>3.650536667434171</x:v>
      </x:c>
      <x:c r="G25" s="30" t="n">
        <x:f>F25/$F$6</x:f>
        <x:v>0.9521038500832233</x:v>
      </x:c>
      <x:c r="H25" s="30" t="n">
        <x:v>0.9107812639081152</x:v>
      </x:c>
      <x:c r="I25" s="30" t="n">
        <x:f>$H$6-H25</x:f>
        <x:v>0</x:v>
      </x:c>
      <x:c r="J25" s="30" t="n">
        <x:v>0.911</x:v>
      </x:c>
      <x:c r="K25" s="30" t="n">
        <x:f>$J$6-J25</x:f>
        <x:v>0</x:v>
      </x:c>
      <x:c r="L25" s="29" t="n">
        <x:v>1</x:v>
      </x:c>
      <x:c r="M25" s="29" t="n">
        <x:v>1</x:v>
      </x:c>
      <x:c r="N25" s="29" t="n">
        <x:v>7</x:v>
      </x:c>
      <x:c r="O25" s="29" t="n">
        <x:v>1</x:v>
      </x:c>
      <x:c r="P25" s="29" t="n">
        <x:v>6</x:v>
      </x:c>
      <x:c r="Q25" s="29" t="n">
        <x:v>426</x:v>
      </x:c>
      <x:c r="R25" s="30" t="n">
        <x:v>-0.7239999033249309</x:v>
      </x:c>
      <x:c r="S25" s="30" t="n">
        <x:v>0.9107812639081152</x:v>
      </x:c>
      <x:c r="T25" s="30" t="n">
        <x:v>0.8983690707042878</x:v>
      </x:c>
      <x:c r="U25" s="28" t="str">
        <x:f>IF(AND(G25&gt;=80%,I25&gt;0,L25&gt;=1),"YES","")</x:f>
      </x:c>
      <x:c r="V25" s="31" t="n">
        <x:f>I25+0.4*K25-2*MAX(0,90%-G25)</x:f>
        <x:v>0</x:v>
      </x:c>
    </x:row>
    <x:row r="26">
      <x:c r="A26" s="35" t="n">
        <x:v>20</x:v>
      </x:c>
      <x:c r="B26" s="33" t="str">
        <x:v>Premarket rolling shock</x:v>
      </x:c>
      <x:c r="C26" s="33" t="str">
        <x:v>Skip when the worst premarket 3-minute candle is -1.1% or worse.</x:v>
      </x:c>
      <x:c r="D26" s="29" t="n">
        <x:v>4940547835.843994</x:v>
      </x:c>
      <x:c r="E26" s="29" t="n">
        <x:v>14150</x:v>
      </x:c>
      <x:c r="F26" s="30" t="n">
        <x:f>(D26/E26)^(1/('Methodology'!$B$4*7/365))-1</x:f>
        <x:v>3.650536667434171</x:v>
      </x:c>
      <x:c r="G26" s="30" t="n">
        <x:f>F26/$F$6</x:f>
        <x:v>0.9521038500832233</x:v>
      </x:c>
      <x:c r="H26" s="30" t="n">
        <x:v>0.9107812639081152</x:v>
      </x:c>
      <x:c r="I26" s="30" t="n">
        <x:f>$H$6-H26</x:f>
        <x:v>0</x:v>
      </x:c>
      <x:c r="J26" s="30" t="n">
        <x:v>0.911</x:v>
      </x:c>
      <x:c r="K26" s="30" t="n">
        <x:f>$J$6-J26</x:f>
        <x:v>0</x:v>
      </x:c>
      <x:c r="L26" s="29" t="n">
        <x:v>1</x:v>
      </x:c>
      <x:c r="M26" s="29" t="n">
        <x:v>1</x:v>
      </x:c>
      <x:c r="N26" s="29" t="n">
        <x:v>7</x:v>
      </x:c>
      <x:c r="O26" s="29" t="n">
        <x:v>1</x:v>
      </x:c>
      <x:c r="P26" s="29" t="n">
        <x:v>6</x:v>
      </x:c>
      <x:c r="Q26" s="29" t="n">
        <x:v>426</x:v>
      </x:c>
      <x:c r="R26" s="30" t="n">
        <x:v>-0.7239999033249309</x:v>
      </x:c>
      <x:c r="S26" s="30" t="n">
        <x:v>0.9107812639081152</x:v>
      </x:c>
      <x:c r="T26" s="30" t="n">
        <x:v>0.8983690707042878</x:v>
      </x:c>
      <x:c r="U26" s="28" t="str">
        <x:f>IF(AND(G26&gt;=80%,I26&gt;0,L26&gt;=1),"YES","")</x:f>
      </x:c>
      <x:c r="V26" s="31" t="n">
        <x:f>I26+0.4*K26-2*MAX(0,90%-G26)</x:f>
        <x:v>0</x:v>
      </x:c>
    </x:row>
    <x:row r="27">
      <x:c r="A27" s="35" t="n">
        <x:v>21</x:v>
      </x:c>
      <x:c r="B27" s="33" t="str">
        <x:v>Premarket rolling shock</x:v>
      </x:c>
      <x:c r="C27" s="33" t="str">
        <x:v>Skip when the worst premarket 5-minute candle is -0.2% or worse.</x:v>
      </x:c>
      <x:c r="D27" s="29" t="n">
        <x:v>220508.46099999995</x:v>
      </x:c>
      <x:c r="E27" s="29" t="n">
        <x:v>6330</x:v>
      </x:c>
      <x:c r="F27" s="30" t="n">
        <x:f>(D27/E27)^(1/('Methodology'!$B$4*7/365))-1</x:f>
        <x:v>0.533535330277239</x:v>
      </x:c>
      <x:c r="G27" s="30" t="n">
        <x:f>F27/$F$6</x:f>
        <x:v>0.13915242836594344</x:v>
      </x:c>
      <x:c r="H27" s="30" t="n">
        <x:v>0.8883762665460542</x:v>
      </x:c>
      <x:c r="I27" s="30" t="n">
        <x:f>$H$6-H27</x:f>
        <x:v>0.02240499736206103</x:v>
      </x:c>
      <x:c r="J27" s="30" t="n">
        <x:v>0.888</x:v>
      </x:c>
      <x:c r="K27" s="30" t="n">
        <x:f>$J$6-J27</x:f>
        <x:v>0.02300000000000002</x:v>
      </x:c>
      <x:c r="L27" s="29" t="n">
        <x:v>15</x:v>
      </x:c>
      <x:c r="M27" s="29" t="n">
        <x:v>16</x:v>
      </x:c>
      <x:c r="N27" s="29" t="n">
        <x:v>241</x:v>
      </x:c>
      <x:c r="O27" s="29" t="n">
        <x:v>96</x:v>
      </x:c>
      <x:c r="P27" s="29" t="n">
        <x:v>145</x:v>
      </x:c>
      <x:c r="Q27" s="29" t="n">
        <x:v>192</x:v>
      </x:c>
      <x:c r="R27" s="30" t="n">
        <x:v>-0.6543727331284266</x:v>
      </x:c>
      <x:c r="S27" s="30" t="n">
        <x:v>0.8883762665460542</x:v>
      </x:c>
      <x:c r="T27" s="30" t="n">
        <x:v>0.5674204283956519</x:v>
      </x:c>
      <x:c r="U27" s="28" t="str">
        <x:f>IF(AND(G27&gt;=80%,I27&gt;0,L27&gt;=1),"YES","")</x:f>
      </x:c>
      <x:c r="V27" s="31" t="n">
        <x:f>I27+0.4*K27-2*MAX(0,90%-G27)</x:f>
        <x:v>-1.490090145906052</x:v>
      </x:c>
    </x:row>
    <x:row r="28">
      <x:c r="A28" s="35" t="n">
        <x:v>22</x:v>
      </x:c>
      <x:c r="B28" s="33" t="str">
        <x:v>Premarket rolling shock</x:v>
      </x:c>
      <x:c r="C28" s="33" t="str">
        <x:v>Skip when the worst premarket 5-minute candle is -0.3% or worse.</x:v>
      </x:c>
      <x:c r="D28" s="29" t="n">
        <x:v>4968625.816000001</x:v>
      </x:c>
      <x:c r="E28" s="29" t="n">
        <x:v>9895</x:v>
      </x:c>
      <x:c r="F28" s="30" t="n">
        <x:f>(D28/E28)^(1/('Methodology'!$B$4*7/365))-1</x:f>
        <x:v>1.114652564616243</x:v>
      </x:c>
      <x:c r="G28" s="30" t="n">
        <x:f>F28/$F$6</x:f>
        <x:v>0.29071478934690126</x:v>
      </x:c>
      <x:c r="H28" s="30" t="n">
        <x:v>0.8682893724288587</x:v>
      </x:c>
      <x:c r="I28" s="30" t="n">
        <x:f>$H$6-H28</x:f>
        <x:v>0.04249189147925647</x:v>
      </x:c>
      <x:c r="J28" s="30" t="n">
        <x:v>0.858</x:v>
      </x:c>
      <x:c r="K28" s="30" t="n">
        <x:f>$J$6-J28</x:f>
        <x:v>0.05300000000000005</x:v>
      </x:c>
      <x:c r="L28" s="29" t="n">
        <x:v>7</x:v>
      </x:c>
      <x:c r="M28" s="29" t="n">
        <x:v>9</x:v>
      </x:c>
      <x:c r="N28" s="29" t="n">
        <x:v>137</x:v>
      </x:c>
      <x:c r="O28" s="29" t="n">
        <x:v>49</x:v>
      </x:c>
      <x:c r="P28" s="29" t="n">
        <x:v>88</x:v>
      </x:c>
      <x:c r="Q28" s="29" t="n">
        <x:v>296</x:v>
      </x:c>
      <x:c r="R28" s="30" t="n">
        <x:v>-0.6587245161082578</x:v>
      </x:c>
      <x:c r="S28" s="30" t="n">
        <x:v>0.8682893724288587</x:v>
      </x:c>
      <x:c r="T28" s="30" t="n">
        <x:v>0.7964439335943356</x:v>
      </x:c>
      <x:c r="U28" s="28" t="str">
        <x:f>IF(AND(G28&gt;=80%,I28&gt;0,L28&gt;=1),"YES","")</x:f>
      </x:c>
      <x:c r="V28" s="31" t="n">
        <x:f>I28+0.4*K28-2*MAX(0,90%-G28)</x:f>
        <x:v>-1.154878529826941</x:v>
      </x:c>
    </x:row>
    <x:row r="29">
      <x:c r="A29" s="35" t="n">
        <x:v>23</x:v>
      </x:c>
      <x:c r="B29" s="33" t="str">
        <x:v>Premarket rolling shock</x:v>
      </x:c>
      <x:c r="C29" s="33" t="str">
        <x:v>Skip when the worst premarket 5-minute candle is -0.4% or worse.</x:v>
      </x:c>
      <x:c r="D29" s="29" t="n">
        <x:v>29718679.69300003</x:v>
      </x:c>
      <x:c r="E29" s="29" t="n">
        <x:v>12195</x:v>
      </x:c>
      <x:c r="F29" s="30" t="n">
        <x:f>(D29/E29)^(1/('Methodology'!$B$4*7/365))-1</x:f>
        <x:v>1.5577141156427632</x:v>
      </x:c>
      <x:c r="G29" s="30" t="n">
        <x:f>F29/$F$6</x:f>
        <x:v>0.4062705683969692</x:v>
      </x:c>
      <x:c r="H29" s="30" t="n">
        <x:v>0.9107812639081152</x:v>
      </x:c>
      <x:c r="I29" s="30" t="n">
        <x:f>$H$6-H29</x:f>
        <x:v>0</x:v>
      </x:c>
      <x:c r="J29" s="30" t="n">
        <x:v>0.911</x:v>
      </x:c>
      <x:c r="K29" s="30" t="n">
        <x:f>$J$6-J29</x:f>
        <x:v>0</x:v>
      </x:c>
      <x:c r="L29" s="29" t="n">
        <x:v>2</x:v>
      </x:c>
      <x:c r="M29" s="29" t="n">
        <x:v>3</x:v>
      </x:c>
      <x:c r="N29" s="29" t="n">
        <x:v>70</x:v>
      </x:c>
      <x:c r="O29" s="29" t="n">
        <x:v>20</x:v>
      </x:c>
      <x:c r="P29" s="29" t="n">
        <x:v>50</x:v>
      </x:c>
      <x:c r="Q29" s="29" t="n">
        <x:v>363</x:v>
      </x:c>
      <x:c r="R29" s="30" t="n">
        <x:v>-0.6784679101815548</x:v>
      </x:c>
      <x:c r="S29" s="30" t="n">
        <x:v>0.9107812639081152</x:v>
      </x:c>
      <x:c r="T29" s="30" t="n">
        <x:v>0.9027823297942789</x:v>
      </x:c>
      <x:c r="U29" s="28" t="str">
        <x:f>IF(AND(G29&gt;=80%,I29&gt;0,L29&gt;=1),"YES","")</x:f>
      </x:c>
      <x:c r="V29" s="31" t="n">
        <x:f>I29+0.4*K29-2*MAX(0,90%-G29)</x:f>
        <x:v>-0.9874588632060617</x:v>
      </x:c>
    </x:row>
    <x:row r="30">
      <x:c r="A30" s="35" t="n">
        <x:v>24</x:v>
      </x:c>
      <x:c r="B30" s="33" t="str">
        <x:v>Premarket rolling shock</x:v>
      </x:c>
      <x:c r="C30" s="33" t="str">
        <x:v>Skip when the worst premarket 5-minute candle is -0.5% or worse.</x:v>
      </x:c>
      <x:c r="D30" s="29" t="n">
        <x:v>244326685.51900017</x:v>
      </x:c>
      <x:c r="E30" s="29" t="n">
        <x:v>13230</x:v>
      </x:c>
      <x:c r="F30" s="30" t="n">
        <x:f>(D30/E30)^(1/('Methodology'!$B$4*7/365))-1</x:f>
        <x:v>2.264157040553741</x:v>
      </x:c>
      <x:c r="G30" s="30" t="n">
        <x:f>F30/$F$6</x:f>
        <x:v>0.590519376160499</x:v>
      </x:c>
      <x:c r="H30" s="30" t="n">
        <x:v>0.9107812639081152</x:v>
      </x:c>
      <x:c r="I30" s="30" t="n">
        <x:f>$H$6-H30</x:f>
        <x:v>0</x:v>
      </x:c>
      <x:c r="J30" s="30" t="n">
        <x:v>0.911</x:v>
      </x:c>
      <x:c r="K30" s="30" t="n">
        <x:f>$J$6-J30</x:f>
        <x:v>0</x:v>
      </x:c>
      <x:c r="L30" s="29" t="n">
        <x:v>2</x:v>
      </x:c>
      <x:c r="M30" s="29" t="n">
        <x:v>3</x:v>
      </x:c>
      <x:c r="N30" s="29" t="n">
        <x:v>42</x:v>
      </x:c>
      <x:c r="O30" s="29" t="n">
        <x:v>11</x:v>
      </x:c>
      <x:c r="P30" s="29" t="n">
        <x:v>31</x:v>
      </x:c>
      <x:c r="Q30" s="29" t="n">
        <x:v>391</x:v>
      </x:c>
      <x:c r="R30" s="30" t="n">
        <x:v>-0.6784679101815548</x:v>
      </x:c>
      <x:c r="S30" s="30" t="n">
        <x:v>0.9107812639081152</x:v>
      </x:c>
      <x:c r="T30" s="30" t="n">
        <x:v>0.892592410224993</x:v>
      </x:c>
      <x:c r="U30" s="28" t="str">
        <x:f>IF(AND(G30&gt;=80%,I30&gt;0,L30&gt;=1),"YES","")</x:f>
      </x:c>
      <x:c r="V30" s="31" t="n">
        <x:f>I30+0.4*K30-2*MAX(0,90%-G30)</x:f>
        <x:v>-0.6189612476790021</x:v>
      </x:c>
    </x:row>
    <x:row r="31">
      <x:c r="A31" s="35" t="n">
        <x:v>25</x:v>
      </x:c>
      <x:c r="B31" s="33" t="str">
        <x:v>Premarket rolling shock</x:v>
      </x:c>
      <x:c r="C31" s="33" t="str">
        <x:v>Skip when the worst premarket 5-minute candle is -0.6% or worse.</x:v>
      </x:c>
      <x:c r="D31" s="29" t="n">
        <x:v>262971511.13500056</x:v>
      </x:c>
      <x:c r="E31" s="29" t="n">
        <x:v>13575</x:v>
      </x:c>
      <x:c r="F31" s="30" t="n">
        <x:f>(D31/E31)^(1/('Methodology'!$B$4*7/365))-1</x:f>
        <x:v>2.2829989767316263</x:v>
      </x:c>
      <x:c r="G31" s="30" t="n">
        <x:f>F31/$F$6</x:f>
        <x:v>0.5954335796358461</x:v>
      </x:c>
      <x:c r="H31" s="30" t="n">
        <x:v>0.9157681644303919</x:v>
      </x:c>
      <x:c r="I31" s="30" t="n">
        <x:f>$H$6-H31</x:f>
        <x:v>-0.004986900522276683</x:v>
      </x:c>
      <x:c r="J31" s="30" t="n">
        <x:v>0.911</x:v>
      </x:c>
      <x:c r="K31" s="30" t="n">
        <x:f>$J$6-J31</x:f>
        <x:v>0</x:v>
      </x:c>
      <x:c r="L31" s="29" t="n">
        <x:v>1</x:v>
      </x:c>
      <x:c r="M31" s="29" t="n">
        <x:v>2</x:v>
      </x:c>
      <x:c r="N31" s="29" t="n">
        <x:v>27</x:v>
      </x:c>
      <x:c r="O31" s="29" t="n">
        <x:v>6</x:v>
      </x:c>
      <x:c r="P31" s="29" t="n">
        <x:v>21</x:v>
      </x:c>
      <x:c r="Q31" s="29" t="n">
        <x:v>406</x:v>
      </x:c>
      <x:c r="R31" s="30" t="n">
        <x:v>-0.7239995509415669</x:v>
      </x:c>
      <x:c r="S31" s="30" t="n">
        <x:v>0.9107812639081152</x:v>
      </x:c>
      <x:c r="T31" s="30" t="n">
        <x:v>0.9157681644303919</x:v>
      </x:c>
      <x:c r="U31" s="28" t="str">
        <x:f>IF(AND(G31&gt;=80%,I31&gt;0,L31&gt;=1),"YES","")</x:f>
      </x:c>
      <x:c r="V31" s="31" t="n">
        <x:f>I31+0.4*K31-2*MAX(0,90%-G31)</x:f>
        <x:v>-0.6141197412505845</x:v>
      </x:c>
    </x:row>
    <x:row r="32">
      <x:c r="A32" s="35" t="n">
        <x:v>26</x:v>
      </x:c>
      <x:c r="B32" s="33" t="str">
        <x:v>Premarket rolling shock</x:v>
      </x:c>
      <x:c r="C32" s="33" t="str">
        <x:v>Skip when the worst premarket 5-minute candle is -0.7% or worse.</x:v>
      </x:c>
      <x:c r="D32" s="29" t="n">
        <x:v>1186643346.4800003</x:v>
      </x:c>
      <x:c r="E32" s="29" t="n">
        <x:v>13920</x:v>
      </x:c>
      <x:c r="F32" s="30" t="n">
        <x:f>(D32/E32)^(1/('Methodology'!$B$4*7/365))-1</x:f>
        <x:v>2.924315877536725</x:v>
      </x:c>
      <x:c r="G32" s="30" t="n">
        <x:f>F32/$F$6</x:f>
        <x:v>0.7626967373592127</x:v>
      </x:c>
      <x:c r="H32" s="30" t="n">
        <x:v>0.9107812639081152</x:v>
      </x:c>
      <x:c r="I32" s="30" t="n">
        <x:f>$H$6-H32</x:f>
        <x:v>0</x:v>
      </x:c>
      <x:c r="J32" s="30" t="n">
        <x:v>0.911</x:v>
      </x:c>
      <x:c r="K32" s="30" t="n">
        <x:f>$J$6-J32</x:f>
        <x:v>0</x:v>
      </x:c>
      <x:c r="L32" s="29" t="n">
        <x:v>1</x:v>
      </x:c>
      <x:c r="M32" s="29" t="n">
        <x:v>2</x:v>
      </x:c>
      <x:c r="N32" s="29" t="n">
        <x:v>16</x:v>
      </x:c>
      <x:c r="O32" s="29" t="n">
        <x:v>2</x:v>
      </x:c>
      <x:c r="P32" s="29" t="n">
        <x:v>14</x:v>
      </x:c>
      <x:c r="Q32" s="29" t="n">
        <x:v>417</x:v>
      </x:c>
      <x:c r="R32" s="30" t="n">
        <x:v>-0.7239995605200471</x:v>
      </x:c>
      <x:c r="S32" s="30" t="n">
        <x:v>0.9107812639081152</x:v>
      </x:c>
      <x:c r="T32" s="30" t="n">
        <x:v>0.9089149095184238</x:v>
      </x:c>
      <x:c r="U32" s="28" t="str">
        <x:f>IF(AND(G32&gt;=80%,I32&gt;0,L32&gt;=1),"YES","")</x:f>
      </x:c>
      <x:c r="V32" s="31" t="n">
        <x:f>I32+0.4*K32-2*MAX(0,90%-G32)</x:f>
        <x:v>-0.2746065252815746</x:v>
      </x:c>
    </x:row>
    <x:row r="33">
      <x:c r="A33" s="35" t="n">
        <x:v>27</x:v>
      </x:c>
      <x:c r="B33" s="33" t="str">
        <x:v>Premarket rolling shock</x:v>
      </x:c>
      <x:c r="C33" s="33" t="str">
        <x:v>Skip when the worst premarket 5-minute candle is -0.8% or worse.</x:v>
      </x:c>
      <x:c r="D33" s="29" t="n">
        <x:v>1863414055.530999</x:v>
      </x:c>
      <x:c r="E33" s="29" t="n">
        <x:v>13920</x:v>
      </x:c>
      <x:c r="F33" s="30" t="n">
        <x:f>(D33/E33)^(1/('Methodology'!$B$4*7/365))-1</x:f>
        <x:v>3.1434816831091608</x:v>
      </x:c>
      <x:c r="G33" s="30" t="n">
        <x:f>F33/$F$6</x:f>
        <x:v>0.8198578142917101</x:v>
      </x:c>
      <x:c r="H33" s="30" t="n">
        <x:v>0.9107812639081152</x:v>
      </x:c>
      <x:c r="I33" s="30" t="n">
        <x:f>$H$6-H33</x:f>
        <x:v>0</x:v>
      </x:c>
      <x:c r="J33" s="30" t="n">
        <x:v>0.911</x:v>
      </x:c>
      <x:c r="K33" s="30" t="n">
        <x:f>$J$6-J33</x:f>
        <x:v>0</x:v>
      </x:c>
      <x:c r="L33" s="29" t="n">
        <x:v>1</x:v>
      </x:c>
      <x:c r="M33" s="29" t="n">
        <x:v>2</x:v>
      </x:c>
      <x:c r="N33" s="29" t="n">
        <x:v>14</x:v>
      </x:c>
      <x:c r="O33" s="29" t="n">
        <x:v>2</x:v>
      </x:c>
      <x:c r="P33" s="29" t="n">
        <x:v>12</x:v>
      </x:c>
      <x:c r="Q33" s="29" t="n">
        <x:v>419</x:v>
      </x:c>
      <x:c r="R33" s="30" t="n">
        <x:v>-0.7239999544431593</x:v>
      </x:c>
      <x:c r="S33" s="30" t="n">
        <x:v>0.9107812639081152</x:v>
      </x:c>
      <x:c r="T33" s="30" t="n">
        <x:v>0.9089151566152397</x:v>
      </x:c>
      <x:c r="U33" s="28" t="str">
        <x:f>IF(AND(G33&gt;=80%,I33&gt;0,L33&gt;=1),"YES","")</x:f>
      </x:c>
      <x:c r="V33" s="31" t="n">
        <x:f>I33+0.4*K33-2*MAX(0,90%-G33)</x:f>
        <x:v>-0.1602843714165798</x:v>
      </x:c>
    </x:row>
    <x:row r="34">
      <x:c r="A34" s="35" t="n">
        <x:v>28</x:v>
      </x:c>
      <x:c r="B34" s="33" t="str">
        <x:v>Premarket rolling shock</x:v>
      </x:c>
      <x:c r="C34" s="33" t="str">
        <x:v>Skip when the worst premarket 5-minute candle is -0.9% or worse.</x:v>
      </x:c>
      <x:c r="D34" s="29" t="n">
        <x:v>3685549144.2290044</x:v>
      </x:c>
      <x:c r="E34" s="29" t="n">
        <x:v>13920</x:v>
      </x:c>
      <x:c r="F34" s="30" t="n">
        <x:f>(D34/E34)^(1/('Methodology'!$B$4*7/365))-1</x:f>
        <x:v>3.4981470313522314</x:v>
      </x:c>
      <x:c r="G34" s="30" t="n">
        <x:f>F34/$F$6</x:f>
        <x:v>0.9123588009454551</x:v>
      </x:c>
      <x:c r="H34" s="30" t="n">
        <x:v>0.9107812639081152</x:v>
      </x:c>
      <x:c r="I34" s="30" t="n">
        <x:f>$H$6-H34</x:f>
        <x:v>0</x:v>
      </x:c>
      <x:c r="J34" s="30" t="n">
        <x:v>0.911</x:v>
      </x:c>
      <x:c r="K34" s="30" t="n">
        <x:f>$J$6-J34</x:f>
        <x:v>0</x:v>
      </x:c>
      <x:c r="L34" s="29" t="n">
        <x:v>1</x:v>
      </x:c>
      <x:c r="M34" s="29" t="n">
        <x:v>2</x:v>
      </x:c>
      <x:c r="N34" s="29" t="n">
        <x:v>10</x:v>
      </x:c>
      <x:c r="O34" s="29" t="n">
        <x:v>2</x:v>
      </x:c>
      <x:c r="P34" s="29" t="n">
        <x:v>8</x:v>
      </x:c>
      <x:c r="Q34" s="29" t="n">
        <x:v>423</x:v>
      </x:c>
      <x:c r="R34" s="30" t="n">
        <x:v>-0.723999942555756</x:v>
      </x:c>
      <x:c r="S34" s="30" t="n">
        <x:v>0.9107812639081152</x:v>
      </x:c>
      <x:c r="T34" s="30" t="n">
        <x:v>0.8983690386493319</x:v>
      </x:c>
      <x:c r="U34" s="28" t="str">
        <x:f>IF(AND(G34&gt;=80%,I34&gt;0,L34&gt;=1),"YES","")</x:f>
      </x:c>
      <x:c r="V34" s="31" t="n">
        <x:f>I34+0.4*K34-2*MAX(0,90%-G34)</x:f>
        <x:v>0</x:v>
      </x:c>
    </x:row>
    <x:row r="35">
      <x:c r="A35" s="35" t="n">
        <x:v>29</x:v>
      </x:c>
      <x:c r="B35" s="33" t="str">
        <x:v>Premarket rolling shock</x:v>
      </x:c>
      <x:c r="C35" s="33" t="str">
        <x:v>Skip when the worst premarket 5-minute candle is -1.0% or worse.</x:v>
      </x:c>
      <x:c r="D35" s="29" t="n">
        <x:v>4940547835.843994</x:v>
      </x:c>
      <x:c r="E35" s="29" t="n">
        <x:v>14150</x:v>
      </x:c>
      <x:c r="F35" s="30" t="n">
        <x:f>(D35/E35)^(1/('Methodology'!$B$4*7/365))-1</x:f>
        <x:v>3.650536667434171</x:v>
      </x:c>
      <x:c r="G35" s="30" t="n">
        <x:f>F35/$F$6</x:f>
        <x:v>0.9521038500832233</x:v>
      </x:c>
      <x:c r="H35" s="30" t="n">
        <x:v>0.9107812639081152</x:v>
      </x:c>
      <x:c r="I35" s="30" t="n">
        <x:f>$H$6-H35</x:f>
        <x:v>0</x:v>
      </x:c>
      <x:c r="J35" s="30" t="n">
        <x:v>0.911</x:v>
      </x:c>
      <x:c r="K35" s="30" t="n">
        <x:f>$J$6-J35</x:f>
        <x:v>0</x:v>
      </x:c>
      <x:c r="L35" s="29" t="n">
        <x:v>1</x:v>
      </x:c>
      <x:c r="M35" s="29" t="n">
        <x:v>1</x:v>
      </x:c>
      <x:c r="N35" s="29" t="n">
        <x:v>7</x:v>
      </x:c>
      <x:c r="O35" s="29" t="n">
        <x:v>1</x:v>
      </x:c>
      <x:c r="P35" s="29" t="n">
        <x:v>6</x:v>
      </x:c>
      <x:c r="Q35" s="29" t="n">
        <x:v>426</x:v>
      </x:c>
      <x:c r="R35" s="30" t="n">
        <x:v>-0.7239999033249309</x:v>
      </x:c>
      <x:c r="S35" s="30" t="n">
        <x:v>0.9107812639081152</x:v>
      </x:c>
      <x:c r="T35" s="30" t="n">
        <x:v>0.8983690707042878</x:v>
      </x:c>
      <x:c r="U35" s="28" t="str">
        <x:f>IF(AND(G35&gt;=80%,I35&gt;0,L35&gt;=1),"YES","")</x:f>
      </x:c>
      <x:c r="V35" s="31" t="n">
        <x:f>I35+0.4*K35-2*MAX(0,90%-G35)</x:f>
        <x:v>0</x:v>
      </x:c>
    </x:row>
    <x:row r="36">
      <x:c r="A36" s="35" t="n">
        <x:v>30</x:v>
      </x:c>
      <x:c r="B36" s="33" t="str">
        <x:v>Premarket rolling shock</x:v>
      </x:c>
      <x:c r="C36" s="33" t="str">
        <x:v>Skip when the worst premarket 5-minute candle is -1.1% or worse.</x:v>
      </x:c>
      <x:c r="D36" s="29" t="n">
        <x:v>4940547835.843994</x:v>
      </x:c>
      <x:c r="E36" s="29" t="n">
        <x:v>14150</x:v>
      </x:c>
      <x:c r="F36" s="30" t="n">
        <x:f>(D36/E36)^(1/('Methodology'!$B$4*7/365))-1</x:f>
        <x:v>3.650536667434171</x:v>
      </x:c>
      <x:c r="G36" s="30" t="n">
        <x:f>F36/$F$6</x:f>
        <x:v>0.9521038500832233</x:v>
      </x:c>
      <x:c r="H36" s="30" t="n">
        <x:v>0.9107812639081152</x:v>
      </x:c>
      <x:c r="I36" s="30" t="n">
        <x:f>$H$6-H36</x:f>
        <x:v>0</x:v>
      </x:c>
      <x:c r="J36" s="30" t="n">
        <x:v>0.911</x:v>
      </x:c>
      <x:c r="K36" s="30" t="n">
        <x:f>$J$6-J36</x:f>
        <x:v>0</x:v>
      </x:c>
      <x:c r="L36" s="29" t="n">
        <x:v>1</x:v>
      </x:c>
      <x:c r="M36" s="29" t="n">
        <x:v>1</x:v>
      </x:c>
      <x:c r="N36" s="29" t="n">
        <x:v>7</x:v>
      </x:c>
      <x:c r="O36" s="29" t="n">
        <x:v>1</x:v>
      </x:c>
      <x:c r="P36" s="29" t="n">
        <x:v>6</x:v>
      </x:c>
      <x:c r="Q36" s="29" t="n">
        <x:v>426</x:v>
      </x:c>
      <x:c r="R36" s="30" t="n">
        <x:v>-0.7239999033249309</x:v>
      </x:c>
      <x:c r="S36" s="30" t="n">
        <x:v>0.9107812639081152</x:v>
      </x:c>
      <x:c r="T36" s="30" t="n">
        <x:v>0.8983690707042878</x:v>
      </x:c>
      <x:c r="U36" s="28" t="str">
        <x:f>IF(AND(G36&gt;=80%,I36&gt;0,L36&gt;=1),"YES","")</x:f>
      </x:c>
      <x:c r="V36" s="31" t="n">
        <x:f>I36+0.4*K36-2*MAX(0,90%-G36)</x:f>
        <x:v>0</x:v>
      </x:c>
    </x:row>
    <x:row r="37">
      <x:c r="A37" s="35" t="n">
        <x:v>31</x:v>
      </x:c>
      <x:c r="B37" s="33" t="str">
        <x:v>Premarket rolling shock</x:v>
      </x:c>
      <x:c r="C37" s="33" t="str">
        <x:v>Skip when the worst premarket 15-minute candle is -0.2% or worse.</x:v>
      </x:c>
      <x:c r="D37" s="29" t="n">
        <x:v>169388.13200000004</x:v>
      </x:c>
      <x:c r="E37" s="29" t="n">
        <x:v>3110</x:v>
      </x:c>
      <x:c r="F37" s="30" t="n">
        <x:f>(D37/E37)^(1/('Methodology'!$B$4*7/365))-1</x:f>
        <x:v>0.6183329636296289</x:v>
      </x:c>
      <x:c r="G37" s="30" t="n">
        <x:f>F37/$F$6</x:f>
        <x:v>0.16126867059218644</x:v>
      </x:c>
      <x:c r="H37" s="30" t="n">
        <x:v>0.5876052570986994</x:v>
      </x:c>
      <x:c r="I37" s="30" t="n">
        <x:f>$H$6-H37</x:f>
        <x:v>0.32317600680941583</x:v>
      </x:c>
      <x:c r="J37" s="30" t="n">
        <x:v>0.537</x:v>
      </x:c>
      <x:c r="K37" s="30" t="n">
        <x:f>$J$6-J37</x:f>
        <x:v>0.374</x:v>
      </x:c>
      <x:c r="L37" s="29" t="n">
        <x:v>18</x:v>
      </x:c>
      <x:c r="M37" s="29" t="n">
        <x:v>18</x:v>
      </x:c>
      <x:c r="N37" s="29" t="n">
        <x:v>326</x:v>
      </x:c>
      <x:c r="O37" s="29" t="n">
        <x:v>140</x:v>
      </x:c>
      <x:c r="P37" s="29" t="n">
        <x:v>186</x:v>
      </x:c>
      <x:c r="Q37" s="29" t="n">
        <x:v>107</x:v>
      </x:c>
      <x:c r="R37" s="30" t="n">
        <x:v>-0.44954762365197903</x:v>
      </x:c>
      <x:c r="S37" s="30" t="n">
        <x:v>0.4495476236519791</x:v>
      </x:c>
      <x:c r="T37" s="30" t="n">
        <x:v>0.5876052570986994</x:v>
      </x:c>
      <x:c r="U37" s="28" t="str">
        <x:f>IF(AND(G37&gt;=80%,I37&gt;0,L37&gt;=1),"YES","")</x:f>
      </x:c>
      <x:c r="V37" s="31" t="n">
        <x:f>I37+0.4*K37-2*MAX(0,90%-G37)</x:f>
        <x:v>-1.0046866520062114</x:v>
      </x:c>
    </x:row>
    <x:row r="38">
      <x:c r="A38" s="35" t="n">
        <x:v>32</x:v>
      </x:c>
      <x:c r="B38" s="33" t="str">
        <x:v>Premarket rolling shock</x:v>
      </x:c>
      <x:c r="C38" s="33" t="str">
        <x:v>Skip when the worst premarket 15-minute candle is -0.3% or worse.</x:v>
      </x:c>
      <x:c r="D38" s="29" t="n">
        <x:v>247937.96200000003</x:v>
      </x:c>
      <x:c r="E38" s="29" t="n">
        <x:v>7135</x:v>
      </x:c>
      <x:c r="F38" s="30" t="n">
        <x:f>(D38/E38)^(1/('Methodology'!$B$4*7/365))-1</x:f>
        <x:v>0.5330793473951811</x:v>
      </x:c>
      <x:c r="G38" s="30" t="n">
        <x:f>F38/$F$6</x:f>
        <x:v>0.13903350254841854</x:v>
      </x:c>
      <x:c r="H38" s="30" t="n">
        <x:v>0.8309068966753386</x:v>
      </x:c>
      <x:c r="I38" s="30" t="n">
        <x:f>$H$6-H38</x:f>
        <x:v>0.07987436723277663</x:v>
      </x:c>
      <x:c r="J38" s="30" t="n">
        <x:v>0.818</x:v>
      </x:c>
      <x:c r="K38" s="30" t="n">
        <x:f>$J$6-J38</x:f>
        <x:v>0.09300000000000008</x:v>
      </x:c>
      <x:c r="L38" s="29" t="n">
        <x:v>14</x:v>
      </x:c>
      <x:c r="M38" s="29" t="n">
        <x:v>14</x:v>
      </x:c>
      <x:c r="N38" s="29" t="n">
        <x:v>216</x:v>
      </x:c>
      <x:c r="O38" s="29" t="n">
        <x:v>84</x:v>
      </x:c>
      <x:c r="P38" s="29" t="n">
        <x:v>132</x:v>
      </x:c>
      <x:c r="Q38" s="29" t="n">
        <x:v>217</x:v>
      </x:c>
      <x:c r="R38" s="30" t="n">
        <x:v>-0.6587245161082578</x:v>
      </x:c>
      <x:c r="S38" s="30" t="n">
        <x:v>0.8309068966753386</x:v>
      </x:c>
      <x:c r="T38" s="30" t="n">
        <x:v>0.7221938464744614</x:v>
      </x:c>
      <x:c r="U38" s="28" t="str">
        <x:f>IF(AND(G38&gt;=80%,I38&gt;0,L38&gt;=1),"YES","")</x:f>
      </x:c>
      <x:c r="V38" s="31" t="n">
        <x:f>I38+0.4*K38-2*MAX(0,90%-G38)</x:f>
        <x:v>-1.4048586276703863</x:v>
      </x:c>
    </x:row>
    <x:row r="39">
      <x:c r="A39" s="35" t="n">
        <x:v>33</x:v>
      </x:c>
      <x:c r="B39" s="33" t="str">
        <x:v>Premarket rolling shock</x:v>
      </x:c>
      <x:c r="C39" s="33" t="str">
        <x:v>Skip when the worst premarket 15-minute candle is -0.4% or worse.</x:v>
      </x:c>
      <x:c r="D39" s="29" t="n">
        <x:v>13892232.055999992</x:v>
      </x:c>
      <x:c r="E39" s="29" t="n">
        <x:v>9665</x:v>
      </x:c>
      <x:c r="F39" s="30" t="n">
        <x:f>(D39/E39)^(1/('Methodology'!$B$4*7/365))-1</x:f>
        <x:v>1.4001692721133603</x:v>
      </x:c>
      <x:c r="G39" s="30" t="n">
        <x:f>F39/$F$6</x:f>
        <x:v>0.3651809791803424</x:v>
      </x:c>
      <x:c r="H39" s="30" t="n">
        <x:v>0.8606344872778967</x:v>
      </x:c>
      <x:c r="I39" s="30" t="n">
        <x:f>$H$6-H39</x:f>
        <x:v>0.05014677663021849</x:v>
      </x:c>
      <x:c r="J39" s="30" t="n">
        <x:v>0.86</x:v>
      </x:c>
      <x:c r="K39" s="30" t="n">
        <x:f>$J$6-J39</x:f>
        <x:v>0.051000000000000045</x:v>
      </x:c>
      <x:c r="L39" s="29" t="n">
        <x:v>7</x:v>
      </x:c>
      <x:c r="M39" s="29" t="n">
        <x:v>9</x:v>
      </x:c>
      <x:c r="N39" s="29" t="n">
        <x:v>136</x:v>
      </x:c>
      <x:c r="O39" s="29" t="n">
        <x:v>53</x:v>
      </x:c>
      <x:c r="P39" s="29" t="n">
        <x:v>83</x:v>
      </x:c>
      <x:c r="Q39" s="29" t="n">
        <x:v>297</x:v>
      </x:c>
      <x:c r="R39" s="30" t="n">
        <x:v>-0.6904300057703407</x:v>
      </x:c>
      <x:c r="S39" s="30" t="n">
        <x:v>0.8606344872778967</x:v>
      </x:c>
      <x:c r="T39" s="30" t="n">
        <x:v>0.7968679188099008</x:v>
      </x:c>
      <x:c r="U39" s="28" t="str">
        <x:f>IF(AND(G39&gt;=80%,I39&gt;0,L39&gt;=1),"YES","")</x:f>
      </x:c>
      <x:c r="V39" s="31" t="n">
        <x:f>I39+0.4*K39-2*MAX(0,90%-G39)</x:f>
        <x:v>-0.9990912650090967</x:v>
      </x:c>
    </x:row>
    <x:row r="40">
      <x:c r="A40" s="35" t="n">
        <x:v>34</x:v>
      </x:c>
      <x:c r="B40" s="33" t="str">
        <x:v>Premarket rolling shock</x:v>
      </x:c>
      <x:c r="C40" s="33" t="str">
        <x:v>Skip when the worst premarket 15-minute candle is -0.5% or worse.</x:v>
      </x:c>
      <x:c r="D40" s="29" t="n">
        <x:v>5042072.060999991</x:v>
      </x:c>
      <x:c r="E40" s="29" t="n">
        <x:v>11505</x:v>
      </x:c>
      <x:c r="F40" s="30" t="n">
        <x:f>(D40/E40)^(1/('Methodology'!$B$4*7/365))-1</x:f>
        <x:v>1.0802824153745703</x:v>
      </x:c>
      <x:c r="G40" s="30" t="n">
        <x:f>F40/$F$6</x:f>
        <x:v>0.28175064122236476</x:v>
      </x:c>
      <x:c r="H40" s="30" t="n">
        <x:v>0.9070595928314227</x:v>
      </x:c>
      <x:c r="I40" s="30" t="n">
        <x:f>$H$6-H40</x:f>
        <x:v>0.003721671076692523</x:v>
      </x:c>
      <x:c r="J40" s="30" t="n">
        <x:v>0.907</x:v>
      </x:c>
      <x:c r="K40" s="30" t="n">
        <x:f>$J$6-J40</x:f>
        <x:v>0.0040000000000000036</x:v>
      </x:c>
      <x:c r="L40" s="29" t="n">
        <x:v>3</x:v>
      </x:c>
      <x:c r="M40" s="29" t="n">
        <x:v>3</x:v>
      </x:c>
      <x:c r="N40" s="29" t="n">
        <x:v>93</x:v>
      </x:c>
      <x:c r="O40" s="29" t="n">
        <x:v>32</x:v>
      </x:c>
      <x:c r="P40" s="29" t="n">
        <x:v>61</x:v>
      </x:c>
      <x:c r="Q40" s="29" t="n">
        <x:v>340</x:v>
      </x:c>
      <x:c r="R40" s="30" t="n">
        <x:v>-0.7003180275548962</x:v>
      </x:c>
      <x:c r="S40" s="30" t="n">
        <x:v>0.9070595928314227</x:v>
      </x:c>
      <x:c r="T40" s="30" t="n">
        <x:v>0.8922759563901752</x:v>
      </x:c>
      <x:c r="U40" s="28" t="str">
        <x:f>IF(AND(G40&gt;=80%,I40&gt;0,L40&gt;=1),"YES","")</x:f>
      </x:c>
      <x:c r="V40" s="31" t="n">
        <x:f>I40+0.4*K40-2*MAX(0,90%-G40)</x:f>
        <x:v>-1.2311770464785778</x:v>
      </x:c>
    </x:row>
    <x:row r="41">
      <x:c r="A41" s="35" t="n">
        <x:v>35</x:v>
      </x:c>
      <x:c r="B41" s="33" t="str">
        <x:v>Premarket rolling shock</x:v>
      </x:c>
      <x:c r="C41" s="33" t="str">
        <x:v>Skip when the worst premarket 15-minute candle is -0.6% or worse.</x:v>
      </x:c>
      <x:c r="D41" s="29" t="n">
        <x:v>18805179.830999993</x:v>
      </x:c>
      <x:c r="E41" s="29" t="n">
        <x:v>12655</x:v>
      </x:c>
      <x:c r="F41" s="30" t="n">
        <x:f>(D41/E41)^(1/('Methodology'!$B$4*7/365))-1</x:f>
        <x:v>1.4098021757006194</x:v>
      </x:c>
      <x:c r="G41" s="30" t="n">
        <x:f>F41/$F$6</x:f>
        <x:v>0.36769335624389243</x:v>
      </x:c>
      <x:c r="H41" s="30" t="n">
        <x:v>0.9107812639081152</x:v>
      </x:c>
      <x:c r="I41" s="30" t="n">
        <x:f>$H$6-H41</x:f>
        <x:v>0</x:v>
      </x:c>
      <x:c r="J41" s="30" t="n">
        <x:v>0.911</x:v>
      </x:c>
      <x:c r="K41" s="30" t="n">
        <x:f>$J$6-J41</x:f>
        <x:v>0</x:v>
      </x:c>
      <x:c r="L41" s="29" t="n">
        <x:v>2</x:v>
      </x:c>
      <x:c r="M41" s="29" t="n">
        <x:v>3</x:v>
      </x:c>
      <x:c r="N41" s="29" t="n">
        <x:v>62</x:v>
      </x:c>
      <x:c r="O41" s="29" t="n">
        <x:v>18</x:v>
      </x:c>
      <x:c r="P41" s="29" t="n">
        <x:v>44</x:v>
      </x:c>
      <x:c r="Q41" s="29" t="n">
        <x:v>371</x:v>
      </x:c>
      <x:c r="R41" s="30" t="n">
        <x:v>-0.6784679101815548</x:v>
      </x:c>
      <x:c r="S41" s="30" t="n">
        <x:v>0.9107812639081152</x:v>
      </x:c>
      <x:c r="T41" s="30" t="n">
        <x:v>0.8865397626269866</x:v>
      </x:c>
      <x:c r="U41" s="28" t="str">
        <x:f>IF(AND(G41&gt;=80%,I41&gt;0,L41&gt;=1),"YES","")</x:f>
      </x:c>
      <x:c r="V41" s="31" t="n">
        <x:f>I41+0.4*K41-2*MAX(0,90%-G41)</x:f>
        <x:v>-1.0646132875122152</x:v>
      </x:c>
    </x:row>
    <x:row r="42">
      <x:c r="A42" s="35" t="n">
        <x:v>36</x:v>
      </x:c>
      <x:c r="B42" s="33" t="str">
        <x:v>Premarket rolling shock</x:v>
      </x:c>
      <x:c r="C42" s="33" t="str">
        <x:v>Skip when the worst premarket 15-minute candle is -0.7% or worse.</x:v>
      </x:c>
      <x:c r="D42" s="29" t="n">
        <x:v>82074495.622</x:v>
      </x:c>
      <x:c r="E42" s="29" t="n">
        <x:v>13460</x:v>
      </x:c>
      <x:c r="F42" s="30" t="n">
        <x:f>(D42/E42)^(1/('Methodology'!$B$4*7/365))-1</x:f>
        <x:v>1.8563936884876937</x:v>
      </x:c>
      <x:c r="G42" s="30" t="n">
        <x:f>F42/$F$6</x:f>
        <x:v>0.4841697917587624</x:v>
      </x:c>
      <x:c r="H42" s="30" t="n">
        <x:v>0.9107812639081152</x:v>
      </x:c>
      <x:c r="I42" s="30" t="n">
        <x:f>$H$6-H42</x:f>
        <x:v>0</x:v>
      </x:c>
      <x:c r="J42" s="30" t="n">
        <x:v>0.911</x:v>
      </x:c>
      <x:c r="K42" s="30" t="n">
        <x:f>$J$6-J42</x:f>
        <x:v>0</x:v>
      </x:c>
      <x:c r="L42" s="29" t="n">
        <x:v>2</x:v>
      </x:c>
      <x:c r="M42" s="29" t="n">
        <x:v>3</x:v>
      </x:c>
      <x:c r="N42" s="29" t="n">
        <x:v>44</x:v>
      </x:c>
      <x:c r="O42" s="29" t="n">
        <x:v>10</x:v>
      </x:c>
      <x:c r="P42" s="29" t="n">
        <x:v>34</x:v>
      </x:c>
      <x:c r="Q42" s="29" t="n">
        <x:v>389</x:v>
      </x:c>
      <x:c r="R42" s="30" t="n">
        <x:v>-0.6784679101815548</x:v>
      </x:c>
      <x:c r="S42" s="30" t="n">
        <x:v>0.9107812639081152</x:v>
      </x:c>
      <x:c r="T42" s="30" t="n">
        <x:v>0.8925922182817034</x:v>
      </x:c>
      <x:c r="U42" s="28" t="str">
        <x:f>IF(AND(G42&gt;=80%,I42&gt;0,L42&gt;=1),"YES","")</x:f>
      </x:c>
      <x:c r="V42" s="31" t="n">
        <x:f>I42+0.4*K42-2*MAX(0,90%-G42)</x:f>
        <x:v>-0.8316604164824752</x:v>
      </x:c>
    </x:row>
    <x:row r="43">
      <x:c r="A43" s="35" t="n">
        <x:v>37</x:v>
      </x:c>
      <x:c r="B43" s="33" t="str">
        <x:v>Premarket rolling shock</x:v>
      </x:c>
      <x:c r="C43" s="33" t="str">
        <x:v>Skip when the worst premarket 15-minute candle is -0.8% or worse.</x:v>
      </x:c>
      <x:c r="D43" s="29" t="n">
        <x:v>222403179.6350003</x:v>
      </x:c>
      <x:c r="E43" s="29" t="n">
        <x:v>13805</x:v>
      </x:c>
      <x:c r="F43" s="30" t="n">
        <x:f>(D43/E43)^(1/('Methodology'!$B$4*7/365))-1</x:f>
        <x:v>2.2109180539944093</x:v>
      </x:c>
      <x:c r="G43" s="30" t="n">
        <x:f>F43/$F$6</x:f>
        <x:v>0.5766340084199536</x:v>
      </x:c>
      <x:c r="H43" s="30" t="n">
        <x:v>0.9107812639081152</x:v>
      </x:c>
      <x:c r="I43" s="30" t="n">
        <x:f>$H$6-H43</x:f>
        <x:v>0</x:v>
      </x:c>
      <x:c r="J43" s="30" t="n">
        <x:v>0.911</x:v>
      </x:c>
      <x:c r="K43" s="30" t="n">
        <x:f>$J$6-J43</x:f>
        <x:v>0</x:v>
      </x:c>
      <x:c r="L43" s="29" t="n">
        <x:v>1</x:v>
      </x:c>
      <x:c r="M43" s="29" t="n">
        <x:v>2</x:v>
      </x:c>
      <x:c r="N43" s="29" t="n">
        <x:v>27</x:v>
      </x:c>
      <x:c r="O43" s="29" t="n">
        <x:v>5</x:v>
      </x:c>
      <x:c r="P43" s="29" t="n">
        <x:v>22</x:v>
      </x:c>
      <x:c r="Q43" s="29" t="n">
        <x:v>406</x:v>
      </x:c>
      <x:c r="R43" s="30" t="n">
        <x:v>-0.7239991782258378</x:v>
      </x:c>
      <x:c r="S43" s="30" t="n">
        <x:v>0.9107812639081152</x:v>
      </x:c>
      <x:c r="T43" s="30" t="n">
        <x:v>0.9089140861447206</x:v>
      </x:c>
      <x:c r="U43" s="28" t="str">
        <x:f>IF(AND(G43&gt;=80%,I43&gt;0,L43&gt;=1),"YES","")</x:f>
      </x:c>
      <x:c r="V43" s="31" t="n">
        <x:f>I43+0.4*K43-2*MAX(0,90%-G43)</x:f>
        <x:v>-0.6467319831600928</x:v>
      </x:c>
    </x:row>
    <x:row r="44">
      <x:c r="A44" s="35" t="n">
        <x:v>38</x:v>
      </x:c>
      <x:c r="B44" s="33" t="str">
        <x:v>Premarket rolling shock</x:v>
      </x:c>
      <x:c r="C44" s="33" t="str">
        <x:v>Skip when the worst premarket 15-minute candle is -0.9% or worse.</x:v>
      </x:c>
      <x:c r="D44" s="29" t="n">
        <x:v>836501608.2980014</x:v>
      </x:c>
      <x:c r="E44" s="29" t="n">
        <x:v>13805</x:v>
      </x:c>
      <x:c r="F44" s="30" t="n">
        <x:f>(D44/E44)^(1/('Methodology'!$B$4*7/365))-1</x:f>
        <x:v>2.766268503807523</x:v>
      </x:c>
      <x:c r="G44" s="30" t="n">
        <x:f>F44/$F$6</x:f>
        <x:v>0.7214760822249964</x:v>
      </x:c>
      <x:c r="H44" s="30" t="n">
        <x:v>0.9107812639081152</x:v>
      </x:c>
      <x:c r="I44" s="30" t="n">
        <x:f>$H$6-H44</x:f>
        <x:v>0</x:v>
      </x:c>
      <x:c r="J44" s="30" t="n">
        <x:v>0.911</x:v>
      </x:c>
      <x:c r="K44" s="30" t="n">
        <x:f>$J$6-J44</x:f>
        <x:v>0</x:v>
      </x:c>
      <x:c r="L44" s="29" t="n">
        <x:v>1</x:v>
      </x:c>
      <x:c r="M44" s="29" t="n">
        <x:v>2</x:v>
      </x:c>
      <x:c r="N44" s="29" t="n">
        <x:v>18</x:v>
      </x:c>
      <x:c r="O44" s="29" t="n">
        <x:v>4</x:v>
      </x:c>
      <x:c r="P44" s="29" t="n">
        <x:v>14</x:v>
      </x:c>
      <x:c r="Q44" s="29" t="n">
        <x:v>415</x:v>
      </x:c>
      <x:c r="R44" s="30" t="n">
        <x:v>-0.7239998855724763</x:v>
      </x:c>
      <x:c r="S44" s="30" t="n">
        <x:v>0.9107812639081152</x:v>
      </x:c>
      <x:c r="T44" s="30" t="n">
        <x:v>0.898592089713762</x:v>
      </x:c>
      <x:c r="U44" s="28" t="str">
        <x:f>IF(AND(G44&gt;=80%,I44&gt;0,L44&gt;=1),"YES","")</x:f>
      </x:c>
      <x:c r="V44" s="31" t="n">
        <x:f>I44+0.4*K44-2*MAX(0,90%-G44)</x:f>
        <x:v>-0.3570478355500073</x:v>
      </x:c>
    </x:row>
    <x:row r="45">
      <x:c r="A45" s="35" t="n">
        <x:v>39</x:v>
      </x:c>
      <x:c r="B45" s="33" t="str">
        <x:v>Premarket rolling shock</x:v>
      </x:c>
      <x:c r="C45" s="33" t="str">
        <x:v>Skip when the worst premarket 15-minute candle is -1.0% or worse.</x:v>
      </x:c>
      <x:c r="D45" s="29" t="n">
        <x:v>2419572928.594999</x:v>
      </x:c>
      <x:c r="E45" s="29" t="n">
        <x:v>14150</x:v>
      </x:c>
      <x:c r="F45" s="30" t="n">
        <x:f>(D45/E45)^(1/('Methodology'!$B$4*7/365))-1</x:f>
        <x:v>3.267443468563357</x:v>
      </x:c>
      <x:c r="G45" s="30" t="n">
        <x:f>F45/$F$6</x:f>
        <x:v>0.8521885382225249</x:v>
      </x:c>
      <x:c r="H45" s="30" t="n">
        <x:v>0.9107812639081152</x:v>
      </x:c>
      <x:c r="I45" s="30" t="n">
        <x:f>$H$6-H45</x:f>
        <x:v>0</x:v>
      </x:c>
      <x:c r="J45" s="30" t="n">
        <x:v>0.911</x:v>
      </x:c>
      <x:c r="K45" s="30" t="n">
        <x:f>$J$6-J45</x:f>
        <x:v>0</x:v>
      </x:c>
      <x:c r="L45" s="29" t="n">
        <x:v>1</x:v>
      </x:c>
      <x:c r="M45" s="29" t="n">
        <x:v>1</x:v>
      </x:c>
      <x:c r="N45" s="29" t="n">
        <x:v>11</x:v>
      </x:c>
      <x:c r="O45" s="29" t="n">
        <x:v>1</x:v>
      </x:c>
      <x:c r="P45" s="29" t="n">
        <x:v>10</x:v>
      </x:c>
      <x:c r="Q45" s="29" t="n">
        <x:v>422</x:v>
      </x:c>
      <x:c r="R45" s="30" t="n">
        <x:v>-0.7239997938028407</x:v>
      </x:c>
      <x:c r="S45" s="30" t="n">
        <x:v>0.9107812639081152</x:v>
      </x:c>
      <x:c r="T45" s="30" t="n">
        <x:v>0.8985921398879588</x:v>
      </x:c>
      <x:c r="U45" s="28" t="str">
        <x:f>IF(AND(G45&gt;=80%,I45&gt;0,L45&gt;=1),"YES","")</x:f>
      </x:c>
      <x:c r="V45" s="31" t="n">
        <x:f>I45+0.4*K45-2*MAX(0,90%-G45)</x:f>
        <x:v>-0.09562292355495017</x:v>
      </x:c>
    </x:row>
    <x:row r="46">
      <x:c r="A46" s="35" t="n">
        <x:v>40</x:v>
      </x:c>
      <x:c r="B46" s="33" t="str">
        <x:v>Premarket rolling shock</x:v>
      </x:c>
      <x:c r="C46" s="33" t="str">
        <x:v>Skip when the worst premarket 15-minute candle is -1.1% or worse.</x:v>
      </x:c>
      <x:c r="D46" s="29" t="n">
        <x:v>2419572928.594999</x:v>
      </x:c>
      <x:c r="E46" s="29" t="n">
        <x:v>14150</x:v>
      </x:c>
      <x:c r="F46" s="30" t="n">
        <x:f>(D46/E46)^(1/('Methodology'!$B$4*7/365))-1</x:f>
        <x:v>3.267443468563357</x:v>
      </x:c>
      <x:c r="G46" s="30" t="n">
        <x:f>F46/$F$6</x:f>
        <x:v>0.8521885382225249</x:v>
      </x:c>
      <x:c r="H46" s="30" t="n">
        <x:v>0.9107812639081152</x:v>
      </x:c>
      <x:c r="I46" s="30" t="n">
        <x:f>$H$6-H46</x:f>
        <x:v>0</x:v>
      </x:c>
      <x:c r="J46" s="30" t="n">
        <x:v>0.911</x:v>
      </x:c>
      <x:c r="K46" s="30" t="n">
        <x:f>$J$6-J46</x:f>
        <x:v>0</x:v>
      </x:c>
      <x:c r="L46" s="29" t="n">
        <x:v>1</x:v>
      </x:c>
      <x:c r="M46" s="29" t="n">
        <x:v>1</x:v>
      </x:c>
      <x:c r="N46" s="29" t="n">
        <x:v>11</x:v>
      </x:c>
      <x:c r="O46" s="29" t="n">
        <x:v>1</x:v>
      </x:c>
      <x:c r="P46" s="29" t="n">
        <x:v>10</x:v>
      </x:c>
      <x:c r="Q46" s="29" t="n">
        <x:v>422</x:v>
      </x:c>
      <x:c r="R46" s="30" t="n">
        <x:v>-0.7239997938028407</x:v>
      </x:c>
      <x:c r="S46" s="30" t="n">
        <x:v>0.9107812639081152</x:v>
      </x:c>
      <x:c r="T46" s="30" t="n">
        <x:v>0.8985921398879588</x:v>
      </x:c>
      <x:c r="U46" s="28" t="str">
        <x:f>IF(AND(G46&gt;=80%,I46&gt;0,L46&gt;=1),"YES","")</x:f>
      </x:c>
      <x:c r="V46" s="31" t="n">
        <x:f>I46+0.4*K46-2*MAX(0,90%-G46)</x:f>
        <x:v>-0.09562292355495017</x:v>
      </x:c>
    </x:row>
    <x:row r="47">
      <x:c r="A47" s="35" t="n">
        <x:v>41</x:v>
      </x:c>
      <x:c r="B47" s="33" t="str">
        <x:v>Premarket rolling shock</x:v>
      </x:c>
      <x:c r="C47" s="33" t="str">
        <x:v>Skip when the worst premarket 30-minute candle is -0.2% or worse.</x:v>
      </x:c>
      <x:c r="D47" s="29" t="n">
        <x:v>52667.29499999999</x:v>
      </x:c>
      <x:c r="E47" s="29" t="n">
        <x:v>1615</x:v>
      </x:c>
      <x:c r="F47" s="30" t="n">
        <x:f>(D47/E47)^(1/('Methodology'!$B$4*7/365))-1</x:f>
        <x:v>0.5213996719544594</x:v>
      </x:c>
      <x:c r="G47" s="30" t="n">
        <x:f>F47/$F$6</x:f>
        <x:v>0.13598730277893376</x:v>
      </x:c>
      <x:c r="H47" s="30" t="n">
        <x:v>0.3263407735468158</x:v>
      </x:c>
      <x:c r="I47" s="30" t="n">
        <x:f>$H$6-H47</x:f>
        <x:v>0.5844404903612994</x:v>
      </x:c>
      <x:c r="J47" s="30" t="n">
        <x:v>0.308</x:v>
      </x:c>
      <x:c r="K47" s="30" t="n">
        <x:f>$J$6-J47</x:f>
        <x:v>0.603</x:v>
      </x:c>
      <x:c r="L47" s="29" t="n">
        <x:v>20</x:v>
      </x:c>
      <x:c r="M47" s="29" t="n">
        <x:v>20</x:v>
      </x:c>
      <x:c r="N47" s="29" t="n">
        <x:v>369</x:v>
      </x:c>
      <x:c r="O47" s="29" t="n">
        <x:v>161</x:v>
      </x:c>
      <x:c r="P47" s="29" t="n">
        <x:v>208</x:v>
      </x:c>
      <x:c r="Q47" s="29" t="n">
        <x:v>64</x:v>
      </x:c>
      <x:c r="R47" s="30" t="n">
        <x:v>-0.3075517476604268</x:v>
      </x:c>
      <x:c r="S47" s="30" t="n">
        <x:v>0.3075517476604268</x:v>
      </x:c>
      <x:c r="T47" s="30" t="n">
        <x:v>0.3263407735468158</x:v>
      </x:c>
      <x:c r="U47" s="28" t="str">
        <x:f>IF(AND(G47&gt;=80%,I47&gt;0,L47&gt;=1),"YES","")</x:f>
      </x:c>
      <x:c r="V47" s="31" t="n">
        <x:f>I47+0.4*K47-2*MAX(0,90%-G47)</x:f>
        <x:v>-0.7023849040808331</x:v>
      </x:c>
    </x:row>
    <x:row r="48">
      <x:c r="A48" s="35" t="n">
        <x:v>42</x:v>
      </x:c>
      <x:c r="B48" s="33" t="str">
        <x:v>Premarket rolling shock</x:v>
      </x:c>
      <x:c r="C48" s="33" t="str">
        <x:v>Skip when the worst premarket 30-minute candle is -0.3% or worse.</x:v>
      </x:c>
      <x:c r="D48" s="29" t="n">
        <x:v>48326.55100000001</x:v>
      </x:c>
      <x:c r="E48" s="29" t="n">
        <x:v>4835</x:v>
      </x:c>
      <x:c r="F48" s="30" t="n">
        <x:f>(D48/E48)^(1/('Methodology'!$B$4*7/365))-1</x:f>
        <x:v>0.3194621379871956</x:v>
      </x:c>
      <x:c r="G48" s="30" t="n">
        <x:f>F48/$F$6</x:f>
        <x:v>0.08331956620153898</x:v>
      </x:c>
      <x:c r="H48" s="30" t="n">
        <x:v>0.7284363703436612</x:v>
      </x:c>
      <x:c r="I48" s="30" t="n">
        <x:f>$H$6-H48</x:f>
        <x:v>0.18234489356445405</x:v>
      </x:c>
      <x:c r="J48" s="30" t="n">
        <x:v>0.721</x:v>
      </x:c>
      <x:c r="K48" s="30" t="n">
        <x:f>$J$6-J48</x:f>
        <x:v>0.19000000000000006</x:v>
      </x:c>
      <x:c r="L48" s="29" t="n">
        <x:v>15</x:v>
      </x:c>
      <x:c r="M48" s="29" t="n">
        <x:v>15</x:v>
      </x:c>
      <x:c r="N48" s="29" t="n">
        <x:v>269</x:v>
      </x:c>
      <x:c r="O48" s="29" t="n">
        <x:v>107</x:v>
      </x:c>
      <x:c r="P48" s="29" t="n">
        <x:v>162</x:v>
      </x:c>
      <x:c r="Q48" s="29" t="n">
        <x:v>164</x:v>
      </x:c>
      <x:c r="R48" s="30" t="n">
        <x:v>-0.4685722560204289</x:v>
      </x:c>
      <x:c r="S48" s="30" t="n">
        <x:v>0.7284363703436612</x:v>
      </x:c>
      <x:c r="T48" s="30" t="n">
        <x:v>0.7210852535390386</x:v>
      </x:c>
      <x:c r="U48" s="28" t="str">
        <x:f>IF(AND(G48&gt;=80%,I48&gt;0,L48&gt;=1),"YES","")</x:f>
      </x:c>
      <x:c r="V48" s="31" t="n">
        <x:f>I48+0.4*K48-2*MAX(0,90%-G48)</x:f>
        <x:v>-1.375015974032468</x:v>
      </x:c>
    </x:row>
    <x:row r="49">
      <x:c r="A49" s="35" t="n">
        <x:v>43</x:v>
      </x:c>
      <x:c r="B49" s="33" t="str">
        <x:v>Premarket rolling shock</x:v>
      </x:c>
      <x:c r="C49" s="33" t="str">
        <x:v>Skip when the worst premarket 30-minute candle is -0.4% or worse.</x:v>
      </x:c>
      <x:c r="D49" s="29" t="n">
        <x:v>467187.92299999995</x:v>
      </x:c>
      <x:c r="E49" s="29" t="n">
        <x:v>8285</x:v>
      </x:c>
      <x:c r="F49" s="30" t="n">
        <x:f>(D49/E49)^(1/('Methodology'!$B$4*7/365))-1</x:f>
        <x:v>0.6251124886446855</x:v>
      </x:c>
      <x:c r="G49" s="30" t="n">
        <x:f>F49/$F$6</x:f>
        <x:v>0.16303685222042572</x:v>
      </x:c>
      <x:c r="H49" s="30" t="n">
        <x:v>0.7675405310685407</x:v>
      </x:c>
      <x:c r="I49" s="30" t="n">
        <x:f>$H$6-H49</x:f>
        <x:v>0.1432407328395745</x:v>
      </x:c>
      <x:c r="J49" s="30" t="n">
        <x:v>0.724</x:v>
      </x:c>
      <x:c r="K49" s="30" t="n">
        <x:f>$J$6-J49</x:f>
        <x:v>0.18700000000000006</x:v>
      </x:c>
      <x:c r="L49" s="29" t="n">
        <x:v>11</x:v>
      </x:c>
      <x:c r="M49" s="29" t="n">
        <x:v>13</x:v>
      </x:c>
      <x:c r="N49" s="29" t="n">
        <x:v>193</x:v>
      </x:c>
      <x:c r="O49" s="29" t="n">
        <x:v>71</x:v>
      </x:c>
      <x:c r="P49" s="29" t="n">
        <x:v>122</x:v>
      </x:c>
      <x:c r="Q49" s="29" t="n">
        <x:v>240</x:v>
      </x:c>
      <x:c r="R49" s="30" t="n">
        <x:v>-0.6587245161082578</x:v>
      </x:c>
      <x:c r="S49" s="30" t="n">
        <x:v>0.7010249041707314</x:v>
      </x:c>
      <x:c r="T49" s="30" t="n">
        <x:v>0.7675405310685407</x:v>
      </x:c>
      <x:c r="U49" s="28" t="str">
        <x:f>IF(AND(G49&gt;=80%,I49&gt;0,L49&gt;=1),"YES","")</x:f>
      </x:c>
      <x:c r="V49" s="31" t="n">
        <x:f>I49+0.4*K49-2*MAX(0,90%-G49)</x:f>
        <x:v>-1.255885562719574</x:v>
      </x:c>
    </x:row>
    <x:row r="50">
      <x:c r="A50" s="35" t="n">
        <x:v>44</x:v>
      </x:c>
      <x:c r="B50" s="33" t="str">
        <x:v>Premarket rolling shock</x:v>
      </x:c>
      <x:c r="C50" s="33" t="str">
        <x:v>Skip when the worst premarket 30-minute candle is -0.5% or worse.</x:v>
      </x:c>
      <x:c r="D50" s="29" t="n">
        <x:v>30326687.706</x:v>
      </x:c>
      <x:c r="E50" s="29" t="n">
        <x:v>10355</x:v>
      </x:c>
      <x:c r="F50" s="30" t="n">
        <x:f>(D50/E50)^(1/('Methodology'!$B$4*7/365))-1</x:f>
        <x:v>1.614959529305386</x:v>
      </x:c>
      <x:c r="G50" s="30" t="n">
        <x:f>F50/$F$6</x:f>
        <x:v>0.4212008604918294</x:v>
      </x:c>
      <x:c r="H50" s="30" t="n">
        <x:v>0.8328443159778184</x:v>
      </x:c>
      <x:c r="I50" s="30" t="n">
        <x:f>$H$6-H50</x:f>
        <x:v>0.07793694793029682</x:v>
      </x:c>
      <x:c r="J50" s="30" t="n">
        <x:v>0.838</x:v>
      </x:c>
      <x:c r="K50" s="30" t="n">
        <x:f>$J$6-J50</x:f>
        <x:v>0.07300000000000006</x:v>
      </x:c>
      <x:c r="L50" s="29" t="n">
        <x:v>9</x:v>
      </x:c>
      <x:c r="M50" s="29" t="n">
        <x:v>9</x:v>
      </x:c>
      <x:c r="N50" s="29" t="n">
        <x:v>132</x:v>
      </x:c>
      <x:c r="O50" s="29" t="n">
        <x:v>51</x:v>
      </x:c>
      <x:c r="P50" s="29" t="n">
        <x:v>81</x:v>
      </x:c>
      <x:c r="Q50" s="29" t="n">
        <x:v>301</x:v>
      </x:c>
      <x:c r="R50" s="30" t="n">
        <x:v>-0.6541645658473957</x:v>
      </x:c>
      <x:c r="S50" s="30" t="n">
        <x:v>0.8328443159778184</x:v>
      </x:c>
      <x:c r="T50" s="30" t="n">
        <x:v>0.7682612381284336</x:v>
      </x:c>
      <x:c r="U50" s="28" t="str">
        <x:f>IF(AND(G50&gt;=80%,I50&gt;0,L50&gt;=1),"YES","")</x:f>
      </x:c>
      <x:c r="V50" s="31" t="n">
        <x:f>I50+0.4*K50-2*MAX(0,90%-G50)</x:f>
        <x:v>-0.8504613310860444</x:v>
      </x:c>
    </x:row>
    <x:row r="51">
      <x:c r="A51" s="35" t="n">
        <x:v>45</x:v>
      </x:c>
      <x:c r="B51" s="33" t="str">
        <x:v>Premarket rolling shock</x:v>
      </x:c>
      <x:c r="C51" s="33" t="str">
        <x:v>Skip when the worst premarket 30-minute candle is -0.6% or worse.</x:v>
      </x:c>
      <x:c r="D51" s="29" t="n">
        <x:v>4215521.934999998</x:v>
      </x:c>
      <x:c r="E51" s="29" t="n">
        <x:v>11275</x:v>
      </x:c>
      <x:c r="F51" s="30" t="n">
        <x:f>(D51/E51)^(1/('Methodology'!$B$4*7/365))-1</x:f>
        <x:v>1.04086674750762</x:v>
      </x:c>
      <x:c r="G51" s="30" t="n">
        <x:f>F51/$F$6</x:f>
        <x:v>0.2714705611824889</x:v>
      </x:c>
      <x:c r="H51" s="30" t="n">
        <x:v>0.8870434685189335</x:v>
      </x:c>
      <x:c r="I51" s="30" t="n">
        <x:f>$H$6-H51</x:f>
        <x:v>0.02373779538918175</x:v>
      </x:c>
      <x:c r="J51" s="30" t="n">
        <x:v>0.887</x:v>
      </x:c>
      <x:c r="K51" s="30" t="n">
        <x:f>$J$6-J51</x:f>
        <x:v>0.02400000000000002</x:v>
      </x:c>
      <x:c r="L51" s="29" t="n">
        <x:v>4</x:v>
      </x:c>
      <x:c r="M51" s="29" t="n">
        <x:v>4</x:v>
      </x:c>
      <x:c r="N51" s="29" t="n">
        <x:v>93</x:v>
      </x:c>
      <x:c r="O51" s="29" t="n">
        <x:v>31</x:v>
      </x:c>
      <x:c r="P51" s="29" t="n">
        <x:v>62</x:v>
      </x:c>
      <x:c r="Q51" s="29" t="n">
        <x:v>340</x:v>
      </x:c>
      <x:c r="R51" s="30" t="n">
        <x:v>-0.7116780089589995</x:v>
      </x:c>
      <x:c r="S51" s="30" t="n">
        <x:v>0.8870434685189335</x:v>
      </x:c>
      <x:c r="T51" s="30" t="n">
        <x:v>0.8020442507102634</x:v>
      </x:c>
      <x:c r="U51" s="28" t="str">
        <x:f>IF(AND(G51&gt;=80%,I51&gt;0,L51&gt;=1),"YES","")</x:f>
      </x:c>
      <x:c r="V51" s="31" t="n">
        <x:f>I51+0.4*K51-2*MAX(0,90%-G51)</x:f>
        <x:v>-1.2237210822458404</x:v>
      </x:c>
    </x:row>
    <x:row r="52">
      <x:c r="A52" s="35" t="n">
        <x:v>46</x:v>
      </x:c>
      <x:c r="B52" s="33" t="str">
        <x:v>Premarket rolling shock</x:v>
      </x:c>
      <x:c r="C52" s="33" t="str">
        <x:v>Skip when the worst premarket 30-minute candle is -0.7% or worse.</x:v>
      </x:c>
      <x:c r="D52" s="29" t="n">
        <x:v>42230501.25899996</x:v>
      </x:c>
      <x:c r="E52" s="29" t="n">
        <x:v>11965</x:v>
      </x:c>
      <x:c r="F52" s="30" t="n">
        <x:f>(D52/E52)^(1/('Methodology'!$B$4*7/365))-1</x:f>
        <x:v>1.6743844204207816</x:v>
      </x:c>
      <x:c r="G52" s="30" t="n">
        <x:f>F52/$F$6</x:f>
        <x:v>0.43669958650832813</x:v>
      </x:c>
      <x:c r="H52" s="30" t="n">
        <x:v>0.8870434685189335</x:v>
      </x:c>
      <x:c r="I52" s="30" t="n">
        <x:f>$H$6-H52</x:f>
        <x:v>0.02373779538918175</x:v>
      </x:c>
      <x:c r="J52" s="30" t="n">
        <x:v>0.887</x:v>
      </x:c>
      <x:c r="K52" s="30" t="n">
        <x:f>$J$6-J52</x:f>
        <x:v>0.02400000000000002</x:v>
      </x:c>
      <x:c r="L52" s="29" t="n">
        <x:v>4</x:v>
      </x:c>
      <x:c r="M52" s="29" t="n">
        <x:v>4</x:v>
      </x:c>
      <x:c r="N52" s="29" t="n">
        <x:v>70</x:v>
      </x:c>
      <x:c r="O52" s="29" t="n">
        <x:v>24</x:v>
      </x:c>
      <x:c r="P52" s="29" t="n">
        <x:v>46</x:v>
      </x:c>
      <x:c r="Q52" s="29" t="n">
        <x:v>363</x:v>
      </x:c>
      <x:c r="R52" s="30" t="n">
        <x:v>-0.7116780089589995</x:v>
      </x:c>
      <x:c r="S52" s="30" t="n">
        <x:v>0.8870434685189335</x:v>
      </x:c>
      <x:c r="T52" s="30" t="n">
        <x:v>0.812980838109923</x:v>
      </x:c>
      <x:c r="U52" s="28" t="str">
        <x:f>IF(AND(G52&gt;=80%,I52&gt;0,L52&gt;=1),"YES","")</x:f>
      </x:c>
      <x:c r="V52" s="31" t="n">
        <x:f>I52+0.4*K52-2*MAX(0,90%-G52)</x:f>
        <x:v>-0.893263031594162</x:v>
      </x:c>
    </x:row>
    <x:row r="53">
      <x:c r="A53" s="35" t="n">
        <x:v>47</x:v>
      </x:c>
      <x:c r="B53" s="33" t="str">
        <x:v>Premarket rolling shock</x:v>
      </x:c>
      <x:c r="C53" s="33" t="str">
        <x:v>Skip when the worst premarket 30-minute candle is -0.8% or worse.</x:v>
      </x:c>
      <x:c r="D53" s="29" t="n">
        <x:v>99978851.04999994</x:v>
      </x:c>
      <x:c r="E53" s="29" t="n">
        <x:v>13115</x:v>
      </x:c>
      <x:c r="F53" s="30" t="n">
        <x:f>(D53/E53)^(1/('Methodology'!$B$4*7/365))-1</x:f>
        <x:v>1.9342439675357919</x:v>
      </x:c>
      <x:c r="G53" s="30" t="n">
        <x:f>F53/$F$6</x:f>
        <x:v>0.5044740804604685</x:v>
      </x:c>
      <x:c r="H53" s="30" t="n">
        <x:v>0.9107812639081152</x:v>
      </x:c>
      <x:c r="I53" s="30" t="n">
        <x:f>$H$6-H53</x:f>
        <x:v>0</x:v>
      </x:c>
      <x:c r="J53" s="30" t="n">
        <x:v>0.911</x:v>
      </x:c>
      <x:c r="K53" s="30" t="n">
        <x:f>$J$6-J53</x:f>
        <x:v>0</x:v>
      </x:c>
      <x:c r="L53" s="29" t="n">
        <x:v>2</x:v>
      </x:c>
      <x:c r="M53" s="29" t="n">
        <x:v>3</x:v>
      </x:c>
      <x:c r="N53" s="29" t="n">
        <x:v>52</x:v>
      </x:c>
      <x:c r="O53" s="29" t="n">
        <x:v>15</x:v>
      </x:c>
      <x:c r="P53" s="29" t="n">
        <x:v>37</x:v>
      </x:c>
      <x:c r="Q53" s="29" t="n">
        <x:v>381</x:v>
      </x:c>
      <x:c r="R53" s="30" t="n">
        <x:v>-0.6784679101815548</x:v>
      </x:c>
      <x:c r="S53" s="30" t="n">
        <x:v>0.9107812639081152</x:v>
      </x:c>
      <x:c r="T53" s="30" t="n">
        <x:v>0.9079677205810597</x:v>
      </x:c>
      <x:c r="U53" s="28" t="str">
        <x:f>IF(AND(G53&gt;=80%,I53&gt;0,L53&gt;=1),"YES","")</x:f>
      </x:c>
      <x:c r="V53" s="31" t="n">
        <x:f>I53+0.4*K53-2*MAX(0,90%-G53)</x:f>
        <x:v>-0.7910518390790631</x:v>
      </x:c>
    </x:row>
    <x:row r="54">
      <x:c r="A54" s="35" t="n">
        <x:v>48</x:v>
      </x:c>
      <x:c r="B54" s="33" t="str">
        <x:v>Premarket rolling shock</x:v>
      </x:c>
      <x:c r="C54" s="33" t="str">
        <x:v>Skip when the worst premarket 30-minute candle is -0.9% or worse.</x:v>
      </x:c>
      <x:c r="D54" s="29" t="n">
        <x:v>44962564.37800002</x:v>
      </x:c>
      <x:c r="E54" s="29" t="n">
        <x:v>13575</x:v>
      </x:c>
      <x:c r="F54" s="30" t="n">
        <x:f>(D54/E54)^(1/('Methodology'!$B$4*7/365))-1</x:f>
        <x:v>1.6539937830854887</x:v>
      </x:c>
      <x:c r="G54" s="30" t="n">
        <x:f>F54/$F$6</x:f>
        <x:v>0.43138146315244674</x:v>
      </x:c>
      <x:c r="H54" s="30" t="n">
        <x:v>0.9107812639081152</x:v>
      </x:c>
      <x:c r="I54" s="30" t="n">
        <x:f>$H$6-H54</x:f>
        <x:v>0</x:v>
      </x:c>
      <x:c r="J54" s="30" t="n">
        <x:v>0.911</x:v>
      </x:c>
      <x:c r="K54" s="30" t="n">
        <x:f>$J$6-J54</x:f>
        <x:v>0</x:v>
      </x:c>
      <x:c r="L54" s="29" t="n">
        <x:v>1</x:v>
      </x:c>
      <x:c r="M54" s="29" t="n">
        <x:v>2</x:v>
      </x:c>
      <x:c r="N54" s="29" t="n">
        <x:v>35</x:v>
      </x:c>
      <x:c r="O54" s="29" t="n">
        <x:v>6</x:v>
      </x:c>
      <x:c r="P54" s="29" t="n">
        <x:v>29</x:v>
      </x:c>
      <x:c r="Q54" s="29" t="n">
        <x:v>398</x:v>
      </x:c>
      <x:c r="R54" s="30" t="n">
        <x:v>-0.7239958654219545</x:v>
      </x:c>
      <x:c r="S54" s="30" t="n">
        <x:v>0.9107812639081152</x:v>
      </x:c>
      <x:c r="T54" s="30" t="n">
        <x:v>0.8985848534958827</x:v>
      </x:c>
      <x:c r="U54" s="28" t="str">
        <x:f>IF(AND(G54&gt;=80%,I54&gt;0,L54&gt;=1),"YES","")</x:f>
      </x:c>
      <x:c r="V54" s="31" t="n">
        <x:f>I54+0.4*K54-2*MAX(0,90%-G54)</x:f>
        <x:v>-0.9372370736951066</x:v>
      </x:c>
    </x:row>
    <x:row r="55">
      <x:c r="A55" s="35" t="n">
        <x:v>49</x:v>
      </x:c>
      <x:c r="B55" s="33" t="str">
        <x:v>Premarket rolling shock</x:v>
      </x:c>
      <x:c r="C55" s="33" t="str">
        <x:v>Skip when the worst premarket 30-minute candle is -1.0% or worse.</x:v>
      </x:c>
      <x:c r="D55" s="29" t="n">
        <x:v>474948928.8299999</x:v>
      </x:c>
      <x:c r="E55" s="29" t="n">
        <x:v>13805</x:v>
      </x:c>
      <x:c r="F55" s="30" t="n">
        <x:f>(D55/E55)^(1/('Methodology'!$B$4*7/365))-1</x:f>
        <x:v>2.5181073226696857</x:v>
      </x:c>
      <x:c r="G55" s="30" t="n">
        <x:f>F55/$F$6</x:f>
        <x:v>0.6567526627589473</x:v>
      </x:c>
      <x:c r="H55" s="30" t="n">
        <x:v>0.9107812639081152</x:v>
      </x:c>
      <x:c r="I55" s="30" t="n">
        <x:f>$H$6-H55</x:f>
        <x:v>0</x:v>
      </x:c>
      <x:c r="J55" s="30" t="n">
        <x:v>0.911</x:v>
      </x:c>
      <x:c r="K55" s="30" t="n">
        <x:f>$J$6-J55</x:f>
        <x:v>0</x:v>
      </x:c>
      <x:c r="L55" s="29" t="n">
        <x:v>1</x:v>
      </x:c>
      <x:c r="M55" s="29" t="n">
        <x:v>2</x:v>
      </x:c>
      <x:c r="N55" s="29" t="n">
        <x:v>23</x:v>
      </x:c>
      <x:c r="O55" s="29" t="n">
        <x:v>5</x:v>
      </x:c>
      <x:c r="P55" s="29" t="n">
        <x:v>18</x:v>
      </x:c>
      <x:c r="Q55" s="29" t="n">
        <x:v>410</x:v>
      </x:c>
      <x:c r="R55" s="30" t="n">
        <x:v>-0.7239986788687665</x:v>
      </x:c>
      <x:c r="S55" s="30" t="n">
        <x:v>0.9107812639081152</x:v>
      </x:c>
      <x:c r="T55" s="30" t="n">
        <x:v>0.8985907035890898</x:v>
      </x:c>
      <x:c r="U55" s="28" t="str">
        <x:f>IF(AND(G55&gt;=80%,I55&gt;0,L55&gt;=1),"YES","")</x:f>
      </x:c>
      <x:c r="V55" s="31" t="n">
        <x:f>I55+0.4*K55-2*MAX(0,90%-G55)</x:f>
        <x:v>-0.4864946744821055</x:v>
      </x:c>
    </x:row>
    <x:row r="56">
      <x:c r="A56" s="35" t="n">
        <x:v>50</x:v>
      </x:c>
      <x:c r="B56" s="33" t="str">
        <x:v>Premarket rolling shock</x:v>
      </x:c>
      <x:c r="C56" s="33" t="str">
        <x:v>Skip when the worst premarket 30-minute candle is -1.1% or worse.</x:v>
      </x:c>
      <x:c r="D56" s="29" t="n">
        <x:v>1834755854.7640007</x:v>
      </x:c>
      <x:c r="E56" s="29" t="n">
        <x:v>13920</x:v>
      </x:c>
      <x:c r="F56" s="30" t="n">
        <x:f>(D56/E56)^(1/('Methodology'!$B$4*7/365))-1</x:f>
        <x:v>3.1357554487493795</x:v>
      </x:c>
      <x:c r="G56" s="30" t="n">
        <x:f>F56/$F$6</x:f>
        <x:v>0.8178427194849065</x:v>
      </x:c>
      <x:c r="H56" s="30" t="n">
        <x:v>0.9107812639081152</x:v>
      </x:c>
      <x:c r="I56" s="30" t="n">
        <x:f>$H$6-H56</x:f>
        <x:v>0</x:v>
      </x:c>
      <x:c r="J56" s="30" t="n">
        <x:v>0.911</x:v>
      </x:c>
      <x:c r="K56" s="30" t="n">
        <x:f>$J$6-J56</x:f>
        <x:v>0</x:v>
      </x:c>
      <x:c r="L56" s="29" t="n">
        <x:v>1</x:v>
      </x:c>
      <x:c r="M56" s="29" t="n">
        <x:v>2</x:v>
      </x:c>
      <x:c r="N56" s="29" t="n">
        <x:v>18</x:v>
      </x:c>
      <x:c r="O56" s="29" t="n">
        <x:v>5</x:v>
      </x:c>
      <x:c r="P56" s="29" t="n">
        <x:v>13</x:v>
      </x:c>
      <x:c r="Q56" s="29" t="n">
        <x:v>415</x:v>
      </x:c>
      <x:c r="R56" s="30" t="n">
        <x:v>-0.7239996934115779</x:v>
      </x:c>
      <x:c r="S56" s="30" t="n">
        <x:v>0.9107812639081152</x:v>
      </x:c>
      <x:c r="T56" s="30" t="n">
        <x:v>0.8985920090185902</x:v>
      </x:c>
      <x:c r="U56" s="28" t="str">
        <x:f>IF(AND(G56&gt;=80%,I56&gt;0,L56&gt;=1),"YES","")</x:f>
      </x:c>
      <x:c r="V56" s="31" t="n">
        <x:f>I56+0.4*K56-2*MAX(0,90%-G56)</x:f>
        <x:v>-0.16431456103018705</x:v>
      </x:c>
    </x:row>
    <x:row r="57">
      <x:c r="A57" s="35" t="n">
        <x:v>51</x:v>
      </x:c>
      <x:c r="B57" s="33" t="str">
        <x:v>Premarket rolling shock</x:v>
      </x:c>
      <x:c r="C57" s="33" t="str">
        <x:v>Skip when the worst premarket 60-minute candle is -0.2% or worse.</x:v>
      </x:c>
      <x:c r="D57" s="29" t="n">
        <x:v>6887.98</x:v>
      </x:c>
      <x:c r="E57" s="29" t="n">
        <x:v>1040</x:v>
      </x:c>
      <x:c r="F57" s="30" t="n">
        <x:f>(D57/E57)^(1/('Methodology'!$B$4*7/365))-1</x:f>
        <x:v>0.2556649159087345</x:v>
      </x:c>
      <x:c r="G57" s="30" t="n">
        <x:f>F57/$F$6</x:f>
        <x:v>0.06668048370515352</x:v>
      </x:c>
      <x:c r="H57" s="30" t="n">
        <x:v>0.3220765147254053</x:v>
      </x:c>
      <x:c r="I57" s="30" t="n">
        <x:f>$H$6-H57</x:f>
        <x:v>0.5887047491827099</x:v>
      </x:c>
      <x:c r="J57" s="30" t="n">
        <x:v>0.294</x:v>
      </x:c>
      <x:c r="K57" s="30" t="n">
        <x:f>$J$6-J57</x:f>
        <x:v>0.617</x:v>
      </x:c>
      <x:c r="L57" s="29" t="n">
        <x:v>20</x:v>
      </x:c>
      <x:c r="M57" s="29" t="n">
        <x:v>20</x:v>
      </x:c>
      <x:c r="N57" s="29" t="n">
        <x:v>395</x:v>
      </x:c>
      <x:c r="O57" s="29" t="n">
        <x:v>170</x:v>
      </x:c>
      <x:c r="P57" s="29" t="n">
        <x:v>225</x:v>
      </x:c>
      <x:c r="Q57" s="29" t="n">
        <x:v>38</x:v>
      </x:c>
      <x:c r="R57" s="30" t="n">
        <x:v>-0.2941942748696551</x:v>
      </x:c>
      <x:c r="S57" s="30" t="n">
        <x:v>0.16438410232899114</x:v>
      </x:c>
      <x:c r="T57" s="30" t="n">
        <x:v>0.3220765147254053</x:v>
      </x:c>
      <x:c r="U57" s="28" t="str">
        <x:f>IF(AND(G57&gt;=80%,I57&gt;0,L57&gt;=1),"YES","")</x:f>
      </x:c>
      <x:c r="V57" s="31" t="n">
        <x:f>I57+0.4*K57-2*MAX(0,90%-G57)</x:f>
        <x:v>-0.831134283406983</x:v>
      </x:c>
    </x:row>
    <x:row r="58">
      <x:c r="A58" s="35" t="n">
        <x:v>52</x:v>
      </x:c>
      <x:c r="B58" s="33" t="str">
        <x:v>Premarket rolling shock</x:v>
      </x:c>
      <x:c r="C58" s="33" t="str">
        <x:v>Skip when the worst premarket 60-minute candle is -0.3% or worse.</x:v>
      </x:c>
      <x:c r="D58" s="29" t="n">
        <x:v>233147.42100000003</x:v>
      </x:c>
      <x:c r="E58" s="29" t="n">
        <x:v>3110</x:v>
      </x:c>
      <x:c r="F58" s="30" t="n">
        <x:f>(D58/E58)^(1/('Methodology'!$B$4*7/365))-1</x:f>
        <x:v>0.6818071337045157</x:v>
      </x:c>
      <x:c r="G58" s="30" t="n">
        <x:f>F58/$F$6</x:f>
        <x:v>0.17782349724226743</x:v>
      </x:c>
      <x:c r="H58" s="30" t="n">
        <x:v>0.5879354870812282</x:v>
      </x:c>
      <x:c r="I58" s="30" t="n">
        <x:f>$H$6-H58</x:f>
        <x:v>0.322845776826887</x:v>
      </x:c>
      <x:c r="J58" s="30" t="n">
        <x:v>0.537</x:v>
      </x:c>
      <x:c r="K58" s="30" t="n">
        <x:f>$J$6-J58</x:f>
        <x:v>0.374</x:v>
      </x:c>
      <x:c r="L58" s="29" t="n">
        <x:v>18</x:v>
      </x:c>
      <x:c r="M58" s="29" t="n">
        <x:v>19</x:v>
      </x:c>
      <x:c r="N58" s="29" t="n">
        <x:v>316</x:v>
      </x:c>
      <x:c r="O58" s="29" t="n">
        <x:v>136</x:v>
      </x:c>
      <x:c r="P58" s="29" t="n">
        <x:v>180</x:v>
      </x:c>
      <x:c r="Q58" s="29" t="n">
        <x:v>117</x:v>
      </x:c>
      <x:c r="R58" s="30" t="n">
        <x:v>-0.45119697105975626</x:v>
      </x:c>
      <x:c r="S58" s="30" t="n">
        <x:v>0.5332455451040226</x:v>
      </x:c>
      <x:c r="T58" s="30" t="n">
        <x:v>0.5879354870812282</x:v>
      </x:c>
      <x:c r="U58" s="28" t="str">
        <x:f>IF(AND(G58&gt;=80%,I58&gt;0,L58&gt;=1),"YES","")</x:f>
      </x:c>
      <x:c r="V58" s="31" t="n">
        <x:f>I58+0.4*K58-2*MAX(0,90%-G58)</x:f>
        <x:v>-0.9719072286885782</x:v>
      </x:c>
    </x:row>
    <x:row r="59">
      <x:c r="A59" s="35" t="n">
        <x:v>53</x:v>
      </x:c>
      <x:c r="B59" s="33" t="str">
        <x:v>Premarket rolling shock</x:v>
      </x:c>
      <x:c r="C59" s="33" t="str">
        <x:v>Skip when the worst premarket 60-minute candle is -0.4% or worse.</x:v>
      </x:c>
      <x:c r="D59" s="29" t="n">
        <x:v>86865.14399999999</x:v>
      </x:c>
      <x:c r="E59" s="29" t="n">
        <x:v>6330</x:v>
      </x:c>
      <x:c r="F59" s="30" t="n">
        <x:f>(D59/E59)^(1/('Methodology'!$B$4*7/365))-1</x:f>
        <x:v>0.3707976935185957</x:v>
      </x:c>
      <x:c r="G59" s="30" t="n">
        <x:f>F59/$F$6</x:f>
        <x:v>0.0967084962467098</x:v>
      </x:c>
      <x:c r="H59" s="30" t="n">
        <x:v>0.7220140350874952</x:v>
      </x:c>
      <x:c r="I59" s="30" t="n">
        <x:f>$H$6-H59</x:f>
        <x:v>0.18876722882062003</x:v>
      </x:c>
      <x:c r="J59" s="30" t="n">
        <x:v>0.722</x:v>
      </x:c>
      <x:c r="K59" s="30" t="n">
        <x:f>$J$6-J59</x:f>
        <x:v>0.18900000000000006</x:v>
      </x:c>
      <x:c r="L59" s="29" t="n">
        <x:v>13</x:v>
      </x:c>
      <x:c r="M59" s="29" t="n">
        <x:v>14</x:v>
      </x:c>
      <x:c r="N59" s="29" t="n">
        <x:v>235</x:v>
      </x:c>
      <x:c r="O59" s="29" t="n">
        <x:v>92</x:v>
      </x:c>
      <x:c r="P59" s="29" t="n">
        <x:v>143</x:v>
      </x:c>
      <x:c r="Q59" s="29" t="n">
        <x:v>198</x:v>
      </x:c>
      <x:c r="R59" s="30" t="n">
        <x:v>-0.4689631941677579</x:v>
      </x:c>
      <x:c r="S59" s="30" t="n">
        <x:v>0.6327437591267908</x:v>
      </x:c>
      <x:c r="T59" s="30" t="n">
        <x:v>0.7220140350874952</x:v>
      </x:c>
      <x:c r="U59" s="28" t="str">
        <x:f>IF(AND(G59&gt;=80%,I59&gt;0,L59&gt;=1),"YES","")</x:f>
      </x:c>
      <x:c r="V59" s="31" t="n">
        <x:f>I59+0.4*K59-2*MAX(0,90%-G59)</x:f>
        <x:v>-1.3422157786859603</x:v>
      </x:c>
    </x:row>
    <x:row r="60">
      <x:c r="A60" s="35" t="n">
        <x:v>54</x:v>
      </x:c>
      <x:c r="B60" s="33" t="str">
        <x:v>Premarket rolling shock</x:v>
      </x:c>
      <x:c r="C60" s="33" t="str">
        <x:v>Skip when the worst premarket 60-minute candle is -0.5% or worse.</x:v>
      </x:c>
      <x:c r="D60" s="29" t="n">
        <x:v>4473002.105000002</x:v>
      </x:c>
      <x:c r="E60" s="29" t="n">
        <x:v>9090</x:v>
      </x:c>
      <x:c r="F60" s="30" t="n">
        <x:f>(D60/E60)^(1/('Methodology'!$B$4*7/365))-1</x:f>
        <x:v>1.1095075327285953</x:v>
      </x:c>
      <x:c r="G60" s="30" t="n">
        <x:f>F60/$F$6</x:f>
        <x:v>0.2893729031763746</x:v>
      </x:c>
      <x:c r="H60" s="30" t="n">
        <x:v>0.7157214182585171</x:v>
      </x:c>
      <x:c r="I60" s="30" t="n">
        <x:f>$H$6-H60</x:f>
        <x:v>0.1950598456495981</x:v>
      </x:c>
      <x:c r="J60" s="30" t="n">
        <x:v>0.711</x:v>
      </x:c>
      <x:c r="K60" s="30" t="n">
        <x:f>$J$6-J60</x:f>
        <x:v>0.20000000000000007</x:v>
      </x:c>
      <x:c r="L60" s="29" t="n">
        <x:v>12</x:v>
      </x:c>
      <x:c r="M60" s="29" t="n">
        <x:v>12</x:v>
      </x:c>
      <x:c r="N60" s="29" t="n">
        <x:v>178</x:v>
      </x:c>
      <x:c r="O60" s="29" t="n">
        <x:v>68</x:v>
      </x:c>
      <x:c r="P60" s="29" t="n">
        <x:v>110</x:v>
      </x:c>
      <x:c r="Q60" s="29" t="n">
        <x:v>255</x:v>
      </x:c>
      <x:c r="R60" s="30" t="n">
        <x:v>-0.6587245161082578</x:v>
      </x:c>
      <x:c r="S60" s="30" t="n">
        <x:v>0.7157214182585171</x:v>
      </x:c>
      <x:c r="T60" s="30" t="n">
        <x:v>0.705883422746616</x:v>
      </x:c>
      <x:c r="U60" s="28" t="str">
        <x:f>IF(AND(G60&gt;=80%,I60&gt;0,L60&gt;=1),"YES","")</x:f>
      </x:c>
      <x:c r="V60" s="31" t="n">
        <x:f>I60+0.4*K60-2*MAX(0,90%-G60)</x:f>
        <x:v>-0.9461943479976527</x:v>
      </x:c>
    </x:row>
    <x:row r="61">
      <x:c r="A61" s="35" t="n">
        <x:v>55</x:v>
      </x:c>
      <x:c r="B61" s="33" t="str">
        <x:v>Premarket rolling shock</x:v>
      </x:c>
      <x:c r="C61" s="33" t="str">
        <x:v>Skip when the worst premarket 60-minute candle is -0.6% or worse.</x:v>
      </x:c>
      <x:c r="D61" s="29" t="n">
        <x:v>4413492.043000001</x:v>
      </x:c>
      <x:c r="E61" s="29" t="n">
        <x:v>10815</x:v>
      </x:c>
      <x:c r="F61" s="30" t="n">
        <x:f>(D61/E61)^(1/('Methodology'!$B$4*7/365))-1</x:f>
        <x:v>1.062496539615223</x:v>
      </x:c>
      <x:c r="G61" s="30" t="n">
        <x:f>F61/$F$6</x:f>
        <x:v>0.2771118710002652</x:v>
      </x:c>
      <x:c r="H61" s="30" t="n">
        <x:v>0.8298718305714604</x:v>
      </x:c>
      <x:c r="I61" s="30" t="n">
        <x:f>$H$6-H61</x:f>
        <x:v>0.08090943333665479</x:v>
      </x:c>
      <x:c r="J61" s="30" t="n">
        <x:v>0.83</x:v>
      </x:c>
      <x:c r="K61" s="30" t="n">
        <x:f>$J$6-J61</x:f>
        <x:v>0.08100000000000007</x:v>
      </x:c>
      <x:c r="L61" s="29" t="n">
        <x:v>7</x:v>
      </x:c>
      <x:c r="M61" s="29" t="n">
        <x:v>7</x:v>
      </x:c>
      <x:c r="N61" s="29" t="n">
        <x:v>122</x:v>
      </x:c>
      <x:c r="O61" s="29" t="n">
        <x:v>43</x:v>
      </x:c>
      <x:c r="P61" s="29" t="n">
        <x:v>79</x:v>
      </x:c>
      <x:c r="Q61" s="29" t="n">
        <x:v>311</x:v>
      </x:c>
      <x:c r="R61" s="30" t="n">
        <x:v>-0.6516255752249858</x:v>
      </x:c>
      <x:c r="S61" s="30" t="n">
        <x:v>0.8298718305714604</x:v>
      </x:c>
      <x:c r="T61" s="30" t="n">
        <x:v>0.7682231999300669</x:v>
      </x:c>
      <x:c r="U61" s="28" t="str">
        <x:f>IF(AND(G61&gt;=80%,I61&gt;0,L61&gt;=1),"YES","")</x:f>
      </x:c>
      <x:c r="V61" s="31" t="n">
        <x:f>I61+0.4*K61-2*MAX(0,90%-G61)</x:f>
        <x:v>-1.1324668246628147</x:v>
      </x:c>
    </x:row>
    <x:row r="62">
      <x:c r="A62" s="35" t="n">
        <x:v>56</x:v>
      </x:c>
      <x:c r="B62" s="33" t="str">
        <x:v>Premarket rolling shock</x:v>
      </x:c>
      <x:c r="C62" s="33" t="str">
        <x:v>Skip when the worst premarket 60-minute candle is -0.7% or worse.</x:v>
      </x:c>
      <x:c r="D62" s="29" t="n">
        <x:v>54078310.594000086</x:v>
      </x:c>
      <x:c r="E62" s="29" t="n">
        <x:v>11275</x:v>
      </x:c>
      <x:c r="F62" s="30" t="n">
        <x:f>(D62/E62)^(1/('Methodology'!$B$4*7/365))-1</x:f>
        <x:v>1.7750016471175996</x:v>
      </x:c>
      <x:c r="G62" s="30" t="n">
        <x:f>F62/$F$6</x:f>
        <x:v>0.4629417688639624</x:v>
      </x:c>
      <x:c r="H62" s="30" t="n">
        <x:v>0.8870434685189335</x:v>
      </x:c>
      <x:c r="I62" s="30" t="n">
        <x:f>$H$6-H62</x:f>
        <x:v>0.02373779538918175</x:v>
      </x:c>
      <x:c r="J62" s="30" t="n">
        <x:v>0.887</x:v>
      </x:c>
      <x:c r="K62" s="30" t="n">
        <x:f>$J$6-J62</x:f>
        <x:v>0.02400000000000002</x:v>
      </x:c>
      <x:c r="L62" s="29" t="n">
        <x:v>5</x:v>
      </x:c>
      <x:c r="M62" s="29" t="n">
        <x:v>5</x:v>
      </x:c>
      <x:c r="N62" s="29" t="n">
        <x:v>97</x:v>
      </x:c>
      <x:c r="O62" s="29" t="n">
        <x:v>37</x:v>
      </x:c>
      <x:c r="P62" s="29" t="n">
        <x:v>60</x:v>
      </x:c>
      <x:c r="Q62" s="29" t="n">
        <x:v>336</x:v>
      </x:c>
      <x:c r="R62" s="30" t="n">
        <x:v>-0.7116780089589995</x:v>
      </x:c>
      <x:c r="S62" s="30" t="n">
        <x:v>0.8870434685189335</x:v>
      </x:c>
      <x:c r="T62" s="30" t="n">
        <x:v>0.7682718253395387</x:v>
      </x:c>
      <x:c r="U62" s="28" t="str">
        <x:f>IF(AND(G62&gt;=80%,I62&gt;0,L62&gt;=1),"YES","")</x:f>
      </x:c>
      <x:c r="V62" s="31" t="n">
        <x:f>I62+0.4*K62-2*MAX(0,90%-G62)</x:f>
        <x:v>-0.8407786668828935</x:v>
      </x:c>
    </x:row>
    <x:row r="63">
      <x:c r="A63" s="35" t="n">
        <x:v>57</x:v>
      </x:c>
      <x:c r="B63" s="33" t="str">
        <x:v>Premarket rolling shock</x:v>
      </x:c>
      <x:c r="C63" s="33" t="str">
        <x:v>Skip when the worst premarket 60-minute candle is -0.8% or worse.</x:v>
      </x:c>
      <x:c r="D63" s="29" t="n">
        <x:v>430759247.7440005</x:v>
      </x:c>
      <x:c r="E63" s="29" t="n">
        <x:v>12195</x:v>
      </x:c>
      <x:c r="F63" s="30" t="n">
        <x:f>(D63/E63)^(1/('Methodology'!$B$4*7/365))-1</x:f>
        <x:v>2.5292871296603225</x:v>
      </x:c>
      <x:c r="G63" s="30" t="n">
        <x:f>F63/$F$6</x:f>
        <x:v>0.6596684908271677</x:v>
      </x:c>
      <x:c r="H63" s="30" t="n">
        <x:v>0.8870434685189335</x:v>
      </x:c>
      <x:c r="I63" s="30" t="n">
        <x:f>$H$6-H63</x:f>
        <x:v>0.02373779538918175</x:v>
      </x:c>
      <x:c r="J63" s="30" t="n">
        <x:v>0.887</x:v>
      </x:c>
      <x:c r="K63" s="30" t="n">
        <x:f>$J$6-J63</x:f>
        <x:v>0.02400000000000002</x:v>
      </x:c>
      <x:c r="L63" s="29" t="n">
        <x:v>5</x:v>
      </x:c>
      <x:c r="M63" s="29" t="n">
        <x:v>4</x:v>
      </x:c>
      <x:c r="N63" s="29" t="n">
        <x:v>76</x:v>
      </x:c>
      <x:c r="O63" s="29" t="n">
        <x:v>29</x:v>
      </x:c>
      <x:c r="P63" s="29" t="n">
        <x:v>47</x:v>
      </x:c>
      <x:c r="Q63" s="29" t="n">
        <x:v>357</x:v>
      </x:c>
      <x:c r="R63" s="30" t="n">
        <x:v>-0.7116780089589995</x:v>
      </x:c>
      <x:c r="S63" s="30" t="n">
        <x:v>0.8870434685189335</x:v>
      </x:c>
      <x:c r="T63" s="30" t="n">
        <x:v>0.8129819323456772</x:v>
      </x:c>
      <x:c r="U63" s="28" t="str">
        <x:f>IF(AND(G63&gt;=80%,I63&gt;0,L63&gt;=1),"YES","")</x:f>
      </x:c>
      <x:c r="V63" s="31" t="n">
        <x:f>I63+0.4*K63-2*MAX(0,90%-G63)</x:f>
        <x:v>-0.44732522295648286</x:v>
      </x:c>
    </x:row>
    <x:row r="64">
      <x:c r="A64" s="35" t="n">
        <x:v>58</x:v>
      </x:c>
      <x:c r="B64" s="33" t="str">
        <x:v>Premarket rolling shock</x:v>
      </x:c>
      <x:c r="C64" s="33" t="str">
        <x:v>Skip when the worst premarket 60-minute candle is -0.9% or worse.</x:v>
      </x:c>
      <x:c r="D64" s="29" t="n">
        <x:v>20335479.10399996</x:v>
      </x:c>
      <x:c r="E64" s="29" t="n">
        <x:v>12540</x:v>
      </x:c>
      <x:c r="F64" s="30" t="n">
        <x:f>(D64/E64)^(1/('Methodology'!$B$4*7/365))-1</x:f>
        <x:v>1.4352883920876809</x:v>
      </x:c>
      <x:c r="G64" s="30" t="n">
        <x:f>F64/$F$6</x:f>
        <x:v>0.3743404678761749</x:v>
      </x:c>
      <x:c r="H64" s="30" t="n">
        <x:v>0.9107812639081152</x:v>
      </x:c>
      <x:c r="I64" s="30" t="n">
        <x:f>$H$6-H64</x:f>
        <x:v>0</x:v>
      </x:c>
      <x:c r="J64" s="30" t="n">
        <x:v>0.911</x:v>
      </x:c>
      <x:c r="K64" s="30" t="n">
        <x:f>$J$6-J64</x:f>
        <x:v>0</x:v>
      </x:c>
      <x:c r="L64" s="29" t="n">
        <x:v>2</x:v>
      </x:c>
      <x:c r="M64" s="29" t="n">
        <x:v>2</x:v>
      </x:c>
      <x:c r="N64" s="29" t="n">
        <x:v>58</x:v>
      </x:c>
      <x:c r="O64" s="29" t="n">
        <x:v>15</x:v>
      </x:c>
      <x:c r="P64" s="29" t="n">
        <x:v>43</x:v>
      </x:c>
      <x:c r="Q64" s="29" t="n">
        <x:v>375</x:v>
      </x:c>
      <x:c r="R64" s="30" t="n">
        <x:v>-0.7239923167315929</x:v>
      </x:c>
      <x:c r="S64" s="30" t="n">
        <x:v>0.9107812639081152</x:v>
      </x:c>
      <x:c r="T64" s="30" t="n">
        <x:v>0.9040186710644309</x:v>
      </x:c>
      <x:c r="U64" s="28" t="str">
        <x:f>IF(AND(G64&gt;=80%,I64&gt;0,L64&gt;=1),"YES","")</x:f>
      </x:c>
      <x:c r="V64" s="31" t="n">
        <x:f>I64+0.4*K64-2*MAX(0,90%-G64)</x:f>
        <x:v>-1.0513190642476502</x:v>
      </x:c>
    </x:row>
    <x:row r="65">
      <x:c r="A65" s="35" t="n">
        <x:v>59</x:v>
      </x:c>
      <x:c r="B65" s="33" t="str">
        <x:v>Premarket rolling shock</x:v>
      </x:c>
      <x:c r="C65" s="33" t="str">
        <x:v>Skip when the worst premarket 60-minute candle is -1.0% or worse.</x:v>
      </x:c>
      <x:c r="D65" s="29" t="n">
        <x:v>66994497.160999954</x:v>
      </x:c>
      <x:c r="E65" s="29" t="n">
        <x:v>13115</x:v>
      </x:c>
      <x:c r="F65" s="30" t="n">
        <x:f>(D65/E65)^(1/('Methodology'!$B$4*7/365))-1</x:f>
        <x:v>1.7961374344716288</x:v>
      </x:c>
      <x:c r="G65" s="30" t="n">
        <x:f>F65/$F$6</x:f>
        <x:v>0.4684542363030186</x:v>
      </x:c>
      <x:c r="H65" s="30" t="n">
        <x:v>0.9107812639081152</x:v>
      </x:c>
      <x:c r="I65" s="30" t="n">
        <x:f>$H$6-H65</x:f>
        <x:v>0</x:v>
      </x:c>
      <x:c r="J65" s="30" t="n">
        <x:v>0.911</x:v>
      </x:c>
      <x:c r="K65" s="30" t="n">
        <x:f>$J$6-J65</x:f>
        <x:v>0</x:v>
      </x:c>
      <x:c r="L65" s="29" t="n">
        <x:v>1</x:v>
      </x:c>
      <x:c r="M65" s="29" t="n">
        <x:v>2</x:v>
      </x:c>
      <x:c r="N65" s="29" t="n">
        <x:v>45</x:v>
      </x:c>
      <x:c r="O65" s="29" t="n">
        <x:v>11</x:v>
      </x:c>
      <x:c r="P65" s="29" t="n">
        <x:v>34</x:v>
      </x:c>
      <x:c r="Q65" s="29" t="n">
        <x:v>388</x:v>
      </x:c>
      <x:c r="R65" s="30" t="n">
        <x:v>-0.7239959151550761</x:v>
      </x:c>
      <x:c r="S65" s="30" t="n">
        <x:v>0.9107812639081152</x:v>
      </x:c>
      <x:c r="T65" s="30" t="n">
        <x:v>0.9033040727157904</x:v>
      </x:c>
      <x:c r="U65" s="28" t="str">
        <x:f>IF(AND(G65&gt;=80%,I65&gt;0,L65&gt;=1),"YES","")</x:f>
      </x:c>
      <x:c r="V65" s="31" t="n">
        <x:f>I65+0.4*K65-2*MAX(0,90%-G65)</x:f>
        <x:v>-0.8630915273939629</x:v>
      </x:c>
    </x:row>
    <x:row r="66">
      <x:c r="A66" s="35" t="n">
        <x:v>60</x:v>
      </x:c>
      <x:c r="B66" s="33" t="str">
        <x:v>Premarket rolling shock</x:v>
      </x:c>
      <x:c r="C66" s="33" t="str">
        <x:v>Skip when the worst premarket 60-minute candle is -1.1% or worse.</x:v>
      </x:c>
      <x:c r="D66" s="29" t="n">
        <x:v>119093305.84599991</x:v>
      </x:c>
      <x:c r="E66" s="29" t="n">
        <x:v>13805</x:v>
      </x:c>
      <x:c r="F66" s="30" t="n">
        <x:f>(D66/E66)^(1/('Methodology'!$B$4*7/365))-1</x:f>
        <x:v>1.9782711454999538</x:v>
      </x:c>
      <x:c r="G66" s="30" t="n">
        <x:f>F66/$F$6</x:f>
        <x:v>0.5159568977738584</x:v>
      </x:c>
      <x:c r="H66" s="30" t="n">
        <x:v>0.9107812639081152</x:v>
      </x:c>
      <x:c r="I66" s="30" t="n">
        <x:f>$H$6-H66</x:f>
        <x:v>0</x:v>
      </x:c>
      <x:c r="J66" s="30" t="n">
        <x:v>0.911</x:v>
      </x:c>
      <x:c r="K66" s="30" t="n">
        <x:f>$J$6-J66</x:f>
        <x:v>0</x:v>
      </x:c>
      <x:c r="L66" s="29" t="n">
        <x:v>1</x:v>
      </x:c>
      <x:c r="M66" s="29" t="n">
        <x:v>2</x:v>
      </x:c>
      <x:c r="N66" s="29" t="n">
        <x:v>30</x:v>
      </x:c>
      <x:c r="O66" s="29" t="n">
        <x:v>5</x:v>
      </x:c>
      <x:c r="P66" s="29" t="n">
        <x:v>25</x:v>
      </x:c>
      <x:c r="Q66" s="29" t="n">
        <x:v>403</x:v>
      </x:c>
      <x:c r="R66" s="30" t="n">
        <x:v>-0.7239966436631446</x:v>
      </x:c>
      <x:c r="S66" s="30" t="n">
        <x:v>0.9107812639081152</x:v>
      </x:c>
      <x:c r="T66" s="30" t="n">
        <x:v>0.8985862883797732</x:v>
      </x:c>
      <x:c r="U66" s="28" t="str">
        <x:f>IF(AND(G66&gt;=80%,I66&gt;0,L66&gt;=1),"YES","")</x:f>
      </x:c>
      <x:c r="V66" s="31" t="n">
        <x:f>I66+0.4*K66-2*MAX(0,90%-G66)</x:f>
        <x:v>-0.7680862044522831</x:v>
      </x:c>
    </x:row>
    <x:row r="67">
      <x:c r="A67" s="35" t="n">
        <x:v>61</x:v>
      </x:c>
      <x:c r="B67" s="33" t="str">
        <x:v>Premarket range and weak close</x:v>
      </x:c>
      <x:c r="C67" s="33" t="str">
        <x:v>Skip when premarket range is at least 0.6% and closes in its bottom 10%.</x:v>
      </x:c>
      <x:c r="D67" s="29" t="n">
        <x:v>11017079113.10899</x:v>
      </x:c>
      <x:c r="E67" s="29" t="n">
        <x:v>13805</x:v>
      </x:c>
      <x:c r="F67" s="30" t="n">
        <x:f>(D67/E67)^(1/('Methodology'!$B$4*7/365))-1</x:f>
        <x:v>4.137313288486604</x:v>
      </x:c>
      <x:c r="G67" s="30" t="n">
        <x:f>F67/$F$6</x:f>
        <x:v>1.0790610449441844</x:v>
      </x:c>
      <x:c r="H67" s="30" t="n">
        <x:v>0.8871498807961479</x:v>
      </x:c>
      <x:c r="I67" s="30" t="n">
        <x:f>$H$6-H67</x:f>
        <x:v>0.02363138311196733</x:v>
      </x:c>
      <x:c r="J67" s="30" t="n">
        <x:v>0.884</x:v>
      </x:c>
      <x:c r="K67" s="30" t="n">
        <x:f>$J$6-J67</x:f>
        <x:v>0.027000000000000024</x:v>
      </x:c>
      <x:c r="L67" s="29" t="n">
        <x:v>3</x:v>
      </x:c>
      <x:c r="M67" s="29" t="n">
        <x:v>3</x:v>
      </x:c>
      <x:c r="N67" s="29" t="n">
        <x:v>26</x:v>
      </x:c>
      <x:c r="O67" s="29" t="n">
        <x:v>14</x:v>
      </x:c>
      <x:c r="P67" s="29" t="n">
        <x:v>12</x:v>
      </x:c>
      <x:c r="Q67" s="29" t="n">
        <x:v>407</x:v>
      </x:c>
      <x:c r="R67" s="30" t="n">
        <x:v>-0.7239999699931489</x:v>
      </x:c>
      <x:c r="S67" s="30" t="n">
        <x:v>0.8309057694529445</x:v>
      </x:c>
      <x:c r="T67" s="30" t="n">
        <x:v>0.8871498807961479</x:v>
      </x:c>
      <x:c r="U67" s="28" t="str">
        <x:f>IF(AND(G67&gt;=80%,I67&gt;0,L67&gt;=1),"YES","")</x:f>
        <x:v>YES</x:v>
      </x:c>
      <x:c r="V67" s="31" t="n">
        <x:f>I67+0.4*K67-2*MAX(0,90%-G67)</x:f>
        <x:v>0.03443138311196734</x:v>
      </x:c>
    </x:row>
    <x:row r="68">
      <x:c r="A68" s="35" t="n">
        <x:v>62</x:v>
      </x:c>
      <x:c r="B68" s="33" t="str">
        <x:v>Premarket range and weak close</x:v>
      </x:c>
      <x:c r="C68" s="33" t="str">
        <x:v>Skip when premarket range is at least 0.6% and closes in its bottom 20%.</x:v>
      </x:c>
      <x:c r="D68" s="29" t="n">
        <x:v>2254853913.4879985</x:v>
      </x:c>
      <x:c r="E68" s="29" t="n">
        <x:v>12770</x:v>
      </x:c>
      <x:c r="F68" s="30" t="n">
        <x:f>(D68/E68)^(1/('Methodology'!$B$4*7/365))-1</x:f>
        <x:v>3.2839766409345614</x:v>
      </x:c>
      <x:c r="G68" s="30" t="n">
        <x:f>F68/$F$6</x:f>
        <x:v>0.8565005883408373</x:v>
      </x:c>
      <x:c r="H68" s="30" t="n">
        <x:v>0.8970846320976544</x:v>
      </x:c>
      <x:c r="I68" s="30" t="n">
        <x:f>$H$6-H68</x:f>
        <x:v>0.013696631810460769</x:v>
      </x:c>
      <x:c r="J68" s="30" t="n">
        <x:v>0.894</x:v>
      </x:c>
      <x:c r="K68" s="30" t="n">
        <x:f>$J$6-J68</x:f>
        <x:v>0.017000000000000015</x:v>
      </x:c>
      <x:c r="L68" s="29" t="n">
        <x:v>6</x:v>
      </x:c>
      <x:c r="M68" s="29" t="n">
        <x:v>5</x:v>
      </x:c>
      <x:c r="N68" s="29" t="n">
        <x:v>62</x:v>
      </x:c>
      <x:c r="O68" s="29" t="n">
        <x:v>31</x:v>
      </x:c>
      <x:c r="P68" s="29" t="n">
        <x:v>31</x:v>
      </x:c>
      <x:c r="Q68" s="29" t="n">
        <x:v>371</x:v>
      </x:c>
      <x:c r="R68" s="30" t="n">
        <x:v>-0.7239999005427986</x:v>
      </x:c>
      <x:c r="S68" s="30" t="n">
        <x:v>0.8017762517479662</x:v>
      </x:c>
      <x:c r="T68" s="30" t="n">
        <x:v>0.8970846320976544</x:v>
      </x:c>
      <x:c r="U68" s="28" t="str">
        <x:f>IF(AND(G68&gt;=80%,I68&gt;0,L68&gt;=1),"YES","")</x:f>
        <x:v>YES</x:v>
      </x:c>
      <x:c r="V68" s="31" t="n">
        <x:f>I68+0.4*K68-2*MAX(0,90%-G68)</x:f>
        <x:v>-0.06650219150786466</x:v>
      </x:c>
    </x:row>
    <x:row r="69">
      <x:c r="A69" s="35" t="n">
        <x:v>63</x:v>
      </x:c>
      <x:c r="B69" s="33" t="str">
        <x:v>Premarket range and weak close</x:v>
      </x:c>
      <x:c r="C69" s="33" t="str">
        <x:v>Skip when premarket range is at least 0.6% and closes in its bottom 30%.</x:v>
      </x:c>
      <x:c r="D69" s="29" t="n">
        <x:v>617216108.1350001</x:v>
      </x:c>
      <x:c r="E69" s="29" t="n">
        <x:v>12195</x:v>
      </x:c>
      <x:c r="F69" s="30" t="n">
        <x:f>(D69/E69)^(1/('Methodology'!$B$4*7/365))-1</x:f>
        <x:v>2.6855072870675</x:v>
      </x:c>
      <x:c r="G69" s="30" t="n">
        <x:f>F69/$F$6</x:f>
        <x:v>0.7004125859775728</x:v>
      </x:c>
      <x:c r="H69" s="30" t="n">
        <x:v>0.8184315957331105</x:v>
      </x:c>
      <x:c r="I69" s="30" t="n">
        <x:f>$H$6-H69</x:f>
        <x:v>0.09234966817500467</x:v>
      </x:c>
      <x:c r="J69" s="30" t="n">
        <x:v>0.815</x:v>
      </x:c>
      <x:c r="K69" s="30" t="n">
        <x:f>$J$6-J69</x:f>
        <x:v>0.09600000000000009</x:v>
      </x:c>
      <x:c r="L69" s="29" t="n">
        <x:v>7</x:v>
      </x:c>
      <x:c r="M69" s="29" t="n">
        <x:v>6</x:v>
      </x:c>
      <x:c r="N69" s="29" t="n">
        <x:v>91</x:v>
      </x:c>
      <x:c r="O69" s="29" t="n">
        <x:v>40</x:v>
      </x:c>
      <x:c r="P69" s="29" t="n">
        <x:v>51</x:v>
      </x:c>
      <x:c r="Q69" s="29" t="n">
        <x:v>342</x:v>
      </x:c>
      <x:c r="R69" s="30" t="n">
        <x:v>-0.7239996434583268</x:v>
      </x:c>
      <x:c r="S69" s="30" t="n">
        <x:v>0.8088295593750178</x:v>
      </x:c>
      <x:c r="T69" s="30" t="n">
        <x:v>0.8184315957331105</x:v>
      </x:c>
      <x:c r="U69" s="28" t="str">
        <x:f>IF(AND(G69&gt;=80%,I69&gt;0,L69&gt;=1),"YES","")</x:f>
      </x:c>
      <x:c r="V69" s="31" t="n">
        <x:f>I69+0.4*K69-2*MAX(0,90%-G69)</x:f>
        <x:v>-0.26842515986984966</x:v>
      </x:c>
    </x:row>
    <x:row r="70">
      <x:c r="A70" s="35" t="n">
        <x:v>64</x:v>
      </x:c>
      <x:c r="B70" s="33" t="str">
        <x:v>Premarket range and weak close</x:v>
      </x:c>
      <x:c r="C70" s="33" t="str">
        <x:v>Skip when premarket range is at least 0.6% and closes in its bottom 40%.</x:v>
      </x:c>
      <x:c r="D70" s="29" t="n">
        <x:v>193240615.27200007</x:v>
      </x:c>
      <x:c r="E70" s="29" t="n">
        <x:v>11390</x:v>
      </x:c>
      <x:c r="F70" s="30" t="n">
        <x:f>(D70/E70)^(1/('Methodology'!$B$4*7/365))-1</x:f>
        <x:v>2.2309863558201184</x:v>
      </x:c>
      <x:c r="G70" s="30" t="n">
        <x:f>F70/$F$6</x:f>
        <x:v>0.581868062799777</x:v>
      </x:c>
      <x:c r="H70" s="30" t="n">
        <x:v>0.8605662075350387</x:v>
      </x:c>
      <x:c r="I70" s="30" t="n">
        <x:f>$H$6-H70</x:f>
        <x:v>0.05021505637307655</x:v>
      </x:c>
      <x:c r="J70" s="30" t="n">
        <x:v>0.843</x:v>
      </x:c>
      <x:c r="K70" s="30" t="n">
        <x:f>$J$6-J70</x:f>
        <x:v>0.06800000000000006</x:v>
      </x:c>
      <x:c r="L70" s="29" t="n">
        <x:v>9</x:v>
      </x:c>
      <x:c r="M70" s="29" t="n">
        <x:v>7</x:v>
      </x:c>
      <x:c r="N70" s="29" t="n">
        <x:v>120</x:v>
      </x:c>
      <x:c r="O70" s="29" t="n">
        <x:v>51</x:v>
      </x:c>
      <x:c r="P70" s="29" t="n">
        <x:v>69</x:v>
      </x:c>
      <x:c r="Q70" s="29" t="n">
        <x:v>313</x:v>
      </x:c>
      <x:c r="R70" s="30" t="n">
        <x:v>-0.7239998608304261</x:v>
      </x:c>
      <x:c r="S70" s="30" t="n">
        <x:v>0.7508903017508992</x:v>
      </x:c>
      <x:c r="T70" s="30" t="n">
        <x:v>0.8605662075350387</x:v>
      </x:c>
      <x:c r="U70" s="28" t="str">
        <x:f>IF(AND(G70&gt;=80%,I70&gt;0,L70&gt;=1),"YES","")</x:f>
      </x:c>
      <x:c r="V70" s="31" t="n">
        <x:f>I70+0.4*K70-2*MAX(0,90%-G70)</x:f>
        <x:v>-0.5588488180273695</x:v>
      </x:c>
    </x:row>
    <x:row r="71">
      <x:c r="A71" s="35" t="n">
        <x:v>65</x:v>
      </x:c>
      <x:c r="B71" s="33" t="str">
        <x:v>Premarket range and weak close</x:v>
      </x:c>
      <x:c r="C71" s="33" t="str">
        <x:v>Skip when premarket range is at least 0.8% and closes in its bottom 10%.</x:v>
      </x:c>
      <x:c r="D71" s="29" t="n">
        <x:v>5555431496.328997</x:v>
      </x:c>
      <x:c r="E71" s="29" t="n">
        <x:v>13920</x:v>
      </x:c>
      <x:c r="F71" s="30" t="n">
        <x:f>(D71/E71)^(1/('Methodology'!$B$4*7/365))-1</x:f>
        <x:v>3.726011552677739</x:v>
      </x:c>
      <x:c r="G71" s="30" t="n">
        <x:f>F71/$F$6</x:f>
        <x:v>0.9717886075234213</x:v>
      </x:c>
      <x:c r="H71" s="30" t="n">
        <x:v>0.8871498781440643</x:v>
      </x:c>
      <x:c r="I71" s="30" t="n">
        <x:f>$H$6-H71</x:f>
        <x:v>0.023631385764050883</x:v>
      </x:c>
      <x:c r="J71" s="30" t="n">
        <x:v>0.884</x:v>
      </x:c>
      <x:c r="K71" s="30" t="n">
        <x:f>$J$6-J71</x:f>
        <x:v>0.027000000000000024</x:v>
      </x:c>
      <x:c r="L71" s="29" t="n">
        <x:v>2</x:v>
      </x:c>
      <x:c r="M71" s="29" t="n">
        <x:v>2</x:v>
      </x:c>
      <x:c r="N71" s="29" t="n">
        <x:v>23</x:v>
      </x:c>
      <x:c r="O71" s="29" t="n">
        <x:v>12</x:v>
      </x:c>
      <x:c r="P71" s="29" t="n">
        <x:v>11</x:v>
      </x:c>
      <x:c r="Q71" s="29" t="n">
        <x:v>410</x:v>
      </x:c>
      <x:c r="R71" s="30" t="n">
        <x:v>-0.7239999350895983</x:v>
      </x:c>
      <x:c r="S71" s="30" t="n">
        <x:v>0.8309057694529445</x:v>
      </x:c>
      <x:c r="T71" s="30" t="n">
        <x:v>0.8871498781440643</x:v>
      </x:c>
      <x:c r="U71" s="28" t="str">
        <x:f>IF(AND(G71&gt;=80%,I71&gt;0,L71&gt;=1),"YES","")</x:f>
        <x:v>YES</x:v>
      </x:c>
      <x:c r="V71" s="31" t="n">
        <x:f>I71+0.4*K71-2*MAX(0,90%-G71)</x:f>
        <x:v>0.034431385764050894</x:v>
      </x:c>
    </x:row>
    <x:row r="72">
      <x:c r="A72" s="35" t="n">
        <x:v>66</x:v>
      </x:c>
      <x:c r="B72" s="33" t="str">
        <x:v>Premarket range and weak close</x:v>
      </x:c>
      <x:c r="C72" s="33" t="str">
        <x:v>Skip when premarket range is at least 0.8% and closes in its bottom 20%.</x:v>
      </x:c>
      <x:c r="D72" s="29" t="n">
        <x:v>1899186272.3100019</x:v>
      </x:c>
      <x:c r="E72" s="29" t="n">
        <x:v>13115</x:v>
      </x:c>
      <x:c r="F72" s="30" t="n">
        <x:f>(D72/E72)^(1/('Methodology'!$B$4*7/365))-1</x:f>
        <x:v>3.1828792958266323</x:v>
      </x:c>
      <x:c r="G72" s="30" t="n">
        <x:f>F72/$F$6</x:f>
        <x:v>0.8301331853315407</x:v>
      </x:c>
      <x:c r="H72" s="30" t="n">
        <x:v>0.9025928930182997</x:v>
      </x:c>
      <x:c r="I72" s="30" t="n">
        <x:f>$H$6-H72</x:f>
        <x:v>0.0081883708898155</x:v>
      </x:c>
      <x:c r="J72" s="30" t="n">
        <x:v>0.899</x:v>
      </x:c>
      <x:c r="K72" s="30" t="n">
        <x:f>$J$6-J72</x:f>
        <x:v>0.01200000000000001</x:v>
      </x:c>
      <x:c r="L72" s="29" t="n">
        <x:v>5</x:v>
      </x:c>
      <x:c r="M72" s="29" t="n">
        <x:v>4</x:v>
      </x:c>
      <x:c r="N72" s="29" t="n">
        <x:v>49</x:v>
      </x:c>
      <x:c r="O72" s="29" t="n">
        <x:v>24</x:v>
      </x:c>
      <x:c r="P72" s="29" t="n">
        <x:v>25</x:v>
      </x:c>
      <x:c r="Q72" s="29" t="n">
        <x:v>384</x:v>
      </x:c>
      <x:c r="R72" s="30" t="n">
        <x:v>-0.7239999406865731</x:v>
      </x:c>
      <x:c r="S72" s="30" t="n">
        <x:v>0.8018030862542029</x:v>
      </x:c>
      <x:c r="T72" s="30" t="n">
        <x:v>0.9025928930182997</x:v>
      </x:c>
      <x:c r="U72" s="28" t="str">
        <x:f>IF(AND(G72&gt;=80%,I72&gt;0,L72&gt;=1),"YES","")</x:f>
        <x:v>YES</x:v>
      </x:c>
      <x:c r="V72" s="31" t="n">
        <x:f>I72+0.4*K72-2*MAX(0,90%-G72)</x:f>
        <x:v>-0.1267452584471032</x:v>
      </x:c>
    </x:row>
    <x:row r="73">
      <x:c r="A73" s="35" t="n">
        <x:v>67</x:v>
      </x:c>
      <x:c r="B73" s="33" t="str">
        <x:v>Premarket range and weak close</x:v>
      </x:c>
      <x:c r="C73" s="33" t="str">
        <x:v>Skip when premarket range is at least 0.8% and closes in its bottom 30%.</x:v>
      </x:c>
      <x:c r="D73" s="29" t="n">
        <x:v>412269852.10299987</x:v>
      </x:c>
      <x:c r="E73" s="29" t="n">
        <x:v>12425</x:v>
      </x:c>
      <x:c r="F73" s="30" t="n">
        <x:f>(D73/E73)^(1/('Methodology'!$B$4*7/365))-1</x:f>
        <x:v>2.5028005110395983</x:v>
      </x:c>
      <x:c r="G73" s="30" t="n">
        <x:f>F73/$F$6</x:f>
        <x:v>0.6527604622653831</x:v>
      </x:c>
      <x:c r="H73" s="30" t="n">
        <x:v>0.8184307491297869</x:v>
      </x:c>
      <x:c r="I73" s="30" t="n">
        <x:f>$H$6-H73</x:f>
        <x:v>0.09235051477832834</x:v>
      </x:c>
      <x:c r="J73" s="30" t="n">
        <x:v>0.815</x:v>
      </x:c>
      <x:c r="K73" s="30" t="n">
        <x:f>$J$6-J73</x:f>
        <x:v>0.09600000000000009</x:v>
      </x:c>
      <x:c r="L73" s="29" t="n">
        <x:v>6</x:v>
      </x:c>
      <x:c r="M73" s="29" t="n">
        <x:v>5</x:v>
      </x:c>
      <x:c r="N73" s="29" t="n">
        <x:v>76</x:v>
      </x:c>
      <x:c r="O73" s="29" t="n">
        <x:v>31</x:v>
      </x:c>
      <x:c r="P73" s="29" t="n">
        <x:v>45</x:v>
      </x:c>
      <x:c r="Q73" s="29" t="n">
        <x:v>357</x:v>
      </x:c>
      <x:c r="R73" s="30" t="n">
        <x:v>-0.7239990660093502</x:v>
      </x:c>
      <x:c r="S73" s="30" t="n">
        <x:v>0.8088988682289872</x:v>
      </x:c>
      <x:c r="T73" s="30" t="n">
        <x:v>0.8184307491297869</x:v>
      </x:c>
      <x:c r="U73" s="28" t="str">
        <x:f>IF(AND(G73&gt;=80%,I73&gt;0,L73&gt;=1),"YES","")</x:f>
      </x:c>
      <x:c r="V73" s="31" t="n">
        <x:f>I73+0.4*K73-2*MAX(0,90%-G73)</x:f>
        <x:v>-0.3637285606909055</x:v>
      </x:c>
    </x:row>
    <x:row r="74">
      <x:c r="A74" s="35" t="n">
        <x:v>68</x:v>
      </x:c>
      <x:c r="B74" s="33" t="str">
        <x:v>Premarket range and weak close</x:v>
      </x:c>
      <x:c r="C74" s="33" t="str">
        <x:v>Skip when premarket range is at least 0.8% and closes in its bottom 40%.</x:v>
      </x:c>
      <x:c r="D74" s="29" t="n">
        <x:v>144138034.59600013</x:v>
      </x:c>
      <x:c r="E74" s="29" t="n">
        <x:v>11850</x:v>
      </x:c>
      <x:c r="F74" s="30" t="n">
        <x:f>(D74/E74)^(1/('Methodology'!$B$4*7/365))-1</x:f>
        <x:v>2.104076115646379</x:v>
      </x:c>
      <x:c r="G74" s="30" t="n">
        <x:f>F74/$F$6</x:f>
        <x:v>0.5487683464314075</x:v>
      </x:c>
      <x:c r="H74" s="30" t="n">
        <x:v>0.8331058617596874</x:v>
      </x:c>
      <x:c r="I74" s="30" t="n">
        <x:f>$H$6-H74</x:f>
        <x:v>0.07767540214842783</x:v>
      </x:c>
      <x:c r="J74" s="30" t="n">
        <x:v>0.818</x:v>
      </x:c>
      <x:c r="K74" s="30" t="n">
        <x:f>$J$6-J74</x:f>
        <x:v>0.09300000000000008</x:v>
      </x:c>
      <x:c r="L74" s="29" t="n">
        <x:v>8</x:v>
      </x:c>
      <x:c r="M74" s="29" t="n">
        <x:v>6</x:v>
      </x:c>
      <x:c r="N74" s="29" t="n">
        <x:v>98</x:v>
      </x:c>
      <x:c r="O74" s="29" t="n">
        <x:v>38</x:v>
      </x:c>
      <x:c r="P74" s="29" t="n">
        <x:v>60</x:v>
      </x:c>
      <x:c r="Q74" s="29" t="n">
        <x:v>335</x:v>
      </x:c>
      <x:c r="R74" s="30" t="n">
        <x:v>-0.7239980782024429</x:v>
      </x:c>
      <x:c r="S74" s="30" t="n">
        <x:v>0.7510311705254887</x:v>
      </x:c>
      <x:c r="T74" s="30" t="n">
        <x:v>0.8331058617596874</x:v>
      </x:c>
      <x:c r="U74" s="28" t="str">
        <x:f>IF(AND(G74&gt;=80%,I74&gt;0,L74&gt;=1),"YES","")</x:f>
      </x:c>
      <x:c r="V74" s="31" t="n">
        <x:f>I74+0.4*K74-2*MAX(0,90%-G74)</x:f>
        <x:v>-0.5875879049887572</x:v>
      </x:c>
    </x:row>
    <x:row r="75">
      <x:c r="A75" s="35" t="n">
        <x:v>69</x:v>
      </x:c>
      <x:c r="B75" s="33" t="str">
        <x:v>Premarket range and weak close</x:v>
      </x:c>
      <x:c r="C75" s="33" t="str">
        <x:v>Skip when premarket range is at least 1.0% and closes in its bottom 10%.</x:v>
      </x:c>
      <x:c r="D75" s="29" t="n">
        <x:v>4556218486.099994</x:v>
      </x:c>
      <x:c r="E75" s="29" t="n">
        <x:v>14035</x:v>
      </x:c>
      <x:c r="F75" s="30" t="n">
        <x:f>(D75/E75)^(1/('Methodology'!$B$4*7/365))-1</x:f>
        <x:v>3.6099321319392503</x:v>
      </x:c>
      <x:c r="G75" s="30" t="n">
        <x:f>F75/$F$6</x:f>
        <x:v>0.9415136990732549</x:v>
      </x:c>
      <x:c r="H75" s="30" t="n">
        <x:v>0.8871498750353441</x:v>
      </x:c>
      <x:c r="I75" s="30" t="n">
        <x:f>$H$6-H75</x:f>
        <x:v>0.023631388872771053</x:v>
      </x:c>
      <x:c r="J75" s="30" t="n">
        <x:v>0.884</x:v>
      </x:c>
      <x:c r="K75" s="30" t="n">
        <x:f>$J$6-J75</x:f>
        <x:v>0.027000000000000024</x:v>
      </x:c>
      <x:c r="L75" s="29" t="n">
        <x:v>1</x:v>
      </x:c>
      <x:c r="M75" s="29" t="n">
        <x:v>1</x:v>
      </x:c>
      <x:c r="N75" s="29" t="n">
        <x:v>21</x:v>
      </x:c>
      <x:c r="O75" s="29" t="n">
        <x:v>10</x:v>
      </x:c>
      <x:c r="P75" s="29" t="n">
        <x:v>11</x:v>
      </x:c>
      <x:c r="Q75" s="29" t="n">
        <x:v>412</x:v>
      </x:c>
      <x:c r="R75" s="30" t="n">
        <x:v>-0.7239998967239116</x:v>
      </x:c>
      <x:c r="S75" s="30" t="n">
        <x:v>0.8660471444254909</x:v>
      </x:c>
      <x:c r="T75" s="30" t="n">
        <x:v>0.8871498750353441</x:v>
      </x:c>
      <x:c r="U75" s="28" t="str">
        <x:f>IF(AND(G75&gt;=80%,I75&gt;0,L75&gt;=1),"YES","")</x:f>
        <x:v>YES</x:v>
      </x:c>
      <x:c r="V75" s="31" t="n">
        <x:f>I75+0.4*K75-2*MAX(0,90%-G75)</x:f>
        <x:v>0.034431388872771064</x:v>
      </x:c>
    </x:row>
    <x:row r="76">
      <x:c r="A76" s="35" t="n">
        <x:v>70</x:v>
      </x:c>
      <x:c r="B76" s="33" t="str">
        <x:v>Premarket range and weak close</x:v>
      </x:c>
      <x:c r="C76" s="33" t="str">
        <x:v>Skip when premarket range is at least 1.0% and closes in its bottom 20%.</x:v>
      </x:c>
      <x:c r="D76" s="29" t="n">
        <x:v>542778731.1729994</x:v>
      </x:c>
      <x:c r="E76" s="29" t="n">
        <x:v>13460</x:v>
      </x:c>
      <x:c r="F76" s="30" t="n">
        <x:f>(D76/E76)^(1/('Methodology'!$B$4*7/365))-1</x:f>
        <x:v>2.5860329860777527</x:v>
      </x:c>
      <x:c r="G76" s="30" t="n">
        <x:f>F76/$F$6</x:f>
        <x:v>0.674468492386741</x:v>
      </x:c>
      <x:c r="H76" s="30" t="n">
        <x:v>0.8931897999301911</x:v>
      </x:c>
      <x:c r="I76" s="30" t="n">
        <x:f>$H$6-H76</x:f>
        <x:v>0.017591463977924104</x:v>
      </x:c>
      <x:c r="J76" s="30" t="n">
        <x:v>0.89</x:v>
      </x:c>
      <x:c r="K76" s="30" t="n">
        <x:f>$J$6-J76</x:f>
        <x:v>0.02100000000000002</x:v>
      </x:c>
      <x:c r="L76" s="29" t="n">
        <x:v>3</x:v>
      </x:c>
      <x:c r="M76" s="29" t="n">
        <x:v>2</x:v>
      </x:c>
      <x:c r="N76" s="29" t="n">
        <x:v>42</x:v>
      </x:c>
      <x:c r="O76" s="29" t="n">
        <x:v>19</x:v>
      </x:c>
      <x:c r="P76" s="29" t="n">
        <x:v>23</x:v>
      </x:c>
      <x:c r="Q76" s="29" t="n">
        <x:v>391</x:v>
      </x:c>
      <x:c r="R76" s="30" t="n">
        <x:v>-0.7239998498333553</x:v>
      </x:c>
      <x:c r="S76" s="30" t="n">
        <x:v>0.8173968275538848</x:v>
      </x:c>
      <x:c r="T76" s="30" t="n">
        <x:v>0.8931897999301911</x:v>
      </x:c>
      <x:c r="U76" s="28" t="str">
        <x:f>IF(AND(G76&gt;=80%,I76&gt;0,L76&gt;=1),"YES","")</x:f>
      </x:c>
      <x:c r="V76" s="31" t="n">
        <x:f>I76+0.4*K76-2*MAX(0,90%-G76)</x:f>
        <x:v>-0.4250715512485939</x:v>
      </x:c>
    </x:row>
    <x:row r="77">
      <x:c r="A77" s="35" t="n">
        <x:v>71</x:v>
      </x:c>
      <x:c r="B77" s="33" t="str">
        <x:v>Premarket range and weak close</x:v>
      </x:c>
      <x:c r="C77" s="33" t="str">
        <x:v>Skip when premarket range is at least 1.0% and closes in its bottom 30%.</x:v>
      </x:c>
      <x:c r="D77" s="29" t="n">
        <x:v>104177798.55499999</x:v>
      </x:c>
      <x:c r="E77" s="29" t="n">
        <x:v>13000</x:v>
      </x:c>
      <x:c r="F77" s="30" t="n">
        <x:f>(D77/E77)^(1/('Methodology'!$B$4*7/365))-1</x:f>
        <x:v>1.9519460648617155</x:v>
      </x:c>
      <x:c r="G77" s="30" t="n">
        <x:f>F77/$F$6</x:f>
        <x:v>0.5090910002599363</x:v>
      </x:c>
      <x:c r="H77" s="30" t="n">
        <x:v>0.8931894508493899</x:v>
      </x:c>
      <x:c r="I77" s="30" t="n">
        <x:f>$H$6-H77</x:f>
        <x:v>0.01759181305872526</x:v>
      </x:c>
      <x:c r="J77" s="30" t="n">
        <x:v>0.89</x:v>
      </x:c>
      <x:c r="K77" s="30" t="n">
        <x:f>$J$6-J77</x:f>
        <x:v>0.02100000000000002</x:v>
      </x:c>
      <x:c r="L77" s="29" t="n">
        <x:v>3</x:v>
      </x:c>
      <x:c r="M77" s="29" t="n">
        <x:v>2</x:v>
      </x:c>
      <x:c r="N77" s="29" t="n">
        <x:v>61</x:v>
      </x:c>
      <x:c r="O77" s="29" t="n">
        <x:v>24</x:v>
      </x:c>
      <x:c r="P77" s="29" t="n">
        <x:v>37</x:v>
      </x:c>
      <x:c r="Q77" s="29" t="n">
        <x:v>372</x:v>
      </x:c>
      <x:c r="R77" s="30" t="n">
        <x:v>-0.7239993789297741</x:v>
      </x:c>
      <x:c r="S77" s="30" t="n">
        <x:v>0.8324496656779294</x:v>
      </x:c>
      <x:c r="T77" s="30" t="n">
        <x:v>0.8931894508493899</x:v>
      </x:c>
      <x:c r="U77" s="28" t="str">
        <x:f>IF(AND(G77&gt;=80%,I77&gt;0,L77&gt;=1),"YES","")</x:f>
      </x:c>
      <x:c r="V77" s="31" t="n">
        <x:f>I77+0.4*K77-2*MAX(0,90%-G77)</x:f>
        <x:v>-0.7558261864214023</x:v>
      </x:c>
    </x:row>
    <x:row r="78">
      <x:c r="A78" s="35" t="n">
        <x:v>72</x:v>
      </x:c>
      <x:c r="B78" s="33" t="str">
        <x:v>Premarket range and weak close</x:v>
      </x:c>
      <x:c r="C78" s="33" t="str">
        <x:v>Skip when premarket range is at least 1.0% and closes in its bottom 40%.</x:v>
      </x:c>
      <x:c r="D78" s="29" t="n">
        <x:v>29435285.42300002</x:v>
      </x:c>
      <x:c r="E78" s="29" t="n">
        <x:v>12655</x:v>
      </x:c>
      <x:c r="F78" s="30" t="n">
        <x:f>(D78/E78)^(1/('Methodology'!$B$4*7/365))-1</x:f>
        <x:v>1.543398785923931</x:v>
      </x:c>
      <x:c r="G78" s="30" t="n">
        <x:f>F78/$F$6</x:f>
        <x:v>0.40253695830558206</x:v>
      </x:c>
      <x:c r="H78" s="30" t="n">
        <x:v>0.8869482903907699</x:v>
      </x:c>
      <x:c r="I78" s="30" t="n">
        <x:f>$H$6-H78</x:f>
        <x:v>0.023832973517345257</x:v>
      </x:c>
      <x:c r="J78" s="30" t="n">
        <x:v>0.883</x:v>
      </x:c>
      <x:c r="K78" s="30" t="n">
        <x:f>$J$6-J78</x:f>
        <x:v>0.028000000000000025</x:v>
      </x:c>
      <x:c r="L78" s="29" t="n">
        <x:v>4</x:v>
      </x:c>
      <x:c r="M78" s="29" t="n">
        <x:v>2</x:v>
      </x:c>
      <x:c r="N78" s="29" t="n">
        <x:v>78</x:v>
      </x:c>
      <x:c r="O78" s="29" t="n">
        <x:v>28</x:v>
      </x:c>
      <x:c r="P78" s="29" t="n">
        <x:v>50</x:v>
      </x:c>
      <x:c r="Q78" s="29" t="n">
        <x:v>355</x:v>
      </x:c>
      <x:c r="R78" s="30" t="n">
        <x:v>-0.7239971061328503</x:v>
      </x:c>
      <x:c r="S78" s="30" t="n">
        <x:v>0.8474624839591123</x:v>
      </x:c>
      <x:c r="T78" s="30" t="n">
        <x:v>0.8869482903907699</x:v>
      </x:c>
      <x:c r="U78" s="28" t="str">
        <x:f>IF(AND(G78&gt;=80%,I78&gt;0,L78&gt;=1),"YES","")</x:f>
      </x:c>
      <x:c r="V78" s="31" t="n">
        <x:f>I78+0.4*K78-2*MAX(0,90%-G78)</x:f>
        <x:v>-0.9598931098714907</x:v>
      </x:c>
    </x:row>
    <x:row r="79">
      <x:c r="A79" s="35" t="n">
        <x:v>73</x:v>
      </x:c>
      <x:c r="B79" s="33" t="str">
        <x:v>Premarket range and weak close</x:v>
      </x:c>
      <x:c r="C79" s="33" t="str">
        <x:v>Skip when premarket range is at least 1.2% and closes in its bottom 10%.</x:v>
      </x:c>
      <x:c r="D79" s="29" t="n">
        <x:v>4748141289.797999</x:v>
      </x:c>
      <x:c r="E79" s="29" t="n">
        <x:v>14150</x:v>
      </x:c>
      <x:c r="F79" s="30" t="n">
        <x:f>(D79/E79)^(1/('Methodology'!$B$4*7/365))-1</x:f>
        <x:v>3.6283437905804785</x:v>
      </x:c>
      <x:c r="G79" s="30" t="n">
        <x:f>F79/$F$6</x:f>
        <x:v>0.9463156809941905</x:v>
      </x:c>
      <x:c r="H79" s="30" t="n">
        <x:v>0.8871498760548409</x:v>
      </x:c>
      <x:c r="I79" s="30" t="n">
        <x:f>$H$6-H79</x:f>
        <x:v>0.023631387853274344</x:v>
      </x:c>
      <x:c r="J79" s="30" t="n">
        <x:v>0.884</x:v>
      </x:c>
      <x:c r="K79" s="30" t="n">
        <x:f>$J$6-J79</x:f>
        <x:v>0.027000000000000024</x:v>
      </x:c>
      <x:c r="L79" s="29" t="n">
        <x:v>1</x:v>
      </x:c>
      <x:c r="M79" s="29" t="n">
        <x:v>1</x:v>
      </x:c>
      <x:c r="N79" s="29" t="n">
        <x:v>18</x:v>
      </x:c>
      <x:c r="O79" s="29" t="n">
        <x:v>8</x:v>
      </x:c>
      <x:c r="P79" s="29" t="n">
        <x:v>10</x:v>
      </x:c>
      <x:c r="Q79" s="29" t="n">
        <x:v>415</x:v>
      </x:c>
      <x:c r="R79" s="30" t="n">
        <x:v>-0.72399999791698</x:v>
      </x:c>
      <x:c r="S79" s="30" t="n">
        <x:v>0.8660471444254909</x:v>
      </x:c>
      <x:c r="T79" s="30" t="n">
        <x:v>0.8871498760548409</x:v>
      </x:c>
      <x:c r="U79" s="28" t="str">
        <x:f>IF(AND(G79&gt;=80%,I79&gt;0,L79&gt;=1),"YES","")</x:f>
        <x:v>YES</x:v>
      </x:c>
      <x:c r="V79" s="31" t="n">
        <x:f>I79+0.4*K79-2*MAX(0,90%-G79)</x:f>
        <x:v>0.034431387853274355</x:v>
      </x:c>
    </x:row>
    <x:row r="80">
      <x:c r="A80" s="35" t="n">
        <x:v>74</x:v>
      </x:c>
      <x:c r="B80" s="33" t="str">
        <x:v>Premarket range and weak close</x:v>
      </x:c>
      <x:c r="C80" s="33" t="str">
        <x:v>Skip when premarket range is at least 1.2% and closes in its bottom 20%.</x:v>
      </x:c>
      <x:c r="D80" s="29" t="n">
        <x:v>953150823.5969988</x:v>
      </x:c>
      <x:c r="E80" s="29" t="n">
        <x:v>13690</x:v>
      </x:c>
      <x:c r="F80" s="30" t="n">
        <x:f>(D80/E80)^(1/('Methodology'!$B$4*7/365))-1</x:f>
        <x:v>2.8297999769547966</x:v>
      </x:c>
      <x:c r="G80" s="30" t="n">
        <x:f>F80/$F$6</x:f>
        <x:v>0.7380458542052607</x:v>
      </x:c>
      <x:c r="H80" s="30" t="n">
        <x:v>0.8871498399552844</x:v>
      </x:c>
      <x:c r="I80" s="30" t="n">
        <x:f>$H$6-H80</x:f>
        <x:v>0.0236314239528308</x:v>
      </x:c>
      <x:c r="J80" s="30" t="n">
        <x:v>0.884</x:v>
      </x:c>
      <x:c r="K80" s="30" t="n">
        <x:f>$J$6-J80</x:f>
        <x:v>0.027000000000000024</x:v>
      </x:c>
      <x:c r="L80" s="29" t="n">
        <x:v>3</x:v>
      </x:c>
      <x:c r="M80" s="29" t="n">
        <x:v>2</x:v>
      </x:c>
      <x:c r="N80" s="29" t="n">
        <x:v>36</x:v>
      </x:c>
      <x:c r="O80" s="29" t="n">
        <x:v>16</x:v>
      </x:c>
      <x:c r="P80" s="29" t="n">
        <x:v>20</x:v>
      </x:c>
      <x:c r="Q80" s="29" t="n">
        <x:v>397</x:v>
      </x:c>
      <x:c r="R80" s="30" t="n">
        <x:v>-0.7239999932438371</x:v>
      </x:c>
      <x:c r="S80" s="30" t="n">
        <x:v>0.839482233056697</x:v>
      </x:c>
      <x:c r="T80" s="30" t="n">
        <x:v>0.8871498399552844</x:v>
      </x:c>
      <x:c r="U80" s="28" t="str">
        <x:f>IF(AND(G80&gt;=80%,I80&gt;0,L80&gt;=1),"YES","")</x:f>
      </x:c>
      <x:c r="V80" s="31" t="n">
        <x:f>I80+0.4*K80-2*MAX(0,90%-G80)</x:f>
        <x:v>-0.2894768676366478</x:v>
      </x:c>
    </x:row>
    <x:row r="81">
      <x:c r="A81" s="35" t="n">
        <x:v>75</x:v>
      </x:c>
      <x:c r="B81" s="33" t="str">
        <x:v>Premarket range and weak close</x:v>
      </x:c>
      <x:c r="C81" s="33" t="str">
        <x:v>Skip when premarket range is at least 1.2% and closes in its bottom 30%.</x:v>
      </x:c>
      <x:c r="D81" s="29" t="n">
        <x:v>335426603.5649999</x:v>
      </x:c>
      <x:c r="E81" s="29" t="n">
        <x:v>13345</x:v>
      </x:c>
      <x:c r="F81" s="30" t="n">
        <x:f>(D81/E81)^(1/('Methodology'!$B$4*7/365))-1</x:f>
        <x:v>2.3875968597217034</x:v>
      </x:c>
      <x:c r="G81" s="30" t="n">
        <x:f>F81/$F$6</x:f>
        <x:v>0.6227139650087189</x:v>
      </x:c>
      <x:c r="H81" s="30" t="n">
        <x:v>0.887149754688589</x:v>
      </x:c>
      <x:c r="I81" s="30" t="n">
        <x:f>$H$6-H81</x:f>
        <x:v>0.02363150921952617</x:v>
      </x:c>
      <x:c r="J81" s="30" t="n">
        <x:v>0.884</x:v>
      </x:c>
      <x:c r="K81" s="30" t="n">
        <x:f>$J$6-J81</x:f>
        <x:v>0.027000000000000024</x:v>
      </x:c>
      <x:c r="L81" s="29" t="n">
        <x:v>3</x:v>
      </x:c>
      <x:c r="M81" s="29" t="n">
        <x:v>2</x:v>
      </x:c>
      <x:c r="N81" s="29" t="n">
        <x:v>50</x:v>
      </x:c>
      <x:c r="O81" s="29" t="n">
        <x:v>20</x:v>
      </x:c>
      <x:c r="P81" s="29" t="n">
        <x:v>30</x:v>
      </x:c>
      <x:c r="Q81" s="29" t="n">
        <x:v>383</x:v>
      </x:c>
      <x:c r="R81" s="30" t="n">
        <x:v>-0.7239999406753588</x:v>
      </x:c>
      <x:c r="S81" s="30" t="n">
        <x:v>0.8559615903095255</x:v>
      </x:c>
      <x:c r="T81" s="30" t="n">
        <x:v>0.887149754688589</x:v>
      </x:c>
      <x:c r="U81" s="28" t="str">
        <x:f>IF(AND(G81&gt;=80%,I81&gt;0,L81&gt;=1),"YES","")</x:f>
      </x:c>
      <x:c r="V81" s="31" t="n">
        <x:f>I81+0.4*K81-2*MAX(0,90%-G81)</x:f>
        <x:v>-0.520140560763036</x:v>
      </x:c>
    </x:row>
    <x:row r="82">
      <x:c r="A82" s="35" t="n">
        <x:v>76</x:v>
      </x:c>
      <x:c r="B82" s="33" t="str">
        <x:v>Premarket range and weak close</x:v>
      </x:c>
      <x:c r="C82" s="33" t="str">
        <x:v>Skip when premarket range is at least 1.2% and closes in its bottom 40%.</x:v>
      </x:c>
      <x:c r="D82" s="29" t="n">
        <x:v>104695110.69100004</x:v>
      </x:c>
      <x:c r="E82" s="29" t="n">
        <x:v>13115</x:v>
      </x:c>
      <x:c r="F82" s="30" t="n">
        <x:f>(D82/E82)^(1/('Methodology'!$B$4*7/365))-1</x:f>
        <x:v>1.9505764055124004</x:v>
      </x:c>
      <x:c r="G82" s="30" t="n">
        <x:f>F82/$F$6</x:f>
        <x:v>0.5087337766354159</x:v>
      </x:c>
      <x:c r="H82" s="30" t="n">
        <x:v>0.8805562125446875</x:v>
      </x:c>
      <x:c r="I82" s="30" t="n">
        <x:f>$H$6-H82</x:f>
        <x:v>0.03022505136342768</x:v>
      </x:c>
      <x:c r="J82" s="30" t="n">
        <x:v>0.877</x:v>
      </x:c>
      <x:c r="K82" s="30" t="n">
        <x:f>$J$6-J82</x:f>
        <x:v>0.03400000000000003</x:v>
      </x:c>
      <x:c r="L82" s="29" t="n">
        <x:v>3</x:v>
      </x:c>
      <x:c r="M82" s="29" t="n">
        <x:v>2</x:v>
      </x:c>
      <x:c r="N82" s="29" t="n">
        <x:v>63</x:v>
      </x:c>
      <x:c r="O82" s="29" t="n">
        <x:v>23</x:v>
      </x:c>
      <x:c r="P82" s="29" t="n">
        <x:v>40</x:v>
      </x:c>
      <x:c r="Q82" s="29" t="n">
        <x:v>370</x:v>
      </x:c>
      <x:c r="R82" s="30" t="n">
        <x:v>-0.7239989970790813</x:v>
      </x:c>
      <x:c r="S82" s="30" t="n">
        <x:v>0.8689621322803782</x:v>
      </x:c>
      <x:c r="T82" s="30" t="n">
        <x:v>0.8805562125446875</x:v>
      </x:c>
      <x:c r="U82" s="28" t="str">
        <x:f>IF(AND(G82&gt;=80%,I82&gt;0,L82&gt;=1),"YES","")</x:f>
      </x:c>
      <x:c r="V82" s="31" t="n">
        <x:f>I82+0.4*K82-2*MAX(0,90%-G82)</x:f>
        <x:v>-0.7387073953657406</x:v>
      </x:c>
    </x:row>
    <x:row r="83">
      <x:c r="A83" s="35" t="n">
        <x:v>77</x:v>
      </x:c>
      <x:c r="B83" s="33" t="str">
        <x:v>Premarket range and weak close</x:v>
      </x:c>
      <x:c r="C83" s="33" t="str">
        <x:v>Skip when premarket range is at least 1.4% and closes in its bottom 10%.</x:v>
      </x:c>
      <x:c r="D83" s="29" t="n">
        <x:v>3674863048.126995</x:v>
      </x:c>
      <x:c r="E83" s="29" t="n">
        <x:v>14150</x:v>
      </x:c>
      <x:c r="F83" s="30" t="n">
        <x:f>(D83/E83)^(1/('Methodology'!$B$4*7/365))-1</x:f>
        <x:v>3.48770931869963</x:v>
      </x:c>
      <x:c r="G83" s="30" t="n">
        <x:f>F83/$F$6</x:f>
        <x:v>0.9096365200021468</x:v>
      </x:c>
      <x:c r="H83" s="30" t="n">
        <x:v>0.8871498738412482</x:v>
      </x:c>
      <x:c r="I83" s="30" t="n">
        <x:f>$H$6-H83</x:f>
        <x:v>0.023631390066866986</x:v>
      </x:c>
      <x:c r="J83" s="30" t="n">
        <x:v>0.887</x:v>
      </x:c>
      <x:c r="K83" s="30" t="n">
        <x:f>$J$6-J83</x:f>
        <x:v>0.02400000000000002</x:v>
      </x:c>
      <x:c r="L83" s="29" t="n">
        <x:v>1</x:v>
      </x:c>
      <x:c r="M83" s="29" t="n">
        <x:v>0</x:v>
      </x:c>
      <x:c r="N83" s="29" t="n">
        <x:v>13</x:v>
      </x:c>
      <x:c r="O83" s="29" t="n">
        <x:v>6</x:v>
      </x:c>
      <x:c r="P83" s="29" t="n">
        <x:v>7</x:v>
      </x:c>
      <x:c r="Q83" s="29" t="n">
        <x:v>420</x:v>
      </x:c>
      <x:c r="R83" s="30" t="n">
        <x:v>-0.7239999175201225</x:v>
      </x:c>
      <x:c r="S83" s="30" t="n">
        <x:v>0.8870434685189335</x:v>
      </x:c>
      <x:c r="T83" s="30" t="n">
        <x:v>0.8871498738412482</x:v>
      </x:c>
      <x:c r="U83" s="28" t="str">
        <x:f>IF(AND(G83&gt;=80%,I83&gt;0,L83&gt;=1),"YES","")</x:f>
        <x:v>YES</x:v>
      </x:c>
      <x:c r="V83" s="31" t="n">
        <x:f>I83+0.4*K83-2*MAX(0,90%-G83)</x:f>
        <x:v>0.033231390066867</x:v>
      </x:c>
    </x:row>
    <x:row r="84">
      <x:c r="A84" s="35" t="n">
        <x:v>78</x:v>
      </x:c>
      <x:c r="B84" s="33" t="str">
        <x:v>Premarket range and weak close</x:v>
      </x:c>
      <x:c r="C84" s="33" t="str">
        <x:v>Skip when premarket range is at least 1.4% and closes in its bottom 20%.</x:v>
      </x:c>
      <x:c r="D84" s="29" t="n">
        <x:v>1086609468.2149997</x:v>
      </x:c>
      <x:c r="E84" s="29" t="n">
        <x:v>13805</x:v>
      </x:c>
      <x:c r="F84" s="30" t="n">
        <x:f>(D84/E84)^(1/('Methodology'!$B$4*7/365))-1</x:f>
        <x:v>2.886798794741955</x:v>
      </x:c>
      <x:c r="G84" s="30" t="n">
        <x:f>F84/$F$6</x:f>
        <x:v>0.7529118311311929</x:v>
      </x:c>
      <x:c r="H84" s="30" t="n">
        <x:v>0.8871498511826691</x:v>
      </x:c>
      <x:c r="I84" s="30" t="n">
        <x:f>$H$6-H84</x:f>
        <x:v>0.02363141272544611</x:v>
      </x:c>
      <x:c r="J84" s="30" t="n">
        <x:v>0.884</x:v>
      </x:c>
      <x:c r="K84" s="30" t="n">
        <x:f>$J$6-J84</x:f>
        <x:v>0.027000000000000024</x:v>
      </x:c>
      <x:c r="L84" s="29" t="n">
        <x:v>3</x:v>
      </x:c>
      <x:c r="M84" s="29" t="n">
        <x:v>1</x:v>
      </x:c>
      <x:c r="N84" s="29" t="n">
        <x:v>26</x:v>
      </x:c>
      <x:c r="O84" s="29" t="n">
        <x:v>12</x:v>
      </x:c>
      <x:c r="P84" s="29" t="n">
        <x:v>14</x:v>
      </x:c>
      <x:c r="Q84" s="29" t="n">
        <x:v>407</x:v>
      </x:c>
      <x:c r="R84" s="30" t="n">
        <x:v>-0.723999768553704</x:v>
      </x:c>
      <x:c r="S84" s="30" t="n">
        <x:v>0.8396214024031615</x:v>
      </x:c>
      <x:c r="T84" s="30" t="n">
        <x:v>0.8871498511826691</x:v>
      </x:c>
      <x:c r="U84" s="28" t="str">
        <x:f>IF(AND(G84&gt;=80%,I84&gt;0,L84&gt;=1),"YES","")</x:f>
      </x:c>
      <x:c r="V84" s="31" t="n">
        <x:f>I84+0.4*K84-2*MAX(0,90%-G84)</x:f>
        <x:v>-0.25974492501216817</x:v>
      </x:c>
    </x:row>
    <x:row r="85">
      <x:c r="A85" s="35" t="n">
        <x:v>79</x:v>
      </x:c>
      <x:c r="B85" s="33" t="str">
        <x:v>Premarket range and weak close</x:v>
      </x:c>
      <x:c r="C85" s="33" t="str">
        <x:v>Skip when premarket range is at least 1.4% and closes in its bottom 30%.</x:v>
      </x:c>
      <x:c r="D85" s="29" t="n">
        <x:v>387275978.6069995</x:v>
      </x:c>
      <x:c r="E85" s="29" t="n">
        <x:v>13460</x:v>
      </x:c>
      <x:c r="F85" s="30" t="n">
        <x:f>(D85/E85)^(1/('Methodology'!$B$4*7/365))-1</x:f>
        <x:v>2.4431829425441554</x:v>
      </x:c>
      <x:c r="G85" s="30" t="n">
        <x:f>F85/$F$6</x:f>
        <x:v>0.637211483671776</x:v>
      </x:c>
      <x:c r="H85" s="30" t="n">
        <x:v>0.8871498000346721</x:v>
      </x:c>
      <x:c r="I85" s="30" t="n">
        <x:f>$H$6-H85</x:f>
        <x:v>0.02363146387344306</x:v>
      </x:c>
      <x:c r="J85" s="30" t="n">
        <x:v>0.884</x:v>
      </x:c>
      <x:c r="K85" s="30" t="n">
        <x:f>$J$6-J85</x:f>
        <x:v>0.027000000000000024</x:v>
      </x:c>
      <x:c r="L85" s="29" t="n">
        <x:v>3</x:v>
      </x:c>
      <x:c r="M85" s="29" t="n">
        <x:v>1</x:v>
      </x:c>
      <x:c r="N85" s="29" t="n">
        <x:v>37</x:v>
      </x:c>
      <x:c r="O85" s="29" t="n">
        <x:v>15</x:v>
      </x:c>
      <x:c r="P85" s="29" t="n">
        <x:v>22</x:v>
      </x:c>
      <x:c r="Q85" s="29" t="n">
        <x:v>396</x:v>
      </x:c>
      <x:c r="R85" s="30" t="n">
        <x:v>-0.7239995625135688</x:v>
      </x:c>
      <x:c r="S85" s="30" t="n">
        <x:v>0.8560912322137622</x:v>
      </x:c>
      <x:c r="T85" s="30" t="n">
        <x:v>0.8871498000346721</x:v>
      </x:c>
      <x:c r="U85" s="28" t="str">
        <x:f>IF(AND(G85&gt;=80%,I85&gt;0,L85&gt;=1),"YES","")</x:f>
      </x:c>
      <x:c r="V85" s="31" t="n">
        <x:f>I85+0.4*K85-2*MAX(0,90%-G85)</x:f>
        <x:v>-0.49114556878300486</x:v>
      </x:c>
    </x:row>
    <x:row r="86">
      <x:c r="A86" s="35" t="n">
        <x:v>80</x:v>
      </x:c>
      <x:c r="B86" s="33" t="str">
        <x:v>Premarket range and weak close</x:v>
      </x:c>
      <x:c r="C86" s="33" t="str">
        <x:v>Skip when premarket range is at least 1.4% and closes in its bottom 40%.</x:v>
      </x:c>
      <x:c r="D86" s="29" t="n">
        <x:v>176519188.46099976</x:v>
      </x:c>
      <x:c r="E86" s="29" t="n">
        <x:v>13230</x:v>
      </x:c>
      <x:c r="F86" s="30" t="n">
        <x:f>(D86/E86)^(1/('Methodology'!$B$4*7/365))-1</x:f>
        <x:v>2.138845552632637</x:v>
      </x:c>
      <x:c r="G86" s="30" t="n">
        <x:f>F86/$F$6</x:f>
        <x:v>0.5578366336000198</x:v>
      </x:c>
      <x:c r="H86" s="30" t="n">
        <x:v>0.8805563951923</x:v>
      </x:c>
      <x:c r="I86" s="30" t="n">
        <x:f>$H$6-H86</x:f>
        <x:v>0.0302248687158152</x:v>
      </x:c>
      <x:c r="J86" s="30" t="n">
        <x:v>0.877</x:v>
      </x:c>
      <x:c r="K86" s="30" t="n">
        <x:f>$J$6-J86</x:f>
        <x:v>0.03400000000000003</x:v>
      </x:c>
      <x:c r="L86" s="29" t="n">
        <x:v>3</x:v>
      </x:c>
      <x:c r="M86" s="29" t="n">
        <x:v>1</x:v>
      </x:c>
      <x:c r="N86" s="29" t="n">
        <x:v>47</x:v>
      </x:c>
      <x:c r="O86" s="29" t="n">
        <x:v>18</x:v>
      </x:c>
      <x:c r="P86" s="29" t="n">
        <x:v>29</x:v>
      </x:c>
      <x:c r="Q86" s="29" t="n">
        <x:v>386</x:v>
      </x:c>
      <x:c r="R86" s="30" t="n">
        <x:v>-0.7239993289616011</x:v>
      </x:c>
      <x:c r="S86" s="30" t="n">
        <x:v>0.8690731838708838</x:v>
      </x:c>
      <x:c r="T86" s="30" t="n">
        <x:v>0.8805563951923</x:v>
      </x:c>
      <x:c r="U86" s="28" t="str">
        <x:f>IF(AND(G86&gt;=80%,I86&gt;0,L86&gt;=1),"YES","")</x:f>
      </x:c>
      <x:c r="V86" s="31" t="n">
        <x:f>I86+0.4*K86-2*MAX(0,90%-G86)</x:f>
        <x:v>-0.6405018640841452</x:v>
      </x:c>
    </x:row>
    <x:row r="87">
      <x:c r="A87" s="35" t="n">
        <x:v>81</x:v>
      </x:c>
      <x:c r="B87" s="33" t="str">
        <x:v>Cash gap down</x:v>
      </x:c>
      <x:c r="C87" s="33" t="str">
        <x:v>Skip when cash open gaps down 0.3% or more.</x:v>
      </x:c>
      <x:c r="D87" s="29" t="n">
        <x:v>9812854.766000006</x:v>
      </x:c>
      <x:c r="E87" s="29" t="n">
        <x:v>12080</x:v>
      </x:c>
      <x:c r="F87" s="30" t="n">
        <x:f>(D87/E87)^(1/('Methodology'!$B$4*7/365))-1</x:f>
        <x:v>1.2407644157470292</x:v>
      </x:c>
      <x:c r="G87" s="30" t="n">
        <x:f>F87/$F$6</x:f>
        <x:v>0.32360627625453386</x:v>
      </x:c>
      <x:c r="H87" s="30" t="n">
        <x:v>0.886044674389585</x:v>
      </x:c>
      <x:c r="I87" s="30" t="n">
        <x:f>$H$6-H87</x:f>
        <x:v>0.024736589518530194</x:v>
      </x:c>
      <x:c r="J87" s="30" t="n">
        <x:v>0.882</x:v>
      </x:c>
      <x:c r="K87" s="30" t="n">
        <x:f>$J$6-J87</x:f>
        <x:v>0.029000000000000026</x:v>
      </x:c>
      <x:c r="L87" s="29" t="n">
        <x:v>9</x:v>
      </x:c>
      <x:c r="M87" s="29" t="n">
        <x:v>5</x:v>
      </x:c>
      <x:c r="N87" s="29" t="n">
        <x:v>125</x:v>
      </x:c>
      <x:c r="O87" s="29" t="n">
        <x:v>48</x:v>
      </x:c>
      <x:c r="P87" s="29" t="n">
        <x:v>77</x:v>
      </x:c>
      <x:c r="Q87" s="29" t="n">
        <x:v>308</x:v>
      </x:c>
      <x:c r="R87" s="30" t="n">
        <x:v>-0.7239914961187205</x:v>
      </x:c>
      <x:c r="S87" s="30" t="n">
        <x:v>0.7226425801904799</x:v>
      </x:c>
      <x:c r="T87" s="30" t="n">
        <x:v>0.886044674389585</x:v>
      </x:c>
      <x:c r="U87" s="28" t="str">
        <x:f>IF(AND(G87&gt;=80%,I87&gt;0,L87&gt;=1),"YES","")</x:f>
      </x:c>
      <x:c r="V87" s="31" t="n">
        <x:f>I87+0.4*K87-2*MAX(0,90%-G87)</x:f>
        <x:v>-1.1164508579724022</x:v>
      </x:c>
    </x:row>
    <x:row r="88">
      <x:c r="A88" s="35" t="n">
        <x:v>82</x:v>
      </x:c>
      <x:c r="B88" s="33" t="str">
        <x:v>Cash gap down</x:v>
      </x:c>
      <x:c r="C88" s="33" t="str">
        <x:v>Skip when cash open gaps down 0.4% or more.</x:v>
      </x:c>
      <x:c r="D88" s="29" t="n">
        <x:v>40745395.33000011</x:v>
      </x:c>
      <x:c r="E88" s="29" t="n">
        <x:v>12310</x:v>
      </x:c>
      <x:c r="F88" s="30" t="n">
        <x:f>(D88/E88)^(1/('Methodology'!$B$4*7/365))-1</x:f>
        <x:v>1.6537798258902385</x:v>
      </x:c>
      <x:c r="G88" s="30" t="n">
        <x:f>F88/$F$6</x:f>
        <x:v>0.43132566054370486</x:v>
      </x:c>
      <x:c r="H88" s="30" t="n">
        <x:v>0.8860534594525444</x:v>
      </x:c>
      <x:c r="I88" s="30" t="n">
        <x:f>$H$6-H88</x:f>
        <x:v>0.024727804455570768</x:v>
      </x:c>
      <x:c r="J88" s="30" t="n">
        <x:v>0.882</x:v>
      </x:c>
      <x:c r="K88" s="30" t="n">
        <x:f>$J$6-J88</x:f>
        <x:v>0.029000000000000026</x:v>
      </x:c>
      <x:c r="L88" s="29" t="n">
        <x:v>9</x:v>
      </x:c>
      <x:c r="M88" s="29" t="n">
        <x:v>5</x:v>
      </x:c>
      <x:c r="N88" s="29" t="n">
        <x:v>111</x:v>
      </x:c>
      <x:c r="O88" s="29" t="n">
        <x:v>43</x:v>
      </x:c>
      <x:c r="P88" s="29" t="n">
        <x:v>68</x:v>
      </x:c>
      <x:c r="Q88" s="29" t="n">
        <x:v>322</x:v>
      </x:c>
      <x:c r="R88" s="30" t="n">
        <x:v>-0.7239987853022692</x:v>
      </x:c>
      <x:c r="S88" s="30" t="n">
        <x:v>0.7229424208037353</x:v>
      </x:c>
      <x:c r="T88" s="30" t="n">
        <x:v>0.8860534594525444</x:v>
      </x:c>
      <x:c r="U88" s="28" t="str">
        <x:f>IF(AND(G88&gt;=80%,I88&gt;0,L88&gt;=1),"YES","")</x:f>
      </x:c>
      <x:c r="V88" s="31" t="n">
        <x:f>I88+0.4*K88-2*MAX(0,90%-G88)</x:f>
        <x:v>-0.9010208744570195</x:v>
      </x:c>
    </x:row>
    <x:row r="89">
      <x:c r="A89" s="35" t="n">
        <x:v>83</x:v>
      </x:c>
      <x:c r="B89" s="33" t="str">
        <x:v>Cash gap down</x:v>
      </x:c>
      <x:c r="C89" s="33" t="str">
        <x:v>Skip when cash open gaps down 0.5% or more.</x:v>
      </x:c>
      <x:c r="D89" s="29" t="n">
        <x:v>94177138.35600008</x:v>
      </x:c>
      <x:c r="E89" s="29" t="n">
        <x:v>12540</x:v>
      </x:c>
      <x:c r="F89" s="30" t="n">
        <x:f>(D89/E89)^(1/('Methodology'!$B$4*7/365))-1</x:f>
        <x:v>1.9289668182825</x:v>
      </x:c>
      <x:c r="G89" s="30" t="n">
        <x:f>F89/$F$6</x:f>
        <x:v>0.5030977364926501</x:v>
      </x:c>
      <x:c r="H89" s="30" t="n">
        <x:v>0.8860544683158694</x:v>
      </x:c>
      <x:c r="I89" s="30" t="n">
        <x:f>$H$6-H89</x:f>
        <x:v>0.024726795592245776</x:v>
      </x:c>
      <x:c r="J89" s="30" t="n">
        <x:v>0.882</x:v>
      </x:c>
      <x:c r="K89" s="30" t="n">
        <x:f>$J$6-J89</x:f>
        <x:v>0.029000000000000026</x:v>
      </x:c>
      <x:c r="L89" s="29" t="n">
        <x:v>8</x:v>
      </x:c>
      <x:c r="M89" s="29" t="n">
        <x:v>4</x:v>
      </x:c>
      <x:c r="N89" s="29" t="n">
        <x:v>92</x:v>
      </x:c>
      <x:c r="O89" s="29" t="n">
        <x:v>37</x:v>
      </x:c>
      <x:c r="P89" s="29" t="n">
        <x:v>55</x:v>
      </x:c>
      <x:c r="Q89" s="29" t="n">
        <x:v>341</x:v>
      </x:c>
      <x:c r="R89" s="30" t="n">
        <x:v>-0.7239991730483227</x:v>
      </x:c>
      <x:c r="S89" s="30" t="n">
        <x:v>0.8173581571688731</x:v>
      </x:c>
      <x:c r="T89" s="30" t="n">
        <x:v>0.8860544683158694</x:v>
      </x:c>
      <x:c r="U89" s="28" t="str">
        <x:f>IF(AND(G89&gt;=80%,I89&gt;0,L89&gt;=1),"YES","")</x:f>
      </x:c>
      <x:c r="V89" s="31" t="n">
        <x:f>I89+0.4*K89-2*MAX(0,90%-G89)</x:f>
        <x:v>-0.757477731422454</x:v>
      </x:c>
    </x:row>
    <x:row r="90">
      <x:c r="A90" s="35" t="n">
        <x:v>84</x:v>
      </x:c>
      <x:c r="B90" s="33" t="str">
        <x:v>Cash gap down</x:v>
      </x:c>
      <x:c r="C90" s="33" t="str">
        <x:v>Skip when cash open gaps down 0.6% or more.</x:v>
      </x:c>
      <x:c r="D90" s="29" t="n">
        <x:v>60562977.30700001</x:v>
      </x:c>
      <x:c r="E90" s="29" t="n">
        <x:v>12885</x:v>
      </x:c>
      <x:c r="F90" s="30" t="n">
        <x:f>(D90/E90)^(1/('Methodology'!$B$4*7/365))-1</x:f>
        <x:v>1.7682511136961079</x:v>
      </x:c>
      <x:c r="G90" s="30" t="n">
        <x:f>F90/$F$6</x:f>
        <x:v>0.4611811485918655</x:v>
      </x:c>
      <x:c r="H90" s="30" t="n">
        <x:v>0.8860538841314063</x:v>
      </x:c>
      <x:c r="I90" s="30" t="n">
        <x:f>$H$6-H90</x:f>
        <x:v>0.024727379776708913</x:v>
      </x:c>
      <x:c r="J90" s="30" t="n">
        <x:v>0.882</x:v>
      </x:c>
      <x:c r="K90" s="30" t="n">
        <x:f>$J$6-J90</x:f>
        <x:v>0.029000000000000026</x:v>
      </x:c>
      <x:c r="L90" s="29" t="n">
        <x:v>6</x:v>
      </x:c>
      <x:c r="M90" s="29" t="n">
        <x:v>2</x:v>
      </x:c>
      <x:c r="N90" s="29" t="n">
        <x:v>82</x:v>
      </x:c>
      <x:c r="O90" s="29" t="n">
        <x:v>33</x:v>
      </x:c>
      <x:c r="P90" s="29" t="n">
        <x:v>49</x:v>
      </x:c>
      <x:c r="Q90" s="29" t="n">
        <x:v>351</x:v>
      </x:c>
      <x:c r="R90" s="30" t="n">
        <x:v>-0.723999463408282</x:v>
      </x:c>
      <x:c r="S90" s="30" t="n">
        <x:v>0.8762374532561034</x:v>
      </x:c>
      <x:c r="T90" s="30" t="n">
        <x:v>0.8860538841314063</x:v>
      </x:c>
      <x:c r="U90" s="28" t="str">
        <x:f>IF(AND(G90&gt;=80%,I90&gt;0,L90&gt;=1),"YES","")</x:f>
      </x:c>
      <x:c r="V90" s="31" t="n">
        <x:f>I90+0.4*K90-2*MAX(0,90%-G90)</x:f>
        <x:v>-0.8413103230395601</x:v>
      </x:c>
    </x:row>
    <x:row r="91">
      <x:c r="A91" s="35" t="n">
        <x:v>85</x:v>
      </x:c>
      <x:c r="B91" s="33" t="str">
        <x:v>Cash gap down</x:v>
      </x:c>
      <x:c r="C91" s="33" t="str">
        <x:v>Skip when cash open gaps down 0.7% or more.</x:v>
      </x:c>
      <x:c r="D91" s="29" t="n">
        <x:v>106700192.38600013</x:v>
      </x:c>
      <x:c r="E91" s="29" t="n">
        <x:v>13460</x:v>
      </x:c>
      <x:c r="F91" s="30" t="n">
        <x:f>(D91/E91)^(1/('Methodology'!$B$4*7/365))-1</x:f>
        <x:v>1.9480919625007678</x:v>
      </x:c>
      <x:c r="G91" s="30" t="n">
        <x:f>F91/$F$6</x:f>
        <x:v>0.5080858040296921</x:v>
      </x:c>
      <x:c r="H91" s="30" t="n">
        <x:v>0.9179069585293212</x:v>
      </x:c>
      <x:c r="I91" s="30" t="n">
        <x:f>$H$6-H91</x:f>
        <x:v>-0.007125694621206047</x:v>
      </x:c>
      <x:c r="J91" s="30" t="n">
        <x:v>0.918</x:v>
      </x:c>
      <x:c r="K91" s="30" t="n">
        <x:f>$J$6-J91</x:f>
        <x:v>-0.007000000000000006</x:v>
      </x:c>
      <x:c r="L91" s="29" t="n">
        <x:v>4</x:v>
      </x:c>
      <x:c r="M91" s="29" t="n">
        <x:v>1</x:v>
      </x:c>
      <x:c r="N91" s="29" t="n">
        <x:v>65</x:v>
      </x:c>
      <x:c r="O91" s="29" t="n">
        <x:v>26</x:v>
      </x:c>
      <x:c r="P91" s="29" t="n">
        <x:v>39</x:v>
      </x:c>
      <x:c r="Q91" s="29" t="n">
        <x:v>368</x:v>
      </x:c>
      <x:c r="R91" s="30" t="n">
        <x:v>-0.7239995136140133</x:v>
      </x:c>
      <x:c r="S91" s="30" t="n">
        <x:v>0.9179069585293212</x:v>
      </x:c>
      <x:c r="T91" s="30" t="n">
        <x:v>0.8860543041102373</x:v>
      </x:c>
      <x:c r="U91" s="28" t="str">
        <x:f>IF(AND(G91&gt;=80%,I91&gt;0,L91&gt;=1),"YES","")</x:f>
      </x:c>
      <x:c r="V91" s="31" t="n">
        <x:f>I91+0.4*K91-2*MAX(0,90%-G91)</x:f>
        <x:v>-0.793754086561822</x:v>
      </x:c>
    </x:row>
    <x:row r="92">
      <x:c r="A92" s="35" t="n">
        <x:v>86</x:v>
      </x:c>
      <x:c r="B92" s="33" t="str">
        <x:v>Cash gap down</x:v>
      </x:c>
      <x:c r="C92" s="33" t="str">
        <x:v>Skip when cash open gaps down 0.8% or more.</x:v>
      </x:c>
      <x:c r="D92" s="29" t="n">
        <x:v>60518597.979000136</x:v>
      </x:c>
      <x:c r="E92" s="29" t="n">
        <x:v>13805</x:v>
      </x:c>
      <x:c r="F92" s="30" t="n">
        <x:f>(D92/E92)^(1/('Methodology'!$B$4*7/365))-1</x:f>
        <x:v>1.7451132018731612</x:v>
      </x:c>
      <x:c r="G92" s="30" t="n">
        <x:f>F92/$F$6</x:f>
        <x:v>0.45514650302152043</x:v>
      </x:c>
      <x:c r="H92" s="30" t="n">
        <x:v>0.896732592514629</x:v>
      </x:c>
      <x:c r="I92" s="30" t="n">
        <x:f>$H$6-H92</x:f>
        <x:v>0.0140486713934862</x:v>
      </x:c>
      <x:c r="J92" s="30" t="n">
        <x:v>0.897</x:v>
      </x:c>
      <x:c r="K92" s="30" t="n">
        <x:f>$J$6-J92</x:f>
        <x:v>0.014000000000000012</x:v>
      </x:c>
      <x:c r="L92" s="29" t="n">
        <x:v>3</x:v>
      </x:c>
      <x:c r="M92" s="29" t="n">
        <x:v>0</x:v>
      </x:c>
      <x:c r="N92" s="29" t="n">
        <x:v>58</x:v>
      </x:c>
      <x:c r="O92" s="29" t="n">
        <x:v>21</x:v>
      </x:c>
      <x:c r="P92" s="29" t="n">
        <x:v>37</x:v>
      </x:c>
      <x:c r="Q92" s="29" t="n">
        <x:v>375</x:v>
      </x:c>
      <x:c r="R92" s="30" t="n">
        <x:v>-0.7239978604964669</x:v>
      </x:c>
      <x:c r="S92" s="30" t="n">
        <x:v>0.896732592514629</x:v>
      </x:c>
      <x:c r="T92" s="30" t="n">
        <x:v>0.8860527862867252</x:v>
      </x:c>
      <x:c r="U92" s="28" t="str">
        <x:f>IF(AND(G92&gt;=80%,I92&gt;0,L92&gt;=1),"YES","")</x:f>
      </x:c>
      <x:c r="V92" s="31" t="n">
        <x:f>I92+0.4*K92-2*MAX(0,90%-G92)</x:f>
        <x:v>-0.8700583225634729</x:v>
      </x:c>
    </x:row>
    <x:row r="93">
      <x:c r="A93" s="35" t="n">
        <x:v>87</x:v>
      </x:c>
      <x:c r="B93" s="33" t="str">
        <x:v>Cash gap down</x:v>
      </x:c>
      <x:c r="C93" s="33" t="str">
        <x:v>Skip when cash open gaps down 0.9% or more.</x:v>
      </x:c>
      <x:c r="D93" s="29" t="n">
        <x:v>29297531.15499998</x:v>
      </x:c>
      <x:c r="E93" s="29" t="n">
        <x:v>13805</x:v>
      </x:c>
      <x:c r="F93" s="30" t="n">
        <x:f>(D93/E93)^(1/('Methodology'!$B$4*7/365))-1</x:f>
        <x:v>1.5154765239739336</x:v>
      </x:c>
      <x:c r="G93" s="30" t="n">
        <x:f>F93/$F$6</x:f>
        <x:v>0.3952544967040361</x:v>
      </x:c>
      <x:c r="H93" s="30" t="n">
        <x:v>0.896732592514629</x:v>
      </x:c>
      <x:c r="I93" s="30" t="n">
        <x:f>$H$6-H93</x:f>
        <x:v>0.0140486713934862</x:v>
      </x:c>
      <x:c r="J93" s="30" t="n">
        <x:v>0.897</x:v>
      </x:c>
      <x:c r="K93" s="30" t="n">
        <x:f>$J$6-J93</x:f>
        <x:v>0.014000000000000012</x:v>
      </x:c>
      <x:c r="L93" s="29" t="n">
        <x:v>1</x:v>
      </x:c>
      <x:c r="M93" s="29" t="n">
        <x:v>0</x:v>
      </x:c>
      <x:c r="N93" s="29" t="n">
        <x:v>51</x:v>
      </x:c>
      <x:c r="O93" s="29" t="n">
        <x:v>17</x:v>
      </x:c>
      <x:c r="P93" s="29" t="n">
        <x:v>34</x:v>
      </x:c>
      <x:c r="Q93" s="29" t="n">
        <x:v>382</x:v>
      </x:c>
      <x:c r="R93" s="30" t="n">
        <x:v>-0.7239993659433638</x:v>
      </x:c>
      <x:c r="S93" s="30" t="n">
        <x:v>0.896732592514629</x:v>
      </x:c>
      <x:c r="T93" s="30" t="n">
        <x:v>0.8860499901391522</x:v>
      </x:c>
      <x:c r="U93" s="28" t="str">
        <x:f>IF(AND(G93&gt;=80%,I93&gt;0,L93&gt;=1),"YES","")</x:f>
      </x:c>
      <x:c r="V93" s="31" t="n">
        <x:f>I93+0.4*K93-2*MAX(0,90%-G93)</x:f>
        <x:v>-0.9898423351984416</x:v>
      </x:c>
    </x:row>
    <x:row r="94">
      <x:c r="A94" s="35" t="n">
        <x:v>88</x:v>
      </x:c>
      <x:c r="B94" s="33" t="str">
        <x:v>Cash gap down</x:v>
      </x:c>
      <x:c r="C94" s="33" t="str">
        <x:v>Skip when cash open gaps down 1.0% or more.</x:v>
      </x:c>
      <x:c r="D94" s="29" t="n">
        <x:v>55823765.22999998</x:v>
      </x:c>
      <x:c r="E94" s="29" t="n">
        <x:v>14035</x:v>
      </x:c>
      <x:c r="F94" s="30" t="n">
        <x:f>(D94/E94)^(1/('Methodology'!$B$4*7/365))-1</x:f>
        <x:v>1.713144529476442</x:v>
      </x:c>
      <x:c r="G94" s="30" t="n">
        <x:f>F94/$F$6</x:f>
        <x:v>0.44680868892900816</x:v>
      </x:c>
      <x:c r="H94" s="30" t="n">
        <x:v>0.9136490553512807</x:v>
      </x:c>
      <x:c r="I94" s="30" t="n">
        <x:f>$H$6-H94</x:f>
        <x:v>-0.0028677914431655127</x:v>
      </x:c>
      <x:c r="J94" s="30" t="n">
        <x:v>0.913</x:v>
      </x:c>
      <x:c r="K94" s="30" t="n">
        <x:f>$J$6-J94</x:f>
        <x:v>-0.0020000000000000018</x:v>
      </x:c>
      <x:c r="L94" s="29" t="n">
        <x:v>0</x:v>
      </x:c>
      <x:c r="M94" s="29" t="n">
        <x:v>0</x:v>
      </x:c>
      <x:c r="N94" s="29" t="n">
        <x:v>43</x:v>
      </x:c>
      <x:c r="O94" s="29" t="n">
        <x:v>14</x:v>
      </x:c>
      <x:c r="P94" s="29" t="n">
        <x:v>29</x:v>
      </x:c>
      <x:c r="Q94" s="29" t="n">
        <x:v>390</x:v>
      </x:c>
      <x:c r="R94" s="30" t="n">
        <x:v>-0.7239986155177829</x:v>
      </x:c>
      <x:c r="S94" s="30" t="n">
        <x:v>0.9136490553512807</x:v>
      </x:c>
      <x:c r="T94" s="30" t="n">
        <x:v>0.8860522134083929</x:v>
      </x:c>
      <x:c r="U94" s="28" t="str">
        <x:f>IF(AND(G94&gt;=80%,I94&gt;0,L94&gt;=1),"YES","")</x:f>
      </x:c>
      <x:c r="V94" s="31" t="n">
        <x:f>I94+0.4*K94-2*MAX(0,90%-G94)</x:f>
        <x:v>-0.9100504135851493</x:v>
      </x:c>
    </x:row>
    <x:row r="95">
      <x:c r="A95" s="35" t="n">
        <x:v>89</x:v>
      </x:c>
      <x:c r="B95" s="33" t="str">
        <x:v>Cash gap down</x:v>
      </x:c>
      <x:c r="C95" s="33" t="str">
        <x:v>Skip when cash open gaps down 1.1% or more.</x:v>
      </x:c>
      <x:c r="D95" s="29" t="n">
        <x:v>84795330.30200005</x:v>
      </x:c>
      <x:c r="E95" s="29" t="n">
        <x:v>14035</x:v>
      </x:c>
      <x:c r="F95" s="30" t="n">
        <x:f>(D95/E95)^(1/('Methodology'!$B$4*7/365))-1</x:f>
        <x:v>1.8532244492417385</x:v>
      </x:c>
      <x:c r="G95" s="30" t="n">
        <x:f>F95/$F$6</x:f>
        <x:v>0.48334321606241976</x:v>
      </x:c>
      <x:c r="H95" s="30" t="n">
        <x:v>0.9107812639081152</x:v>
      </x:c>
      <x:c r="I95" s="30" t="n">
        <x:f>$H$6-H95</x:f>
        <x:v>0</x:v>
      </x:c>
      <x:c r="J95" s="30" t="n">
        <x:v>0.911</x:v>
      </x:c>
      <x:c r="K95" s="30" t="n">
        <x:f>$J$6-J95</x:f>
        <x:v>0</x:v>
      </x:c>
      <x:c r="L95" s="29" t="n">
        <x:v>0</x:v>
      </x:c>
      <x:c r="M95" s="29" t="n">
        <x:v>0</x:v>
      </x:c>
      <x:c r="N95" s="29" t="n">
        <x:v>40</x:v>
      </x:c>
      <x:c r="O95" s="29" t="n">
        <x:v>14</x:v>
      </x:c>
      <x:c r="P95" s="29" t="n">
        <x:v>26</x:v>
      </x:c>
      <x:c r="Q95" s="29" t="n">
        <x:v>393</x:v>
      </x:c>
      <x:c r="R95" s="30" t="n">
        <x:v>-0.7239985196805435</x:v>
      </x:c>
      <x:c r="S95" s="30" t="n">
        <x:v>0.9107812639081152</x:v>
      </x:c>
      <x:c r="T95" s="30" t="n">
        <x:v>0.8860531079504489</x:v>
      </x:c>
      <x:c r="U95" s="28" t="str">
        <x:f>IF(AND(G95&gt;=80%,I95&gt;0,L95&gt;=1),"YES","")</x:f>
      </x:c>
      <x:c r="V95" s="31" t="n">
        <x:f>I95+0.4*K95-2*MAX(0,90%-G95)</x:f>
        <x:v>-0.8333135678751605</x:v>
      </x:c>
    </x:row>
    <x:row r="96">
      <x:c r="A96" s="35" t="n">
        <x:v>90</x:v>
      </x:c>
      <x:c r="B96" s="33" t="str">
        <x:v>Cash gap down</x:v>
      </x:c>
      <x:c r="C96" s="33" t="str">
        <x:v>Skip when cash open gaps down 1.2% or more.</x:v>
      </x:c>
      <x:c r="D96" s="29" t="n">
        <x:v>83468507.3140001</x:v>
      </x:c>
      <x:c r="E96" s="29" t="n">
        <x:v>14150</x:v>
      </x:c>
      <x:c r="F96" s="30" t="n">
        <x:f>(D96/E96)^(1/('Methodology'!$B$4*7/365))-1</x:f>
        <x:v>1.8450136226431684</x:v>
      </x:c>
      <x:c r="G96" s="30" t="n">
        <x:f>F96/$F$6</x:f>
        <x:v>0.4812017337739104</x:v>
      </x:c>
      <x:c r="H96" s="30" t="n">
        <x:v>0.9107812639081152</x:v>
      </x:c>
      <x:c r="I96" s="30" t="n">
        <x:f>$H$6-H96</x:f>
        <x:v>0</x:v>
      </x:c>
      <x:c r="J96" s="30" t="n">
        <x:v>0.911</x:v>
      </x:c>
      <x:c r="K96" s="30" t="n">
        <x:f>$J$6-J96</x:f>
        <x:v>0</x:v>
      </x:c>
      <x:c r="L96" s="29" t="n">
        <x:v>0</x:v>
      </x:c>
      <x:c r="M96" s="29" t="n">
        <x:v>0</x:v>
      </x:c>
      <x:c r="N96" s="29" t="n">
        <x:v>37</x:v>
      </x:c>
      <x:c r="O96" s="29" t="n">
        <x:v>12</x:v>
      </x:c>
      <x:c r="P96" s="29" t="n">
        <x:v>25</x:v>
      </x:c>
      <x:c r="Q96" s="29" t="n">
        <x:v>396</x:v>
      </x:c>
      <x:c r="R96" s="30" t="n">
        <x:v>-0.7239994023780191</x:v>
      </x:c>
      <x:c r="S96" s="30" t="n">
        <x:v>0.9107812639081152</x:v>
      </x:c>
      <x:c r="T96" s="30" t="n">
        <x:v>0.8871495307800468</x:v>
      </x:c>
      <x:c r="U96" s="28" t="str">
        <x:f>IF(AND(G96&gt;=80%,I96&gt;0,L96&gt;=1),"YES","")</x:f>
      </x:c>
      <x:c r="V96" s="31" t="n">
        <x:f>I96+0.4*K96-2*MAX(0,90%-G96)</x:f>
        <x:v>-0.8375965324521792</x:v>
      </x:c>
    </x:row>
    <x:row r="97">
      <x:c r="A97" s="35" t="n">
        <x:v>91</x:v>
      </x:c>
      <x:c r="B97" s="33" t="str">
        <x:v>Positive gap with weak momentum</x:v>
      </x:c>
      <x:c r="C97" s="33" t="str">
        <x:v>Skip when cash gap is at least 0.5% and 20-session momentum is no better than -2.0%.</x:v>
      </x:c>
      <x:c r="D97" s="29" t="n">
        <x:v>1401224054.341999</x:v>
      </x:c>
      <x:c r="E97" s="29" t="n">
        <x:v>13000</x:v>
      </x:c>
      <x:c r="F97" s="30" t="n">
        <x:f>(D97/E97)^(1/('Methodology'!$B$4*7/365))-1</x:f>
        <x:v>3.0367604121103033</x:v>
      </x:c>
      <x:c r="G97" s="30" t="n">
        <x:f>F97/$F$6</x:f>
        <x:v>0.7920236237985065</x:v>
      </x:c>
      <x:c r="H97" s="30" t="n">
        <x:v>0.9314681856496578</x:v>
      </x:c>
      <x:c r="I97" s="30" t="n">
        <x:f>$H$6-H97</x:f>
        <x:v>-0.02068692174154263</x:v>
      </x:c>
      <x:c r="J97" s="30" t="n">
        <x:v>0.931</x:v>
      </x:c>
      <x:c r="K97" s="30" t="n">
        <x:f>$J$6-J97</x:f>
        <x:v>-0.020000000000000018</x:v>
      </x:c>
      <x:c r="L97" s="29" t="n">
        <x:v>2</x:v>
      </x:c>
      <x:c r="M97" s="29" t="n">
        <x:v>3</x:v>
      </x:c>
      <x:c r="N97" s="29" t="n">
        <x:v>35</x:v>
      </x:c>
      <x:c r="O97" s="29" t="n">
        <x:v>15</x:v>
      </x:c>
      <x:c r="P97" s="29" t="n">
        <x:v>20</x:v>
      </x:c>
      <x:c r="Q97" s="29" t="n">
        <x:v>398</x:v>
      </x:c>
      <x:c r="R97" s="30" t="n">
        <x:v>-0.7227660347118554</x:v>
      </x:c>
      <x:c r="S97" s="30" t="n">
        <x:v>0.9314681856496578</x:v>
      </x:c>
      <x:c r="T97" s="30" t="n">
        <x:v>0.7600819133493014</x:v>
      </x:c>
      <x:c r="U97" s="28" t="str">
        <x:f>IF(AND(G97&gt;=80%,I97&gt;0,L97&gt;=1),"YES","")</x:f>
      </x:c>
      <x:c r="V97" s="31" t="n">
        <x:f>I97+0.4*K97-2*MAX(0,90%-G97)</x:f>
        <x:v>-0.24463967414452958</x:v>
      </x:c>
    </x:row>
    <x:row r="98">
      <x:c r="A98" s="35" t="n">
        <x:v>92</x:v>
      </x:c>
      <x:c r="B98" s="33" t="str">
        <x:v>Positive gap with weak momentum</x:v>
      </x:c>
      <x:c r="C98" s="33" t="str">
        <x:v>Skip when cash gap is at least 0.5% and 20-session momentum is no better than -1.0%.</x:v>
      </x:c>
      <x:c r="D98" s="29" t="n">
        <x:v>3694098902.189998</x:v>
      </x:c>
      <x:c r="E98" s="29" t="n">
        <x:v>12655</x:v>
      </x:c>
      <x:c r="F98" s="30" t="n">
        <x:f>(D98/E98)^(1/('Methodology'!$B$4*7/365))-1</x:f>
        <x:v>3.5513219074982905</x:v>
      </x:c>
      <x:c r="G98" s="30" t="n">
        <x:f>F98/$F$6</x:f>
        <x:v>0.9262274479194754</x:v>
      </x:c>
      <x:c r="H98" s="30" t="n">
        <x:v>0.9314681856496578</x:v>
      </x:c>
      <x:c r="I98" s="30" t="n">
        <x:f>$H$6-H98</x:f>
        <x:v>-0.02068692174154263</x:v>
      </x:c>
      <x:c r="J98" s="30" t="n">
        <x:v>0.931</x:v>
      </x:c>
      <x:c r="K98" s="30" t="n">
        <x:f>$J$6-J98</x:f>
        <x:v>-0.020000000000000018</x:v>
      </x:c>
      <x:c r="L98" s="29" t="n">
        <x:v>3</x:v>
      </x:c>
      <x:c r="M98" s="29" t="n">
        <x:v>4</x:v>
      </x:c>
      <x:c r="N98" s="29" t="n">
        <x:v>40</x:v>
      </x:c>
      <x:c r="O98" s="29" t="n">
        <x:v>19</x:v>
      </x:c>
      <x:c r="P98" s="29" t="n">
        <x:v>21</x:v>
      </x:c>
      <x:c r="Q98" s="29" t="n">
        <x:v>393</x:v>
      </x:c>
      <x:c r="R98" s="30" t="n">
        <x:v>-0.7227660347118554</x:v>
      </x:c>
      <x:c r="S98" s="30" t="n">
        <x:v>0.9314681856496578</x:v>
      </x:c>
      <x:c r="T98" s="30" t="n">
        <x:v>0.7600980879730157</x:v>
      </x:c>
      <x:c r="U98" s="28" t="str">
        <x:f>IF(AND(G98&gt;=80%,I98&gt;0,L98&gt;=1),"YES","")</x:f>
      </x:c>
      <x:c r="V98" s="31" t="n">
        <x:f>I98+0.4*K98-2*MAX(0,90%-G98)</x:f>
        <x:v>-0.028686921741542637</x:v>
      </x:c>
    </x:row>
    <x:row r="99">
      <x:c r="A99" s="35" t="n">
        <x:v>93</x:v>
      </x:c>
      <x:c r="B99" s="33" t="str">
        <x:v>Positive gap with weak momentum</x:v>
      </x:c>
      <x:c r="C99" s="33" t="str">
        <x:v>Skip when cash gap is at least 0.5% and 20-session momentum is no better than 0.0%.</x:v>
      </x:c>
      <x:c r="D99" s="29" t="n">
        <x:v>11781225837.645002</x:v>
      </x:c>
      <x:c r="E99" s="29" t="n">
        <x:v>11965</x:v>
      </x:c>
      <x:c r="F99" s="30" t="n">
        <x:f>(D99/E99)^(1/('Methodology'!$B$4*7/365))-1</x:f>
        <x:v>4.268952844594842</x:v>
      </x:c>
      <x:c r="G99" s="30" t="n">
        <x:f>F99/$F$6</x:f>
        <x:v>1.1133942237647092</x:v>
      </x:c>
      <x:c r="H99" s="30" t="n">
        <x:v>0.9418120596638329</x:v>
      </x:c>
      <x:c r="I99" s="30" t="n">
        <x:f>$H$6-H99</x:f>
        <x:v>-0.031030795755717655</x:v>
      </x:c>
      <x:c r="J99" s="30" t="n">
        <x:v>0.942</x:v>
      </x:c>
      <x:c r="K99" s="30" t="n">
        <x:f>$J$6-J99</x:f>
        <x:v>-0.030999999999999917</x:v>
      </x:c>
      <x:c r="L99" s="29" t="n">
        <x:v>6</x:v>
      </x:c>
      <x:c r="M99" s="29" t="n">
        <x:v>6</x:v>
      </x:c>
      <x:c r="N99" s="29" t="n">
        <x:v>48</x:v>
      </x:c>
      <x:c r="O99" s="29" t="n">
        <x:v>25</x:v>
      </x:c>
      <x:c r="P99" s="29" t="n">
        <x:v>23</x:v>
      </x:c>
      <x:c r="Q99" s="29" t="n">
        <x:v>385</x:v>
      </x:c>
      <x:c r="R99" s="30" t="n">
        <x:v>-0.7230171548140328</x:v>
      </x:c>
      <x:c r="S99" s="30" t="n">
        <x:v>0.9418120596638329</x:v>
      </x:c>
      <x:c r="T99" s="30" t="n">
        <x:v>0.7600970831068665</x:v>
      </x:c>
      <x:c r="U99" s="28" t="str">
        <x:f>IF(AND(G99&gt;=80%,I99&gt;0,L99&gt;=1),"YES","")</x:f>
      </x:c>
      <x:c r="V99" s="31" t="n">
        <x:f>I99+0.4*K99-2*MAX(0,90%-G99)</x:f>
        <x:v>-0.04343079575571762</x:v>
      </x:c>
    </x:row>
    <x:row r="100">
      <x:c r="A100" s="35" t="n">
        <x:v>94</x:v>
      </x:c>
      <x:c r="B100" s="33" t="str">
        <x:v>Positive gap with weak momentum</x:v>
      </x:c>
      <x:c r="C100" s="33" t="str">
        <x:v>Skip when cash gap is at least 0.5% and 20-session momentum is no better than 1.0%.</x:v>
      </x:c>
      <x:c r="D100" s="29" t="n">
        <x:v>24544836615.358</x:v>
      </x:c>
      <x:c r="E100" s="29" t="n">
        <x:v>11505</x:v>
      </x:c>
      <x:c r="F100" s="30" t="n">
        <x:f>(D100/E100)^(1/('Methodology'!$B$4*7/365))-1</x:f>
        <x:v>4.783112071465297</x:v>
      </x:c>
      <x:c r="G100" s="30" t="n">
        <x:f>F100/$F$6</x:f>
        <x:v>1.2474931314201823</x:v>
      </x:c>
      <x:c r="H100" s="30" t="n">
        <x:v>0.8981797414386349</x:v>
      </x:c>
      <x:c r="I100" s="30" t="n">
        <x:f>$H$6-H100</x:f>
        <x:v>0.01260152246948032</x:v>
      </x:c>
      <x:c r="J100" s="30" t="n">
        <x:v>0.898</x:v>
      </x:c>
      <x:c r="K100" s="30" t="n">
        <x:f>$J$6-J100</x:f>
        <x:v>0.013000000000000012</x:v>
      </x:c>
      <x:c r="L100" s="29" t="n">
        <x:v>7</x:v>
      </x:c>
      <x:c r="M100" s="29" t="n">
        <x:v>8</x:v>
      </x:c>
      <x:c r="N100" s="29" t="n">
        <x:v>57</x:v>
      </x:c>
      <x:c r="O100" s="29" t="n">
        <x:v>27</x:v>
      </x:c>
      <x:c r="P100" s="29" t="n">
        <x:v>30</x:v>
      </x:c>
      <x:c r="Q100" s="29" t="n">
        <x:v>376</x:v>
      </x:c>
      <x:c r="R100" s="30" t="n">
        <x:v>-0.707016874591395</x:v>
      </x:c>
      <x:c r="S100" s="30" t="n">
        <x:v>0.8981797414386349</x:v>
      </x:c>
      <x:c r="T100" s="30" t="n">
        <x:v>0.8028010767472402</x:v>
      </x:c>
      <x:c r="U100" s="28" t="str">
        <x:f>IF(AND(G100&gt;=80%,I100&gt;0,L100&gt;=1),"YES","")</x:f>
        <x:v>YES</x:v>
      </x:c>
      <x:c r="V100" s="31" t="n">
        <x:f>I100+0.4*K100-2*MAX(0,90%-G100)</x:f>
        <x:v>0.017801522469480323</x:v>
      </x:c>
    </x:row>
    <x:row r="101">
      <x:c r="A101" s="35" t="n">
        <x:v>95</x:v>
      </x:c>
      <x:c r="B101" s="33" t="str">
        <x:v>Positive gap with weak momentum</x:v>
      </x:c>
      <x:c r="C101" s="33" t="str">
        <x:v>Skip when cash gap is at least 1.0% and 20-session momentum is no better than -2.0%.</x:v>
      </x:c>
      <x:c r="D101" s="29" t="n">
        <x:v>35229986131.543</x:v>
      </x:c>
      <x:c r="E101" s="29" t="n">
        <x:v>13575</x:v>
      </x:c>
      <x:c r="F101" s="30" t="n">
        <x:f>(D101/E101)^(1/('Methodology'!$B$4*7/365))-1</x:f>
        <x:v>4.921196034151472</x:v>
      </x:c>
      <x:c r="G101" s="30" t="n">
        <x:f>F101/$F$6</x:f>
        <x:v>1.283507088951709</x:v>
      </x:c>
      <x:c r="H101" s="30" t="n">
        <x:v>0.912546155758612</x:v>
      </x:c>
      <x:c r="I101" s="30" t="n">
        <x:f>$H$6-H101</x:f>
        <x:v>-0.0017648918504967748</x:v>
      </x:c>
      <x:c r="J101" s="30" t="n">
        <x:v>0.913</x:v>
      </x:c>
      <x:c r="K101" s="30" t="n">
        <x:f>$J$6-J101</x:f>
        <x:v>-0.0020000000000000018</x:v>
      </x:c>
      <x:c r="L101" s="29" t="n">
        <x:v>2</x:v>
      </x:c>
      <x:c r="M101" s="29" t="n">
        <x:v>3</x:v>
      </x:c>
      <x:c r="N101" s="29" t="n">
        <x:v>16</x:v>
      </x:c>
      <x:c r="O101" s="29" t="n">
        <x:v>10</x:v>
      </x:c>
      <x:c r="P101" s="29" t="n">
        <x:v>6</x:v>
      </x:c>
      <x:c r="Q101" s="29" t="n">
        <x:v>417</x:v>
      </x:c>
      <x:c r="R101" s="30" t="n">
        <x:v>-0.7230551110826708</x:v>
      </x:c>
      <x:c r="S101" s="30" t="n">
        <x:v>0.912546155758612</x:v>
      </x:c>
      <x:c r="T101" s="30" t="n">
        <x:v>0.7682822511681614</x:v>
      </x:c>
      <x:c r="U101" s="28" t="str">
        <x:f>IF(AND(G101&gt;=80%,I101&gt;0,L101&gt;=1),"YES","")</x:f>
      </x:c>
      <x:c r="V101" s="31" t="n">
        <x:f>I101+0.4*K101-2*MAX(0,90%-G101)</x:f>
        <x:v>-0.0025648918504967756</x:v>
      </x:c>
    </x:row>
    <x:row r="102">
      <x:c r="A102" s="35" t="n">
        <x:v>96</x:v>
      </x:c>
      <x:c r="B102" s="33" t="str">
        <x:v>Positive gap with weak momentum</x:v>
      </x:c>
      <x:c r="C102" s="33" t="str">
        <x:v>Skip when cash gap is at least 1.0% and 20-session momentum is no better than -1.0%.</x:v>
      </x:c>
      <x:c r="D102" s="29" t="n">
        <x:v>49057708264.27999</x:v>
      </x:c>
      <x:c r="E102" s="29" t="n">
        <x:v>13460</x:v>
      </x:c>
      <x:c r="F102" s="30" t="n">
        <x:f>(D102/E102)^(1/('Methodology'!$B$4*7/365))-1</x:f>
        <x:v>5.168370795999752</x:v>
      </x:c>
      <x:c r="G102" s="30" t="n">
        <x:f>F102/$F$6</x:f>
        <x:v>1.3479732384081835</x:v>
      </x:c>
      <x:c r="H102" s="30" t="n">
        <x:v>0.912546155758612</x:v>
      </x:c>
      <x:c r="I102" s="30" t="n">
        <x:f>$H$6-H102</x:f>
        <x:v>-0.0017648918504967748</x:v>
      </x:c>
      <x:c r="J102" s="30" t="n">
        <x:v>0.913</x:v>
      </x:c>
      <x:c r="K102" s="30" t="n">
        <x:f>$J$6-J102</x:f>
        <x:v>-0.0020000000000000018</x:v>
      </x:c>
      <x:c r="L102" s="29" t="n">
        <x:v>2</x:v>
      </x:c>
      <x:c r="M102" s="29" t="n">
        <x:v>3</x:v>
      </x:c>
      <x:c r="N102" s="29" t="n">
        <x:v>19</x:v>
      </x:c>
      <x:c r="O102" s="29" t="n">
        <x:v>13</x:v>
      </x:c>
      <x:c r="P102" s="29" t="n">
        <x:v>6</x:v>
      </x:c>
      <x:c r="Q102" s="29" t="n">
        <x:v>414</x:v>
      </x:c>
      <x:c r="R102" s="30" t="n">
        <x:v>-0.7230551110826708</x:v>
      </x:c>
      <x:c r="S102" s="30" t="n">
        <x:v>0.912546155758612</x:v>
      </x:c>
      <x:c r="T102" s="30" t="n">
        <x:v>0.7682823553722433</x:v>
      </x:c>
      <x:c r="U102" s="28" t="str">
        <x:f>IF(AND(G102&gt;=80%,I102&gt;0,L102&gt;=1),"YES","")</x:f>
      </x:c>
      <x:c r="V102" s="31" t="n">
        <x:f>I102+0.4*K102-2*MAX(0,90%-G102)</x:f>
        <x:v>-0.0025648918504967756</x:v>
      </x:c>
    </x:row>
    <x:row r="103">
      <x:c r="A103" s="35" t="n">
        <x:v>97</x:v>
      </x:c>
      <x:c r="B103" s="33" t="str">
        <x:v>Positive gap with weak momentum</x:v>
      </x:c>
      <x:c r="C103" s="33" t="str">
        <x:v>Skip when cash gap is at least 1.0% and 20-session momentum is no better than 0.0%.</x:v>
      </x:c>
      <x:c r="D103" s="29" t="n">
        <x:v>174167297892.73</x:v>
      </x:c>
      <x:c r="E103" s="29" t="n">
        <x:v>12770</x:v>
      </x:c>
      <x:c r="F103" s="30" t="n">
        <x:f>(D103/E103)^(1/('Methodology'!$B$4*7/365))-1</x:f>
        <x:v>6.23079621938013</x:v>
      </x:c>
      <x:c r="G103" s="30" t="n">
        <x:f>F103/$F$6</x:f>
        <x:v>1.6250665614394326</x:v>
      </x:c>
      <x:c r="H103" s="30" t="n">
        <x:v>0.8907320924864718</x:v>
      </x:c>
      <x:c r="I103" s="30" t="n">
        <x:f>$H$6-H103</x:f>
        <x:v>0.02004917142164342</x:v>
      </x:c>
      <x:c r="J103" s="30" t="n">
        <x:v>0.891</x:v>
      </x:c>
      <x:c r="K103" s="30" t="n">
        <x:f>$J$6-J103</x:f>
        <x:v>0.020000000000000018</x:v>
      </x:c>
      <x:c r="L103" s="29" t="n">
        <x:v>5</x:v>
      </x:c>
      <x:c r="M103" s="29" t="n">
        <x:v>5</x:v>
      </x:c>
      <x:c r="N103" s="29" t="n">
        <x:v>27</x:v>
      </x:c>
      <x:c r="O103" s="29" t="n">
        <x:v>19</x:v>
      </x:c>
      <x:c r="P103" s="29" t="n">
        <x:v>8</x:v>
      </x:c>
      <x:c r="Q103" s="29" t="n">
        <x:v>406</x:v>
      </x:c>
      <x:c r="R103" s="30" t="n">
        <x:v>-0.7229827438745217</x:v>
      </x:c>
      <x:c r="S103" s="30" t="n">
        <x:v>0.8907320924864718</x:v>
      </x:c>
      <x:c r="T103" s="30" t="n">
        <x:v>0.6576194796495877</x:v>
      </x:c>
      <x:c r="U103" s="28" t="str">
        <x:f>IF(AND(G103&gt;=80%,I103&gt;0,L103&gt;=1),"YES","")</x:f>
        <x:v>YES</x:v>
      </x:c>
      <x:c r="V103" s="31" t="n">
        <x:f>I103+0.4*K103-2*MAX(0,90%-G103)</x:f>
        <x:v>0.028049171421643426</x:v>
      </x:c>
    </x:row>
    <x:row r="104">
      <x:c r="A104" s="35" t="n">
        <x:v>98</x:v>
      </x:c>
      <x:c r="B104" s="33" t="str">
        <x:v>Positive gap with weak momentum</x:v>
      </x:c>
      <x:c r="C104" s="33" t="str">
        <x:v>Skip when cash gap is at least 1.0% and 20-session momentum is no better than 1.0%.</x:v>
      </x:c>
      <x:c r="D104" s="29" t="n">
        <x:v>121864214797.63698</x:v>
      </x:c>
      <x:c r="E104" s="29" t="n">
        <x:v>12770</x:v>
      </x:c>
      <x:c r="F104" s="30" t="n">
        <x:f>(D104/E104)^(1/('Methodology'!$B$4*7/365))-1</x:f>
        <x:v>5.926435220110435</x:v>
      </x:c>
      <x:c r="G104" s="30" t="n">
        <x:f>F104/$F$6</x:f>
        <x:v>1.5456855537632295</x:v>
      </x:c>
      <x:c r="H104" s="30" t="n">
        <x:v>0.8940286250677391</x:v>
      </x:c>
      <x:c r="I104" s="30" t="n">
        <x:f>$H$6-H104</x:f>
        <x:v>0.016752638840376144</x:v>
      </x:c>
      <x:c r="J104" s="30" t="n">
        <x:v>0.894</x:v>
      </x:c>
      <x:c r="K104" s="30" t="n">
        <x:f>$J$6-J104</x:f>
        <x:v>0.017000000000000015</x:v>
      </x:c>
      <x:c r="L104" s="29" t="n">
        <x:v>5</x:v>
      </x:c>
      <x:c r="M104" s="29" t="n">
        <x:v>5</x:v>
      </x:c>
      <x:c r="N104" s="29" t="n">
        <x:v>29</x:v>
      </x:c>
      <x:c r="O104" s="29" t="n">
        <x:v>19</x:v>
      </x:c>
      <x:c r="P104" s="29" t="n">
        <x:v>10</x:v>
      </x:c>
      <x:c r="Q104" s="29" t="n">
        <x:v>404</x:v>
      </x:c>
      <x:c r="R104" s="30" t="n">
        <x:v>-0.7229827438745217</x:v>
      </x:c>
      <x:c r="S104" s="30" t="n">
        <x:v>0.8940286250677391</x:v>
      </x:c>
      <x:c r="T104" s="30" t="n">
        <x:v>0.7185603093121544</x:v>
      </x:c>
      <x:c r="U104" s="28" t="str">
        <x:f>IF(AND(G104&gt;=80%,I104&gt;0,L104&gt;=1),"YES","")</x:f>
        <x:v>YES</x:v>
      </x:c>
      <x:c r="V104" s="31" t="n">
        <x:f>I104+0.4*K104-2*MAX(0,90%-G104)</x:f>
        <x:v>0.02355263884037615</x:v>
      </x:c>
    </x:row>
    <x:row r="105">
      <x:c r="A105" s="35" t="n">
        <x:v>99</x:v>
      </x:c>
      <x:c r="B105" s="33" t="str">
        <x:v>Positive gap with weak momentum</x:v>
      </x:c>
      <x:c r="C105" s="33" t="str">
        <x:v>Skip when cash gap is at least 1.5% and 20-session momentum is no better than -2.0%.</x:v>
      </x:c>
      <x:c r="D105" s="29" t="n">
        <x:v>18606640196.541973</x:v>
      </x:c>
      <x:c r="E105" s="29" t="n">
        <x:v>14150</x:v>
      </x:c>
      <x:c r="F105" s="30" t="n">
        <x:f>(D105/E105)^(1/('Methodology'!$B$4*7/365))-1</x:f>
        <x:v>4.45573687152027</x:v>
      </x:c>
      <x:c r="G105" s="30" t="n">
        <x:f>F105/$F$6</x:f>
        <x:v>1.162109743528203</x:v>
      </x:c>
      <x:c r="H105" s="30" t="n">
        <x:v>0.9107812639081152</x:v>
      </x:c>
      <x:c r="I105" s="30" t="n">
        <x:f>$H$6-H105</x:f>
        <x:v>0</x:v>
      </x:c>
      <x:c r="J105" s="30" t="n">
        <x:v>0.911</x:v>
      </x:c>
      <x:c r="K105" s="30" t="n">
        <x:f>$J$6-J105</x:f>
        <x:v>0</x:v>
      </x:c>
      <x:c r="L105" s="29" t="n">
        <x:v>1</x:v>
      </x:c>
      <x:c r="M105" s="29" t="n">
        <x:v>1</x:v>
      </x:c>
      <x:c r="N105" s="29" t="n">
        <x:v>7</x:v>
      </x:c>
      <x:c r="O105" s="29" t="n">
        <x:v>4</x:v>
      </x:c>
      <x:c r="P105" s="29" t="n">
        <x:v>3</x:v>
      </x:c>
      <x:c r="Q105" s="29" t="n">
        <x:v>426</x:v>
      </x:c>
      <x:c r="R105" s="30" t="n">
        <x:v>-0.7229275752571469</x:v>
      </x:c>
      <x:c r="S105" s="30" t="n">
        <x:v>0.9107812639081152</x:v>
      </x:c>
      <x:c r="T105" s="30" t="n">
        <x:v>0.8871498819920242</x:v>
      </x:c>
      <x:c r="U105" s="28" t="str">
        <x:f>IF(AND(G105&gt;=80%,I105&gt;0,L105&gt;=1),"YES","")</x:f>
      </x:c>
      <x:c r="V105" s="31" t="n">
        <x:f>I105+0.4*K105-2*MAX(0,90%-G105)</x:f>
        <x:v>0</x:v>
      </x:c>
    </x:row>
    <x:row r="106">
      <x:c r="A106" s="35" t="n">
        <x:v>100</x:v>
      </x:c>
      <x:c r="B106" s="33" t="str">
        <x:v>Positive gap with weak momentum</x:v>
      </x:c>
      <x:c r="C106" s="33" t="str">
        <x:v>Skip when cash gap is at least 1.5% and 20-session momentum is no better than -1.0%.</x:v>
      </x:c>
      <x:c r="D106" s="29" t="n">
        <x:v>21394659128.66204</x:v>
      </x:c>
      <x:c r="E106" s="29" t="n">
        <x:v>14035</x:v>
      </x:c>
      <x:c r="F106" s="30" t="n">
        <x:f>(D106/E106)^(1/('Methodology'!$B$4*7/365))-1</x:f>
        <x:v>4.553698415975579</x:v>
      </x:c>
      <x:c r="G106" s="30" t="n">
        <x:f>F106/$F$6</x:f>
        <x:v>1.187659292028302</x:v>
      </x:c>
      <x:c r="H106" s="30" t="n">
        <x:v>0.9107812639081152</x:v>
      </x:c>
      <x:c r="I106" s="30" t="n">
        <x:f>$H$6-H106</x:f>
        <x:v>0</x:v>
      </x:c>
      <x:c r="J106" s="30" t="n">
        <x:v>0.911</x:v>
      </x:c>
      <x:c r="K106" s="30" t="n">
        <x:f>$J$6-J106</x:f>
        <x:v>0</x:v>
      </x:c>
      <x:c r="L106" s="29" t="n">
        <x:v>1</x:v>
      </x:c>
      <x:c r="M106" s="29" t="n">
        <x:v>1</x:v>
      </x:c>
      <x:c r="N106" s="29" t="n">
        <x:v>8</x:v>
      </x:c>
      <x:c r="O106" s="29" t="n">
        <x:v>5</x:v>
      </x:c>
      <x:c r="P106" s="29" t="n">
        <x:v>3</x:v>
      </x:c>
      <x:c r="Q106" s="29" t="n">
        <x:v>425</x:v>
      </x:c>
      <x:c r="R106" s="30" t="n">
        <x:v>-0.7229275752571469</x:v>
      </x:c>
      <x:c r="S106" s="30" t="n">
        <x:v>0.9107812639081152</x:v>
      </x:c>
      <x:c r="T106" s="30" t="n">
        <x:v>0.8871498826149337</x:v>
      </x:c>
      <x:c r="U106" s="28" t="str">
        <x:f>IF(AND(G106&gt;=80%,I106&gt;0,L106&gt;=1),"YES","")</x:f>
      </x:c>
      <x:c r="V106" s="31" t="n">
        <x:f>I106+0.4*K106-2*MAX(0,90%-G106)</x:f>
        <x:v>0</x:v>
      </x:c>
    </x:row>
    <x:row r="107">
      <x:c r="A107" s="35" t="n">
        <x:v>101</x:v>
      </x:c>
      <x:c r="B107" s="33" t="str">
        <x:v>Positive gap with weak momentum</x:v>
      </x:c>
      <x:c r="C107" s="33" t="str">
        <x:v>Skip when cash gap is at least 1.5% and 20-session momentum is no better than 0.0%.</x:v>
      </x:c>
      <x:c r="D107" s="29" t="n">
        <x:v>43394165164.75901</x:v>
      </x:c>
      <x:c r="E107" s="29" t="n">
        <x:v>13575</x:v>
      </x:c>
      <x:c r="F107" s="30" t="n">
        <x:f>(D107/E107)^(1/('Methodology'!$B$4*7/365))-1</x:f>
        <x:v>5.071694753034974</x:v>
      </x:c>
      <x:c r="G107" s="30" t="n">
        <x:f>F107/$F$6</x:f>
        <x:v>1.3227589641512776</x:v>
      </x:c>
      <x:c r="H107" s="30" t="n">
        <x:v>0.9074985650661912</x:v>
      </x:c>
      <x:c r="I107" s="30" t="n">
        <x:f>$H$6-H107</x:f>
        <x:v>0.0032826988419240033</x:v>
      </x:c>
      <x:c r="J107" s="30" t="n">
        <x:v>0.907</x:v>
      </x:c>
      <x:c r="K107" s="30" t="n">
        <x:f>$J$6-J107</x:f>
        <x:v>0.0040000000000000036</x:v>
      </x:c>
      <x:c r="L107" s="29" t="n">
        <x:v>3</x:v>
      </x:c>
      <x:c r="M107" s="29" t="n">
        <x:v>2</x:v>
      </x:c>
      <x:c r="N107" s="29" t="n">
        <x:v>12</x:v>
      </x:c>
      <x:c r="O107" s="29" t="n">
        <x:v>8</x:v>
      </x:c>
      <x:c r="P107" s="29" t="n">
        <x:v>4</x:v>
      </x:c>
      <x:c r="Q107" s="29" t="n">
        <x:v>421</x:v>
      </x:c>
      <x:c r="R107" s="30" t="n">
        <x:v>-0.72298208382907</x:v>
      </x:c>
      <x:c r="S107" s="30" t="n">
        <x:v>0.9074985650661912</x:v>
      </x:c>
      <x:c r="T107" s="30" t="n">
        <x:v>0.7817375600285519</x:v>
      </x:c>
      <x:c r="U107" s="28" t="str">
        <x:f>IF(AND(G107&gt;=80%,I107&gt;0,L107&gt;=1),"YES","")</x:f>
        <x:v>YES</x:v>
      </x:c>
      <x:c r="V107" s="31" t="n">
        <x:f>I107+0.4*K107-2*MAX(0,90%-G107)</x:f>
        <x:v>0.004882698841924005</x:v>
      </x:c>
    </x:row>
    <x:row r="108">
      <x:c r="A108" s="35" t="n">
        <x:v>102</x:v>
      </x:c>
      <x:c r="B108" s="33" t="str">
        <x:v>Positive gap with weak momentum</x:v>
      </x:c>
      <x:c r="C108" s="33" t="str">
        <x:v>Skip when cash gap is at least 1.5% and 20-session momentum is no better than 1.0%.</x:v>
      </x:c>
      <x:c r="D108" s="29" t="n">
        <x:v>43394165164.75901</x:v>
      </x:c>
      <x:c r="E108" s="29" t="n">
        <x:v>13575</x:v>
      </x:c>
      <x:c r="F108" s="30" t="n">
        <x:f>(D108/E108)^(1/('Methodology'!$B$4*7/365))-1</x:f>
        <x:v>5.071694753034974</x:v>
      </x:c>
      <x:c r="G108" s="30" t="n">
        <x:f>F108/$F$6</x:f>
        <x:v>1.3227589641512776</x:v>
      </x:c>
      <x:c r="H108" s="30" t="n">
        <x:v>0.9074985650661912</x:v>
      </x:c>
      <x:c r="I108" s="30" t="n">
        <x:f>$H$6-H108</x:f>
        <x:v>0.0032826988419240033</x:v>
      </x:c>
      <x:c r="J108" s="30" t="n">
        <x:v>0.907</x:v>
      </x:c>
      <x:c r="K108" s="30" t="n">
        <x:f>$J$6-J108</x:f>
        <x:v>0.0040000000000000036</x:v>
      </x:c>
      <x:c r="L108" s="29" t="n">
        <x:v>3</x:v>
      </x:c>
      <x:c r="M108" s="29" t="n">
        <x:v>2</x:v>
      </x:c>
      <x:c r="N108" s="29" t="n">
        <x:v>12</x:v>
      </x:c>
      <x:c r="O108" s="29" t="n">
        <x:v>8</x:v>
      </x:c>
      <x:c r="P108" s="29" t="n">
        <x:v>4</x:v>
      </x:c>
      <x:c r="Q108" s="29" t="n">
        <x:v>421</x:v>
      </x:c>
      <x:c r="R108" s="30" t="n">
        <x:v>-0.72298208382907</x:v>
      </x:c>
      <x:c r="S108" s="30" t="n">
        <x:v>0.9074985650661912</x:v>
      </x:c>
      <x:c r="T108" s="30" t="n">
        <x:v>0.7817375600285519</x:v>
      </x:c>
      <x:c r="U108" s="28" t="str">
        <x:f>IF(AND(G108&gt;=80%,I108&gt;0,L108&gt;=1),"YES","")</x:f>
        <x:v>YES</x:v>
      </x:c>
      <x:c r="V108" s="31" t="n">
        <x:f>I108+0.4*K108-2*MAX(0,90%-G108)</x:f>
        <x:v>0.004882698841924005</x:v>
      </x:c>
    </x:row>
    <x:row r="109">
      <x:c r="A109" s="35" t="n">
        <x:v>103</x:v>
      </x:c>
      <x:c r="B109" s="33" t="str">
        <x:v>Positive gap with weak momentum</x:v>
      </x:c>
      <x:c r="C109" s="33" t="str">
        <x:v>Skip when cash gap is at least 2.0% and 20-session momentum is no better than -2.0%.</x:v>
      </x:c>
      <x:c r="D109" s="29" t="n">
        <x:v>16161707867.972004</x:v>
      </x:c>
      <x:c r="E109" s="29" t="n">
        <x:v>14265</x:v>
      </x:c>
      <x:c r="F109" s="30" t="n">
        <x:f>(D109/E109)^(1/('Methodology'!$B$4*7/365))-1</x:f>
        <x:v>4.358738564510398</x:v>
      </x:c>
      <x:c r="G109" s="30" t="n">
        <x:f>F109/$F$6</x:f>
        <x:v>1.1368114189340375</x:v>
      </x:c>
      <x:c r="H109" s="30" t="n">
        <x:v>0.9107812639081152</x:v>
      </x:c>
      <x:c r="I109" s="30" t="n">
        <x:f>$H$6-H109</x:f>
        <x:v>0</x:v>
      </x:c>
      <x:c r="J109" s="30" t="n">
        <x:v>0.911</x:v>
      </x:c>
      <x:c r="K109" s="30" t="n">
        <x:f>$J$6-J109</x:f>
        <x:v>0</x:v>
      </x:c>
      <x:c r="L109" s="29" t="n">
        <x:v>1</x:v>
      </x:c>
      <x:c r="M109" s="29" t="n">
        <x:v>1</x:v>
      </x:c>
      <x:c r="N109" s="29" t="n">
        <x:v>3</x:v>
      </x:c>
      <x:c r="O109" s="29" t="n">
        <x:v>1</x:v>
      </x:c>
      <x:c r="P109" s="29" t="n">
        <x:v>2</x:v>
      </x:c>
      <x:c r="Q109" s="29" t="n">
        <x:v>430</x:v>
      </x:c>
      <x:c r="R109" s="30" t="n">
        <x:v>-0.7230192279544047</x:v>
      </x:c>
      <x:c r="S109" s="30" t="n">
        <x:v>0.9107812639081152</x:v>
      </x:c>
      <x:c r="T109" s="30" t="n">
        <x:v>0.8871498819191703</x:v>
      </x:c>
      <x:c r="U109" s="28" t="str">
        <x:f>IF(AND(G109&gt;=80%,I109&gt;0,L109&gt;=1),"YES","")</x:f>
      </x:c>
      <x:c r="V109" s="31" t="n">
        <x:f>I109+0.4*K109-2*MAX(0,90%-G109)</x:f>
        <x:v>0</x:v>
      </x:c>
    </x:row>
    <x:row r="110">
      <x:c r="A110" s="35" t="n">
        <x:v>104</x:v>
      </x:c>
      <x:c r="B110" s="33" t="str">
        <x:v>Positive gap with weak momentum</x:v>
      </x:c>
      <x:c r="C110" s="33" t="str">
        <x:v>Skip when cash gap is at least 2.0% and 20-session momentum is no better than -1.0%.</x:v>
      </x:c>
      <x:c r="D110" s="29" t="n">
        <x:v>16161707867.972004</x:v>
      </x:c>
      <x:c r="E110" s="29" t="n">
        <x:v>14265</x:v>
      </x:c>
      <x:c r="F110" s="30" t="n">
        <x:f>(D110/E110)^(1/('Methodology'!$B$4*7/365))-1</x:f>
        <x:v>4.358738564510398</x:v>
      </x:c>
      <x:c r="G110" s="30" t="n">
        <x:f>F110/$F$6</x:f>
        <x:v>1.1368114189340375</x:v>
      </x:c>
      <x:c r="H110" s="30" t="n">
        <x:v>0.9107812639081152</x:v>
      </x:c>
      <x:c r="I110" s="30" t="n">
        <x:f>$H$6-H110</x:f>
        <x:v>0</x:v>
      </x:c>
      <x:c r="J110" s="30" t="n">
        <x:v>0.911</x:v>
      </x:c>
      <x:c r="K110" s="30" t="n">
        <x:f>$J$6-J110</x:f>
        <x:v>0</x:v>
      </x:c>
      <x:c r="L110" s="29" t="n">
        <x:v>1</x:v>
      </x:c>
      <x:c r="M110" s="29" t="n">
        <x:v>1</x:v>
      </x:c>
      <x:c r="N110" s="29" t="n">
        <x:v>3</x:v>
      </x:c>
      <x:c r="O110" s="29" t="n">
        <x:v>1</x:v>
      </x:c>
      <x:c r="P110" s="29" t="n">
        <x:v>2</x:v>
      </x:c>
      <x:c r="Q110" s="29" t="n">
        <x:v>430</x:v>
      </x:c>
      <x:c r="R110" s="30" t="n">
        <x:v>-0.7230192279544047</x:v>
      </x:c>
      <x:c r="S110" s="30" t="n">
        <x:v>0.9107812639081152</x:v>
      </x:c>
      <x:c r="T110" s="30" t="n">
        <x:v>0.8871498819191703</x:v>
      </x:c>
      <x:c r="U110" s="28" t="str">
        <x:f>IF(AND(G110&gt;=80%,I110&gt;0,L110&gt;=1),"YES","")</x:f>
      </x:c>
      <x:c r="V110" s="31" t="n">
        <x:f>I110+0.4*K110-2*MAX(0,90%-G110)</x:f>
        <x:v>0</x:v>
      </x:c>
    </x:row>
    <x:row r="111">
      <x:c r="A111" s="35" t="n">
        <x:v>105</x:v>
      </x:c>
      <x:c r="B111" s="33" t="str">
        <x:v>Positive gap with weak momentum</x:v>
      </x:c>
      <x:c r="C111" s="33" t="str">
        <x:v>Skip when cash gap is at least 2.0% and 20-session momentum is no better than 0.0%.</x:v>
      </x:c>
      <x:c r="D111" s="29" t="n">
        <x:v>18831605086.866</x:v>
      </x:c>
      <x:c r="E111" s="29" t="n">
        <x:v>14150</x:v>
      </x:c>
      <x:c r="F111" s="30" t="n">
        <x:f>(D111/E111)^(1/('Methodology'!$B$4*7/365))-1</x:f>
        <x:v>4.463638363957924</x:v>
      </x:c>
      <x:c r="G111" s="30" t="n">
        <x:f>F111/$F$6</x:f>
        <x:v>1.1641705477486908</x:v>
      </x:c>
      <x:c r="H111" s="30" t="n">
        <x:v>0.9074985650661912</x:v>
      </x:c>
      <x:c r="I111" s="30" t="n">
        <x:f>$H$6-H111</x:f>
        <x:v>0.0032826988419240033</x:v>
      </x:c>
      <x:c r="J111" s="30" t="n">
        <x:v>0.907</x:v>
      </x:c>
      <x:c r="K111" s="30" t="n">
        <x:f>$J$6-J111</x:f>
        <x:v>0.0040000000000000036</x:v>
      </x:c>
      <x:c r="L111" s="29" t="n">
        <x:v>2</x:v>
      </x:c>
      <x:c r="M111" s="29" t="n">
        <x:v>1</x:v>
      </x:c>
      <x:c r="N111" s="29" t="n">
        <x:v>4</x:v>
      </x:c>
      <x:c r="O111" s="29" t="n">
        <x:v>2</x:v>
      </x:c>
      <x:c r="P111" s="29" t="n">
        <x:v>2</x:v>
      </x:c>
      <x:c r="Q111" s="29" t="n">
        <x:v>429</x:v>
      </x:c>
      <x:c r="R111" s="30" t="n">
        <x:v>-0.7229596537874119</x:v>
      </x:c>
      <x:c r="S111" s="30" t="n">
        <x:v>0.9074985650661912</x:v>
      </x:c>
      <x:c r="T111" s="30" t="n">
        <x:v>0.8871498823490914</x:v>
      </x:c>
      <x:c r="U111" s="28" t="str">
        <x:f>IF(AND(G111&gt;=80%,I111&gt;0,L111&gt;=1),"YES","")</x:f>
        <x:v>YES</x:v>
      </x:c>
      <x:c r="V111" s="31" t="n">
        <x:f>I111+0.4*K111-2*MAX(0,90%-G111)</x:f>
        <x:v>0.004882698841924005</x:v>
      </x:c>
    </x:row>
    <x:row r="112">
      <x:c r="A112" s="35" t="n">
        <x:v>106</x:v>
      </x:c>
      <x:c r="B112" s="33" t="str">
        <x:v>Positive gap with weak momentum</x:v>
      </x:c>
      <x:c r="C112" s="33" t="str">
        <x:v>Skip when cash gap is at least 2.0% and 20-session momentum is no better than 1.0%.</x:v>
      </x:c>
      <x:c r="D112" s="29" t="n">
        <x:v>18831605086.866</x:v>
      </x:c>
      <x:c r="E112" s="29" t="n">
        <x:v>14150</x:v>
      </x:c>
      <x:c r="F112" s="30" t="n">
        <x:f>(D112/E112)^(1/('Methodology'!$B$4*7/365))-1</x:f>
        <x:v>4.463638363957924</x:v>
      </x:c>
      <x:c r="G112" s="30" t="n">
        <x:f>F112/$F$6</x:f>
        <x:v>1.1641705477486908</x:v>
      </x:c>
      <x:c r="H112" s="30" t="n">
        <x:v>0.9074985650661912</x:v>
      </x:c>
      <x:c r="I112" s="30" t="n">
        <x:f>$H$6-H112</x:f>
        <x:v>0.0032826988419240033</x:v>
      </x:c>
      <x:c r="J112" s="30" t="n">
        <x:v>0.907</x:v>
      </x:c>
      <x:c r="K112" s="30" t="n">
        <x:f>$J$6-J112</x:f>
        <x:v>0.0040000000000000036</x:v>
      </x:c>
      <x:c r="L112" s="29" t="n">
        <x:v>2</x:v>
      </x:c>
      <x:c r="M112" s="29" t="n">
        <x:v>1</x:v>
      </x:c>
      <x:c r="N112" s="29" t="n">
        <x:v>4</x:v>
      </x:c>
      <x:c r="O112" s="29" t="n">
        <x:v>2</x:v>
      </x:c>
      <x:c r="P112" s="29" t="n">
        <x:v>2</x:v>
      </x:c>
      <x:c r="Q112" s="29" t="n">
        <x:v>429</x:v>
      </x:c>
      <x:c r="R112" s="30" t="n">
        <x:v>-0.7229596537874119</x:v>
      </x:c>
      <x:c r="S112" s="30" t="n">
        <x:v>0.9074985650661912</x:v>
      </x:c>
      <x:c r="T112" s="30" t="n">
        <x:v>0.8871498823490914</x:v>
      </x:c>
      <x:c r="U112" s="28" t="str">
        <x:f>IF(AND(G112&gt;=80%,I112&gt;0,L112&gt;=1),"YES","")</x:f>
        <x:v>YES</x:v>
      </x:c>
      <x:c r="V112" s="31" t="n">
        <x:f>I112+0.4*K112-2*MAX(0,90%-G112)</x:f>
        <x:v>0.004882698841924005</x:v>
      </x:c>
    </x:row>
    <x:row r="113">
      <x:c r="A113" s="35" t="n">
        <x:v>107</x:v>
      </x:c>
      <x:c r="B113" s="33" t="str">
        <x:v>Positive gap with weak momentum</x:v>
      </x:c>
      <x:c r="C113" s="33" t="str">
        <x:v>Skip when cash gap is at least 2.5% and 20-session momentum is no better than -2.0%.</x:v>
      </x:c>
      <x:c r="D113" s="29" t="n">
        <x:v>5061172187.189001</x:v>
      </x:c>
      <x:c r="E113" s="29" t="n">
        <x:v>14380</x:v>
      </x:c>
      <x:c r="F113" s="30" t="n">
        <x:f>(D113/E113)^(1/('Methodology'!$B$4*7/365))-1</x:f>
        <x:v>3.655018023019978</x:v>
      </x:c>
      <x:c r="G113" s="30" t="n">
        <x:f>F113/$F$6</x:f>
        <x:v>0.953272641495429</x:v>
      </x:c>
      <x:c r="H113" s="30" t="n">
        <x:v>0.9107812639081152</x:v>
      </x:c>
      <x:c r="I113" s="30" t="n">
        <x:f>$H$6-H113</x:f>
        <x:v>0</x:v>
      </x:c>
      <x:c r="J113" s="30" t="n">
        <x:v>0.911</x:v>
      </x:c>
      <x:c r="K113" s="30" t="n">
        <x:f>$J$6-J113</x:f>
        <x:v>0</x:v>
      </x:c>
      <x:c r="L113" s="29" t="n">
        <x:v>0</x:v>
      </x:c>
      <x:c r="M113" s="29" t="n">
        <x:v>0</x:v>
      </x:c>
      <x:c r="N113" s="29" t="n">
        <x:v>1</x:v>
      </x:c>
      <x:c r="O113" s="29" t="n">
        <x:v>0</x:v>
      </x:c>
      <x:c r="P113" s="29" t="n">
        <x:v>1</x:v>
      </x:c>
      <x:c r="Q113" s="29" t="n">
        <x:v>432</x:v>
      </x:c>
      <x:c r="R113" s="30" t="n">
        <x:v>-0.7239999847181552</x:v>
      </x:c>
      <x:c r="S113" s="30" t="n">
        <x:v>0.9107812639081152</x:v>
      </x:c>
      <x:c r="T113" s="30" t="n">
        <x:v>0.8871498758617039</x:v>
      </x:c>
      <x:c r="U113" s="28" t="str">
        <x:f>IF(AND(G113&gt;=80%,I113&gt;0,L113&gt;=1),"YES","")</x:f>
      </x:c>
      <x:c r="V113" s="31" t="n">
        <x:f>I113+0.4*K113-2*MAX(0,90%-G113)</x:f>
        <x:v>0</x:v>
      </x:c>
    </x:row>
    <x:row r="114">
      <x:c r="A114" s="35" t="n">
        <x:v>108</x:v>
      </x:c>
      <x:c r="B114" s="33" t="str">
        <x:v>Positive gap with weak momentum</x:v>
      </x:c>
      <x:c r="C114" s="33" t="str">
        <x:v>Skip when cash gap is at least 2.5% and 20-session momentum is no better than -1.0%.</x:v>
      </x:c>
      <x:c r="D114" s="29" t="n">
        <x:v>5061172187.189001</x:v>
      </x:c>
      <x:c r="E114" s="29" t="n">
        <x:v>14380</x:v>
      </x:c>
      <x:c r="F114" s="30" t="n">
        <x:f>(D114/E114)^(1/('Methodology'!$B$4*7/365))-1</x:f>
        <x:v>3.655018023019978</x:v>
      </x:c>
      <x:c r="G114" s="30" t="n">
        <x:f>F114/$F$6</x:f>
        <x:v>0.953272641495429</x:v>
      </x:c>
      <x:c r="H114" s="30" t="n">
        <x:v>0.9107812639081152</x:v>
      </x:c>
      <x:c r="I114" s="30" t="n">
        <x:f>$H$6-H114</x:f>
        <x:v>0</x:v>
      </x:c>
      <x:c r="J114" s="30" t="n">
        <x:v>0.911</x:v>
      </x:c>
      <x:c r="K114" s="30" t="n">
        <x:f>$J$6-J114</x:f>
        <x:v>0</x:v>
      </x:c>
      <x:c r="L114" s="29" t="n">
        <x:v>0</x:v>
      </x:c>
      <x:c r="M114" s="29" t="n">
        <x:v>0</x:v>
      </x:c>
      <x:c r="N114" s="29" t="n">
        <x:v>1</x:v>
      </x:c>
      <x:c r="O114" s="29" t="n">
        <x:v>0</x:v>
      </x:c>
      <x:c r="P114" s="29" t="n">
        <x:v>1</x:v>
      </x:c>
      <x:c r="Q114" s="29" t="n">
        <x:v>432</x:v>
      </x:c>
      <x:c r="R114" s="30" t="n">
        <x:v>-0.7239999847181552</x:v>
      </x:c>
      <x:c r="S114" s="30" t="n">
        <x:v>0.9107812639081152</x:v>
      </x:c>
      <x:c r="T114" s="30" t="n">
        <x:v>0.8871498758617039</x:v>
      </x:c>
      <x:c r="U114" s="28" t="str">
        <x:f>IF(AND(G114&gt;=80%,I114&gt;0,L114&gt;=1),"YES","")</x:f>
      </x:c>
      <x:c r="V114" s="31" t="n">
        <x:f>I114+0.4*K114-2*MAX(0,90%-G114)</x:f>
        <x:v>0</x:v>
      </x:c>
    </x:row>
    <x:row r="115">
      <x:c r="A115" s="35" t="n">
        <x:v>109</x:v>
      </x:c>
      <x:c r="B115" s="33" t="str">
        <x:v>Positive gap with weak momentum</x:v>
      </x:c>
      <x:c r="C115" s="33" t="str">
        <x:v>Skip when cash gap is at least 2.5% and 20-session momentum is no better than 0.0%.</x:v>
      </x:c>
      <x:c r="D115" s="29" t="n">
        <x:v>5061172187.189001</x:v>
      </x:c>
      <x:c r="E115" s="29" t="n">
        <x:v>14380</x:v>
      </x:c>
      <x:c r="F115" s="30" t="n">
        <x:f>(D115/E115)^(1/('Methodology'!$B$4*7/365))-1</x:f>
        <x:v>3.655018023019978</x:v>
      </x:c>
      <x:c r="G115" s="30" t="n">
        <x:f>F115/$F$6</x:f>
        <x:v>0.953272641495429</x:v>
      </x:c>
      <x:c r="H115" s="30" t="n">
        <x:v>0.9107812639081152</x:v>
      </x:c>
      <x:c r="I115" s="30" t="n">
        <x:f>$H$6-H115</x:f>
        <x:v>0</x:v>
      </x:c>
      <x:c r="J115" s="30" t="n">
        <x:v>0.911</x:v>
      </x:c>
      <x:c r="K115" s="30" t="n">
        <x:f>$J$6-J115</x:f>
        <x:v>0</x:v>
      </x:c>
      <x:c r="L115" s="29" t="n">
        <x:v>0</x:v>
      </x:c>
      <x:c r="M115" s="29" t="n">
        <x:v>0</x:v>
      </x:c>
      <x:c r="N115" s="29" t="n">
        <x:v>1</x:v>
      </x:c>
      <x:c r="O115" s="29" t="n">
        <x:v>0</x:v>
      </x:c>
      <x:c r="P115" s="29" t="n">
        <x:v>1</x:v>
      </x:c>
      <x:c r="Q115" s="29" t="n">
        <x:v>432</x:v>
      </x:c>
      <x:c r="R115" s="30" t="n">
        <x:v>-0.7239999847181552</x:v>
      </x:c>
      <x:c r="S115" s="30" t="n">
        <x:v>0.9107812639081152</x:v>
      </x:c>
      <x:c r="T115" s="30" t="n">
        <x:v>0.8871498758617039</x:v>
      </x:c>
      <x:c r="U115" s="28" t="str">
        <x:f>IF(AND(G115&gt;=80%,I115&gt;0,L115&gt;=1),"YES","")</x:f>
      </x:c>
      <x:c r="V115" s="31" t="n">
        <x:f>I115+0.4*K115-2*MAX(0,90%-G115)</x:f>
        <x:v>0</x:v>
      </x:c>
    </x:row>
    <x:row r="116">
      <x:c r="A116" s="35" t="n">
        <x:v>110</x:v>
      </x:c>
      <x:c r="B116" s="33" t="str">
        <x:v>Positive gap with weak momentum</x:v>
      </x:c>
      <x:c r="C116" s="33" t="str">
        <x:v>Skip when cash gap is at least 2.5% and 20-session momentum is no better than 1.0%.</x:v>
      </x:c>
      <x:c r="D116" s="29" t="n">
        <x:v>5061172187.189001</x:v>
      </x:c>
      <x:c r="E116" s="29" t="n">
        <x:v>14380</x:v>
      </x:c>
      <x:c r="F116" s="30" t="n">
        <x:f>(D116/E116)^(1/('Methodology'!$B$4*7/365))-1</x:f>
        <x:v>3.655018023019978</x:v>
      </x:c>
      <x:c r="G116" s="30" t="n">
        <x:f>F116/$F$6</x:f>
        <x:v>0.953272641495429</x:v>
      </x:c>
      <x:c r="H116" s="30" t="n">
        <x:v>0.9107812639081152</x:v>
      </x:c>
      <x:c r="I116" s="30" t="n">
        <x:f>$H$6-H116</x:f>
        <x:v>0</x:v>
      </x:c>
      <x:c r="J116" s="30" t="n">
        <x:v>0.911</x:v>
      </x:c>
      <x:c r="K116" s="30" t="n">
        <x:f>$J$6-J116</x:f>
        <x:v>0</x:v>
      </x:c>
      <x:c r="L116" s="29" t="n">
        <x:v>0</x:v>
      </x:c>
      <x:c r="M116" s="29" t="n">
        <x:v>0</x:v>
      </x:c>
      <x:c r="N116" s="29" t="n">
        <x:v>1</x:v>
      </x:c>
      <x:c r="O116" s="29" t="n">
        <x:v>0</x:v>
      </x:c>
      <x:c r="P116" s="29" t="n">
        <x:v>1</x:v>
      </x:c>
      <x:c r="Q116" s="29" t="n">
        <x:v>432</x:v>
      </x:c>
      <x:c r="R116" s="30" t="n">
        <x:v>-0.7239999847181552</x:v>
      </x:c>
      <x:c r="S116" s="30" t="n">
        <x:v>0.9107812639081152</x:v>
      </x:c>
      <x:c r="T116" s="30" t="n">
        <x:v>0.8871498758617039</x:v>
      </x:c>
      <x:c r="U116" s="28" t="str">
        <x:f>IF(AND(G116&gt;=80%,I116&gt;0,L116&gt;=1),"YES","")</x:f>
      </x:c>
      <x:c r="V116" s="31" t="n">
        <x:f>I116+0.4*K116-2*MAX(0,90%-G116)</x:f>
        <x:v>0</x:v>
      </x:c>
    </x:row>
    <x:row r="117">
      <x:c r="A117" s="35" t="n">
        <x:v>111</x:v>
      </x:c>
      <x:c r="B117" s="33" t="str">
        <x:v>Weak trailing momentum</x:v>
      </x:c>
      <x:c r="C117" s="33" t="str">
        <x:v>Skip when trailing 5-session momentum is -2% or worse.</x:v>
      </x:c>
      <x:c r="D117" s="29" t="n">
        <x:v>872202.49</x:v>
      </x:c>
      <x:c r="E117" s="29" t="n">
        <x:v>11045</x:v>
      </x:c>
      <x:c r="F117" s="30" t="n">
        <x:f>(D117/E117)^(1/('Methodology'!$B$4*7/365))-1</x:f>
        <x:v>0.6923706754777916</x:v>
      </x:c>
      <x:c r="G117" s="30" t="n">
        <x:f>F117/$F$6</x:f>
        <x:v>0.18057859593298134</x:v>
      </x:c>
      <x:c r="H117" s="30" t="n">
        <x:v>0.9344338136917278</x:v>
      </x:c>
      <x:c r="I117" s="30" t="n">
        <x:f>$H$6-H117</x:f>
        <x:v>-0.023652549783612642</x:v>
      </x:c>
      <x:c r="J117" s="30" t="n">
        <x:v>0.934</x:v>
      </x:c>
      <x:c r="K117" s="30" t="n">
        <x:f>$J$6-J117</x:f>
        <x:v>-0.02300000000000002</x:v>
      </x:c>
      <x:c r="L117" s="29" t="n">
        <x:v>3</x:v>
      </x:c>
      <x:c r="M117" s="29" t="n">
        <x:v>5</x:v>
      </x:c>
      <x:c r="N117" s="29" t="n">
        <x:v>85</x:v>
      </x:c>
      <x:c r="O117" s="29" t="n">
        <x:v>26</x:v>
      </x:c>
      <x:c r="P117" s="29" t="n">
        <x:v>59</x:v>
      </x:c>
      <x:c r="Q117" s="29" t="n">
        <x:v>348</x:v>
      </x:c>
      <x:c r="R117" s="30" t="n">
        <x:v>-0.7237935399772253</x:v>
      </x:c>
      <x:c r="S117" s="30" t="n">
        <x:v>0.9344338136917278</x:v>
      </x:c>
      <x:c r="T117" s="30" t="n">
        <x:v>0.8072868188877522</x:v>
      </x:c>
      <x:c r="U117" s="28" t="str">
        <x:f>IF(AND(G117&gt;=80%,I117&gt;0,L117&gt;=1),"YES","")</x:f>
      </x:c>
      <x:c r="V117" s="31" t="n">
        <x:f>I117+0.4*K117-2*MAX(0,90%-G117)</x:f>
        <x:v>-1.4716953579176502</x:v>
      </x:c>
    </x:row>
    <x:row r="118">
      <x:c r="A118" s="35" t="n">
        <x:v>112</x:v>
      </x:c>
      <x:c r="B118" s="33" t="str">
        <x:v>Weak trailing momentum</x:v>
      </x:c>
      <x:c r="C118" s="33" t="str">
        <x:v>Skip when trailing 5-session momentum is -4% or worse.</x:v>
      </x:c>
      <x:c r="D118" s="29" t="n">
        <x:v>307847698.8430001</x:v>
      </x:c>
      <x:c r="E118" s="29" t="n">
        <x:v>12885</x:v>
      </x:c>
      <x:c r="F118" s="30" t="n">
        <x:f>(D118/E118)^(1/('Methodology'!$B$4*7/365))-1</x:f>
        <x:v>2.366969069769232</x:v>
      </x:c>
      <x:c r="G118" s="30" t="n">
        <x:f>F118/$F$6</x:f>
        <x:v>0.6173339893991984</x:v>
      </x:c>
      <x:c r="H118" s="30" t="n">
        <x:v>0.9293126283383314</x:v>
      </x:c>
      <x:c r="I118" s="30" t="n">
        <x:f>$H$6-H118</x:f>
        <x:v>-0.01853136443021619</x:v>
      </x:c>
      <x:c r="J118" s="30" t="n">
        <x:v>0.929</x:v>
      </x:c>
      <x:c r="K118" s="30" t="n">
        <x:f>$J$6-J118</x:f>
        <x:v>-0.018000000000000016</x:v>
      </x:c>
      <x:c r="L118" s="29" t="n">
        <x:v>2</x:v>
      </x:c>
      <x:c r="M118" s="29" t="n">
        <x:v>2</x:v>
      </x:c>
      <x:c r="N118" s="29" t="n">
        <x:v>30</x:v>
      </x:c>
      <x:c r="O118" s="29" t="n">
        <x:v>8</x:v>
      </x:c>
      <x:c r="P118" s="29" t="n">
        <x:v>22</x:v>
      </x:c>
      <x:c r="Q118" s="29" t="n">
        <x:v>403</x:v>
      </x:c>
      <x:c r="R118" s="30" t="n">
        <x:v>-0.7239996890381173</x:v>
      </x:c>
      <x:c r="S118" s="30" t="n">
        <x:v>0.9293126283383314</x:v>
      </x:c>
      <x:c r="T118" s="30" t="n">
        <x:v>0.9132035715930067</x:v>
      </x:c>
      <x:c r="U118" s="28" t="str">
        <x:f>IF(AND(G118&gt;=80%,I118&gt;0,L118&gt;=1),"YES","")</x:f>
      </x:c>
      <x:c r="V118" s="31" t="n">
        <x:f>I118+0.4*K118-2*MAX(0,90%-G118)</x:f>
        <x:v>-0.5910633856318195</x:v>
      </x:c>
    </x:row>
    <x:row r="119">
      <x:c r="A119" s="35" t="n">
        <x:v>113</x:v>
      </x:c>
      <x:c r="B119" s="33" t="str">
        <x:v>Weak trailing momentum</x:v>
      </x:c>
      <x:c r="C119" s="33" t="str">
        <x:v>Skip when trailing 5-session momentum is -6% or worse.</x:v>
      </x:c>
      <x:c r="D119" s="29" t="n">
        <x:v>1578201693.6289992</x:v>
      </x:c>
      <x:c r="E119" s="29" t="n">
        <x:v>14150</x:v>
      </x:c>
      <x:c r="F119" s="30" t="n">
        <x:f>(D119/E119)^(1/('Methodology'!$B$4*7/365))-1</x:f>
        <x:v>3.053407454874069</x:v>
      </x:c>
      <x:c r="G119" s="30" t="n">
        <x:f>F119/$F$6</x:f>
        <x:v>0.7963653726841633</x:v>
      </x:c>
      <x:c r="H119" s="30" t="n">
        <x:v>0.9107812639081152</x:v>
      </x:c>
      <x:c r="I119" s="30" t="n">
        <x:f>$H$6-H119</x:f>
        <x:v>0</x:v>
      </x:c>
      <x:c r="J119" s="30" t="n">
        <x:v>0.911</x:v>
      </x:c>
      <x:c r="K119" s="30" t="n">
        <x:f>$J$6-J119</x:f>
        <x:v>0</x:v>
      </x:c>
      <x:c r="L119" s="29" t="n">
        <x:v>0</x:v>
      </x:c>
      <x:c r="M119" s="29" t="n">
        <x:v>0</x:v>
      </x:c>
      <x:c r="N119" s="29" t="n">
        <x:v>5</x:v>
      </x:c>
      <x:c r="O119" s="29" t="n">
        <x:v>0</x:v>
      </x:c>
      <x:c r="P119" s="29" t="n">
        <x:v>5</x:v>
      </x:c>
      <x:c r="Q119" s="29" t="n">
        <x:v>428</x:v>
      </x:c>
      <x:c r="R119" s="30" t="n">
        <x:v>-0.7239996373364863</x:v>
      </x:c>
      <x:c r="S119" s="30" t="n">
        <x:v>0.9107812639081152</x:v>
      </x:c>
      <x:c r="T119" s="30" t="n">
        <x:v>0.8983687383190643</x:v>
      </x:c>
      <x:c r="U119" s="28" t="str">
        <x:f>IF(AND(G119&gt;=80%,I119&gt;0,L119&gt;=1),"YES","")</x:f>
      </x:c>
      <x:c r="V119" s="31" t="n">
        <x:f>I119+0.4*K119-2*MAX(0,90%-G119)</x:f>
        <x:v>-0.20726925463167345</x:v>
      </x:c>
    </x:row>
    <x:row r="120">
      <x:c r="A120" s="35" t="n">
        <x:v>114</x:v>
      </x:c>
      <x:c r="B120" s="33" t="str">
        <x:v>Weak trailing momentum</x:v>
      </x:c>
      <x:c r="C120" s="33" t="str">
        <x:v>Skip when trailing 5-session momentum is -8% or worse.</x:v>
      </x:c>
      <x:c r="D120" s="29" t="n">
        <x:v>4525668085.958999</x:v>
      </x:c>
      <x:c r="E120" s="29" t="n">
        <x:v>14265</x:v>
      </x:c>
      <x:c r="F120" s="30" t="n">
        <x:f>(D120/E120)^(1/('Methodology'!$B$4*7/365))-1</x:f>
        <x:v>3.5971912607902796</x:v>
      </x:c>
      <x:c r="G120" s="30" t="n">
        <x:f>F120/$F$6</x:f>
        <x:v>0.938190726705229</x:v>
      </x:c>
      <x:c r="H120" s="30" t="n">
        <x:v>0.9107812639081152</x:v>
      </x:c>
      <x:c r="I120" s="30" t="n">
        <x:f>$H$6-H120</x:f>
        <x:v>0</x:v>
      </x:c>
      <x:c r="J120" s="30" t="n">
        <x:v>0.911</x:v>
      </x:c>
      <x:c r="K120" s="30" t="n">
        <x:f>$J$6-J120</x:f>
        <x:v>0</x:v>
      </x:c>
      <x:c r="L120" s="29" t="n">
        <x:v>0</x:v>
      </x:c>
      <x:c r="M120" s="29" t="n">
        <x:v>0</x:v>
      </x:c>
      <x:c r="N120" s="29" t="n">
        <x:v>1</x:v>
      </x:c>
      <x:c r="O120" s="29" t="n">
        <x:v>0</x:v>
      </x:c>
      <x:c r="P120" s="29" t="n">
        <x:v>1</x:v>
      </x:c>
      <x:c r="Q120" s="29" t="n">
        <x:v>432</x:v>
      </x:c>
      <x:c r="R120" s="30" t="n">
        <x:v>-0.7239999598565826</x:v>
      </x:c>
      <x:c r="S120" s="30" t="n">
        <x:v>0.9107812639081152</x:v>
      </x:c>
      <x:c r="T120" s="30" t="n">
        <x:v>0.8983690759085712</x:v>
      </x:c>
      <x:c r="U120" s="28" t="str">
        <x:f>IF(AND(G120&gt;=80%,I120&gt;0,L120&gt;=1),"YES","")</x:f>
      </x:c>
      <x:c r="V120" s="31" t="n">
        <x:f>I120+0.4*K120-2*MAX(0,90%-G120)</x:f>
        <x:v>0</x:v>
      </x:c>
    </x:row>
    <x:row r="121">
      <x:c r="A121" s="35" t="n">
        <x:v>115</x:v>
      </x:c>
      <x:c r="B121" s="33" t="str">
        <x:v>Weak trailing momentum</x:v>
      </x:c>
      <x:c r="C121" s="33" t="str">
        <x:v>Skip when trailing 5-session momentum is -10% or worse.</x:v>
      </x:c>
      <x:c r="D121" s="29" t="n">
        <x:v>6925479870.037004</x:v>
      </x:c>
      <x:c r="E121" s="29" t="n">
        <x:v>14380</x:v>
      </x:c>
      <x:c r="F121" s="30" t="n">
        <x:f>(D121/E121)^(1/('Methodology'!$B$4*7/365))-1</x:f>
        <x:v>3.8341790836315575</x:v>
      </x:c>
      <x:c r="G121" s="30" t="n">
        <x:f>F121/$F$6</x:f>
        <x:v>1</x:v>
      </x:c>
      <x:c r="H121" s="30" t="n">
        <x:v>0.9107812639081152</x:v>
      </x:c>
      <x:c r="I121" s="30" t="n">
        <x:f>$H$6-H121</x:f>
        <x:v>0</x:v>
      </x:c>
      <x:c r="J121" s="30" t="n">
        <x:v>0.911</x:v>
      </x:c>
      <x:c r="K121" s="30" t="n">
        <x:f>$J$6-J121</x:f>
        <x:v>0</x:v>
      </x:c>
      <x:c r="L121" s="29" t="n">
        <x:v>0</x:v>
      </x:c>
      <x:c r="M121" s="29" t="n">
        <x:v>0</x:v>
      </x:c>
      <x:c r="N121" s="29" t="n">
        <x:v>0</x:v>
      </x:c>
      <x:c r="O121" s="29" t="n">
        <x:v>0</x:v>
      </x:c>
      <x:c r="P121" s="29" t="n">
        <x:v>0</x:v>
      </x:c>
      <x:c r="Q121" s="29" t="n">
        <x:v>433</x:v>
      </x:c>
      <x:c r="R121" s="30" t="n">
        <x:v>-0.7239999461253781</x:v>
      </x:c>
      <x:c r="S121" s="30" t="n">
        <x:v>0.9107812639081152</x:v>
      </x:c>
      <x:c r="T121" s="30" t="n">
        <x:v>0.8871498795688209</x:v>
      </x:c>
      <x:c r="U121" s="28" t="str">
        <x:f>IF(AND(G121&gt;=80%,I121&gt;0,L121&gt;=1),"YES","")</x:f>
      </x:c>
      <x:c r="V121" s="31" t="n">
        <x:f>I121+0.4*K121-2*MAX(0,90%-G121)</x:f>
        <x:v>0</x:v>
      </x:c>
    </x:row>
    <x:row r="122">
      <x:c r="A122" s="35" t="n">
        <x:v>116</x:v>
      </x:c>
      <x:c r="B122" s="33" t="str">
        <x:v>Weak trailing momentum</x:v>
      </x:c>
      <x:c r="C122" s="33" t="str">
        <x:v>Skip when trailing 10-session momentum is -2% or worse.</x:v>
      </x:c>
      <x:c r="D122" s="29" t="n">
        <x:v>117737897.377</x:v>
      </x:c>
      <x:c r="E122" s="29" t="n">
        <x:v>10355</x:v>
      </x:c>
      <x:c r="F122" s="30" t="n">
        <x:f>(D122/E122)^(1/('Methodology'!$B$4*7/365))-1</x:f>
        <x:v>2.07896464753557</x:v>
      </x:c>
      <x:c r="G122" s="30" t="n">
        <x:f>F122/$F$6</x:f>
        <x:v>0.5422189736548432</x:v>
      </x:c>
      <x:c r="H122" s="30" t="n">
        <x:v>0.8948601746137406</x:v>
      </x:c>
      <x:c r="I122" s="30" t="n">
        <x:f>$H$6-H122</x:f>
        <x:v>0.015921089294374635</x:v>
      </x:c>
      <x:c r="J122" s="30" t="n">
        <x:v>0.894</x:v>
      </x:c>
      <x:c r="K122" s="30" t="n">
        <x:f>$J$6-J122</x:f>
        <x:v>0.017000000000000015</x:v>
      </x:c>
      <x:c r="L122" s="29" t="n">
        <x:v>6</x:v>
      </x:c>
      <x:c r="M122" s="29" t="n">
        <x:v>7</x:v>
      </x:c>
      <x:c r="N122" s="29" t="n">
        <x:v>90</x:v>
      </x:c>
      <x:c r="O122" s="29" t="n">
        <x:v>34</x:v>
      </x:c>
      <x:c r="P122" s="29" t="n">
        <x:v>56</x:v>
      </x:c>
      <x:c r="Q122" s="29" t="n">
        <x:v>343</x:v>
      </x:c>
      <x:c r="R122" s="30" t="n">
        <x:v>-0.7227248570250379</x:v>
      </x:c>
      <x:c r="S122" s="30" t="n">
        <x:v>0.8948601746137406</x:v>
      </x:c>
      <x:c r="T122" s="30" t="n">
        <x:v>0.8027494494955476</x:v>
      </x:c>
      <x:c r="U122" s="28" t="str">
        <x:f>IF(AND(G122&gt;=80%,I122&gt;0,L122&gt;=1),"YES","")</x:f>
      </x:c>
      <x:c r="V122" s="31" t="n">
        <x:f>I122+0.4*K122-2*MAX(0,90%-G122)</x:f>
        <x:v>-0.692840963395939</x:v>
      </x:c>
    </x:row>
    <x:row r="123">
      <x:c r="A123" s="35" t="n">
        <x:v>117</x:v>
      </x:c>
      <x:c r="B123" s="33" t="str">
        <x:v>Weak trailing momentum</x:v>
      </x:c>
      <x:c r="C123" s="33" t="str">
        <x:v>Skip when trailing 10-session momentum is -4% or worse.</x:v>
      </x:c>
      <x:c r="D123" s="29" t="n">
        <x:v>9962710.185</x:v>
      </x:c>
      <x:c r="E123" s="29" t="n">
        <x:v>11735</x:v>
      </x:c>
      <x:c r="F123" s="30" t="n">
        <x:f>(D123/E123)^(1/('Methodology'!$B$4*7/365))-1</x:f>
        <x:v>1.2527044080484333</x:v>
      </x:c>
      <x:c r="G123" s="30" t="n">
        <x:f>F123/$F$6</x:f>
        <x:v>0.326720369790847</x:v>
      </x:c>
      <x:c r="H123" s="30" t="n">
        <x:v>0.9447351457726676</x:v>
      </x:c>
      <x:c r="I123" s="30" t="n">
        <x:f>$H$6-H123</x:f>
        <x:v>-0.03395388186455239</x:v>
      </x:c>
      <x:c r="J123" s="30" t="n">
        <x:v>0.945</x:v>
      </x:c>
      <x:c r="K123" s="30" t="n">
        <x:f>$J$6-J123</x:f>
        <x:v>-0.03399999999999992</x:v>
      </x:c>
      <x:c r="L123" s="29" t="n">
        <x:v>1</x:v>
      </x:c>
      <x:c r="M123" s="29" t="n">
        <x:v>2</x:v>
      </x:c>
      <x:c r="N123" s="29" t="n">
        <x:v>54</x:v>
      </x:c>
      <x:c r="O123" s="29" t="n">
        <x:v>18</x:v>
      </x:c>
      <x:c r="P123" s="29" t="n">
        <x:v>36</x:v>
      </x:c>
      <x:c r="Q123" s="29" t="n">
        <x:v>379</x:v>
      </x:c>
      <x:c r="R123" s="30" t="n">
        <x:v>-0.7239969904829888</x:v>
      </x:c>
      <x:c r="S123" s="30" t="n">
        <x:v>0.9447351457726676</x:v>
      </x:c>
      <x:c r="T123" s="30" t="n">
        <x:v>0.8871465087477828</x:v>
      </x:c>
      <x:c r="U123" s="28" t="str">
        <x:f>IF(AND(G123&gt;=80%,I123&gt;0,L123&gt;=1),"YES","")</x:f>
      </x:c>
      <x:c r="V123" s="31" t="n">
        <x:f>I123+0.4*K123-2*MAX(0,90%-G123)</x:f>
        <x:v>-1.1941131422828584</x:v>
      </x:c>
    </x:row>
    <x:row r="124">
      <x:c r="A124" s="35" t="n">
        <x:v>118</x:v>
      </x:c>
      <x:c r="B124" s="33" t="str">
        <x:v>Weak trailing momentum</x:v>
      </x:c>
      <x:c r="C124" s="33" t="str">
        <x:v>Skip when trailing 10-session momentum is -6% or worse.</x:v>
      </x:c>
      <x:c r="D124" s="29" t="n">
        <x:v>46703096.232</x:v>
      </x:c>
      <x:c r="E124" s="29" t="n">
        <x:v>13230</x:v>
      </x:c>
      <x:c r="F124" s="30" t="n">
        <x:f>(D124/E124)^(1/('Methodology'!$B$4*7/365))-1</x:f>
        <x:v>1.6744380327594452</x:v>
      </x:c>
      <x:c r="G124" s="30" t="n">
        <x:f>F124/$F$6</x:f>
        <x:v>0.43671356925078597</x:v>
      </x:c>
      <x:c r="H124" s="30" t="n">
        <x:v>0.9116637098333635</x:v>
      </x:c>
      <x:c r="I124" s="30" t="n">
        <x:f>$H$6-H124</x:f>
        <x:v>-0.0008824459252483319</x:v>
      </x:c>
      <x:c r="J124" s="30" t="n">
        <x:v>0.912</x:v>
      </x:c>
      <x:c r="K124" s="30" t="n">
        <x:f>$J$6-J124</x:f>
        <x:v>-0.0010000000000000009</x:v>
      </x:c>
      <x:c r="L124" s="29" t="n">
        <x:v>0</x:v>
      </x:c>
      <x:c r="M124" s="29" t="n">
        <x:v>1</x:v>
      </x:c>
      <x:c r="N124" s="29" t="n">
        <x:v>28</x:v>
      </x:c>
      <x:c r="O124" s="29" t="n">
        <x:v>8</x:v>
      </x:c>
      <x:c r="P124" s="29" t="n">
        <x:v>20</x:v>
      </x:c>
      <x:c r="Q124" s="29" t="n">
        <x:v>405</x:v>
      </x:c>
      <x:c r="R124" s="30" t="n">
        <x:v>-0.7239922106514648</x:v>
      </x:c>
      <x:c r="S124" s="30" t="n">
        <x:v>0.9116637098333635</x:v>
      </x:c>
      <x:c r="T124" s="30" t="n">
        <x:v>0.8983581171184172</x:v>
      </x:c>
      <x:c r="U124" s="28" t="str">
        <x:f>IF(AND(G124&gt;=80%,I124&gt;0,L124&gt;=1),"YES","")</x:f>
      </x:c>
      <x:c r="V124" s="31" t="n">
        <x:f>I124+0.4*K124-2*MAX(0,90%-G124)</x:f>
        <x:v>-0.9278553074236764</x:v>
      </x:c>
    </x:row>
    <x:row r="125">
      <x:c r="A125" s="35" t="n">
        <x:v>119</x:v>
      </x:c>
      <x:c r="B125" s="33" t="str">
        <x:v>Weak trailing momentum</x:v>
      </x:c>
      <x:c r="C125" s="33" t="str">
        <x:v>Skip when trailing 10-session momentum is -8% or worse.</x:v>
      </x:c>
      <x:c r="D125" s="29" t="n">
        <x:v>1454352999.722997</x:v>
      </x:c>
      <x:c r="E125" s="29" t="n">
        <x:v>14150</x:v>
      </x:c>
      <x:c r="F125" s="30" t="n">
        <x:f>(D125/E125)^(1/('Methodology'!$B$4*7/365))-1</x:f>
        <x:v>3.013711495939835</x:v>
      </x:c>
      <x:c r="G125" s="30" t="n">
        <x:f>F125/$F$6</x:f>
        <x:v>0.7860121893642449</x:v>
      </x:c>
      <x:c r="H125" s="30" t="n">
        <x:v>0.9107812639081152</x:v>
      </x:c>
      <x:c r="I125" s="30" t="n">
        <x:f>$H$6-H125</x:f>
        <x:v>0</x:v>
      </x:c>
      <x:c r="J125" s="30" t="n">
        <x:v>0.911</x:v>
      </x:c>
      <x:c r="K125" s="30" t="n">
        <x:f>$J$6-J125</x:f>
        <x:v>0</x:v>
      </x:c>
      <x:c r="L125" s="29" t="n">
        <x:v>0</x:v>
      </x:c>
      <x:c r="M125" s="29" t="n">
        <x:v>0</x:v>
      </x:c>
      <x:c r="N125" s="29" t="n">
        <x:v>7</x:v>
      </x:c>
      <x:c r="O125" s="29" t="n">
        <x:v>1</x:v>
      </x:c>
      <x:c r="P125" s="29" t="n">
        <x:v>6</x:v>
      </x:c>
      <x:c r="Q125" s="29" t="n">
        <x:v>426</x:v>
      </x:c>
      <x:c r="R125" s="30" t="n">
        <x:v>-0.7239998935335136</x:v>
      </x:c>
      <x:c r="S125" s="30" t="n">
        <x:v>0.9107812639081152</x:v>
      </x:c>
      <x:c r="T125" s="30" t="n">
        <x:v>0.8983688119019615</x:v>
      </x:c>
      <x:c r="U125" s="28" t="str">
        <x:f>IF(AND(G125&gt;=80%,I125&gt;0,L125&gt;=1),"YES","")</x:f>
      </x:c>
      <x:c r="V125" s="31" t="n">
        <x:f>I125+0.4*K125-2*MAX(0,90%-G125)</x:f>
        <x:v>-0.22797562127151028</x:v>
      </x:c>
    </x:row>
    <x:row r="126">
      <x:c r="A126" s="35" t="n">
        <x:v>120</x:v>
      </x:c>
      <x:c r="B126" s="33" t="str">
        <x:v>Weak trailing momentum</x:v>
      </x:c>
      <x:c r="C126" s="33" t="str">
        <x:v>Skip when trailing 10-session momentum is -10% or worse.</x:v>
      </x:c>
      <x:c r="D126" s="29" t="n">
        <x:v>2173151561.209999</x:v>
      </x:c>
      <x:c r="E126" s="29" t="n">
        <x:v>14150</x:v>
      </x:c>
      <x:c r="F126" s="30" t="n">
        <x:f>(D126/E126)^(1/('Methodology'!$B$4*7/365))-1</x:f>
        <x:v>3.212600090188655</x:v>
      </x:c>
      <x:c r="G126" s="30" t="n">
        <x:f>F126/$F$6</x:f>
        <x:v>0.8378847258083283</x:v>
      </x:c>
      <x:c r="H126" s="30" t="n">
        <x:v>0.9107812639081152</x:v>
      </x:c>
      <x:c r="I126" s="30" t="n">
        <x:f>$H$6-H126</x:f>
        <x:v>0</x:v>
      </x:c>
      <x:c r="J126" s="30" t="n">
        <x:v>0.911</x:v>
      </x:c>
      <x:c r="K126" s="30" t="n">
        <x:f>$J$6-J126</x:f>
        <x:v>0</x:v>
      </x:c>
      <x:c r="L126" s="29" t="n">
        <x:v>0</x:v>
      </x:c>
      <x:c r="M126" s="29" t="n">
        <x:v>0</x:v>
      </x:c>
      <x:c r="N126" s="29" t="n">
        <x:v>5</x:v>
      </x:c>
      <x:c r="O126" s="29" t="n">
        <x:v>1</x:v>
      </x:c>
      <x:c r="P126" s="29" t="n">
        <x:v>4</x:v>
      </x:c>
      <x:c r="Q126" s="29" t="n">
        <x:v>428</x:v>
      </x:c>
      <x:c r="R126" s="30" t="n">
        <x:v>-0.7239997950761139</x:v>
      </x:c>
      <x:c r="S126" s="30" t="n">
        <x:v>0.9107812639081152</x:v>
      </x:c>
      <x:c r="T126" s="30" t="n">
        <x:v>0.8983688834399426</x:v>
      </x:c>
      <x:c r="U126" s="28" t="str">
        <x:f>IF(AND(G126&gt;=80%,I126&gt;0,L126&gt;=1),"YES","")</x:f>
      </x:c>
      <x:c r="V126" s="31" t="n">
        <x:f>I126+0.4*K126-2*MAX(0,90%-G126)</x:f>
        <x:v>-0.12423054838334346</x:v>
      </x:c>
    </x:row>
    <x:row r="127">
      <x:c r="A127" s="35" t="n">
        <x:v>121</x:v>
      </x:c>
      <x:c r="B127" s="33" t="str">
        <x:v>Weak trailing momentum</x:v>
      </x:c>
      <x:c r="C127" s="33" t="str">
        <x:v>Skip when trailing 20-session momentum is -2% or worse.</x:v>
      </x:c>
      <x:c r="D127" s="29" t="n">
        <x:v>1849407.7680000006</x:v>
      </x:c>
      <x:c r="E127" s="29" t="n">
        <x:v>9550</x:v>
      </x:c>
      <x:c r="F127" s="30" t="n">
        <x:f>(D127/E127)^(1/('Methodology'!$B$4*7/365))-1</x:f>
        <x:v>0.8854253229319662</x:v>
      </x:c>
      <x:c r="G127" s="30" t="n">
        <x:f>F127/$F$6</x:f>
        <x:v>0.23092956891657032</x:v>
      </x:c>
      <x:c r="H127" s="30" t="n">
        <x:v>0.9656254383393721</x:v>
      </x:c>
      <x:c r="I127" s="30" t="n">
        <x:f>$H$6-H127</x:f>
        <x:v>-0.05484417443125689</x:v>
      </x:c>
      <x:c r="J127" s="30" t="n">
        <x:v>0.961</x:v>
      </x:c>
      <x:c r="K127" s="30" t="n">
        <x:f>$J$6-J127</x:f>
        <x:v>-0.04999999999999993</x:v>
      </x:c>
      <x:c r="L127" s="29" t="n">
        <x:v>4</x:v>
      </x:c>
      <x:c r="M127" s="29" t="n">
        <x:v>6</x:v>
      </x:c>
      <x:c r="N127" s="29" t="n">
        <x:v>104</x:v>
      </x:c>
      <x:c r="O127" s="29" t="n">
        <x:v>38</x:v>
      </x:c>
      <x:c r="P127" s="29" t="n">
        <x:v>66</x:v>
      </x:c>
      <x:c r="Q127" s="29" t="n">
        <x:v>329</x:v>
      </x:c>
      <x:c r="R127" s="30" t="n">
        <x:v>-0.7226028982938528</x:v>
      </x:c>
      <x:c r="S127" s="30" t="n">
        <x:v>0.9656254383393721</x:v>
      </x:c>
      <x:c r="T127" s="30" t="n">
        <x:v>0.7856959384695626</x:v>
      </x:c>
      <x:c r="U127" s="28" t="str">
        <x:f>IF(AND(G127&gt;=80%,I127&gt;0,L127&gt;=1),"YES","")</x:f>
      </x:c>
      <x:c r="V127" s="31" t="n">
        <x:f>I127+0.4*K127-2*MAX(0,90%-G127)</x:f>
        <x:v>-1.4129850365981163</x:v>
      </x:c>
    </x:row>
    <x:row r="128">
      <x:c r="A128" s="35" t="n">
        <x:v>122</x:v>
      </x:c>
      <x:c r="B128" s="33" t="str">
        <x:v>Weak trailing momentum</x:v>
      </x:c>
      <x:c r="C128" s="33" t="str">
        <x:v>Skip when trailing 20-session momentum is -4% or worse.</x:v>
      </x:c>
      <x:c r="D128" s="29" t="n">
        <x:v>1262666.6590000018</x:v>
      </x:c>
      <x:c r="E128" s="29" t="n">
        <x:v>11045</x:v>
      </x:c>
      <x:c r="F128" s="30" t="n">
        <x:f>(D128/E128)^(1/('Methodology'!$B$4*7/365))-1</x:f>
        <x:v>0.7694728784188856</x:v>
      </x:c>
      <x:c r="G128" s="30" t="n">
        <x:f>F128/$F$6</x:f>
        <x:v>0.2006877773925146</x:v>
      </x:c>
      <x:c r="H128" s="30" t="n">
        <x:v>0.9227002586569559</x:v>
      </x:c>
      <x:c r="I128" s="30" t="n">
        <x:f>$H$6-H128</x:f>
        <x:v>-0.011918994748840728</x:v>
      </x:c>
      <x:c r="J128" s="30" t="n">
        <x:v>0.911</x:v>
      </x:c>
      <x:c r="K128" s="30" t="n">
        <x:f>$J$6-J128</x:f>
        <x:v>0</x:v>
      </x:c>
      <x:c r="L128" s="29" t="n">
        <x:v>1</x:v>
      </x:c>
      <x:c r="M128" s="29" t="n">
        <x:v>4</x:v>
      </x:c>
      <x:c r="N128" s="29" t="n">
        <x:v>70</x:v>
      </x:c>
      <x:c r="O128" s="29" t="n">
        <x:v>19</x:v>
      </x:c>
      <x:c r="P128" s="29" t="n">
        <x:v>51</x:v>
      </x:c>
      <x:c r="Q128" s="29" t="n">
        <x:v>363</x:v>
      </x:c>
      <x:c r="R128" s="30" t="n">
        <x:v>-0.7227380992317756</x:v>
      </x:c>
      <x:c r="S128" s="30" t="n">
        <x:v>0.9227002586569559</x:v>
      </x:c>
      <x:c r="T128" s="30" t="n">
        <x:v>0.9031920617744887</x:v>
      </x:c>
      <x:c r="U128" s="28" t="str">
        <x:f>IF(AND(G128&gt;=80%,I128&gt;0,L128&gt;=1),"YES","")</x:f>
      </x:c>
      <x:c r="V128" s="31" t="n">
        <x:f>I128+0.4*K128-2*MAX(0,90%-G128)</x:f>
        <x:v>-1.4105434399638117</x:v>
      </x:c>
    </x:row>
    <x:row r="129">
      <x:c r="A129" s="35" t="n">
        <x:v>123</x:v>
      </x:c>
      <x:c r="B129" s="33" t="str">
        <x:v>Weak trailing momentum</x:v>
      </x:c>
      <x:c r="C129" s="33" t="str">
        <x:v>Skip when trailing 20-session momentum is -6% or worse.</x:v>
      </x:c>
      <x:c r="D129" s="29" t="n">
        <x:v>5666785.870999988</x:v>
      </x:c>
      <x:c r="E129" s="29" t="n">
        <x:v>12310</x:v>
      </x:c>
      <x:c r="F129" s="30" t="n">
        <x:f>(D129/E129)^(1/('Methodology'!$B$4*7/365))-1</x:f>
        <x:v>1.0926378476049075</x:v>
      </x:c>
      <x:c r="G129" s="30" t="n">
        <x:f>F129/$F$6</x:f>
        <x:v>0.28497308648661535</x:v>
      </x:c>
      <x:c r="H129" s="30" t="n">
        <x:v>0.9006625043702056</x:v>
      </x:c>
      <x:c r="I129" s="30" t="n">
        <x:f>$H$6-H129</x:f>
        <x:v>0.010118759537909638</x:v>
      </x:c>
      <x:c r="J129" s="30" t="n">
        <x:v>0.901</x:v>
      </x:c>
      <x:c r="K129" s="30" t="n">
        <x:f>$J$6-J129</x:f>
        <x:v>0.010000000000000009</x:v>
      </x:c>
      <x:c r="L129" s="29" t="n">
        <x:v>0</x:v>
      </x:c>
      <x:c r="M129" s="29" t="n">
        <x:v>1</x:v>
      </x:c>
      <x:c r="N129" s="29" t="n">
        <x:v>43</x:v>
      </x:c>
      <x:c r="O129" s="29" t="n">
        <x:v>11</x:v>
      </x:c>
      <x:c r="P129" s="29" t="n">
        <x:v>32</x:v>
      </x:c>
      <x:c r="Q129" s="29" t="n">
        <x:v>390</x:v>
      </x:c>
      <x:c r="R129" s="30" t="n">
        <x:v>-0.723972836223435</x:v>
      </x:c>
      <x:c r="S129" s="30" t="n">
        <x:v>0.9006625043702056</x:v>
      </x:c>
      <x:c r="T129" s="30" t="n">
        <x:v>0.8871446121523937</x:v>
      </x:c>
      <x:c r="U129" s="28" t="str">
        <x:f>IF(AND(G129&gt;=80%,I129&gt;0,L129&gt;=1),"YES","")</x:f>
      </x:c>
      <x:c r="V129" s="31" t="n">
        <x:f>I129+0.4*K129-2*MAX(0,90%-G129)</x:f>
        <x:v>-1.2159350674888598</x:v>
      </x:c>
    </x:row>
    <x:row r="130">
      <x:c r="A130" s="35" t="n">
        <x:v>124</x:v>
      </x:c>
      <x:c r="B130" s="33" t="str">
        <x:v>Weak trailing momentum</x:v>
      </x:c>
      <x:c r="C130" s="33" t="str">
        <x:v>Skip when trailing 20-session momentum is -8% or worse.</x:v>
      </x:c>
      <x:c r="D130" s="29" t="n">
        <x:v>133781719.48600009</x:v>
      </x:c>
      <x:c r="E130" s="29" t="n">
        <x:v>13345</x:v>
      </x:c>
      <x:c r="F130" s="30" t="n">
        <x:f>(D130/E130)^(1/('Methodology'!$B$4*7/365))-1</x:f>
        <x:v>2.032627370170391</x:v>
      </x:c>
      <x:c r="G130" s="30" t="n">
        <x:f>F130/$F$6</x:f>
        <x:v>0.530133654645359</x:v>
      </x:c>
      <x:c r="H130" s="30" t="n">
        <x:v>0.9076592866590611</x:v>
      </x:c>
      <x:c r="I130" s="30" t="n">
        <x:f>$H$6-H130</x:f>
        <x:v>0.003121977249054053</x:v>
      </x:c>
      <x:c r="J130" s="30" t="n">
        <x:v>0.896</x:v>
      </x:c>
      <x:c r="K130" s="30" t="n">
        <x:f>$J$6-J130</x:f>
        <x:v>0.015000000000000013</x:v>
      </x:c>
      <x:c r="L130" s="29" t="n">
        <x:v>0</x:v>
      </x:c>
      <x:c r="M130" s="29" t="n">
        <x:v>1</x:v>
      </x:c>
      <x:c r="N130" s="29" t="n">
        <x:v>25</x:v>
      </x:c>
      <x:c r="O130" s="29" t="n">
        <x:v>6</x:v>
      </x:c>
      <x:c r="P130" s="29" t="n">
        <x:v>19</x:v>
      </x:c>
      <x:c r="Q130" s="29" t="n">
        <x:v>408</x:v>
      </x:c>
      <x:c r="R130" s="30" t="n">
        <x:v>-0.7239958588346248</x:v>
      </x:c>
      <x:c r="S130" s="30" t="n">
        <x:v>0.8940147913283958</x:v>
      </x:c>
      <x:c r="T130" s="30" t="n">
        <x:v>0.9076592866590611</x:v>
      </x:c>
      <x:c r="U130" s="28" t="str">
        <x:f>IF(AND(G130&gt;=80%,I130&gt;0,L130&gt;=1),"YES","")</x:f>
      </x:c>
      <x:c r="V130" s="31" t="n">
        <x:f>I130+0.4*K130-2*MAX(0,90%-G130)</x:f>
        <x:v>-0.730610713460228</x:v>
      </x:c>
    </x:row>
    <x:row r="131">
      <x:c r="A131" s="35" t="n">
        <x:v>125</x:v>
      </x:c>
      <x:c r="B131" s="33" t="str">
        <x:v>Weak trailing momentum</x:v>
      </x:c>
      <x:c r="C131" s="33" t="str">
        <x:v>Skip when trailing 20-session momentum is -10% or worse.</x:v>
      </x:c>
      <x:c r="D131" s="29" t="n">
        <x:v>970749550.7470008</x:v>
      </x:c>
      <x:c r="E131" s="29" t="n">
        <x:v>13805</x:v>
      </x:c>
      <x:c r="F131" s="30" t="n">
        <x:f>(D131/E131)^(1/('Methodology'!$B$4*7/365))-1</x:f>
        <x:v>2.8343824337372365</x:v>
      </x:c>
      <x:c r="G131" s="30" t="n">
        <x:f>F131/$F$6</x:f>
        <x:v>0.7392410140249996</x:v>
      </x:c>
      <x:c r="H131" s="30" t="n">
        <x:v>0.9076636094179457</x:v>
      </x:c>
      <x:c r="I131" s="30" t="n">
        <x:f>$H$6-H131</x:f>
        <x:v>0.0031176544901695413</x:v>
      </x:c>
      <x:c r="J131" s="30" t="n">
        <x:v>0.896</x:v>
      </x:c>
      <x:c r="K131" s="30" t="n">
        <x:f>$J$6-J131</x:f>
        <x:v>0.015000000000000013</x:v>
      </x:c>
      <x:c r="L131" s="29" t="n">
        <x:v>0</x:v>
      </x:c>
      <x:c r="M131" s="29" t="n">
        <x:v>1</x:v>
      </x:c>
      <x:c r="N131" s="29" t="n">
        <x:v>15</x:v>
      </x:c>
      <x:c r="O131" s="29" t="n">
        <x:v>4</x:v>
      </x:c>
      <x:c r="P131" s="29" t="n">
        <x:v>11</x:v>
      </x:c>
      <x:c r="Q131" s="29" t="n">
        <x:v>418</x:v>
      </x:c>
      <x:c r="R131" s="30" t="n">
        <x:v>-0.7239992805137563</x:v>
      </x:c>
      <x:c r="S131" s="30" t="n">
        <x:v>0.8940147913283958</x:v>
      </x:c>
      <x:c r="T131" s="30" t="n">
        <x:v>0.9076636094179457</x:v>
      </x:c>
      <x:c r="U131" s="28" t="str">
        <x:f>IF(AND(G131&gt;=80%,I131&gt;0,L131&gt;=1),"YES","")</x:f>
      </x:c>
      <x:c r="V131" s="31" t="n">
        <x:f>I131+0.4*K131-2*MAX(0,90%-G131)</x:f>
        <x:v>-0.3124003174598312</x:v>
      </x:c>
    </x:row>
    <x:row r="132">
      <x:c r="A132" s="35" t="n">
        <x:v>126</x:v>
      </x:c>
      <x:c r="B132" s="33" t="str">
        <x:v>Weak trailing momentum</x:v>
      </x:c>
      <x:c r="C132" s="33" t="str">
        <x:v>Skip when trailing 40-session momentum is -2% or worse.</x:v>
      </x:c>
      <x:c r="D132" s="29" t="n">
        <x:v>26373148.498999994</x:v>
      </x:c>
      <x:c r="E132" s="29" t="n">
        <x:v>10010</x:v>
      </x:c>
      <x:c r="F132" s="30" t="n">
        <x:f>(D132/E132)^(1/('Methodology'!$B$4*7/365))-1</x:f>
        <x:v>1.5818554958365145</x:v>
      </x:c>
      <x:c r="G132" s="30" t="n">
        <x:f>F132/$F$6</x:f>
        <x:v>0.4125669305822445</x:v>
      </x:c>
      <x:c r="H132" s="30" t="n">
        <x:v>0.896907933941993</x:v>
      </x:c>
      <x:c r="I132" s="30" t="n">
        <x:f>$H$6-H132</x:f>
        <x:v>0.013873329966122228</x:v>
      </x:c>
      <x:c r="J132" s="30" t="n">
        <x:v>0.897</x:v>
      </x:c>
      <x:c r="K132" s="30" t="n">
        <x:f>$J$6-J132</x:f>
        <x:v>0.014000000000000012</x:v>
      </x:c>
      <x:c r="L132" s="29" t="n">
        <x:v>8</x:v>
      </x:c>
      <x:c r="M132" s="29" t="n">
        <x:v>8</x:v>
      </x:c>
      <x:c r="N132" s="29" t="n">
        <x:v>94</x:v>
      </x:c>
      <x:c r="O132" s="29" t="n">
        <x:v>37</x:v>
      </x:c>
      <x:c r="P132" s="29" t="n">
        <x:v>57</x:v>
      </x:c>
      <x:c r="Q132" s="29" t="n">
        <x:v>339</x:v>
      </x:c>
      <x:c r="R132" s="30" t="n">
        <x:v>-0.7229277410739245</x:v>
      </x:c>
      <x:c r="S132" s="30" t="n">
        <x:v>0.896907933941993</x:v>
      </x:c>
      <x:c r="T132" s="30" t="n">
        <x:v>0.7682616354489239</x:v>
      </x:c>
      <x:c r="U132" s="28" t="str">
        <x:f>IF(AND(G132&gt;=80%,I132&gt;0,L132&gt;=1),"YES","")</x:f>
      </x:c>
      <x:c r="V132" s="31" t="n">
        <x:f>I132+0.4*K132-2*MAX(0,90%-G132)</x:f>
        <x:v>-0.9553928088693888</x:v>
      </x:c>
    </x:row>
    <x:row r="133">
      <x:c r="A133" s="35" t="n">
        <x:v>127</x:v>
      </x:c>
      <x:c r="B133" s="33" t="str">
        <x:v>Weak trailing momentum</x:v>
      </x:c>
      <x:c r="C133" s="33" t="str">
        <x:v>Skip when trailing 40-session momentum is -4% or worse.</x:v>
      </x:c>
      <x:c r="D133" s="29" t="n">
        <x:v>235794267.3960002</x:v>
      </x:c>
      <x:c r="E133" s="29" t="n">
        <x:v>10930</x:v>
      </x:c>
      <x:c r="F133" s="30" t="n">
        <x:f>(D133/E133)^(1/('Methodology'!$B$4*7/365))-1</x:f>
        <x:v>2.3258280634558175</x:v>
      </x:c>
      <x:c r="G133" s="30" t="n">
        <x:f>F133/$F$6</x:f>
        <x:v>0.6066039203502462</x:v>
      </x:c>
      <x:c r="H133" s="30" t="n">
        <x:v>0.9145256755916248</x:v>
      </x:c>
      <x:c r="I133" s="30" t="n">
        <x:f>$H$6-H133</x:f>
        <x:v>-0.0037444116835095853</x:v>
      </x:c>
      <x:c r="J133" s="30" t="n">
        <x:v>0.915</x:v>
      </x:c>
      <x:c r="K133" s="30" t="n">
        <x:f>$J$6-J133</x:f>
        <x:v>-0.0040000000000000036</x:v>
      </x:c>
      <x:c r="L133" s="29" t="n">
        <x:v>7</x:v>
      </x:c>
      <x:c r="M133" s="29" t="n">
        <x:v>7</x:v>
      </x:c>
      <x:c r="N133" s="29" t="n">
        <x:v>70</x:v>
      </x:c>
      <x:c r="O133" s="29" t="n">
        <x:v>29</x:v>
      </x:c>
      <x:c r="P133" s="29" t="n">
        <x:v>41</x:v>
      </x:c>
      <x:c r="Q133" s="29" t="n">
        <x:v>363</x:v>
      </x:c>
      <x:c r="R133" s="30" t="n">
        <x:v>-0.7222831062534056</x:v>
      </x:c>
      <x:c r="S133" s="30" t="n">
        <x:v>0.9145256755916248</x:v>
      </x:c>
      <x:c r="T133" s="30" t="n">
        <x:v>0.7682756130974333</x:v>
      </x:c>
      <x:c r="U133" s="28" t="str">
        <x:f>IF(AND(G133&gt;=80%,I133&gt;0,L133&gt;=1),"YES","")</x:f>
      </x:c>
      <x:c r="V133" s="31" t="n">
        <x:f>I133+0.4*K133-2*MAX(0,90%-G133)</x:f>
        <x:v>-0.5921365709830172</x:v>
      </x:c>
    </x:row>
    <x:row r="134">
      <x:c r="A134" s="35" t="n">
        <x:v>128</x:v>
      </x:c>
      <x:c r="B134" s="33" t="str">
        <x:v>Weak trailing momentum</x:v>
      </x:c>
      <x:c r="C134" s="33" t="str">
        <x:v>Skip when trailing 40-session momentum is -6% or worse.</x:v>
      </x:c>
      <x:c r="D134" s="29" t="n">
        <x:v>379099764.01399976</x:v>
      </x:c>
      <x:c r="E134" s="29" t="n">
        <x:v>11620</x:v>
      </x:c>
      <x:c r="F134" s="30" t="n">
        <x:f>(D134/E134)^(1/('Methodology'!$B$4*7/365))-1</x:f>
        <x:v>2.495680809355638</x:v>
      </x:c>
      <x:c r="G134" s="30" t="n">
        <x:f>F134/$F$6</x:f>
        <x:v>0.6509035584722466</x:v>
      </x:c>
      <x:c r="H134" s="30" t="n">
        <x:v>0.8531880258020033</x:v>
      </x:c>
      <x:c r="I134" s="30" t="n">
        <x:f>$H$6-H134</x:f>
        <x:v>0.057593238106111944</x:v>
      </x:c>
      <x:c r="J134" s="30" t="n">
        <x:v>0.853</x:v>
      </x:c>
      <x:c r="K134" s="30" t="n">
        <x:f>$J$6-J134</x:f>
        <x:v>0.05800000000000005</x:v>
      </x:c>
      <x:c r="L134" s="29" t="n">
        <x:v>6</x:v>
      </x:c>
      <x:c r="M134" s="29" t="n">
        <x:v>6</x:v>
      </x:c>
      <x:c r="N134" s="29" t="n">
        <x:v>53</x:v>
      </x:c>
      <x:c r="O134" s="29" t="n">
        <x:v>20</x:v>
      </x:c>
      <x:c r="P134" s="29" t="n">
        <x:v>33</x:v>
      </x:c>
      <x:c r="Q134" s="29" t="n">
        <x:v>380</x:v>
      </x:c>
      <x:c r="R134" s="30" t="n">
        <x:v>-0.7229812098250009</x:v>
      </x:c>
      <x:c r="S134" s="30" t="n">
        <x:v>0.8531880258020033</x:v>
      </x:c>
      <x:c r="T134" s="30" t="n">
        <x:v>0.7682801788372907</x:v>
      </x:c>
      <x:c r="U134" s="28" t="str">
        <x:f>IF(AND(G134&gt;=80%,I134&gt;0,L134&gt;=1),"YES","")</x:f>
      </x:c>
      <x:c r="V134" s="31" t="n">
        <x:f>I134+0.4*K134-2*MAX(0,90%-G134)</x:f>
        <x:v>-0.41739964494939497</x:v>
      </x:c>
    </x:row>
    <x:row r="135">
      <x:c r="A135" s="35" t="n">
        <x:v>129</x:v>
      </x:c>
      <x:c r="B135" s="33" t="str">
        <x:v>Weak trailing momentum</x:v>
      </x:c>
      <x:c r="C135" s="33" t="str">
        <x:v>Skip when trailing 40-session momentum is -8% or worse.</x:v>
      </x:c>
      <x:c r="D135" s="29" t="n">
        <x:v>409581263.81399965</x:v>
      </x:c>
      <x:c r="E135" s="29" t="n">
        <x:v>12310</x:v>
      </x:c>
      <x:c r="F135" s="30" t="n">
        <x:f>(D135/E135)^(1/('Methodology'!$B$4*7/365))-1</x:f>
        <x:v>2.50396316198934</x:v>
      </x:c>
      <x:c r="G135" s="30" t="n">
        <x:f>F135/$F$6</x:f>
        <x:v>0.6530636956106134</x:v>
      </x:c>
      <x:c r="H135" s="30" t="n">
        <x:v>0.8871497916353308</x:v>
      </x:c>
      <x:c r="I135" s="30" t="n">
        <x:f>$H$6-H135</x:f>
        <x:v>0.023631472272784393</x:v>
      </x:c>
      <x:c r="J135" s="30" t="n">
        <x:v>0.884</x:v>
      </x:c>
      <x:c r="K135" s="30" t="n">
        <x:f>$J$6-J135</x:f>
        <x:v>0.027000000000000024</x:v>
      </x:c>
      <x:c r="L135" s="29" t="n">
        <x:v>4</x:v>
      </x:c>
      <x:c r="M135" s="29" t="n">
        <x:v>5</x:v>
      </x:c>
      <x:c r="N135" s="29" t="n">
        <x:v>40</x:v>
      </x:c>
      <x:c r="O135" s="29" t="n">
        <x:v>15</x:v>
      </x:c>
      <x:c r="P135" s="29" t="n">
        <x:v>25</x:v>
      </x:c>
      <x:c r="Q135" s="29" t="n">
        <x:v>393</x:v>
      </x:c>
      <x:c r="R135" s="30" t="n">
        <x:v>-0.7228572531902326</x:v>
      </x:c>
      <x:c r="S135" s="30" t="n">
        <x:v>0.8530711704402294</x:v>
      </x:c>
      <x:c r="T135" s="30" t="n">
        <x:v>0.8871497916353308</x:v>
      </x:c>
      <x:c r="U135" s="28" t="str">
        <x:f>IF(AND(G135&gt;=80%,I135&gt;0,L135&gt;=1),"YES","")</x:f>
      </x:c>
      <x:c r="V135" s="31" t="n">
        <x:f>I135+0.4*K135-2*MAX(0,90%-G135)</x:f>
        <x:v>-0.45944113650598883</x:v>
      </x:c>
    </x:row>
    <x:row r="136">
      <x:c r="A136" s="35" t="n">
        <x:v>130</x:v>
      </x:c>
      <x:c r="B136" s="33" t="str">
        <x:v>Weak trailing momentum</x:v>
      </x:c>
      <x:c r="C136" s="33" t="str">
        <x:v>Skip when trailing 40-session momentum is -10% or worse.</x:v>
      </x:c>
      <x:c r="D136" s="29" t="n">
        <x:v>2470168876.4549966</x:v>
      </x:c>
      <x:c r="E136" s="29" t="n">
        <x:v>13115</x:v>
      </x:c>
      <x:c r="F136" s="30" t="n">
        <x:f>(D136/E136)^(1/('Methodology'!$B$4*7/365))-1</x:f>
        <x:v>3.3174034289256396</x:v>
      </x:c>
      <x:c r="G136" s="30" t="n">
        <x:f>F136/$F$6</x:f>
        <x:v>0.8652186965100097</x:v>
      </x:c>
      <x:c r="H136" s="30" t="n">
        <x:v>0.912546155758612</x:v>
      </x:c>
      <x:c r="I136" s="30" t="n">
        <x:f>$H$6-H136</x:f>
        <x:v>-0.0017648918504967748</x:v>
      </x:c>
      <x:c r="J136" s="30" t="n">
        <x:v>0.913</x:v>
      </x:c>
      <x:c r="K136" s="30" t="n">
        <x:f>$J$6-J136</x:f>
        <x:v>-0.0020000000000000018</x:v>
      </x:c>
      <x:c r="L136" s="29" t="n">
        <x:v>3</x:v>
      </x:c>
      <x:c r="M136" s="29" t="n">
        <x:v>4</x:v>
      </x:c>
      <x:c r="N136" s="29" t="n">
        <x:v>29</x:v>
      </x:c>
      <x:c r="O136" s="29" t="n">
        <x:v>10</x:v>
      </x:c>
      <x:c r="P136" s="29" t="n">
        <x:v>19</x:v>
      </x:c>
      <x:c r="Q136" s="29" t="n">
        <x:v>404</x:v>
      </x:c>
      <x:c r="R136" s="30" t="n">
        <x:v>-0.7227610353496253</x:v>
      </x:c>
      <x:c r="S136" s="30" t="n">
        <x:v>0.912546155758612</x:v>
      </x:c>
      <x:c r="T136" s="30" t="n">
        <x:v>0.8871498683983043</x:v>
      </x:c>
      <x:c r="U136" s="28" t="str">
        <x:f>IF(AND(G136&gt;=80%,I136&gt;0,L136&gt;=1),"YES","")</x:f>
      </x:c>
      <x:c r="V136" s="31" t="n">
        <x:f>I136+0.4*K136-2*MAX(0,90%-G136)</x:f>
        <x:v>-0.0721274988304774</x:v>
      </x:c>
    </x:row>
    <x:row r="137">
      <x:c r="A137" s="35" t="n">
        <x:v>131</x:v>
      </x:c>
      <x:c r="B137" s="33" t="str">
        <x:v>Prior cash-session loss</x:v>
      </x:c>
      <x:c r="C137" s="33" t="str">
        <x:v>Skip after a prior cash-session loss of 0.5% or more.</x:v>
      </x:c>
      <x:c r="D137" s="29" t="n">
        <x:v>7990907.466</x:v>
      </x:c>
      <x:c r="E137" s="29" t="n">
        <x:v>10355</x:v>
      </x:c>
      <x:c r="F137" s="30" t="n">
        <x:f>(D137/E137)^(1/('Methodology'!$B$4*7/365))-1</x:f>
        <x:v>1.2269624618595798</x:v>
      </x:c>
      <x:c r="G137" s="30" t="n">
        <x:f>F137/$F$6</x:f>
        <x:v>0.3200065607518409</x:v>
      </x:c>
      <x:c r="H137" s="30" t="n">
        <x:v>0.9321324797140911</x:v>
      </x:c>
      <x:c r="I137" s="30" t="n">
        <x:f>$H$6-H137</x:f>
        <x:v>-0.021351215805975876</x:v>
      </x:c>
      <x:c r="J137" s="30" t="n">
        <x:v>0.926</x:v>
      </x:c>
      <x:c r="K137" s="30" t="n">
        <x:f>$J$6-J137</x:f>
        <x:v>-0.015000000000000013</x:v>
      </x:c>
      <x:c r="L137" s="29" t="n">
        <x:v>7</x:v>
      </x:c>
      <x:c r="M137" s="29" t="n">
        <x:v>7</x:v>
      </x:c>
      <x:c r="N137" s="29" t="n">
        <x:v>125</x:v>
      </x:c>
      <x:c r="O137" s="29" t="n">
        <x:v>51</x:v>
      </x:c>
      <x:c r="P137" s="29" t="n">
        <x:v>74</x:v>
      </x:c>
      <x:c r="Q137" s="29" t="n">
        <x:v>308</x:v>
      </x:c>
      <x:c r="R137" s="30" t="n">
        <x:v>-0.7239438253505058</x:v>
      </x:c>
      <x:c r="S137" s="30" t="n">
        <x:v>0.9321324797140911</x:v>
      </x:c>
      <x:c r="T137" s="30" t="n">
        <x:v>0.8944503519398985</x:v>
      </x:c>
      <x:c r="U137" s="28" t="str">
        <x:f>IF(AND(G137&gt;=80%,I137&gt;0,L137&gt;=1),"YES","")</x:f>
      </x:c>
      <x:c r="V137" s="31" t="n">
        <x:f>I137+0.4*K137-2*MAX(0,90%-G137)</x:f>
        <x:v>-1.1873380943022942</x:v>
      </x:c>
    </x:row>
    <x:row r="138">
      <x:c r="A138" s="35" t="n">
        <x:v>132</x:v>
      </x:c>
      <x:c r="B138" s="33" t="str">
        <x:v>Prior cash-session loss</x:v>
      </x:c>
      <x:c r="C138" s="33" t="str">
        <x:v>Skip after a prior cash-session loss of 1.0% or more.</x:v>
      </x:c>
      <x:c r="D138" s="29" t="n">
        <x:v>46423862.08700003</x:v>
      </x:c>
      <x:c r="E138" s="29" t="n">
        <x:v>11620</x:v>
      </x:c>
      <x:c r="F138" s="30" t="n">
        <x:f>(D138/E138)^(1/('Methodology'!$B$4*7/365))-1</x:f>
        <x:v>1.7145956907768003</x:v>
      </x:c>
      <x:c r="G138" s="30" t="n">
        <x:f>F138/$F$6</x:f>
        <x:v>0.4471871692421874</x:v>
      </x:c>
      <x:c r="H138" s="30" t="n">
        <x:v>0.9014144952594454</x:v>
      </x:c>
      <x:c r="I138" s="30" t="n">
        <x:f>$H$6-H138</x:f>
        <x:v>0.00936676864866981</x:v>
      </x:c>
      <x:c r="J138" s="30" t="n">
        <x:v>0.9</x:v>
      </x:c>
      <x:c r="K138" s="30" t="n">
        <x:f>$J$6-J138</x:f>
        <x:v>0.01100000000000001</x:v>
      </x:c>
      <x:c r="L138" s="29" t="n">
        <x:v>3</x:v>
      </x:c>
      <x:c r="M138" s="29" t="n">
        <x:v>3</x:v>
      </x:c>
      <x:c r="N138" s="29" t="n">
        <x:v>69</x:v>
      </x:c>
      <x:c r="O138" s="29" t="n">
        <x:v>25</x:v>
      </x:c>
      <x:c r="P138" s="29" t="n">
        <x:v>44</x:v>
      </x:c>
      <x:c r="Q138" s="29" t="n">
        <x:v>364</x:v>
      </x:c>
      <x:c r="R138" s="30" t="n">
        <x:v>-0.7239726244925113</x:v>
      </x:c>
      <x:c r="S138" s="30" t="n">
        <x:v>0.9014144952594454</x:v>
      </x:c>
      <x:c r="T138" s="30" t="n">
        <x:v>0.8910384456221453</x:v>
      </x:c>
      <x:c r="U138" s="28" t="str">
        <x:f>IF(AND(G138&gt;=80%,I138&gt;0,L138&gt;=1),"YES","")</x:f>
      </x:c>
      <x:c r="V138" s="31" t="n">
        <x:f>I138+0.4*K138-2*MAX(0,90%-G138)</x:f>
        <x:v>-0.8918588928669555</x:v>
      </x:c>
    </x:row>
    <x:row r="139">
      <x:c r="A139" s="35" t="n">
        <x:v>133</x:v>
      </x:c>
      <x:c r="B139" s="33" t="str">
        <x:v>Prior cash-session loss</x:v>
      </x:c>
      <x:c r="C139" s="33" t="str">
        <x:v>Skip after a prior cash-session loss of 1.5% or more.</x:v>
      </x:c>
      <x:c r="D139" s="29" t="n">
        <x:v>157629432.94700012</x:v>
      </x:c>
      <x:c r="E139" s="29" t="n">
        <x:v>12770</x:v>
      </x:c>
      <x:c r="F139" s="30" t="n">
        <x:f>(D139/E139)^(1/('Methodology'!$B$4*7/365))-1</x:f>
        <x:v>2.1095776022187187</x:v>
      </x:c>
      <x:c r="G139" s="30" t="n">
        <x:f>F139/$F$6</x:f>
        <x:v>0.5502032002690453</x:v>
      </x:c>
      <x:c r="H139" s="30" t="n">
        <x:v>0.9159065094358668</x:v>
      </x:c>
      <x:c r="I139" s="30" t="n">
        <x:f>$H$6-H139</x:f>
        <x:v>-0.005125245527751621</x:v>
      </x:c>
      <x:c r="J139" s="30" t="n">
        <x:v>0.915</x:v>
      </x:c>
      <x:c r="K139" s="30" t="n">
        <x:f>$J$6-J139</x:f>
        <x:v>-0.0040000000000000036</x:v>
      </x:c>
      <x:c r="L139" s="29" t="n">
        <x:v>1</x:v>
      </x:c>
      <x:c r="M139" s="29" t="n">
        <x:v>1</x:v>
      </x:c>
      <x:c r="N139" s="29" t="n">
        <x:v>32</x:v>
      </x:c>
      <x:c r="O139" s="29" t="n">
        <x:v>10</x:v>
      </x:c>
      <x:c r="P139" s="29" t="n">
        <x:v>22</x:v>
      </x:c>
      <x:c r="Q139" s="29" t="n">
        <x:v>401</x:v>
      </x:c>
      <x:c r="R139" s="30" t="n">
        <x:v>-0.7239922698302216</x:v>
      </x:c>
      <x:c r="S139" s="30" t="n">
        <x:v>0.9159065094358668</x:v>
      </x:c>
      <x:c r="T139" s="30" t="n">
        <x:v>0.8737368486049195</x:v>
      </x:c>
      <x:c r="U139" s="28" t="str">
        <x:f>IF(AND(G139&gt;=80%,I139&gt;0,L139&gt;=1),"YES","")</x:f>
      </x:c>
      <x:c r="V139" s="31" t="n">
        <x:f>I139+0.4*K139-2*MAX(0,90%-G139)</x:f>
        <x:v>-0.706318844989661</x:v>
      </x:c>
    </x:row>
    <x:row r="140">
      <x:c r="A140" s="35" t="n">
        <x:v>134</x:v>
      </x:c>
      <x:c r="B140" s="33" t="str">
        <x:v>Prior cash-session loss</x:v>
      </x:c>
      <x:c r="C140" s="33" t="str">
        <x:v>Skip after a prior cash-session loss of 2.0% or more.</x:v>
      </x:c>
      <x:c r="D140" s="29" t="n">
        <x:v>666375510.5409994</x:v>
      </x:c>
      <x:c r="E140" s="29" t="n">
        <x:v>13230</x:v>
      </x:c>
      <x:c r="F140" s="30" t="n">
        <x:f>(D140/E140)^(1/('Methodology'!$B$4*7/365))-1</x:f>
        <x:v>2.6833656816457396</x:v>
      </x:c>
      <x:c r="G140" s="30" t="n">
        <x:f>F140/$F$6</x:f>
        <x:v>0.6998540295369249</x:v>
      </x:c>
      <x:c r="H140" s="30" t="n">
        <x:v>0.9107812639081152</x:v>
      </x:c>
      <x:c r="I140" s="30" t="n">
        <x:f>$H$6-H140</x:f>
        <x:v>0</x:v>
      </x:c>
      <x:c r="J140" s="30" t="n">
        <x:v>0.911</x:v>
      </x:c>
      <x:c r="K140" s="30" t="n">
        <x:f>$J$6-J140</x:f>
        <x:v>0</x:v>
      </x:c>
      <x:c r="L140" s="29" t="n">
        <x:v>1</x:v>
      </x:c>
      <x:c r="M140" s="29" t="n">
        <x:v>1</x:v>
      </x:c>
      <x:c r="N140" s="29" t="n">
        <x:v>21</x:v>
      </x:c>
      <x:c r="O140" s="29" t="n">
        <x:v>5</x:v>
      </x:c>
      <x:c r="P140" s="29" t="n">
        <x:v>16</x:v>
      </x:c>
      <x:c r="Q140" s="29" t="n">
        <x:v>412</x:v>
      </x:c>
      <x:c r="R140" s="30" t="n">
        <x:v>-0.7239978479149283</x:v>
      </x:c>
      <x:c r="S140" s="30" t="n">
        <x:v>0.9107812639081152</x:v>
      </x:c>
      <x:c r="T140" s="30" t="n">
        <x:v>0.8737442644967763</x:v>
      </x:c>
      <x:c r="U140" s="28" t="str">
        <x:f>IF(AND(G140&gt;=80%,I140&gt;0,L140&gt;=1),"YES","")</x:f>
      </x:c>
      <x:c r="V140" s="31" t="n">
        <x:f>I140+0.4*K140-2*MAX(0,90%-G140)</x:f>
        <x:v>-0.4002919409261503</x:v>
      </x:c>
    </x:row>
    <x:row r="141">
      <x:c r="A141" s="35" t="n">
        <x:v>135</x:v>
      </x:c>
      <x:c r="B141" s="33" t="str">
        <x:v>Prior cash-session loss</x:v>
      </x:c>
      <x:c r="C141" s="33" t="str">
        <x:v>Skip after a prior cash-session loss of 2.5% or more.</x:v>
      </x:c>
      <x:c r="D141" s="29" t="n">
        <x:v>1322391397.780999</x:v>
      </x:c>
      <x:c r="E141" s="29" t="n">
        <x:v>13690</x:v>
      </x:c>
      <x:c r="F141" s="30" t="n">
        <x:f>(D141/E141)^(1/('Methodology'!$B$4*7/365))-1</x:f>
        <x:v>2.983822219676422</x:v>
      </x:c>
      <x:c r="G141" s="30" t="n">
        <x:f>F141/$F$6</x:f>
        <x:v>0.7782167067820638</x:v>
      </x:c>
      <x:c r="H141" s="30" t="n">
        <x:v>0.9107812639081152</x:v>
      </x:c>
      <x:c r="I141" s="30" t="n">
        <x:f>$H$6-H141</x:f>
        <x:v>0</x:v>
      </x:c>
      <x:c r="J141" s="30" t="n">
        <x:v>0.911</x:v>
      </x:c>
      <x:c r="K141" s="30" t="n">
        <x:f>$J$6-J141</x:f>
        <x:v>0</x:v>
      </x:c>
      <x:c r="L141" s="29" t="n">
        <x:v>1</x:v>
      </x:c>
      <x:c r="M141" s="29" t="n">
        <x:v>1</x:v>
      </x:c>
      <x:c r="N141" s="29" t="n">
        <x:v>12</x:v>
      </x:c>
      <x:c r="O141" s="29" t="n">
        <x:v>3</x:v>
      </x:c>
      <x:c r="P141" s="29" t="n">
        <x:v>9</x:v>
      </x:c>
      <x:c r="Q141" s="29" t="n">
        <x:v>421</x:v>
      </x:c>
      <x:c r="R141" s="30" t="n">
        <x:v>-0.7239992814750208</x:v>
      </x:c>
      <x:c r="S141" s="30" t="n">
        <x:v>0.9107812639081152</x:v>
      </x:c>
      <x:c r="T141" s="30" t="n">
        <x:v>0.8983680767846296</x:v>
      </x:c>
      <x:c r="U141" s="28" t="str">
        <x:f>IF(AND(G141&gt;=80%,I141&gt;0,L141&gt;=1),"YES","")</x:f>
      </x:c>
      <x:c r="V141" s="31" t="n">
        <x:f>I141+0.4*K141-2*MAX(0,90%-G141)</x:f>
        <x:v>-0.24356658643587248</x:v>
      </x:c>
    </x:row>
    <x:row r="142">
      <x:c r="A142" s="35" t="n">
        <x:v>136</x:v>
      </x:c>
      <x:c r="B142" s="33" t="str">
        <x:v>Prior cash-session loss</x:v>
      </x:c>
      <x:c r="C142" s="33" t="str">
        <x:v>Skip after a prior cash-session loss of 3.0% or more.</x:v>
      </x:c>
      <x:c r="D142" s="29" t="n">
        <x:v>4643194827.732999</x:v>
      </x:c>
      <x:c r="E142" s="29" t="n">
        <x:v>13920</x:v>
      </x:c>
      <x:c r="F142" s="30" t="n">
        <x:f>(D142/E142)^(1/('Methodology'!$B$4*7/365))-1</x:f>
        <x:v>3.625021696330969</x:v>
      </x:c>
      <x:c r="G142" s="30" t="n">
        <x:f>F142/$F$6</x:f>
        <x:v>0.9454492388752785</x:v>
      </x:c>
      <x:c r="H142" s="30" t="n">
        <x:v>0.9107812639081152</x:v>
      </x:c>
      <x:c r="I142" s="30" t="n">
        <x:f>$H$6-H142</x:f>
        <x:v>0</x:v>
      </x:c>
      <x:c r="J142" s="30" t="n">
        <x:v>0.911</x:v>
      </x:c>
      <x:c r="K142" s="30" t="n">
        <x:f>$J$6-J142</x:f>
        <x:v>0</x:v>
      </x:c>
      <x:c r="L142" s="29" t="n">
        <x:v>1</x:v>
      </x:c>
      <x:c r="M142" s="29" t="n">
        <x:v>1</x:v>
      </x:c>
      <x:c r="N142" s="29" t="n">
        <x:v>8</x:v>
      </x:c>
      <x:c r="O142" s="29" t="n">
        <x:v>3</x:v>
      </x:c>
      <x:c r="P142" s="29" t="n">
        <x:v>5</x:v>
      </x:c>
      <x:c r="Q142" s="29" t="n">
        <x:v>425</x:v>
      </x:c>
      <x:c r="R142" s="30" t="n">
        <x:v>-0.7239996916007855</x:v>
      </x:c>
      <x:c r="S142" s="30" t="n">
        <x:v>0.9107812639081152</x:v>
      </x:c>
      <x:c r="T142" s="30" t="n">
        <x:v>0.8983688665543943</x:v>
      </x:c>
      <x:c r="U142" s="28" t="str">
        <x:f>IF(AND(G142&gt;=80%,I142&gt;0,L142&gt;=1),"YES","")</x:f>
      </x:c>
      <x:c r="V142" s="31" t="n">
        <x:f>I142+0.4*K142-2*MAX(0,90%-G142)</x:f>
        <x:v>0</x:v>
      </x:c>
    </x:row>
    <x:row r="143">
      <x:c r="A143" s="35" t="n">
        <x:v>137</x:v>
      </x:c>
      <x:c r="B143" s="33" t="str">
        <x:v>Prior cash-session loss</x:v>
      </x:c>
      <x:c r="C143" s="33" t="str">
        <x:v>Skip after a prior cash-session loss of 3.5% or more.</x:v>
      </x:c>
      <x:c r="D143" s="29" t="n">
        <x:v>5559141342.670006</x:v>
      </x:c>
      <x:c r="E143" s="29" t="n">
        <x:v>14150</x:v>
      </x:c>
      <x:c r="F143" s="30" t="n">
        <x:f>(D143/E143)^(1/('Methodology'!$B$4*7/365))-1</x:f>
        <x:v>3.7170732631512573</x:v>
      </x:c>
      <x:c r="G143" s="30" t="n">
        <x:f>F143/$F$6</x:f>
        <x:v>0.9694573941576607</x:v>
      </x:c>
      <x:c r="H143" s="30" t="n">
        <x:v>0.9107812639081152</x:v>
      </x:c>
      <x:c r="I143" s="30" t="n">
        <x:f>$H$6-H143</x:f>
        <x:v>0</x:v>
      </x:c>
      <x:c r="J143" s="30" t="n">
        <x:v>0.911</x:v>
      </x:c>
      <x:c r="K143" s="30" t="n">
        <x:f>$J$6-J143</x:f>
        <x:v>0</x:v>
      </x:c>
      <x:c r="L143" s="29" t="n">
        <x:v>0</x:v>
      </x:c>
      <x:c r="M143" s="29" t="n">
        <x:v>0</x:v>
      </x:c>
      <x:c r="N143" s="29" t="n">
        <x:v>4</x:v>
      </x:c>
      <x:c r="O143" s="29" t="n">
        <x:v>2</x:v>
      </x:c>
      <x:c r="P143" s="29" t="n">
        <x:v>2</x:v>
      </x:c>
      <x:c r="Q143" s="29" t="n">
        <x:v>429</x:v>
      </x:c>
      <x:c r="R143" s="30" t="n">
        <x:v>-0.7239999841938913</x:v>
      </x:c>
      <x:c r="S143" s="30" t="n">
        <x:v>0.9107812639081152</x:v>
      </x:c>
      <x:c r="T143" s="30" t="n">
        <x:v>0.8871498786205383</x:v>
      </x:c>
      <x:c r="U143" s="28" t="str">
        <x:f>IF(AND(G143&gt;=80%,I143&gt;0,L143&gt;=1),"YES","")</x:f>
      </x:c>
      <x:c r="V143" s="31" t="n">
        <x:f>I143+0.4*K143-2*MAX(0,90%-G143)</x:f>
        <x:v>0</x:v>
      </x:c>
    </x:row>
    <x:row r="144">
      <x:c r="A144" s="35" t="n">
        <x:v>138</x:v>
      </x:c>
      <x:c r="B144" s="33" t="str">
        <x:v>Prior cash-session loss</x:v>
      </x:c>
      <x:c r="C144" s="33" t="str">
        <x:v>Skip after a prior cash-session loss of 4.0% or more.</x:v>
      </x:c>
      <x:c r="D144" s="29" t="n">
        <x:v>7193869304.977993</x:v>
      </x:c>
      <x:c r="E144" s="29" t="n">
        <x:v>14265</x:v>
      </x:c>
      <x:c r="F144" s="30" t="n">
        <x:f>(D144/E144)^(1/('Methodology'!$B$4*7/365))-1</x:f>
        <x:v>3.861061938405518</x:v>
      </x:c>
      <x:c r="G144" s="30" t="n">
        <x:f>F144/$F$6</x:f>
        <x:v>1.0070113717141502</x:v>
      </x:c>
      <x:c r="H144" s="30" t="n">
        <x:v>0.9107812639081152</x:v>
      </x:c>
      <x:c r="I144" s="30" t="n">
        <x:f>$H$6-H144</x:f>
        <x:v>0</x:v>
      </x:c>
      <x:c r="J144" s="30" t="n">
        <x:v>0.911</x:v>
      </x:c>
      <x:c r="K144" s="30" t="n">
        <x:f>$J$6-J144</x:f>
        <x:v>0</x:v>
      </x:c>
      <x:c r="L144" s="29" t="n">
        <x:v>0</x:v>
      </x:c>
      <x:c r="M144" s="29" t="n">
        <x:v>0</x:v>
      </x:c>
      <x:c r="N144" s="29" t="n">
        <x:v>1</x:v>
      </x:c>
      <x:c r="O144" s="29" t="n">
        <x:v>1</x:v>
      </x:c>
      <x:c r="P144" s="29" t="n">
        <x:v>0</x:v>
      </x:c>
      <x:c r="Q144" s="29" t="n">
        <x:v>432</x:v>
      </x:c>
      <x:c r="R144" s="30" t="n">
        <x:v>-0.7239999132132579</x:v>
      </x:c>
      <x:c r="S144" s="30" t="n">
        <x:v>0.9107812639081152</x:v>
      </x:c>
      <x:c r="T144" s="30" t="n">
        <x:v>0.8871498795997811</x:v>
      </x:c>
      <x:c r="U144" s="28" t="str">
        <x:f>IF(AND(G144&gt;=80%,I144&gt;0,L144&gt;=1),"YES","")</x:f>
      </x:c>
      <x:c r="V144" s="31" t="n">
        <x:f>I144+0.4*K144-2*MAX(0,90%-G144)</x:f>
        <x:v>0</x:v>
      </x:c>
    </x:row>
    <x:row r="145">
      <x:c r="A145" s="35" t="n">
        <x:v>139</x:v>
      </x:c>
      <x:c r="B145" s="33" t="str">
        <x:v>Prior cash-session loss</x:v>
      </x:c>
      <x:c r="C145" s="33" t="str">
        <x:v>Skip after a prior cash-session loss of 4.5% or more.</x:v>
      </x:c>
      <x:c r="D145" s="29" t="n">
        <x:v>6925479870.037004</x:v>
      </x:c>
      <x:c r="E145" s="29" t="n">
        <x:v>14380</x:v>
      </x:c>
      <x:c r="F145" s="30" t="n">
        <x:f>(D145/E145)^(1/('Methodology'!$B$4*7/365))-1</x:f>
        <x:v>3.8341790836315575</x:v>
      </x:c>
      <x:c r="G145" s="30" t="n">
        <x:f>F145/$F$6</x:f>
        <x:v>1</x:v>
      </x:c>
      <x:c r="H145" s="30" t="n">
        <x:v>0.9107812639081152</x:v>
      </x:c>
      <x:c r="I145" s="30" t="n">
        <x:f>$H$6-H145</x:f>
        <x:v>0</x:v>
      </x:c>
      <x:c r="J145" s="30" t="n">
        <x:v>0.911</x:v>
      </x:c>
      <x:c r="K145" s="30" t="n">
        <x:f>$J$6-J145</x:f>
        <x:v>0</x:v>
      </x:c>
      <x:c r="L145" s="29" t="n">
        <x:v>0</x:v>
      </x:c>
      <x:c r="M145" s="29" t="n">
        <x:v>0</x:v>
      </x:c>
      <x:c r="N145" s="29" t="n">
        <x:v>0</x:v>
      </x:c>
      <x:c r="O145" s="29" t="n">
        <x:v>0</x:v>
      </x:c>
      <x:c r="P145" s="29" t="n">
        <x:v>0</x:v>
      </x:c>
      <x:c r="Q145" s="29" t="n">
        <x:v>433</x:v>
      </x:c>
      <x:c r="R145" s="30" t="n">
        <x:v>-0.7239999461253781</x:v>
      </x:c>
      <x:c r="S145" s="30" t="n">
        <x:v>0.9107812639081152</x:v>
      </x:c>
      <x:c r="T145" s="30" t="n">
        <x:v>0.8871498795688209</x:v>
      </x:c>
      <x:c r="U145" s="28" t="str">
        <x:f>IF(AND(G145&gt;=80%,I145&gt;0,L145&gt;=1),"YES","")</x:f>
      </x:c>
      <x:c r="V145" s="31" t="n">
        <x:f>I145+0.4*K145-2*MAX(0,90%-G145)</x:f>
        <x:v>0</x:v>
      </x:c>
    </x:row>
    <x:row r="146">
      <x:c r="A146" s="35" t="n">
        <x:v>140</x:v>
      </x:c>
      <x:c r="B146" s="33" t="str">
        <x:v>Prior cash-session loss</x:v>
      </x:c>
      <x:c r="C146" s="33" t="str">
        <x:v>Skip after a prior cash-session loss of 5.0% or more.</x:v>
      </x:c>
      <x:c r="D146" s="29" t="n">
        <x:v>6925479870.037004</x:v>
      </x:c>
      <x:c r="E146" s="29" t="n">
        <x:v>14380</x:v>
      </x:c>
      <x:c r="F146" s="30" t="n">
        <x:f>(D146/E146)^(1/('Methodology'!$B$4*7/365))-1</x:f>
        <x:v>3.8341790836315575</x:v>
      </x:c>
      <x:c r="G146" s="30" t="n">
        <x:f>F146/$F$6</x:f>
        <x:v>1</x:v>
      </x:c>
      <x:c r="H146" s="30" t="n">
        <x:v>0.9107812639081152</x:v>
      </x:c>
      <x:c r="I146" s="30" t="n">
        <x:f>$H$6-H146</x:f>
        <x:v>0</x:v>
      </x:c>
      <x:c r="J146" s="30" t="n">
        <x:v>0.911</x:v>
      </x:c>
      <x:c r="K146" s="30" t="n">
        <x:f>$J$6-J146</x:f>
        <x:v>0</x:v>
      </x:c>
      <x:c r="L146" s="29" t="n">
        <x:v>0</x:v>
      </x:c>
      <x:c r="M146" s="29" t="n">
        <x:v>0</x:v>
      </x:c>
      <x:c r="N146" s="29" t="n">
        <x:v>0</x:v>
      </x:c>
      <x:c r="O146" s="29" t="n">
        <x:v>0</x:v>
      </x:c>
      <x:c r="P146" s="29" t="n">
        <x:v>0</x:v>
      </x:c>
      <x:c r="Q146" s="29" t="n">
        <x:v>433</x:v>
      </x:c>
      <x:c r="R146" s="30" t="n">
        <x:v>-0.7239999461253781</x:v>
      </x:c>
      <x:c r="S146" s="30" t="n">
        <x:v>0.9107812639081152</x:v>
      </x:c>
      <x:c r="T146" s="30" t="n">
        <x:v>0.8871498795688209</x:v>
      </x:c>
      <x:c r="U146" s="28" t="str">
        <x:f>IF(AND(G146&gt;=80%,I146&gt;0,L146&gt;=1),"YES","")</x:f>
      </x:c>
      <x:c r="V146" s="31" t="n">
        <x:f>I146+0.4*K146-2*MAX(0,90%-G146)</x:f>
        <x:v>0</x:v>
      </x:c>
    </x:row>
    <x:row r="147">
      <x:c r="A147" s="35" t="n">
        <x:v>141</x:v>
      </x:c>
      <x:c r="B147" s="33" t="str">
        <x:v>High realized volatility</x:v>
      </x:c>
      <x:c r="C147" s="33" t="str">
        <x:v>Skip when 5-session daily realized volatility is at least 1.2%.</x:v>
      </x:c>
      <x:c r="D147" s="29" t="n">
        <x:v>8042648.288999998</x:v>
      </x:c>
      <x:c r="E147" s="29" t="n">
        <x:v>7825</x:v>
      </x:c>
      <x:c r="F147" s="30" t="n">
        <x:f>(D147/E147)^(1/('Methodology'!$B$4*7/365))-1</x:f>
        <x:v>1.3051633598957872</x:v>
      </x:c>
      <x:c r="G147" s="30" t="n">
        <x:f>F147/$F$6</x:f>
        <x:v>0.34040229510083203</x:v>
      </x:c>
      <x:c r="H147" s="30" t="n">
        <x:v>0.8885685636647552</x:v>
      </x:c>
      <x:c r="I147" s="30" t="n">
        <x:f>$H$6-H147</x:f>
        <x:v>0.022212700243359973</x:v>
      </x:c>
      <x:c r="J147" s="30" t="n">
        <x:v>0.892</x:v>
      </x:c>
      <x:c r="K147" s="30" t="n">
        <x:f>$J$6-J147</x:f>
        <x:v>0.019000000000000017</x:v>
      </x:c>
      <x:c r="L147" s="29" t="n">
        <x:v>10</x:v>
      </x:c>
      <x:c r="M147" s="29" t="n">
        <x:v>11</x:v>
      </x:c>
      <x:c r="N147" s="29" t="n">
        <x:v>149</x:v>
      </x:c>
      <x:c r="O147" s="29" t="n">
        <x:v>61</x:v>
      </x:c>
      <x:c r="P147" s="29" t="n">
        <x:v>88</x:v>
      </x:c>
      <x:c r="Q147" s="29" t="n">
        <x:v>284</x:v>
      </x:c>
      <x:c r="R147" s="30" t="n">
        <x:v>-0.6564348922982353</x:v>
      </x:c>
      <x:c r="S147" s="30" t="n">
        <x:v>0.8885685636647552</x:v>
      </x:c>
      <x:c r="T147" s="30" t="n">
        <x:v>0.7944389061418147</x:v>
      </x:c>
      <x:c r="U147" s="28" t="str">
        <x:f>IF(AND(G147&gt;=80%,I147&gt;0,L147&gt;=1),"YES","")</x:f>
      </x:c>
      <x:c r="V147" s="31" t="n">
        <x:f>I147+0.4*K147-2*MAX(0,90%-G147)</x:f>
        <x:v>-1.0893827095549762</x:v>
      </x:c>
    </x:row>
    <x:row r="148">
      <x:c r="A148" s="35" t="n">
        <x:v>142</x:v>
      </x:c>
      <x:c r="B148" s="33" t="str">
        <x:v>High realized volatility</x:v>
      </x:c>
      <x:c r="C148" s="33" t="str">
        <x:v>Skip when 5-session daily realized volatility is at least 1.6%.</x:v>
      </x:c>
      <x:c r="D148" s="29" t="n">
        <x:v>196290233.84800008</x:v>
      </x:c>
      <x:c r="E148" s="29" t="n">
        <x:v>10815</x:v>
      </x:c>
      <x:c r="F148" s="30" t="n">
        <x:f>(D148/E148)^(1/('Methodology'!$B$4*7/365))-1</x:f>
        <x:v>2.2573407630936826</x:v>
      </x:c>
      <x:c r="G148" s="30" t="n">
        <x:f>F148/$F$6</x:f>
        <x:v>0.5887416090527606</x:v>
      </x:c>
      <x:c r="H148" s="30" t="n">
        <x:v>0.8787131789845888</x:v>
      </x:c>
      <x:c r="I148" s="30" t="n">
        <x:f>$H$6-H148</x:f>
        <x:v>0.03206808492352642</x:v>
      </x:c>
      <x:c r="J148" s="30" t="n">
        <x:v>0.879</x:v>
      </x:c>
      <x:c r="K148" s="30" t="n">
        <x:f>$J$6-J148</x:f>
        <x:v>0.03200000000000003</x:v>
      </x:c>
      <x:c r="L148" s="29" t="n">
        <x:v>6</x:v>
      </x:c>
      <x:c r="M148" s="29" t="n">
        <x:v>6</x:v>
      </x:c>
      <x:c r="N148" s="29" t="n">
        <x:v>80</x:v>
      </x:c>
      <x:c r="O148" s="29" t="n">
        <x:v>35</x:v>
      </x:c>
      <x:c r="P148" s="29" t="n">
        <x:v>45</x:v>
      </x:c>
      <x:c r="Q148" s="29" t="n">
        <x:v>353</x:v>
      </x:c>
      <x:c r="R148" s="30" t="n">
        <x:v>-0.6784679101815548</x:v>
      </x:c>
      <x:c r="S148" s="30" t="n">
        <x:v>0.8787131789845888</x:v>
      </x:c>
      <x:c r="T148" s="30" t="n">
        <x:v>0.7945486230237747</x:v>
      </x:c>
      <x:c r="U148" s="28" t="str">
        <x:f>IF(AND(G148&gt;=80%,I148&gt;0,L148&gt;=1),"YES","")</x:f>
      </x:c>
      <x:c r="V148" s="31" t="n">
        <x:f>I148+0.4*K148-2*MAX(0,90%-G148)</x:f>
        <x:v>-0.5776486969709523</x:v>
      </x:c>
    </x:row>
    <x:row r="149">
      <x:c r="A149" s="35" t="n">
        <x:v>143</x:v>
      </x:c>
      <x:c r="B149" s="33" t="str">
        <x:v>High realized volatility</x:v>
      </x:c>
      <x:c r="C149" s="33" t="str">
        <x:v>Skip when 5-session daily realized volatility is at least 2.0%.</x:v>
      </x:c>
      <x:c r="D149" s="29" t="n">
        <x:v>387435185.8949999</x:v>
      </x:c>
      <x:c r="E149" s="29" t="n">
        <x:v>13000</x:v>
      </x:c>
      <x:c r="F149" s="30" t="n">
        <x:f>(D149/E149)^(1/('Methodology'!$B$4*7/365))-1</x:f>
        <x:v>2.4578024359507844</x:v>
      </x:c>
      <x:c r="G149" s="30" t="n">
        <x:f>F149/$F$6</x:f>
        <x:v>0.6410244233096352</x:v>
      </x:c>
      <x:c r="H149" s="30" t="n">
        <x:v>0.9427468332179908</x:v>
      </x:c>
      <x:c r="I149" s="30" t="n">
        <x:f>$H$6-H149</x:f>
        <x:v>-0.0319655693098756</x:v>
      </x:c>
      <x:c r="J149" s="30" t="n">
        <x:v>0.943</x:v>
      </x:c>
      <x:c r="K149" s="30" t="n">
        <x:f>$J$6-J149</x:f>
        <x:v>-0.03199999999999992</x:v>
      </x:c>
      <x:c r="L149" s="29" t="n">
        <x:v>2</x:v>
      </x:c>
      <x:c r="M149" s="29" t="n">
        <x:v>3</x:v>
      </x:c>
      <x:c r="N149" s="29" t="n">
        <x:v>40</x:v>
      </x:c>
      <x:c r="O149" s="29" t="n">
        <x:v>15</x:v>
      </x:c>
      <x:c r="P149" s="29" t="n">
        <x:v>25</x:v>
      </x:c>
      <x:c r="Q149" s="29" t="n">
        <x:v>393</x:v>
      </x:c>
      <x:c r="R149" s="30" t="n">
        <x:v>-0.7229420742185046</x:v>
      </x:c>
      <x:c r="S149" s="30" t="n">
        <x:v>0.9427468332179908</x:v>
      </x:c>
      <x:c r="T149" s="30" t="n">
        <x:v>0.8871498105548012</x:v>
      </x:c>
      <x:c r="U149" s="28" t="str">
        <x:f>IF(AND(G149&gt;=80%,I149&gt;0,L149&gt;=1),"YES","")</x:f>
      </x:c>
      <x:c r="V149" s="31" t="n">
        <x:f>I149+0.4*K149-2*MAX(0,90%-G149)</x:f>
        <x:v>-0.5627167226906052</x:v>
      </x:c>
    </x:row>
    <x:row r="150">
      <x:c r="A150" s="35" t="n">
        <x:v>144</x:v>
      </x:c>
      <x:c r="B150" s="33" t="str">
        <x:v>High realized volatility</x:v>
      </x:c>
      <x:c r="C150" s="33" t="str">
        <x:v>Skip when 5-session daily realized volatility is at least 2.4%.</x:v>
      </x:c>
      <x:c r="D150" s="29" t="n">
        <x:v>3191998607.988002</x:v>
      </x:c>
      <x:c r="E150" s="29" t="n">
        <x:v>13920</x:v>
      </x:c>
      <x:c r="F150" s="30" t="n">
        <x:f>(D150/E150)^(1/('Methodology'!$B$4*7/365))-1</x:f>
        <x:v>3.4209391487286913</x:v>
      </x:c>
      <x:c r="G150" s="30" t="n">
        <x:f>F150/$F$6</x:f>
        <x:v>0.8922220569542453</x:v>
      </x:c>
      <x:c r="H150" s="30" t="n">
        <x:v>0.8940147913283958</x:v>
      </x:c>
      <x:c r="I150" s="30" t="n">
        <x:f>$H$6-H150</x:f>
        <x:v>0.016766472579719416</x:v>
      </x:c>
      <x:c r="J150" s="30" t="n">
        <x:v>0.894</x:v>
      </x:c>
      <x:c r="K150" s="30" t="n">
        <x:f>$J$6-J150</x:f>
        <x:v>0.017000000000000015</x:v>
      </x:c>
      <x:c r="L150" s="29" t="n">
        <x:v>1</x:v>
      </x:c>
      <x:c r="M150" s="29" t="n">
        <x:v>2</x:v>
      </x:c>
      <x:c r="N150" s="29" t="n">
        <x:v>15</x:v>
      </x:c>
      <x:c r="O150" s="29" t="n">
        <x:v>5</x:v>
      </x:c>
      <x:c r="P150" s="29" t="n">
        <x:v>10</x:v>
      </x:c>
      <x:c r="Q150" s="29" t="n">
        <x:v>418</x:v>
      </x:c>
      <x:c r="R150" s="30" t="n">
        <x:v>-0.7230313354999391</x:v>
      </x:c>
      <x:c r="S150" s="30" t="n">
        <x:v>0.8940147913283958</x:v>
      </x:c>
      <x:c r="T150" s="30" t="n">
        <x:v>0.8871498723762563</x:v>
      </x:c>
      <x:c r="U150" s="28" t="str">
        <x:f>IF(AND(G150&gt;=80%,I150&gt;0,L150&gt;=1),"YES","")</x:f>
        <x:v>YES</x:v>
      </x:c>
      <x:c r="V150" s="31" t="n">
        <x:f>I150+0.4*K150-2*MAX(0,90%-G150)</x:f>
        <x:v>0.008010586488209938</x:v>
      </x:c>
    </x:row>
    <x:row r="151">
      <x:c r="A151" s="35" t="n">
        <x:v>145</x:v>
      </x:c>
      <x:c r="B151" s="33" t="str">
        <x:v>High realized volatility</x:v>
      </x:c>
      <x:c r="C151" s="33" t="str">
        <x:v>Skip when 5-session daily realized volatility is at least 2.8%.</x:v>
      </x:c>
      <x:c r="D151" s="29" t="n">
        <x:v>6456167251.824994</x:v>
      </x:c>
      <x:c r="E151" s="29" t="n">
        <x:v>14265</x:v>
      </x:c>
      <x:c r="F151" s="30" t="n">
        <x:f>(D151/E151)^(1/('Methodology'!$B$4*7/365))-1</x:f>
        <x:v>3.798138492489138</x:v>
      </x:c>
      <x:c r="G151" s="30" t="n">
        <x:f>F151/$F$6</x:f>
        <x:v>0.9906001805454837</x:v>
      </x:c>
      <x:c r="H151" s="30" t="n">
        <x:v>0.9107812639081152</x:v>
      </x:c>
      <x:c r="I151" s="30" t="n">
        <x:f>$H$6-H151</x:f>
        <x:v>0</x:v>
      </x:c>
      <x:c r="J151" s="30" t="n">
        <x:v>0.911</x:v>
      </x:c>
      <x:c r="K151" s="30" t="n">
        <x:f>$J$6-J151</x:f>
        <x:v>0</x:v>
      </x:c>
      <x:c r="L151" s="29" t="n">
        <x:v>1</x:v>
      </x:c>
      <x:c r="M151" s="29" t="n">
        <x:v>1</x:v>
      </x:c>
      <x:c r="N151" s="29" t="n">
        <x:v>8</x:v>
      </x:c>
      <x:c r="O151" s="29" t="n">
        <x:v>2</x:v>
      </x:c>
      <x:c r="P151" s="29" t="n">
        <x:v>6</x:v>
      </x:c>
      <x:c r="Q151" s="29" t="n">
        <x:v>425</x:v>
      </x:c>
      <x:c r="R151" s="30" t="n">
        <x:v>-0.7229459847877536</x:v>
      </x:c>
      <x:c r="S151" s="30" t="n">
        <x:v>0.9107812639081152</x:v>
      </x:c>
      <x:c r="T151" s="30" t="n">
        <x:v>0.8871498783611338</x:v>
      </x:c>
      <x:c r="U151" s="28" t="str">
        <x:f>IF(AND(G151&gt;=80%,I151&gt;0,L151&gt;=1),"YES","")</x:f>
      </x:c>
      <x:c r="V151" s="31" t="n">
        <x:f>I151+0.4*K151-2*MAX(0,90%-G151)</x:f>
        <x:v>0</x:v>
      </x:c>
    </x:row>
    <x:row r="152">
      <x:c r="A152" s="35" t="n">
        <x:v>146</x:v>
      </x:c>
      <x:c r="B152" s="33" t="str">
        <x:v>High realized volatility</x:v>
      </x:c>
      <x:c r="C152" s="33" t="str">
        <x:v>Skip when 10-session daily realized volatility is at least 1.2%.</x:v>
      </x:c>
      <x:c r="D152" s="29" t="n">
        <x:v>3179471.1800000006</x:v>
      </x:c>
      <x:c r="E152" s="29" t="n">
        <x:v>6675</x:v>
      </x:c>
      <x:c r="F152" s="30" t="n">
        <x:f>(D152/E152)^(1/('Methodology'!$B$4*7/365))-1</x:f>
        <x:v>1.1012577154717662</x:v>
      </x:c>
      <x:c r="G152" s="30" t="n">
        <x:f>F152/$F$6</x:f>
        <x:v>0.2872212516554406</x:v>
      </x:c>
      <x:c r="H152" s="30" t="n">
        <x:v>0.9212783949507958</x:v>
      </x:c>
      <x:c r="I152" s="30" t="n">
        <x:f>$H$6-H152</x:f>
        <x:v>-0.010497131042680574</x:v>
      </x:c>
      <x:c r="J152" s="30" t="n">
        <x:v>0.923</x:v>
      </x:c>
      <x:c r="K152" s="30" t="n">
        <x:f>$J$6-J152</x:f>
        <x:v>-0.01200000000000001</x:v>
      </x:c>
      <x:c r="L152" s="29" t="n">
        <x:v>12</x:v>
      </x:c>
      <x:c r="M152" s="29" t="n">
        <x:v>13</x:v>
      </x:c>
      <x:c r="N152" s="29" t="n">
        <x:v>180</x:v>
      </x:c>
      <x:c r="O152" s="29" t="n">
        <x:v>73</x:v>
      </x:c>
      <x:c r="P152" s="29" t="n">
        <x:v>107</x:v>
      </x:c>
      <x:c r="Q152" s="29" t="n">
        <x:v>253</x:v>
      </x:c>
      <x:c r="R152" s="30" t="n">
        <x:v>-0.6771069318832488</x:v>
      </x:c>
      <x:c r="S152" s="30" t="n">
        <x:v>0.9212783949507958</x:v>
      </x:c>
      <x:c r="T152" s="30" t="n">
        <x:v>0.7026439963607991</x:v>
      </x:c>
      <x:c r="U152" s="28" t="str">
        <x:f>IF(AND(G152&gt;=80%,I152&gt;0,L152&gt;=1),"YES","")</x:f>
      </x:c>
      <x:c r="V152" s="31" t="n">
        <x:f>I152+0.4*K152-2*MAX(0,90%-G152)</x:f>
        <x:v>-1.2408546277317996</x:v>
      </x:c>
    </x:row>
    <x:row r="153">
      <x:c r="A153" s="35" t="n">
        <x:v>147</x:v>
      </x:c>
      <x:c r="B153" s="33" t="str">
        <x:v>High realized volatility</x:v>
      </x:c>
      <x:c r="C153" s="33" t="str">
        <x:v>Skip when 10-session daily realized volatility is at least 1.6%.</x:v>
      </x:c>
      <x:c r="D153" s="29" t="n">
        <x:v>154053998.95099998</x:v>
      </x:c>
      <x:c r="E153" s="29" t="n">
        <x:v>10470</x:v>
      </x:c>
      <x:c r="F153" s="30" t="n">
        <x:f>(D153/E153)^(1/('Methodology'!$B$4*7/365))-1</x:f>
        <x:v>2.1760490295209385</x:v>
      </x:c>
      <x:c r="G153" s="30" t="n">
        <x:f>F153/$F$6</x:f>
        <x:v>0.5675397476374227</x:v>
      </x:c>
      <x:c r="H153" s="30" t="n">
        <x:v>0.8754304801426647</x:v>
      </x:c>
      <x:c r="I153" s="30" t="n">
        <x:f>$H$6-H153</x:f>
        <x:v>0.03535078376545053</x:v>
      </x:c>
      <x:c r="J153" s="30" t="n">
        <x:v>0.875</x:v>
      </x:c>
      <x:c r="K153" s="30" t="n">
        <x:f>$J$6-J153</x:f>
        <x:v>0.03600000000000003</x:v>
      </x:c>
      <x:c r="L153" s="29" t="n">
        <x:v>9</x:v>
      </x:c>
      <x:c r="M153" s="29" t="n">
        <x:v>8</x:v>
      </x:c>
      <x:c r="N153" s="29" t="n">
        <x:v>93</x:v>
      </x:c>
      <x:c r="O153" s="29" t="n">
        <x:v>37</x:v>
      </x:c>
      <x:c r="P153" s="29" t="n">
        <x:v>56</x:v>
      </x:c>
      <x:c r="Q153" s="29" t="n">
        <x:v>340</x:v>
      </x:c>
      <x:c r="R153" s="30" t="n">
        <x:v>-0.6784679101815548</x:v>
      </x:c>
      <x:c r="S153" s="30" t="n">
        <x:v>0.8754304801426647</x:v>
      </x:c>
      <x:c r="T153" s="30" t="n">
        <x:v>0.8256441224778069</x:v>
      </x:c>
      <x:c r="U153" s="28" t="str">
        <x:f>IF(AND(G153&gt;=80%,I153&gt;0,L153&gt;=1),"YES","")</x:f>
      </x:c>
      <x:c r="V153" s="31" t="n">
        <x:f>I153+0.4*K153-2*MAX(0,90%-G153)</x:f>
        <x:v>-0.6151697209597042</x:v>
      </x:c>
    </x:row>
    <x:row r="154">
      <x:c r="A154" s="35" t="n">
        <x:v>148</x:v>
      </x:c>
      <x:c r="B154" s="33" t="str">
        <x:v>High realized volatility</x:v>
      </x:c>
      <x:c r="C154" s="33" t="str">
        <x:v>Skip when 10-session daily realized volatility is at least 2.0%.</x:v>
      </x:c>
      <x:c r="D154" s="29" t="n">
        <x:v>2600849576.2659974</x:v>
      </x:c>
      <x:c r="E154" s="29" t="n">
        <x:v>12655</x:v>
      </x:c>
      <x:c r="F154" s="30" t="n">
        <x:f>(D154/E154)^(1/('Methodology'!$B$4*7/365))-1</x:f>
        <x:v>3.3630079402006965</x:v>
      </x:c>
      <x:c r="G154" s="30" t="n">
        <x:f>F154/$F$6</x:f>
        <x:v>0.8771129013137828</x:v>
      </x:c>
      <x:c r="H154" s="30" t="n">
        <x:v>0.8928499627070678</x:v>
      </x:c>
      <x:c r="I154" s="30" t="n">
        <x:f>$H$6-H154</x:f>
        <x:v>0.017931301201047356</x:v>
      </x:c>
      <x:c r="J154" s="30" t="n">
        <x:v>0.893</x:v>
      </x:c>
      <x:c r="K154" s="30" t="n">
        <x:f>$J$6-J154</x:f>
        <x:v>0.018000000000000016</x:v>
      </x:c>
      <x:c r="L154" s="29" t="n">
        <x:v>3</x:v>
      </x:c>
      <x:c r="M154" s="29" t="n">
        <x:v>5</x:v>
      </x:c>
      <x:c r="N154" s="29" t="n">
        <x:v>43</x:v>
      </x:c>
      <x:c r="O154" s="29" t="n">
        <x:v>15</x:v>
      </x:c>
      <x:c r="P154" s="29" t="n">
        <x:v>28</x:v>
      </x:c>
      <x:c r="Q154" s="29" t="n">
        <x:v>390</x:v>
      </x:c>
      <x:c r="R154" s="30" t="n">
        <x:v>-0.6784679101815548</x:v>
      </x:c>
      <x:c r="S154" s="30" t="n">
        <x:v>0.8928499627070678</x:v>
      </x:c>
      <x:c r="T154" s="30" t="n">
        <x:v>0.8510312107447962</x:v>
      </x:c>
      <x:c r="U154" s="28" t="str">
        <x:f>IF(AND(G154&gt;=80%,I154&gt;0,L154&gt;=1),"YES","")</x:f>
        <x:v>YES</x:v>
      </x:c>
      <x:c r="V154" s="31" t="n">
        <x:f>I154+0.4*K154-2*MAX(0,90%-G154)</x:f>
        <x:v>-0.020642896171387017</x:v>
      </x:c>
    </x:row>
    <x:row r="155">
      <x:c r="A155" s="35" t="n">
        <x:v>149</x:v>
      </x:c>
      <x:c r="B155" s="33" t="str">
        <x:v>High realized volatility</x:v>
      </x:c>
      <x:c r="C155" s="33" t="str">
        <x:v>Skip when 10-session daily realized volatility is at least 2.4%.</x:v>
      </x:c>
      <x:c r="D155" s="29" t="n">
        <x:v>4482500364.378993</x:v>
      </x:c>
      <x:c r="E155" s="29" t="n">
        <x:v>13805</x:v>
      </x:c>
      <x:c r="F155" s="30" t="n">
        <x:f>(D155/E155)^(1/('Methodology'!$B$4*7/365))-1</x:f>
        <x:v>3.610049474252504</x:v>
      </x:c>
      <x:c r="G155" s="30" t="n">
        <x:f>F155/$F$6</x:f>
        <x:v>0.9415443033592557</x:v>
      </x:c>
      <x:c r="H155" s="30" t="n">
        <x:v>0.9107812639081152</x:v>
      </x:c>
      <x:c r="I155" s="30" t="n">
        <x:f>$H$6-H155</x:f>
        <x:v>0</x:v>
      </x:c>
      <x:c r="J155" s="30" t="n">
        <x:v>0.911</x:v>
      </x:c>
      <x:c r="K155" s="30" t="n">
        <x:f>$J$6-J155</x:f>
        <x:v>0</x:v>
      </x:c>
      <x:c r="L155" s="29" t="n">
        <x:v>2</x:v>
      </x:c>
      <x:c r="M155" s="29" t="n">
        <x:v>3</x:v>
      </x:c>
      <x:c r="N155" s="29" t="n">
        <x:v>18</x:v>
      </x:c>
      <x:c r="O155" s="29" t="n">
        <x:v>6</x:v>
      </x:c>
      <x:c r="P155" s="29" t="n">
        <x:v>12</x:v>
      </x:c>
      <x:c r="Q155" s="29" t="n">
        <x:v>415</x:v>
      </x:c>
      <x:c r="R155" s="30" t="n">
        <x:v>-0.722776347870315</x:v>
      </x:c>
      <x:c r="S155" s="30" t="n">
        <x:v>0.9107812639081152</x:v>
      </x:c>
      <x:c r="T155" s="30" t="n">
        <x:v>0.8344658858143188</x:v>
      </x:c>
      <x:c r="U155" s="28" t="str">
        <x:f>IF(AND(G155&gt;=80%,I155&gt;0,L155&gt;=1),"YES","")</x:f>
      </x:c>
      <x:c r="V155" s="31" t="n">
        <x:f>I155+0.4*K155-2*MAX(0,90%-G155)</x:f>
        <x:v>0</x:v>
      </x:c>
    </x:row>
    <x:row r="156">
      <x:c r="A156" s="35" t="n">
        <x:v>150</x:v>
      </x:c>
      <x:c r="B156" s="33" t="str">
        <x:v>High realized volatility</x:v>
      </x:c>
      <x:c r="C156" s="33" t="str">
        <x:v>Skip when 10-session daily realized volatility is at least 2.8%.</x:v>
      </x:c>
      <x:c r="D156" s="29" t="n">
        <x:v>3912478414.9190097</x:v>
      </x:c>
      <x:c r="E156" s="29" t="n">
        <x:v>14380</x:v>
      </x:c>
      <x:c r="F156" s="30" t="n">
        <x:f>(D156/E156)^(1/('Methodology'!$B$4*7/365))-1</x:f>
        <x:v>3.5129264406155256</x:v>
      </x:c>
      <x:c r="G156" s="30" t="n">
        <x:f>F156/$F$6</x:f>
        <x:v>0.9162134485612612</x:v>
      </x:c>
      <x:c r="H156" s="30" t="n">
        <x:v>0.9107812639081152</x:v>
      </x:c>
      <x:c r="I156" s="30" t="n">
        <x:f>$H$6-H156</x:f>
        <x:v>0</x:v>
      </x:c>
      <x:c r="J156" s="30" t="n">
        <x:v>0.911</x:v>
      </x:c>
      <x:c r="K156" s="30" t="n">
        <x:f>$J$6-J156</x:f>
        <x:v>0</x:v>
      </x:c>
      <x:c r="L156" s="29" t="n">
        <x:v>1</x:v>
      </x:c>
      <x:c r="M156" s="29" t="n">
        <x:v>1</x:v>
      </x:c>
      <x:c r="N156" s="29" t="n">
        <x:v>9</x:v>
      </x:c>
      <x:c r="O156" s="29" t="n">
        <x:v>2</x:v>
      </x:c>
      <x:c r="P156" s="29" t="n">
        <x:v>7</x:v>
      </x:c>
      <x:c r="Q156" s="29" t="n">
        <x:v>424</x:v>
      </x:c>
      <x:c r="R156" s="30" t="n">
        <x:v>-0.7230061400332064</x:v>
      </x:c>
      <x:c r="S156" s="30" t="n">
        <x:v>0.9107812639081152</x:v>
      </x:c>
      <x:c r="T156" s="30" t="n">
        <x:v>0.8871498735614942</x:v>
      </x:c>
      <x:c r="U156" s="28" t="str">
        <x:f>IF(AND(G156&gt;=80%,I156&gt;0,L156&gt;=1),"YES","")</x:f>
      </x:c>
      <x:c r="V156" s="31" t="n">
        <x:f>I156+0.4*K156-2*MAX(0,90%-G156)</x:f>
        <x:v>0</x:v>
      </x:c>
    </x:row>
    <x:row r="157">
      <x:c r="A157" s="35" t="n">
        <x:v>151</x:v>
      </x:c>
      <x:c r="B157" s="33" t="str">
        <x:v>High realized volatility</x:v>
      </x:c>
      <x:c r="C157" s="33" t="str">
        <x:v>Skip when 20-session daily realized volatility is at least 1.2%.</x:v>
      </x:c>
      <x:c r="D157" s="29" t="n">
        <x:v>329774.423</x:v>
      </x:c>
      <x:c r="E157" s="29" t="n">
        <x:v>6905</x:v>
      </x:c>
      <x:c r="F157" s="30" t="n">
        <x:f>(D157/E157)^(1/('Methodology'!$B$4*7/365))-1</x:f>
        <x:v>0.5929254953735028</x:v>
      </x:c>
      <x:c r="G157" s="30" t="n">
        <x:f>F157/$F$6</x:f>
        <x:v>0.15464209741917195</x:v>
      </x:c>
      <x:c r="H157" s="30" t="n">
        <x:v>0.9258132721767077</x:v>
      </x:c>
      <x:c r="I157" s="30" t="n">
        <x:f>$H$6-H157</x:f>
        <x:v>-0.015032008268592523</x:v>
      </x:c>
      <x:c r="J157" s="30" t="n">
        <x:v>0.928</x:v>
      </x:c>
      <x:c r="K157" s="30" t="n">
        <x:f>$J$6-J157</x:f>
        <x:v>-0.017000000000000015</x:v>
      </x:c>
      <x:c r="L157" s="29" t="n">
        <x:v>12</x:v>
      </x:c>
      <x:c r="M157" s="29" t="n">
        <x:v>12</x:v>
      </x:c>
      <x:c r="N157" s="29" t="n">
        <x:v>190</x:v>
      </x:c>
      <x:c r="O157" s="29" t="n">
        <x:v>75</x:v>
      </x:c>
      <x:c r="P157" s="29" t="n">
        <x:v>115</x:v>
      </x:c>
      <x:c r="Q157" s="29" t="n">
        <x:v>243</x:v>
      </x:c>
      <x:c r="R157" s="30" t="n">
        <x:v>-0.6784679101815548</x:v>
      </x:c>
      <x:c r="S157" s="30" t="n">
        <x:v>0.9258132721767077</x:v>
      </x:c>
      <x:c r="T157" s="30" t="n">
        <x:v>0.7454364007699255</x:v>
      </x:c>
      <x:c r="U157" s="28" t="str">
        <x:f>IF(AND(G157&gt;=80%,I157&gt;0,L157&gt;=1),"YES","")</x:f>
      </x:c>
      <x:c r="V157" s="31" t="n">
        <x:f>I157+0.4*K157-2*MAX(0,90%-G157)</x:f>
        <x:v>-1.5125478134302488</x:v>
      </x:c>
    </x:row>
    <x:row r="158">
      <x:c r="A158" s="35" t="n">
        <x:v>152</x:v>
      </x:c>
      <x:c r="B158" s="33" t="str">
        <x:v>High realized volatility</x:v>
      </x:c>
      <x:c r="C158" s="33" t="str">
        <x:v>Skip when 20-session daily realized volatility is at least 1.6%.</x:v>
      </x:c>
      <x:c r="D158" s="29" t="n">
        <x:v>102340039.7669999</x:v>
      </x:c>
      <x:c r="E158" s="29" t="n">
        <x:v>10355</x:v>
      </x:c>
      <x:c r="F158" s="30" t="n">
        <x:f>(D158/E158)^(1/('Methodology'!$B$4*7/365))-1</x:f>
        <x:v>2.027432809270879</x:v>
      </x:c>
      <x:c r="G158" s="30" t="n">
        <x:f>F158/$F$6</x:f>
        <x:v>0.528778850713094</x:v>
      </x:c>
      <x:c r="H158" s="30" t="n">
        <x:v>0.8949592992247919</x:v>
      </x:c>
      <x:c r="I158" s="30" t="n">
        <x:f>$H$6-H158</x:f>
        <x:v>0.01582196468332331</x:v>
      </x:c>
      <x:c r="J158" s="30" t="n">
        <x:v>0.876</x:v>
      </x:c>
      <x:c r="K158" s="30" t="n">
        <x:f>$J$6-J158</x:f>
        <x:v>0.03500000000000003</x:v>
      </x:c>
      <x:c r="L158" s="29" t="n">
        <x:v>9</x:v>
      </x:c>
      <x:c r="M158" s="29" t="n">
        <x:v>9</x:v>
      </x:c>
      <x:c r="N158" s="29" t="n">
        <x:v>98</x:v>
      </x:c>
      <x:c r="O158" s="29" t="n">
        <x:v>39</x:v>
      </x:c>
      <x:c r="P158" s="29" t="n">
        <x:v>59</x:v>
      </x:c>
      <x:c r="Q158" s="29" t="n">
        <x:v>335</x:v>
      </x:c>
      <x:c r="R158" s="30" t="n">
        <x:v>-0.6784679101815548</x:v>
      </x:c>
      <x:c r="S158" s="30" t="n">
        <x:v>0.8949592992247919</x:v>
      </x:c>
      <x:c r="T158" s="30" t="n">
        <x:v>0.8358556835861871</x:v>
      </x:c>
      <x:c r="U158" s="28" t="str">
        <x:f>IF(AND(G158&gt;=80%,I158&gt;0,L158&gt;=1),"YES","")</x:f>
      </x:c>
      <x:c r="V158" s="31" t="n">
        <x:f>I158+0.4*K158-2*MAX(0,90%-G158)</x:f>
        <x:v>-0.7126203338904886</x:v>
      </x:c>
    </x:row>
    <x:row r="159">
      <x:c r="A159" s="35" t="n">
        <x:v>153</x:v>
      </x:c>
      <x:c r="B159" s="33" t="str">
        <x:v>High realized volatility</x:v>
      </x:c>
      <x:c r="C159" s="33" t="str">
        <x:v>Skip when 20-session daily realized volatility is at least 2.0%.</x:v>
      </x:c>
      <x:c r="D159" s="29" t="n">
        <x:v>2981562390.370005</x:v>
      </x:c>
      <x:c r="E159" s="29" t="n">
        <x:v>12770</x:v>
      </x:c>
      <x:c r="F159" s="30" t="n">
        <x:f>(D159/E159)^(1/('Methodology'!$B$4*7/365))-1</x:f>
        <x:v>3.4305474201123163</x:v>
      </x:c>
      <x:c r="G159" s="30" t="n">
        <x:f>F159/$F$6</x:f>
        <x:v>0.894728009642956</x:v>
      </x:c>
      <x:c r="H159" s="30" t="n">
        <x:v>0.9241061973793658</x:v>
      </x:c>
      <x:c r="I159" s="30" t="n">
        <x:f>$H$6-H159</x:f>
        <x:v>-0.013324933471250633</x:v>
      </x:c>
      <x:c r="J159" s="30" t="n">
        <x:v>0.924</x:v>
      </x:c>
      <x:c r="K159" s="30" t="n">
        <x:f>$J$6-J159</x:f>
        <x:v>-0.013000000000000012</x:v>
      </x:c>
      <x:c r="L159" s="29" t="n">
        <x:v>5</x:v>
      </x:c>
      <x:c r="M159" s="29" t="n">
        <x:v>3</x:v>
      </x:c>
      <x:c r="N159" s="29" t="n">
        <x:v>43</x:v>
      </x:c>
      <x:c r="O159" s="29" t="n">
        <x:v>18</x:v>
      </x:c>
      <x:c r="P159" s="29" t="n">
        <x:v>25</x:v>
      </x:c>
      <x:c r="Q159" s="29" t="n">
        <x:v>390</x:v>
      </x:c>
      <x:c r="R159" s="30" t="n">
        <x:v>-0.7228820876610185</x:v>
      </x:c>
      <x:c r="S159" s="30" t="n">
        <x:v>0.9241061973793658</x:v>
      </x:c>
      <x:c r="T159" s="30" t="n">
        <x:v>0.8628906615290601</x:v>
      </x:c>
      <x:c r="U159" s="28" t="str">
        <x:f>IF(AND(G159&gt;=80%,I159&gt;0,L159&gt;=1),"YES","")</x:f>
      </x:c>
      <x:c r="V159" s="31" t="n">
        <x:f>I159+0.4*K159-2*MAX(0,90%-G159)</x:f>
        <x:v>-0.029068914185338766</x:v>
      </x:c>
    </x:row>
    <x:row r="160">
      <x:c r="A160" s="35" t="n">
        <x:v>154</x:v>
      </x:c>
      <x:c r="B160" s="33" t="str">
        <x:v>High realized volatility</x:v>
      </x:c>
      <x:c r="C160" s="33" t="str">
        <x:v>Skip when 20-session daily realized volatility is at least 2.4%.</x:v>
      </x:c>
      <x:c r="D160" s="29" t="n">
        <x:v>5914866350.4710045</x:v>
      </x:c>
      <x:c r="E160" s="29" t="n">
        <x:v>13805</x:v>
      </x:c>
      <x:c r="F160" s="30" t="n">
        <x:f>(D160/E160)^(1/('Methodology'!$B$4*7/365))-1</x:f>
        <x:v>3.7665855725018442</x:v>
      </x:c>
      <x:c r="G160" s="30" t="n">
        <x:f>F160/$F$6</x:f>
        <x:v>0.9823707996795779</x:v>
      </x:c>
      <x:c r="H160" s="30" t="n">
        <x:v>0.9107812639081152</x:v>
      </x:c>
      <x:c r="I160" s="30" t="n">
        <x:f>$H$6-H160</x:f>
        <x:v>0</x:v>
      </x:c>
      <x:c r="J160" s="30" t="n">
        <x:v>0.911</x:v>
      </x:c>
      <x:c r="K160" s="30" t="n">
        <x:f>$J$6-J160</x:f>
        <x:v>0</x:v>
      </x:c>
      <x:c r="L160" s="29" t="n">
        <x:v>2</x:v>
      </x:c>
      <x:c r="M160" s="29" t="n">
        <x:v>2</x:v>
      </x:c>
      <x:c r="N160" s="29" t="n">
        <x:v>15</x:v>
      </x:c>
      <x:c r="O160" s="29" t="n">
        <x:v>5</x:v>
      </x:c>
      <x:c r="P160" s="29" t="n">
        <x:v>10</x:v>
      </x:c>
      <x:c r="Q160" s="29" t="n">
        <x:v>418</x:v>
      </x:c>
      <x:c r="R160" s="30" t="n">
        <x:v>-0.72303580405539</x:v>
      </x:c>
      <x:c r="S160" s="30" t="n">
        <x:v>0.9107812639081152</x:v>
      </x:c>
      <x:c r="T160" s="30" t="n">
        <x:v>0.8871498782906541</x:v>
      </x:c>
      <x:c r="U160" s="28" t="str">
        <x:f>IF(AND(G160&gt;=80%,I160&gt;0,L160&gt;=1),"YES","")</x:f>
      </x:c>
      <x:c r="V160" s="31" t="n">
        <x:f>I160+0.4*K160-2*MAX(0,90%-G160)</x:f>
        <x:v>0</x:v>
      </x:c>
    </x:row>
    <x:row r="161">
      <x:c r="A161" s="35" t="n">
        <x:v>155</x:v>
      </x:c>
      <x:c r="B161" s="33" t="str">
        <x:v>High realized volatility</x:v>
      </x:c>
      <x:c r="C161" s="33" t="str">
        <x:v>Skip when 20-session daily realized volatility is at least 2.8%.</x:v>
      </x:c>
      <x:c r="D161" s="29" t="n">
        <x:v>4580492877.621004</x:v>
      </x:c>
      <x:c r="E161" s="29" t="n">
        <x:v>14150</x:v>
      </x:c>
      <x:c r="F161" s="30" t="n">
        <x:f>(D161/E161)^(1/('Methodology'!$B$4*7/365))-1</x:f>
        <x:v>3.6083520303018792</x:v>
      </x:c>
      <x:c r="G161" s="30" t="n">
        <x:f>F161/$F$6</x:f>
        <x:v>0.9411015895700455</x:v>
      </x:c>
      <x:c r="H161" s="30" t="n">
        <x:v>0.9107812639081152</x:v>
      </x:c>
      <x:c r="I161" s="30" t="n">
        <x:f>$H$6-H161</x:f>
        <x:v>0</x:v>
      </x:c>
      <x:c r="J161" s="30" t="n">
        <x:v>0.911</x:v>
      </x:c>
      <x:c r="K161" s="30" t="n">
        <x:f>$J$6-J161</x:f>
        <x:v>0</x:v>
      </x:c>
      <x:c r="L161" s="29" t="n">
        <x:v>1</x:v>
      </x:c>
      <x:c r="M161" s="29" t="n">
        <x:v>1</x:v>
      </x:c>
      <x:c r="N161" s="29" t="n">
        <x:v>8</x:v>
      </x:c>
      <x:c r="O161" s="29" t="n">
        <x:v>2</x:v>
      </x:c>
      <x:c r="P161" s="29" t="n">
        <x:v>6</x:v>
      </x:c>
      <x:c r="Q161" s="29" t="n">
        <x:v>425</x:v>
      </x:c>
      <x:c r="R161" s="30" t="n">
        <x:v>-0.7229187434064315</x:v>
      </x:c>
      <x:c r="S161" s="30" t="n">
        <x:v>0.9107812639081152</x:v>
      </x:c>
      <x:c r="T161" s="30" t="n">
        <x:v>0.8871498748707929</x:v>
      </x:c>
      <x:c r="U161" s="28" t="str">
        <x:f>IF(AND(G161&gt;=80%,I161&gt;0,L161&gt;=1),"YES","")</x:f>
      </x:c>
      <x:c r="V161" s="31" t="n">
        <x:f>I161+0.4*K161-2*MAX(0,90%-G161)</x:f>
        <x:v>0</x:v>
      </x:c>
    </x:row>
    <x:row r="162">
      <x:c r="A162" s="35" t="n">
        <x:v>156</x:v>
      </x:c>
      <x:c r="B162" s="33" t="str">
        <x:v>Full premarket decline</x:v>
      </x:c>
      <x:c r="C162" s="33" t="str">
        <x:v>Skip when the full premarket return is -0.2% or worse.</x:v>
      </x:c>
      <x:c r="D162" s="29" t="n">
        <x:v>30081371.40799997</x:v>
      </x:c>
      <x:c r="E162" s="29" t="n">
        <x:v>10585</x:v>
      </x:c>
      <x:c r="F162" s="30" t="n">
        <x:f>(D162/E162)^(1/('Methodology'!$B$4*7/365))-1</x:f>
        <x:v>1.6055012171923475</x:v>
      </x:c>
      <x:c r="G162" s="30" t="n">
        <x:f>F162/$F$6</x:f>
        <x:v>0.4187340189837171</x:v>
      </x:c>
      <x:c r="H162" s="30" t="n">
        <x:v>0.8601394429879853</x:v>
      </x:c>
      <x:c r="I162" s="30" t="n">
        <x:f>$H$6-H162</x:f>
        <x:v>0.05064182092012992</x:v>
      </x:c>
      <x:c r="J162" s="30" t="n">
        <x:v>0.856</x:v>
      </x:c>
      <x:c r="K162" s="30" t="n">
        <x:f>$J$6-J162</x:f>
        <x:v>0.05500000000000005</x:v>
      </x:c>
      <x:c r="L162" s="29" t="n">
        <x:v>8</x:v>
      </x:c>
      <x:c r="M162" s="29" t="n">
        <x:v>6</x:v>
      </x:c>
      <x:c r="N162" s="29" t="n">
        <x:v>138</x:v>
      </x:c>
      <x:c r="O162" s="29" t="n">
        <x:v>58</x:v>
      </x:c>
      <x:c r="P162" s="29" t="n">
        <x:v>80</x:v>
      </x:c>
      <x:c r="Q162" s="29" t="n">
        <x:v>295</x:v>
      </x:c>
      <x:c r="R162" s="30" t="n">
        <x:v>-0.7239953460349094</x:v>
      </x:c>
      <x:c r="S162" s="30" t="n">
        <x:v>0.7508479324453777</x:v>
      </x:c>
      <x:c r="T162" s="30" t="n">
        <x:v>0.8601394429879853</x:v>
      </x:c>
      <x:c r="U162" s="28" t="str">
        <x:f>IF(AND(G162&gt;=80%,I162&gt;0,L162&gt;=1),"YES","")</x:f>
      </x:c>
      <x:c r="V162" s="31" t="n">
        <x:f>I162+0.4*K162-2*MAX(0,90%-G162)</x:f>
        <x:v>-0.8898901411124359</x:v>
      </x:c>
    </x:row>
    <x:row r="163">
      <x:c r="A163" s="35" t="n">
        <x:v>157</x:v>
      </x:c>
      <x:c r="B163" s="33" t="str">
        <x:v>Full premarket decline</x:v>
      </x:c>
      <x:c r="C163" s="33" t="str">
        <x:v>Skip when the full premarket return is -0.4% or worse.</x:v>
      </x:c>
      <x:c r="D163" s="29" t="n">
        <x:v>144123736.80699962</x:v>
      </x:c>
      <x:c r="E163" s="29" t="n">
        <x:v>11735</x:v>
      </x:c>
      <x:c r="F163" s="30" t="n">
        <x:f>(D163/E163)^(1/('Methodology'!$B$4*7/365))-1</x:f>
        <x:v>2.107686444472035</x:v>
      </x:c>
      <x:c r="G163" s="30" t="n">
        <x:f>F163/$F$6</x:f>
        <x:v>0.5497099635929712</x:v>
      </x:c>
      <x:c r="H163" s="30" t="n">
        <x:v>0.8869492608939595</x:v>
      </x:c>
      <x:c r="I163" s="30" t="n">
        <x:f>$H$6-H163</x:f>
        <x:v>0.023832003014155667</x:v>
      </x:c>
      <x:c r="J163" s="30" t="n">
        <x:v>0.883</x:v>
      </x:c>
      <x:c r="K163" s="30" t="n">
        <x:f>$J$6-J163</x:f>
        <x:v>0.028000000000000025</x:v>
      </x:c>
      <x:c r="L163" s="29" t="n">
        <x:v>7</x:v>
      </x:c>
      <x:c r="M163" s="29" t="n">
        <x:v>5</x:v>
      </x:c>
      <x:c r="N163" s="29" t="n">
        <x:v>97</x:v>
      </x:c>
      <x:c r="O163" s="29" t="n">
        <x:v>37</x:v>
      </x:c>
      <x:c r="P163" s="29" t="n">
        <x:v>60</x:v>
      </x:c>
      <x:c r="Q163" s="29" t="n">
        <x:v>336</x:v>
      </x:c>
      <x:c r="R163" s="30" t="n">
        <x:v>-0.7239994720003552</x:v>
      </x:c>
      <x:c r="S163" s="30" t="n">
        <x:v>0.7879395149376</x:v>
      </x:c>
      <x:c r="T163" s="30" t="n">
        <x:v>0.8869492608939595</x:v>
      </x:c>
      <x:c r="U163" s="28" t="str">
        <x:f>IF(AND(G163&gt;=80%,I163&gt;0,L163&gt;=1),"YES","")</x:f>
      </x:c>
      <x:c r="V163" s="31" t="n">
        <x:f>I163+0.4*K163-2*MAX(0,90%-G163)</x:f>
        <x:v>-0.665548069799902</x:v>
      </x:c>
    </x:row>
    <x:row r="164">
      <x:c r="A164" s="35" t="n">
        <x:v>158</x:v>
      </x:c>
      <x:c r="B164" s="33" t="str">
        <x:v>Full premarket decline</x:v>
      </x:c>
      <x:c r="C164" s="33" t="str">
        <x:v>Skip when the full premarket return is -0.6% or worse.</x:v>
      </x:c>
      <x:c r="D164" s="29" t="n">
        <x:v>119957685.91199991</x:v>
      </x:c>
      <x:c r="E164" s="29" t="n">
        <x:v>12770</x:v>
      </x:c>
      <x:c r="F164" s="30" t="n">
        <x:f>(D164/E164)^(1/('Methodology'!$B$4*7/365))-1</x:f>
        <x:v>2.008972387671063</x:v>
      </x:c>
      <x:c r="G164" s="30" t="n">
        <x:f>F164/$F$6</x:f>
        <x:v>0.5239641508263242</x:v>
      </x:c>
      <x:c r="H164" s="30" t="n">
        <x:v>0.8869491492428038</x:v>
      </x:c>
      <x:c r="I164" s="30" t="n">
        <x:f>$H$6-H164</x:f>
        <x:v>0.023832114665311432</x:v>
      </x:c>
      <x:c r="J164" s="30" t="n">
        <x:v>0.883</x:v>
      </x:c>
      <x:c r="K164" s="30" t="n">
        <x:f>$J$6-J164</x:f>
        <x:v>0.028000000000000025</x:v>
      </x:c>
      <x:c r="L164" s="29" t="n">
        <x:v>4</x:v>
      </x:c>
      <x:c r="M164" s="29" t="n">
        <x:v>2</x:v>
      </x:c>
      <x:c r="N164" s="29" t="n">
        <x:v>70</x:v>
      </x:c>
      <x:c r="O164" s="29" t="n">
        <x:v>27</x:v>
      </x:c>
      <x:c r="P164" s="29" t="n">
        <x:v>43</x:v>
      </x:c>
      <x:c r="Q164" s="29" t="n">
        <x:v>363</x:v>
      </x:c>
      <x:c r="R164" s="30" t="n">
        <x:v>-0.7239997953155093</x:v>
      </x:c>
      <x:c r="S164" s="30" t="n">
        <x:v>0.8827567929847393</x:v>
      </x:c>
      <x:c r="T164" s="30" t="n">
        <x:v>0.8869491492428038</x:v>
      </x:c>
      <x:c r="U164" s="28" t="str">
        <x:f>IF(AND(G164&gt;=80%,I164&gt;0,L164&gt;=1),"YES","")</x:f>
      </x:c>
      <x:c r="V164" s="31" t="n">
        <x:f>I164+0.4*K164-2*MAX(0,90%-G164)</x:f>
        <x:v>-0.7170395836820402</x:v>
      </x:c>
    </x:row>
    <x:row r="165">
      <x:c r="A165" s="35" t="n">
        <x:v>159</x:v>
      </x:c>
      <x:c r="B165" s="33" t="str">
        <x:v>Full premarket decline</x:v>
      </x:c>
      <x:c r="C165" s="33" t="str">
        <x:v>Skip when the full premarket return is -0.8% or worse.</x:v>
      </x:c>
      <x:c r="D165" s="29" t="n">
        <x:v>280168275.4730003</x:v>
      </x:c>
      <x:c r="E165" s="29" t="n">
        <x:v>13575</x:v>
      </x:c>
      <x:c r="F165" s="30" t="n">
        <x:f>(D165/E165)^(1/('Methodology'!$B$4*7/365))-1</x:f>
        <x:v>2.3081378295771047</x:v>
      </x:c>
      <x:c r="G165" s="30" t="n">
        <x:f>F165/$F$6</x:f>
        <x:v>0.601990094680435</x:v>
      </x:c>
      <x:c r="H165" s="30" t="n">
        <x:v>0.8871497448396081</x:v>
      </x:c>
      <x:c r="I165" s="30" t="n">
        <x:f>$H$6-H165</x:f>
        <x:v>0.023631519068507134</x:v>
      </x:c>
      <x:c r="J165" s="30" t="n">
        <x:v>0.884</x:v>
      </x:c>
      <x:c r="K165" s="30" t="n">
        <x:f>$J$6-J165</x:f>
        <x:v>0.027000000000000024</x:v>
      </x:c>
      <x:c r="L165" s="29" t="n">
        <x:v>2</x:v>
      </x:c>
      <x:c r="M165" s="29" t="n">
        <x:v>1</x:v>
      </x:c>
      <x:c r="N165" s="29" t="n">
        <x:v>48</x:v>
      </x:c>
      <x:c r="O165" s="29" t="n">
        <x:v>20</x:v>
      </x:c>
      <x:c r="P165" s="29" t="n">
        <x:v>28</x:v>
      </x:c>
      <x:c r="Q165" s="29" t="n">
        <x:v>385</x:v>
      </x:c>
      <x:c r="R165" s="30" t="n">
        <x:v>-0.7239995524119963</x:v>
      </x:c>
      <x:c r="S165" s="30" t="n">
        <x:v>0.8461858937239704</x:v>
      </x:c>
      <x:c r="T165" s="30" t="n">
        <x:v>0.8871497448396081</x:v>
      </x:c>
      <x:c r="U165" s="28" t="str">
        <x:f>IF(AND(G165&gt;=80%,I165&gt;0,L165&gt;=1),"YES","")</x:f>
      </x:c>
      <x:c r="V165" s="31" t="n">
        <x:f>I165+0.4*K165-2*MAX(0,90%-G165)</x:f>
        <x:v>-0.561588291570623</x:v>
      </x:c>
    </x:row>
    <x:row r="166">
      <x:c r="A166" s="35" t="n">
        <x:v>160</x:v>
      </x:c>
      <x:c r="B166" s="33" t="str">
        <x:v>Full premarket decline</x:v>
      </x:c>
      <x:c r="C166" s="33" t="str">
        <x:v>Skip when the full premarket return is -1.0% or worse.</x:v>
      </x:c>
      <x:c r="D166" s="29" t="n">
        <x:v>331313545.00599986</x:v>
      </x:c>
      <x:c r="E166" s="29" t="n">
        <x:v>14035</x:v>
      </x:c>
      <x:c r="F166" s="30" t="n">
        <x:f>(D166/E166)^(1/('Methodology'!$B$4*7/365))-1</x:f>
        <x:v>2.36209479798432</x:v>
      </x:c>
      <x:c r="G166" s="30" t="n">
        <x:f>F166/$F$6</x:f>
        <x:v>0.6160627207185776</x:v>
      </x:c>
      <x:c r="H166" s="30" t="n">
        <x:v>0.9136490553512807</x:v>
      </x:c>
      <x:c r="I166" s="30" t="n">
        <x:f>$H$6-H166</x:f>
        <x:v>-0.0028677914431655127</x:v>
      </x:c>
      <x:c r="J166" s="30" t="n">
        <x:v>0.913</x:v>
      </x:c>
      <x:c r="K166" s="30" t="n">
        <x:f>$J$6-J166</x:f>
        <x:v>-0.0020000000000000018</x:v>
      </x:c>
      <x:c r="L166" s="29" t="n">
        <x:v>0</x:v>
      </x:c>
      <x:c r="M166" s="29" t="n">
        <x:v>0</x:v>
      </x:c>
      <x:c r="N166" s="29" t="n">
        <x:v>34</x:v>
      </x:c>
      <x:c r="O166" s="29" t="n">
        <x:v>12</x:v>
      </x:c>
      <x:c r="P166" s="29" t="n">
        <x:v>22</x:v>
      </x:c>
      <x:c r="Q166" s="29" t="n">
        <x:v>399</x:v>
      </x:c>
      <x:c r="R166" s="30" t="n">
        <x:v>-0.7239987304690967</x:v>
      </x:c>
      <x:c r="S166" s="30" t="n">
        <x:v>0.9136490553512807</x:v>
      </x:c>
      <x:c r="T166" s="30" t="n">
        <x:v>0.8871497848942489</x:v>
      </x:c>
      <x:c r="U166" s="28" t="str">
        <x:f>IF(AND(G166&gt;=80%,I166&gt;0,L166&gt;=1),"YES","")</x:f>
      </x:c>
      <x:c r="V166" s="31" t="n">
        <x:f>I166+0.4*K166-2*MAX(0,90%-G166)</x:f>
        <x:v>-0.5715423500060104</x:v>
      </x:c>
    </x:row>
    <x:row r="167">
      <x:c r="A167" s="35" t="n">
        <x:v>161</x:v>
      </x:c>
      <x:c r="B167" s="33" t="str">
        <x:v>Full premarket decline</x:v>
      </x:c>
      <x:c r="C167" s="33" t="str">
        <x:v>Skip when the full premarket return is -1.2% or worse.</x:v>
      </x:c>
      <x:c r="D167" s="29" t="n">
        <x:v>1774850436.3109996</x:v>
      </x:c>
      <x:c r="E167" s="29" t="n">
        <x:v>14150</x:v>
      </x:c>
      <x:c r="F167" s="30" t="n">
        <x:f>(D167/E167)^(1/('Methodology'!$B$4*7/365))-1</x:f>
        <x:v>3.1111347311038005</x:v>
      </x:c>
      <x:c r="G167" s="30" t="n">
        <x:f>F167/$F$6</x:f>
        <x:v>0.8114213403295386</x:v>
      </x:c>
      <x:c r="H167" s="30" t="n">
        <x:v>0.9107812639081152</x:v>
      </x:c>
      <x:c r="I167" s="30" t="n">
        <x:f>$H$6-H167</x:f>
        <x:v>0</x:v>
      </x:c>
      <x:c r="J167" s="30" t="n">
        <x:v>0.911</x:v>
      </x:c>
      <x:c r="K167" s="30" t="n">
        <x:f>$J$6-J167</x:f>
        <x:v>0</x:v>
      </x:c>
      <x:c r="L167" s="29" t="n">
        <x:v>0</x:v>
      </x:c>
      <x:c r="M167" s="29" t="n">
        <x:v>0</x:v>
      </x:c>
      <x:c r="N167" s="29" t="n">
        <x:v>22</x:v>
      </x:c>
      <x:c r="O167" s="29" t="n">
        <x:v>9</x:v>
      </x:c>
      <x:c r="P167" s="29" t="n">
        <x:v>13</x:v>
      </x:c>
      <x:c r="Q167" s="29" t="n">
        <x:v>411</x:v>
      </x:c>
      <x:c r="R167" s="30" t="n">
        <x:v>-0.7239998510147291</x:v>
      </x:c>
      <x:c r="S167" s="30" t="n">
        <x:v>0.9107812639081152</x:v>
      </x:c>
      <x:c r="T167" s="30" t="n">
        <x:v>0.887149862710498</x:v>
      </x:c>
      <x:c r="U167" s="28" t="str">
        <x:f>IF(AND(G167&gt;=80%,I167&gt;0,L167&gt;=1),"YES","")</x:f>
      </x:c>
      <x:c r="V167" s="31" t="n">
        <x:f>I167+0.4*K167-2*MAX(0,90%-G167)</x:f>
        <x:v>-0.17715731934092283</x:v>
      </x:c>
    </x:row>
    <x:row r="168">
      <x:c r="A168" s="35" t="n">
        <x:v>162</x:v>
      </x:c>
      <x:c r="B168" s="33" t="str">
        <x:v>Full premarket decline</x:v>
      </x:c>
      <x:c r="C168" s="33" t="str">
        <x:v>Skip when the full premarket return is -1.4% or worse.</x:v>
      </x:c>
      <x:c r="D168" s="29" t="n">
        <x:v>2104595513.8570008</x:v>
      </x:c>
      <x:c r="E168" s="29" t="n">
        <x:v>14150</x:v>
      </x:c>
      <x:c r="F168" s="30" t="n">
        <x:f>(D168/E168)^(1/('Methodology'!$B$4*7/365))-1</x:f>
        <x:v>3.196370144873356</x:v>
      </x:c>
      <x:c r="G168" s="30" t="n">
        <x:f>F168/$F$6</x:f>
        <x:v>0.8336517609516303</x:v>
      </x:c>
      <x:c r="H168" s="30" t="n">
        <x:v>0.9107812639081152</x:v>
      </x:c>
      <x:c r="I168" s="30" t="n">
        <x:f>$H$6-H168</x:f>
        <x:v>0</x:v>
      </x:c>
      <x:c r="J168" s="30" t="n">
        <x:v>0.911</x:v>
      </x:c>
      <x:c r="K168" s="30" t="n">
        <x:f>$J$6-J168</x:f>
        <x:v>0</x:v>
      </x:c>
      <x:c r="L168" s="29" t="n">
        <x:v>0</x:v>
      </x:c>
      <x:c r="M168" s="29" t="n">
        <x:v>0</x:v>
      </x:c>
      <x:c r="N168" s="29" t="n">
        <x:v>15</x:v>
      </x:c>
      <x:c r="O168" s="29" t="n">
        <x:v>5</x:v>
      </x:c>
      <x:c r="P168" s="29" t="n">
        <x:v>10</x:v>
      </x:c>
      <x:c r="Q168" s="29" t="n">
        <x:v>418</x:v>
      </x:c>
      <x:c r="R168" s="30" t="n">
        <x:v>-0.7239997152603731</x:v>
      </x:c>
      <x:c r="S168" s="30" t="n">
        <x:v>0.9107812639081152</x:v>
      </x:c>
      <x:c r="T168" s="30" t="n">
        <x:v>0.8871498662659301</x:v>
      </x:c>
      <x:c r="U168" s="28" t="str">
        <x:f>IF(AND(G168&gt;=80%,I168&gt;0,L168&gt;=1),"YES","")</x:f>
      </x:c>
      <x:c r="V168" s="31" t="n">
        <x:f>I168+0.4*K168-2*MAX(0,90%-G168)</x:f>
        <x:v>-0.13269647809673946</x:v>
      </x:c>
    </x:row>
    <x:row r="169">
      <x:c r="A169" s="35" t="n">
        <x:v>163</x:v>
      </x:c>
      <x:c r="B169" s="33" t="str">
        <x:v>Full premarket decline</x:v>
      </x:c>
      <x:c r="C169" s="33" t="str">
        <x:v>Skip when the full premarket return is -1.6% or worse.</x:v>
      </x:c>
      <x:c r="D169" s="29" t="n">
        <x:v>2978495027.2249966</x:v>
      </x:c>
      <x:c r="E169" s="29" t="n">
        <x:v>14495</x:v>
      </x:c>
      <x:c r="F169" s="30" t="n">
        <x:f>(D169/E169)^(1/('Methodology'!$B$4*7/365))-1</x:f>
        <x:v>3.3629179018957513</x:v>
      </x:c>
      <x:c r="G169" s="30" t="n">
        <x:f>F169/$F$6</x:f>
        <x:v>0.8770894182414012</x:v>
      </x:c>
      <x:c r="H169" s="30" t="n">
        <x:v>0.9107812639081152</x:v>
      </x:c>
      <x:c r="I169" s="30" t="n">
        <x:f>$H$6-H169</x:f>
        <x:v>0</x:v>
      </x:c>
      <x:c r="J169" s="30" t="n">
        <x:v>0.911</x:v>
      </x:c>
      <x:c r="K169" s="30" t="n">
        <x:f>$J$6-J169</x:f>
        <x:v>0</x:v>
      </x:c>
      <x:c r="L169" s="29" t="n">
        <x:v>0</x:v>
      </x:c>
      <x:c r="M169" s="29" t="n">
        <x:v>0</x:v>
      </x:c>
      <x:c r="N169" s="29" t="n">
        <x:v>8</x:v>
      </x:c>
      <x:c r="O169" s="29" t="n">
        <x:v>2</x:v>
      </x:c>
      <x:c r="P169" s="29" t="n">
        <x:v>6</x:v>
      </x:c>
      <x:c r="Q169" s="29" t="n">
        <x:v>425</x:v>
      </x:c>
      <x:c r="R169" s="30" t="n">
        <x:v>-0.7239999879481424</x:v>
      </x:c>
      <x:c r="S169" s="30" t="n">
        <x:v>0.9107812639081152</x:v>
      </x:c>
      <x:c r="T169" s="30" t="n">
        <x:v>0.8871498735982464</x:v>
      </x:c>
      <x:c r="U169" s="28" t="str">
        <x:f>IF(AND(G169&gt;=80%,I169&gt;0,L169&gt;=1),"YES","")</x:f>
      </x:c>
      <x:c r="V169" s="31" t="n">
        <x:f>I169+0.4*K169-2*MAX(0,90%-G169)</x:f>
        <x:v>-0.04582116351719767</x:v>
      </x:c>
    </x:row>
    <x:row r="170">
      <x:c r="A170" s="35" t="n">
        <x:v>164</x:v>
      </x:c>
      <x:c r="B170" s="33" t="str">
        <x:v>Full premarket decline</x:v>
      </x:c>
      <x:c r="C170" s="33" t="str">
        <x:v>Skip when the full premarket return is -1.8% or worse.</x:v>
      </x:c>
      <x:c r="D170" s="29" t="n">
        <x:v>3717942660.501998</x:v>
      </x:c>
      <x:c r="E170" s="29" t="n">
        <x:v>14380</x:v>
      </x:c>
      <x:c r="F170" s="30" t="n">
        <x:f>(D170/E170)^(1/('Methodology'!$B$4*7/365))-1</x:f>
        <x:v>3.4852947614123053</x:v>
      </x:c>
      <x:c r="G170" s="30" t="n">
        <x:f>F170/$F$6</x:f>
        <x:v>0.9090067744334975</x:v>
      </x:c>
      <x:c r="H170" s="30" t="n">
        <x:v>0.9107812639081152</x:v>
      </x:c>
      <x:c r="I170" s="30" t="n">
        <x:f>$H$6-H170</x:f>
        <x:v>0</x:v>
      </x:c>
      <x:c r="J170" s="30" t="n">
        <x:v>0.911</x:v>
      </x:c>
      <x:c r="K170" s="30" t="n">
        <x:f>$J$6-J170</x:f>
        <x:v>0</x:v>
      </x:c>
      <x:c r="L170" s="29" t="n">
        <x:v>0</x:v>
      </x:c>
      <x:c r="M170" s="29" t="n">
        <x:v>0</x:v>
      </x:c>
      <x:c r="N170" s="29" t="n">
        <x:v>6</x:v>
      </x:c>
      <x:c r="O170" s="29" t="n">
        <x:v>2</x:v>
      </x:c>
      <x:c r="P170" s="29" t="n">
        <x:v>4</x:v>
      </x:c>
      <x:c r="Q170" s="29" t="n">
        <x:v>427</x:v>
      </x:c>
      <x:c r="R170" s="30" t="n">
        <x:v>-0.7239999255303353</x:v>
      </x:c>
      <x:c r="S170" s="30" t="n">
        <x:v>0.9107812639081152</x:v>
      </x:c>
      <x:c r="T170" s="30" t="n">
        <x:v>0.8871498734761756</x:v>
      </x:c>
      <x:c r="U170" s="28" t="str">
        <x:f>IF(AND(G170&gt;=80%,I170&gt;0,L170&gt;=1),"YES","")</x:f>
      </x:c>
      <x:c r="V170" s="31" t="n">
        <x:f>I170+0.4*K170-2*MAX(0,90%-G170)</x:f>
        <x:v>0</x:v>
      </x:c>
    </x:row>
    <x:row r="171">
      <x:c r="A171" s="35" t="n">
        <x:v>165</x:v>
      </x:c>
      <x:c r="B171" s="33" t="str">
        <x:v>Full premarket decline</x:v>
      </x:c>
      <x:c r="C171" s="33" t="str">
        <x:v>Skip when the full premarket return is -2.0% or worse.</x:v>
      </x:c>
      <x:c r="D171" s="29" t="n">
        <x:v>4156179766.1939993</x:v>
      </x:c>
      <x:c r="E171" s="29" t="n">
        <x:v>14380</x:v>
      </x:c>
      <x:c r="F171" s="30" t="n">
        <x:f>(D171/E171)^(1/('Methodology'!$B$4*7/365))-1</x:f>
        <x:v>3.5458847520614265</x:v>
      </x:c>
      <x:c r="G171" s="30" t="n">
        <x:f>F171/$F$6</x:f>
        <x:v>0.9248093724153668</x:v>
      </x:c>
      <x:c r="H171" s="30" t="n">
        <x:v>0.9107812639081152</x:v>
      </x:c>
      <x:c r="I171" s="30" t="n">
        <x:f>$H$6-H171</x:f>
        <x:v>0</x:v>
      </x:c>
      <x:c r="J171" s="30" t="n">
        <x:v>0.911</x:v>
      </x:c>
      <x:c r="K171" s="30" t="n">
        <x:f>$J$6-J171</x:f>
        <x:v>0</x:v>
      </x:c>
      <x:c r="L171" s="29" t="n">
        <x:v>0</x:v>
      </x:c>
      <x:c r="M171" s="29" t="n">
        <x:v>0</x:v>
      </x:c>
      <x:c r="N171" s="29" t="n">
        <x:v>4</x:v>
      </x:c>
      <x:c r="O171" s="29" t="n">
        <x:v>1</x:v>
      </x:c>
      <x:c r="P171" s="29" t="n">
        <x:v>3</x:v>
      </x:c>
      <x:c r="Q171" s="29" t="n">
        <x:v>429</x:v>
      </x:c>
      <x:c r="R171" s="30" t="n">
        <x:v>-0.7239999503066041</x:v>
      </x:c>
      <x:c r="S171" s="30" t="n">
        <x:v>0.9107812639081152</x:v>
      </x:c>
      <x:c r="T171" s="30" t="n">
        <x:v>0.8871498765434697</x:v>
      </x:c>
      <x:c r="U171" s="28" t="str">
        <x:f>IF(AND(G171&gt;=80%,I171&gt;0,L171&gt;=1),"YES","")</x:f>
      </x:c>
      <x:c r="V171" s="31" t="n">
        <x:f>I171+0.4*K171-2*MAX(0,90%-G171)</x:f>
        <x:v>0</x:v>
      </x:c>
    </x:row>
    <x:row r="172">
      <x:c r="A172" s="35" t="n">
        <x:v>166</x:v>
      </x:c>
      <x:c r="B172" s="33" t="str">
        <x:v>Late premarket slide</x:v>
      </x:c>
      <x:c r="C172" s="33" t="str">
        <x:v>Skip when the final 5 premarket minutes fall 0.2% or more.</x:v>
      </x:c>
      <x:c r="D172" s="29" t="n">
        <x:v>1439594742.4199998</x:v>
      </x:c>
      <x:c r="E172" s="29" t="n">
        <x:v>13690</x:v>
      </x:c>
      <x:c r="F172" s="30" t="n">
        <x:f>(D172/E172)^(1/('Methodology'!$B$4*7/365))-1</x:f>
        <x:v>3.024770791244655</x:v>
      </x:c>
      <x:c r="G172" s="30" t="n">
        <x:f>F172/$F$6</x:f>
        <x:v>0.7888965865359976</x:v>
      </x:c>
      <x:c r="H172" s="30" t="n">
        <x:v>0.9107812639081152</x:v>
      </x:c>
      <x:c r="I172" s="30" t="n">
        <x:f>$H$6-H172</x:f>
        <x:v>0</x:v>
      </x:c>
      <x:c r="J172" s="30" t="n">
        <x:v>0.911</x:v>
      </x:c>
      <x:c r="K172" s="30" t="n">
        <x:f>$J$6-J172</x:f>
        <x:v>0</x:v>
      </x:c>
      <x:c r="L172" s="29" t="n">
        <x:v>1</x:v>
      </x:c>
      <x:c r="M172" s="29" t="n">
        <x:v>0</x:v>
      </x:c>
      <x:c r="N172" s="29" t="n">
        <x:v>15</x:v>
      </x:c>
      <x:c r="O172" s="29" t="n">
        <x:v>5</x:v>
      </x:c>
      <x:c r="P172" s="29" t="n">
        <x:v>10</x:v>
      </x:c>
      <x:c r="Q172" s="29" t="n">
        <x:v>418</x:v>
      </x:c>
      <x:c r="R172" s="30" t="n">
        <x:v>-0.7239997605331914</x:v>
      </x:c>
      <x:c r="S172" s="30" t="n">
        <x:v>0.9107812639081152</x:v>
      </x:c>
      <x:c r="T172" s="30" t="n">
        <x:v>0.8923550373761077</x:v>
      </x:c>
      <x:c r="U172" s="28" t="str">
        <x:f>IF(AND(G172&gt;=80%,I172&gt;0,L172&gt;=1),"YES","")</x:f>
      </x:c>
      <x:c r="V172" s="31" t="n">
        <x:f>I172+0.4*K172-2*MAX(0,90%-G172)</x:f>
        <x:v>-0.22220682692800486</x:v>
      </x:c>
    </x:row>
    <x:row r="173">
      <x:c r="A173" s="35" t="n">
        <x:v>167</x:v>
      </x:c>
      <x:c r="B173" s="33" t="str">
        <x:v>Late premarket slide</x:v>
      </x:c>
      <x:c r="C173" s="33" t="str">
        <x:v>Skip when the final 5 premarket minutes fall 0.4% or more.</x:v>
      </x:c>
      <x:c r="D173" s="29" t="n">
        <x:v>4442275338.538002</x:v>
      </x:c>
      <x:c r="E173" s="29" t="n">
        <x:v>14495</x:v>
      </x:c>
      <x:c r="F173" s="30" t="n">
        <x:f>(D173/E173)^(1/('Methodology'!$B$4*7/365))-1</x:f>
        <x:v>3.5780801053534255</x:v>
      </x:c>
      <x:c r="G173" s="30" t="n">
        <x:f>F173/$F$6</x:f>
        <x:v>0.9332063076105546</x:v>
      </x:c>
      <x:c r="H173" s="30" t="n">
        <x:v>0.9107812639081152</x:v>
      </x:c>
      <x:c r="I173" s="30" t="n">
        <x:f>$H$6-H173</x:f>
        <x:v>0</x:v>
      </x:c>
      <x:c r="J173" s="30" t="n">
        <x:v>0.911</x:v>
      </x:c>
      <x:c r="K173" s="30" t="n">
        <x:f>$J$6-J173</x:f>
        <x:v>0</x:v>
      </x:c>
      <x:c r="L173" s="29" t="n">
        <x:v>0</x:v>
      </x:c>
      <x:c r="M173" s="29" t="n">
        <x:v>0</x:v>
      </x:c>
      <x:c r="N173" s="29" t="n">
        <x:v>2</x:v>
      </x:c>
      <x:c r="O173" s="29" t="n">
        <x:v>0</x:v>
      </x:c>
      <x:c r="P173" s="29" t="n">
        <x:v>2</x:v>
      </x:c>
      <x:c r="Q173" s="29" t="n">
        <x:v>431</x:v>
      </x:c>
      <x:c r="R173" s="30" t="n">
        <x:v>-0.7239998895136724</x:v>
      </x:c>
      <x:c r="S173" s="30" t="n">
        <x:v>0.9107812639081152</x:v>
      </x:c>
      <x:c r="T173" s="30" t="n">
        <x:v>0.8871498753225904</x:v>
      </x:c>
      <x:c r="U173" s="28" t="str">
        <x:f>IF(AND(G173&gt;=80%,I173&gt;0,L173&gt;=1),"YES","")</x:f>
      </x:c>
      <x:c r="V173" s="31" t="n">
        <x:f>I173+0.4*K173-2*MAX(0,90%-G173)</x:f>
        <x:v>0</x:v>
      </x:c>
    </x:row>
    <x:row r="174">
      <x:c r="A174" s="35" t="n">
        <x:v>168</x:v>
      </x:c>
      <x:c r="B174" s="33" t="str">
        <x:v>Late premarket slide</x:v>
      </x:c>
      <x:c r="C174" s="33" t="str">
        <x:v>Skip when the final 5 premarket minutes fall 0.6% or more.</x:v>
      </x:c>
      <x:c r="D174" s="29" t="n">
        <x:v>4442275338.538002</x:v>
      </x:c>
      <x:c r="E174" s="29" t="n">
        <x:v>14495</x:v>
      </x:c>
      <x:c r="F174" s="30" t="n">
        <x:f>(D174/E174)^(1/('Methodology'!$B$4*7/365))-1</x:f>
        <x:v>3.5780801053534255</x:v>
      </x:c>
      <x:c r="G174" s="30" t="n">
        <x:f>F174/$F$6</x:f>
        <x:v>0.9332063076105546</x:v>
      </x:c>
      <x:c r="H174" s="30" t="n">
        <x:v>0.9107812639081152</x:v>
      </x:c>
      <x:c r="I174" s="30" t="n">
        <x:f>$H$6-H174</x:f>
        <x:v>0</x:v>
      </x:c>
      <x:c r="J174" s="30" t="n">
        <x:v>0.911</x:v>
      </x:c>
      <x:c r="K174" s="30" t="n">
        <x:f>$J$6-J174</x:f>
        <x:v>0</x:v>
      </x:c>
      <x:c r="L174" s="29" t="n">
        <x:v>0</x:v>
      </x:c>
      <x:c r="M174" s="29" t="n">
        <x:v>0</x:v>
      </x:c>
      <x:c r="N174" s="29" t="n">
        <x:v>2</x:v>
      </x:c>
      <x:c r="O174" s="29" t="n">
        <x:v>0</x:v>
      </x:c>
      <x:c r="P174" s="29" t="n">
        <x:v>2</x:v>
      </x:c>
      <x:c r="Q174" s="29" t="n">
        <x:v>431</x:v>
      </x:c>
      <x:c r="R174" s="30" t="n">
        <x:v>-0.7239998895136724</x:v>
      </x:c>
      <x:c r="S174" s="30" t="n">
        <x:v>0.9107812639081152</x:v>
      </x:c>
      <x:c r="T174" s="30" t="n">
        <x:v>0.8871498753225904</x:v>
      </x:c>
      <x:c r="U174" s="28" t="str">
        <x:f>IF(AND(G174&gt;=80%,I174&gt;0,L174&gt;=1),"YES","")</x:f>
      </x:c>
      <x:c r="V174" s="31" t="n">
        <x:f>I174+0.4*K174-2*MAX(0,90%-G174)</x:f>
        <x:v>0</x:v>
      </x:c>
    </x:row>
    <x:row r="175">
      <x:c r="A175" s="35" t="n">
        <x:v>169</x:v>
      </x:c>
      <x:c r="B175" s="33" t="str">
        <x:v>Late premarket slide</x:v>
      </x:c>
      <x:c r="C175" s="33" t="str">
        <x:v>Skip when the final 5 premarket minutes fall 0.8% or more.</x:v>
      </x:c>
      <x:c r="D175" s="29" t="n">
        <x:v>6925479870.037004</x:v>
      </x:c>
      <x:c r="E175" s="29" t="n">
        <x:v>14380</x:v>
      </x:c>
      <x:c r="F175" s="30" t="n">
        <x:f>(D175/E175)^(1/('Methodology'!$B$4*7/365))-1</x:f>
        <x:v>3.8341790836315575</x:v>
      </x:c>
      <x:c r="G175" s="30" t="n">
        <x:f>F175/$F$6</x:f>
        <x:v>1</x:v>
      </x:c>
      <x:c r="H175" s="30" t="n">
        <x:v>0.9107812639081152</x:v>
      </x:c>
      <x:c r="I175" s="30" t="n">
        <x:f>$H$6-H175</x:f>
        <x:v>0</x:v>
      </x:c>
      <x:c r="J175" s="30" t="n">
        <x:v>0.911</x:v>
      </x:c>
      <x:c r="K175" s="30" t="n">
        <x:f>$J$6-J175</x:f>
        <x:v>0</x:v>
      </x:c>
      <x:c r="L175" s="29" t="n">
        <x:v>0</x:v>
      </x:c>
      <x:c r="M175" s="29" t="n">
        <x:v>0</x:v>
      </x:c>
      <x:c r="N175" s="29" t="n">
        <x:v>0</x:v>
      </x:c>
      <x:c r="O175" s="29" t="n">
        <x:v>0</x:v>
      </x:c>
      <x:c r="P175" s="29" t="n">
        <x:v>0</x:v>
      </x:c>
      <x:c r="Q175" s="29" t="n">
        <x:v>433</x:v>
      </x:c>
      <x:c r="R175" s="30" t="n">
        <x:v>-0.7239999461253781</x:v>
      </x:c>
      <x:c r="S175" s="30" t="n">
        <x:v>0.9107812639081152</x:v>
      </x:c>
      <x:c r="T175" s="30" t="n">
        <x:v>0.8871498795688209</x:v>
      </x:c>
      <x:c r="U175" s="28" t="str">
        <x:f>IF(AND(G175&gt;=80%,I175&gt;0,L175&gt;=1),"YES","")</x:f>
      </x:c>
      <x:c r="V175" s="31" t="n">
        <x:f>I175+0.4*K175-2*MAX(0,90%-G175)</x:f>
        <x:v>0</x:v>
      </x:c>
    </x:row>
    <x:row r="176">
      <x:c r="A176" s="35" t="n">
        <x:v>170</x:v>
      </x:c>
      <x:c r="B176" s="33" t="str">
        <x:v>Late premarket slide</x:v>
      </x:c>
      <x:c r="C176" s="33" t="str">
        <x:v>Skip when the final 5 premarket minutes fall 1.0% or more.</x:v>
      </x:c>
      <x:c r="D176" s="29" t="n">
        <x:v>6925479870.037004</x:v>
      </x:c>
      <x:c r="E176" s="29" t="n">
        <x:v>14380</x:v>
      </x:c>
      <x:c r="F176" s="30" t="n">
        <x:f>(D176/E176)^(1/('Methodology'!$B$4*7/365))-1</x:f>
        <x:v>3.8341790836315575</x:v>
      </x:c>
      <x:c r="G176" s="30" t="n">
        <x:f>F176/$F$6</x:f>
        <x:v>1</x:v>
      </x:c>
      <x:c r="H176" s="30" t="n">
        <x:v>0.9107812639081152</x:v>
      </x:c>
      <x:c r="I176" s="30" t="n">
        <x:f>$H$6-H176</x:f>
        <x:v>0</x:v>
      </x:c>
      <x:c r="J176" s="30" t="n">
        <x:v>0.911</x:v>
      </x:c>
      <x:c r="K176" s="30" t="n">
        <x:f>$J$6-J176</x:f>
        <x:v>0</x:v>
      </x:c>
      <x:c r="L176" s="29" t="n">
        <x:v>0</x:v>
      </x:c>
      <x:c r="M176" s="29" t="n">
        <x:v>0</x:v>
      </x:c>
      <x:c r="N176" s="29" t="n">
        <x:v>0</x:v>
      </x:c>
      <x:c r="O176" s="29" t="n">
        <x:v>0</x:v>
      </x:c>
      <x:c r="P176" s="29" t="n">
        <x:v>0</x:v>
      </x:c>
      <x:c r="Q176" s="29" t="n">
        <x:v>433</x:v>
      </x:c>
      <x:c r="R176" s="30" t="n">
        <x:v>-0.7239999461253781</x:v>
      </x:c>
      <x:c r="S176" s="30" t="n">
        <x:v>0.9107812639081152</x:v>
      </x:c>
      <x:c r="T176" s="30" t="n">
        <x:v>0.8871498795688209</x:v>
      </x:c>
      <x:c r="U176" s="28" t="str">
        <x:f>IF(AND(G176&gt;=80%,I176&gt;0,L176&gt;=1),"YES","")</x:f>
      </x:c>
      <x:c r="V176" s="31" t="n">
        <x:f>I176+0.4*K176-2*MAX(0,90%-G176)</x:f>
        <x:v>0</x:v>
      </x:c>
    </x:row>
    <x:row r="177">
      <x:c r="A177" s="35" t="n">
        <x:v>171</x:v>
      </x:c>
      <x:c r="B177" s="33" t="str">
        <x:v>Late premarket slide</x:v>
      </x:c>
      <x:c r="C177" s="33" t="str">
        <x:v>Skip when the final 15 premarket minutes fall 0.2% or more.</x:v>
      </x:c>
      <x:c r="D177" s="29" t="n">
        <x:v>1133813132.7120001</x:v>
      </x:c>
      <x:c r="E177" s="29" t="n">
        <x:v>13230</x:v>
      </x:c>
      <x:c r="F177" s="30" t="n">
        <x:f>(D177/E177)^(1/('Methodology'!$B$4*7/365))-1</x:f>
        <x:v>2.9268201328937504</x:v>
      </x:c>
      <x:c r="G177" s="30" t="n">
        <x:f>F177/$F$6</x:f>
        <x:v>0.7633498772628016</x:v>
      </x:c>
      <x:c r="H177" s="30" t="n">
        <x:v>0.9107812639081152</x:v>
      </x:c>
      <x:c r="I177" s="30" t="n">
        <x:f>$H$6-H177</x:f>
        <x:v>0</x:v>
      </x:c>
      <x:c r="J177" s="30" t="n">
        <x:v>0.911</x:v>
      </x:c>
      <x:c r="K177" s="30" t="n">
        <x:f>$J$6-J177</x:f>
        <x:v>0</x:v>
      </x:c>
      <x:c r="L177" s="29" t="n">
        <x:v>2</x:v>
      </x:c>
      <x:c r="M177" s="29" t="n">
        <x:v>1</x:v>
      </x:c>
      <x:c r="N177" s="29" t="n">
        <x:v>25</x:v>
      </x:c>
      <x:c r="O177" s="29" t="n">
        <x:v>9</x:v>
      </x:c>
      <x:c r="P177" s="29" t="n">
        <x:v>16</x:v>
      </x:c>
      <x:c r="Q177" s="29" t="n">
        <x:v>408</x:v>
      </x:c>
      <x:c r="R177" s="30" t="n">
        <x:v>-0.7239989334434246</x:v>
      </x:c>
      <x:c r="S177" s="30" t="n">
        <x:v>0.9107812639081152</x:v>
      </x:c>
      <x:c r="T177" s="30" t="n">
        <x:v>0.9080681897576673</x:v>
      </x:c>
      <x:c r="U177" s="28" t="str">
        <x:f>IF(AND(G177&gt;=80%,I177&gt;0,L177&gt;=1),"YES","")</x:f>
      </x:c>
      <x:c r="V177" s="31" t="n">
        <x:f>I177+0.4*K177-2*MAX(0,90%-G177)</x:f>
        <x:v>-0.2733002454743969</x:v>
      </x:c>
    </x:row>
    <x:row r="178">
      <x:c r="A178" s="35" t="n">
        <x:v>172</x:v>
      </x:c>
      <x:c r="B178" s="33" t="str">
        <x:v>Late premarket slide</x:v>
      </x:c>
      <x:c r="C178" s="33" t="str">
        <x:v>Skip when the final 15 premarket minutes fall 0.4% or more.</x:v>
      </x:c>
      <x:c r="D178" s="29" t="n">
        <x:v>2596381246.090995</x:v>
      </x:c>
      <x:c r="E178" s="29" t="n">
        <x:v>14380</x:v>
      </x:c>
      <x:c r="F178" s="30" t="n">
        <x:f>(D178/E178)^(1/('Methodology'!$B$4*7/365))-1</x:f>
        <x:v>3.2954931480673153</x:v>
      </x:c>
      <x:c r="G178" s="30" t="n">
        <x:f>F178/$F$6</x:f>
        <x:v>0.8595042318539738</x:v>
      </x:c>
      <x:c r="H178" s="30" t="n">
        <x:v>0.9107812639081152</x:v>
      </x:c>
      <x:c r="I178" s="30" t="n">
        <x:f>$H$6-H178</x:f>
        <x:v>0</x:v>
      </x:c>
      <x:c r="J178" s="30" t="n">
        <x:v>0.911</x:v>
      </x:c>
      <x:c r="K178" s="30" t="n">
        <x:f>$J$6-J178</x:f>
        <x:v>0</x:v>
      </x:c>
      <x:c r="L178" s="29" t="n">
        <x:v>0</x:v>
      </x:c>
      <x:c r="M178" s="29" t="n">
        <x:v>0</x:v>
      </x:c>
      <x:c r="N178" s="29" t="n">
        <x:v>4</x:v>
      </x:c>
      <x:c r="O178" s="29" t="n">
        <x:v>0</x:v>
      </x:c>
      <x:c r="P178" s="29" t="n">
        <x:v>4</x:v>
      </x:c>
      <x:c r="Q178" s="29" t="n">
        <x:v>429</x:v>
      </x:c>
      <x:c r="R178" s="30" t="n">
        <x:v>-0.7239997323370323</x:v>
      </x:c>
      <x:c r="S178" s="30" t="n">
        <x:v>0.9107812639081152</x:v>
      </x:c>
      <x:c r="T178" s="30" t="n">
        <x:v>0.8983689038633474</x:v>
      </x:c>
      <x:c r="U178" s="28" t="str">
        <x:f>IF(AND(G178&gt;=80%,I178&gt;0,L178&gt;=1),"YES","")</x:f>
      </x:c>
      <x:c r="V178" s="31" t="n">
        <x:f>I178+0.4*K178-2*MAX(0,90%-G178)</x:f>
        <x:v>-0.08099153629205236</x:v>
      </x:c>
    </x:row>
    <x:row r="179">
      <x:c r="A179" s="35" t="n">
        <x:v>173</x:v>
      </x:c>
      <x:c r="B179" s="33" t="str">
        <x:v>Late premarket slide</x:v>
      </x:c>
      <x:c r="C179" s="33" t="str">
        <x:v>Skip when the final 15 premarket minutes fall 0.6% or more.</x:v>
      </x:c>
      <x:c r="D179" s="29" t="n">
        <x:v>3994830116.7209992</x:v>
      </x:c>
      <x:c r="E179" s="29" t="n">
        <x:v>14380</x:v>
      </x:c>
      <x:c r="F179" s="30" t="n">
        <x:f>(D179/E179)^(1/('Methodology'!$B$4*7/365))-1</x:f>
        <x:v>3.5242608678930827</x:v>
      </x:c>
      <x:c r="G179" s="30" t="n">
        <x:f>F179/$F$6</x:f>
        <x:v>0.9191696034591753</x:v>
      </x:c>
      <x:c r="H179" s="30" t="n">
        <x:v>0.9107812639081152</x:v>
      </x:c>
      <x:c r="I179" s="30" t="n">
        <x:f>$H$6-H179</x:f>
        <x:v>0</x:v>
      </x:c>
      <x:c r="J179" s="30" t="n">
        <x:v>0.911</x:v>
      </x:c>
      <x:c r="K179" s="30" t="n">
        <x:f>$J$6-J179</x:f>
        <x:v>0</x:v>
      </x:c>
      <x:c r="L179" s="29" t="n">
        <x:v>0</x:v>
      </x:c>
      <x:c r="M179" s="29" t="n">
        <x:v>0</x:v>
      </x:c>
      <x:c r="N179" s="29" t="n">
        <x:v>2</x:v>
      </x:c>
      <x:c r="O179" s="29" t="n">
        <x:v>0</x:v>
      </x:c>
      <x:c r="P179" s="29" t="n">
        <x:v>2</x:v>
      </x:c>
      <x:c r="Q179" s="29" t="n">
        <x:v>431</x:v>
      </x:c>
      <x:c r="R179" s="30" t="n">
        <x:v>-0.7239999692541639</x:v>
      </x:c>
      <x:c r="S179" s="30" t="n">
        <x:v>0.9107812639081152</x:v>
      </x:c>
      <x:c r="T179" s="30" t="n">
        <x:v>0.8983690640577074</x:v>
      </x:c>
      <x:c r="U179" s="28" t="str">
        <x:f>IF(AND(G179&gt;=80%,I179&gt;0,L179&gt;=1),"YES","")</x:f>
      </x:c>
      <x:c r="V179" s="31" t="n">
        <x:f>I179+0.4*K179-2*MAX(0,90%-G179)</x:f>
        <x:v>0</x:v>
      </x:c>
    </x:row>
    <x:row r="180">
      <x:c r="A180" s="35" t="n">
        <x:v>174</x:v>
      </x:c>
      <x:c r="B180" s="33" t="str">
        <x:v>Late premarket slide</x:v>
      </x:c>
      <x:c r="C180" s="33" t="str">
        <x:v>Skip when the final 15 premarket minutes fall 0.8% or more.</x:v>
      </x:c>
      <x:c r="D180" s="29" t="n">
        <x:v>3994830116.7209992</x:v>
      </x:c>
      <x:c r="E180" s="29" t="n">
        <x:v>14380</x:v>
      </x:c>
      <x:c r="F180" s="30" t="n">
        <x:f>(D180/E180)^(1/('Methodology'!$B$4*7/365))-1</x:f>
        <x:v>3.5242608678930827</x:v>
      </x:c>
      <x:c r="G180" s="30" t="n">
        <x:f>F180/$F$6</x:f>
        <x:v>0.9191696034591753</x:v>
      </x:c>
      <x:c r="H180" s="30" t="n">
        <x:v>0.9107812639081152</x:v>
      </x:c>
      <x:c r="I180" s="30" t="n">
        <x:f>$H$6-H180</x:f>
        <x:v>0</x:v>
      </x:c>
      <x:c r="J180" s="30" t="n">
        <x:v>0.911</x:v>
      </x:c>
      <x:c r="K180" s="30" t="n">
        <x:f>$J$6-J180</x:f>
        <x:v>0</x:v>
      </x:c>
      <x:c r="L180" s="29" t="n">
        <x:v>0</x:v>
      </x:c>
      <x:c r="M180" s="29" t="n">
        <x:v>0</x:v>
      </x:c>
      <x:c r="N180" s="29" t="n">
        <x:v>2</x:v>
      </x:c>
      <x:c r="O180" s="29" t="n">
        <x:v>0</x:v>
      </x:c>
      <x:c r="P180" s="29" t="n">
        <x:v>2</x:v>
      </x:c>
      <x:c r="Q180" s="29" t="n">
        <x:v>431</x:v>
      </x:c>
      <x:c r="R180" s="30" t="n">
        <x:v>-0.7239999692541639</x:v>
      </x:c>
      <x:c r="S180" s="30" t="n">
        <x:v>0.9107812639081152</x:v>
      </x:c>
      <x:c r="T180" s="30" t="n">
        <x:v>0.8983690640577074</x:v>
      </x:c>
      <x:c r="U180" s="28" t="str">
        <x:f>IF(AND(G180&gt;=80%,I180&gt;0,L180&gt;=1),"YES","")</x:f>
      </x:c>
      <x:c r="V180" s="31" t="n">
        <x:f>I180+0.4*K180-2*MAX(0,90%-G180)</x:f>
        <x:v>0</x:v>
      </x:c>
    </x:row>
    <x:row r="181">
      <x:c r="A181" s="35" t="n">
        <x:v>175</x:v>
      </x:c>
      <x:c r="B181" s="33" t="str">
        <x:v>Late premarket slide</x:v>
      </x:c>
      <x:c r="C181" s="33" t="str">
        <x:v>Skip when the final 15 premarket minutes fall 1.0% or more.</x:v>
      </x:c>
      <x:c r="D181" s="29" t="n">
        <x:v>6113156741.129998</x:v>
      </x:c>
      <x:c r="E181" s="29" t="n">
        <x:v>14495</x:v>
      </x:c>
      <x:c r="F181" s="30" t="n">
        <x:f>(D181/E181)^(1/('Methodology'!$B$4*7/365))-1</x:f>
        <x:v>3.757525787634454</x:v>
      </x:c>
      <x:c r="G181" s="30" t="n">
        <x:f>F181/$F$6</x:f>
        <x:v>0.9800078988682759</x:v>
      </x:c>
      <x:c r="H181" s="30" t="n">
        <x:v>0.9107812639081152</x:v>
      </x:c>
      <x:c r="I181" s="30" t="n">
        <x:f>$H$6-H181</x:f>
        <x:v>0</x:v>
      </x:c>
      <x:c r="J181" s="30" t="n">
        <x:v>0.911</x:v>
      </x:c>
      <x:c r="K181" s="30" t="n">
        <x:f>$J$6-J181</x:f>
        <x:v>0</x:v>
      </x:c>
      <x:c r="L181" s="29" t="n">
        <x:v>0</x:v>
      </x:c>
      <x:c r="M181" s="29" t="n">
        <x:v>0</x:v>
      </x:c>
      <x:c r="N181" s="29" t="n">
        <x:v>1</x:v>
      </x:c>
      <x:c r="O181" s="29" t="n">
        <x:v>0</x:v>
      </x:c>
      <x:c r="P181" s="29" t="n">
        <x:v>1</x:v>
      </x:c>
      <x:c r="Q181" s="29" t="n">
        <x:v>432</x:v>
      </x:c>
      <x:c r="R181" s="30" t="n">
        <x:v>-0.7239999221769524</x:v>
      </x:c>
      <x:c r="S181" s="30" t="n">
        <x:v>0.9107812639081152</x:v>
      </x:c>
      <x:c r="T181" s="30" t="n">
        <x:v>0.8871498775890986</x:v>
      </x:c>
      <x:c r="U181" s="28" t="str">
        <x:f>IF(AND(G181&gt;=80%,I181&gt;0,L181&gt;=1),"YES","")</x:f>
      </x:c>
      <x:c r="V181" s="31" t="n">
        <x:f>I181+0.4*K181-2*MAX(0,90%-G181)</x:f>
        <x:v>0</x:v>
      </x:c>
    </x:row>
    <x:row r="182">
      <x:c r="A182" s="35" t="n">
        <x:v>176</x:v>
      </x:c>
      <x:c r="B182" s="33" t="str">
        <x:v>Late premarket slide</x:v>
      </x:c>
      <x:c r="C182" s="33" t="str">
        <x:v>Skip when the final 30 premarket minutes fall 0.2% or more.</x:v>
      </x:c>
      <x:c r="D182" s="29" t="n">
        <x:v>1833943029.7039988</x:v>
      </x:c>
      <x:c r="E182" s="29" t="n">
        <x:v>13000</x:v>
      </x:c>
      <x:c r="F182" s="30" t="n">
        <x:f>(D182/E182)^(1/('Methodology'!$B$4*7/365))-1</x:f>
        <x:v>3.1697279707436694</x:v>
      </x:c>
      <x:c r="G182" s="30" t="n">
        <x:f>F182/$F$6</x:f>
        <x:v>0.8267031616430001</x:v>
      </x:c>
      <x:c r="H182" s="30" t="n">
        <x:v>0.8915367550639942</x:v>
      </x:c>
      <x:c r="I182" s="30" t="n">
        <x:f>$H$6-H182</x:f>
        <x:v>0.01924450884412099</x:v>
      </x:c>
      <x:c r="J182" s="30" t="n">
        <x:v>0.87</x:v>
      </x:c>
      <x:c r="K182" s="30" t="n">
        <x:f>$J$6-J182</x:f>
        <x:v>0.041000000000000036</x:v>
      </x:c>
      <x:c r="L182" s="29" t="n">
        <x:v>3</x:v>
      </x:c>
      <x:c r="M182" s="29" t="n">
        <x:v>3</x:v>
      </x:c>
      <x:c r="N182" s="29" t="n">
        <x:v>41</x:v>
      </x:c>
      <x:c r="O182" s="29" t="n">
        <x:v>19</x:v>
      </x:c>
      <x:c r="P182" s="29" t="n">
        <x:v>22</x:v>
      </x:c>
      <x:c r="Q182" s="29" t="n">
        <x:v>392</x:v>
      </x:c>
      <x:c r="R182" s="30" t="n">
        <x:v>-0.7239992513033682</x:v>
      </x:c>
      <x:c r="S182" s="30" t="n">
        <x:v>0.8915367550639942</x:v>
      </x:c>
      <x:c r="T182" s="30" t="n">
        <x:v>0.8785054829274982</x:v>
      </x:c>
      <x:c r="U182" s="28" t="str">
        <x:f>IF(AND(G182&gt;=80%,I182&gt;0,L182&gt;=1),"YES","")</x:f>
        <x:v>YES</x:v>
      </x:c>
      <x:c r="V182" s="31" t="n">
        <x:f>I182+0.4*K182-2*MAX(0,90%-G182)</x:f>
        <x:v>-0.11094916786987892</x:v>
      </x:c>
    </x:row>
    <x:row r="183">
      <x:c r="A183" s="35" t="n">
        <x:v>177</x:v>
      </x:c>
      <x:c r="B183" s="33" t="str">
        <x:v>Late premarket slide</x:v>
      </x:c>
      <x:c r="C183" s="33" t="str">
        <x:v>Skip when the final 30 premarket minutes fall 0.4% or more.</x:v>
      </x:c>
      <x:c r="D183" s="29" t="n">
        <x:v>3702252820.2609997</x:v>
      </x:c>
      <x:c r="E183" s="29" t="n">
        <x:v>14035</x:v>
      </x:c>
      <x:c r="F183" s="30" t="n">
        <x:f>(D183/E183)^(1/('Methodology'!$B$4*7/365))-1</x:f>
        <x:v>3.4961402474648793</x:v>
      </x:c>
      <x:c r="G183" s="30" t="n">
        <x:f>F183/$F$6</x:f>
        <x:v>0.9118354075818224</x:v>
      </x:c>
      <x:c r="H183" s="30" t="n">
        <x:v>0.9107812639081152</x:v>
      </x:c>
      <x:c r="I183" s="30" t="n">
        <x:f>$H$6-H183</x:f>
        <x:v>0</x:v>
      </x:c>
      <x:c r="J183" s="30" t="n">
        <x:v>0.911</x:v>
      </x:c>
      <x:c r="K183" s="30" t="n">
        <x:f>$J$6-J183</x:f>
        <x:v>0</x:v>
      </x:c>
      <x:c r="L183" s="29" t="n">
        <x:v>1</x:v>
      </x:c>
      <x:c r="M183" s="29" t="n">
        <x:v>0</x:v>
      </x:c>
      <x:c r="N183" s="29" t="n">
        <x:v>9</x:v>
      </x:c>
      <x:c r="O183" s="29" t="n">
        <x:v>5</x:v>
      </x:c>
      <x:c r="P183" s="29" t="n">
        <x:v>4</x:v>
      </x:c>
      <x:c r="Q183" s="29" t="n">
        <x:v>424</x:v>
      </x:c>
      <x:c r="R183" s="30" t="n">
        <x:v>-0.7239998344401054</x:v>
      </x:c>
      <x:c r="S183" s="30" t="n">
        <x:v>0.9107812639081152</x:v>
      </x:c>
      <x:c r="T183" s="30" t="n">
        <x:v>0.8983689983814708</x:v>
      </x:c>
      <x:c r="U183" s="28" t="str">
        <x:f>IF(AND(G183&gt;=80%,I183&gt;0,L183&gt;=1),"YES","")</x:f>
      </x:c>
      <x:c r="V183" s="31" t="n">
        <x:f>I183+0.4*K183-2*MAX(0,90%-G183)</x:f>
        <x:v>0</x:v>
      </x:c>
    </x:row>
    <x:row r="184">
      <x:c r="A184" s="35" t="n">
        <x:v>178</x:v>
      </x:c>
      <x:c r="B184" s="33" t="str">
        <x:v>Late premarket slide</x:v>
      </x:c>
      <x:c r="C184" s="33" t="str">
        <x:v>Skip when the final 30 premarket minutes fall 0.6% or more.</x:v>
      </x:c>
      <x:c r="D184" s="29" t="n">
        <x:v>3581544794.6169987</x:v>
      </x:c>
      <x:c r="E184" s="29" t="n">
        <x:v>14380</x:v>
      </x:c>
      <x:c r="F184" s="30" t="n">
        <x:f>(D184/E184)^(1/('Methodology'!$B$4*7/365))-1</x:f>
        <x:v>3.46515210814045</x:v>
      </x:c>
      <x:c r="G184" s="30" t="n">
        <x:f>F184/$F$6</x:f>
        <x:v>0.9037533283026566</x:v>
      </x:c>
      <x:c r="H184" s="30" t="n">
        <x:v>0.9107812639081152</x:v>
      </x:c>
      <x:c r="I184" s="30" t="n">
        <x:f>$H$6-H184</x:f>
        <x:v>0</x:v>
      </x:c>
      <x:c r="J184" s="30" t="n">
        <x:v>0.911</x:v>
      </x:c>
      <x:c r="K184" s="30" t="n">
        <x:f>$J$6-J184</x:f>
        <x:v>0</x:v>
      </x:c>
      <x:c r="L184" s="29" t="n">
        <x:v>0</x:v>
      </x:c>
      <x:c r="M184" s="29" t="n">
        <x:v>0</x:v>
      </x:c>
      <x:c r="N184" s="29" t="n">
        <x:v>5</x:v>
      </x:c>
      <x:c r="O184" s="29" t="n">
        <x:v>2</x:v>
      </x:c>
      <x:c r="P184" s="29" t="n">
        <x:v>3</x:v>
      </x:c>
      <x:c r="Q184" s="29" t="n">
        <x:v>428</x:v>
      </x:c>
      <x:c r="R184" s="30" t="n">
        <x:v>-0.7239999008464879</x:v>
      </x:c>
      <x:c r="S184" s="30" t="n">
        <x:v>0.9107812639081152</x:v>
      </x:c>
      <x:c r="T184" s="30" t="n">
        <x:v>0.898369023324694</x:v>
      </x:c>
      <x:c r="U184" s="28" t="str">
        <x:f>IF(AND(G184&gt;=80%,I184&gt;0,L184&gt;=1),"YES","")</x:f>
      </x:c>
      <x:c r="V184" s="31" t="n">
        <x:f>I184+0.4*K184-2*MAX(0,90%-G184)</x:f>
        <x:v>0</x:v>
      </x:c>
    </x:row>
    <x:row r="185">
      <x:c r="A185" s="35" t="n">
        <x:v>179</x:v>
      </x:c>
      <x:c r="B185" s="33" t="str">
        <x:v>Late premarket slide</x:v>
      </x:c>
      <x:c r="C185" s="33" t="str">
        <x:v>Skip when the final 30 premarket minutes fall 0.8% or more.</x:v>
      </x:c>
      <x:c r="D185" s="29" t="n">
        <x:v>3994830116.7209992</x:v>
      </x:c>
      <x:c r="E185" s="29" t="n">
        <x:v>14380</x:v>
      </x:c>
      <x:c r="F185" s="30" t="n">
        <x:f>(D185/E185)^(1/('Methodology'!$B$4*7/365))-1</x:f>
        <x:v>3.5242608678930827</x:v>
      </x:c>
      <x:c r="G185" s="30" t="n">
        <x:f>F185/$F$6</x:f>
        <x:v>0.9191696034591753</x:v>
      </x:c>
      <x:c r="H185" s="30" t="n">
        <x:v>0.9107812639081152</x:v>
      </x:c>
      <x:c r="I185" s="30" t="n">
        <x:f>$H$6-H185</x:f>
        <x:v>0</x:v>
      </x:c>
      <x:c r="J185" s="30" t="n">
        <x:v>0.911</x:v>
      </x:c>
      <x:c r="K185" s="30" t="n">
        <x:f>$J$6-J185</x:f>
        <x:v>0</x:v>
      </x:c>
      <x:c r="L185" s="29" t="n">
        <x:v>0</x:v>
      </x:c>
      <x:c r="M185" s="29" t="n">
        <x:v>0</x:v>
      </x:c>
      <x:c r="N185" s="29" t="n">
        <x:v>2</x:v>
      </x:c>
      <x:c r="O185" s="29" t="n">
        <x:v>0</x:v>
      </x:c>
      <x:c r="P185" s="29" t="n">
        <x:v>2</x:v>
      </x:c>
      <x:c r="Q185" s="29" t="n">
        <x:v>431</x:v>
      </x:c>
      <x:c r="R185" s="30" t="n">
        <x:v>-0.7239999692541639</x:v>
      </x:c>
      <x:c r="S185" s="30" t="n">
        <x:v>0.9107812639081152</x:v>
      </x:c>
      <x:c r="T185" s="30" t="n">
        <x:v>0.8983690640577074</x:v>
      </x:c>
      <x:c r="U185" s="28" t="str">
        <x:f>IF(AND(G185&gt;=80%,I185&gt;0,L185&gt;=1),"YES","")</x:f>
      </x:c>
      <x:c r="V185" s="31" t="n">
        <x:f>I185+0.4*K185-2*MAX(0,90%-G185)</x:f>
        <x:v>0</x:v>
      </x:c>
    </x:row>
    <x:row r="186">
      <x:c r="A186" s="35" t="n">
        <x:v>180</x:v>
      </x:c>
      <x:c r="B186" s="33" t="str">
        <x:v>Late premarket slide</x:v>
      </x:c>
      <x:c r="C186" s="33" t="str">
        <x:v>Skip when the final 30 premarket minutes fall 1.0% or more.</x:v>
      </x:c>
      <x:c r="D186" s="29" t="n">
        <x:v>3994830116.7209992</x:v>
      </x:c>
      <x:c r="E186" s="29" t="n">
        <x:v>14380</x:v>
      </x:c>
      <x:c r="F186" s="30" t="n">
        <x:f>(D186/E186)^(1/('Methodology'!$B$4*7/365))-1</x:f>
        <x:v>3.5242608678930827</x:v>
      </x:c>
      <x:c r="G186" s="30" t="n">
        <x:f>F186/$F$6</x:f>
        <x:v>0.9191696034591753</x:v>
      </x:c>
      <x:c r="H186" s="30" t="n">
        <x:v>0.9107812639081152</x:v>
      </x:c>
      <x:c r="I186" s="30" t="n">
        <x:f>$H$6-H186</x:f>
        <x:v>0</x:v>
      </x:c>
      <x:c r="J186" s="30" t="n">
        <x:v>0.911</x:v>
      </x:c>
      <x:c r="K186" s="30" t="n">
        <x:f>$J$6-J186</x:f>
        <x:v>0</x:v>
      </x:c>
      <x:c r="L186" s="29" t="n">
        <x:v>0</x:v>
      </x:c>
      <x:c r="M186" s="29" t="n">
        <x:v>0</x:v>
      </x:c>
      <x:c r="N186" s="29" t="n">
        <x:v>2</x:v>
      </x:c>
      <x:c r="O186" s="29" t="n">
        <x:v>0</x:v>
      </x:c>
      <x:c r="P186" s="29" t="n">
        <x:v>2</x:v>
      </x:c>
      <x:c r="Q186" s="29" t="n">
        <x:v>431</x:v>
      </x:c>
      <x:c r="R186" s="30" t="n">
        <x:v>-0.7239999692541639</x:v>
      </x:c>
      <x:c r="S186" s="30" t="n">
        <x:v>0.9107812639081152</x:v>
      </x:c>
      <x:c r="T186" s="30" t="n">
        <x:v>0.8983690640577074</x:v>
      </x:c>
      <x:c r="U186" s="28" t="str">
        <x:f>IF(AND(G186&gt;=80%,I186&gt;0,L186&gt;=1),"YES","")</x:f>
      </x:c>
      <x:c r="V186" s="31" t="n">
        <x:f>I186+0.4*K186-2*MAX(0,90%-G186)</x:f>
        <x:v>0</x:v>
      </x:c>
    </x:row>
    <x:row r="187">
      <x:c r="A187" s="35" t="n">
        <x:v>181</x:v>
      </x:c>
      <x:c r="B187" s="33" t="str">
        <x:v>Late premarket slide</x:v>
      </x:c>
      <x:c r="C187" s="33" t="str">
        <x:v>Skip when the final 60 premarket minutes fall 0.2% or more.</x:v>
      </x:c>
      <x:c r="D187" s="29" t="n">
        <x:v>316893206.831</x:v>
      </x:c>
      <x:c r="E187" s="29" t="n">
        <x:v>13345</x:v>
      </x:c>
      <x:c r="F187" s="30" t="n">
        <x:f>(D187/E187)^(1/('Methodology'!$B$4*7/365))-1</x:f>
        <x:v>2.3644892747756074</x:v>
      </x:c>
      <x:c r="G187" s="30" t="n">
        <x:f>F187/$F$6</x:f>
        <x:v>0.6166872290524501</x:v>
      </x:c>
      <x:c r="H187" s="30" t="n">
        <x:v>0.9024446766781671</x:v>
      </x:c>
      <x:c r="I187" s="30" t="n">
        <x:f>$H$6-H187</x:f>
        <x:v>0.008336587229948123</x:v>
      </x:c>
      <x:c r="J187" s="30" t="n">
        <x:v>0.886</x:v>
      </x:c>
      <x:c r="K187" s="30" t="n">
        <x:f>$J$6-J187</x:f>
        <x:v>0.025000000000000022</x:v>
      </x:c>
      <x:c r="L187" s="29" t="n">
        <x:v>4</x:v>
      </x:c>
      <x:c r="M187" s="29" t="n">
        <x:v>6</x:v>
      </x:c>
      <x:c r="N187" s="29" t="n">
        <x:v>55</x:v>
      </x:c>
      <x:c r="O187" s="29" t="n">
        <x:v>21</x:v>
      </x:c>
      <x:c r="P187" s="29" t="n">
        <x:v>34</x:v>
      </x:c>
      <x:c r="Q187" s="29" t="n">
        <x:v>378</x:v>
      </x:c>
      <x:c r="R187" s="30" t="n">
        <x:v>-0.7239979457358322</x:v>
      </x:c>
      <x:c r="S187" s="30" t="n">
        <x:v>0.8343085225843321</x:v>
      </x:c>
      <x:c r="T187" s="30" t="n">
        <x:v>0.9024446766781671</x:v>
      </x:c>
      <x:c r="U187" s="28" t="str">
        <x:f>IF(AND(G187&gt;=80%,I187&gt;0,L187&gt;=1),"YES","")</x:f>
      </x:c>
      <x:c r="V187" s="31" t="n">
        <x:f>I187+0.4*K187-2*MAX(0,90%-G187)</x:f>
        <x:v>-0.5482889546651517</x:v>
      </x:c>
    </x:row>
    <x:row r="188">
      <x:c r="A188" s="35" t="n">
        <x:v>182</x:v>
      </x:c>
      <x:c r="B188" s="33" t="str">
        <x:v>Late premarket slide</x:v>
      </x:c>
      <x:c r="C188" s="33" t="str">
        <x:v>Skip when the final 60 premarket minutes fall 0.4% or more.</x:v>
      </x:c>
      <x:c r="D188" s="29" t="n">
        <x:v>3438806663.424996</x:v>
      </x:c>
      <x:c r="E188" s="29" t="n">
        <x:v>14265</x:v>
      </x:c>
      <x:c r="F188" s="30" t="n">
        <x:f>(D188/E188)^(1/('Methodology'!$B$4*7/365))-1</x:f>
        <x:v>3.447635720153591</x:v>
      </x:c>
      <x:c r="G188" s="30" t="n">
        <x:f>F188/$F$6</x:f>
        <x:v>0.8991848437314383</x:v>
      </x:c>
      <x:c r="H188" s="30" t="n">
        <x:v>0.898369024153611</x:v>
      </x:c>
      <x:c r="I188" s="30" t="n">
        <x:f>$H$6-H188</x:f>
        <x:v>0.012412239754504228</x:v>
      </x:c>
      <x:c r="J188" s="30" t="n">
        <x:v>0.886</x:v>
      </x:c>
      <x:c r="K188" s="30" t="n">
        <x:f>$J$6-J188</x:f>
        <x:v>0.025000000000000022</x:v>
      </x:c>
      <x:c r="L188" s="29" t="n">
        <x:v>1</x:v>
      </x:c>
      <x:c r="M188" s="29" t="n">
        <x:v>2</x:v>
      </x:c>
      <x:c r="N188" s="29" t="n">
        <x:v>14</x:v>
      </x:c>
      <x:c r="O188" s="29" t="n">
        <x:v>5</x:v>
      </x:c>
      <x:c r="P188" s="29" t="n">
        <x:v>9</x:v>
      </x:c>
      <x:c r="Q188" s="29" t="n">
        <x:v>419</x:v>
      </x:c>
      <x:c r="R188" s="30" t="n">
        <x:v>-0.7239999324920431</x:v>
      </x:c>
      <x:c r="S188" s="30" t="n">
        <x:v>0.8538551595141288</x:v>
      </x:c>
      <x:c r="T188" s="30" t="n">
        <x:v>0.898369024153611</x:v>
      </x:c>
      <x:c r="U188" s="28" t="str">
        <x:f>IF(AND(G188&gt;=80%,I188&gt;0,L188&gt;=1),"YES","")</x:f>
        <x:v>YES</x:v>
      </x:c>
      <x:c r="V188" s="31" t="n">
        <x:f>I188+0.4*K188-2*MAX(0,90%-G188)</x:f>
        <x:v>0.020781927217380702</x:v>
      </x:c>
    </x:row>
    <x:row r="189">
      <x:c r="A189" s="35" t="n">
        <x:v>183</x:v>
      </x:c>
      <x:c r="B189" s="33" t="str">
        <x:v>Late premarket slide</x:v>
      </x:c>
      <x:c r="C189" s="33" t="str">
        <x:v>Skip when the final 60 premarket minutes fall 0.6% or more.</x:v>
      </x:c>
      <x:c r="D189" s="29" t="n">
        <x:v>2911341247.6440005</x:v>
      </x:c>
      <x:c r="E189" s="29" t="n">
        <x:v>14380</x:v>
      </x:c>
      <x:c r="F189" s="30" t="n">
        <x:f>(D189/E189)^(1/('Methodology'!$B$4*7/365))-1</x:f>
        <x:v>3.3551286392087363</x:v>
      </x:c>
      <x:c r="G189" s="30" t="n">
        <x:f>F189/$F$6</x:f>
        <x:v>0.8750578848891203</x:v>
      </x:c>
      <x:c r="H189" s="30" t="n">
        <x:v>0.9107812639081152</x:v>
      </x:c>
      <x:c r="I189" s="30" t="n">
        <x:f>$H$6-H189</x:f>
        <x:v>0</x:v>
      </x:c>
      <x:c r="J189" s="30" t="n">
        <x:v>0.911</x:v>
      </x:c>
      <x:c r="K189" s="30" t="n">
        <x:f>$J$6-J189</x:f>
        <x:v>0</x:v>
      </x:c>
      <x:c r="L189" s="29" t="n">
        <x:v>0</x:v>
      </x:c>
      <x:c r="M189" s="29" t="n">
        <x:v>0</x:v>
      </x:c>
      <x:c r="N189" s="29" t="n">
        <x:v>6</x:v>
      </x:c>
      <x:c r="O189" s="29" t="n">
        <x:v>1</x:v>
      </x:c>
      <x:c r="P189" s="29" t="n">
        <x:v>5</x:v>
      </x:c>
      <x:c r="Q189" s="29" t="n">
        <x:v>427</x:v>
      </x:c>
      <x:c r="R189" s="30" t="n">
        <x:v>-0.7239998235547448</x:v>
      </x:c>
      <x:c r="S189" s="30" t="n">
        <x:v>0.9107812639081152</x:v>
      </x:c>
      <x:c r="T189" s="30" t="n">
        <x:v>0.8983689646303344</x:v>
      </x:c>
      <x:c r="U189" s="28" t="str">
        <x:f>IF(AND(G189&gt;=80%,I189&gt;0,L189&gt;=1),"YES","")</x:f>
      </x:c>
      <x:c r="V189" s="31" t="n">
        <x:f>I189+0.4*K189-2*MAX(0,90%-G189)</x:f>
        <x:v>-0.049884230221759474</x:v>
      </x:c>
    </x:row>
    <x:row r="190">
      <x:c r="A190" s="35" t="n">
        <x:v>184</x:v>
      </x:c>
      <x:c r="B190" s="33" t="str">
        <x:v>Late premarket slide</x:v>
      </x:c>
      <x:c r="C190" s="33" t="str">
        <x:v>Skip when the final 60 premarket minutes fall 0.8% or more.</x:v>
      </x:c>
      <x:c r="D190" s="29" t="n">
        <x:v>3030020085.592003</x:v>
      </x:c>
      <x:c r="E190" s="29" t="n">
        <x:v>14380</x:v>
      </x:c>
      <x:c r="F190" s="30" t="n">
        <x:f>(D190/E190)^(1/('Methodology'!$B$4*7/365))-1</x:f>
        <x:v>3.376133907303797</x:v>
      </x:c>
      <x:c r="G190" s="30" t="n">
        <x:f>F190/$F$6</x:f>
        <x:v>0.8805363113363184</x:v>
      </x:c>
      <x:c r="H190" s="30" t="n">
        <x:v>0.9107812639081152</x:v>
      </x:c>
      <x:c r="I190" s="30" t="n">
        <x:f>$H$6-H190</x:f>
        <x:v>0</x:v>
      </x:c>
      <x:c r="J190" s="30" t="n">
        <x:v>0.911</x:v>
      </x:c>
      <x:c r="K190" s="30" t="n">
        <x:f>$J$6-J190</x:f>
        <x:v>0</x:v>
      </x:c>
      <x:c r="L190" s="29" t="n">
        <x:v>0</x:v>
      </x:c>
      <x:c r="M190" s="29" t="n">
        <x:v>0</x:v>
      </x:c>
      <x:c r="N190" s="29" t="n">
        <x:v>4</x:v>
      </x:c>
      <x:c r="O190" s="29" t="n">
        <x:v>0</x:v>
      </x:c>
      <x:c r="P190" s="29" t="n">
        <x:v>4</x:v>
      </x:c>
      <x:c r="Q190" s="29" t="n">
        <x:v>429</x:v>
      </x:c>
      <x:c r="R190" s="30" t="n">
        <x:v>-0.7239997865857205</x:v>
      </x:c>
      <x:c r="S190" s="30" t="n">
        <x:v>0.9107812639081152</x:v>
      </x:c>
      <x:c r="T190" s="30" t="n">
        <x:v>0.8983689547584522</x:v>
      </x:c>
      <x:c r="U190" s="28" t="str">
        <x:f>IF(AND(G190&gt;=80%,I190&gt;0,L190&gt;=1),"YES","")</x:f>
      </x:c>
      <x:c r="V190" s="31" t="n">
        <x:f>I190+0.4*K190-2*MAX(0,90%-G190)</x:f>
        <x:v>-0.03892737732736329</x:v>
      </x:c>
    </x:row>
    <x:row r="191">
      <x:c r="A191" s="35" t="n">
        <x:v>185</x:v>
      </x:c>
      <x:c r="B191" s="33" t="str">
        <x:v>Late premarket slide</x:v>
      </x:c>
      <x:c r="C191" s="33" t="str">
        <x:v>Skip when the final 60 premarket minutes fall 1.0% or more.</x:v>
      </x:c>
      <x:c r="D191" s="29" t="n">
        <x:v>3572959946.3609977</x:v>
      </x:c>
      <x:c r="E191" s="29" t="n">
        <x:v>14380</x:v>
      </x:c>
      <x:c r="F191" s="30" t="n">
        <x:f>(D191/E191)^(1/('Methodology'!$B$4*7/365))-1</x:f>
        <x:v>3.4638618883935957</x:v>
      </x:c>
      <x:c r="G191" s="30" t="n">
        <x:f>F191/$F$6</x:f>
        <x:v>0.903416823481491</x:v>
      </x:c>
      <x:c r="H191" s="30" t="n">
        <x:v>0.9107812639081152</x:v>
      </x:c>
      <x:c r="I191" s="30" t="n">
        <x:f>$H$6-H191</x:f>
        <x:v>0</x:v>
      </x:c>
      <x:c r="J191" s="30" t="n">
        <x:v>0.911</x:v>
      </x:c>
      <x:c r="K191" s="30" t="n">
        <x:f>$J$6-J191</x:f>
        <x:v>0</x:v>
      </x:c>
      <x:c r="L191" s="29" t="n">
        <x:v>0</x:v>
      </x:c>
      <x:c r="M191" s="29" t="n">
        <x:v>0</x:v>
      </x:c>
      <x:c r="N191" s="29" t="n">
        <x:v>3</x:v>
      </x:c>
      <x:c r="O191" s="29" t="n">
        <x:v>0</x:v>
      </x:c>
      <x:c r="P191" s="29" t="n">
        <x:v>3</x:v>
      </x:c>
      <x:c r="Q191" s="29" t="n">
        <x:v>430</x:v>
      </x:c>
      <x:c r="R191" s="30" t="n">
        <x:v>-0.7239999546869289</x:v>
      </x:c>
      <x:c r="S191" s="30" t="n">
        <x:v>0.9107812639081152</x:v>
      </x:c>
      <x:c r="T191" s="30" t="n">
        <x:v>0.8983690374117599</x:v>
      </x:c>
      <x:c r="U191" s="28" t="str">
        <x:f>IF(AND(G191&gt;=80%,I191&gt;0,L191&gt;=1),"YES","")</x:f>
      </x:c>
      <x:c r="V191" s="31" t="n">
        <x:f>I191+0.4*K191-2*MAX(0,90%-G191)</x:f>
        <x:v>0</x:v>
      </x:c>
    </x:row>
    <x:row r="192">
      <x:c r="A192" s="35" t="n">
        <x:v>186</x:v>
      </x:c>
      <x:c r="B192" s="33" t="str">
        <x:v>Late premarket slide</x:v>
      </x:c>
      <x:c r="C192" s="33" t="str">
        <x:v>Skip when the final 120 premarket minutes fall 0.2% or more.</x:v>
      </x:c>
      <x:c r="D192" s="29" t="n">
        <x:v>186452845.152</x:v>
      </x:c>
      <x:c r="E192" s="29" t="n">
        <x:v>12655</x:v>
      </x:c>
      <x:c r="F192" s="30" t="n">
        <x:f>(D192/E192)^(1/('Methodology'!$B$4*7/365))-1</x:f>
        <x:v>2.176560357910678</x:v>
      </x:c>
      <x:c r="G192" s="30" t="n">
        <x:f>F192/$F$6</x:f>
        <x:v>0.5676731082287216</x:v>
      </x:c>
      <x:c r="H192" s="30" t="n">
        <x:v>0.8739386584264313</x:v>
      </x:c>
      <x:c r="I192" s="30" t="n">
        <x:f>$H$6-H192</x:f>
        <x:v>0.03684260548168394</x:v>
      </x:c>
      <x:c r="J192" s="30" t="n">
        <x:v>0.858</x:v>
      </x:c>
      <x:c r="K192" s="30" t="n">
        <x:f>$J$6-J192</x:f>
        <x:v>0.05300000000000005</x:v>
      </x:c>
      <x:c r="L192" s="29" t="n">
        <x:v>7</x:v>
      </x:c>
      <x:c r="M192" s="29" t="n">
        <x:v>6</x:v>
      </x:c>
      <x:c r="N192" s="29" t="n">
        <x:v>80</x:v>
      </x:c>
      <x:c r="O192" s="29" t="n">
        <x:v>35</x:v>
      </x:c>
      <x:c r="P192" s="29" t="n">
        <x:v>45</x:v>
      </x:c>
      <x:c r="Q192" s="29" t="n">
        <x:v>353</x:v>
      </x:c>
      <x:c r="R192" s="30" t="n">
        <x:v>-0.7239979343847712</x:v>
      </x:c>
      <x:c r="S192" s="30" t="n">
        <x:v>0.8511875688245417</x:v>
      </x:c>
      <x:c r="T192" s="30" t="n">
        <x:v>0.8739386584264313</x:v>
      </x:c>
      <x:c r="U192" s="28" t="str">
        <x:f>IF(AND(G192&gt;=80%,I192&gt;0,L192&gt;=1),"YES","")</x:f>
      </x:c>
      <x:c r="V192" s="31" t="n">
        <x:f>I192+0.4*K192-2*MAX(0,90%-G192)</x:f>
        <x:v>-0.6066111780608728</x:v>
      </x:c>
    </x:row>
    <x:row r="193">
      <x:c r="A193" s="35" t="n">
        <x:v>187</x:v>
      </x:c>
      <x:c r="B193" s="33" t="str">
        <x:v>Late premarket slide</x:v>
      </x:c>
      <x:c r="C193" s="33" t="str">
        <x:v>Skip when the final 120 premarket minutes fall 0.4% or more.</x:v>
      </x:c>
      <x:c r="D193" s="29" t="n">
        <x:v>650921846.2600006</x:v>
      </x:c>
      <x:c r="E193" s="29" t="n">
        <x:v>13690</x:v>
      </x:c>
      <x:c r="F193" s="30" t="n">
        <x:f>(D193/E193)^(1/('Methodology'!$B$4*7/365))-1</x:f>
        <x:v>2.6578863797555385</x:v>
      </x:c>
      <x:c r="G193" s="30" t="n">
        <x:f>F193/$F$6</x:f>
        <x:v>0.6932087212885506</x:v>
      </x:c>
      <x:c r="H193" s="30" t="n">
        <x:v>0.8871498289778846</x:v>
      </x:c>
      <x:c r="I193" s="30" t="n">
        <x:f>$H$6-H193</x:f>
        <x:v>0.023631434930230566</x:v>
      </x:c>
      <x:c r="J193" s="30" t="n">
        <x:v>0.884</x:v>
      </x:c>
      <x:c r="K193" s="30" t="n">
        <x:f>$J$6-J193</x:f>
        <x:v>0.027000000000000024</x:v>
      </x:c>
      <x:c r="L193" s="29" t="n">
        <x:v>1</x:v>
      </x:c>
      <x:c r="M193" s="29" t="n">
        <x:v>2</x:v>
      </x:c>
      <x:c r="N193" s="29" t="n">
        <x:v>28</x:v>
      </x:c>
      <x:c r="O193" s="29" t="n">
        <x:v>12</x:v>
      </x:c>
      <x:c r="P193" s="29" t="n">
        <x:v>16</x:v>
      </x:c>
      <x:c r="Q193" s="29" t="n">
        <x:v>405</x:v>
      </x:c>
      <x:c r="R193" s="30" t="n">
        <x:v>-0.7239997249200315</x:v>
      </x:c>
      <x:c r="S193" s="30" t="n">
        <x:v>0.870276995939214</x:v>
      </x:c>
      <x:c r="T193" s="30" t="n">
        <x:v>0.8871498289778846</x:v>
      </x:c>
      <x:c r="U193" s="28" t="str">
        <x:f>IF(AND(G193&gt;=80%,I193&gt;0,L193&gt;=1),"YES","")</x:f>
      </x:c>
      <x:c r="V193" s="31" t="n">
        <x:f>I193+0.4*K193-2*MAX(0,90%-G193)</x:f>
        <x:v>-0.37915112249266825</x:v>
      </x:c>
    </x:row>
    <x:row r="194">
      <x:c r="A194" s="35" t="n">
        <x:v>188</x:v>
      </x:c>
      <x:c r="B194" s="33" t="str">
        <x:v>Late premarket slide</x:v>
      </x:c>
      <x:c r="C194" s="33" t="str">
        <x:v>Skip when the final 120 premarket minutes fall 0.6% or more.</x:v>
      </x:c>
      <x:c r="D194" s="29" t="n">
        <x:v>1814994200.598996</x:v>
      </x:c>
      <x:c r="E194" s="29" t="n">
        <x:v>14150</x:v>
      </x:c>
      <x:c r="F194" s="30" t="n">
        <x:f>(D194/E194)^(1/('Methodology'!$B$4*7/365))-1</x:f>
        <x:v>3.122222500096636</x:v>
      </x:c>
      <x:c r="G194" s="30" t="n">
        <x:f>F194/$F$6</x:f>
        <x:v>0.81431316378144</x:v>
      </x:c>
      <x:c r="H194" s="30" t="n">
        <x:v>0.8871498655944053</x:v>
      </x:c>
      <x:c r="I194" s="30" t="n">
        <x:f>$H$6-H194</x:f>
        <x:v>0.02363139831370986</x:v>
      </x:c>
      <x:c r="J194" s="30" t="n">
        <x:v>0.887</x:v>
      </x:c>
      <x:c r="K194" s="30" t="n">
        <x:f>$J$6-J194</x:f>
        <x:v>0.02400000000000002</x:v>
      </x:c>
      <x:c r="L194" s="29" t="n">
        <x:v>1</x:v>
      </x:c>
      <x:c r="M194" s="29" t="n">
        <x:v>0</x:v>
      </x:c>
      <x:c r="N194" s="29" t="n">
        <x:v>14</x:v>
      </x:c>
      <x:c r="O194" s="29" t="n">
        <x:v>6</x:v>
      </x:c>
      <x:c r="P194" s="29" t="n">
        <x:v>8</x:v>
      </x:c>
      <x:c r="Q194" s="29" t="n">
        <x:v>419</x:v>
      </x:c>
      <x:c r="R194" s="30" t="n">
        <x:v>-0.7239999786053527</x:v>
      </x:c>
      <x:c r="S194" s="30" t="n">
        <x:v>0.8870434685189335</x:v>
      </x:c>
      <x:c r="T194" s="30" t="n">
        <x:v>0.8871498655944053</x:v>
      </x:c>
      <x:c r="U194" s="28" t="str">
        <x:f>IF(AND(G194&gt;=80%,I194&gt;0,L194&gt;=1),"YES","")</x:f>
        <x:v>YES</x:v>
      </x:c>
      <x:c r="V194" s="31" t="n">
        <x:f>I194+0.4*K194-2*MAX(0,90%-G194)</x:f>
        <x:v>-0.13814227412341012</x:v>
      </x:c>
    </x:row>
    <x:row r="195">
      <x:c r="A195" s="35" t="n">
        <x:v>189</x:v>
      </x:c>
      <x:c r="B195" s="33" t="str">
        <x:v>Late premarket slide</x:v>
      </x:c>
      <x:c r="C195" s="33" t="str">
        <x:v>Skip when the final 120 premarket minutes fall 0.8% or more.</x:v>
      </x:c>
      <x:c r="D195" s="29" t="n">
        <x:v>1968228027.0389981</x:v>
      </x:c>
      <x:c r="E195" s="29" t="n">
        <x:v>14380</x:v>
      </x:c>
      <x:c r="F195" s="30" t="n">
        <x:f>(D195/E195)^(1/('Methodology'!$B$4*7/365))-1</x:f>
        <x:v>3.154579408788819</x:v>
      </x:c>
      <x:c r="G195" s="30" t="n">
        <x:f>F195/$F$6</x:f>
        <x:v>0.8227522345672353</x:v>
      </x:c>
      <x:c r="H195" s="30" t="n">
        <x:v>0.9107812639081152</x:v>
      </x:c>
      <x:c r="I195" s="30" t="n">
        <x:f>$H$6-H195</x:f>
        <x:v>0</x:v>
      </x:c>
      <x:c r="J195" s="30" t="n">
        <x:v>0.911</x:v>
      </x:c>
      <x:c r="K195" s="30" t="n">
        <x:f>$J$6-J195</x:f>
        <x:v>0</x:v>
      </x:c>
      <x:c r="L195" s="29" t="n">
        <x:v>0</x:v>
      </x:c>
      <x:c r="M195" s="29" t="n">
        <x:v>0</x:v>
      </x:c>
      <x:c r="N195" s="29" t="n">
        <x:v>9</x:v>
      </x:c>
      <x:c r="O195" s="29" t="n">
        <x:v>3</x:v>
      </x:c>
      <x:c r="P195" s="29" t="n">
        <x:v>6</x:v>
      </x:c>
      <x:c r="Q195" s="29" t="n">
        <x:v>424</x:v>
      </x:c>
      <x:c r="R195" s="30" t="n">
        <x:v>-0.7239997979001448</x:v>
      </x:c>
      <x:c r="S195" s="30" t="n">
        <x:v>0.9107812639081152</x:v>
      </x:c>
      <x:c r="T195" s="30" t="n">
        <x:v>0.8983688590794224</x:v>
      </x:c>
      <x:c r="U195" s="28" t="str">
        <x:f>IF(AND(G195&gt;=80%,I195&gt;0,L195&gt;=1),"YES","")</x:f>
      </x:c>
      <x:c r="V195" s="31" t="n">
        <x:f>I195+0.4*K195-2*MAX(0,90%-G195)</x:f>
        <x:v>-0.15449553086552936</x:v>
      </x:c>
    </x:row>
    <x:row r="196">
      <x:c r="A196" s="35" t="n">
        <x:v>190</x:v>
      </x:c>
      <x:c r="B196" s="33" t="str">
        <x:v>Late premarket slide</x:v>
      </x:c>
      <x:c r="C196" s="33" t="str">
        <x:v>Skip when the final 120 premarket minutes fall 1.0% or more.</x:v>
      </x:c>
      <x:c r="D196" s="29" t="n">
        <x:v>2661255582.842003</x:v>
      </x:c>
      <x:c r="E196" s="29" t="n">
        <x:v>14265</x:v>
      </x:c>
      <x:c r="F196" s="30" t="n">
        <x:f>(D196/E196)^(1/('Methodology'!$B$4*7/365))-1</x:f>
        <x:v>3.3124458752945376</x:v>
      </x:c>
      <x:c r="G196" s="30" t="n">
        <x:f>F196/$F$6</x:f>
        <x:v>0.8639257069226777</x:v>
      </x:c>
      <x:c r="H196" s="30" t="n">
        <x:v>0.9107812639081152</x:v>
      </x:c>
      <x:c r="I196" s="30" t="n">
        <x:f>$H$6-H196</x:f>
        <x:v>0</x:v>
      </x:c>
      <x:c r="J196" s="30" t="n">
        <x:v>0.911</x:v>
      </x:c>
      <x:c r="K196" s="30" t="n">
        <x:f>$J$6-J196</x:f>
        <x:v>0</x:v>
      </x:c>
      <x:c r="L196" s="29" t="n">
        <x:v>0</x:v>
      </x:c>
      <x:c r="M196" s="29" t="n">
        <x:v>0</x:v>
      </x:c>
      <x:c r="N196" s="29" t="n">
        <x:v>4</x:v>
      </x:c>
      <x:c r="O196" s="29" t="n">
        <x:v>0</x:v>
      </x:c>
      <x:c r="P196" s="29" t="n">
        <x:v>4</x:v>
      </x:c>
      <x:c r="Q196" s="29" t="n">
        <x:v>429</x:v>
      </x:c>
      <x:c r="R196" s="30" t="n">
        <x:v>-0.7239997637714454</x:v>
      </x:c>
      <x:c r="S196" s="30" t="n">
        <x:v>0.9107812639081152</x:v>
      </x:c>
      <x:c r="T196" s="30" t="n">
        <x:v>0.8983689155132043</x:v>
      </x:c>
      <x:c r="U196" s="28" t="str">
        <x:f>IF(AND(G196&gt;=80%,I196&gt;0,L196&gt;=1),"YES","")</x:f>
      </x:c>
      <x:c r="V196" s="31" t="n">
        <x:f>I196+0.4*K196-2*MAX(0,90%-G196)</x:f>
        <x:v>-0.0721485861546447</x:v>
      </x:c>
    </x:row>
    <x:row r="197">
      <x:c r="A197" s="35" t="n">
        <x:v>191</x:v>
      </x:c>
      <x:c r="B197" s="33" t="str">
        <x:v>Premarket peak-to-trough drawdown</x:v>
      </x:c>
      <x:c r="C197" s="33" t="str">
        <x:v>Skip when premarket peak-to-trough drawdown reaches 0.4%.</x:v>
      </x:c>
      <x:c r="D197" s="29" t="n">
        <x:v>54354.62100000002</x:v>
      </x:c>
      <x:c r="E197" s="29" t="n">
        <x:v>2650</x:v>
      </x:c>
      <x:c r="F197" s="30" t="n">
        <x:f>(D197/E197)^(1/('Methodology'!$B$4*7/365))-1</x:f>
        <x:v>0.4387751530225068</x:v>
      </x:c>
      <x:c r="G197" s="30" t="n">
        <x:f>F197/$F$6</x:f>
        <x:v>0.11443783491899893</x:v>
      </x:c>
      <x:c r="H197" s="30" t="n">
        <x:v>0.7066220205464366</x:v>
      </x:c>
      <x:c r="I197" s="30" t="n">
        <x:f>$H$6-H197</x:f>
        <x:v>0.20415924336167857</x:v>
      </x:c>
      <x:c r="J197" s="30" t="n">
        <x:v>0.707</x:v>
      </x:c>
      <x:c r="K197" s="30" t="n">
        <x:f>$J$6-J197</x:f>
        <x:v>0.20400000000000007</x:v>
      </x:c>
      <x:c r="L197" s="29" t="n">
        <x:v>17</x:v>
      </x:c>
      <x:c r="M197" s="29" t="n">
        <x:v>18</x:v>
      </x:c>
      <x:c r="N197" s="29" t="n">
        <x:v>330</x:v>
      </x:c>
      <x:c r="O197" s="29" t="n">
        <x:v>141</x:v>
      </x:c>
      <x:c r="P197" s="29" t="n">
        <x:v>189</x:v>
      </x:c>
      <x:c r="Q197" s="29" t="n">
        <x:v>103</x:v>
      </x:c>
      <x:c r="R197" s="30" t="n">
        <x:v>-0.4687531111392934</x:v>
      </x:c>
      <x:c r="S197" s="30" t="n">
        <x:v>0.5256241243610935</x:v>
      </x:c>
      <x:c r="T197" s="30" t="n">
        <x:v>0.7066220205464366</x:v>
      </x:c>
      <x:c r="U197" s="28" t="str">
        <x:f>IF(AND(G197&gt;=80%,I197&gt;0,L197&gt;=1),"YES","")</x:f>
      </x:c>
      <x:c r="V197" s="31" t="n">
        <x:f>I197+0.4*K197-2*MAX(0,90%-G197)</x:f>
        <x:v>-1.2853650868003235</x:v>
      </x:c>
    </x:row>
    <x:row r="198">
      <x:c r="A198" s="35" t="n">
        <x:v>192</x:v>
      </x:c>
      <x:c r="B198" s="33" t="str">
        <x:v>Premarket peak-to-trough drawdown</x:v>
      </x:c>
      <x:c r="C198" s="33" t="str">
        <x:v>Skip when premarket peak-to-trough drawdown reaches 0.6%.</x:v>
      </x:c>
      <x:c r="D198" s="29" t="n">
        <x:v>1251905.4189999993</x:v>
      </x:c>
      <x:c r="E198" s="29" t="n">
        <x:v>6790</x:v>
      </x:c>
      <x:c r="F198" s="30" t="n">
        <x:f>(D198/E198)^(1/('Methodology'!$B$4*7/365))-1</x:f>
        <x:v>0.8743082714324442</x:v>
      </x:c>
      <x:c r="G198" s="30" t="n">
        <x:f>F198/$F$6</x:f>
        <x:v>0.22803010823488706</x:v>
      </x:c>
      <x:c r="H198" s="30" t="n">
        <x:v>0.6561686495186699</x:v>
      </x:c>
      <x:c r="I198" s="30" t="n">
        <x:f>$H$6-H198</x:f>
        <x:v>0.25461261438944527</x:v>
      </x:c>
      <x:c r="J198" s="30" t="n">
        <x:v>0.633</x:v>
      </x:c>
      <x:c r="K198" s="30" t="n">
        <x:f>$J$6-J198</x:f>
        <x:v>0.278</x:v>
      </x:c>
      <x:c r="L198" s="29" t="n">
        <x:v>16</x:v>
      </x:c>
      <x:c r="M198" s="29" t="n">
        <x:v>15</x:v>
      </x:c>
      <x:c r="N198" s="29" t="n">
        <x:v>236</x:v>
      </x:c>
      <x:c r="O198" s="29" t="n">
        <x:v>97</x:v>
      </x:c>
      <x:c r="P198" s="29" t="n">
        <x:v>139</x:v>
      </x:c>
      <x:c r="Q198" s="29" t="n">
        <x:v>197</x:v>
      </x:c>
      <x:c r="R198" s="30" t="n">
        <x:v>-0.46978958955056294</x:v>
      </x:c>
      <x:c r="S198" s="30" t="n">
        <x:v>0.4955699798693426</x:v>
      </x:c>
      <x:c r="T198" s="30" t="n">
        <x:v>0.6561686495186699</x:v>
      </x:c>
      <x:c r="U198" s="28" t="str">
        <x:f>IF(AND(G198&gt;=80%,I198&gt;0,L198&gt;=1),"YES","")</x:f>
      </x:c>
      <x:c r="V198" s="31" t="n">
        <x:f>I198+0.4*K198-2*MAX(0,90%-G198)</x:f>
        <x:v>-0.9781271691407805</x:v>
      </x:c>
    </x:row>
    <x:row r="199">
      <x:c r="A199" s="35" t="n">
        <x:v>193</x:v>
      </x:c>
      <x:c r="B199" s="33" t="str">
        <x:v>Premarket peak-to-trough drawdown</x:v>
      </x:c>
      <x:c r="C199" s="33" t="str">
        <x:v>Skip when premarket peak-to-trough drawdown reaches 0.8%.</x:v>
      </x:c>
      <x:c r="D199" s="29" t="n">
        <x:v>1176869.4830000007</x:v>
      </x:c>
      <x:c r="E199" s="29" t="n">
        <x:v>8745</x:v>
      </x:c>
      <x:c r="F199" s="30" t="n">
        <x:f>(D199/E199)^(1/('Methodology'!$B$4*7/365))-1</x:f>
        <x:v>0.8045764606412966</x:v>
      </x:c>
      <x:c r="G199" s="30" t="n">
        <x:f>F199/$F$6</x:f>
        <x:v>0.20984321365585223</x:v>
      </x:c>
      <x:c r="H199" s="30" t="n">
        <x:v>0.7681481036796117</x:v>
      </x:c>
      <x:c r="I199" s="30" t="n">
        <x:f>$H$6-H199</x:f>
        <x:v>0.14263316022850347</x:v>
      </x:c>
      <x:c r="J199" s="30" t="n">
        <x:v>0.693</x:v>
      </x:c>
      <x:c r="K199" s="30" t="n">
        <x:f>$J$6-J199</x:f>
        <x:v>0.21800000000000008</x:v>
      </x:c>
      <x:c r="L199" s="29" t="n">
        <x:v>12</x:v>
      </x:c>
      <x:c r="M199" s="29" t="n">
        <x:v>12</x:v>
      </x:c>
      <x:c r="N199" s="29" t="n">
        <x:v>179</x:v>
      </x:c>
      <x:c r="O199" s="29" t="n">
        <x:v>66</x:v>
      </x:c>
      <x:c r="P199" s="29" t="n">
        <x:v>113</x:v>
      </x:c>
      <x:c r="Q199" s="29" t="n">
        <x:v>254</x:v>
      </x:c>
      <x:c r="R199" s="30" t="n">
        <x:v>-0.6269079882513728</x:v>
      </x:c>
      <x:c r="S199" s="30" t="n">
        <x:v>0.5838647269087405</x:v>
      </x:c>
      <x:c r="T199" s="30" t="n">
        <x:v>0.7681481036796117</x:v>
      </x:c>
      <x:c r="U199" s="28" t="str">
        <x:f>IF(AND(G199&gt;=80%,I199&gt;0,L199&gt;=1),"YES","")</x:f>
      </x:c>
      <x:c r="V199" s="31" t="n">
        <x:f>I199+0.4*K199-2*MAX(0,90%-G199)</x:f>
        <x:v>-1.150480412459792</x:v>
      </x:c>
    </x:row>
    <x:row r="200">
      <x:c r="A200" s="35" t="n">
        <x:v>194</x:v>
      </x:c>
      <x:c r="B200" s="33" t="str">
        <x:v>Premarket peak-to-trough drawdown</x:v>
      </x:c>
      <x:c r="C200" s="33" t="str">
        <x:v>Skip when premarket peak-to-trough drawdown reaches 1.0%.</x:v>
      </x:c>
      <x:c r="D200" s="29" t="n">
        <x:v>188060.4980000002</x:v>
      </x:c>
      <x:c r="E200" s="29" t="n">
        <x:v>11390</x:v>
      </x:c>
      <x:c r="F200" s="30" t="n">
        <x:f>(D200/E200)^(1/('Methodology'!$B$4*7/365))-1</x:f>
        <x:v>0.401674370338186</x:v>
      </x:c>
      <x:c r="G200" s="30" t="n">
        <x:f>F200/$F$6</x:f>
        <x:v>0.10476150476459711</x:v>
      </x:c>
      <x:c r="H200" s="30" t="n">
        <x:v>0.8877078173298748</x:v>
      </x:c>
      <x:c r="I200" s="30" t="n">
        <x:f>$H$6-H200</x:f>
        <x:v>0.023073446578240397</x:v>
      </x:c>
      <x:c r="J200" s="30" t="n">
        <x:v>0.884</x:v>
      </x:c>
      <x:c r="K200" s="30" t="n">
        <x:f>$J$6-J200</x:f>
        <x:v>0.027000000000000024</x:v>
      </x:c>
      <x:c r="L200" s="29" t="n">
        <x:v>6</x:v>
      </x:c>
      <x:c r="M200" s="29" t="n">
        <x:v>5</x:v>
      </x:c>
      <x:c r="N200" s="29" t="n">
        <x:v>123</x:v>
      </x:c>
      <x:c r="O200" s="29" t="n">
        <x:v>38</x:v>
      </x:c>
      <x:c r="P200" s="29" t="n">
        <x:v>85</x:v>
      </x:c>
      <x:c r="Q200" s="29" t="n">
        <x:v>310</x:v>
      </x:c>
      <x:c r="R200" s="30" t="n">
        <x:v>-0.7239183503371187</x:v>
      </x:c>
      <x:c r="S200" s="30" t="n">
        <x:v>0.832695578602507</x:v>
      </x:c>
      <x:c r="T200" s="30" t="n">
        <x:v>0.8877078173298748</x:v>
      </x:c>
      <x:c r="U200" s="28" t="str">
        <x:f>IF(AND(G200&gt;=80%,I200&gt;0,L200&gt;=1),"YES","")</x:f>
      </x:c>
      <x:c r="V200" s="31" t="n">
        <x:f>I200+0.4*K200-2*MAX(0,90%-G200)</x:f>
        <x:v>-1.5566035438925654</x:v>
      </x:c>
    </x:row>
    <x:row r="201">
      <x:c r="A201" s="35" t="n">
        <x:v>195</x:v>
      </x:c>
      <x:c r="B201" s="33" t="str">
        <x:v>Premarket peak-to-trough drawdown</x:v>
      </x:c>
      <x:c r="C201" s="33" t="str">
        <x:v>Skip when premarket peak-to-trough drawdown reaches 1.2%.</x:v>
      </x:c>
      <x:c r="D201" s="29" t="n">
        <x:v>6950301.561000011</x:v>
      </x:c>
      <x:c r="E201" s="29" t="n">
        <x:v>12080</x:v>
      </x:c>
      <x:c r="F201" s="30" t="n">
        <x:f>(D201/E201)^(1/('Methodology'!$B$4*7/365))-1</x:f>
        <x:v>1.1496013930606757</x:v>
      </x:c>
      <x:c r="G201" s="30" t="n">
        <x:f>F201/$F$6</x:f>
        <x:v>0.2998298639644725</x:v>
      </x:c>
      <x:c r="H201" s="30" t="n">
        <x:v>0.8738228878959586</x:v>
      </x:c>
      <x:c r="I201" s="30" t="n">
        <x:f>$H$6-H201</x:f>
        <x:v>0.03695837601215657</x:v>
      </x:c>
      <x:c r="J201" s="30" t="n">
        <x:v>0.87</x:v>
      </x:c>
      <x:c r="K201" s="30" t="n">
        <x:f>$J$6-J201</x:f>
        <x:v>0.041000000000000036</x:v>
      </x:c>
      <x:c r="L201" s="29" t="n">
        <x:v>4</x:v>
      </x:c>
      <x:c r="M201" s="29" t="n">
        <x:v>4</x:v>
      </x:c>
      <x:c r="N201" s="29" t="n">
        <x:v>91</x:v>
      </x:c>
      <x:c r="O201" s="29" t="n">
        <x:v>31</x:v>
      </x:c>
      <x:c r="P201" s="29" t="n">
        <x:v>60</x:v>
      </x:c>
      <x:c r="Q201" s="29" t="n">
        <x:v>342</x:v>
      </x:c>
      <x:c r="R201" s="30" t="n">
        <x:v>-0.7239975373149428</x:v>
      </x:c>
      <x:c r="S201" s="30" t="n">
        <x:v>0.834067433441098</x:v>
      </x:c>
      <x:c r="T201" s="30" t="n">
        <x:v>0.8738228878959586</x:v>
      </x:c>
      <x:c r="U201" s="28" t="str">
        <x:f>IF(AND(G201&gt;=80%,I201&gt;0,L201&gt;=1),"YES","")</x:f>
      </x:c>
      <x:c r="V201" s="31" t="n">
        <x:f>I201+0.4*K201-2*MAX(0,90%-G201)</x:f>
        <x:v>-1.1469818960588987</x:v>
      </x:c>
    </x:row>
    <x:row r="202">
      <x:c r="A202" s="35" t="n">
        <x:v>196</x:v>
      </x:c>
      <x:c r="B202" s="33" t="str">
        <x:v>Premarket peak-to-trough drawdown</x:v>
      </x:c>
      <x:c r="C202" s="33" t="str">
        <x:v>Skip when premarket peak-to-trough drawdown reaches 1.4%.</x:v>
      </x:c>
      <x:c r="D202" s="29" t="n">
        <x:v>25509486.286</x:v>
      </x:c>
      <x:c r="E202" s="29" t="n">
        <x:v>12770</x:v>
      </x:c>
      <x:c r="F202" s="30" t="n">
        <x:f>(D202/E202)^(1/('Methodology'!$B$4*7/365))-1</x:f>
        <x:v>1.4972102741321383</x:v>
      </x:c>
      <x:c r="G202" s="30" t="n">
        <x:f>F202/$F$6</x:f>
        <x:v>0.3904904391461157</x:v>
      </x:c>
      <x:c r="H202" s="30" t="n">
        <x:v>0.8805553544108164</x:v>
      </x:c>
      <x:c r="I202" s="30" t="n">
        <x:f>$H$6-H202</x:f>
        <x:v>0.030225909497298753</x:v>
      </x:c>
      <x:c r="J202" s="30" t="n">
        <x:v>0.877</x:v>
      </x:c>
      <x:c r="K202" s="30" t="n">
        <x:f>$J$6-J202</x:f>
        <x:v>0.03400000000000003</x:v>
      </x:c>
      <x:c r="L202" s="29" t="n">
        <x:v>4</x:v>
      </x:c>
      <x:c r="M202" s="29" t="n">
        <x:v>3</x:v>
      </x:c>
      <x:c r="N202" s="29" t="n">
        <x:v>66</x:v>
      </x:c>
      <x:c r="O202" s="29" t="n">
        <x:v>22</x:v>
      </x:c>
      <x:c r="P202" s="29" t="n">
        <x:v>44</x:v>
      </x:c>
      <x:c r="Q202" s="29" t="n">
        <x:v>367</x:v>
      </x:c>
      <x:c r="R202" s="30" t="n">
        <x:v>-0.7239998525932224</x:v>
      </x:c>
      <x:c r="S202" s="30" t="n">
        <x:v>0.834306121095422</x:v>
      </x:c>
      <x:c r="T202" s="30" t="n">
        <x:v>0.8805553544108164</x:v>
      </x:c>
      <x:c r="U202" s="28" t="str">
        <x:f>IF(AND(G202&gt;=80%,I202&gt;0,L202&gt;=1),"YES","")</x:f>
      </x:c>
      <x:c r="V202" s="31" t="n">
        <x:f>I202+0.4*K202-2*MAX(0,90%-G202)</x:f>
        <x:v>-0.9751932122104698</x:v>
      </x:c>
    </x:row>
    <x:row r="203">
      <x:c r="A203" s="35" t="n">
        <x:v>197</x:v>
      </x:c>
      <x:c r="B203" s="33" t="str">
        <x:v>Premarket peak-to-trough drawdown</x:v>
      </x:c>
      <x:c r="C203" s="33" t="str">
        <x:v>Skip when premarket peak-to-trough drawdown reaches 1.6%.</x:v>
      </x:c>
      <x:c r="D203" s="29" t="n">
        <x:v>36054029.90000003</x:v>
      </x:c>
      <x:c r="E203" s="29" t="n">
        <x:v>13115</x:v>
      </x:c>
      <x:c r="F203" s="30" t="n">
        <x:f>(D203/E203)^(1/('Methodology'!$B$4*7/365))-1</x:f>
        <x:v>1.5951032422311542</x:v>
      </x:c>
      <x:c r="G203" s="30" t="n">
        <x:f>F203/$F$6</x:f>
        <x:v>0.4160221021080596</x:v>
      </x:c>
      <x:c r="H203" s="30" t="n">
        <x:v>0.9040217813479425</x:v>
      </x:c>
      <x:c r="I203" s="30" t="n">
        <x:f>$H$6-H203</x:f>
        <x:v>0.006759482560172669</x:v>
      </x:c>
      <x:c r="J203" s="30" t="n">
        <x:v>0.891</x:v>
      </x:c>
      <x:c r="K203" s="30" t="n">
        <x:f>$J$6-J203</x:f>
        <x:v>0.020000000000000018</x:v>
      </x:c>
      <x:c r="L203" s="29" t="n">
        <x:v>2</x:v>
      </x:c>
      <x:c r="M203" s="29" t="n">
        <x:v>2</x:v>
      </x:c>
      <x:c r="N203" s="29" t="n">
        <x:v>51</x:v>
      </x:c>
      <x:c r="O203" s="29" t="n">
        <x:v>15</x:v>
      </x:c>
      <x:c r="P203" s="29" t="n">
        <x:v>36</x:v>
      </x:c>
      <x:c r="Q203" s="29" t="n">
        <x:v>382</x:v>
      </x:c>
      <x:c r="R203" s="30" t="n">
        <x:v>-0.7239921576226751</x:v>
      </x:c>
      <x:c r="S203" s="30" t="n">
        <x:v>0.8870434685189335</x:v>
      </x:c>
      <x:c r="T203" s="30" t="n">
        <x:v>0.9040217813479425</x:v>
      </x:c>
      <x:c r="U203" s="28" t="str">
        <x:f>IF(AND(G203&gt;=80%,I203&gt;0,L203&gt;=1),"YES","")</x:f>
      </x:c>
      <x:c r="V203" s="31" t="n">
        <x:f>I203+0.4*K203-2*MAX(0,90%-G203)</x:f>
        <x:v>-0.9531963132237081</x:v>
      </x:c>
    </x:row>
    <x:row r="204">
      <x:c r="A204" s="35" t="n">
        <x:v>198</x:v>
      </x:c>
      <x:c r="B204" s="33" t="str">
        <x:v>Premarket peak-to-trough drawdown</x:v>
      </x:c>
      <x:c r="C204" s="33" t="str">
        <x:v>Skip when premarket peak-to-trough drawdown reaches 1.8%.</x:v>
      </x:c>
      <x:c r="D204" s="29" t="n">
        <x:v>167498570.42900023</x:v>
      </x:c>
      <x:c r="E204" s="29" t="n">
        <x:v>13805</x:v>
      </x:c>
      <x:c r="F204" s="30" t="n">
        <x:f>(D204/E204)^(1/('Methodology'!$B$4*7/365))-1</x:f>
        <x:v>2.1031419150032793</x:v>
      </x:c>
      <x:c r="G204" s="30" t="n">
        <x:f>F204/$F$6</x:f>
        <x:v>0.5485246956726081</x:v>
      </x:c>
      <x:c r="H204" s="30" t="n">
        <x:v>0.9107812639081152</x:v>
      </x:c>
      <x:c r="I204" s="30" t="n">
        <x:f>$H$6-H204</x:f>
        <x:v>0</x:v>
      </x:c>
      <x:c r="J204" s="30" t="n">
        <x:v>0.911</x:v>
      </x:c>
      <x:c r="K204" s="30" t="n">
        <x:f>$J$6-J204</x:f>
        <x:v>0</x:v>
      </x:c>
      <x:c r="L204" s="29" t="n">
        <x:v>1</x:v>
      </x:c>
      <x:c r="M204" s="29" t="n">
        <x:v>1</x:v>
      </x:c>
      <x:c r="N204" s="29" t="n">
        <x:v>34</x:v>
      </x:c>
      <x:c r="O204" s="29" t="n">
        <x:v>7</x:v>
      </x:c>
      <x:c r="P204" s="29" t="n">
        <x:v>27</x:v>
      </x:c>
      <x:c r="Q204" s="29" t="n">
        <x:v>399</x:v>
      </x:c>
      <x:c r="R204" s="30" t="n">
        <x:v>-0.7239998906378621</x:v>
      </x:c>
      <x:c r="S204" s="30" t="n">
        <x:v>0.9107812639081152</x:v>
      </x:c>
      <x:c r="T204" s="30" t="n">
        <x:v>0.8983671980680487</x:v>
      </x:c>
      <x:c r="U204" s="28" t="str">
        <x:f>IF(AND(G204&gt;=80%,I204&gt;0,L204&gt;=1),"YES","")</x:f>
      </x:c>
      <x:c r="V204" s="31" t="n">
        <x:f>I204+0.4*K204-2*MAX(0,90%-G204)</x:f>
        <x:v>-0.7029506086547839</x:v>
      </x:c>
    </x:row>
    <x:row r="205">
      <x:c r="A205" s="35" t="n">
        <x:v>199</x:v>
      </x:c>
      <x:c r="B205" s="33" t="str">
        <x:v>Premarket peak-to-trough drawdown</x:v>
      </x:c>
      <x:c r="C205" s="33" t="str">
        <x:v>Skip when premarket peak-to-trough drawdown reaches 2.0%.</x:v>
      </x:c>
      <x:c r="D205" s="29" t="n">
        <x:v>486254679.3860003</x:v>
      </x:c>
      <x:c r="E205" s="29" t="n">
        <x:v>13805</x:v>
      </x:c>
      <x:c r="F205" s="30" t="n">
        <x:f>(D205/E205)^(1/('Methodology'!$B$4*7/365))-1</x:f>
        <x:v>2.5280881227980734</x:v>
      </x:c>
      <x:c r="G205" s="30" t="n">
        <x:f>F205/$F$6</x:f>
        <x:v>0.65935577542288</x:v>
      </x:c>
      <x:c r="H205" s="30" t="n">
        <x:v>0.9107812639081152</x:v>
      </x:c>
      <x:c r="I205" s="30" t="n">
        <x:f>$H$6-H205</x:f>
        <x:v>0</x:v>
      </x:c>
      <x:c r="J205" s="30" t="n">
        <x:v>0.911</x:v>
      </x:c>
      <x:c r="K205" s="30" t="n">
        <x:f>$J$6-J205</x:f>
        <x:v>0</x:v>
      </x:c>
      <x:c r="L205" s="29" t="n">
        <x:v>1</x:v>
      </x:c>
      <x:c r="M205" s="29" t="n">
        <x:v>1</x:v>
      </x:c>
      <x:c r="N205" s="29" t="n">
        <x:v>26</x:v>
      </x:c>
      <x:c r="O205" s="29" t="n">
        <x:v>6</x:v>
      </x:c>
      <x:c r="P205" s="29" t="n">
        <x:v>20</x:v>
      </x:c>
      <x:c r="Q205" s="29" t="n">
        <x:v>407</x:v>
      </x:c>
      <x:c r="R205" s="30" t="n">
        <x:v>-0.723999775872661</x:v>
      </x:c>
      <x:c r="S205" s="30" t="n">
        <x:v>0.9107812639081152</x:v>
      </x:c>
      <x:c r="T205" s="30" t="n">
        <x:v>0.8983680168103679</x:v>
      </x:c>
      <x:c r="U205" s="28" t="str">
        <x:f>IF(AND(G205&gt;=80%,I205&gt;0,L205&gt;=1),"YES","")</x:f>
      </x:c>
      <x:c r="V205" s="31" t="n">
        <x:f>I205+0.4*K205-2*MAX(0,90%-G205)</x:f>
        <x:v>-0.48128844915423996</x:v>
      </x:c>
    </x:row>
    <x:row r="206">
      <x:c r="A206" s="35" t="n">
        <x:v>200</x:v>
      </x:c>
      <x:c r="B206" s="33" t="str">
        <x:v>Premarket peak-to-trough drawdown</x:v>
      </x:c>
      <x:c r="C206" s="33" t="str">
        <x:v>Skip when premarket peak-to-trough drawdown reaches 2.2%.</x:v>
      </x:c>
      <x:c r="D206" s="29" t="n">
        <x:v>578139293.7910005</x:v>
      </x:c>
      <x:c r="E206" s="29" t="n">
        <x:v>14035</x:v>
      </x:c>
      <x:c r="F206" s="30" t="n">
        <x:f>(D206/E206)^(1/('Methodology'!$B$4*7/365))-1</x:f>
        <x:v>2.5952348115895836</x:v>
      </x:c>
      <x:c r="G206" s="30" t="n">
        <x:f>F206/$F$6</x:f>
        <x:v>0.6768684391057438</x:v>
      </x:c>
      <x:c r="H206" s="30" t="n">
        <x:v>0.9107812639081152</x:v>
      </x:c>
      <x:c r="I206" s="30" t="n">
        <x:f>$H$6-H206</x:f>
        <x:v>0</x:v>
      </x:c>
      <x:c r="J206" s="30" t="n">
        <x:v>0.911</x:v>
      </x:c>
      <x:c r="K206" s="30" t="n">
        <x:f>$J$6-J206</x:f>
        <x:v>0</x:v>
      </x:c>
      <x:c r="L206" s="29" t="n">
        <x:v>1</x:v>
      </x:c>
      <x:c r="M206" s="29" t="n">
        <x:v>1</x:v>
      </x:c>
      <x:c r="N206" s="29" t="n">
        <x:v>22</x:v>
      </x:c>
      <x:c r="O206" s="29" t="n">
        <x:v>5</x:v>
      </x:c>
      <x:c r="P206" s="29" t="n">
        <x:v>17</x:v>
      </x:c>
      <x:c r="Q206" s="29" t="n">
        <x:v>411</x:v>
      </x:c>
      <x:c r="R206" s="30" t="n">
        <x:v>-0.7239991422512077</x:v>
      </x:c>
      <x:c r="S206" s="30" t="n">
        <x:v>0.9107812639081152</x:v>
      </x:c>
      <x:c r="T206" s="30" t="n">
        <x:v>0.8983679314643409</x:v>
      </x:c>
      <x:c r="U206" s="28" t="str">
        <x:f>IF(AND(G206&gt;=80%,I206&gt;0,L206&gt;=1),"YES","")</x:f>
      </x:c>
      <x:c r="V206" s="31" t="n">
        <x:f>I206+0.4*K206-2*MAX(0,90%-G206)</x:f>
        <x:v>-0.44626312178851246</x:v>
      </x:c>
    </x:row>
  </x:sheetData>
  <x:mergeCells>
    <x:mergeCell ref="A1:V1"/>
    <x:mergeCell ref="A2:V2"/>
  </x:mergeCells>
  <x:conditionalFormatting sqref="G7:G20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7:I206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7:U206">
    <x:cfRule type="containsText" dxfId="1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894d06b02dd94d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7" max="7" width="8" hidden="0" customWidth="1"/>
    <x:col min="8" max="8" width="8" hidden="0" customWidth="1"/>
    <x:col min="2" max="2" width="13" hidden="0" customWidth="1"/>
    <x:col min="3" max="3" width="13" hidden="0" customWidth="1"/>
    <x:col min="9" max="9" width="13" hidden="0" customWidth="1"/>
    <x:col min="10" max="10" width="13" hidden="0" customWidth="1"/>
    <x:col min="4" max="4" width="15" hidden="0" customWidth="1"/>
    <x:col min="11" max="11" width="15" hidden="0" customWidth="1"/>
    <x:col min="5" max="5" width="16" hidden="0" customWidth="1"/>
    <x:col min="12" max="12" width="16" hidden="0" customWidth="1"/>
    <x:col min="6" max="6" width="10" hidden="0" customWidth="1"/>
    <x:col min="13" max="13" width="10" hidden="0" customWidth="1"/>
  </x:cols>
  <x:sheetData>
    <x:row r="1" ht="28" customHeight="1">
      <x:c r="A1" s="3" t="str">
        <x:v>Configuration-specific baseline worst 20 trades</x:v>
      </x:c>
      <x:c r="B1" s="3" t="str">
        <x:v>Configuration-specific baseline worst 20 trades</x:v>
      </x:c>
      <x:c r="C1" s="3" t="str">
        <x:v>Configuration-specific baseline worst 20 trades</x:v>
      </x:c>
      <x:c r="D1" s="3" t="str">
        <x:v>Configuration-specific baseline worst 20 trades</x:v>
      </x:c>
      <x:c r="E1" s="3" t="str">
        <x:v>Configuration-specific baseline worst 20 trades</x:v>
      </x:c>
      <x:c r="F1" s="3" t="str">
        <x:v>Configuration-specific baseline worst 20 trades</x:v>
      </x:c>
      <x:c r="G1" s="3" t="str">
        <x:v>Configuration-specific baseline worst 20 trades</x:v>
      </x:c>
      <x:c r="H1" s="3" t="str">
        <x:v>Configuration-specific baseline worst 20 trades</x:v>
      </x:c>
      <x:c r="I1" s="3" t="str">
        <x:v>Configuration-specific baseline worst 20 trades</x:v>
      </x:c>
      <x:c r="J1" s="3" t="str">
        <x:v>Configuration-specific baseline worst 20 trades</x:v>
      </x:c>
      <x:c r="K1" s="3" t="str">
        <x:v>Configuration-specific baseline worst 20 trades</x:v>
      </x:c>
      <x:c r="L1" s="3" t="str">
        <x:v>Configuration-specific baseline worst 20 trades</x:v>
      </x:c>
    </x:row>
    <x:row r="3">
      <x:c r="A3" s="42" t="str">
        <x:v>Protected baseline</x:v>
      </x:c>
      <x:c r="B3" s="42" t="str">
        <x:v>Protected baseline</x:v>
      </x:c>
      <x:c r="C3" s="42" t="str">
        <x:v>Protected baseline</x:v>
      </x:c>
      <x:c r="D3" s="42" t="str">
        <x:v>Protected baseline</x:v>
      </x:c>
      <x:c r="E3" s="42" t="str">
        <x:v>Protected baseline</x:v>
      </x:c>
      <x:c r="F3" s="42" t="str">
        <x:v>Protected baseline</x:v>
      </x:c>
      <x:c r="H3" s="42" t="str">
        <x:v>Leverage-only baseline</x:v>
      </x:c>
      <x:c r="I3" s="42" t="str">
        <x:v>Leverage-only baseline</x:v>
      </x:c>
      <x:c r="J3" s="42" t="str">
        <x:v>Leverage-only baseline</x:v>
      </x:c>
      <x:c r="K3" s="42" t="str">
        <x:v>Leverage-only baseline</x:v>
      </x:c>
      <x:c r="L3" s="42" t="str">
        <x:v>Leverage-only baseline</x:v>
      </x:c>
      <x:c r="M3" s="42" t="str">
        <x:v>Leverage-only baseline</x:v>
      </x:c>
    </x:row>
    <x:row r="4" ht="48" customHeight="1">
      <x:c r="A4" s="13" t="str">
        <x:v>Rank</x:v>
      </x:c>
      <x:c r="B4" s="14" t="str">
        <x:v>Open</x:v>
      </x:c>
      <x:c r="C4" s="14" t="str">
        <x:v>Close</x:v>
      </x:c>
      <x:c r="D4" s="14" t="str">
        <x:v>Account return</x:v>
      </x:c>
      <x:c r="E4" s="14" t="str">
        <x:v>Exit</x:v>
      </x:c>
      <x:c r="F4" s="15" t="str">
        <x:v>Leverage</x:v>
      </x:c>
      <x:c r="H4" s="13" t="str">
        <x:v>Rank</x:v>
      </x:c>
      <x:c r="I4" s="14" t="str">
        <x:v>Open</x:v>
      </x:c>
      <x:c r="J4" s="14" t="str">
        <x:v>Close</x:v>
      </x:c>
      <x:c r="K4" s="14" t="str">
        <x:v>Account return</x:v>
      </x:c>
      <x:c r="L4" s="14" t="str">
        <x:v>Exit</x:v>
      </x:c>
      <x:c r="M4" s="15" t="str">
        <x:v>Leverage</x:v>
      </x:c>
    </x:row>
    <x:row r="5">
      <x:c r="A5" t="n">
        <x:v>1</x:v>
      </x:c>
      <x:c r="B5" s="69" t="n">
        <x:v>44144</x:v>
      </x:c>
      <x:c r="C5" s="69" t="n">
        <x:v>44145</x:v>
      </x:c>
      <x:c r="D5" s="70" t="n">
        <x:v>-0.7230426999112742</x:v>
      </x:c>
      <x:c r="E5" t="str">
        <x:v>SL</x:v>
      </x:c>
      <x:c r="F5" t="n">
        <x:v>8</x:v>
      </x:c>
      <x:c r="H5" t="n">
        <x:v>1</x:v>
      </x:c>
      <x:c r="I5" s="69" t="n">
        <x:v>45761</x:v>
      </x:c>
      <x:c r="J5" s="69" t="n">
        <x:v>45763</x:v>
      </x:c>
      <x:c r="K5" s="70" t="n">
        <x:v>-0.7239999461253781</x:v>
      </x:c>
      <x:c r="L5" t="str">
        <x:v>SL</x:v>
      </x:c>
      <x:c r="M5" t="n">
        <x:v>8</x:v>
      </x:c>
    </x:row>
    <x:row r="6">
      <x:c r="A6" t="n">
        <x:v>2</x:v>
      </x:c>
      <x:c r="B6" s="69" t="n">
        <x:v>44739</x:v>
      </x:c>
      <x:c r="C6" s="69" t="n">
        <x:v>44742</x:v>
      </x:c>
      <x:c r="D6" s="70" t="n">
        <x:v>-0.5437313693488632</x:v>
      </x:c>
      <x:c r="E6" t="str">
        <x:v>TSL1PRE</x:v>
      </x:c>
      <x:c r="F6" t="n">
        <x:v>10</x:v>
      </x:c>
      <x:c r="H6" t="n">
        <x:v>2</x:v>
      </x:c>
      <x:c r="I6" s="69" t="n">
        <x:v>44144</x:v>
      </x:c>
      <x:c r="J6" s="69" t="n">
        <x:v>44145</x:v>
      </x:c>
      <x:c r="K6" s="70" t="n">
        <x:v>-0.7229786056342091</x:v>
      </x:c>
      <x:c r="L6" t="str">
        <x:v>SL</x:v>
      </x:c>
      <x:c r="M6" t="n">
        <x:v>8</x:v>
      </x:c>
    </x:row>
    <x:row r="7">
      <x:c r="A7" t="n">
        <x:v>3</x:v>
      </x:c>
      <x:c r="B7" s="69" t="n">
        <x:v>46181</x:v>
      </x:c>
      <x:c r="C7" s="69" t="n">
        <x:v>46184</x:v>
      </x:c>
      <x:c r="D7" s="70" t="n">
        <x:v>-0.48386666665762423</x:v>
      </x:c>
      <x:c r="E7" t="str">
        <x:v>TSL1PRE</x:v>
      </x:c>
      <x:c r="F7" t="n">
        <x:v>10</x:v>
      </x:c>
      <x:c r="H7" t="n">
        <x:v>3</x:v>
      </x:c>
      <x:c r="I7" s="69" t="n">
        <x:v>43381</x:v>
      </x:c>
      <x:c r="J7" s="69" t="n">
        <x:v>43384</x:v>
      </x:c>
      <x:c r="K7" s="70" t="n">
        <x:v>-0.6784679101815548</x:v>
      </x:c>
      <x:c r="L7" t="str">
        <x:v>TSL1PRE</x:v>
      </x:c>
      <x:c r="M7" t="n">
        <x:v>10</x:v>
      </x:c>
    </x:row>
    <x:row r="8">
      <x:c r="A8" t="n">
        <x:v>4</x:v>
      </x:c>
      <x:c r="B8" s="69" t="n">
        <x:v>45397</x:v>
      </x:c>
      <x:c r="C8" s="69" t="n">
        <x:v>45400</x:v>
      </x:c>
      <x:c r="D8" s="70" t="n">
        <x:v>-0.4698664236610491</x:v>
      </x:c>
      <x:c r="E8" t="str">
        <x:v>TSL1PRE</x:v>
      </x:c>
      <x:c r="F8" t="n">
        <x:v>10</x:v>
      </x:c>
      <x:c r="H8" t="n">
        <x:v>4</x:v>
      </x:c>
      <x:c r="I8" s="69" t="n">
        <x:v>43423</x:v>
      </x:c>
      <x:c r="J8" s="69" t="n">
        <x:v>43424</x:v>
      </x:c>
      <x:c r="K8" s="70" t="n">
        <x:v>-0.6740386916390747</x:v>
      </x:c>
      <x:c r="L8" t="str">
        <x:v>SL</x:v>
      </x:c>
      <x:c r="M8" t="n">
        <x:v>10</x:v>
      </x:c>
    </x:row>
    <x:row r="9">
      <x:c r="A9" t="n">
        <x:v>5</x:v>
      </x:c>
      <x:c r="B9" s="69" t="n">
        <x:v>44900</x:v>
      </x:c>
      <x:c r="C9" s="69" t="n">
        <x:v>44903</x:v>
      </x:c>
      <x:c r="D9" s="70" t="n">
        <x:v>-0.4662626407371898</x:v>
      </x:c>
      <x:c r="E9" t="str">
        <x:v>TSL1PRE</x:v>
      </x:c>
      <x:c r="F9" t="n">
        <x:v>8</x:v>
      </x:c>
      <x:c r="H9" t="n">
        <x:v>5</x:v>
      </x:c>
      <x:c r="I9" s="69" t="n">
        <x:v>44326</x:v>
      </x:c>
      <x:c r="J9" s="69" t="n">
        <x:v>44329</x:v>
      </x:c>
      <x:c r="K9" s="70" t="n">
        <x:v>-0.6552714602928335</x:v>
      </x:c>
      <x:c r="L9" t="str">
        <x:v>TSL1PRE</x:v>
      </x:c>
      <x:c r="M9" t="n">
        <x:v>10</x:v>
      </x:c>
    </x:row>
    <x:row r="10">
      <x:c r="A10" t="n">
        <x:v>6</x:v>
      </x:c>
      <x:c r="B10" s="69" t="n">
        <x:v>44221</x:v>
      </x:c>
      <x:c r="C10" s="69" t="n">
        <x:v>44224</x:v>
      </x:c>
      <x:c r="D10" s="70" t="n">
        <x:v>-0.45299218829614835</x:v>
      </x:c>
      <x:c r="E10" t="str">
        <x:v>TSL1PRE</x:v>
      </x:c>
      <x:c r="F10" t="n">
        <x:v>8</x:v>
      </x:c>
      <x:c r="H10" t="n">
        <x:v>6</x:v>
      </x:c>
      <x:c r="I10" s="69" t="n">
        <x:v>46230</x:v>
      </x:c>
      <x:c r="J10" s="69" t="n">
        <x:v>46233</x:v>
      </x:c>
      <x:c r="K10" s="70" t="n">
        <x:v>-0.6269333315053668</x:v>
      </x:c>
      <x:c r="L10" t="str">
        <x:v>TSL1PRE</x:v>
      </x:c>
      <x:c r="M10" t="n">
        <x:v>10</x:v>
      </x:c>
    </x:row>
    <x:row r="11">
      <x:c r="A11" t="n">
        <x:v>7</x:v>
      </x:c>
      <x:c r="B11" s="69" t="n">
        <x:v>44130</x:v>
      </x:c>
      <x:c r="C11" s="69" t="n">
        <x:v>44133</x:v>
      </x:c>
      <x:c r="D11" s="70" t="n">
        <x:v>-0.4478609284659828</x:v>
      </x:c>
      <x:c r="E11" t="str">
        <x:v>TSL1PRE</x:v>
      </x:c>
      <x:c r="F11" t="n">
        <x:v>10</x:v>
      </x:c>
      <x:c r="H11" t="n">
        <x:v>7</x:v>
      </x:c>
      <x:c r="I11" s="69" t="n">
        <x:v>44739</x:v>
      </x:c>
      <x:c r="J11" s="69" t="n">
        <x:v>44742</x:v>
      </x:c>
      <x:c r="K11" s="70" t="n">
        <x:v>-0.5437238030401377</x:v>
      </x:c>
      <x:c r="L11" t="str">
        <x:v>TSL1PRE</x:v>
      </x:c>
      <x:c r="M11" t="n">
        <x:v>8</x:v>
      </x:c>
    </x:row>
    <x:row r="12">
      <x:c r="A12" t="n">
        <x:v>8</x:v>
      </x:c>
      <x:c r="B12" s="69" t="n">
        <x:v>44319</x:v>
      </x:c>
      <x:c r="C12" s="69" t="n">
        <x:v>44322</x:v>
      </x:c>
      <x:c r="D12" s="70" t="n">
        <x:v>-0.4091853891954543</x:v>
      </x:c>
      <x:c r="E12" t="str">
        <x:v>TSL1PRE</x:v>
      </x:c>
      <x:c r="F12" t="n">
        <x:v>8</x:v>
      </x:c>
      <x:c r="H12" t="n">
        <x:v>8</x:v>
      </x:c>
      <x:c r="I12" s="69" t="n">
        <x:v>46181</x:v>
      </x:c>
      <x:c r="J12" s="69" t="n">
        <x:v>46184</x:v>
      </x:c>
      <x:c r="K12" s="70" t="n">
        <x:v>-0.4838666661162062</x:v>
      </x:c>
      <x:c r="L12" t="str">
        <x:v>TSL1PRE</x:v>
      </x:c>
      <x:c r="M12" t="n">
        <x:v>10</x:v>
      </x:c>
    </x:row>
    <x:row r="13">
      <x:c r="A13" t="n">
        <x:v>9</x:v>
      </x:c>
      <x:c r="B13" s="69" t="n">
        <x:v>44614</x:v>
      </x:c>
      <x:c r="C13" s="69" t="n">
        <x:v>44616</x:v>
      </x:c>
      <x:c r="D13" s="70" t="n">
        <x:v>-0.3841314120657368</x:v>
      </x:c>
      <x:c r="E13" t="str">
        <x:v>TSL1PRE</x:v>
      </x:c>
      <x:c r="F13" t="n">
        <x:v>8</x:v>
      </x:c>
      <x:c r="H13" t="n">
        <x:v>9</x:v>
      </x:c>
      <x:c r="I13" s="69" t="n">
        <x:v>45397</x:v>
      </x:c>
      <x:c r="J13" s="69" t="n">
        <x:v>45400</x:v>
      </x:c>
      <x:c r="K13" s="70" t="n">
        <x:v>-0.46986643873643996</x:v>
      </x:c>
      <x:c r="L13" t="str">
        <x:v>TSL1PRE</x:v>
      </x:c>
      <x:c r="M13" t="n">
        <x:v>10</x:v>
      </x:c>
    </x:row>
    <x:row r="14">
      <x:c r="A14" t="n">
        <x:v>10</x:v>
      </x:c>
      <x:c r="B14" s="69" t="n">
        <x:v>45488</x:v>
      </x:c>
      <x:c r="C14" s="69" t="n">
        <x:v>45491</x:v>
      </x:c>
      <x:c r="D14" s="70" t="n">
        <x:v>-0.3670666293904056</x:v>
      </x:c>
      <x:c r="E14" t="str">
        <x:v>TSL1PRE</x:v>
      </x:c>
      <x:c r="F14" t="n">
        <x:v>8</x:v>
      </x:c>
      <x:c r="H14" t="n">
        <x:v>10</x:v>
      </x:c>
      <x:c r="I14" s="69" t="n">
        <x:v>44900</x:v>
      </x:c>
      <x:c r="J14" s="69" t="n">
        <x:v>44903</x:v>
      </x:c>
      <x:c r="K14" s="70" t="n">
        <x:v>-0.46626395463694126</x:v>
      </x:c>
      <x:c r="L14" t="str">
        <x:v>TSL1PRE</x:v>
      </x:c>
      <x:c r="M14" t="n">
        <x:v>8</x:v>
      </x:c>
    </x:row>
    <x:row r="15">
      <x:c r="A15" t="n">
        <x:v>11</x:v>
      </x:c>
      <x:c r="B15" s="69" t="n">
        <x:v>44753</x:v>
      </x:c>
      <x:c r="C15" s="69" t="n">
        <x:v>44756</x:v>
      </x:c>
      <x:c r="D15" s="70" t="n">
        <x:v>-0.359461272137526</x:v>
      </x:c>
      <x:c r="E15" t="str">
        <x:v>TSL1PRE</x:v>
      </x:c>
      <x:c r="F15" t="n">
        <x:v>10</x:v>
      </x:c>
      <x:c r="H15" t="n">
        <x:v>11</x:v>
      </x:c>
      <x:c r="I15" s="69" t="n">
        <x:v>45495</x:v>
      </x:c>
      <x:c r="J15" s="69" t="n">
        <x:v>45498</x:v>
      </x:c>
      <x:c r="K15" s="70" t="n">
        <x:v>-0.4583998454939128</x:v>
      </x:c>
      <x:c r="L15" t="str">
        <x:v>TSL1PRE</x:v>
      </x:c>
      <x:c r="M15" t="n">
        <x:v>10</x:v>
      </x:c>
    </x:row>
    <x:row r="16">
      <x:c r="A16" t="n">
        <x:v>12</x:v>
      </x:c>
      <x:c r="B16" s="69" t="n">
        <x:v>46006</x:v>
      </x:c>
      <x:c r="C16" s="69" t="n">
        <x:v>46009</x:v>
      </x:c>
      <x:c r="D16" s="70" t="n">
        <x:v>-0.3370666665441832</x:v>
      </x:c>
      <x:c r="E16" t="str">
        <x:v>TSL1PRE</x:v>
      </x:c>
      <x:c r="F16" t="n">
        <x:v>10</x:v>
      </x:c>
      <x:c r="H16" t="n">
        <x:v>12</x:v>
      </x:c>
      <x:c r="I16" s="69" t="n">
        <x:v>44221</x:v>
      </x:c>
      <x:c r="J16" s="69" t="n">
        <x:v>44224</x:v>
      </x:c>
      <x:c r="K16" s="70" t="n">
        <x:v>-0.4529973512094024</x:v>
      </x:c>
      <x:c r="L16" t="str">
        <x:v>TSL1PRE</x:v>
      </x:c>
      <x:c r="M16" t="n">
        <x:v>8</x:v>
      </x:c>
    </x:row>
    <x:row r="17">
      <x:c r="A17" t="n">
        <x:v>13</x:v>
      </x:c>
      <x:c r="B17" s="69" t="n">
        <x:v>45138</x:v>
      </x:c>
      <x:c r="C17" s="69" t="n">
        <x:v>45141</x:v>
      </x:c>
      <x:c r="D17" s="70" t="n">
        <x:v>-0.33039979306055767</x:v>
      </x:c>
      <x:c r="E17" t="str">
        <x:v>TSL1PRE</x:v>
      </x:c>
      <x:c r="F17" t="n">
        <x:v>8</x:v>
      </x:c>
      <x:c r="H17" t="n">
        <x:v>13</x:v>
      </x:c>
      <x:c r="I17" s="69" t="n">
        <x:v>44130</x:v>
      </x:c>
      <x:c r="J17" s="69" t="n">
        <x:v>44133</x:v>
      </x:c>
      <x:c r="K17" s="70" t="n">
        <x:v>-0.44783116870242107</x:v>
      </x:c>
      <x:c r="L17" t="str">
        <x:v>TSL1PRE</x:v>
      </x:c>
      <x:c r="M17" t="n">
        <x:v>10</x:v>
      </x:c>
    </x:row>
    <x:row r="18">
      <x:c r="A18" t="n">
        <x:v>14</x:v>
      </x:c>
      <x:c r="B18" s="69" t="n">
        <x:v>46195</x:v>
      </x:c>
      <x:c r="C18" s="69" t="n">
        <x:v>46198</x:v>
      </x:c>
      <x:c r="D18" s="70" t="n">
        <x:v>-0.3182666666067533</x:v>
      </x:c>
      <x:c r="E18" t="str">
        <x:v>TSL1PRE</x:v>
      </x:c>
      <x:c r="F18" t="n">
        <x:v>8</x:v>
      </x:c>
      <x:c r="H18" t="n">
        <x:v>14</x:v>
      </x:c>
      <x:c r="I18" s="69" t="n">
        <x:v>43437</x:v>
      </x:c>
      <x:c r="J18" s="69" t="n">
        <x:v>43440</x:v>
      </x:c>
      <x:c r="K18" s="70" t="n">
        <x:v>-0.4249706351463299</x:v>
      </x:c>
      <x:c r="L18" t="str">
        <x:v>TSL1PRE</x:v>
      </x:c>
      <x:c r="M18" t="n">
        <x:v>8</x:v>
      </x:c>
    </x:row>
    <x:row r="19">
      <x:c r="A19" t="n">
        <x:v>15</x:v>
      </x:c>
      <x:c r="B19" s="69" t="n">
        <x:v>45712</x:v>
      </x:c>
      <x:c r="C19" s="69" t="n">
        <x:v>45715</x:v>
      </x:c>
      <x:c r="D19" s="70" t="n">
        <x:v>-0.3125333298990411</x:v>
      </x:c>
      <x:c r="E19" t="str">
        <x:v>TSL1PRE</x:v>
      </x:c>
      <x:c r="F19" t="n">
        <x:v>10</x:v>
      </x:c>
      <x:c r="H19" t="n">
        <x:v>15</x:v>
      </x:c>
      <x:c r="I19" s="69" t="n">
        <x:v>44319</x:v>
      </x:c>
      <x:c r="J19" s="69" t="n">
        <x:v>44322</x:v>
      </x:c>
      <x:c r="K19" s="70" t="n">
        <x:v>-0.40915021137524427</x:v>
      </x:c>
      <x:c r="L19" t="str">
        <x:v>TSL1PRE</x:v>
      </x:c>
      <x:c r="M19" t="n">
        <x:v>8</x:v>
      </x:c>
    </x:row>
    <x:row r="20">
      <x:c r="A20" t="n">
        <x:v>16</x:v>
      </x:c>
      <x:c r="B20" s="69" t="n">
        <x:v>44522</x:v>
      </x:c>
      <x:c r="C20" s="69" t="n">
        <x:v>44526</x:v>
      </x:c>
      <x:c r="D20" s="70" t="n">
        <x:v>-0.31173219124596724</x:v>
      </x:c>
      <x:c r="E20" t="str">
        <x:v>TSL3</x:v>
      </x:c>
      <x:c r="F20" t="n">
        <x:v>8</x:v>
      </x:c>
      <x:c r="H20" t="n">
        <x:v>16</x:v>
      </x:c>
      <x:c r="I20" s="69" t="n">
        <x:v>43416</x:v>
      </x:c>
      <x:c r="J20" s="69" t="n">
        <x:v>43419</x:v>
      </x:c>
      <x:c r="K20" s="70" t="n">
        <x:v>-0.4055474610934472</x:v>
      </x:c>
      <x:c r="L20" t="str">
        <x:v>TSL1PRE</x:v>
      </x:c>
      <x:c r="M20" t="n">
        <x:v>8</x:v>
      </x:c>
    </x:row>
    <x:row r="21">
      <x:c r="A21" t="n">
        <x:v>17</x:v>
      </x:c>
      <x:c r="B21" s="69" t="n">
        <x:v>44025</x:v>
      </x:c>
      <x:c r="C21" s="69" t="n">
        <x:v>44028</x:v>
      </x:c>
      <x:c r="D21" s="70" t="n">
        <x:v>-0.30252822021570414</x:v>
      </x:c>
      <x:c r="E21" t="str">
        <x:v>TSL1PRE</x:v>
      </x:c>
      <x:c r="F21" t="n">
        <x:v>8</x:v>
      </x:c>
      <x:c r="H21" t="n">
        <x:v>17</x:v>
      </x:c>
      <x:c r="I21" s="69" t="n">
        <x:v>44614</x:v>
      </x:c>
      <x:c r="J21" s="69" t="n">
        <x:v>44616</x:v>
      </x:c>
      <x:c r="K21" s="70" t="n">
        <x:v>-0.384124079593763</x:v>
      </x:c>
      <x:c r="L21" t="str">
        <x:v>TSL1PRE</x:v>
      </x:c>
      <x:c r="M21" t="n">
        <x:v>8</x:v>
      </x:c>
    </x:row>
    <x:row r="22">
      <x:c r="A22" t="n">
        <x:v>18</x:v>
      </x:c>
      <x:c r="B22" s="69" t="n">
        <x:v>45411</x:v>
      </x:c>
      <x:c r="C22" s="69" t="n">
        <x:v>45414</x:v>
      </x:c>
      <x:c r="D22" s="70" t="n">
        <x:v>-0.2993332419952255</x:v>
      </x:c>
      <x:c r="E22" t="str">
        <x:v>TSL1PRE</x:v>
      </x:c>
      <x:c r="F22" t="n">
        <x:v>8</x:v>
      </x:c>
      <x:c r="H22" t="n">
        <x:v>18</x:v>
      </x:c>
      <x:c r="I22" s="69" t="n">
        <x:v>45488</x:v>
      </x:c>
      <x:c r="J22" s="69" t="n">
        <x:v>45491</x:v>
      </x:c>
      <x:c r="K22" s="70" t="n">
        <x:v>-0.367066660464806</x:v>
      </x:c>
      <x:c r="L22" t="str">
        <x:v>TSL1PRE</x:v>
      </x:c>
      <x:c r="M22" t="n">
        <x:v>8</x:v>
      </x:c>
    </x:row>
    <x:row r="23">
      <x:c r="A23" t="n">
        <x:v>19</x:v>
      </x:c>
      <x:c r="B23" s="69" t="n">
        <x:v>44508</x:v>
      </x:c>
      <x:c r="C23" s="69" t="n">
        <x:v>44511</x:v>
      </x:c>
      <x:c r="D23" s="70" t="n">
        <x:v>-0.2946648190129566</x:v>
      </x:c>
      <x:c r="E23" t="str">
        <x:v>TSL1PRE</x:v>
      </x:c>
      <x:c r="F23" t="n">
        <x:v>8</x:v>
      </x:c>
      <x:c r="H23" t="n">
        <x:v>19</x:v>
      </x:c>
      <x:c r="I23" s="69" t="n">
        <x:v>44466</x:v>
      </x:c>
      <x:c r="J23" s="69" t="n">
        <x:v>44469</x:v>
      </x:c>
      <x:c r="K23" s="70" t="n">
        <x:v>-0.3635895663355618</x:v>
      </x:c>
      <x:c r="L23" t="str">
        <x:v>TSL1PRE</x:v>
      </x:c>
      <x:c r="M23" t="n">
        <x:v>8</x:v>
      </x:c>
    </x:row>
    <x:row r="24">
      <x:c r="A24" t="n">
        <x:v>20</x:v>
      </x:c>
      <x:c r="B24" s="69" t="n">
        <x:v>44844</x:v>
      </x:c>
      <x:c r="C24" s="69" t="n">
        <x:v>44847</x:v>
      </x:c>
      <x:c r="D24" s="70" t="n">
        <x:v>-0.29279891173653955</x:v>
      </x:c>
      <x:c r="E24" t="str">
        <x:v>TSL1PRE</x:v>
      </x:c>
      <x:c r="F24" t="n">
        <x:v>8</x:v>
      </x:c>
      <x:c r="H24" t="n">
        <x:v>20</x:v>
      </x:c>
      <x:c r="I24" s="69" t="n">
        <x:v>44753</x:v>
      </x:c>
      <x:c r="J24" s="69" t="n">
        <x:v>44756</x:v>
      </x:c>
      <x:c r="K24" s="70" t="n">
        <x:v>-0.35945421015030055</x:v>
      </x:c>
      <x:c r="L24" t="str">
        <x:v>TSL1PRE</x:v>
      </x:c>
      <x:c r="M24" t="n">
        <x:v>8</x:v>
      </x:c>
    </x:row>
  </x:sheetData>
  <x:mergeCells>
    <x:mergeCell ref="A1:L1"/>
    <x:mergeCell ref="A3:F3"/>
    <x:mergeCell ref="H3:M3"/>
  </x:mergeCells>
  <x:conditionalFormatting sqref="D5:D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5:K2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28" customHeight="1">
      <x:c r="A1" s="3" t="str">
        <x:v>Methodology and assumptions</x:v>
      </x:c>
      <x:c r="B1" s="3" t="str">
        <x:v>Methodology and assumptions</x:v>
      </x:c>
      <x:c r="C1" s="3" t="str">
        <x:v>Methodology and assumptions</x:v>
      </x:c>
      <x:c r="D1" s="3" t="str">
        <x:v>Methodology and assumptions</x:v>
      </x:c>
      <x:c r="E1" s="3" t="str">
        <x:v>Methodology and assumptions</x:v>
      </x:c>
      <x:c r="F1" s="3" t="str">
        <x:v>Methodology and assumptions</x:v>
      </x:c>
    </x:row>
    <x:row r="3" ht="48" customHeight="1">
      <x:c r="A3" s="13" t="str">
        <x:v>Item</x:v>
      </x:c>
      <x:c r="B3" s="14" t="str">
        <x:v>Value</x:v>
      </x:c>
      <x:c r="C3" s="14"/>
      <x:c r="D3" s="14"/>
      <x:c r="E3" s="14"/>
      <x:c r="F3" s="15"/>
    </x:row>
    <x:row r="4">
      <x:c r="A4" t="str">
        <x:v>Weekly entry opportunities</x:v>
      </x:c>
      <x:c r="B4" t="n">
        <x:v>433</x:v>
      </x:c>
    </x:row>
    <x:row r="5">
      <x:c r="A5" t="str">
        <x:v>Start date</x:v>
      </x:c>
      <x:c r="B5" s="69" t="n">
        <x:v>43203</x:v>
      </x:c>
    </x:row>
    <x:row r="6">
      <x:c r="A6" t="str">
        <x:v>Inclusive end date</x:v>
      </x:c>
      <x:c r="B6" s="69" t="n">
        <x:v>46246</x:v>
      </x:c>
    </x:row>
    <x:row r="7">
      <x:c r="A7" t="str">
        <x:v>Strategy source</x:v>
      </x:c>
      <x:c r="B7" t="str">
        <x:v>D:\oppw\backtest\oppw24.py</x:v>
      </x:c>
    </x:row>
    <x:row r="8">
      <x:c r="A8" t="str">
        <x:v>Quote source</x:v>
      </x:c>
      <x:c r="B8" t="str">
        <x:v>D:\oppw\backtest\quotes.pkl</x:v>
      </x:c>
    </x:row>
    <x:row r="9">
      <x:c r="A9" t="str">
        <x:v>Ideas</x:v>
      </x:c>
      <x:c r="B9" t="n">
        <x:v>200</x:v>
      </x:c>
    </x:row>
    <x:row r="10">
      <x:c r="A10" t="str">
        <x:v>Exact simulations</x:v>
      </x:c>
      <x:c r="B10" t="n">
        <x:v>402</x:v>
      </x:c>
    </x:row>
    <x:row r="11">
      <x:c r="A11" t="str">
        <x:v>CAGR formula</x:v>
      </x:c>
      <x:c r="B11" t="str">
        <x:v>(final_balance / deposited) ** (1 / (week_count*7/365)) - 1</x:v>
      </x:c>
    </x:row>
    <x:row r="12">
      <x:c r="A12" t="str">
        <x:v>Candidate timing</x:v>
      </x:c>
      <x:c r="B12" t="str">
        <x:v>Every candidate is evaluated immediately before a strategy-approved entry.</x:v>
      </x:c>
    </x:row>
    <x:row r="14" ht="48" customHeight="1">
      <x:c r="A14" s="71" t="str">
        <x:v>Family</x:v>
      </x:c>
      <x:c r="B14" s="72" t="str">
        <x:v>Ideas</x:v>
      </x:c>
      <x:c r="C14" s="72" t="str">
        <x:v>Available before entry?</x:v>
      </x:c>
      <x:c r="D14" s="72" t="str">
        <x:v>Primary feature</x:v>
      </x:c>
      <x:c r="E14" s="72" t="str">
        <x:v>Risk addressed</x:v>
      </x:c>
      <x:c r="F14" s="73" t="str">
        <x:v>Caveat</x:v>
      </x:c>
    </x:row>
    <x:row r="15">
      <x:c r="A15" s="74" t="str">
        <x:v>Premarket rolling shock</x:v>
      </x:c>
      <x:c r="B15" s="78" t="n">
        <x:v>60</x:v>
      </x:c>
      <x:c r="C15" s="78" t="str">
        <x:v>Yes</x:v>
      </x:c>
      <x:c r="D15" s="51" t="str">
        <x:v>Worst rolling low/open return</x:v>
      </x:c>
      <x:c r="E15" s="51" t="str">
        <x:v>Abrupt premarket selling</x:v>
      </x:c>
      <x:c r="F15" s="54" t="str">
        <x:v>Threshold grid can overfit rare spikes</x:v>
      </x:c>
    </x:row>
    <x:row r="16">
      <x:c r="A16" s="74" t="str">
        <x:v>Premarket range and weak close</x:v>
      </x:c>
      <x:c r="B16" s="78" t="n">
        <x:v>20</x:v>
      </x:c>
      <x:c r="C16" s="78" t="str">
        <x:v>Yes</x:v>
      </x:c>
      <x:c r="D16" s="51" t="str">
        <x:v>Range and close location</x:v>
      </x:c>
      <x:c r="E16" s="51" t="str">
        <x:v>Wide weak premarket</x:v>
      </x:c>
      <x:c r="F16" s="54" t="str">
        <x:v>Overlaps built-in premarket-low protection</x:v>
      </x:c>
    </x:row>
    <x:row r="17">
      <x:c r="A17" s="74" t="str">
        <x:v>Cash gap down</x:v>
      </x:c>
      <x:c r="B17" s="78" t="n">
        <x:v>10</x:v>
      </x:c>
      <x:c r="C17" s="78" t="str">
        <x:v>Yes</x:v>
      </x:c>
      <x:c r="D17" s="51" t="str">
        <x:v>Cash open vs prior cash close</x:v>
      </x:c>
      <x:c r="E17" s="51" t="str">
        <x:v>Overnight downside gap</x:v>
      </x:c>
      <x:c r="F17" s="54" t="str">
        <x:v>May skip rebound weeks</x:v>
      </x:c>
    </x:row>
    <x:row r="18">
      <x:c r="A18" s="74" t="str">
        <x:v>Positive gap with weak momentum</x:v>
      </x:c>
      <x:c r="B18" s="78" t="n">
        <x:v>20</x:v>
      </x:c>
      <x:c r="C18" s="78" t="str">
        <x:v>Yes</x:v>
      </x:c>
      <x:c r="D18" s="51" t="str">
        <x:v>Cash gap and 20-session momentum</x:v>
      </x:c>
      <x:c r="E18" s="51" t="str">
        <x:v>Gap/momentum disagreement</x:v>
      </x:c>
      <x:c r="F18" s="54" t="str">
        <x:v>Strong historical result may be sample-specific</x:v>
      </x:c>
    </x:row>
    <x:row r="19">
      <x:c r="A19" s="74" t="str">
        <x:v>Weak trailing momentum</x:v>
      </x:c>
      <x:c r="B19" s="78" t="n">
        <x:v>20</x:v>
      </x:c>
      <x:c r="C19" s="78" t="str">
        <x:v>Yes</x:v>
      </x:c>
      <x:c r="D19" s="51" t="str">
        <x:v>5/10/20/40-session momentum</x:v>
      </x:c>
      <x:c r="E19" s="51" t="str">
        <x:v>Persistent downtrend</x:v>
      </x:c>
      <x:c r="F19" s="54" t="str">
        <x:v>Slow signal can miss reversals</x:v>
      </x:c>
    </x:row>
    <x:row r="20">
      <x:c r="A20" s="74" t="str">
        <x:v>Prior cash-session loss</x:v>
      </x:c>
      <x:c r="B20" s="78" t="n">
        <x:v>10</x:v>
      </x:c>
      <x:c r="C20" s="78" t="str">
        <x:v>Yes</x:v>
      </x:c>
      <x:c r="D20" s="51" t="str">
        <x:v>Prior cash open-to-close return</x:v>
      </x:c>
      <x:c r="E20" s="51" t="str">
        <x:v>Immediate prior selloff</x:v>
      </x:c>
      <x:c r="F20" s="54" t="str">
        <x:v>One-day signal is noisy</x:v>
      </x:c>
    </x:row>
    <x:row r="21">
      <x:c r="A21" s="74" t="str">
        <x:v>High realized volatility</x:v>
      </x:c>
      <x:c r="B21" s="78" t="n">
        <x:v>15</x:v>
      </x:c>
      <x:c r="C21" s="78" t="str">
        <x:v>Yes</x:v>
      </x:c>
      <x:c r="D21" s="51" t="str">
        <x:v>5/10/20-session return volatility</x:v>
      </x:c>
      <x:c r="E21" s="51" t="str">
        <x:v>Volatility regime</x:v>
      </x:c>
      <x:c r="F21" s="54" t="str">
        <x:v>Skips many profitable weeks</x:v>
      </x:c>
    </x:row>
    <x:row r="22">
      <x:c r="A22" s="74" t="str">
        <x:v>Full premarket decline</x:v>
      </x:c>
      <x:c r="B22" s="78" t="n">
        <x:v>10</x:v>
      </x:c>
      <x:c r="C22" s="78" t="str">
        <x:v>Yes</x:v>
      </x:c>
      <x:c r="D22" s="51" t="str">
        <x:v>Premarket close/open return</x:v>
      </x:c>
      <x:c r="E22" s="51" t="str">
        <x:v>Broad premarket decline</x:v>
      </x:c>
      <x:c r="F22" s="54" t="str">
        <x:v>Ignores path within session</x:v>
      </x:c>
    </x:row>
    <x:row r="23">
      <x:c r="A23" s="74" t="str">
        <x:v>Late premarket slide</x:v>
      </x:c>
      <x:c r="B23" s="78" t="n">
        <x:v>25</x:v>
      </x:c>
      <x:c r="C23" s="78" t="str">
        <x:v>Yes</x:v>
      </x:c>
      <x:c r="D23" s="51" t="str">
        <x:v>Final 5–120 minute return</x:v>
      </x:c>
      <x:c r="E23" s="51" t="str">
        <x:v>Selling into cash open</x:v>
      </x:c>
      <x:c r="F23" s="54" t="str">
        <x:v>Sensitive to cutoff and data quality</x:v>
      </x:c>
    </x:row>
    <x:row r="24">
      <x:c r="A24" s="75" t="str">
        <x:v>Premarket peak-to-trough drawdown</x:v>
      </x:c>
      <x:c r="B24" s="79" t="n">
        <x:v>10</x:v>
      </x:c>
      <x:c r="C24" s="79" t="str">
        <x:v>Yes</x:v>
      </x:c>
      <x:c r="D24" s="76" t="str">
        <x:v>Peak-to-subsequent-low drawdown</x:v>
      </x:c>
      <x:c r="E24" s="76" t="str">
        <x:v>Premarket instability</x:v>
      </x:c>
      <x:c r="F24" s="77" t="str">
        <x:v>Path-dependent and threshold-sensitive</x:v>
      </x:c>
    </x:row>
    <x:row r="27">
      <x:c r="A27" s="42" t="str">
        <x:v>Important limitations</x:v>
      </x:c>
      <x:c r="B27" s="42" t="str">
        <x:v>Important limitations</x:v>
      </x:c>
      <x:c r="C27" s="42" t="str">
        <x:v>Important limitations</x:v>
      </x:c>
      <x:c r="D27" s="42" t="str">
        <x:v>Important limitations</x:v>
      </x:c>
      <x:c r="E27" s="42" t="str">
        <x:v>Important limitations</x:v>
      </x:c>
      <x:c r="F27" s="42" t="str">
        <x:v>Important limitations</x:v>
      </x:c>
    </x:row>
    <x:row r="28">
      <x:c r="A28" s="82" t="str">
        <x:v>• This is an in-sample historical screen, not proof of future efficacy. The 200-rule search creates multiple-testing risk.</x:v>
      </x:c>
      <x:c r="B28" s="82"/>
      <x:c r="C28" s="82"/>
      <x:c r="D28" s="82"/>
      <x:c r="E28" s="82"/>
      <x:c r="F28" s="82"/>
    </x:row>
    <x:row r="29">
      <x:c r="A29" s="82" t="str">
        <x:v>• No transaction-cost, spread, execution-quality, or data-revision stress was added beyond oppw24.py's current mechanics.</x:v>
      </x:c>
      <x:c r="B29" s="82"/>
      <x:c r="C29" s="82"/>
      <x:c r="D29" s="82"/>
      <x:c r="E29" s="82"/>
      <x:c r="F29" s="82"/>
    </x:row>
    <x:row r="30">
      <x:c r="A30" s="82" t="str">
        <x:v>• CAGR is dominated by very high leverage and compounding. Absolute balances are not realistic capacity estimates.</x:v>
      </x:c>
      <x:c r="B30" s="82"/>
      <x:c r="C30" s="82"/>
      <x:c r="D30" s="82"/>
      <x:c r="E30" s="82"/>
      <x:c r="F30" s="82"/>
    </x:row>
    <x:row r="31">
      <x:c r="A31" s="82" t="str">
        <x:v>• Candidate filters were tested one at a time. Combining good-looking rules can destroy CAGR or duplicate the same signal.</x:v>
      </x:c>
      <x:c r="B31" s="82"/>
      <x:c r="C31" s="82"/>
      <x:c r="D31" s="82"/>
      <x:c r="E31" s="82"/>
      <x:c r="F31" s="82"/>
    </x:row>
    <x:row r="32">
      <x:c r="A32" s="82" t="str">
        <x:v>• The protected mode already contains overlapping gap/momentum and premarket-low logic, so marginal rules behave differently by mode.</x:v>
      </x:c>
      <x:c r="B32" s="82"/>
      <x:c r="C32" s="82"/>
      <x:c r="D32" s="82"/>
      <x:c r="E32" s="82"/>
      <x:c r="F32" s="82"/>
    </x:row>
    <x:row r="33">
      <x:c r="A33" s="82" t="str">
        <x:v>• Before production: freeze a small shortlist, run walk-forward/leave-year-out validation, perturb thresholds, and test broker-realistic execution.</x:v>
      </x:c>
      <x:c r="B33" s="82"/>
      <x:c r="C33" s="82"/>
      <x:c r="D33" s="82"/>
      <x:c r="E33" s="82"/>
      <x:c r="F33" s="82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A27:F27"/>
    <x:mergeCell ref="A28:F28"/>
    <x:mergeCell ref="A29:F29"/>
    <x:mergeCell ref="A30:F30"/>
    <x:mergeCell ref="A31:F31"/>
    <x:mergeCell ref="A32:F32"/>
    <x:mergeCell ref="A33:F33"/>
  </x:mergeCells>
  <x:pageMargins left="0.7" right="0.7" top="0.75" bottom="0.75" header="0.3" footer="0.3"/>
  <x:legacyDrawing xmlns:r="http://schemas.openxmlformats.org/officeDocument/2006/relationships" r:id="R75d1c0a4385a4c0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55" hidden="0" customWidth="1"/>
  </x:cols>
  <x:sheetData>
    <x:row r="1" ht="28" customHeight="1">
      <x:c r="A1" s="3" t="str">
        <x:v>Workbook and study checks</x:v>
      </x:c>
      <x:c r="B1" s="3" t="str">
        <x:v>Workbook and study checks</x:v>
      </x:c>
      <x:c r="C1" s="3" t="str">
        <x:v>Workbook and study checks</x:v>
      </x:c>
      <x:c r="D1" s="3" t="str">
        <x:v>Workbook and study checks</x:v>
      </x:c>
      <x:c r="E1" s="3" t="str">
        <x:v>Workbook and study checks</x:v>
      </x:c>
      <x:c r="F1" s="3" t="str">
        <x:v>Workbook and study checks</x:v>
      </x:c>
      <x:c r="G1" s="3" t="str">
        <x:v>Workbook and study checks</x:v>
      </x:c>
    </x:row>
    <x:row r="3" ht="48" customHeight="1">
      <x:c r="A3" s="13" t="str">
        <x:v>Check</x:v>
      </x:c>
      <x:c r="B3" s="14" t="str">
        <x:v>Actual</x:v>
      </x:c>
      <x:c r="C3" s="14" t="str">
        <x:v>Expected</x:v>
      </x:c>
      <x:c r="D3" s="14" t="str">
        <x:v>Difference</x:v>
      </x:c>
      <x:c r="E3" s="14" t="str">
        <x:v>Tolerance</x:v>
      </x:c>
      <x:c r="F3" s="14" t="str">
        <x:v>Status</x:v>
      </x:c>
      <x:c r="G3" s="15" t="str">
        <x:v>Notes</x:v>
      </x:c>
    </x:row>
    <x:row r="4">
      <x:c r="A4" t="str">
        <x:v>Idea count</x:v>
      </x:c>
      <x:c r="B4" t="n">
        <x:v>200</x:v>
      </x:c>
      <x:c r="C4" t="n">
        <x:v>200</x:v>
      </x:c>
      <x:c r="D4" t="n">
        <x:f>B4-C4</x:f>
        <x:v>0</x:v>
      </x:c>
      <x:c r="E4" t="n">
        <x:v>0</x:v>
      </x:c>
      <x:c r="F4" t="str">
        <x:f>IF(ABS(D4)&lt;=E4,"OK","FAIL")</x:f>
        <x:v>OK</x:v>
      </x:c>
      <x:c r="G4" t="str">
        <x:v>Exactly 200 distinct candidate definitions.</x:v>
      </x:c>
    </x:row>
    <x:row r="5">
      <x:c r="A5" t="str">
        <x:v>Simulation count</x:v>
      </x:c>
      <x:c r="B5" t="n">
        <x:v>402</x:v>
      </x:c>
      <x:c r="C5" t="n">
        <x:v>402</x:v>
      </x:c>
      <x:c r="D5" t="n">
        <x:f>B5-C5</x:f>
        <x:v>0</x:v>
      </x:c>
      <x:c r="E5" t="n">
        <x:v>0</x:v>
      </x:c>
      <x:c r="F5" t="str">
        <x:f>IF(ABS(D5)&lt;=E5,"OK","FAIL")</x:f>
        <x:v>OK</x:v>
      </x:c>
      <x:c r="G5" t="str">
        <x:v>200 ideas × two modes plus two baselines.</x:v>
      </x:c>
    </x:row>
    <x:row r="6">
      <x:c r="A6" t="str">
        <x:v>Protected rows</x:v>
      </x:c>
      <x:c r="B6" t="n">
        <x:v>201</x:v>
      </x:c>
      <x:c r="C6" t="n">
        <x:v>201</x:v>
      </x:c>
      <x:c r="D6" t="n">
        <x:f>B6-C6</x:f>
        <x:v>0</x:v>
      </x:c>
      <x:c r="E6" t="n">
        <x:v>0</x:v>
      </x:c>
      <x:c r="F6" t="str">
        <x:f>IF(ABS(D6)&lt;=E6,"OK","FAIL")</x:f>
        <x:v>OK</x:v>
      </x:c>
      <x:c r="G6" t="str">
        <x:v>Baseline plus 200 ideas.</x:v>
      </x:c>
    </x:row>
    <x:row r="7">
      <x:c r="A7" t="str">
        <x:v>Leverage-only rows</x:v>
      </x:c>
      <x:c r="B7" t="n">
        <x:v>201</x:v>
      </x:c>
      <x:c r="C7" t="n">
        <x:v>201</x:v>
      </x:c>
      <x:c r="D7" t="n">
        <x:f>B7-C7</x:f>
        <x:v>0</x:v>
      </x:c>
      <x:c r="E7" t="n">
        <x:v>0</x:v>
      </x:c>
      <x:c r="F7" t="str">
        <x:f>IF(ABS(D7)&lt;=E7,"OK","FAIL")</x:f>
        <x:v>OK</x:v>
      </x:c>
      <x:c r="G7" t="str">
        <x:v>Baseline plus 200 ideas.</x:v>
      </x:c>
    </x:row>
    <x:row r="8">
      <x:c r="A8" t="str">
        <x:v>Weekly opportunities</x:v>
      </x:c>
      <x:c r="B8" t="n">
        <x:v>433</x:v>
      </x:c>
      <x:c r="C8" t="n">
        <x:v>433</x:v>
      </x:c>
      <x:c r="D8" t="n">
        <x:f>B8-C8</x:f>
        <x:v>0</x:v>
      </x:c>
      <x:c r="E8" t="n">
        <x:v>0</x:v>
      </x:c>
      <x:c r="F8" t="str">
        <x:f>IF(ABS(D8)&lt;=E8,"OK","FAIL")</x:f>
        <x:v>OK</x:v>
      </x:c>
      <x:c r="G8" t="str">
        <x:v>Matches the tested history through 2026-08-12.</x:v>
      </x:c>
    </x:row>
    <x:row r="9">
      <x:c r="A9" t="str">
        <x:v>Future-data rules</x:v>
      </x:c>
      <x:c r="B9" t="n">
        <x:v>0</x:v>
      </x:c>
      <x:c r="C9" t="n">
        <x:v>0</x:v>
      </x:c>
      <x:c r="D9" t="n">
        <x:f>B9-C9</x:f>
        <x:v>0</x:v>
      </x:c>
      <x:c r="E9" t="n">
        <x:v>0</x:v>
      </x:c>
      <x:c r="F9" t="str">
        <x:f>IF(ABS(D9)&lt;=E9,"OK","FAIL")</x:f>
        <x:v>OK</x:v>
      </x:c>
      <x:c r="G9" t="str">
        <x:v>All features are available at or before the entry decision.</x:v>
      </x:c>
    </x:row>
    <x:row r="11" ht="48" customHeight="1">
      <x:c r="A11" s="13" t="str">
        <x:v>Additional audit</x:v>
      </x:c>
      <x:c r="B11" s="15" t="str">
        <x:v>Result</x:v>
      </x:c>
    </x:row>
    <x:row r="12">
      <x:c r="A12" t="str">
        <x:v>Formula error scan</x:v>
      </x:c>
      <x:c r="B12" t="str">
        <x:v>Performed after workbook build</x:v>
      </x:c>
    </x:row>
    <x:row r="13">
      <x:c r="A13" t="str">
        <x:v>Visual verification</x:v>
      </x:c>
      <x:c r="B13" t="str">
        <x:v>All seven sheets rendered and inspected</x:v>
      </x:c>
    </x:row>
  </x:sheetData>
  <x:mergeCells>
    <x:mergeCell ref="A1:G1"/>
  </x:mergeCells>
  <x:conditionalFormatting sqref="F4:F9">
    <x:cfRule type="containsText" dxfId="3" priority="1" operator="containsText" text="OK"/>
    <x:cfRule type="containsText" dxfId="4" priority="2" operator="containsText" text="FAIL"/>
  </x:conditionalFormatting>
  <x:pageMargins left="0.7" right="0.7" top="0.75" bottom="0.75" header="0.3" footer="0.3"/>
</x:worksheet>
</file>